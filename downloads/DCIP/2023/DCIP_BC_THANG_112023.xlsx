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11. Nov\Monthly\KY SO\"/>
    </mc:Choice>
  </mc:AlternateContent>
  <xr:revisionPtr revIDLastSave="0" documentId="13_ncr:1_{B3335AB0-893B-4860-8C8A-F09B2A109AA8}"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_06203" sheetId="34" r:id="rId7"/>
    <sheet name="BCTinhHinhTaiChinh_06105" sheetId="42"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4">BCHoatDongVay_06026!$A$1:$J$51</definedName>
    <definedName name="_xlnm.Print_Area" localSheetId="2">BCKetQuaHoatDong_06028!$A$1:$F$110</definedName>
    <definedName name="_xlnm.Print_Area" localSheetId="7">BCTinhHinhTaiChinh_06105!$A$1:$F$139</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44" l="1"/>
  <c r="G66" i="44" s="1"/>
</calcChain>
</file>

<file path=xl/sharedStrings.xml><?xml version="1.0" encoding="utf-8"?>
<sst xmlns="http://schemas.openxmlformats.org/spreadsheetml/2006/main" count="1530" uniqueCount="1132">
  <si>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</si>
  <si>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</si>
  <si>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</si>
  <si>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</si>
  <si>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</si>
  <si>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</si>
  <si>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</si>
  <si>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</si>
  <si>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</si>
  <si>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</si>
  <si>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</si>
  <si>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</si>
  <si>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</si>
  <si>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</si>
  <si>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</si>
  <si>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</si>
  <si>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</si>
  <si>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</si>
  <si>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</si>
  <si>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</si>
  <si>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</si>
  <si>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</si>
  <si>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</si>
  <si>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</si>
  <si>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</si>
  <si>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</si>
  <si>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</si>
  <si>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</si>
  <si>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</si>
  <si>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</si>
  <si>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</si>
  <si>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</si>
  <si>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</si>
  <si>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</si>
  <si>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</si>
  <si>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</si>
  <si>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</si>
  <si>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</si>
  <si>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</si>
  <si>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</si>
  <si>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</si>
  <si>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</si>
  <si>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</si>
  <si>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</si>
  <si>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</si>
  <si>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</si>
  <si>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</si>
  <si>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</si>
  <si>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</si>
  <si>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</si>
  <si>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</si>
  <si>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</si>
  <si>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</si>
  <si>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</si>
  <si>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</si>
  <si>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</si>
  <si>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</si>
  <si>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</si>
  <si>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</si>
  <si>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</si>
  <si>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</si>
  <si>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</si>
  <si>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</si>
  <si>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</si>
  <si>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</si>
  <si>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</si>
  <si>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</si>
  <si>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</si>
  <si>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</si>
  <si>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</si>
  <si>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</si>
  <si>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</si>
  <si>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</si>
  <si>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</si>
  <si>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</si>
  <si>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</si>
  <si>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</si>
  <si>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</si>
  <si>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</si>
  <si>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</si>
  <si>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</si>
  <si>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</si>
  <si>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</si>
  <si>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</si>
  <si>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</si>
  <si>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</si>
  <si>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</si>
  <si>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</si>
  <si>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</si>
  <si>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</si>
  <si>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</si>
  <si>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</si>
  <si>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</si>
  <si>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</si>
  <si>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</si>
  <si>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</si>
  <si>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</si>
  <si>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</si>
  <si>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</si>
  <si>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</si>
  <si>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</si>
  <si>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</si>
  <si>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</si>
  <si>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</si>
  <si>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</si>
  <si>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</si>
  <si>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</si>
  <si>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</si>
  <si>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</si>
  <si>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</si>
  <si>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</si>
  <si>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</si>
  <si>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</si>
  <si>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</si>
  <si>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</si>
  <si>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</si>
  <si>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</si>
  <si>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</si>
  <si>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</si>
  <si>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</si>
  <si>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</si>
  <si>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</si>
  <si>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</si>
  <si>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</si>
  <si>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</si>
  <si>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</si>
  <si>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</si>
  <si>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</si>
  <si>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</si>
  <si>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</si>
  <si>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</si>
  <si>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</si>
  <si>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</si>
  <si>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</si>
  <si>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</si>
  <si>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</si>
  <si>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</si>
  <si>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</si>
  <si>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</si>
  <si>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</si>
  <si>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</si>
  <si>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</si>
  <si>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</si>
  <si>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</si>
  <si>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</si>
  <si>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</si>
  <si>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</si>
  <si>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</si>
  <si>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</si>
  <si>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</si>
  <si>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</si>
  <si>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</si>
  <si>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</si>
  <si>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</si>
  <si>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</si>
  <si>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</si>
  <si>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</si>
  <si>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</si>
  <si>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</si>
  <si>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</si>
  <si>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</si>
  <si>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</si>
  <si>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</si>
  <si>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</si>
  <si>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</si>
  <si>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</si>
  <si>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</si>
  <si>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</si>
  <si>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</si>
  <si>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</si>
  <si>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</si>
  <si>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</si>
  <si>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</si>
  <si>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</si>
  <si>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</si>
  <si>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</si>
  <si>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</si>
  <si>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</si>
  <si>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</si>
  <si>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</si>
  <si>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</si>
  <si>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</si>
  <si>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</si>
  <si>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</si>
  <si>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</si>
  <si>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</si>
  <si>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</si>
  <si>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</si>
  <si>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</si>
  <si>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</si>
  <si>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</si>
  <si>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</si>
  <si>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</si>
  <si>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</si>
  <si>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</si>
  <si>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</si>
  <si>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</si>
  <si>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</si>
  <si>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</si>
  <si>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</si>
  <si>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</si>
  <si>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</si>
  <si>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</si>
  <si>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</si>
  <si>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</si>
  <si>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</si>
  <si>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</si>
  <si>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</si>
  <si>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</si>
  <si>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</si>
  <si>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</si>
  <si>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</si>
  <si>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</si>
  <si>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</si>
  <si>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</si>
  <si>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</si>
  <si>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</si>
  <si>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</si>
  <si>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</si>
  <si>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</si>
  <si>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</si>
  <si>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</si>
  <si>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</si>
  <si>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</si>
  <si>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</si>
  <si>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</si>
  <si>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</si>
  <si>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</si>
  <si>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</si>
  <si>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</si>
  <si>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</si>
  <si>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</si>
  <si>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</si>
  <si>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</si>
  <si>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</si>
  <si>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</si>
  <si>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</si>
  <si>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</si>
  <si>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</si>
  <si>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</si>
  <si>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</si>
  <si>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</si>
  <si>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</si>
  <si>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</si>
  <si>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</si>
  <si>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</si>
  <si>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</si>
  <si>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</si>
  <si>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</si>
  <si>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</si>
  <si>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</si>
  <si>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</si>
  <si>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</si>
  <si>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</si>
  <si>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</si>
  <si>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</si>
  <si>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</si>
  <si>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</si>
  <si>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</si>
  <si>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</si>
  <si>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</si>
  <si>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</si>
  <si>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</si>
  <si>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</si>
  <si>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</si>
  <si>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</si>
  <si>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</si>
  <si>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</si>
  <si>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</si>
  <si>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</si>
  <si>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</si>
  <si>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</si>
  <si>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</si>
  <si>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</si>
  <si>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</si>
  <si>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</si>
  <si>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</si>
  <si>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</si>
  <si>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</si>
  <si>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</si>
  <si>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</si>
  <si>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</si>
  <si>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</si>
  <si>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</si>
  <si>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</si>
  <si>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</si>
  <si>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</si>
  <si>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</si>
  <si>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</si>
  <si>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</si>
  <si>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</si>
  <si>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</si>
  <si>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</si>
  <si>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</si>
  <si>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</si>
  <si>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</si>
  <si>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</si>
  <si>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</si>
  <si>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</si>
  <si>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</si>
  <si>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</si>
  <si>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</si>
  <si>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</si>
  <si>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</si>
  <si>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</si>
  <si>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</si>
  <si>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</si>
  <si>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</si>
  <si>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</si>
  <si>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</si>
  <si>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</si>
  <si>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</si>
  <si>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</si>
  <si>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</si>
  <si>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</si>
  <si>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</si>
  <si>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</si>
  <si>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</si>
  <si>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</si>
  <si>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</si>
  <si>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</si>
  <si>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</si>
  <si>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</si>
  <si>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</si>
  <si>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</si>
  <si>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</si>
  <si>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</si>
  <si>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</si>
  <si>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</si>
  <si>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</si>
  <si>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</si>
  <si>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</si>
  <si>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</si>
  <si>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</si>
  <si>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</si>
  <si>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</si>
  <si>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</si>
  <si>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</si>
  <si>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</si>
  <si>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</si>
  <si>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</si>
  <si>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</si>
  <si>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</si>
  <si>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</si>
  <si>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</si>
  <si>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</si>
  <si>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</si>
  <si>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</si>
  <si>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</si>
  <si>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</si>
  <si>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</si>
  <si>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</si>
  <si>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</si>
  <si>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</si>
  <si>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</si>
  <si>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</si>
  <si>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</si>
  <si>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</si>
  <si>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</si>
  <si>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</si>
  <si>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</si>
  <si>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</si>
  <si>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</si>
  <si>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</si>
  <si>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</si>
  <si>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</si>
  <si>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</si>
  <si>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</si>
  <si>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</si>
  <si>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</si>
  <si>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</si>
  <si>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</si>
  <si>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</si>
  <si>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</si>
  <si>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</si>
  <si>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</si>
  <si>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</si>
  <si>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</si>
  <si>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</si>
  <si>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</si>
  <si>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</si>
  <si>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</si>
  <si>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</si>
  <si>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</si>
  <si>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</si>
  <si>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</si>
  <si>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</si>
  <si>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</si>
  <si>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</si>
  <si>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</si>
  <si>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</si>
  <si>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</si>
  <si>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</si>
  <si>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</si>
  <si>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</si>
  <si>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</si>
  <si>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</si>
  <si>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</si>
  <si>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</si>
  <si>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</si>
  <si>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</si>
  <si>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</si>
  <si>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</si>
  <si>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</si>
  <si>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</si>
  <si>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</si>
  <si>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</si>
  <si>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</si>
  <si>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</si>
  <si>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</si>
  <si>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</si>
  <si>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</si>
  <si>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</si>
  <si>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</si>
  <si>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</si>
  <si>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</si>
  <si>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</si>
  <si>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</si>
  <si>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</si>
  <si>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</si>
  <si>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</si>
  <si>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</si>
  <si>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</si>
  <si>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</si>
  <si>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</si>
  <si>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</si>
  <si>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</si>
  <si>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</si>
  <si>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</si>
  <si>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</si>
  <si>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</si>
  <si>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</si>
  <si>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</si>
  <si>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</si>
  <si>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</si>
  <si>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</si>
  <si>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</si>
  <si>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</si>
  <si>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</si>
  <si>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</si>
  <si>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</si>
  <si>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</si>
  <si>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</si>
  <si>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</si>
  <si>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</si>
  <si>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</si>
  <si>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</si>
  <si>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</si>
  <si>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</si>
  <si>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</si>
  <si>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</si>
  <si>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</si>
  <si>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</si>
  <si>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</si>
  <si>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</si>
  <si>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</si>
  <si>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</si>
  <si>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</si>
  <si>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</si>
  <si>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</si>
  <si>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</si>
  <si>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</si>
  <si>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</si>
  <si>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</si>
  <si>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</si>
  <si>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</si>
  <si>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</si>
  <si>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</si>
  <si>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</si>
  <si>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</si>
  <si>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</si>
  <si>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</si>
  <si>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</si>
  <si>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</si>
  <si>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</si>
  <si>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</si>
  <si>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</si>
  <si>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</si>
  <si>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</si>
  <si>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</si>
  <si>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</si>
  <si>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</si>
  <si>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</si>
  <si>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</si>
  <si>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</si>
  <si>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</si>
  <si>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</si>
  <si>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</si>
  <si>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</si>
  <si>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</si>
  <si>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</si>
  <si>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</si>
  <si>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</si>
  <si>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</si>
  <si>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</si>
  <si>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</si>
  <si>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</si>
  <si>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</si>
  <si>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</si>
  <si>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</si>
  <si>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</si>
  <si>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</si>
  <si>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</si>
  <si>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</si>
  <si>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</si>
  <si>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</si>
  <si>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</si>
  <si>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</si>
  <si>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</si>
  <si>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</si>
  <si>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</si>
  <si>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</si>
  <si>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</si>
  <si>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</si>
  <si>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</si>
  <si>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</si>
  <si>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</si>
  <si>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</si>
  <si>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</si>
  <si>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</si>
  <si>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</si>
  <si>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</si>
  <si>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</si>
  <si>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</si>
  <si>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</si>
  <si>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</si>
  <si>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</si>
  <si>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</si>
  <si>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</si>
  <si>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</si>
  <si>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</si>
  <si>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</si>
  <si>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</si>
  <si>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</si>
  <si>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</si>
  <si>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</si>
  <si>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</si>
  <si>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</si>
  <si>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</si>
  <si>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</si>
  <si>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</si>
  <si>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</si>
  <si>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</si>
  <si>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</si>
  <si>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</si>
  <si>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</si>
  <si>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</si>
  <si>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</si>
  <si>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</si>
  <si>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</si>
  <si>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</si>
  <si>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</si>
  <si>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</si>
  <si>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</si>
  <si>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</si>
  <si>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</si>
  <si>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</si>
  <si>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</si>
  <si>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</si>
  <si>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</si>
  <si>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</si>
  <si>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</si>
  <si>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</si>
  <si>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</si>
  <si>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</si>
  <si>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</si>
  <si>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</si>
  <si>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</si>
  <si>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</si>
  <si>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</si>
  <si>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</si>
  <si>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</si>
  <si>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</si>
  <si>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</si>
  <si>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</si>
  <si>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</si>
  <si>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</si>
  <si>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</si>
  <si>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</si>
  <si>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</si>
  <si>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</si>
  <si>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</si>
  <si>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</si>
  <si>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</si>
  <si>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</si>
  <si>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</si>
  <si>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</si>
  <si>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</si>
  <si>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</si>
  <si>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</si>
  <si>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</si>
  <si>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</si>
  <si>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</si>
  <si>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</si>
  <si>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</si>
  <si>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</si>
  <si>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</si>
  <si>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</si>
  <si>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</si>
  <si>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</si>
  <si>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</si>
  <si>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</si>
  <si>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</si>
  <si>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</si>
  <si>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</si>
  <si>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</si>
  <si>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</si>
  <si>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</si>
  <si>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</si>
  <si>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</si>
  <si>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</si>
  <si>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</si>
  <si>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</si>
  <si>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</si>
  <si>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</si>
  <si>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</si>
  <si>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</si>
  <si>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</si>
  <si>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</si>
  <si>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</si>
  <si>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</si>
  <si>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</si>
  <si>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</si>
  <si>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</si>
  <si>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</si>
  <si>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</si>
  <si>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</si>
  <si>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</si>
  <si>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</si>
  <si>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MSN121014</t>
  </si>
  <si>
    <t>2251.1.5</t>
  </si>
  <si>
    <t>1.6</t>
  </si>
  <si>
    <t>MSN121015</t>
  </si>
  <si>
    <t>2251.1.6</t>
  </si>
  <si>
    <t>1.7</t>
  </si>
  <si>
    <t>TD2333121</t>
  </si>
  <si>
    <t>2251.1.7</t>
  </si>
  <si>
    <t>1.8</t>
  </si>
  <si>
    <t>TD2338134</t>
  </si>
  <si>
    <t>2251.1.8</t>
  </si>
  <si>
    <t>1.9</t>
  </si>
  <si>
    <t>TD2338137</t>
  </si>
  <si>
    <t>2251.1.9</t>
  </si>
  <si>
    <t>1.10</t>
  </si>
  <si>
    <t>VHM121024</t>
  </si>
  <si>
    <t>2251.1.10</t>
  </si>
  <si>
    <t>1.11</t>
  </si>
  <si>
    <t>VHM121025</t>
  </si>
  <si>
    <t>2251.1.11</t>
  </si>
  <si>
    <t>1.12</t>
  </si>
  <si>
    <t>VND122013</t>
  </si>
  <si>
    <t>2251.1.12</t>
  </si>
  <si>
    <t>1.13</t>
  </si>
  <si>
    <t>VND122014</t>
  </si>
  <si>
    <t>2251.1.13</t>
  </si>
  <si>
    <t>2</t>
  </si>
  <si>
    <t>Trái phiếu chưa niêm yết
Unlisted Bonds</t>
  </si>
  <si>
    <t>2251.2</t>
  </si>
  <si>
    <t>2.1</t>
  </si>
  <si>
    <t>KDH TRADING &amp; INV JSC 12% 14/06/2025</t>
  </si>
  <si>
    <t>2251.2.1</t>
  </si>
  <si>
    <t>2.2</t>
  </si>
  <si>
    <t>KDH TRADING &amp; INV JSC 12% 23/08/2025</t>
  </si>
  <si>
    <t>2251.2.2</t>
  </si>
  <si>
    <t>2.3</t>
  </si>
  <si>
    <t>PDR BOND 12 PCT 02 DEC 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</si>
  <si>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</si>
  <si>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</si>
  <si>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</si>
  <si>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</si>
  <si>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</si>
  <si>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</si>
  <si>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</si>
  <si>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</si>
  <si>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</si>
  <si>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</si>
  <si>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</si>
  <si>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</si>
  <si>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</si>
  <si>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</si>
  <si>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</si>
  <si>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</si>
  <si>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</si>
  <si>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</si>
  <si>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</si>
  <si>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</si>
  <si>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</si>
  <si>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</si>
  <si>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</si>
  <si>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</si>
  <si>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</si>
  <si>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</si>
  <si>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</si>
  <si>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</si>
  <si>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</si>
  <si>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</si>
  <si>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</si>
  <si>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</si>
  <si>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</si>
  <si>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</si>
  <si>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</si>
  <si>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</si>
  <si>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</si>
  <si>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</si>
  <si>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</si>
  <si>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</si>
  <si>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</si>
  <si>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</si>
  <si>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</si>
  <si>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</si>
  <si>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</si>
  <si>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</si>
  <si>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</si>
  <si>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</si>
  <si>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</si>
  <si>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</si>
  <si>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</si>
  <si>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</si>
  <si>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</si>
  <si>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</si>
  <si>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</si>
  <si>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</si>
  <si>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</si>
  <si>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</si>
  <si>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</si>
  <si>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</si>
  <si>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</si>
  <si>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</si>
  <si>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</si>
  <si>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</si>
  <si>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</si>
  <si>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</si>
  <si>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</si>
  <si>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</si>
  <si>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</si>
  <si>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</si>
  <si>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</si>
  <si>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</si>
  <si>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</si>
  <si>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</si>
  <si>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</si>
  <si>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</si>
  <si>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</si>
  <si>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</si>
  <si>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</si>
  <si>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</si>
  <si>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</si>
  <si>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</si>
  <si>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</si>
  <si>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</si>
  <si>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</si>
  <si>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</si>
  <si>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</si>
  <si>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</si>
  <si>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</si>
  <si>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</si>
  <si>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</si>
  <si>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</si>
  <si>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</si>
  <si>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</si>
  <si>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</si>
  <si>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</si>
  <si>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</si>
  <si>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</si>
  <si>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</si>
  <si>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</si>
  <si>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</si>
  <si>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</si>
  <si>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</si>
  <si>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</si>
  <si>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</si>
  <si>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</si>
  <si>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</si>
  <si>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</si>
  <si>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</si>
  <si>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</si>
  <si>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</si>
  <si>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</si>
  <si>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</si>
  <si>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</si>
  <si>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</si>
  <si>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</si>
  <si>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</si>
  <si>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</si>
  <si>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</si>
  <si>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</si>
  <si>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</si>
  <si>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</si>
  <si>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</si>
  <si>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</si>
  <si>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</si>
  <si>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</si>
  <si>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</si>
  <si>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</si>
  <si>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</si>
  <si>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</si>
  <si>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</si>
  <si>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</si>
  <si>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</si>
  <si>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</si>
  <si>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</si>
  <si>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</si>
  <si>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</si>
  <si>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</si>
  <si>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</si>
  <si>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</si>
  <si>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</si>
  <si>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</si>
  <si>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</si>
  <si>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</si>
  <si>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</si>
  <si>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</si>
  <si>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</si>
  <si>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</si>
  <si>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</si>
  <si>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</si>
  <si>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</si>
  <si>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</si>
  <si>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</si>
  <si>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</si>
  <si>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</si>
  <si>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</si>
  <si>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</si>
  <si>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</si>
  <si>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</si>
  <si>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</si>
  <si>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</si>
  <si>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</si>
  <si>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</si>
  <si>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</si>
  <si>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</si>
  <si>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</si>
  <si>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</si>
  <si>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</si>
  <si>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</si>
  <si>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</si>
  <si>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</si>
  <si>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</si>
  <si>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</si>
  <si>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</si>
  <si>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</si>
  <si>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</si>
  <si>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</si>
  <si>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</si>
  <si>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</si>
  <si>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</si>
  <si>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</si>
  <si>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</si>
  <si>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</si>
  <si>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</si>
  <si>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</si>
  <si>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</si>
  <si>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</si>
  <si>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</si>
  <si>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</si>
  <si>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</si>
  <si>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</si>
  <si>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</si>
  <si>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</si>
  <si>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</si>
  <si>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</si>
  <si>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</si>
  <si>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</si>
  <si>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</si>
  <si>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</si>
  <si>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</si>
  <si>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</si>
  <si>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</si>
  <si>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</si>
  <si>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</si>
  <si>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</si>
  <si>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</si>
  <si>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</si>
  <si>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</si>
  <si>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</si>
  <si>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</si>
  <si>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</si>
  <si>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</si>
  <si>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</si>
  <si>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</si>
  <si>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</si>
  <si>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</si>
  <si>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</si>
  <si>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</si>
  <si>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</si>
  <si>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</si>
  <si>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</si>
  <si>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</si>
  <si>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</si>
  <si>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</si>
  <si>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</si>
  <si>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</si>
  <si>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</si>
  <si>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</si>
  <si>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</si>
  <si>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</si>
  <si>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</si>
  <si>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</si>
  <si>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</si>
  <si>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</si>
  <si>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</si>
  <si>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</si>
  <si>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</si>
  <si>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</si>
  <si>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</si>
  <si>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</si>
  <si>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</si>
  <si>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</si>
  <si>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</si>
  <si>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</si>
  <si>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</si>
  <si>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</si>
  <si>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</si>
  <si>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</si>
  <si>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</si>
  <si>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</si>
  <si>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</si>
  <si>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</si>
  <si>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</si>
  <si>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</si>
  <si>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</si>
  <si>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</si>
  <si>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</si>
  <si>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</si>
  <si>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</si>
  <si>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</si>
  <si>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</si>
  <si>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</si>
  <si>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</si>
  <si>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</si>
  <si>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</si>
  <si>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</si>
  <si>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</si>
  <si>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</si>
  <si>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</si>
  <si>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</si>
  <si>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</si>
  <si>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</si>
  <si>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</si>
  <si>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</si>
  <si>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</si>
  <si>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</si>
  <si>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</si>
  <si>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</si>
  <si>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</si>
  <si>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</si>
  <si>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</si>
  <si>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</si>
  <si>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</si>
  <si>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</si>
  <si>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</si>
  <si>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</si>
  <si>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</si>
  <si>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</si>
  <si>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</si>
  <si>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</si>
  <si>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</si>
  <si>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</si>
  <si>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</si>
  <si>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</si>
  <si>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</si>
  <si>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</si>
  <si>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</si>
  <si>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</si>
  <si>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</si>
  <si>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</si>
  <si>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</si>
  <si>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</si>
  <si>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</si>
  <si>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</si>
  <si>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</si>
  <si>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</si>
  <si>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</si>
  <si>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</si>
  <si>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</si>
  <si>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</si>
  <si>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</si>
  <si>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</si>
  <si>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</si>
  <si>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</si>
  <si>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</si>
  <si>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</si>
  <si>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</si>
  <si>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</si>
  <si>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</si>
  <si>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</si>
  <si>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</si>
  <si>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</si>
  <si>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</si>
  <si>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</si>
  <si>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</si>
  <si>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</si>
  <si>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</si>
  <si>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</si>
  <si>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</si>
  <si>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</si>
  <si>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</si>
  <si>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</si>
  <si>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</si>
  <si>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</si>
  <si>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</si>
  <si>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</si>
  <si>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</si>
  <si>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</si>
  <si>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</si>
  <si>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</si>
  <si>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</si>
  <si>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</si>
  <si>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</si>
  <si>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</si>
  <si>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</si>
  <si>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</si>
  <si>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</si>
  <si>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</si>
  <si>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</si>
  <si>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</si>
  <si>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</si>
  <si>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</si>
  <si>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</si>
  <si>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</si>
  <si>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</si>
  <si>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</si>
  <si>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</si>
  <si>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</si>
  <si>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</si>
  <si>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</si>
  <si>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</si>
  <si>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</si>
  <si>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</si>
  <si>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</si>
  <si>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</si>
  <si>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</si>
  <si>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</si>
  <si>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</si>
  <si>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</si>
  <si>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</si>
  <si>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</si>
  <si>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</si>
  <si>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</si>
  <si>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</si>
  <si>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</si>
  <si>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</si>
  <si>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</si>
  <si>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</si>
  <si>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</si>
  <si>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</si>
  <si>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</si>
  <si>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</si>
  <si>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</si>
  <si>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</si>
  <si>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</si>
  <si>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</si>
  <si>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</si>
  <si>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</si>
  <si>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</si>
  <si>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</si>
  <si>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</si>
  <si>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</si>
  <si>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</si>
  <si>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</si>
  <si>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</si>
  <si>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</si>
  <si>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</si>
  <si>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</si>
  <si>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</si>
  <si>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</si>
  <si>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</si>
  <si>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</si>
  <si>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</si>
  <si>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</si>
  <si>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</si>
  <si>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</si>
  <si>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</si>
  <si>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</si>
  <si>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</si>
  <si>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</si>
  <si>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</si>
  <si>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</si>
  <si>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</si>
  <si>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</si>
  <si>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</si>
  <si>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</si>
  <si>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</si>
  <si>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</si>
  <si>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</si>
  <si>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</si>
  <si>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</si>
  <si>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</si>
  <si>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</si>
  <si>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</si>
  <si>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</si>
  <si>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</si>
  <si>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</si>
  <si>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</si>
  <si>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</si>
  <si>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</si>
  <si>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</si>
  <si>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</si>
  <si>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</si>
  <si>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</si>
  <si>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2023
/ As at 30 Nov 2023</t>
  </si>
  <si>
    <t>Tháng 11 năm 2023
/ Nov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</si>
  <si>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</si>
  <si>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</si>
  <si>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</si>
  <si>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</si>
  <si>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12 năm 2023</t>
  </si>
  <si>
    <t>04 Dec 2023</t>
  </si>
  <si>
    <t>Vũ Quang Phan</t>
  </si>
  <si>
    <t>Phó phòng Dịch vụ Giám sát Quỹ</t>
  </si>
  <si>
    <t>Ngày 30 tháng 11 năm 2023
 As at 30 Nov 2023</t>
  </si>
  <si>
    <t>Ngày 31 tháng 10 năm 2023
 As at 31 Oct 2023</t>
  </si>
  <si>
    <t>Tháng 11 năm 2023
Nov 2023</t>
  </si>
  <si>
    <t>Tháng 10 năm 2023
Oct 2023</t>
  </si>
  <si>
    <t>Năm 2023
Year 2023</t>
  </si>
  <si>
    <t>Năm 2022
Year 2022</t>
  </si>
  <si>
    <t>Tháng 11 năm 2022
Nov 2022</t>
  </si>
  <si>
    <t>Nguyễn Kiều Trúc Ly</t>
  </si>
  <si>
    <t>Ninh Thị Tuệ Minh</t>
  </si>
  <si>
    <t>Kế toán Quỹ</t>
  </si>
  <si>
    <t>Trưởng phòng Kế toán Quỹ</t>
  </si>
  <si>
    <t>Lê Hoàng Anh</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</si>
  <si>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</si>
  <si>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</si>
  <si>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DC Income Plus Bond Fund(DCIP)</t>
  </si>
  <si>
    <t>__________________________________________________</t>
  </si>
  <si>
    <t>__________________________________________________                    ___________________________________         ____________________________________________________</t>
  </si>
  <si>
    <t xml:space="preserve">                                  Người lập:</t>
  </si>
  <si>
    <t xml:space="preserve">                         Người duyệt:</t>
  </si>
  <si>
    <t xml:space="preserve">                           Nguyễn Kiều Trúc Ly                                                                 Ninh Thị Tuệ Minh                                              Lê Hoàng Anh</t>
  </si>
  <si>
    <t>Quyền giám đốc Nghiệp vụ hỗ trợ đầu tư</t>
  </si>
  <si>
    <t xml:space="preserve">                                Kế toán Quỹ                                                                         Trưởng phòng Kế toán Quỹ                           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</si>
</sst>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2"/>
      <color theme="1"/>
      <name val="Tahoma"/>
      <family val="2"/>
    </font>
    <font>
      <b/>
      <sz val="12"/>
      <name val="Tahoma"/>
      <family val="2"/>
    </font>
    <font>
      <sz val="12"/>
      <name val="Tahoma"/>
      <family val="2"/>
    </font>
    <font>
      <i/>
      <sz val="12"/>
      <name val="Tahoma"/>
      <family val="2"/>
    </font>
    <font>
      <b/>
      <sz val="12"/>
      <color indexed="30"/>
      <name val="Tahoma"/>
      <family val="2"/>
    </font>
    <font>
      <b/>
      <sz val="12"/>
      <color theme="1"/>
      <name val="Tahoma"/>
      <family val="2"/>
    </font>
    <font>
      <b/>
      <sz val="12"/>
      <color indexed="8"/>
      <name val="Tahoma"/>
      <family val="2"/>
    </font>
    <font>
      <b/>
      <sz val="12"/>
      <color rgb="FF0070C0"/>
      <name val="Tahoma"/>
      <family val="2"/>
    </font>
    <font>
      <sz val="12"/>
      <color theme="1" tint="4.9989318521683403E-2"/>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sz val="12"/>
      <color theme="1"/>
      <name val="Arial"/>
      <family val="2"/>
    </font>
    <font>
      <sz val="12"/>
      <name val="Arial"/>
      <family val="2"/>
    </font>
    <font>
      <b/>
      <sz val="12"/>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8">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17" fillId="3" borderId="0" xfId="0" applyFont="1" applyFill="1"/>
    <xf numFmtId="0" fontId="15" fillId="3" borderId="0" xfId="0" applyFont="1" applyFill="1" applyAlignment="1">
      <alignment vertical="center"/>
    </xf>
    <xf numFmtId="0" fontId="15" fillId="3" borderId="0" xfId="0" applyFont="1" applyFill="1"/>
    <xf numFmtId="0" fontId="17" fillId="3" borderId="0" xfId="0"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16" fillId="3" borderId="0" xfId="16" applyFont="1" applyFill="1" applyAlignment="1">
      <alignment horizontal="center" vertical="center"/>
    </xf>
    <xf numFmtId="0" fontId="16" fillId="3" borderId="0" xfId="16" applyFont="1" applyFill="1" applyAlignment="1">
      <alignment vertical="center"/>
    </xf>
    <xf numFmtId="0" fontId="16" fillId="2" borderId="9" xfId="6" applyNumberFormat="1" applyFont="1" applyFill="1" applyBorder="1" applyAlignment="1" applyProtection="1">
      <alignment horizontal="center" vertical="center" wrapText="1"/>
    </xf>
    <xf numFmtId="0" fontId="16" fillId="2" borderId="9" xfId="6" applyFont="1" applyFill="1" applyBorder="1" applyAlignment="1" applyProtection="1">
      <alignment horizontal="center" vertical="center" wrapText="1"/>
    </xf>
    <xf numFmtId="165" fontId="16" fillId="2" borderId="9" xfId="7" applyNumberFormat="1" applyFont="1" applyFill="1" applyBorder="1" applyAlignment="1" applyProtection="1">
      <alignment horizontal="center" vertical="center" wrapText="1"/>
      <protection locked="0"/>
    </xf>
    <xf numFmtId="165" fontId="16" fillId="2" borderId="9" xfId="10" applyNumberFormat="1" applyFont="1" applyFill="1" applyBorder="1" applyAlignment="1" applyProtection="1">
      <alignment horizontal="center" vertical="center" wrapText="1"/>
    </xf>
    <xf numFmtId="0" fontId="16" fillId="14" borderId="24" xfId="0" applyNumberFormat="1" applyFont="1" applyFill="1" applyBorder="1" applyAlignment="1" applyProtection="1">
      <alignment horizontal="center" vertical="center" wrapText="1"/>
      <protection locked="0"/>
    </xf>
    <xf numFmtId="0" fontId="16" fillId="13" borderId="23" xfId="0" applyNumberFormat="1" applyFont="1" applyFill="1" applyBorder="1" applyAlignment="1" applyProtection="1">
      <alignment horizontal="left" vertical="center" wrapText="1"/>
      <protection locked="0"/>
    </xf>
    <xf numFmtId="165" fontId="16" fillId="16" borderId="26" xfId="0" applyNumberFormat="1" applyFont="1" applyFill="1" applyBorder="1" applyAlignment="1" applyProtection="1">
      <alignment horizontal="right" vertical="center" wrapText="1"/>
      <protection locked="0"/>
    </xf>
    <xf numFmtId="10" fontId="16" fillId="15" borderId="25" xfId="0" applyNumberFormat="1" applyFont="1" applyFill="1" applyBorder="1" applyAlignment="1" applyProtection="1">
      <alignment horizontal="right" vertical="center" wrapText="1"/>
      <protection locked="0"/>
    </xf>
    <xf numFmtId="4" fontId="17" fillId="9" borderId="19" xfId="0" applyNumberFormat="1" applyFont="1" applyFill="1" applyBorder="1" applyAlignment="1" applyProtection="1">
      <alignment horizontal="center" vertical="center" wrapText="1"/>
      <protection locked="0"/>
    </xf>
    <xf numFmtId="4" fontId="17" fillId="8" borderId="18" xfId="0" applyNumberFormat="1" applyFont="1" applyFill="1" applyBorder="1" applyAlignment="1" applyProtection="1">
      <alignment horizontal="left" vertical="center" wrapText="1"/>
      <protection locked="0"/>
    </xf>
    <xf numFmtId="165" fontId="17" fillId="12" borderId="22" xfId="0" applyNumberFormat="1" applyFont="1" applyFill="1" applyBorder="1" applyAlignment="1" applyProtection="1">
      <alignment horizontal="right" vertical="center" wrapText="1"/>
      <protection locked="0"/>
    </xf>
    <xf numFmtId="10" fontId="17" fillId="11" borderId="21" xfId="0" applyNumberFormat="1" applyFont="1" applyFill="1" applyBorder="1" applyAlignment="1" applyProtection="1">
      <alignment horizontal="right" vertical="center" wrapText="1"/>
      <protection locked="0"/>
    </xf>
    <xf numFmtId="43" fontId="17" fillId="17" borderId="27"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17" fillId="3" borderId="0" xfId="0" applyFont="1" applyFill="1" applyAlignment="1">
      <alignment horizontal="left" vertical="center"/>
    </xf>
    <xf numFmtId="0" fontId="18" fillId="3" borderId="0" xfId="1" applyNumberFormat="1" applyFont="1" applyFill="1" applyBorder="1" applyAlignment="1">
      <alignment vertical="center"/>
    </xf>
    <xf numFmtId="0" fontId="18" fillId="3" borderId="0" xfId="0" applyFont="1" applyFill="1" applyAlignment="1">
      <alignment horizontal="left" vertical="center"/>
    </xf>
    <xf numFmtId="0" fontId="18" fillId="3" borderId="0" xfId="0" applyFont="1" applyFill="1"/>
    <xf numFmtId="0" fontId="17" fillId="3" borderId="8" xfId="0" applyFont="1" applyFill="1" applyBorder="1" applyAlignment="1">
      <alignment horizontal="left" vertical="center"/>
    </xf>
    <xf numFmtId="0" fontId="17" fillId="3" borderId="0" xfId="0" applyFont="1" applyFill="1" applyBorder="1" applyAlignment="1">
      <alignment horizontal="left" vertical="center"/>
    </xf>
    <xf numFmtId="0" fontId="16" fillId="3" borderId="5" xfId="0" applyFont="1" applyFill="1" applyBorder="1" applyAlignment="1">
      <alignment horizontal="left" vertical="center"/>
    </xf>
    <xf numFmtId="0" fontId="17" fillId="3" borderId="5" xfId="0" applyFont="1" applyFill="1" applyBorder="1" applyAlignment="1">
      <alignment horizontal="left" vertical="center"/>
    </xf>
    <xf numFmtId="0" fontId="17" fillId="3" borderId="0" xfId="0" applyFont="1" applyFill="1" applyBorder="1"/>
    <xf numFmtId="0" fontId="16" fillId="3" borderId="0" xfId="0" applyFont="1" applyFill="1" applyBorder="1" applyAlignment="1">
      <alignment horizontal="left" vertical="center"/>
    </xf>
    <xf numFmtId="0" fontId="19" fillId="3" borderId="0" xfId="0" applyFont="1" applyFill="1" applyBorder="1" applyAlignment="1">
      <alignment horizontal="left" vertical="center" wrapText="1"/>
    </xf>
    <xf numFmtId="0" fontId="15" fillId="0" borderId="0" xfId="0" applyFont="1" applyFill="1" applyAlignment="1">
      <alignment vertical="center"/>
    </xf>
    <xf numFmtId="0" fontId="19" fillId="3" borderId="0" xfId="0" applyFont="1" applyFill="1" applyBorder="1" applyAlignment="1">
      <alignment horizontal="left" vertical="center"/>
    </xf>
    <xf numFmtId="0" fontId="20" fillId="3" borderId="0" xfId="2" applyFont="1" applyFill="1" applyAlignment="1">
      <alignment horizontal="center" vertical="center"/>
    </xf>
    <xf numFmtId="0" fontId="20" fillId="3" borderId="0" xfId="2" applyFont="1" applyFill="1" applyAlignment="1">
      <alignment vertical="center"/>
    </xf>
    <xf numFmtId="0" fontId="16" fillId="7" borderId="9" xfId="14"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9" xfId="0" applyFont="1" applyFill="1" applyBorder="1" applyAlignment="1">
      <alignment horizontal="center" vertical="center"/>
    </xf>
    <xf numFmtId="49" fontId="16" fillId="7" borderId="9" xfId="14" applyNumberFormat="1" applyFont="1" applyFill="1" applyBorder="1" applyAlignment="1">
      <alignment horizontal="left" vertical="center" wrapText="1"/>
    </xf>
    <xf numFmtId="49" fontId="16" fillId="7" borderId="9" xfId="14" applyNumberFormat="1" applyFont="1" applyFill="1" applyBorder="1" applyAlignment="1">
      <alignment horizontal="center" vertical="center" wrapText="1"/>
    </xf>
    <xf numFmtId="41" fontId="16" fillId="7" borderId="9" xfId="22" applyNumberFormat="1" applyFont="1" applyFill="1" applyBorder="1" applyAlignment="1">
      <alignment horizontal="left" vertical="center"/>
    </xf>
    <xf numFmtId="0" fontId="20" fillId="0" borderId="0" xfId="0" applyFont="1" applyFill="1" applyAlignment="1">
      <alignment vertical="center"/>
    </xf>
    <xf numFmtId="0" fontId="17" fillId="5" borderId="9" xfId="15" applyFont="1" applyBorder="1" applyAlignment="1">
      <alignment horizontal="center" vertical="center"/>
    </xf>
    <xf numFmtId="49" fontId="17" fillId="5" borderId="9" xfId="14" applyNumberFormat="1" applyFont="1" applyBorder="1" applyAlignment="1">
      <alignment horizontal="left" vertical="center" wrapText="1"/>
    </xf>
    <xf numFmtId="49" fontId="17" fillId="5" borderId="9" xfId="14" applyNumberFormat="1" applyFont="1" applyBorder="1" applyAlignment="1">
      <alignment horizontal="center" vertical="center" wrapText="1"/>
    </xf>
    <xf numFmtId="41" fontId="17" fillId="5" borderId="9" xfId="22" applyNumberFormat="1" applyFont="1" applyBorder="1" applyAlignment="1">
      <alignment vertical="center"/>
    </xf>
    <xf numFmtId="0" fontId="17" fillId="0" borderId="9" xfId="0" applyFont="1" applyBorder="1" applyAlignment="1">
      <alignment horizontal="left"/>
    </xf>
    <xf numFmtId="41" fontId="17" fillId="0" borderId="9" xfId="0" applyNumberFormat="1" applyFont="1" applyBorder="1" applyAlignment="1">
      <alignment horizontal="left" vertical="center"/>
    </xf>
    <xf numFmtId="41" fontId="17" fillId="0" borderId="9" xfId="0" applyNumberFormat="1" applyFont="1" applyBorder="1" applyAlignment="1" applyProtection="1">
      <alignment horizontal="left" vertical="center"/>
    </xf>
    <xf numFmtId="0" fontId="18" fillId="5" borderId="9" xfId="15" applyFont="1" applyBorder="1" applyAlignment="1">
      <alignment horizontal="center" vertical="center"/>
    </xf>
    <xf numFmtId="49" fontId="18" fillId="5" borderId="9" xfId="14" applyNumberFormat="1" applyFont="1" applyBorder="1" applyAlignment="1">
      <alignment horizontal="left" vertical="center" wrapText="1"/>
    </xf>
    <xf numFmtId="49" fontId="18" fillId="5" borderId="9" xfId="14" applyNumberFormat="1" applyFont="1" applyBorder="1" applyAlignment="1">
      <alignment horizontal="center" vertical="center" wrapText="1"/>
    </xf>
    <xf numFmtId="0" fontId="18" fillId="3" borderId="9" xfId="15" applyFont="1" applyFill="1" applyBorder="1" applyAlignment="1">
      <alignment horizontal="center" vertical="center"/>
    </xf>
    <xf numFmtId="49" fontId="18" fillId="3" borderId="9" xfId="14" applyNumberFormat="1" applyFont="1" applyFill="1" applyBorder="1" applyAlignment="1">
      <alignment horizontal="left" vertical="center" wrapText="1"/>
    </xf>
    <xf numFmtId="49" fontId="18" fillId="3" borderId="9" xfId="14" applyNumberFormat="1" applyFont="1" applyFill="1" applyBorder="1" applyAlignment="1">
      <alignment horizontal="center" vertical="center" wrapText="1"/>
    </xf>
    <xf numFmtId="41" fontId="16" fillId="7" borderId="9" xfId="22" applyNumberFormat="1" applyFont="1" applyFill="1" applyBorder="1" applyAlignment="1">
      <alignment vertical="center"/>
    </xf>
    <xf numFmtId="0" fontId="17" fillId="3" borderId="9" xfId="15" applyFont="1" applyFill="1" applyBorder="1" applyAlignment="1">
      <alignment horizontal="center" vertical="center"/>
    </xf>
    <xf numFmtId="0" fontId="17" fillId="5" borderId="9" xfId="14" applyFont="1" applyBorder="1" applyAlignment="1">
      <alignment horizontal="left" vertical="center" wrapText="1"/>
    </xf>
    <xf numFmtId="0" fontId="18" fillId="5" borderId="9" xfId="14" applyFont="1" applyBorder="1" applyAlignment="1">
      <alignment horizontal="left" vertical="center" wrapText="1"/>
    </xf>
    <xf numFmtId="0" fontId="18" fillId="0" borderId="9" xfId="4" applyFont="1" applyBorder="1" applyAlignment="1">
      <alignment horizontal="left" vertical="center" wrapText="1"/>
    </xf>
    <xf numFmtId="0" fontId="16" fillId="7" borderId="9" xfId="15" applyFont="1" applyFill="1" applyBorder="1" applyAlignment="1">
      <alignment horizontal="center" vertical="center"/>
    </xf>
    <xf numFmtId="0" fontId="24" fillId="0" borderId="0" xfId="0" applyFont="1" applyFill="1" applyAlignment="1">
      <alignment vertical="center"/>
    </xf>
    <xf numFmtId="0" fontId="17" fillId="0" borderId="9" xfId="0" applyFont="1" applyBorder="1" applyAlignment="1">
      <alignment horizontal="center" vertical="center"/>
    </xf>
    <xf numFmtId="0" fontId="20" fillId="3" borderId="5" xfId="0" applyFont="1" applyFill="1" applyBorder="1" applyAlignment="1">
      <alignment vertical="center"/>
    </xf>
    <xf numFmtId="0" fontId="15" fillId="3" borderId="5" xfId="0" applyFont="1" applyFill="1" applyBorder="1" applyAlignment="1">
      <alignment vertical="center"/>
    </xf>
    <xf numFmtId="0" fontId="20" fillId="3" borderId="0" xfId="0" applyFont="1" applyFill="1" applyAlignment="1">
      <alignment vertical="center"/>
    </xf>
    <xf numFmtId="0" fontId="15" fillId="0" borderId="0" xfId="0" applyFont="1" applyFill="1"/>
    <xf numFmtId="0" fontId="20" fillId="2" borderId="9" xfId="0" applyFont="1" applyFill="1" applyBorder="1" applyAlignment="1">
      <alignment horizontal="center" vertical="center" wrapText="1"/>
    </xf>
    <xf numFmtId="0" fontId="17" fillId="10" borderId="20" xfId="0" applyNumberFormat="1" applyFont="1" applyFill="1" applyBorder="1" applyAlignment="1" applyProtection="1">
      <alignment horizontal="center" vertical="center" wrapText="1"/>
      <protection locked="0"/>
    </xf>
    <xf numFmtId="37" fontId="17" fillId="18" borderId="28" xfId="0" applyNumberFormat="1" applyFont="1" applyFill="1" applyBorder="1" applyAlignment="1" applyProtection="1">
      <alignment horizontal="right" vertical="center" wrapText="1"/>
      <protection locked="0"/>
    </xf>
    <xf numFmtId="165" fontId="17" fillId="0" borderId="22" xfId="0" applyNumberFormat="1" applyFont="1" applyFill="1" applyBorder="1" applyAlignment="1" applyProtection="1">
      <alignment horizontal="right" vertical="center" wrapText="1"/>
      <protection locked="0"/>
    </xf>
    <xf numFmtId="10" fontId="17" fillId="0" borderId="21"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15" fillId="3" borderId="0" xfId="0" applyFont="1" applyFill="1" applyBorder="1" applyAlignment="1">
      <alignment vertical="center"/>
    </xf>
    <xf numFmtId="0" fontId="16" fillId="3" borderId="5" xfId="1" applyNumberFormat="1" applyFont="1" applyFill="1" applyBorder="1" applyAlignment="1">
      <alignment vertical="center"/>
    </xf>
    <xf numFmtId="0" fontId="16" fillId="3" borderId="0" xfId="1" applyNumberFormat="1" applyFont="1" applyFill="1" applyBorder="1" applyAlignment="1">
      <alignment vertical="center"/>
    </xf>
    <xf numFmtId="0" fontId="17" fillId="3" borderId="0" xfId="1" applyFont="1" applyFill="1" applyBorder="1" applyAlignment="1">
      <alignment vertical="center"/>
    </xf>
    <xf numFmtId="0" fontId="27" fillId="4" borderId="0" xfId="12" applyFont="1" applyFill="1" applyAlignment="1">
      <alignment vertical="center"/>
    </xf>
    <xf numFmtId="0" fontId="27" fillId="4" borderId="0" xfId="12" applyFont="1" applyFill="1"/>
    <xf numFmtId="0" fontId="18" fillId="3" borderId="0" xfId="11" applyFont="1" applyFill="1" applyAlignment="1">
      <alignment horizontal="center" vertical="center"/>
    </xf>
    <xf numFmtId="0" fontId="17" fillId="3" borderId="0" xfId="11" applyFont="1" applyFill="1"/>
    <xf numFmtId="0" fontId="27" fillId="3" borderId="0" xfId="12" applyFont="1" applyFill="1"/>
    <xf numFmtId="0" fontId="25" fillId="3" borderId="0" xfId="11" applyFont="1" applyFill="1" applyAlignment="1">
      <alignment horizontal="left" vertical="top"/>
    </xf>
    <xf numFmtId="0" fontId="25" fillId="3" borderId="0" xfId="11" applyFont="1" applyFill="1" applyAlignment="1">
      <alignment horizontal="left" vertical="top" wrapText="1"/>
    </xf>
    <xf numFmtId="0" fontId="22" fillId="3" borderId="0" xfId="11" applyFont="1" applyFill="1" applyAlignment="1">
      <alignment horizontal="left" vertical="top"/>
    </xf>
    <xf numFmtId="0" fontId="17" fillId="3" borderId="0" xfId="11" applyFont="1" applyFill="1" applyAlignment="1">
      <alignment horizontal="left" vertical="top"/>
    </xf>
    <xf numFmtId="0" fontId="15" fillId="3" borderId="0" xfId="11" applyFont="1" applyFill="1" applyAlignment="1">
      <alignment horizontal="left" vertical="top"/>
    </xf>
    <xf numFmtId="0" fontId="15" fillId="3" borderId="0" xfId="12" applyFont="1" applyFill="1"/>
    <xf numFmtId="37" fontId="17" fillId="3" borderId="0" xfId="11" applyNumberFormat="1" applyFont="1" applyFill="1" applyAlignment="1">
      <alignment horizontal="left"/>
    </xf>
    <xf numFmtId="0" fontId="20" fillId="3" borderId="0" xfId="12" applyFont="1" applyFill="1" applyAlignment="1">
      <alignment horizontal="center"/>
    </xf>
    <xf numFmtId="0" fontId="20" fillId="3" borderId="0" xfId="12" applyFont="1" applyFill="1"/>
    <xf numFmtId="0" fontId="15" fillId="4" borderId="0" xfId="12" applyFont="1" applyFill="1"/>
    <xf numFmtId="0" fontId="16" fillId="6" borderId="16" xfId="0" applyFont="1" applyFill="1" applyBorder="1" applyAlignment="1">
      <alignment horizontal="center" vertical="center" wrapText="1"/>
    </xf>
    <xf numFmtId="0" fontId="20" fillId="3" borderId="0" xfId="11" applyFont="1" applyFill="1"/>
    <xf numFmtId="0" fontId="15" fillId="3" borderId="0" xfId="11" applyFont="1" applyFill="1"/>
    <xf numFmtId="165" fontId="15" fillId="3" borderId="0" xfId="13" applyNumberFormat="1" applyFont="1" applyFill="1" applyProtection="1">
      <protection locked="0"/>
    </xf>
    <xf numFmtId="165" fontId="20" fillId="3" borderId="0" xfId="13" applyNumberFormat="1" applyFont="1" applyFill="1" applyProtection="1">
      <protection locked="0"/>
    </xf>
    <xf numFmtId="0" fontId="27" fillId="0" borderId="0" xfId="0" applyFont="1"/>
    <xf numFmtId="0" fontId="24" fillId="3" borderId="0" xfId="11" applyFont="1" applyFill="1"/>
    <xf numFmtId="165" fontId="24" fillId="3" borderId="0" xfId="13" applyNumberFormat="1" applyFont="1" applyFill="1" applyProtection="1">
      <protection locked="0"/>
    </xf>
    <xf numFmtId="0" fontId="27" fillId="3" borderId="0" xfId="12" applyFont="1" applyFill="1" applyAlignment="1">
      <alignment horizontal="center"/>
    </xf>
    <xf numFmtId="0" fontId="20" fillId="3" borderId="5" xfId="17" applyFont="1" applyFill="1" applyBorder="1" applyAlignment="1">
      <alignment vertical="center"/>
    </xf>
    <xf numFmtId="0" fontId="15" fillId="3" borderId="5" xfId="12" applyFont="1" applyFill="1" applyBorder="1"/>
    <xf numFmtId="0" fontId="20" fillId="3" borderId="5" xfId="12" applyFont="1" applyFill="1" applyBorder="1"/>
    <xf numFmtId="0" fontId="20" fillId="3" borderId="0" xfId="12" applyFont="1" applyFill="1" applyAlignment="1"/>
    <xf numFmtId="0" fontId="15" fillId="3" borderId="0" xfId="12" applyFont="1" applyFill="1" applyAlignment="1"/>
    <xf numFmtId="0" fontId="15" fillId="3" borderId="0" xfId="12" applyFont="1" applyFill="1" applyAlignment="1">
      <alignment horizontal="center"/>
    </xf>
    <xf numFmtId="0" fontId="27" fillId="4" borderId="0" xfId="12" applyFont="1" applyFill="1" applyAlignment="1">
      <alignment horizontal="center"/>
    </xf>
    <xf numFmtId="0" fontId="27" fillId="3" borderId="0" xfId="0" applyFont="1" applyFill="1"/>
    <xf numFmtId="0" fontId="27" fillId="3" borderId="8" xfId="12" applyFont="1" applyFill="1" applyBorder="1"/>
    <xf numFmtId="0" fontId="20" fillId="0" borderId="0" xfId="0" applyFont="1" applyFill="1" applyAlignment="1">
      <alignment wrapText="1"/>
    </xf>
    <xf numFmtId="0" fontId="24" fillId="0" borderId="0" xfId="0" applyFont="1" applyFill="1" applyAlignment="1">
      <alignment wrapText="1"/>
    </xf>
    <xf numFmtId="0" fontId="24" fillId="0" borderId="0" xfId="0" applyFont="1" applyFill="1" applyAlignment="1"/>
    <xf numFmtId="0" fontId="20" fillId="7" borderId="9" xfId="0" applyFont="1" applyFill="1" applyBorder="1" applyAlignment="1">
      <alignment horizontal="center" vertical="center" wrapText="1"/>
    </xf>
    <xf numFmtId="165" fontId="16" fillId="7" borderId="16" xfId="0" applyNumberFormat="1" applyFont="1" applyFill="1" applyBorder="1" applyAlignment="1">
      <alignment horizontal="center" vertical="center" wrapText="1"/>
    </xf>
    <xf numFmtId="49" fontId="20" fillId="3" borderId="9" xfId="0" applyNumberFormat="1" applyFont="1" applyFill="1" applyBorder="1" applyAlignment="1">
      <alignment horizontal="center" vertical="center"/>
    </xf>
    <xf numFmtId="49" fontId="20" fillId="3" borderId="9" xfId="0" applyNumberFormat="1" applyFont="1" applyFill="1" applyBorder="1" applyAlignment="1">
      <alignment horizontal="left" vertical="center" wrapText="1"/>
    </xf>
    <xf numFmtId="49" fontId="20" fillId="3" borderId="9" xfId="15" applyNumberFormat="1" applyFont="1" applyFill="1" applyBorder="1" applyAlignment="1">
      <alignment horizontal="center" vertical="center" wrapText="1"/>
    </xf>
    <xf numFmtId="0" fontId="20" fillId="0" borderId="0" xfId="0" applyFont="1" applyFill="1"/>
    <xf numFmtId="49" fontId="15" fillId="3" borderId="9" xfId="0" applyNumberFormat="1" applyFont="1" applyFill="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3" fontId="17" fillId="3" borderId="15" xfId="7" applyFont="1" applyFill="1" applyBorder="1" applyAlignment="1" applyProtection="1">
      <alignment horizontal="right" vertical="center" wrapText="1"/>
      <protection locked="0"/>
    </xf>
    <xf numFmtId="43" fontId="16" fillId="3" borderId="15" xfId="7" applyFont="1" applyFill="1" applyBorder="1" applyAlignment="1" applyProtection="1">
      <alignment horizontal="right" vertical="center" wrapText="1"/>
      <protection locked="0"/>
    </xf>
    <xf numFmtId="41" fontId="17" fillId="3" borderId="15" xfId="7" applyNumberFormat="1" applyFont="1" applyFill="1" applyBorder="1" applyAlignment="1" applyProtection="1">
      <alignment horizontal="right" vertical="center" wrapText="1"/>
      <protection locked="0"/>
    </xf>
    <xf numFmtId="0" fontId="15" fillId="3" borderId="0" xfId="0" applyFont="1" applyFill="1" applyAlignment="1">
      <alignment horizontal="left" vertical="center" wrapText="1"/>
    </xf>
    <xf numFmtId="0" fontId="15" fillId="3" borderId="0" xfId="0" applyFont="1" applyFill="1" applyAlignment="1">
      <alignment horizontal="left" vertical="center"/>
    </xf>
    <xf numFmtId="0" fontId="24" fillId="3" borderId="0" xfId="0" applyFont="1" applyFill="1" applyAlignment="1">
      <alignment vertical="center"/>
    </xf>
    <xf numFmtId="0" fontId="24" fillId="0" borderId="0" xfId="0" applyFont="1" applyFill="1"/>
    <xf numFmtId="0" fontId="15" fillId="3" borderId="8" xfId="0" applyFont="1" applyFill="1" applyBorder="1" applyAlignment="1">
      <alignment vertical="center"/>
    </xf>
    <xf numFmtId="0" fontId="29" fillId="0" borderId="0" xfId="0" applyFont="1" applyFill="1"/>
    <xf numFmtId="0" fontId="15" fillId="3" borderId="0" xfId="0" applyFont="1" applyFill="1" applyAlignment="1">
      <alignment vertical="center" wrapText="1"/>
    </xf>
    <xf numFmtId="0" fontId="16" fillId="2" borderId="9" xfId="0" applyNumberFormat="1" applyFont="1" applyFill="1" applyBorder="1" applyAlignment="1" applyProtection="1">
      <alignment horizontal="center" vertical="center" wrapText="1"/>
    </xf>
    <xf numFmtId="49" fontId="16" fillId="2" borderId="9" xfId="0" applyNumberFormat="1" applyFont="1" applyFill="1" applyBorder="1" applyAlignment="1" applyProtection="1">
      <alignment horizontal="center" vertical="center" wrapText="1"/>
    </xf>
    <xf numFmtId="0" fontId="16" fillId="2" borderId="9" xfId="4" applyFont="1" applyFill="1" applyBorder="1" applyAlignment="1" applyProtection="1">
      <alignment horizontal="left" vertical="center" wrapText="1"/>
    </xf>
    <xf numFmtId="49" fontId="16" fillId="2" borderId="9" xfId="4" applyNumberFormat="1" applyFont="1" applyFill="1" applyBorder="1" applyAlignment="1" applyProtection="1">
      <alignment horizontal="center" vertical="center" wrapText="1"/>
    </xf>
    <xf numFmtId="0" fontId="17" fillId="2" borderId="9" xfId="4" applyNumberFormat="1" applyFont="1" applyFill="1" applyBorder="1" applyAlignment="1" applyProtection="1">
      <alignment horizontal="center" vertical="center" wrapText="1"/>
    </xf>
    <xf numFmtId="165" fontId="16" fillId="2" borderId="9" xfId="7" applyNumberFormat="1" applyFont="1" applyFill="1" applyBorder="1" applyAlignment="1" applyProtection="1">
      <alignment horizontal="right" vertical="center" wrapText="1"/>
      <protection locked="0"/>
    </xf>
    <xf numFmtId="0" fontId="31" fillId="0" borderId="0" xfId="0" applyFont="1" applyFill="1"/>
    <xf numFmtId="0" fontId="17" fillId="3" borderId="9" xfId="4" applyFont="1" applyFill="1" applyBorder="1" applyAlignment="1" applyProtection="1">
      <alignment horizontal="left" vertical="center" wrapText="1"/>
    </xf>
    <xf numFmtId="49" fontId="17" fillId="0" borderId="9" xfId="4" applyNumberFormat="1" applyFont="1" applyFill="1" applyBorder="1" applyAlignment="1" applyProtection="1">
      <alignment horizontal="center" vertical="center" wrapText="1"/>
    </xf>
    <xf numFmtId="0" fontId="17" fillId="0" borderId="9" xfId="4" applyNumberFormat="1" applyFont="1" applyFill="1" applyBorder="1" applyAlignment="1" applyProtection="1">
      <alignment horizontal="center" vertical="center" wrapText="1"/>
    </xf>
    <xf numFmtId="165" fontId="17" fillId="3" borderId="9" xfId="7" applyNumberFormat="1" applyFont="1" applyFill="1" applyBorder="1" applyAlignment="1" applyProtection="1">
      <alignment horizontal="right" vertical="center" wrapText="1"/>
      <protection locked="0"/>
    </xf>
    <xf numFmtId="0" fontId="17" fillId="3" borderId="9" xfId="4" applyNumberFormat="1" applyFont="1" applyFill="1" applyBorder="1" applyAlignment="1" applyProtection="1">
      <alignment horizontal="center" vertical="center" wrapText="1"/>
    </xf>
    <xf numFmtId="49" fontId="17" fillId="3" borderId="9" xfId="4" applyNumberFormat="1" applyFont="1" applyFill="1" applyBorder="1" applyAlignment="1" applyProtection="1">
      <alignment horizontal="center" vertical="center" wrapText="1"/>
    </xf>
    <xf numFmtId="0" fontId="17" fillId="0" borderId="9" xfId="4" applyFont="1" applyFill="1" applyBorder="1" applyAlignment="1" applyProtection="1">
      <alignment horizontal="left" vertical="center" wrapText="1"/>
    </xf>
    <xf numFmtId="0" fontId="18" fillId="0" borderId="9" xfId="6" applyFont="1" applyFill="1" applyBorder="1" applyAlignment="1" applyProtection="1">
      <alignment horizontal="left" vertical="center" wrapText="1"/>
    </xf>
    <xf numFmtId="49" fontId="18" fillId="0" borderId="9" xfId="4" applyNumberFormat="1" applyFont="1" applyFill="1" applyBorder="1" applyAlignment="1" applyProtection="1">
      <alignment horizontal="center" vertical="center" wrapText="1"/>
    </xf>
    <xf numFmtId="0" fontId="18" fillId="0" borderId="9" xfId="4" applyFont="1" applyFill="1" applyBorder="1" applyAlignment="1" applyProtection="1">
      <alignment horizontal="left" vertical="center" wrapText="1"/>
    </xf>
    <xf numFmtId="49" fontId="17" fillId="0" borderId="9" xfId="4" quotePrefix="1" applyNumberFormat="1" applyFont="1" applyFill="1" applyBorder="1" applyAlignment="1" applyProtection="1">
      <alignment horizontal="center" vertical="center" wrapText="1"/>
    </xf>
    <xf numFmtId="49" fontId="18" fillId="0" borderId="9" xfId="4"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0" fillId="3" borderId="0" xfId="0" applyFont="1" applyFill="1" applyBorder="1" applyAlignment="1">
      <alignment horizontal="center" vertical="center"/>
    </xf>
    <xf numFmtId="0" fontId="15" fillId="3" borderId="0" xfId="0" applyFont="1" applyFill="1" applyAlignment="1">
      <alignment horizontal="center" vertical="center"/>
    </xf>
    <xf numFmtId="0" fontId="29" fillId="3" borderId="0" xfId="0" applyFont="1" applyFill="1"/>
    <xf numFmtId="0" fontId="16" fillId="2" borderId="9" xfId="0" applyFont="1" applyFill="1" applyBorder="1" applyAlignment="1">
      <alignment horizontal="center" vertical="center"/>
    </xf>
    <xf numFmtId="0" fontId="16" fillId="2" borderId="9" xfId="6" applyFont="1" applyFill="1" applyBorder="1" applyAlignment="1" applyProtection="1">
      <alignment horizontal="left" vertical="center" wrapText="1"/>
    </xf>
    <xf numFmtId="4" fontId="17" fillId="3" borderId="14" xfId="0" applyNumberFormat="1" applyFont="1" applyFill="1" applyBorder="1" applyAlignment="1" applyProtection="1">
      <alignment horizontal="center" vertical="center" wrapText="1"/>
      <protection locked="0"/>
    </xf>
    <xf numFmtId="4" fontId="17" fillId="3" borderId="14" xfId="0" applyNumberFormat="1" applyFont="1" applyFill="1" applyBorder="1" applyAlignment="1" applyProtection="1">
      <alignment horizontal="left" vertical="center" wrapText="1"/>
      <protection locked="0"/>
    </xf>
    <xf numFmtId="49" fontId="17" fillId="3" borderId="14" xfId="0" applyNumberFormat="1" applyFont="1" applyFill="1" applyBorder="1" applyAlignment="1" applyProtection="1">
      <alignment horizontal="center" vertical="center" wrapText="1"/>
      <protection locked="0"/>
    </xf>
    <xf numFmtId="165" fontId="17" fillId="0" borderId="14" xfId="0" applyNumberFormat="1" applyFont="1" applyFill="1" applyBorder="1" applyAlignment="1" applyProtection="1">
      <alignment horizontal="right" vertical="center" wrapText="1"/>
      <protection locked="0"/>
    </xf>
    <xf numFmtId="4" fontId="18" fillId="3" borderId="14" xfId="0" applyNumberFormat="1" applyFont="1" applyFill="1" applyBorder="1" applyAlignment="1" applyProtection="1">
      <alignment horizontal="left" vertical="center" wrapText="1"/>
      <protection locked="0"/>
    </xf>
    <xf numFmtId="49" fontId="18" fillId="3" borderId="14" xfId="0" applyNumberFormat="1" applyFont="1" applyFill="1" applyBorder="1" applyAlignment="1" applyProtection="1">
      <alignment horizontal="center" vertical="center" wrapText="1"/>
      <protection locked="0"/>
    </xf>
    <xf numFmtId="0" fontId="30" fillId="3" borderId="0" xfId="0" applyFont="1" applyFill="1"/>
    <xf numFmtId="0" fontId="30" fillId="0" borderId="0" xfId="0" applyFont="1" applyFill="1"/>
    <xf numFmtId="166" fontId="16" fillId="2" borderId="9" xfId="7" applyNumberFormat="1" applyFont="1" applyFill="1" applyBorder="1" applyAlignment="1" applyProtection="1">
      <alignment horizontal="right" vertical="center" wrapText="1"/>
      <protection locked="0"/>
    </xf>
    <xf numFmtId="0" fontId="17" fillId="3" borderId="14" xfId="0" applyNumberFormat="1" applyFont="1" applyFill="1" applyBorder="1" applyAlignment="1" applyProtection="1">
      <alignment horizontal="center" vertical="center" wrapText="1"/>
      <protection locked="0"/>
    </xf>
    <xf numFmtId="0" fontId="17" fillId="3" borderId="14" xfId="0" applyNumberFormat="1" applyFont="1" applyFill="1" applyBorder="1" applyAlignment="1" applyProtection="1">
      <alignment horizontal="left" vertical="center" wrapText="1"/>
      <protection locked="0"/>
    </xf>
    <xf numFmtId="166" fontId="17" fillId="3" borderId="14" xfId="0" applyNumberFormat="1" applyFont="1" applyFill="1" applyBorder="1" applyAlignment="1" applyProtection="1">
      <alignment horizontal="right" vertical="center" wrapText="1"/>
      <protection locked="0"/>
    </xf>
    <xf numFmtId="0" fontId="31" fillId="3" borderId="0" xfId="0" applyFont="1" applyFill="1"/>
    <xf numFmtId="0" fontId="20" fillId="3" borderId="0" xfId="0" applyFont="1" applyFill="1" applyBorder="1" applyAlignment="1">
      <alignment vertical="center"/>
    </xf>
    <xf numFmtId="0" fontId="7" fillId="3" borderId="0" xfId="0" applyFont="1" applyFill="1" applyBorder="1" applyAlignment="1">
      <alignment horizontal="left" vertical="center"/>
    </xf>
    <xf numFmtId="0" fontId="6" fillId="3" borderId="0" xfId="0" applyFont="1" applyFill="1" applyAlignment="1">
      <alignment horizontal="left" vertical="center"/>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6" fillId="3" borderId="0" xfId="0" applyFont="1" applyFill="1" applyAlignment="1">
      <alignment horizontal="right" vertical="center" wrapText="1"/>
    </xf>
    <xf numFmtId="0" fontId="18" fillId="3" borderId="0" xfId="0" applyFont="1" applyFill="1" applyAlignment="1">
      <alignment horizontal="right" vertical="center" wrapText="1"/>
    </xf>
    <xf numFmtId="0" fontId="16" fillId="3" borderId="0" xfId="0" applyFont="1" applyFill="1" applyAlignment="1">
      <alignment horizontal="center" vertical="center" wrapText="1"/>
    </xf>
    <xf numFmtId="0" fontId="18" fillId="3" borderId="0" xfId="0" applyFont="1" applyFill="1" applyAlignment="1">
      <alignment horizontal="center" vertical="center"/>
    </xf>
    <xf numFmtId="0" fontId="19" fillId="3" borderId="0" xfId="0" applyFont="1" applyFill="1" applyBorder="1" applyAlignment="1">
      <alignment horizontal="left" vertical="center" wrapText="1"/>
    </xf>
    <xf numFmtId="0" fontId="17" fillId="3" borderId="0" xfId="0" applyFont="1" applyFill="1" applyAlignment="1">
      <alignment horizontal="left" vertical="center" wrapText="1"/>
    </xf>
    <xf numFmtId="0" fontId="19" fillId="3" borderId="0" xfId="0" applyFont="1" applyFill="1" applyAlignment="1">
      <alignment horizontal="left" vertical="center" wrapText="1"/>
    </xf>
    <xf numFmtId="0" fontId="15" fillId="3" borderId="0" xfId="0" applyFont="1" applyFill="1" applyAlignment="1">
      <alignment horizontal="left" vertical="center" wrapText="1"/>
    </xf>
    <xf numFmtId="0" fontId="15" fillId="3" borderId="0" xfId="0" applyFont="1" applyFill="1" applyAlignment="1">
      <alignment horizontal="left" vertical="center"/>
    </xf>
    <xf numFmtId="0" fontId="20" fillId="3" borderId="0" xfId="0" applyFont="1" applyFill="1" applyAlignment="1">
      <alignment horizontal="right" vertical="center" wrapText="1"/>
    </xf>
    <xf numFmtId="0" fontId="24" fillId="3" borderId="0" xfId="0" applyFont="1" applyFill="1" applyAlignment="1">
      <alignment horizontal="right" vertical="center" wrapText="1"/>
    </xf>
    <xf numFmtId="0" fontId="20" fillId="3" borderId="0" xfId="0" applyFont="1" applyFill="1" applyAlignment="1">
      <alignment horizontal="center" vertical="center" wrapText="1"/>
    </xf>
    <xf numFmtId="0" fontId="24" fillId="3" borderId="0" xfId="0" applyFont="1" applyFill="1" applyAlignment="1">
      <alignment horizontal="center" vertical="center"/>
    </xf>
    <xf numFmtId="0" fontId="19" fillId="3" borderId="0" xfId="0" applyFont="1" applyFill="1" applyBorder="1" applyAlignment="1">
      <alignment horizontal="left" vertical="center"/>
    </xf>
    <xf numFmtId="0" fontId="19" fillId="3" borderId="0" xfId="0" applyFont="1" applyFill="1" applyAlignment="1">
      <alignment horizontal="left" vertical="center"/>
    </xf>
    <xf numFmtId="0" fontId="16" fillId="6" borderId="16" xfId="0" applyFont="1" applyFill="1" applyBorder="1" applyAlignment="1">
      <alignment horizontal="center" vertical="center" wrapText="1"/>
    </xf>
    <xf numFmtId="0" fontId="16" fillId="6" borderId="16" xfId="0" applyFont="1" applyFill="1" applyBorder="1" applyAlignment="1">
      <alignment horizontal="center" vertical="center"/>
    </xf>
    <xf numFmtId="0" fontId="19" fillId="3" borderId="0" xfId="11" applyFont="1" applyFill="1" applyAlignment="1">
      <alignment horizontal="left" vertical="top" wrapText="1"/>
    </xf>
    <xf numFmtId="0" fontId="25" fillId="3" borderId="0" xfId="11" applyFont="1" applyFill="1" applyAlignment="1">
      <alignment horizontal="left" vertical="top" wrapText="1"/>
    </xf>
    <xf numFmtId="0" fontId="22" fillId="3" borderId="0" xfId="11" applyFont="1" applyFill="1" applyAlignment="1">
      <alignment horizontal="left" vertical="center" wrapText="1"/>
    </xf>
    <xf numFmtId="0" fontId="23" fillId="3" borderId="0" xfId="11" applyFont="1" applyFill="1" applyAlignment="1">
      <alignment horizontal="left" vertical="center" wrapText="1"/>
    </xf>
    <xf numFmtId="37" fontId="17" fillId="3" borderId="0" xfId="11" applyNumberFormat="1" applyFont="1" applyFill="1" applyAlignment="1">
      <alignment horizontal="left"/>
    </xf>
    <xf numFmtId="0" fontId="17" fillId="3" borderId="0" xfId="11" applyFont="1" applyFill="1" applyAlignment="1">
      <alignment horizontal="left" vertical="center" wrapText="1"/>
    </xf>
    <xf numFmtId="0" fontId="15" fillId="3" borderId="0" xfId="11" applyFont="1" applyFill="1" applyAlignment="1">
      <alignment horizontal="left" vertical="top" wrapText="1"/>
    </xf>
    <xf numFmtId="0" fontId="22" fillId="3" borderId="0" xfId="11" applyFont="1" applyFill="1" applyAlignment="1">
      <alignment horizontal="left" vertical="top" wrapText="1"/>
    </xf>
    <xf numFmtId="0" fontId="26" fillId="0" borderId="0" xfId="11" applyFont="1" applyFill="1" applyAlignment="1">
      <alignment horizontal="right" vertical="center" wrapText="1"/>
    </xf>
    <xf numFmtId="0" fontId="28" fillId="3" borderId="0" xfId="11" applyFont="1" applyFill="1" applyAlignment="1">
      <alignment horizontal="right" vertical="center" wrapText="1"/>
    </xf>
    <xf numFmtId="0" fontId="16" fillId="0" borderId="0" xfId="11" applyFont="1" applyFill="1" applyAlignment="1">
      <alignment horizontal="center" vertical="center" wrapText="1"/>
    </xf>
    <xf numFmtId="0" fontId="18" fillId="3" borderId="0" xfId="11" applyFont="1" applyFill="1" applyAlignment="1">
      <alignment horizontal="center" vertical="center"/>
    </xf>
    <xf numFmtId="0" fontId="19" fillId="3" borderId="0" xfId="11" applyFont="1" applyFill="1" applyAlignment="1">
      <alignment horizontal="left" vertical="center" wrapText="1"/>
    </xf>
    <xf numFmtId="0" fontId="16" fillId="3" borderId="0" xfId="11" applyFont="1" applyFill="1" applyAlignment="1">
      <alignment horizontal="left" vertical="center"/>
    </xf>
    <xf numFmtId="0" fontId="15" fillId="3" borderId="0" xfId="0" applyFont="1" applyFill="1" applyAlignment="1">
      <alignment horizontal="left" vertical="top" wrapText="1"/>
    </xf>
    <xf numFmtId="0" fontId="15" fillId="3" borderId="0" xfId="0" applyFont="1" applyFill="1" applyAlignment="1">
      <alignment horizontal="left" vertical="top"/>
    </xf>
    <xf numFmtId="49" fontId="15" fillId="3" borderId="9" xfId="0" applyNumberFormat="1" applyFont="1" applyFill="1" applyBorder="1" applyAlignment="1">
      <alignment horizontal="center" vertical="center"/>
    </xf>
    <xf numFmtId="49" fontId="15" fillId="3" borderId="12" xfId="0" applyNumberFormat="1" applyFont="1" applyFill="1" applyBorder="1" applyAlignment="1">
      <alignment horizontal="center" vertical="center"/>
    </xf>
    <xf numFmtId="49" fontId="15" fillId="3" borderId="17" xfId="0" applyNumberFormat="1" applyFont="1" applyFill="1" applyBorder="1" applyAlignment="1">
      <alignment horizontal="center" vertical="center"/>
    </xf>
    <xf numFmtId="49" fontId="15" fillId="3" borderId="13" xfId="0" applyNumberFormat="1" applyFont="1" applyFill="1" applyBorder="1" applyAlignment="1">
      <alignment horizontal="center" vertical="center"/>
    </xf>
    <xf numFmtId="0" fontId="15" fillId="3" borderId="0" xfId="0" applyFont="1" applyFill="1" applyBorder="1" applyAlignment="1">
      <alignment horizontal="center" vertical="center"/>
    </xf>
    <xf numFmtId="0" fontId="20" fillId="3" borderId="0" xfId="0" applyFont="1" applyFill="1" applyBorder="1" applyAlignment="1">
      <alignment horizontal="center" vertical="center"/>
    </xf>
    <xf numFmtId="0" fontId="15" fillId="3" borderId="0" xfId="0" applyFont="1" applyFill="1" applyAlignment="1">
      <alignment horizontal="center" vertical="center"/>
    </xf>
    <xf numFmtId="0" fontId="16" fillId="2" borderId="12" xfId="0" applyFont="1" applyFill="1" applyBorder="1" applyAlignment="1" applyProtection="1">
      <alignment horizontal="center" vertical="center" wrapText="1"/>
    </xf>
    <xf numFmtId="0" fontId="16" fillId="2" borderId="13" xfId="0" applyFont="1" applyFill="1" applyBorder="1" applyAlignment="1" applyProtection="1">
      <alignment horizontal="center" vertical="center" wrapText="1"/>
    </xf>
    <xf numFmtId="49" fontId="16" fillId="2" borderId="12" xfId="0" applyNumberFormat="1" applyFont="1" applyFill="1" applyBorder="1" applyAlignment="1" applyProtection="1">
      <alignment horizontal="center" vertical="center" wrapText="1"/>
    </xf>
    <xf numFmtId="49" fontId="16" fillId="2" borderId="13" xfId="0" applyNumberFormat="1" applyFont="1" applyFill="1" applyBorder="1" applyAlignment="1" applyProtection="1">
      <alignment horizontal="center" vertical="center" wrapText="1"/>
    </xf>
    <xf numFmtId="0" fontId="30" fillId="2" borderId="13" xfId="0" applyFont="1" applyFill="1" applyBorder="1" applyAlignment="1">
      <alignment vertical="center"/>
    </xf>
    <xf numFmtId="165" fontId="16" fillId="2" borderId="10" xfId="7" applyNumberFormat="1" applyFont="1" applyFill="1" applyBorder="1" applyAlignment="1" applyProtection="1">
      <alignment horizontal="center" vertical="center" wrapText="1"/>
      <protection locked="0"/>
    </xf>
    <xf numFmtId="165" fontId="16" fillId="2" borderId="11" xfId="7" applyNumberFormat="1" applyFont="1" applyFill="1" applyBorder="1" applyAlignment="1" applyProtection="1">
      <alignment horizontal="center" vertical="center" wrapText="1"/>
      <protection locked="0"/>
    </xf>
    <xf numFmtId="0" fontId="20" fillId="3" borderId="0" xfId="0" applyFont="1" applyFill="1" applyAlignment="1">
      <alignment horizontal="center" vertical="center"/>
    </xf>
    <xf numFmtId="0" fontId="20" fillId="3" borderId="0" xfId="0" applyFont="1" applyFill="1" applyAlignment="1">
      <alignment horizontal="left" vertical="center"/>
    </xf>
    <xf numFmtId="0" fontId="15" fillId="3" borderId="0" xfId="0" applyFont="1" applyFill="1" applyAlignment="1">
      <alignment vertical="center"/>
    </xf>
    <xf numFmtId="0" fontId="20" fillId="3" borderId="0" xfId="0" applyFont="1" applyFill="1" applyBorder="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9" zoomScaleSheetLayoutView="100" workbookViewId="0">
      <selection activeCell="F22" sqref="F22"/>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203" t="s">
        <v>1100</v>
      </c>
      <c r="D1" s="204"/>
    </row>
    <row r="2" spans="1:11">
      <c r="C2" s="6" t="s">
        <v>1101</v>
      </c>
      <c r="D2" s="7"/>
    </row>
    <row r="3" spans="1:11">
      <c r="D3" s="8"/>
    </row>
    <row r="4" spans="1:11">
      <c r="A4" s="4" t="s">
        <v>1</v>
      </c>
      <c r="D4" s="8"/>
    </row>
    <row r="5" spans="1:11" ht="15" customHeight="1">
      <c r="C5" s="9" t="s">
        <v>2</v>
      </c>
      <c r="D5" s="206" t="s">
        <v>1102</v>
      </c>
      <c r="E5" s="206"/>
      <c r="F5" s="206"/>
      <c r="G5" s="206"/>
      <c r="H5" s="206"/>
      <c r="I5" s="206"/>
    </row>
    <row r="6" spans="1:11">
      <c r="C6" s="2" t="s">
        <v>15</v>
      </c>
      <c r="D6" s="205" t="s">
        <v>1103</v>
      </c>
      <c r="E6" s="205"/>
      <c r="F6" s="205"/>
      <c r="G6" s="205"/>
      <c r="H6" s="205"/>
      <c r="I6" s="205"/>
    </row>
    <row r="7" spans="1:11">
      <c r="C7" s="10" t="s">
        <v>3</v>
      </c>
      <c r="D7" s="206" t="s">
        <v>1104</v>
      </c>
      <c r="E7" s="206"/>
      <c r="F7" s="206"/>
      <c r="G7" s="206"/>
      <c r="H7" s="206"/>
      <c r="I7" s="206"/>
    </row>
    <row r="8" spans="1:11" ht="15" customHeight="1">
      <c r="C8" s="3" t="s">
        <v>4</v>
      </c>
      <c r="D8" s="205" t="s">
        <v>1105</v>
      </c>
      <c r="E8" s="205"/>
      <c r="F8" s="205"/>
      <c r="G8" s="205"/>
      <c r="H8" s="205"/>
      <c r="I8" s="205"/>
    </row>
    <row r="9" spans="1:11" ht="15" customHeight="1">
      <c r="C9" s="10" t="s">
        <v>5</v>
      </c>
      <c r="D9" s="206" t="s">
        <v>576</v>
      </c>
      <c r="E9" s="206"/>
      <c r="F9" s="206"/>
      <c r="G9" s="206"/>
      <c r="H9" s="206"/>
      <c r="I9" s="206"/>
    </row>
    <row r="10" spans="1:11" ht="15" customHeight="1">
      <c r="C10" s="11" t="s">
        <v>6</v>
      </c>
      <c r="D10" s="205" t="s">
        <v>1124</v>
      </c>
      <c r="E10" s="205"/>
      <c r="F10" s="205"/>
      <c r="G10" s="205"/>
      <c r="H10" s="205"/>
      <c r="I10" s="205"/>
    </row>
    <row r="11" spans="1:11">
      <c r="C11" s="12" t="s">
        <v>7</v>
      </c>
      <c r="D11" s="206" t="s">
        <v>1106</v>
      </c>
      <c r="E11" s="206"/>
      <c r="F11" s="206"/>
      <c r="G11" s="206"/>
      <c r="H11" s="206"/>
      <c r="I11" s="206"/>
    </row>
    <row r="12" spans="1:11">
      <c r="C12" s="1" t="s">
        <v>8</v>
      </c>
      <c r="D12" s="205" t="s">
        <v>1107</v>
      </c>
      <c r="E12" s="205"/>
      <c r="F12" s="205"/>
      <c r="G12" s="205"/>
      <c r="H12" s="205"/>
      <c r="I12" s="205"/>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1102</v>
      </c>
      <c r="G19" s="19"/>
      <c r="H19" s="19"/>
      <c r="I19" s="19"/>
      <c r="J19" s="19"/>
      <c r="K19" s="20"/>
    </row>
    <row r="20" spans="3:11">
      <c r="C20" s="23" t="s">
        <v>1108</v>
      </c>
      <c r="D20" s="18"/>
      <c r="F20" s="201" t="s">
        <v>1121</v>
      </c>
      <c r="G20" s="19"/>
      <c r="H20" s="19"/>
      <c r="I20" s="19"/>
      <c r="J20" s="19"/>
      <c r="K20" s="20"/>
    </row>
    <row r="21" spans="3:11">
      <c r="C21" s="24" t="s">
        <v>1109</v>
      </c>
      <c r="D21" s="7"/>
      <c r="F21" s="202" t="s">
        <v>1130</v>
      </c>
      <c r="G21" s="25"/>
      <c r="H21" s="25"/>
      <c r="I21" s="25"/>
      <c r="J21" s="25"/>
      <c r="K21" s="26"/>
    </row>
    <row r="22" spans="3:11">
      <c r="D22" s="8"/>
    </row>
    <row r="23" spans="3:11">
      <c r="D23" s="8"/>
    </row>
    <row r="24" spans="3:11">
      <c r="D24" s="8"/>
    </row>
    <row r="25" spans="3:11">
      <c r="D25" s="8"/>
    </row>
    <row r="26" spans="3:11">
      <c r="D26" s="8"/>
    </row>
    <row r="27" spans="3:11">
      <c r="D27" s="8"/>
    </row>
    <row r="28" spans="3:11">
      <c r="D28" s="8"/>
    </row>
    <row r="29" spans="3:11">
      <c r="D29" s="8"/>
    </row>
    <row r="30" spans="3:11">
      <c r="D30" s="8"/>
    </row>
    <row r="31" spans="3:11">
      <c r="D31" s="8"/>
    </row>
    <row r="32" spans="3:11">
      <c r="D32" s="8"/>
    </row>
    <row r="33" spans="4:4">
      <c r="D33" s="8"/>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tabSelected="1" view="pageBreakPreview" topLeftCell="A112" zoomScale="70" zoomScaleNormal="100" zoomScaleSheetLayoutView="70" workbookViewId="0">
      <selection activeCell="E120" sqref="E120:E121"/>
    </sheetView>
  </sheetViews>
  <sheetFormatPr defaultColWidth="8.7265625" defaultRowHeight="15"/>
  <cols>
    <col min="1" max="1" width="8.7265625" style="30"/>
    <col min="2" max="2" width="58.81640625" style="30" customWidth="1"/>
    <col min="3" max="3" width="10.26953125" style="30" customWidth="1"/>
    <col min="4" max="6" width="34.81640625" style="30" customWidth="1"/>
    <col min="7" max="16384" width="8.7265625" style="30"/>
  </cols>
  <sheetData>
    <row r="1" spans="1:6" s="28" customFormat="1" ht="54.75" customHeight="1">
      <c r="A1" s="207" t="s">
        <v>569</v>
      </c>
      <c r="B1" s="207"/>
      <c r="C1" s="207"/>
      <c r="D1" s="207"/>
      <c r="E1" s="207"/>
      <c r="F1" s="207"/>
    </row>
    <row r="2" spans="1:6" s="28" customFormat="1" ht="50.5" customHeight="1">
      <c r="A2" s="208" t="s">
        <v>570</v>
      </c>
      <c r="B2" s="208"/>
      <c r="C2" s="208"/>
      <c r="D2" s="208"/>
      <c r="E2" s="208"/>
      <c r="F2" s="208"/>
    </row>
    <row r="3" spans="1:6" s="28" customFormat="1">
      <c r="A3" s="209" t="s">
        <v>520</v>
      </c>
      <c r="B3" s="209"/>
      <c r="C3" s="209"/>
      <c r="D3" s="209"/>
      <c r="E3" s="209"/>
      <c r="F3" s="209"/>
    </row>
    <row r="4" spans="1:6" s="28" customFormat="1" ht="32.65" customHeight="1">
      <c r="A4" s="209"/>
      <c r="B4" s="209"/>
      <c r="C4" s="209"/>
      <c r="D4" s="209"/>
      <c r="E4" s="209"/>
      <c r="F4" s="209"/>
    </row>
    <row r="5" spans="1:6" s="28" customFormat="1" ht="16.899999999999999" customHeight="1">
      <c r="A5" s="210" t="s">
        <v>1100</v>
      </c>
      <c r="B5" s="210"/>
      <c r="C5" s="210"/>
      <c r="D5" s="210"/>
      <c r="E5" s="210"/>
      <c r="F5" s="210"/>
    </row>
    <row r="6" spans="1:6">
      <c r="A6" s="29"/>
      <c r="B6" s="29"/>
      <c r="C6" s="29"/>
      <c r="D6" s="29"/>
      <c r="E6" s="29"/>
      <c r="F6" s="29"/>
    </row>
    <row r="7" spans="1:6" ht="16.899999999999999" customHeight="1">
      <c r="A7" s="211" t="s">
        <v>2</v>
      </c>
      <c r="B7" s="211"/>
      <c r="C7" s="211" t="s">
        <v>1102</v>
      </c>
      <c r="D7" s="211"/>
      <c r="E7" s="211"/>
      <c r="F7" s="211"/>
    </row>
    <row r="8" spans="1:6" s="28" customFormat="1" ht="16.899999999999999" customHeight="1">
      <c r="A8" s="212" t="s">
        <v>15</v>
      </c>
      <c r="B8" s="212"/>
      <c r="C8" s="212" t="s">
        <v>1103</v>
      </c>
      <c r="D8" s="212"/>
      <c r="E8" s="212"/>
      <c r="F8" s="212"/>
    </row>
    <row r="9" spans="1:6" ht="16.899999999999999" customHeight="1">
      <c r="A9" s="211" t="s">
        <v>3</v>
      </c>
      <c r="B9" s="211"/>
      <c r="C9" s="211" t="s">
        <v>1104</v>
      </c>
      <c r="D9" s="211"/>
      <c r="E9" s="211"/>
      <c r="F9" s="211"/>
    </row>
    <row r="10" spans="1:6" s="28" customFormat="1" ht="16.899999999999999" customHeight="1">
      <c r="A10" s="212" t="s">
        <v>4</v>
      </c>
      <c r="B10" s="212"/>
      <c r="C10" s="212" t="s">
        <v>1105</v>
      </c>
      <c r="D10" s="212"/>
      <c r="E10" s="212"/>
      <c r="F10" s="212"/>
    </row>
    <row r="11" spans="1:6" ht="16.899999999999999" customHeight="1">
      <c r="A11" s="211" t="s">
        <v>5</v>
      </c>
      <c r="B11" s="211"/>
      <c r="C11" s="213" t="s">
        <v>576</v>
      </c>
      <c r="D11" s="213"/>
      <c r="E11" s="213"/>
      <c r="F11" s="213"/>
    </row>
    <row r="12" spans="1:6" s="28" customFormat="1" ht="16.899999999999999" customHeight="1">
      <c r="A12" s="212" t="s">
        <v>6</v>
      </c>
      <c r="B12" s="212"/>
      <c r="C12" s="214" t="s">
        <v>1124</v>
      </c>
      <c r="D12" s="214"/>
      <c r="E12" s="214"/>
      <c r="F12" s="214"/>
    </row>
    <row r="13" spans="1:6" ht="16.899999999999999" customHeight="1">
      <c r="A13" s="211" t="s">
        <v>7</v>
      </c>
      <c r="B13" s="211"/>
      <c r="C13" s="211" t="s">
        <v>1106</v>
      </c>
      <c r="D13" s="211"/>
      <c r="E13" s="211"/>
      <c r="F13" s="211"/>
    </row>
    <row r="14" spans="1:6" s="28" customFormat="1" ht="16.899999999999999" customHeight="1">
      <c r="A14" s="212" t="s">
        <v>8</v>
      </c>
      <c r="B14" s="212"/>
      <c r="C14" s="212" t="s">
        <v>1107</v>
      </c>
      <c r="D14" s="212"/>
      <c r="E14" s="212"/>
      <c r="F14" s="212"/>
    </row>
    <row r="15" spans="1:6" s="28" customFormat="1" ht="7.5" customHeight="1">
      <c r="A15" s="31"/>
      <c r="B15" s="31"/>
      <c r="C15" s="31"/>
      <c r="D15" s="31"/>
      <c r="E15" s="31"/>
      <c r="F15" s="31"/>
    </row>
    <row r="16" spans="1:6" s="28" customFormat="1" ht="16.899999999999999" customHeight="1">
      <c r="A16" s="32" t="s">
        <v>567</v>
      </c>
      <c r="B16" s="33" t="s">
        <v>568</v>
      </c>
      <c r="C16" s="31"/>
      <c r="D16" s="31"/>
      <c r="E16" s="31"/>
      <c r="F16" s="31"/>
    </row>
    <row r="17" spans="1:6" s="28" customFormat="1" ht="16.899999999999999" customHeight="1">
      <c r="A17" s="34" t="s">
        <v>16</v>
      </c>
      <c r="B17" s="35" t="s">
        <v>521</v>
      </c>
      <c r="C17" s="31"/>
      <c r="D17" s="31"/>
      <c r="E17" s="31"/>
      <c r="F17" s="31"/>
    </row>
    <row r="18" spans="1:6" s="28" customFormat="1" ht="50.65" customHeight="1">
      <c r="A18" s="36" t="s">
        <v>17</v>
      </c>
      <c r="B18" s="37" t="s">
        <v>18</v>
      </c>
      <c r="C18" s="36" t="s">
        <v>19</v>
      </c>
      <c r="D18" s="38" t="s">
        <v>1110</v>
      </c>
      <c r="E18" s="38" t="s">
        <v>1111</v>
      </c>
      <c r="F18" s="39" t="s">
        <v>20</v>
      </c>
    </row>
    <row r="19" spans="1:6" ht="39" customHeight="1">
      <c r="A19" s="40" t="s">
        <v>791</v>
      </c>
      <c r="B19" s="41" t="s">
        <v>792</v>
      </c>
      <c r="C19" s="40" t="s">
        <v>793</v>
      </c>
      <c r="D19" s="42"/>
      <c r="E19" s="42"/>
      <c r="F19" s="43"/>
    </row>
    <row r="20" spans="1:6" ht="39" customHeight="1">
      <c r="A20" s="44" t="s">
        <v>794</v>
      </c>
      <c r="B20" s="45" t="s">
        <v>795</v>
      </c>
      <c r="C20" s="44" t="s">
        <v>796</v>
      </c>
      <c r="D20" s="46">
        <v>316667085954</v>
      </c>
      <c r="E20" s="46">
        <v>181312646476</v>
      </c>
      <c r="F20" s="47">
        <v>9.3659094896417496</v>
      </c>
    </row>
    <row r="21" spans="1:6" ht="39" customHeight="1">
      <c r="A21" s="44" t="s">
        <v>797</v>
      </c>
      <c r="B21" s="45" t="s">
        <v>798</v>
      </c>
      <c r="C21" s="44" t="s">
        <v>799</v>
      </c>
      <c r="D21" s="46"/>
      <c r="E21" s="46"/>
      <c r="F21" s="47"/>
    </row>
    <row r="22" spans="1:6" ht="39" customHeight="1">
      <c r="A22" s="44" t="s">
        <v>800</v>
      </c>
      <c r="B22" s="45" t="s">
        <v>801</v>
      </c>
      <c r="C22" s="44" t="s">
        <v>802</v>
      </c>
      <c r="D22" s="46" t="s">
        <v>803</v>
      </c>
      <c r="E22" s="46" t="s">
        <v>804</v>
      </c>
      <c r="F22" s="47" t="s">
        <v>805</v>
      </c>
    </row>
    <row r="23" spans="1:6" ht="39" customHeight="1">
      <c r="A23" s="44" t="s">
        <v>806</v>
      </c>
      <c r="B23" s="45" t="s">
        <v>807</v>
      </c>
      <c r="C23" s="44" t="s">
        <v>808</v>
      </c>
      <c r="D23" s="46">
        <v>316667085954</v>
      </c>
      <c r="E23" s="46">
        <v>181312646476</v>
      </c>
      <c r="F23" s="47">
        <v>9.3659094896417496</v>
      </c>
    </row>
    <row r="24" spans="1:6" ht="39" customHeight="1">
      <c r="A24" s="44" t="s">
        <v>809</v>
      </c>
      <c r="B24" s="45" t="s">
        <v>810</v>
      </c>
      <c r="C24" s="44" t="s">
        <v>811</v>
      </c>
      <c r="D24" s="46" t="s">
        <v>812</v>
      </c>
      <c r="E24" s="46" t="s">
        <v>813</v>
      </c>
      <c r="F24" s="47" t="s">
        <v>814</v>
      </c>
    </row>
    <row r="25" spans="1:6" ht="48" customHeight="1">
      <c r="A25" s="44" t="s">
        <v>815</v>
      </c>
      <c r="B25" s="45" t="s">
        <v>816</v>
      </c>
      <c r="C25" s="44" t="s">
        <v>817</v>
      </c>
      <c r="D25" s="46">
        <v>22455480348</v>
      </c>
      <c r="E25" s="46">
        <v>8512937548</v>
      </c>
      <c r="F25" s="47"/>
    </row>
    <row r="26" spans="1:6" ht="45" customHeight="1">
      <c r="A26" s="44" t="s">
        <v>818</v>
      </c>
      <c r="B26" s="45" t="s">
        <v>819</v>
      </c>
      <c r="C26" s="44" t="s">
        <v>820</v>
      </c>
      <c r="D26" s="46">
        <v>1005324038</v>
      </c>
      <c r="E26" s="46">
        <v>139373</v>
      </c>
      <c r="F26" s="47">
        <v>0.51039317771249304</v>
      </c>
    </row>
    <row r="27" spans="1:6" ht="42" customHeight="1">
      <c r="A27" s="44" t="s">
        <v>821</v>
      </c>
      <c r="B27" s="45" t="s">
        <v>822</v>
      </c>
      <c r="C27" s="44" t="s">
        <v>823</v>
      </c>
      <c r="D27" s="46">
        <v>36206281568</v>
      </c>
      <c r="E27" s="46">
        <v>53799569555</v>
      </c>
      <c r="F27" s="47">
        <v>9.4265048600676096</v>
      </c>
    </row>
    <row r="28" spans="1:6" ht="48" customHeight="1">
      <c r="A28" s="44" t="s">
        <v>824</v>
      </c>
      <c r="B28" s="45" t="s">
        <v>825</v>
      </c>
      <c r="C28" s="44" t="s">
        <v>826</v>
      </c>
      <c r="D28" s="46">
        <v>0</v>
      </c>
      <c r="E28" s="46">
        <v>0</v>
      </c>
      <c r="F28" s="47"/>
    </row>
    <row r="29" spans="1:6" ht="39" customHeight="1">
      <c r="A29" s="44" t="s">
        <v>827</v>
      </c>
      <c r="B29" s="45" t="s">
        <v>828</v>
      </c>
      <c r="C29" s="44" t="s">
        <v>829</v>
      </c>
      <c r="D29" s="46">
        <v>257000000000</v>
      </c>
      <c r="E29" s="46">
        <v>119000000000</v>
      </c>
      <c r="F29" s="47">
        <v>9.1785714285714306</v>
      </c>
    </row>
    <row r="30" spans="1:6" ht="39" customHeight="1">
      <c r="A30" s="44" t="s">
        <v>830</v>
      </c>
      <c r="B30" s="45" t="s">
        <v>831</v>
      </c>
      <c r="C30" s="44" t="s">
        <v>832</v>
      </c>
      <c r="D30" s="46">
        <v>827413637203</v>
      </c>
      <c r="E30" s="46">
        <v>502955019024</v>
      </c>
      <c r="F30" s="47">
        <v>2.9636679659856902</v>
      </c>
    </row>
    <row r="31" spans="1:6" ht="39" customHeight="1">
      <c r="A31" s="44" t="s">
        <v>833</v>
      </c>
      <c r="B31" s="45" t="s">
        <v>834</v>
      </c>
      <c r="C31" s="44" t="s">
        <v>835</v>
      </c>
      <c r="D31" s="46" t="s">
        <v>836</v>
      </c>
      <c r="E31" s="46" t="s">
        <v>837</v>
      </c>
      <c r="F31" s="47" t="s">
        <v>838</v>
      </c>
    </row>
    <row r="32" spans="1:6" ht="39" customHeight="1">
      <c r="A32" s="44" t="s">
        <v>839</v>
      </c>
      <c r="B32" s="45" t="s">
        <v>840</v>
      </c>
      <c r="C32" s="44" t="s">
        <v>841</v>
      </c>
      <c r="D32" s="46">
        <v>0</v>
      </c>
      <c r="E32" s="46">
        <v>0</v>
      </c>
      <c r="F32" s="47"/>
    </row>
    <row r="33" spans="1:6" ht="39" customHeight="1">
      <c r="A33" s="44" t="s">
        <v>842</v>
      </c>
      <c r="B33" s="45" t="s">
        <v>843</v>
      </c>
      <c r="C33" s="44" t="s">
        <v>844</v>
      </c>
      <c r="D33" s="46">
        <v>0</v>
      </c>
      <c r="E33" s="46">
        <v>0</v>
      </c>
      <c r="F33" s="47"/>
    </row>
    <row r="34" spans="1:6" ht="39" customHeight="1">
      <c r="A34" s="44" t="s">
        <v>845</v>
      </c>
      <c r="B34" s="45" t="s">
        <v>846</v>
      </c>
      <c r="C34" s="44" t="s">
        <v>847</v>
      </c>
      <c r="D34" s="46">
        <v>611610129421</v>
      </c>
      <c r="E34" s="46">
        <v>336723493437</v>
      </c>
      <c r="F34" s="47">
        <v>2.19069310286539</v>
      </c>
    </row>
    <row r="35" spans="1:6" ht="39" customHeight="1">
      <c r="A35" s="44" t="s">
        <v>848</v>
      </c>
      <c r="B35" s="45" t="s">
        <v>849</v>
      </c>
      <c r="C35" s="44" t="s">
        <v>850</v>
      </c>
      <c r="D35" s="46">
        <v>159703507782</v>
      </c>
      <c r="E35" s="46">
        <v>139131525587</v>
      </c>
      <c r="F35" s="47"/>
    </row>
    <row r="36" spans="1:6" ht="39" customHeight="1">
      <c r="A36" s="44" t="s">
        <v>851</v>
      </c>
      <c r="B36" s="45" t="s">
        <v>852</v>
      </c>
      <c r="C36" s="44" t="s">
        <v>853</v>
      </c>
      <c r="D36" s="46">
        <v>56100000000</v>
      </c>
      <c r="E36" s="46">
        <v>27100000000</v>
      </c>
      <c r="F36" s="47"/>
    </row>
    <row r="37" spans="1:6" ht="39" customHeight="1">
      <c r="A37" s="44" t="s">
        <v>854</v>
      </c>
      <c r="B37" s="45" t="s">
        <v>855</v>
      </c>
      <c r="C37" s="44" t="s">
        <v>856</v>
      </c>
      <c r="D37" s="46">
        <v>0</v>
      </c>
      <c r="E37" s="46">
        <v>0</v>
      </c>
      <c r="F37" s="47"/>
    </row>
    <row r="38" spans="1:6" ht="39" customHeight="1">
      <c r="A38" s="44" t="s">
        <v>857</v>
      </c>
      <c r="B38" s="45" t="s">
        <v>858</v>
      </c>
      <c r="C38" s="44" t="s">
        <v>859</v>
      </c>
      <c r="D38" s="46">
        <v>0</v>
      </c>
      <c r="E38" s="46">
        <v>0</v>
      </c>
      <c r="F38" s="47"/>
    </row>
    <row r="39" spans="1:6" ht="39" customHeight="1">
      <c r="A39" s="44" t="s">
        <v>860</v>
      </c>
      <c r="B39" s="45" t="s">
        <v>861</v>
      </c>
      <c r="C39" s="44" t="s">
        <v>862</v>
      </c>
      <c r="D39" s="46">
        <v>0</v>
      </c>
      <c r="E39" s="46">
        <v>0</v>
      </c>
      <c r="F39" s="47"/>
    </row>
    <row r="40" spans="1:6" ht="39" customHeight="1">
      <c r="A40" s="44" t="s">
        <v>863</v>
      </c>
      <c r="B40" s="45" t="s">
        <v>864</v>
      </c>
      <c r="C40" s="44" t="s">
        <v>865</v>
      </c>
      <c r="D40" s="46">
        <v>0</v>
      </c>
      <c r="E40" s="46">
        <v>0</v>
      </c>
      <c r="F40" s="47"/>
    </row>
    <row r="41" spans="1:6" ht="68.5" customHeight="1">
      <c r="A41" s="44" t="s">
        <v>866</v>
      </c>
      <c r="B41" s="45" t="s">
        <v>867</v>
      </c>
      <c r="C41" s="44" t="s">
        <v>868</v>
      </c>
      <c r="D41" s="46">
        <v>0</v>
      </c>
      <c r="E41" s="46">
        <v>0</v>
      </c>
      <c r="F41" s="47"/>
    </row>
    <row r="42" spans="1:6" ht="39" customHeight="1">
      <c r="A42" s="44" t="s">
        <v>869</v>
      </c>
      <c r="B42" s="45" t="s">
        <v>870</v>
      </c>
      <c r="C42" s="44" t="s">
        <v>871</v>
      </c>
      <c r="D42" s="46" t="s">
        <v>872</v>
      </c>
      <c r="E42" s="46" t="s">
        <v>873</v>
      </c>
      <c r="F42" s="47" t="s">
        <v>874</v>
      </c>
    </row>
    <row r="43" spans="1:6" ht="39" customHeight="1">
      <c r="A43" s="44" t="s">
        <v>875</v>
      </c>
      <c r="B43" s="45" t="s">
        <v>876</v>
      </c>
      <c r="C43" s="44" t="s">
        <v>877</v>
      </c>
      <c r="D43" s="46">
        <v>18160073621</v>
      </c>
      <c r="E43" s="46">
        <v>8129229024</v>
      </c>
      <c r="F43" s="47">
        <v>1.7840580594836499</v>
      </c>
    </row>
    <row r="44" spans="1:6" ht="39" customHeight="1">
      <c r="A44" s="44" t="s">
        <v>878</v>
      </c>
      <c r="B44" s="45" t="s">
        <v>879</v>
      </c>
      <c r="C44" s="44" t="s">
        <v>880</v>
      </c>
      <c r="D44" s="46" t="s">
        <v>881</v>
      </c>
      <c r="E44" s="46" t="s">
        <v>882</v>
      </c>
      <c r="F44" s="47" t="s">
        <v>883</v>
      </c>
    </row>
    <row r="45" spans="1:6" ht="39" customHeight="1">
      <c r="A45" s="44" t="s">
        <v>884</v>
      </c>
      <c r="B45" s="45" t="s">
        <v>885</v>
      </c>
      <c r="C45" s="44" t="s">
        <v>886</v>
      </c>
      <c r="D45" s="46">
        <v>0</v>
      </c>
      <c r="E45" s="46">
        <v>0</v>
      </c>
      <c r="F45" s="47"/>
    </row>
    <row r="46" spans="1:6" ht="39" customHeight="1">
      <c r="A46" s="44" t="s">
        <v>887</v>
      </c>
      <c r="B46" s="45" t="s">
        <v>888</v>
      </c>
      <c r="C46" s="44" t="s">
        <v>889</v>
      </c>
      <c r="D46" s="46">
        <v>18160073621</v>
      </c>
      <c r="E46" s="46">
        <v>8129229024</v>
      </c>
      <c r="F46" s="47">
        <v>1.7840580594836499</v>
      </c>
    </row>
    <row r="47" spans="1:6" ht="39" customHeight="1">
      <c r="A47" s="44" t="s">
        <v>890</v>
      </c>
      <c r="B47" s="45" t="s">
        <v>891</v>
      </c>
      <c r="C47" s="44" t="s">
        <v>892</v>
      </c>
      <c r="D47" s="46">
        <v>4038991781</v>
      </c>
      <c r="E47" s="46">
        <v>5251567121</v>
      </c>
      <c r="F47" s="47">
        <v>67.501464570842501</v>
      </c>
    </row>
    <row r="48" spans="1:6" ht="39" customHeight="1">
      <c r="A48" s="44" t="s">
        <v>893</v>
      </c>
      <c r="B48" s="45" t="s">
        <v>894</v>
      </c>
      <c r="C48" s="44" t="s">
        <v>895</v>
      </c>
      <c r="D48" s="46" t="s">
        <v>896</v>
      </c>
      <c r="E48" s="46" t="s">
        <v>897</v>
      </c>
      <c r="F48" s="47" t="s">
        <v>898</v>
      </c>
    </row>
    <row r="49" spans="1:6" ht="39" customHeight="1">
      <c r="A49" s="44" t="s">
        <v>899</v>
      </c>
      <c r="B49" s="45" t="s">
        <v>900</v>
      </c>
      <c r="C49" s="44" t="s">
        <v>901</v>
      </c>
      <c r="D49" s="46">
        <v>792136987</v>
      </c>
      <c r="E49" s="46">
        <v>424471232</v>
      </c>
      <c r="F49" s="47">
        <v>13.238553000966</v>
      </c>
    </row>
    <row r="50" spans="1:6" ht="39" customHeight="1">
      <c r="A50" s="44" t="s">
        <v>902</v>
      </c>
      <c r="B50" s="45" t="s">
        <v>903</v>
      </c>
      <c r="C50" s="44" t="s">
        <v>904</v>
      </c>
      <c r="D50" s="46">
        <v>3246854794</v>
      </c>
      <c r="E50" s="46">
        <v>4827095889</v>
      </c>
      <c r="F50" s="47"/>
    </row>
    <row r="51" spans="1:6" ht="39" customHeight="1">
      <c r="A51" s="44" t="s">
        <v>905</v>
      </c>
      <c r="B51" s="45" t="s">
        <v>906</v>
      </c>
      <c r="C51" s="44" t="s">
        <v>907</v>
      </c>
      <c r="D51" s="46">
        <v>0</v>
      </c>
      <c r="E51" s="46">
        <v>0</v>
      </c>
      <c r="F51" s="47"/>
    </row>
    <row r="52" spans="1:6" ht="39" customHeight="1">
      <c r="A52" s="44" t="s">
        <v>908</v>
      </c>
      <c r="B52" s="45" t="s">
        <v>909</v>
      </c>
      <c r="C52" s="44" t="s">
        <v>910</v>
      </c>
      <c r="D52" s="46">
        <v>0</v>
      </c>
      <c r="E52" s="46">
        <v>0</v>
      </c>
      <c r="F52" s="47"/>
    </row>
    <row r="53" spans="1:6" ht="39" customHeight="1">
      <c r="A53" s="44" t="s">
        <v>911</v>
      </c>
      <c r="B53" s="45" t="s">
        <v>912</v>
      </c>
      <c r="C53" s="44" t="s">
        <v>913</v>
      </c>
      <c r="D53" s="46" t="s">
        <v>914</v>
      </c>
      <c r="E53" s="46" t="s">
        <v>915</v>
      </c>
      <c r="F53" s="47" t="s">
        <v>916</v>
      </c>
    </row>
    <row r="54" spans="1:6" ht="39" customHeight="1">
      <c r="A54" s="44" t="s">
        <v>917</v>
      </c>
      <c r="B54" s="45" t="s">
        <v>918</v>
      </c>
      <c r="C54" s="44" t="s">
        <v>919</v>
      </c>
      <c r="D54" s="46">
        <v>0</v>
      </c>
      <c r="E54" s="46">
        <v>0</v>
      </c>
      <c r="F54" s="47"/>
    </row>
    <row r="55" spans="1:6" ht="39" customHeight="1">
      <c r="A55" s="44" t="s">
        <v>920</v>
      </c>
      <c r="B55" s="45" t="s">
        <v>921</v>
      </c>
      <c r="C55" s="44" t="s">
        <v>922</v>
      </c>
      <c r="D55" s="46" t="s">
        <v>923</v>
      </c>
      <c r="E55" s="46" t="s">
        <v>924</v>
      </c>
      <c r="F55" s="47" t="s">
        <v>925</v>
      </c>
    </row>
    <row r="56" spans="1:6" ht="39" customHeight="1">
      <c r="A56" s="44" t="s">
        <v>926</v>
      </c>
      <c r="B56" s="45" t="s">
        <v>927</v>
      </c>
      <c r="C56" s="44" t="s">
        <v>928</v>
      </c>
      <c r="D56" s="46">
        <v>0</v>
      </c>
      <c r="E56" s="46">
        <v>229900</v>
      </c>
      <c r="F56" s="47"/>
    </row>
    <row r="57" spans="1:6" ht="39" customHeight="1">
      <c r="A57" s="44" t="s">
        <v>929</v>
      </c>
      <c r="B57" s="45" t="s">
        <v>930</v>
      </c>
      <c r="C57" s="44" t="s">
        <v>931</v>
      </c>
      <c r="D57" s="46" t="s">
        <v>932</v>
      </c>
      <c r="E57" s="46" t="s">
        <v>933</v>
      </c>
      <c r="F57" s="47" t="s">
        <v>934</v>
      </c>
    </row>
    <row r="58" spans="1:6" ht="39" customHeight="1">
      <c r="A58" s="44" t="s">
        <v>935</v>
      </c>
      <c r="B58" s="45" t="s">
        <v>936</v>
      </c>
      <c r="C58" s="44" t="s">
        <v>937</v>
      </c>
      <c r="D58" s="46">
        <v>0</v>
      </c>
      <c r="E58" s="46">
        <v>0</v>
      </c>
      <c r="F58" s="47"/>
    </row>
    <row r="59" spans="1:6" ht="39" customHeight="1">
      <c r="A59" s="44" t="s">
        <v>938</v>
      </c>
      <c r="B59" s="45" t="s">
        <v>939</v>
      </c>
      <c r="C59" s="44" t="s">
        <v>940</v>
      </c>
      <c r="D59" s="46">
        <v>0</v>
      </c>
      <c r="E59" s="46">
        <v>0</v>
      </c>
      <c r="F59" s="47"/>
    </row>
    <row r="60" spans="1:6" ht="39" customHeight="1">
      <c r="A60" s="44" t="s">
        <v>941</v>
      </c>
      <c r="B60" s="45" t="s">
        <v>942</v>
      </c>
      <c r="C60" s="44" t="s">
        <v>943</v>
      </c>
      <c r="D60" s="46">
        <v>0</v>
      </c>
      <c r="E60" s="46">
        <v>229900</v>
      </c>
      <c r="F60" s="47"/>
    </row>
    <row r="61" spans="1:6" ht="39" customHeight="1">
      <c r="A61" s="44" t="s">
        <v>944</v>
      </c>
      <c r="B61" s="45" t="s">
        <v>945</v>
      </c>
      <c r="C61" s="44" t="s">
        <v>946</v>
      </c>
      <c r="D61" s="46">
        <v>0</v>
      </c>
      <c r="E61" s="46">
        <v>0</v>
      </c>
      <c r="F61" s="47"/>
    </row>
    <row r="62" spans="1:6" ht="39" customHeight="1">
      <c r="A62" s="44" t="s">
        <v>947</v>
      </c>
      <c r="B62" s="45" t="s">
        <v>948</v>
      </c>
      <c r="C62" s="44" t="s">
        <v>949</v>
      </c>
      <c r="D62" s="46" t="s">
        <v>950</v>
      </c>
      <c r="E62" s="46" t="s">
        <v>951</v>
      </c>
      <c r="F62" s="47" t="s">
        <v>952</v>
      </c>
    </row>
    <row r="63" spans="1:6" ht="39" customHeight="1">
      <c r="A63" s="40" t="s">
        <v>953</v>
      </c>
      <c r="B63" s="41" t="s">
        <v>954</v>
      </c>
      <c r="C63" s="40" t="s">
        <v>955</v>
      </c>
      <c r="D63" s="42">
        <v>1166279788559</v>
      </c>
      <c r="E63" s="42">
        <v>697648691545</v>
      </c>
      <c r="F63" s="43">
        <v>3.608146000713</v>
      </c>
    </row>
    <row r="64" spans="1:6" ht="39" customHeight="1">
      <c r="A64" s="40" t="s">
        <v>956</v>
      </c>
      <c r="B64" s="41" t="s">
        <v>957</v>
      </c>
      <c r="C64" s="40" t="s">
        <v>958</v>
      </c>
      <c r="D64" s="42"/>
      <c r="E64" s="42"/>
      <c r="F64" s="43"/>
    </row>
    <row r="65" spans="1:6" ht="39" customHeight="1">
      <c r="A65" s="44" t="s">
        <v>959</v>
      </c>
      <c r="B65" s="45" t="s">
        <v>960</v>
      </c>
      <c r="C65" s="44" t="s">
        <v>961</v>
      </c>
      <c r="D65" s="46">
        <v>0</v>
      </c>
      <c r="E65" s="46">
        <v>0</v>
      </c>
      <c r="F65" s="47"/>
    </row>
    <row r="66" spans="1:6" ht="39" customHeight="1">
      <c r="A66" s="44" t="s">
        <v>962</v>
      </c>
      <c r="B66" s="45" t="s">
        <v>963</v>
      </c>
      <c r="C66" s="44" t="s">
        <v>964</v>
      </c>
      <c r="D66" s="46" t="s">
        <v>965</v>
      </c>
      <c r="E66" s="46" t="s">
        <v>966</v>
      </c>
      <c r="F66" s="47" t="s">
        <v>967</v>
      </c>
    </row>
    <row r="67" spans="1:6" ht="39" customHeight="1">
      <c r="A67" s="44" t="s">
        <v>968</v>
      </c>
      <c r="B67" s="45" t="s">
        <v>969</v>
      </c>
      <c r="C67" s="44" t="s">
        <v>970</v>
      </c>
      <c r="D67" s="46">
        <v>21503400000</v>
      </c>
      <c r="E67" s="46">
        <v>0</v>
      </c>
      <c r="F67" s="47"/>
    </row>
    <row r="68" spans="1:6" ht="39" customHeight="1">
      <c r="A68" s="44" t="s">
        <v>971</v>
      </c>
      <c r="B68" s="45" t="s">
        <v>972</v>
      </c>
      <c r="C68" s="44" t="s">
        <v>973</v>
      </c>
      <c r="D68" s="46" t="s">
        <v>974</v>
      </c>
      <c r="E68" s="46" t="s">
        <v>975</v>
      </c>
      <c r="F68" s="47" t="s">
        <v>976</v>
      </c>
    </row>
    <row r="69" spans="1:6" ht="39" customHeight="1">
      <c r="A69" s="44" t="s">
        <v>977</v>
      </c>
      <c r="B69" s="45" t="s">
        <v>978</v>
      </c>
      <c r="C69" s="44" t="s">
        <v>979</v>
      </c>
      <c r="D69" s="46">
        <v>24661286873</v>
      </c>
      <c r="E69" s="46">
        <v>9327079882</v>
      </c>
      <c r="F69" s="47">
        <v>7.1993551151299204</v>
      </c>
    </row>
    <row r="70" spans="1:6" ht="39" customHeight="1">
      <c r="A70" s="44" t="s">
        <v>980</v>
      </c>
      <c r="B70" s="45" t="s">
        <v>981</v>
      </c>
      <c r="C70" s="44" t="s">
        <v>982</v>
      </c>
      <c r="D70" s="46" t="s">
        <v>983</v>
      </c>
      <c r="E70" s="46" t="s">
        <v>984</v>
      </c>
      <c r="F70" s="47" t="s">
        <v>985</v>
      </c>
    </row>
    <row r="71" spans="1:6" ht="39" customHeight="1">
      <c r="A71" s="44" t="s">
        <v>986</v>
      </c>
      <c r="B71" s="45" t="s">
        <v>987</v>
      </c>
      <c r="C71" s="44" t="s">
        <v>988</v>
      </c>
      <c r="D71" s="46">
        <v>23460804386</v>
      </c>
      <c r="E71" s="46">
        <v>8513076921</v>
      </c>
      <c r="F71" s="47">
        <v>11.360332940243801</v>
      </c>
    </row>
    <row r="72" spans="1:6" ht="39" customHeight="1">
      <c r="A72" s="44" t="s">
        <v>989</v>
      </c>
      <c r="B72" s="45" t="s">
        <v>990</v>
      </c>
      <c r="C72" s="44" t="s">
        <v>991</v>
      </c>
      <c r="D72" s="46">
        <v>22455480348</v>
      </c>
      <c r="E72" s="46">
        <v>8512937548</v>
      </c>
      <c r="F72" s="47">
        <v>235.268848005243</v>
      </c>
    </row>
    <row r="73" spans="1:6" ht="48" customHeight="1">
      <c r="A73" s="44" t="s">
        <v>992</v>
      </c>
      <c r="B73" s="45" t="s">
        <v>993</v>
      </c>
      <c r="C73" s="44" t="s">
        <v>994</v>
      </c>
      <c r="D73" s="46">
        <v>0</v>
      </c>
      <c r="E73" s="46">
        <v>0</v>
      </c>
      <c r="F73" s="47"/>
    </row>
    <row r="74" spans="1:6" ht="39" customHeight="1">
      <c r="A74" s="44" t="s">
        <v>995</v>
      </c>
      <c r="B74" s="45" t="s">
        <v>996</v>
      </c>
      <c r="C74" s="44" t="s">
        <v>997</v>
      </c>
      <c r="D74" s="46">
        <v>0</v>
      </c>
      <c r="E74" s="46">
        <v>0</v>
      </c>
      <c r="F74" s="47"/>
    </row>
    <row r="75" spans="1:6" ht="39" customHeight="1">
      <c r="A75" s="44" t="s">
        <v>998</v>
      </c>
      <c r="B75" s="45" t="s">
        <v>999</v>
      </c>
      <c r="C75" s="44" t="s">
        <v>1000</v>
      </c>
      <c r="D75" s="46">
        <v>1005324038</v>
      </c>
      <c r="E75" s="46">
        <v>139373</v>
      </c>
      <c r="F75" s="47">
        <v>0.51039317771249304</v>
      </c>
    </row>
    <row r="76" spans="1:6" ht="39" customHeight="1">
      <c r="A76" s="44" t="s">
        <v>1001</v>
      </c>
      <c r="B76" s="45" t="s">
        <v>1002</v>
      </c>
      <c r="C76" s="44" t="s">
        <v>1003</v>
      </c>
      <c r="D76" s="46">
        <v>147043274</v>
      </c>
      <c r="E76" s="46">
        <v>72846223</v>
      </c>
      <c r="F76" s="47">
        <v>0.35643422597506802</v>
      </c>
    </row>
    <row r="77" spans="1:6" ht="79.5" customHeight="1">
      <c r="A77" s="44" t="s">
        <v>1004</v>
      </c>
      <c r="B77" s="45" t="s">
        <v>1005</v>
      </c>
      <c r="C77" s="44" t="s">
        <v>1006</v>
      </c>
      <c r="D77" s="46">
        <v>0</v>
      </c>
      <c r="E77" s="46">
        <v>0</v>
      </c>
      <c r="F77" s="47">
        <v>0</v>
      </c>
    </row>
    <row r="78" spans="1:6" ht="39" customHeight="1">
      <c r="A78" s="44" t="s">
        <v>1007</v>
      </c>
      <c r="B78" s="45" t="s">
        <v>1008</v>
      </c>
      <c r="C78" s="44" t="s">
        <v>1009</v>
      </c>
      <c r="D78" s="46">
        <v>0</v>
      </c>
      <c r="E78" s="46">
        <v>0</v>
      </c>
      <c r="F78" s="47"/>
    </row>
    <row r="79" spans="1:6" ht="39" customHeight="1">
      <c r="A79" s="44" t="s">
        <v>1010</v>
      </c>
      <c r="B79" s="45" t="s">
        <v>1011</v>
      </c>
      <c r="C79" s="44" t="s">
        <v>1012</v>
      </c>
      <c r="D79" s="46">
        <v>11490411</v>
      </c>
      <c r="E79" s="46">
        <v>10997260</v>
      </c>
      <c r="F79" s="47">
        <v>0.98925231729877805</v>
      </c>
    </row>
    <row r="80" spans="1:6" ht="39" customHeight="1">
      <c r="A80" s="44" t="s">
        <v>1013</v>
      </c>
      <c r="B80" s="45" t="s">
        <v>1014</v>
      </c>
      <c r="C80" s="44" t="s">
        <v>1015</v>
      </c>
      <c r="D80" s="46">
        <v>840387611</v>
      </c>
      <c r="E80" s="46">
        <v>572561722</v>
      </c>
      <c r="F80" s="47">
        <v>1.6725570127643601</v>
      </c>
    </row>
    <row r="81" spans="1:6" ht="39" customHeight="1">
      <c r="A81" s="44" t="s">
        <v>1016</v>
      </c>
      <c r="B81" s="45" t="s">
        <v>1017</v>
      </c>
      <c r="C81" s="44" t="s">
        <v>1018</v>
      </c>
      <c r="D81" s="46">
        <v>39428886</v>
      </c>
      <c r="E81" s="46">
        <v>37262500</v>
      </c>
      <c r="F81" s="47">
        <v>1.05813850385777</v>
      </c>
    </row>
    <row r="82" spans="1:6" ht="39" customHeight="1">
      <c r="A82" s="44" t="s">
        <v>1019</v>
      </c>
      <c r="B82" s="45" t="s">
        <v>1020</v>
      </c>
      <c r="C82" s="44" t="s">
        <v>1021</v>
      </c>
      <c r="D82" s="46">
        <v>23110659</v>
      </c>
      <c r="E82" s="46">
        <v>18186861</v>
      </c>
      <c r="F82" s="47">
        <v>1.2685780315446999</v>
      </c>
    </row>
    <row r="83" spans="1:6" ht="39" customHeight="1">
      <c r="A83" s="44" t="s">
        <v>1022</v>
      </c>
      <c r="B83" s="45" t="s">
        <v>1023</v>
      </c>
      <c r="C83" s="44" t="s">
        <v>1024</v>
      </c>
      <c r="D83" s="46">
        <v>3225510</v>
      </c>
      <c r="E83" s="46">
        <v>0</v>
      </c>
      <c r="F83" s="47"/>
    </row>
    <row r="84" spans="1:6" ht="39" customHeight="1">
      <c r="A84" s="44" t="s">
        <v>1025</v>
      </c>
      <c r="B84" s="45" t="s">
        <v>1026</v>
      </c>
      <c r="C84" s="44" t="s">
        <v>1027</v>
      </c>
      <c r="D84" s="46">
        <v>3225510</v>
      </c>
      <c r="E84" s="46">
        <v>0</v>
      </c>
      <c r="F84" s="47"/>
    </row>
    <row r="85" spans="1:6" ht="46" customHeight="1">
      <c r="A85" s="44" t="s">
        <v>1028</v>
      </c>
      <c r="B85" s="45" t="s">
        <v>1029</v>
      </c>
      <c r="C85" s="44" t="s">
        <v>1030</v>
      </c>
      <c r="D85" s="46">
        <v>0</v>
      </c>
      <c r="E85" s="46">
        <v>0</v>
      </c>
      <c r="F85" s="47"/>
    </row>
    <row r="86" spans="1:6" ht="39" customHeight="1">
      <c r="A86" s="44" t="s">
        <v>1031</v>
      </c>
      <c r="B86" s="45" t="s">
        <v>1032</v>
      </c>
      <c r="C86" s="44" t="s">
        <v>1033</v>
      </c>
      <c r="D86" s="46">
        <v>38016149</v>
      </c>
      <c r="E86" s="46">
        <v>25592213</v>
      </c>
      <c r="F86" s="47">
        <v>1.7174134542842601</v>
      </c>
    </row>
    <row r="87" spans="1:6" ht="39" customHeight="1">
      <c r="A87" s="44" t="s">
        <v>1034</v>
      </c>
      <c r="B87" s="45" t="s">
        <v>1035</v>
      </c>
      <c r="C87" s="44" t="s">
        <v>1036</v>
      </c>
      <c r="D87" s="46">
        <v>35016149</v>
      </c>
      <c r="E87" s="46">
        <v>23942213</v>
      </c>
      <c r="F87" s="47">
        <v>1.67255687653147</v>
      </c>
    </row>
    <row r="88" spans="1:6" ht="39" customHeight="1">
      <c r="A88" s="44" t="s">
        <v>1037</v>
      </c>
      <c r="B88" s="45" t="s">
        <v>1038</v>
      </c>
      <c r="C88" s="44" t="s">
        <v>1039</v>
      </c>
      <c r="D88" s="46">
        <v>2550000</v>
      </c>
      <c r="E88" s="46">
        <v>1200000</v>
      </c>
      <c r="F88" s="47">
        <v>2.125</v>
      </c>
    </row>
    <row r="89" spans="1:6" ht="91.5" customHeight="1">
      <c r="A89" s="44" t="s">
        <v>1040</v>
      </c>
      <c r="B89" s="45" t="s">
        <v>1041</v>
      </c>
      <c r="C89" s="44" t="s">
        <v>1042</v>
      </c>
      <c r="D89" s="46">
        <v>450000</v>
      </c>
      <c r="E89" s="46">
        <v>450000</v>
      </c>
      <c r="F89" s="47"/>
    </row>
    <row r="90" spans="1:6" ht="39" customHeight="1">
      <c r="A90" s="44" t="s">
        <v>1043</v>
      </c>
      <c r="B90" s="45" t="s">
        <v>1044</v>
      </c>
      <c r="C90" s="44" t="s">
        <v>1045</v>
      </c>
      <c r="D90" s="46">
        <v>54944201</v>
      </c>
      <c r="E90" s="46">
        <v>41999879</v>
      </c>
      <c r="F90" s="47">
        <v>1.24991252532477</v>
      </c>
    </row>
    <row r="91" spans="1:6" ht="39" customHeight="1">
      <c r="A91" s="44" t="s">
        <v>1046</v>
      </c>
      <c r="B91" s="45" t="s">
        <v>1047</v>
      </c>
      <c r="C91" s="44" t="s">
        <v>1048</v>
      </c>
      <c r="D91" s="46">
        <v>0</v>
      </c>
      <c r="E91" s="46">
        <v>0</v>
      </c>
      <c r="F91" s="47"/>
    </row>
    <row r="92" spans="1:6" ht="39" customHeight="1">
      <c r="A92" s="44" t="s">
        <v>1049</v>
      </c>
      <c r="B92" s="45" t="s">
        <v>1050</v>
      </c>
      <c r="C92" s="44" t="s">
        <v>1051</v>
      </c>
      <c r="D92" s="46">
        <v>0</v>
      </c>
      <c r="E92" s="46">
        <v>0</v>
      </c>
      <c r="F92" s="47"/>
    </row>
    <row r="93" spans="1:6" ht="39" customHeight="1">
      <c r="A93" s="44" t="s">
        <v>1052</v>
      </c>
      <c r="B93" s="45" t="s">
        <v>1053</v>
      </c>
      <c r="C93" s="44" t="s">
        <v>1054</v>
      </c>
      <c r="D93" s="46">
        <v>13200000</v>
      </c>
      <c r="E93" s="46">
        <v>13200000</v>
      </c>
      <c r="F93" s="47">
        <v>1</v>
      </c>
    </row>
    <row r="94" spans="1:6" ht="69.5" customHeight="1">
      <c r="A94" s="44" t="s">
        <v>1055</v>
      </c>
      <c r="B94" s="45" t="s">
        <v>1056</v>
      </c>
      <c r="C94" s="44" t="s">
        <v>1057</v>
      </c>
      <c r="D94" s="46">
        <v>0</v>
      </c>
      <c r="E94" s="46">
        <v>0</v>
      </c>
      <c r="F94" s="47"/>
    </row>
    <row r="95" spans="1:6" ht="50.5" customHeight="1">
      <c r="A95" s="44" t="s">
        <v>1058</v>
      </c>
      <c r="B95" s="45" t="s">
        <v>1059</v>
      </c>
      <c r="C95" s="44" t="s">
        <v>1060</v>
      </c>
      <c r="D95" s="46">
        <v>0</v>
      </c>
      <c r="E95" s="46">
        <v>0</v>
      </c>
      <c r="F95" s="47"/>
    </row>
    <row r="96" spans="1:6" ht="39" customHeight="1">
      <c r="A96" s="44" t="s">
        <v>1061</v>
      </c>
      <c r="B96" s="45" t="s">
        <v>1062</v>
      </c>
      <c r="C96" s="44" t="s">
        <v>1063</v>
      </c>
      <c r="D96" s="46">
        <v>29635786</v>
      </c>
      <c r="E96" s="46">
        <v>21356303</v>
      </c>
      <c r="F96" s="47">
        <v>5.9271571999999999</v>
      </c>
    </row>
    <row r="97" spans="1:6" ht="63.5" customHeight="1">
      <c r="A97" s="44" t="s">
        <v>1064</v>
      </c>
      <c r="B97" s="45" t="s">
        <v>1065</v>
      </c>
      <c r="C97" s="44" t="s">
        <v>1066</v>
      </c>
      <c r="D97" s="46">
        <v>15581522</v>
      </c>
      <c r="E97" s="46">
        <v>7918478</v>
      </c>
      <c r="F97" s="47"/>
    </row>
    <row r="98" spans="1:6" ht="69.5" customHeight="1">
      <c r="A98" s="44" t="s">
        <v>1067</v>
      </c>
      <c r="B98" s="45" t="s">
        <v>1068</v>
      </c>
      <c r="C98" s="44" t="s">
        <v>1069</v>
      </c>
      <c r="D98" s="46">
        <v>0</v>
      </c>
      <c r="E98" s="46">
        <v>0</v>
      </c>
      <c r="F98" s="47"/>
    </row>
    <row r="99" spans="1:6" ht="45" customHeight="1">
      <c r="A99" s="44" t="s">
        <v>1070</v>
      </c>
      <c r="B99" s="45" t="s">
        <v>1071</v>
      </c>
      <c r="C99" s="44" t="s">
        <v>1072</v>
      </c>
      <c r="D99" s="46">
        <v>6863014</v>
      </c>
      <c r="E99" s="46">
        <v>6246575</v>
      </c>
      <c r="F99" s="47">
        <v>1.3726027999999999</v>
      </c>
    </row>
    <row r="100" spans="1:6" ht="39" customHeight="1">
      <c r="A100" s="44" t="s">
        <v>1073</v>
      </c>
      <c r="B100" s="45" t="s">
        <v>1074</v>
      </c>
      <c r="C100" s="44" t="s">
        <v>1075</v>
      </c>
      <c r="D100" s="46">
        <v>7191250</v>
      </c>
      <c r="E100" s="46">
        <v>7191250</v>
      </c>
      <c r="F100" s="47"/>
    </row>
    <row r="101" spans="1:6" ht="39" customHeight="1">
      <c r="A101" s="44" t="s">
        <v>1076</v>
      </c>
      <c r="B101" s="45" t="s">
        <v>1077</v>
      </c>
      <c r="C101" s="44" t="s">
        <v>1078</v>
      </c>
      <c r="D101" s="46">
        <v>0</v>
      </c>
      <c r="E101" s="46">
        <v>0</v>
      </c>
      <c r="F101" s="47"/>
    </row>
    <row r="102" spans="1:6" ht="39" customHeight="1">
      <c r="A102" s="44" t="s">
        <v>1079</v>
      </c>
      <c r="B102" s="45" t="s">
        <v>1080</v>
      </c>
      <c r="C102" s="44" t="s">
        <v>1081</v>
      </c>
      <c r="D102" s="46">
        <v>0</v>
      </c>
      <c r="E102" s="46">
        <v>0</v>
      </c>
      <c r="F102" s="47"/>
    </row>
    <row r="103" spans="1:6" ht="54" customHeight="1">
      <c r="A103" s="44" t="s">
        <v>1082</v>
      </c>
      <c r="B103" s="45" t="s">
        <v>1083</v>
      </c>
      <c r="C103" s="44" t="s">
        <v>1084</v>
      </c>
      <c r="D103" s="46">
        <v>0</v>
      </c>
      <c r="E103" s="46">
        <v>0</v>
      </c>
      <c r="F103" s="47"/>
    </row>
    <row r="104" spans="1:6" ht="53.5" customHeight="1">
      <c r="A104" s="44" t="s">
        <v>1085</v>
      </c>
      <c r="B104" s="45" t="s">
        <v>1086</v>
      </c>
      <c r="C104" s="44" t="s">
        <v>1087</v>
      </c>
      <c r="D104" s="46">
        <v>0</v>
      </c>
      <c r="E104" s="46">
        <v>0</v>
      </c>
      <c r="F104" s="47"/>
    </row>
    <row r="105" spans="1:6" ht="39" customHeight="1">
      <c r="A105" s="40" t="s">
        <v>1088</v>
      </c>
      <c r="B105" s="41" t="s">
        <v>1089</v>
      </c>
      <c r="C105" s="40" t="s">
        <v>1090</v>
      </c>
      <c r="D105" s="42">
        <v>46164686873</v>
      </c>
      <c r="E105" s="42">
        <v>9327079882</v>
      </c>
      <c r="F105" s="43">
        <v>13.476830154446599</v>
      </c>
    </row>
    <row r="106" spans="1:6" ht="39" customHeight="1">
      <c r="A106" s="44" t="s">
        <v>1091</v>
      </c>
      <c r="B106" s="45" t="s">
        <v>1092</v>
      </c>
      <c r="C106" s="44" t="s">
        <v>1093</v>
      </c>
      <c r="D106" s="46">
        <v>1120115101686</v>
      </c>
      <c r="E106" s="46">
        <v>688321611663</v>
      </c>
      <c r="F106" s="47">
        <v>3.5024424102864602</v>
      </c>
    </row>
    <row r="107" spans="1:6" ht="39" customHeight="1">
      <c r="A107" s="44" t="s">
        <v>1094</v>
      </c>
      <c r="B107" s="45" t="s">
        <v>1095</v>
      </c>
      <c r="C107" s="44" t="s">
        <v>1096</v>
      </c>
      <c r="D107" s="48">
        <v>105608026.84</v>
      </c>
      <c r="E107" s="48">
        <v>65342479.060000002</v>
      </c>
      <c r="F107" s="47">
        <v>3.2667350669616102</v>
      </c>
    </row>
    <row r="108" spans="1:6" ht="39" customHeight="1">
      <c r="A108" s="44" t="s">
        <v>1097</v>
      </c>
      <c r="B108" s="45" t="s">
        <v>1098</v>
      </c>
      <c r="C108" s="44" t="s">
        <v>1099</v>
      </c>
      <c r="D108" s="48">
        <v>10606.34</v>
      </c>
      <c r="E108" s="48">
        <v>10534.06</v>
      </c>
      <c r="F108" s="47">
        <v>1.0721542979312699</v>
      </c>
    </row>
    <row r="109" spans="1:6" s="28" customFormat="1" ht="16.899999999999999" customHeight="1"/>
    <row r="110" spans="1:6" s="28" customFormat="1" ht="16.899999999999999" customHeight="1">
      <c r="A110" s="49" t="s">
        <v>10</v>
      </c>
      <c r="B110" s="50"/>
      <c r="C110" s="50"/>
      <c r="E110" s="49" t="s">
        <v>11</v>
      </c>
      <c r="F110" s="50"/>
    </row>
    <row r="111" spans="1:6" s="53" customFormat="1" ht="16.899999999999999" customHeight="1">
      <c r="A111" s="51" t="s">
        <v>12</v>
      </c>
      <c r="B111" s="52"/>
      <c r="C111" s="52"/>
      <c r="E111" s="51" t="s">
        <v>13</v>
      </c>
      <c r="F111" s="52"/>
    </row>
    <row r="112" spans="1:6" s="28" customFormat="1" ht="16.899999999999999" customHeight="1">
      <c r="A112" s="50"/>
      <c r="B112" s="50"/>
      <c r="C112" s="50"/>
      <c r="D112" s="50"/>
      <c r="E112" s="50"/>
      <c r="F112" s="50"/>
    </row>
    <row r="113" spans="1:6" s="28" customFormat="1" ht="16.899999999999999" customHeight="1">
      <c r="A113" s="50"/>
      <c r="B113" s="50"/>
      <c r="C113" s="50"/>
      <c r="D113" s="50"/>
      <c r="E113" s="50"/>
      <c r="F113" s="50"/>
    </row>
    <row r="114" spans="1:6" s="28" customFormat="1" ht="16.899999999999999" customHeight="1">
      <c r="A114" s="50"/>
      <c r="B114" s="50"/>
      <c r="C114" s="50"/>
      <c r="D114" s="50"/>
      <c r="E114" s="50"/>
      <c r="F114" s="50"/>
    </row>
    <row r="115" spans="1:6" s="28" customFormat="1" ht="16.899999999999999" customHeight="1">
      <c r="A115" s="50"/>
      <c r="B115" s="50"/>
      <c r="C115" s="50"/>
      <c r="D115" s="50"/>
      <c r="E115" s="50"/>
      <c r="F115" s="50"/>
    </row>
    <row r="116" spans="1:6" s="28" customFormat="1" ht="16.899999999999999" customHeight="1">
      <c r="A116" s="50"/>
      <c r="B116" s="50"/>
      <c r="C116" s="50"/>
      <c r="D116" s="50"/>
      <c r="E116" s="50"/>
      <c r="F116" s="50"/>
    </row>
    <row r="117" spans="1:6" s="28" customFormat="1" ht="16.899999999999999" customHeight="1">
      <c r="A117" s="50"/>
      <c r="B117" s="50"/>
      <c r="C117" s="50"/>
      <c r="D117" s="50"/>
      <c r="E117" s="50"/>
      <c r="F117" s="50"/>
    </row>
    <row r="118" spans="1:6" s="28" customFormat="1" ht="16.899999999999999" customHeight="1">
      <c r="A118" s="54"/>
      <c r="B118" s="54"/>
      <c r="C118" s="50"/>
      <c r="D118" s="55"/>
      <c r="E118" s="54"/>
      <c r="F118" s="54"/>
    </row>
    <row r="119" spans="1:6" s="28" customFormat="1" ht="16.899999999999999" customHeight="1">
      <c r="A119" s="56" t="s">
        <v>14</v>
      </c>
      <c r="B119" s="57"/>
      <c r="C119" s="50"/>
      <c r="D119" s="58"/>
      <c r="E119" s="56" t="s">
        <v>1102</v>
      </c>
      <c r="F119" s="57"/>
    </row>
    <row r="120" spans="1:6" s="28" customFormat="1" ht="16.899999999999999" customHeight="1">
      <c r="A120" s="59" t="s">
        <v>1108</v>
      </c>
      <c r="B120" s="55"/>
      <c r="C120" s="50"/>
      <c r="E120" s="59" t="s">
        <v>1121</v>
      </c>
      <c r="F120" s="55"/>
    </row>
    <row r="121" spans="1:6" s="28" customFormat="1" ht="16.899999999999999" customHeight="1">
      <c r="A121" s="50" t="s">
        <v>1109</v>
      </c>
      <c r="B121" s="50"/>
      <c r="C121" s="50"/>
      <c r="E121" s="50" t="s">
        <v>1130</v>
      </c>
      <c r="F121" s="50"/>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10"/>
  <sheetViews>
    <sheetView view="pageBreakPreview" topLeftCell="A105" zoomScale="70" zoomScaleNormal="100" zoomScaleSheetLayoutView="70" workbookViewId="0">
      <selection activeCell="D109" sqref="D109:D110"/>
    </sheetView>
  </sheetViews>
  <sheetFormatPr defaultColWidth="8.7265625" defaultRowHeight="15"/>
  <cols>
    <col min="1" max="1" width="8.7265625" style="29"/>
    <col min="2" max="2" width="54.54296875" style="29" customWidth="1"/>
    <col min="3" max="3" width="12.6328125" style="29" customWidth="1"/>
    <col min="4" max="5" width="25.81640625" style="29" customWidth="1"/>
    <col min="6" max="6" width="34.54296875" style="29" customWidth="1"/>
    <col min="7" max="16384" width="8.7265625" style="61"/>
  </cols>
  <sheetData>
    <row r="1" spans="1:7" ht="54.75" customHeight="1">
      <c r="A1" s="216" t="s">
        <v>569</v>
      </c>
      <c r="B1" s="216"/>
      <c r="C1" s="216"/>
      <c r="D1" s="216"/>
      <c r="E1" s="216"/>
      <c r="F1" s="216"/>
    </row>
    <row r="2" spans="1:7" ht="54.75" customHeight="1">
      <c r="A2" s="217" t="s">
        <v>570</v>
      </c>
      <c r="B2" s="217"/>
      <c r="C2" s="217"/>
      <c r="D2" s="217"/>
      <c r="E2" s="217"/>
      <c r="F2" s="217"/>
    </row>
    <row r="3" spans="1:7" ht="22.5" customHeight="1">
      <c r="A3" s="218" t="s">
        <v>520</v>
      </c>
      <c r="B3" s="218"/>
      <c r="C3" s="218"/>
      <c r="D3" s="218"/>
      <c r="E3" s="218"/>
      <c r="F3" s="218"/>
    </row>
    <row r="4" spans="1:7" ht="21" customHeight="1">
      <c r="A4" s="218"/>
      <c r="B4" s="218"/>
      <c r="C4" s="218"/>
      <c r="D4" s="218"/>
      <c r="E4" s="218"/>
      <c r="F4" s="218"/>
    </row>
    <row r="5" spans="1:7" ht="16.149999999999999" customHeight="1">
      <c r="A5" s="219" t="s">
        <v>1101</v>
      </c>
      <c r="B5" s="219"/>
      <c r="C5" s="219"/>
      <c r="D5" s="219"/>
      <c r="E5" s="219"/>
      <c r="F5" s="219"/>
    </row>
    <row r="7" spans="1:7" ht="16.899999999999999" customHeight="1">
      <c r="A7" s="62" t="s">
        <v>2</v>
      </c>
      <c r="C7" s="220" t="s">
        <v>1102</v>
      </c>
      <c r="D7" s="220"/>
      <c r="E7" s="220"/>
      <c r="F7" s="220"/>
    </row>
    <row r="8" spans="1:7" ht="16.899999999999999" customHeight="1">
      <c r="A8" s="29" t="s">
        <v>15</v>
      </c>
      <c r="C8" s="215" t="s">
        <v>1103</v>
      </c>
      <c r="D8" s="215"/>
      <c r="E8" s="215"/>
      <c r="F8" s="215"/>
    </row>
    <row r="9" spans="1:7" ht="16.899999999999999" customHeight="1">
      <c r="A9" s="62" t="s">
        <v>3</v>
      </c>
      <c r="C9" s="220" t="s">
        <v>1104</v>
      </c>
      <c r="D9" s="220"/>
      <c r="E9" s="220"/>
      <c r="F9" s="220"/>
    </row>
    <row r="10" spans="1:7" ht="16.899999999999999" customHeight="1">
      <c r="A10" s="29" t="s">
        <v>4</v>
      </c>
      <c r="C10" s="215" t="s">
        <v>1105</v>
      </c>
      <c r="D10" s="215"/>
      <c r="E10" s="215"/>
      <c r="F10" s="215"/>
    </row>
    <row r="11" spans="1:7" ht="16.899999999999999" customHeight="1">
      <c r="A11" s="62" t="s">
        <v>5</v>
      </c>
      <c r="C11" s="221" t="s">
        <v>576</v>
      </c>
      <c r="D11" s="221"/>
      <c r="E11" s="221"/>
      <c r="F11" s="221"/>
      <c r="G11" s="221"/>
    </row>
    <row r="12" spans="1:7" ht="16.899999999999999" customHeight="1">
      <c r="A12" s="29" t="s">
        <v>6</v>
      </c>
      <c r="C12" s="215" t="s">
        <v>1124</v>
      </c>
      <c r="D12" s="215"/>
      <c r="E12" s="215"/>
      <c r="F12" s="215"/>
      <c r="G12" s="215"/>
    </row>
    <row r="13" spans="1:7" ht="16.899999999999999" customHeight="1">
      <c r="A13" s="62" t="s">
        <v>7</v>
      </c>
      <c r="C13" s="220" t="s">
        <v>1106</v>
      </c>
      <c r="D13" s="220"/>
      <c r="E13" s="220"/>
      <c r="F13" s="220"/>
    </row>
    <row r="14" spans="1:7" ht="16.899999999999999" customHeight="1">
      <c r="A14" s="29" t="s">
        <v>8</v>
      </c>
      <c r="C14" s="215" t="s">
        <v>1107</v>
      </c>
      <c r="D14" s="215"/>
      <c r="E14" s="215"/>
      <c r="F14" s="215"/>
    </row>
    <row r="15" spans="1:7" ht="16.899999999999999" customHeight="1"/>
    <row r="16" spans="1:7" ht="16.899999999999999" customHeight="1">
      <c r="A16" s="32" t="s">
        <v>567</v>
      </c>
      <c r="B16" s="33" t="s">
        <v>568</v>
      </c>
    </row>
    <row r="17" spans="1:6" ht="16.899999999999999" customHeight="1">
      <c r="A17" s="63" t="s">
        <v>22</v>
      </c>
      <c r="B17" s="64" t="s">
        <v>25</v>
      </c>
    </row>
    <row r="18" spans="1:6" ht="65" customHeight="1">
      <c r="A18" s="65" t="s">
        <v>17</v>
      </c>
      <c r="B18" s="65" t="s">
        <v>18</v>
      </c>
      <c r="C18" s="65" t="s">
        <v>19</v>
      </c>
      <c r="D18" s="66" t="s">
        <v>1112</v>
      </c>
      <c r="E18" s="66" t="s">
        <v>1113</v>
      </c>
      <c r="F18" s="66" t="s">
        <v>573</v>
      </c>
    </row>
    <row r="19" spans="1:6" s="71" customFormat="1" ht="73" customHeight="1">
      <c r="A19" s="67" t="s">
        <v>16</v>
      </c>
      <c r="B19" s="68" t="s">
        <v>33</v>
      </c>
      <c r="C19" s="69" t="s">
        <v>50</v>
      </c>
      <c r="D19" s="70">
        <v>5203553061</v>
      </c>
      <c r="E19" s="70">
        <v>3783133040</v>
      </c>
      <c r="F19" s="70">
        <v>29880512941</v>
      </c>
    </row>
    <row r="20" spans="1:6" ht="73" customHeight="1">
      <c r="A20" s="72">
        <v>1</v>
      </c>
      <c r="B20" s="73" t="s">
        <v>524</v>
      </c>
      <c r="C20" s="74" t="s">
        <v>57</v>
      </c>
      <c r="D20" s="75">
        <v>0</v>
      </c>
      <c r="E20" s="75">
        <v>0</v>
      </c>
      <c r="F20" s="75">
        <v>0</v>
      </c>
    </row>
    <row r="21" spans="1:6" ht="73" customHeight="1">
      <c r="A21" s="76" t="s">
        <v>525</v>
      </c>
      <c r="B21" s="76" t="s">
        <v>525</v>
      </c>
      <c r="C21" s="76" t="s">
        <v>525</v>
      </c>
      <c r="D21" s="77" t="s">
        <v>525</v>
      </c>
      <c r="E21" s="77" t="s">
        <v>526</v>
      </c>
      <c r="F21" s="78" t="s">
        <v>526</v>
      </c>
    </row>
    <row r="22" spans="1:6" ht="73" customHeight="1">
      <c r="A22" s="72">
        <v>2</v>
      </c>
      <c r="B22" s="73" t="s">
        <v>243</v>
      </c>
      <c r="C22" s="74" t="s">
        <v>51</v>
      </c>
      <c r="D22" s="75">
        <v>3507841238</v>
      </c>
      <c r="E22" s="75">
        <v>2421624822</v>
      </c>
      <c r="F22" s="75">
        <v>22605338183</v>
      </c>
    </row>
    <row r="23" spans="1:6" ht="73" customHeight="1">
      <c r="A23" s="76" t="s">
        <v>525</v>
      </c>
      <c r="B23" s="76" t="s">
        <v>525</v>
      </c>
      <c r="C23" s="76" t="s">
        <v>525</v>
      </c>
      <c r="D23" s="77" t="s">
        <v>525</v>
      </c>
      <c r="E23" s="77" t="s">
        <v>526</v>
      </c>
      <c r="F23" s="78" t="s">
        <v>526</v>
      </c>
    </row>
    <row r="24" spans="1:6" ht="73" customHeight="1">
      <c r="A24" s="79"/>
      <c r="B24" s="80" t="s">
        <v>244</v>
      </c>
      <c r="C24" s="81" t="s">
        <v>52</v>
      </c>
      <c r="D24" s="75">
        <v>0</v>
      </c>
      <c r="E24" s="75">
        <v>0</v>
      </c>
      <c r="F24" s="75">
        <v>0</v>
      </c>
    </row>
    <row r="25" spans="1:6" ht="73" customHeight="1">
      <c r="A25" s="79"/>
      <c r="B25" s="80" t="s">
        <v>245</v>
      </c>
      <c r="C25" s="81" t="s">
        <v>53</v>
      </c>
      <c r="D25" s="75">
        <v>3507841238</v>
      </c>
      <c r="E25" s="75">
        <v>2421624822</v>
      </c>
      <c r="F25" s="75">
        <v>22605338183</v>
      </c>
    </row>
    <row r="26" spans="1:6" ht="73" customHeight="1">
      <c r="A26" s="72">
        <v>3</v>
      </c>
      <c r="B26" s="73" t="s">
        <v>246</v>
      </c>
      <c r="C26" s="74" t="s">
        <v>54</v>
      </c>
      <c r="D26" s="75">
        <v>1695711823</v>
      </c>
      <c r="E26" s="75">
        <v>1361508218</v>
      </c>
      <c r="F26" s="75">
        <v>7275174758</v>
      </c>
    </row>
    <row r="27" spans="1:6" ht="73" customHeight="1">
      <c r="A27" s="76" t="s">
        <v>525</v>
      </c>
      <c r="B27" s="76" t="s">
        <v>525</v>
      </c>
      <c r="C27" s="76" t="s">
        <v>525</v>
      </c>
      <c r="D27" s="77" t="s">
        <v>525</v>
      </c>
      <c r="E27" s="77" t="s">
        <v>525</v>
      </c>
      <c r="F27" s="77" t="s">
        <v>525</v>
      </c>
    </row>
    <row r="28" spans="1:6" ht="73" customHeight="1">
      <c r="A28" s="79"/>
      <c r="B28" s="80" t="s">
        <v>239</v>
      </c>
      <c r="C28" s="81" t="s">
        <v>55</v>
      </c>
      <c r="D28" s="75">
        <v>826166617</v>
      </c>
      <c r="E28" s="75">
        <v>468494522</v>
      </c>
      <c r="F28" s="75">
        <v>4194122703</v>
      </c>
    </row>
    <row r="29" spans="1:6" ht="73" customHeight="1">
      <c r="A29" s="79"/>
      <c r="B29" s="80" t="s">
        <v>587</v>
      </c>
      <c r="C29" s="81" t="s">
        <v>56</v>
      </c>
      <c r="D29" s="75">
        <v>869545206</v>
      </c>
      <c r="E29" s="75">
        <v>893013696</v>
      </c>
      <c r="F29" s="75">
        <v>3081052055</v>
      </c>
    </row>
    <row r="30" spans="1:6" ht="73" customHeight="1">
      <c r="A30" s="79"/>
      <c r="B30" s="80" t="s">
        <v>272</v>
      </c>
      <c r="C30" s="81" t="s">
        <v>236</v>
      </c>
      <c r="D30" s="75">
        <v>0</v>
      </c>
      <c r="E30" s="75">
        <v>0</v>
      </c>
      <c r="F30" s="75">
        <v>0</v>
      </c>
    </row>
    <row r="31" spans="1:6" s="71" customFormat="1" ht="73" customHeight="1">
      <c r="A31" s="72">
        <v>4</v>
      </c>
      <c r="B31" s="73" t="s">
        <v>247</v>
      </c>
      <c r="C31" s="74" t="s">
        <v>57</v>
      </c>
      <c r="D31" s="75">
        <v>0</v>
      </c>
      <c r="E31" s="75">
        <v>0</v>
      </c>
      <c r="F31" s="75">
        <v>0</v>
      </c>
    </row>
    <row r="32" spans="1:6" ht="73" customHeight="1">
      <c r="A32" s="76" t="s">
        <v>525</v>
      </c>
      <c r="B32" s="76" t="s">
        <v>525</v>
      </c>
      <c r="C32" s="76" t="s">
        <v>525</v>
      </c>
      <c r="D32" s="77" t="s">
        <v>525</v>
      </c>
      <c r="E32" s="77" t="s">
        <v>525</v>
      </c>
      <c r="F32" s="77" t="s">
        <v>525</v>
      </c>
    </row>
    <row r="33" spans="1:6" ht="73" customHeight="1">
      <c r="A33" s="82"/>
      <c r="B33" s="83" t="s">
        <v>248</v>
      </c>
      <c r="C33" s="84" t="s">
        <v>58</v>
      </c>
      <c r="D33" s="75">
        <v>0</v>
      </c>
      <c r="E33" s="75">
        <v>0</v>
      </c>
      <c r="F33" s="75">
        <v>0</v>
      </c>
    </row>
    <row r="34" spans="1:6" ht="73" customHeight="1">
      <c r="A34" s="82"/>
      <c r="B34" s="83" t="s">
        <v>249</v>
      </c>
      <c r="C34" s="84" t="s">
        <v>59</v>
      </c>
      <c r="D34" s="75">
        <v>0</v>
      </c>
      <c r="E34" s="75">
        <v>0</v>
      </c>
      <c r="F34" s="75">
        <v>0</v>
      </c>
    </row>
    <row r="35" spans="1:6" ht="106.5" customHeight="1">
      <c r="A35" s="82"/>
      <c r="B35" s="83" t="s">
        <v>34</v>
      </c>
      <c r="C35" s="84" t="s">
        <v>60</v>
      </c>
      <c r="D35" s="75">
        <v>0</v>
      </c>
      <c r="E35" s="75">
        <v>0</v>
      </c>
      <c r="F35" s="75">
        <v>0</v>
      </c>
    </row>
    <row r="36" spans="1:6" ht="73" customHeight="1">
      <c r="A36" s="67" t="s">
        <v>22</v>
      </c>
      <c r="B36" s="68" t="s">
        <v>250</v>
      </c>
      <c r="C36" s="69" t="s">
        <v>61</v>
      </c>
      <c r="D36" s="85">
        <v>1069795450</v>
      </c>
      <c r="E36" s="85">
        <v>741448353</v>
      </c>
      <c r="F36" s="85">
        <v>5880912267</v>
      </c>
    </row>
    <row r="37" spans="1:6" ht="73" customHeight="1">
      <c r="A37" s="72">
        <v>1</v>
      </c>
      <c r="B37" s="73" t="s">
        <v>527</v>
      </c>
      <c r="C37" s="74" t="s">
        <v>62</v>
      </c>
      <c r="D37" s="75">
        <v>840387611</v>
      </c>
      <c r="E37" s="75">
        <v>572561722</v>
      </c>
      <c r="F37" s="75">
        <v>4181807767</v>
      </c>
    </row>
    <row r="38" spans="1:6" ht="73" customHeight="1">
      <c r="A38" s="76" t="s">
        <v>525</v>
      </c>
      <c r="B38" s="76" t="s">
        <v>525</v>
      </c>
      <c r="C38" s="76" t="s">
        <v>525</v>
      </c>
      <c r="D38" s="77" t="s">
        <v>525</v>
      </c>
      <c r="E38" s="77" t="s">
        <v>525</v>
      </c>
      <c r="F38" s="77" t="s">
        <v>525</v>
      </c>
    </row>
    <row r="39" spans="1:6" ht="73" customHeight="1">
      <c r="A39" s="72">
        <v>2</v>
      </c>
      <c r="B39" s="73" t="s">
        <v>594</v>
      </c>
      <c r="C39" s="74" t="s">
        <v>63</v>
      </c>
      <c r="D39" s="75">
        <v>61510268</v>
      </c>
      <c r="E39" s="75">
        <v>44263022</v>
      </c>
      <c r="F39" s="75">
        <v>400951601</v>
      </c>
    </row>
    <row r="40" spans="1:6" ht="73" customHeight="1">
      <c r="A40" s="76" t="s">
        <v>525</v>
      </c>
      <c r="B40" s="76" t="s">
        <v>525</v>
      </c>
      <c r="C40" s="76" t="s">
        <v>525</v>
      </c>
      <c r="D40" s="77" t="s">
        <v>525</v>
      </c>
      <c r="E40" s="77" t="s">
        <v>525</v>
      </c>
      <c r="F40" s="77" t="s">
        <v>525</v>
      </c>
    </row>
    <row r="41" spans="1:6" ht="73" customHeight="1">
      <c r="A41" s="86"/>
      <c r="B41" s="80" t="s">
        <v>528</v>
      </c>
      <c r="C41" s="81" t="s">
        <v>64</v>
      </c>
      <c r="D41" s="75">
        <v>35016149</v>
      </c>
      <c r="E41" s="75">
        <v>23942213</v>
      </c>
      <c r="F41" s="75">
        <v>178779897</v>
      </c>
    </row>
    <row r="42" spans="1:6" ht="73" customHeight="1">
      <c r="A42" s="86"/>
      <c r="B42" s="80" t="s">
        <v>529</v>
      </c>
      <c r="C42" s="81" t="s">
        <v>65</v>
      </c>
      <c r="D42" s="75">
        <v>3000000</v>
      </c>
      <c r="E42" s="75">
        <v>1800000</v>
      </c>
      <c r="F42" s="75">
        <v>12900000</v>
      </c>
    </row>
    <row r="43" spans="1:6" ht="101.5" customHeight="1">
      <c r="A43" s="86"/>
      <c r="B43" s="80" t="s">
        <v>595</v>
      </c>
      <c r="C43" s="81" t="s">
        <v>66</v>
      </c>
      <c r="D43" s="75">
        <v>383460</v>
      </c>
      <c r="E43" s="75">
        <v>333948</v>
      </c>
      <c r="F43" s="75">
        <v>4624184</v>
      </c>
    </row>
    <row r="44" spans="1:6" ht="73" customHeight="1">
      <c r="A44" s="86"/>
      <c r="B44" s="80" t="s">
        <v>530</v>
      </c>
      <c r="C44" s="81" t="s">
        <v>67</v>
      </c>
      <c r="D44" s="75">
        <v>23110659</v>
      </c>
      <c r="E44" s="75">
        <v>18186861</v>
      </c>
      <c r="F44" s="75">
        <v>204647520</v>
      </c>
    </row>
    <row r="45" spans="1:6" ht="101" customHeight="1">
      <c r="A45" s="72">
        <v>3</v>
      </c>
      <c r="B45" s="87" t="s">
        <v>531</v>
      </c>
      <c r="C45" s="74" t="s">
        <v>68</v>
      </c>
      <c r="D45" s="75">
        <v>52628886</v>
      </c>
      <c r="E45" s="75">
        <v>50462500</v>
      </c>
      <c r="F45" s="75">
        <v>557253886</v>
      </c>
    </row>
    <row r="46" spans="1:6" ht="73" customHeight="1">
      <c r="A46" s="76" t="s">
        <v>525</v>
      </c>
      <c r="B46" s="76" t="s">
        <v>525</v>
      </c>
      <c r="C46" s="76" t="s">
        <v>525</v>
      </c>
      <c r="D46" s="77" t="s">
        <v>525</v>
      </c>
      <c r="E46" s="77" t="s">
        <v>525</v>
      </c>
      <c r="F46" s="77" t="s">
        <v>525</v>
      </c>
    </row>
    <row r="47" spans="1:6" ht="73" customHeight="1">
      <c r="A47" s="86"/>
      <c r="B47" s="88" t="s">
        <v>273</v>
      </c>
      <c r="C47" s="81" t="s">
        <v>69</v>
      </c>
      <c r="D47" s="75">
        <v>39428886</v>
      </c>
      <c r="E47" s="75">
        <v>37262500</v>
      </c>
      <c r="F47" s="75">
        <v>412053886</v>
      </c>
    </row>
    <row r="48" spans="1:6" ht="73" customHeight="1">
      <c r="A48" s="86"/>
      <c r="B48" s="88" t="s">
        <v>36</v>
      </c>
      <c r="C48" s="81" t="s">
        <v>70</v>
      </c>
      <c r="D48" s="75">
        <v>13200000</v>
      </c>
      <c r="E48" s="75">
        <v>13200000</v>
      </c>
      <c r="F48" s="75">
        <v>145200000</v>
      </c>
    </row>
    <row r="49" spans="1:6" ht="73" customHeight="1">
      <c r="A49" s="86">
        <v>4</v>
      </c>
      <c r="B49" s="88" t="s">
        <v>532</v>
      </c>
      <c r="C49" s="81" t="s">
        <v>82</v>
      </c>
      <c r="D49" s="75">
        <v>0</v>
      </c>
      <c r="E49" s="75">
        <v>0</v>
      </c>
      <c r="F49" s="75">
        <v>0</v>
      </c>
    </row>
    <row r="50" spans="1:6" ht="73" customHeight="1">
      <c r="A50" s="76" t="s">
        <v>525</v>
      </c>
      <c r="B50" s="76" t="s">
        <v>525</v>
      </c>
      <c r="C50" s="76" t="s">
        <v>525</v>
      </c>
      <c r="D50" s="77" t="s">
        <v>525</v>
      </c>
      <c r="E50" s="77" t="s">
        <v>525</v>
      </c>
      <c r="F50" s="77" t="s">
        <v>525</v>
      </c>
    </row>
    <row r="51" spans="1:6" ht="73" customHeight="1">
      <c r="A51" s="86">
        <v>5</v>
      </c>
      <c r="B51" s="88" t="s">
        <v>533</v>
      </c>
      <c r="C51" s="81" t="s">
        <v>86</v>
      </c>
      <c r="D51" s="75">
        <v>0</v>
      </c>
      <c r="E51" s="75">
        <v>0</v>
      </c>
      <c r="F51" s="75">
        <v>0</v>
      </c>
    </row>
    <row r="52" spans="1:6" ht="73" customHeight="1">
      <c r="A52" s="76" t="s">
        <v>525</v>
      </c>
      <c r="B52" s="76" t="s">
        <v>525</v>
      </c>
      <c r="C52" s="76" t="s">
        <v>525</v>
      </c>
      <c r="D52" s="77" t="s">
        <v>525</v>
      </c>
      <c r="E52" s="77" t="s">
        <v>525</v>
      </c>
      <c r="F52" s="77" t="s">
        <v>525</v>
      </c>
    </row>
    <row r="53" spans="1:6" ht="73" customHeight="1">
      <c r="A53" s="72">
        <v>6</v>
      </c>
      <c r="B53" s="73" t="s">
        <v>37</v>
      </c>
      <c r="C53" s="74" t="s">
        <v>71</v>
      </c>
      <c r="D53" s="75">
        <v>12944322</v>
      </c>
      <c r="E53" s="75">
        <v>13375799</v>
      </c>
      <c r="F53" s="75">
        <v>125105544</v>
      </c>
    </row>
    <row r="54" spans="1:6" ht="73" customHeight="1">
      <c r="A54" s="76" t="s">
        <v>525</v>
      </c>
      <c r="B54" s="76" t="s">
        <v>525</v>
      </c>
      <c r="C54" s="76" t="s">
        <v>525</v>
      </c>
      <c r="D54" s="77" t="s">
        <v>525</v>
      </c>
      <c r="E54" s="77" t="s">
        <v>525</v>
      </c>
      <c r="F54" s="77" t="s">
        <v>525</v>
      </c>
    </row>
    <row r="55" spans="1:6" ht="105" customHeight="1">
      <c r="A55" s="72">
        <v>7</v>
      </c>
      <c r="B55" s="73" t="s">
        <v>274</v>
      </c>
      <c r="C55" s="74" t="s">
        <v>72</v>
      </c>
      <c r="D55" s="75">
        <v>14156195</v>
      </c>
      <c r="E55" s="75">
        <v>14428067</v>
      </c>
      <c r="F55" s="75">
        <v>157571933</v>
      </c>
    </row>
    <row r="56" spans="1:6" ht="73" customHeight="1">
      <c r="A56" s="76" t="s">
        <v>525</v>
      </c>
      <c r="B56" s="76" t="s">
        <v>525</v>
      </c>
      <c r="C56" s="76" t="s">
        <v>525</v>
      </c>
      <c r="D56" s="77" t="s">
        <v>525</v>
      </c>
      <c r="E56" s="77" t="s">
        <v>525</v>
      </c>
      <c r="F56" s="77" t="s">
        <v>525</v>
      </c>
    </row>
    <row r="57" spans="1:6" ht="73" customHeight="1">
      <c r="A57" s="86"/>
      <c r="B57" s="89" t="s">
        <v>275</v>
      </c>
      <c r="C57" s="81" t="s">
        <v>73</v>
      </c>
      <c r="D57" s="75">
        <v>6493151</v>
      </c>
      <c r="E57" s="75">
        <v>6509589</v>
      </c>
      <c r="F57" s="75">
        <v>71490411</v>
      </c>
    </row>
    <row r="58" spans="1:6" ht="73" customHeight="1">
      <c r="A58" s="86"/>
      <c r="B58" s="89" t="s">
        <v>251</v>
      </c>
      <c r="C58" s="81" t="s">
        <v>74</v>
      </c>
      <c r="D58" s="75">
        <v>7663044</v>
      </c>
      <c r="E58" s="75">
        <v>7918478</v>
      </c>
      <c r="F58" s="75">
        <v>86081522</v>
      </c>
    </row>
    <row r="59" spans="1:6" ht="73" customHeight="1">
      <c r="A59" s="86"/>
      <c r="B59" s="89" t="s">
        <v>39</v>
      </c>
      <c r="C59" s="81" t="s">
        <v>75</v>
      </c>
      <c r="D59" s="75">
        <v>0</v>
      </c>
      <c r="E59" s="75">
        <v>0</v>
      </c>
      <c r="F59" s="75">
        <v>0</v>
      </c>
    </row>
    <row r="60" spans="1:6" ht="232" customHeight="1">
      <c r="A60" s="72">
        <v>8</v>
      </c>
      <c r="B60" s="87" t="s">
        <v>276</v>
      </c>
      <c r="C60" s="74" t="s">
        <v>76</v>
      </c>
      <c r="D60" s="75">
        <v>0</v>
      </c>
      <c r="E60" s="75">
        <v>0</v>
      </c>
      <c r="F60" s="75">
        <v>34754442</v>
      </c>
    </row>
    <row r="61" spans="1:6" ht="73" customHeight="1">
      <c r="A61" s="76" t="s">
        <v>525</v>
      </c>
      <c r="B61" s="76" t="s">
        <v>525</v>
      </c>
      <c r="C61" s="76" t="s">
        <v>525</v>
      </c>
      <c r="D61" s="77" t="s">
        <v>525</v>
      </c>
      <c r="E61" s="77" t="s">
        <v>525</v>
      </c>
      <c r="F61" s="77" t="s">
        <v>525</v>
      </c>
    </row>
    <row r="62" spans="1:6" ht="73" customHeight="1">
      <c r="A62" s="86"/>
      <c r="B62" s="88" t="s">
        <v>252</v>
      </c>
      <c r="C62" s="81" t="s">
        <v>77</v>
      </c>
      <c r="D62" s="75">
        <v>0</v>
      </c>
      <c r="E62" s="75">
        <v>0</v>
      </c>
      <c r="F62" s="75">
        <v>34754442</v>
      </c>
    </row>
    <row r="63" spans="1:6" ht="73" customHeight="1">
      <c r="A63" s="86"/>
      <c r="B63" s="88" t="s">
        <v>201</v>
      </c>
      <c r="C63" s="81" t="s">
        <v>78</v>
      </c>
      <c r="D63" s="75">
        <v>0</v>
      </c>
      <c r="E63" s="75">
        <v>0</v>
      </c>
      <c r="F63" s="75">
        <v>0</v>
      </c>
    </row>
    <row r="64" spans="1:6" s="71" customFormat="1" ht="73" customHeight="1">
      <c r="A64" s="86"/>
      <c r="B64" s="88" t="s">
        <v>277</v>
      </c>
      <c r="C64" s="81" t="s">
        <v>79</v>
      </c>
      <c r="D64" s="75">
        <v>0</v>
      </c>
      <c r="E64" s="75">
        <v>0</v>
      </c>
      <c r="F64" s="75">
        <v>0</v>
      </c>
    </row>
    <row r="65" spans="1:6" s="71" customFormat="1" ht="73" customHeight="1">
      <c r="A65" s="86"/>
      <c r="B65" s="89" t="s">
        <v>253</v>
      </c>
      <c r="C65" s="81" t="s">
        <v>80</v>
      </c>
      <c r="D65" s="75">
        <v>0</v>
      </c>
      <c r="E65" s="75">
        <v>0</v>
      </c>
      <c r="F65" s="75">
        <v>0</v>
      </c>
    </row>
    <row r="66" spans="1:6" ht="73" customHeight="1">
      <c r="A66" s="86"/>
      <c r="B66" s="89" t="s">
        <v>534</v>
      </c>
      <c r="C66" s="81" t="s">
        <v>81</v>
      </c>
      <c r="D66" s="75">
        <v>0</v>
      </c>
      <c r="E66" s="75">
        <v>0</v>
      </c>
      <c r="F66" s="75">
        <v>0</v>
      </c>
    </row>
    <row r="67" spans="1:6" ht="73" customHeight="1">
      <c r="A67" s="72">
        <v>9</v>
      </c>
      <c r="B67" s="73" t="s">
        <v>278</v>
      </c>
      <c r="C67" s="74" t="s">
        <v>82</v>
      </c>
      <c r="D67" s="75">
        <v>74625079</v>
      </c>
      <c r="E67" s="75">
        <v>32745207</v>
      </c>
      <c r="F67" s="75">
        <v>291979380</v>
      </c>
    </row>
    <row r="68" spans="1:6" s="71" customFormat="1" ht="73" customHeight="1">
      <c r="A68" s="76" t="s">
        <v>525</v>
      </c>
      <c r="B68" s="76" t="s">
        <v>525</v>
      </c>
      <c r="C68" s="76" t="s">
        <v>525</v>
      </c>
      <c r="D68" s="77" t="s">
        <v>525</v>
      </c>
      <c r="E68" s="77" t="s">
        <v>525</v>
      </c>
      <c r="F68" s="77" t="s">
        <v>525</v>
      </c>
    </row>
    <row r="69" spans="1:6" s="71" customFormat="1" ht="73" customHeight="1">
      <c r="A69" s="86"/>
      <c r="B69" s="80" t="s">
        <v>41</v>
      </c>
      <c r="C69" s="81" t="s">
        <v>83</v>
      </c>
      <c r="D69" s="75">
        <v>74480848</v>
      </c>
      <c r="E69" s="75">
        <v>32666731</v>
      </c>
      <c r="F69" s="75">
        <v>247155073</v>
      </c>
    </row>
    <row r="70" spans="1:6" s="71" customFormat="1" ht="73" customHeight="1">
      <c r="A70" s="86"/>
      <c r="B70" s="80" t="s">
        <v>42</v>
      </c>
      <c r="C70" s="81" t="s">
        <v>84</v>
      </c>
      <c r="D70" s="75">
        <v>144231</v>
      </c>
      <c r="E70" s="75">
        <v>78476</v>
      </c>
      <c r="F70" s="75">
        <v>1324307</v>
      </c>
    </row>
    <row r="71" spans="1:6" ht="73" customHeight="1">
      <c r="A71" s="86"/>
      <c r="B71" s="80" t="s">
        <v>43</v>
      </c>
      <c r="C71" s="81" t="s">
        <v>85</v>
      </c>
      <c r="D71" s="75">
        <v>0</v>
      </c>
      <c r="E71" s="75">
        <v>0</v>
      </c>
      <c r="F71" s="75">
        <v>43500000</v>
      </c>
    </row>
    <row r="72" spans="1:6" ht="73" customHeight="1">
      <c r="A72" s="72">
        <v>10</v>
      </c>
      <c r="B72" s="73" t="s">
        <v>535</v>
      </c>
      <c r="C72" s="74" t="s">
        <v>86</v>
      </c>
      <c r="D72" s="75">
        <v>13543089</v>
      </c>
      <c r="E72" s="75">
        <v>13612036</v>
      </c>
      <c r="F72" s="75">
        <v>131487714</v>
      </c>
    </row>
    <row r="73" spans="1:6" ht="73" customHeight="1">
      <c r="A73" s="76" t="s">
        <v>525</v>
      </c>
      <c r="B73" s="76" t="s">
        <v>525</v>
      </c>
      <c r="C73" s="76" t="s">
        <v>525</v>
      </c>
      <c r="D73" s="77" t="s">
        <v>525</v>
      </c>
      <c r="E73" s="77" t="s">
        <v>525</v>
      </c>
      <c r="F73" s="77" t="s">
        <v>525</v>
      </c>
    </row>
    <row r="74" spans="1:6" ht="73" customHeight="1">
      <c r="A74" s="72"/>
      <c r="B74" s="80" t="s">
        <v>44</v>
      </c>
      <c r="C74" s="81" t="s">
        <v>87</v>
      </c>
      <c r="D74" s="75">
        <v>0</v>
      </c>
      <c r="E74" s="75">
        <v>0</v>
      </c>
      <c r="F74" s="75">
        <v>0</v>
      </c>
    </row>
    <row r="75" spans="1:6" ht="73" customHeight="1">
      <c r="A75" s="72"/>
      <c r="B75" s="80" t="s">
        <v>279</v>
      </c>
      <c r="C75" s="81" t="s">
        <v>88</v>
      </c>
      <c r="D75" s="75">
        <v>0</v>
      </c>
      <c r="E75" s="75">
        <v>0</v>
      </c>
      <c r="F75" s="75">
        <v>0</v>
      </c>
    </row>
    <row r="76" spans="1:6" ht="73" customHeight="1">
      <c r="A76" s="72"/>
      <c r="B76" s="80" t="s">
        <v>45</v>
      </c>
      <c r="C76" s="81" t="s">
        <v>89</v>
      </c>
      <c r="D76" s="75">
        <v>616439</v>
      </c>
      <c r="E76" s="75">
        <v>636986</v>
      </c>
      <c r="F76" s="75">
        <v>14363014</v>
      </c>
    </row>
    <row r="77" spans="1:6" ht="73" customHeight="1">
      <c r="A77" s="72"/>
      <c r="B77" s="80" t="s">
        <v>46</v>
      </c>
      <c r="C77" s="81" t="s">
        <v>90</v>
      </c>
      <c r="D77" s="75">
        <v>12926650</v>
      </c>
      <c r="E77" s="75">
        <v>12975050</v>
      </c>
      <c r="F77" s="75">
        <v>116024700</v>
      </c>
    </row>
    <row r="78" spans="1:6" ht="73" customHeight="1">
      <c r="A78" s="72"/>
      <c r="B78" s="80" t="s">
        <v>280</v>
      </c>
      <c r="C78" s="81" t="s">
        <v>91</v>
      </c>
      <c r="D78" s="75">
        <v>0</v>
      </c>
      <c r="E78" s="75">
        <v>0</v>
      </c>
      <c r="F78" s="75">
        <v>0</v>
      </c>
    </row>
    <row r="79" spans="1:6" ht="73" customHeight="1">
      <c r="A79" s="72"/>
      <c r="B79" s="80" t="s">
        <v>43</v>
      </c>
      <c r="C79" s="81" t="s">
        <v>92</v>
      </c>
      <c r="D79" s="75">
        <v>0</v>
      </c>
      <c r="E79" s="75">
        <v>0</v>
      </c>
      <c r="F79" s="75">
        <v>0</v>
      </c>
    </row>
    <row r="80" spans="1:6" ht="73" customHeight="1">
      <c r="A80" s="72"/>
      <c r="B80" s="80" t="s">
        <v>592</v>
      </c>
      <c r="C80" s="81" t="s">
        <v>93</v>
      </c>
      <c r="D80" s="75">
        <v>0</v>
      </c>
      <c r="E80" s="75">
        <v>0</v>
      </c>
      <c r="F80" s="75">
        <v>1100000</v>
      </c>
    </row>
    <row r="81" spans="1:6" ht="91.5" customHeight="1">
      <c r="A81" s="90" t="s">
        <v>26</v>
      </c>
      <c r="B81" s="68" t="s">
        <v>281</v>
      </c>
      <c r="C81" s="69" t="s">
        <v>94</v>
      </c>
      <c r="D81" s="85">
        <v>4133757611</v>
      </c>
      <c r="E81" s="85">
        <v>3041684687</v>
      </c>
      <c r="F81" s="85">
        <v>23999600674</v>
      </c>
    </row>
    <row r="82" spans="1:6" ht="73" customHeight="1">
      <c r="A82" s="90" t="s">
        <v>27</v>
      </c>
      <c r="B82" s="68" t="s">
        <v>255</v>
      </c>
      <c r="C82" s="69" t="s">
        <v>95</v>
      </c>
      <c r="D82" s="85">
        <v>2108873713</v>
      </c>
      <c r="E82" s="85">
        <v>322856665</v>
      </c>
      <c r="F82" s="85">
        <v>2075928612</v>
      </c>
    </row>
    <row r="83" spans="1:6" ht="73" customHeight="1">
      <c r="A83" s="72">
        <v>1</v>
      </c>
      <c r="B83" s="73" t="s">
        <v>536</v>
      </c>
      <c r="C83" s="74" t="s">
        <v>96</v>
      </c>
      <c r="D83" s="75">
        <v>2909177877</v>
      </c>
      <c r="E83" s="75">
        <v>-202751643</v>
      </c>
      <c r="F83" s="75">
        <v>1270865792</v>
      </c>
    </row>
    <row r="84" spans="1:6" ht="73" customHeight="1">
      <c r="A84" s="72">
        <v>2</v>
      </c>
      <c r="B84" s="73" t="s">
        <v>47</v>
      </c>
      <c r="C84" s="74" t="s">
        <v>97</v>
      </c>
      <c r="D84" s="75">
        <v>-800304164</v>
      </c>
      <c r="E84" s="75">
        <v>525608308</v>
      </c>
      <c r="F84" s="75">
        <v>805062820</v>
      </c>
    </row>
    <row r="85" spans="1:6" ht="130.5" customHeight="1">
      <c r="A85" s="90" t="s">
        <v>28</v>
      </c>
      <c r="B85" s="68" t="s">
        <v>282</v>
      </c>
      <c r="C85" s="69" t="s">
        <v>98</v>
      </c>
      <c r="D85" s="85">
        <v>6242631324</v>
      </c>
      <c r="E85" s="85">
        <v>3364541352</v>
      </c>
      <c r="F85" s="85">
        <v>26075529286</v>
      </c>
    </row>
    <row r="86" spans="1:6" ht="73" customHeight="1">
      <c r="A86" s="90" t="s">
        <v>29</v>
      </c>
      <c r="B86" s="68" t="s">
        <v>48</v>
      </c>
      <c r="C86" s="69" t="s">
        <v>99</v>
      </c>
      <c r="D86" s="85">
        <v>688321611663</v>
      </c>
      <c r="E86" s="85">
        <v>493418963227</v>
      </c>
      <c r="F86" s="85">
        <v>293802572052</v>
      </c>
    </row>
    <row r="87" spans="1:6" ht="73" customHeight="1">
      <c r="A87" s="90" t="s">
        <v>30</v>
      </c>
      <c r="B87" s="68" t="s">
        <v>574</v>
      </c>
      <c r="C87" s="69" t="s">
        <v>100</v>
      </c>
      <c r="D87" s="85">
        <v>431793490023</v>
      </c>
      <c r="E87" s="85">
        <v>194902648436</v>
      </c>
      <c r="F87" s="85">
        <v>826312529634</v>
      </c>
    </row>
    <row r="88" spans="1:6" s="71" customFormat="1" ht="73" customHeight="1">
      <c r="A88" s="72">
        <v>1</v>
      </c>
      <c r="B88" s="73" t="s">
        <v>537</v>
      </c>
      <c r="C88" s="74" t="s">
        <v>101</v>
      </c>
      <c r="D88" s="75">
        <v>6242631324</v>
      </c>
      <c r="E88" s="75">
        <v>3364541352</v>
      </c>
      <c r="F88" s="75">
        <v>26075529286</v>
      </c>
    </row>
    <row r="89" spans="1:6" ht="117.5" customHeight="1">
      <c r="A89" s="72">
        <v>2</v>
      </c>
      <c r="B89" s="73" t="s">
        <v>538</v>
      </c>
      <c r="C89" s="74" t="s">
        <v>102</v>
      </c>
      <c r="D89" s="75">
        <v>0</v>
      </c>
      <c r="E89" s="75">
        <v>0</v>
      </c>
      <c r="F89" s="75">
        <v>0</v>
      </c>
    </row>
    <row r="90" spans="1:6" ht="73" customHeight="1">
      <c r="A90" s="72">
        <v>3</v>
      </c>
      <c r="B90" s="73" t="s">
        <v>539</v>
      </c>
      <c r="C90" s="74" t="s">
        <v>103</v>
      </c>
      <c r="D90" s="75">
        <v>425550858699</v>
      </c>
      <c r="E90" s="75">
        <v>191538107084</v>
      </c>
      <c r="F90" s="75">
        <v>800237000348</v>
      </c>
    </row>
    <row r="91" spans="1:6" ht="91.5" customHeight="1">
      <c r="A91" s="72"/>
      <c r="B91" s="73" t="s">
        <v>283</v>
      </c>
      <c r="C91" s="74" t="s">
        <v>540</v>
      </c>
      <c r="D91" s="75">
        <v>572595002847</v>
      </c>
      <c r="E91" s="75">
        <v>264387282887</v>
      </c>
      <c r="F91" s="75">
        <v>1181684110191</v>
      </c>
    </row>
    <row r="92" spans="1:6" ht="94.5" customHeight="1">
      <c r="A92" s="72"/>
      <c r="B92" s="73" t="s">
        <v>284</v>
      </c>
      <c r="C92" s="74" t="s">
        <v>541</v>
      </c>
      <c r="D92" s="75">
        <v>-147044144148</v>
      </c>
      <c r="E92" s="75">
        <v>-72849175803</v>
      </c>
      <c r="F92" s="75">
        <v>-381447109843</v>
      </c>
    </row>
    <row r="93" spans="1:6" s="91" customFormat="1" ht="73" customHeight="1">
      <c r="A93" s="67" t="s">
        <v>31</v>
      </c>
      <c r="B93" s="68" t="s">
        <v>49</v>
      </c>
      <c r="C93" s="69" t="s">
        <v>104</v>
      </c>
      <c r="D93" s="85">
        <v>1120115101686</v>
      </c>
      <c r="E93" s="85">
        <v>688321611663</v>
      </c>
      <c r="F93" s="85">
        <v>1120115101686</v>
      </c>
    </row>
    <row r="94" spans="1:6" ht="73" customHeight="1">
      <c r="A94" s="67" t="s">
        <v>32</v>
      </c>
      <c r="B94" s="68" t="s">
        <v>256</v>
      </c>
      <c r="C94" s="69" t="s">
        <v>105</v>
      </c>
      <c r="D94" s="85">
        <v>0</v>
      </c>
      <c r="E94" s="85">
        <v>0</v>
      </c>
      <c r="F94" s="85">
        <v>0</v>
      </c>
    </row>
    <row r="95" spans="1:6" ht="73" customHeight="1">
      <c r="A95" s="92"/>
      <c r="B95" s="73" t="s">
        <v>257</v>
      </c>
      <c r="C95" s="74" t="s">
        <v>106</v>
      </c>
      <c r="D95" s="47">
        <v>0</v>
      </c>
      <c r="E95" s="47">
        <v>0</v>
      </c>
      <c r="F95" s="47">
        <v>0</v>
      </c>
    </row>
    <row r="96" spans="1:6" ht="16.899999999999999" customHeight="1"/>
    <row r="97" spans="1:6" ht="16.899999999999999" customHeight="1">
      <c r="A97" s="49" t="s">
        <v>10</v>
      </c>
      <c r="D97" s="49" t="s">
        <v>11</v>
      </c>
    </row>
    <row r="98" spans="1:6" ht="16.899999999999999" customHeight="1">
      <c r="A98" s="51" t="s">
        <v>12</v>
      </c>
      <c r="D98" s="51" t="s">
        <v>13</v>
      </c>
    </row>
    <row r="99" spans="1:6" ht="16.899999999999999" customHeight="1">
      <c r="A99" s="51"/>
      <c r="D99" s="51"/>
    </row>
    <row r="100" spans="1:6" ht="16.899999999999999" customHeight="1">
      <c r="A100" s="51"/>
      <c r="D100" s="51"/>
    </row>
    <row r="101" spans="1:6" ht="16.899999999999999" customHeight="1">
      <c r="A101" s="51"/>
      <c r="D101" s="51"/>
    </row>
    <row r="102" spans="1:6" ht="16.899999999999999" customHeight="1">
      <c r="A102" s="51"/>
      <c r="D102" s="51"/>
    </row>
    <row r="103" spans="1:6" ht="16.899999999999999" customHeight="1">
      <c r="A103" s="51"/>
      <c r="D103" s="51"/>
    </row>
    <row r="104" spans="1:6" ht="16.899999999999999" customHeight="1">
      <c r="A104" s="51"/>
      <c r="D104" s="51"/>
    </row>
    <row r="105" spans="1:6" ht="16.899999999999999" customHeight="1">
      <c r="A105" s="51"/>
      <c r="D105" s="51"/>
    </row>
    <row r="106" spans="1:6" ht="16.899999999999999" customHeight="1"/>
    <row r="107" spans="1:6" ht="16.899999999999999" customHeight="1"/>
    <row r="108" spans="1:6" ht="16.899999999999999" customHeight="1">
      <c r="A108" s="93" t="s">
        <v>14</v>
      </c>
      <c r="B108" s="94"/>
      <c r="D108" s="93" t="s">
        <v>1102</v>
      </c>
      <c r="E108" s="94"/>
      <c r="F108" s="94"/>
    </row>
    <row r="109" spans="1:6" ht="16.899999999999999" customHeight="1">
      <c r="A109" s="95" t="s">
        <v>1108</v>
      </c>
      <c r="D109" s="59" t="s">
        <v>1121</v>
      </c>
    </row>
    <row r="110" spans="1:6" ht="16.899999999999999" customHeight="1">
      <c r="A110" s="29" t="s">
        <v>1109</v>
      </c>
      <c r="D110" s="50" t="s">
        <v>1130</v>
      </c>
    </row>
  </sheetData>
  <mergeCells count="12">
    <mergeCell ref="C14:F14"/>
    <mergeCell ref="A1:F1"/>
    <mergeCell ref="A2:F2"/>
    <mergeCell ref="A3:F4"/>
    <mergeCell ref="A5:F5"/>
    <mergeCell ref="C7:F7"/>
    <mergeCell ref="C8:F8"/>
    <mergeCell ref="C9:F9"/>
    <mergeCell ref="C10:F10"/>
    <mergeCell ref="C13:F13"/>
    <mergeCell ref="C11:G11"/>
    <mergeCell ref="C12:G12"/>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topLeftCell="A81" zoomScale="70" zoomScaleNormal="100" zoomScaleSheetLayoutView="70" workbookViewId="0">
      <selection activeCell="E89" sqref="E89:E90"/>
    </sheetView>
  </sheetViews>
  <sheetFormatPr defaultColWidth="8.7265625" defaultRowHeight="15"/>
  <cols>
    <col min="1" max="1" width="9" style="29" customWidth="1"/>
    <col min="2" max="2" width="39.81640625" style="29" customWidth="1"/>
    <col min="3" max="3" width="9.26953125" style="29" customWidth="1"/>
    <col min="4" max="4" width="28" style="29" customWidth="1"/>
    <col min="5" max="5" width="33.81640625" style="29" customWidth="1"/>
    <col min="6" max="6" width="32.1796875" style="29" customWidth="1"/>
    <col min="7" max="7" width="28.54296875" style="29" customWidth="1"/>
    <col min="8" max="16384" width="8.7265625" style="96"/>
  </cols>
  <sheetData>
    <row r="1" spans="1:7" ht="44.25" customHeight="1">
      <c r="A1" s="216" t="s">
        <v>569</v>
      </c>
      <c r="B1" s="216"/>
      <c r="C1" s="216"/>
      <c r="D1" s="216"/>
      <c r="E1" s="216"/>
      <c r="F1" s="216"/>
      <c r="G1" s="216"/>
    </row>
    <row r="2" spans="1:7" ht="59.25" customHeight="1">
      <c r="A2" s="217" t="s">
        <v>570</v>
      </c>
      <c r="B2" s="217"/>
      <c r="C2" s="217"/>
      <c r="D2" s="217"/>
      <c r="E2" s="217"/>
      <c r="F2" s="217"/>
      <c r="G2" s="217"/>
    </row>
    <row r="3" spans="1:7" ht="15" customHeight="1">
      <c r="A3" s="218" t="s">
        <v>520</v>
      </c>
      <c r="B3" s="218"/>
      <c r="C3" s="218"/>
      <c r="D3" s="218"/>
      <c r="E3" s="218"/>
      <c r="F3" s="218"/>
      <c r="G3" s="218"/>
    </row>
    <row r="4" spans="1:7" ht="27.4" customHeight="1">
      <c r="A4" s="218"/>
      <c r="B4" s="218"/>
      <c r="C4" s="218"/>
      <c r="D4" s="218"/>
      <c r="E4" s="218"/>
      <c r="F4" s="218"/>
      <c r="G4" s="218"/>
    </row>
    <row r="5" spans="1:7" ht="16.899999999999999" customHeight="1">
      <c r="A5" s="219" t="s">
        <v>1100</v>
      </c>
      <c r="B5" s="219"/>
      <c r="C5" s="219"/>
      <c r="D5" s="219"/>
      <c r="E5" s="219"/>
      <c r="F5" s="219"/>
      <c r="G5" s="219"/>
    </row>
    <row r="6" spans="1:7" ht="16.899999999999999" customHeight="1"/>
    <row r="7" spans="1:7" ht="16.899999999999999" customHeight="1">
      <c r="A7" s="62" t="s">
        <v>2</v>
      </c>
      <c r="C7" s="220" t="s">
        <v>1102</v>
      </c>
      <c r="D7" s="220"/>
      <c r="E7" s="220"/>
      <c r="F7" s="220"/>
      <c r="G7" s="220"/>
    </row>
    <row r="8" spans="1:7" ht="16.899999999999999" customHeight="1">
      <c r="A8" s="29" t="s">
        <v>15</v>
      </c>
      <c r="C8" s="215" t="s">
        <v>1103</v>
      </c>
      <c r="D8" s="215"/>
      <c r="E8" s="215"/>
      <c r="F8" s="215"/>
      <c r="G8" s="215"/>
    </row>
    <row r="9" spans="1:7" ht="16.899999999999999" customHeight="1">
      <c r="A9" s="62" t="s">
        <v>3</v>
      </c>
      <c r="C9" s="220" t="s">
        <v>1104</v>
      </c>
      <c r="D9" s="220"/>
      <c r="E9" s="220"/>
      <c r="F9" s="220"/>
      <c r="G9" s="220"/>
    </row>
    <row r="10" spans="1:7" ht="16.899999999999999" customHeight="1">
      <c r="A10" s="29" t="s">
        <v>4</v>
      </c>
      <c r="C10" s="215" t="s">
        <v>1105</v>
      </c>
      <c r="D10" s="215"/>
      <c r="E10" s="215"/>
      <c r="F10" s="215"/>
      <c r="G10" s="215"/>
    </row>
    <row r="11" spans="1:7" ht="16.899999999999999" customHeight="1">
      <c r="A11" s="62" t="s">
        <v>5</v>
      </c>
      <c r="C11" s="221" t="s">
        <v>576</v>
      </c>
      <c r="D11" s="221"/>
      <c r="E11" s="221"/>
      <c r="F11" s="221"/>
      <c r="G11" s="221"/>
    </row>
    <row r="12" spans="1:7" ht="16.899999999999999" customHeight="1">
      <c r="A12" s="29" t="s">
        <v>6</v>
      </c>
      <c r="C12" s="215" t="s">
        <v>1124</v>
      </c>
      <c r="D12" s="215"/>
      <c r="E12" s="215"/>
      <c r="F12" s="215"/>
      <c r="G12" s="215"/>
    </row>
    <row r="13" spans="1:7" ht="16.899999999999999" customHeight="1">
      <c r="A13" s="62" t="s">
        <v>7</v>
      </c>
      <c r="C13" s="220" t="s">
        <v>1106</v>
      </c>
      <c r="D13" s="220"/>
      <c r="E13" s="220"/>
      <c r="F13" s="220"/>
      <c r="G13" s="220"/>
    </row>
    <row r="14" spans="1:7" ht="16.899999999999999" customHeight="1">
      <c r="A14" s="29" t="s">
        <v>8</v>
      </c>
      <c r="C14" s="215" t="s">
        <v>1107</v>
      </c>
      <c r="D14" s="215"/>
      <c r="E14" s="215"/>
      <c r="F14" s="215"/>
      <c r="G14" s="215"/>
    </row>
    <row r="15" spans="1:7" ht="18" hidden="1" customHeight="1"/>
    <row r="16" spans="1:7" ht="16.899999999999999" customHeight="1">
      <c r="A16" s="32" t="s">
        <v>567</v>
      </c>
      <c r="B16" s="33" t="s">
        <v>568</v>
      </c>
    </row>
    <row r="17" spans="1:7" ht="16.899999999999999" customHeight="1">
      <c r="A17" s="63" t="s">
        <v>26</v>
      </c>
      <c r="B17" s="64" t="s">
        <v>522</v>
      </c>
    </row>
    <row r="18" spans="1:7" ht="75.400000000000006" customHeight="1">
      <c r="A18" s="97" t="s">
        <v>234</v>
      </c>
      <c r="B18" s="97" t="s">
        <v>107</v>
      </c>
      <c r="C18" s="97" t="s">
        <v>19</v>
      </c>
      <c r="D18" s="97" t="s">
        <v>108</v>
      </c>
      <c r="E18" s="97" t="s">
        <v>109</v>
      </c>
      <c r="F18" s="97" t="s">
        <v>110</v>
      </c>
      <c r="G18" s="97" t="s">
        <v>111</v>
      </c>
    </row>
    <row r="19" spans="1:7" ht="85.5" customHeight="1">
      <c r="A19" s="40" t="s">
        <v>596</v>
      </c>
      <c r="B19" s="41" t="s">
        <v>597</v>
      </c>
      <c r="C19" s="40"/>
      <c r="D19" s="42"/>
      <c r="E19" s="42"/>
      <c r="F19" s="42"/>
      <c r="G19" s="43"/>
    </row>
    <row r="20" spans="1:7" ht="39" customHeight="1">
      <c r="A20" s="44"/>
      <c r="B20" s="45"/>
      <c r="C20" s="98"/>
      <c r="D20" s="46"/>
      <c r="E20" s="99"/>
      <c r="F20" s="46"/>
      <c r="G20" s="47"/>
    </row>
    <row r="21" spans="1:7" ht="39" customHeight="1">
      <c r="A21" s="40"/>
      <c r="B21" s="41" t="s">
        <v>598</v>
      </c>
      <c r="C21" s="40" t="s">
        <v>599</v>
      </c>
      <c r="D21" s="42"/>
      <c r="E21" s="42"/>
      <c r="F21" s="42"/>
      <c r="G21" s="43"/>
    </row>
    <row r="22" spans="1:7" ht="123" customHeight="1">
      <c r="A22" s="40" t="s">
        <v>600</v>
      </c>
      <c r="B22" s="41" t="s">
        <v>601</v>
      </c>
      <c r="C22" s="40" t="s">
        <v>602</v>
      </c>
      <c r="D22" s="42"/>
      <c r="E22" s="42"/>
      <c r="F22" s="42"/>
      <c r="G22" s="43"/>
    </row>
    <row r="23" spans="1:7" ht="39" customHeight="1">
      <c r="A23" s="44"/>
      <c r="B23" s="45"/>
      <c r="C23" s="98"/>
      <c r="D23" s="46"/>
      <c r="E23" s="99"/>
      <c r="F23" s="46"/>
      <c r="G23" s="47"/>
    </row>
    <row r="24" spans="1:7" ht="39" customHeight="1">
      <c r="A24" s="40"/>
      <c r="B24" s="41" t="s">
        <v>603</v>
      </c>
      <c r="C24" s="40" t="s">
        <v>604</v>
      </c>
      <c r="D24" s="42"/>
      <c r="E24" s="42"/>
      <c r="F24" s="42"/>
      <c r="G24" s="43"/>
    </row>
    <row r="25" spans="1:7" ht="139" customHeight="1">
      <c r="A25" s="40" t="s">
        <v>605</v>
      </c>
      <c r="B25" s="41" t="s">
        <v>606</v>
      </c>
      <c r="C25" s="40" t="s">
        <v>607</v>
      </c>
      <c r="D25" s="42"/>
      <c r="E25" s="42"/>
      <c r="F25" s="42"/>
      <c r="G25" s="43"/>
    </row>
    <row r="26" spans="1:7" ht="39" customHeight="1">
      <c r="A26" s="44"/>
      <c r="B26" s="45"/>
      <c r="C26" s="98"/>
      <c r="D26" s="46"/>
      <c r="E26" s="99"/>
      <c r="F26" s="46"/>
      <c r="G26" s="47"/>
    </row>
    <row r="27" spans="1:7" ht="39" customHeight="1">
      <c r="A27" s="40"/>
      <c r="B27" s="41" t="s">
        <v>608</v>
      </c>
      <c r="C27" s="40" t="s">
        <v>609</v>
      </c>
      <c r="D27" s="42"/>
      <c r="E27" s="42"/>
      <c r="F27" s="42">
        <v>0</v>
      </c>
      <c r="G27" s="43">
        <v>0</v>
      </c>
    </row>
    <row r="28" spans="1:7" ht="39" customHeight="1">
      <c r="A28" s="40" t="s">
        <v>610</v>
      </c>
      <c r="B28" s="41" t="s">
        <v>611</v>
      </c>
      <c r="C28" s="40" t="s">
        <v>612</v>
      </c>
      <c r="D28" s="42"/>
      <c r="E28" s="42"/>
      <c r="F28" s="42"/>
      <c r="G28" s="43"/>
    </row>
    <row r="29" spans="1:7" ht="39" customHeight="1">
      <c r="A29" s="44"/>
      <c r="B29" s="45"/>
      <c r="C29" s="98"/>
      <c r="D29" s="46"/>
      <c r="E29" s="99"/>
      <c r="F29" s="46"/>
      <c r="G29" s="47"/>
    </row>
    <row r="30" spans="1:7" ht="39" customHeight="1">
      <c r="A30" s="44" t="s">
        <v>613</v>
      </c>
      <c r="B30" s="45" t="s">
        <v>614</v>
      </c>
      <c r="C30" s="98" t="s">
        <v>615</v>
      </c>
      <c r="D30" s="46"/>
      <c r="E30" s="99"/>
      <c r="F30" s="46">
        <v>520973798961</v>
      </c>
      <c r="G30" s="47">
        <v>0.44669709967681998</v>
      </c>
    </row>
    <row r="31" spans="1:7" ht="34" customHeight="1">
      <c r="A31" s="44" t="s">
        <v>616</v>
      </c>
      <c r="B31" s="45" t="s">
        <v>617</v>
      </c>
      <c r="C31" s="98" t="s">
        <v>618</v>
      </c>
      <c r="D31" s="46">
        <v>276091</v>
      </c>
      <c r="E31" s="99">
        <v>98290.641998000006</v>
      </c>
      <c r="F31" s="46">
        <v>27137161640</v>
      </c>
      <c r="G31" s="47">
        <v>2.3268140206330199E-2</v>
      </c>
    </row>
    <row r="32" spans="1:7" ht="34" customHeight="1">
      <c r="A32" s="44" t="s">
        <v>619</v>
      </c>
      <c r="B32" s="45" t="s">
        <v>620</v>
      </c>
      <c r="C32" s="98" t="s">
        <v>621</v>
      </c>
      <c r="D32" s="46">
        <v>1273916</v>
      </c>
      <c r="E32" s="99">
        <v>98991.726999999999</v>
      </c>
      <c r="F32" s="46">
        <v>126107144893</v>
      </c>
      <c r="G32" s="47">
        <v>0.10812769468363299</v>
      </c>
    </row>
    <row r="33" spans="1:7" ht="34" customHeight="1">
      <c r="A33" s="44" t="s">
        <v>622</v>
      </c>
      <c r="B33" s="45" t="s">
        <v>623</v>
      </c>
      <c r="C33" s="98" t="s">
        <v>624</v>
      </c>
      <c r="D33" s="46">
        <v>420000</v>
      </c>
      <c r="E33" s="99">
        <v>99536.968999999997</v>
      </c>
      <c r="F33" s="46">
        <v>41805526980</v>
      </c>
      <c r="G33" s="47">
        <v>3.58451954583325E-2</v>
      </c>
    </row>
    <row r="34" spans="1:7" ht="34" customHeight="1">
      <c r="A34" s="44" t="s">
        <v>625</v>
      </c>
      <c r="B34" s="45" t="s">
        <v>626</v>
      </c>
      <c r="C34" s="98" t="s">
        <v>627</v>
      </c>
      <c r="D34" s="46">
        <v>305300</v>
      </c>
      <c r="E34" s="99">
        <v>100247</v>
      </c>
      <c r="F34" s="46">
        <v>30605409100</v>
      </c>
      <c r="G34" s="47">
        <v>2.6241909874657601E-2</v>
      </c>
    </row>
    <row r="35" spans="1:7" ht="34" customHeight="1">
      <c r="A35" s="44" t="s">
        <v>628</v>
      </c>
      <c r="B35" s="45" t="s">
        <v>629</v>
      </c>
      <c r="C35" s="98" t="s">
        <v>630</v>
      </c>
      <c r="D35" s="46">
        <v>40288</v>
      </c>
      <c r="E35" s="99">
        <v>100206</v>
      </c>
      <c r="F35" s="46">
        <v>4037099328</v>
      </c>
      <c r="G35" s="47">
        <v>3.46151872612664E-3</v>
      </c>
    </row>
    <row r="36" spans="1:7" ht="34" customHeight="1">
      <c r="A36" s="44" t="s">
        <v>631</v>
      </c>
      <c r="B36" s="45" t="s">
        <v>632</v>
      </c>
      <c r="C36" s="98" t="s">
        <v>633</v>
      </c>
      <c r="D36" s="46">
        <v>170390</v>
      </c>
      <c r="E36" s="99">
        <v>100168</v>
      </c>
      <c r="F36" s="46">
        <v>17067625520</v>
      </c>
      <c r="G36" s="47">
        <v>1.46342461623964E-2</v>
      </c>
    </row>
    <row r="37" spans="1:7" ht="34" customHeight="1">
      <c r="A37" s="44" t="s">
        <v>634</v>
      </c>
      <c r="B37" s="45" t="s">
        <v>635</v>
      </c>
      <c r="C37" s="98" t="s">
        <v>636</v>
      </c>
      <c r="D37" s="46">
        <v>500000</v>
      </c>
      <c r="E37" s="99">
        <v>99649</v>
      </c>
      <c r="F37" s="46">
        <v>49824500000</v>
      </c>
      <c r="G37" s="47">
        <v>4.2720880948782299E-2</v>
      </c>
    </row>
    <row r="38" spans="1:7" ht="34" customHeight="1">
      <c r="A38" s="44" t="s">
        <v>637</v>
      </c>
      <c r="B38" s="45" t="s">
        <v>638</v>
      </c>
      <c r="C38" s="98" t="s">
        <v>639</v>
      </c>
      <c r="D38" s="46">
        <v>100000</v>
      </c>
      <c r="E38" s="99">
        <v>110588</v>
      </c>
      <c r="F38" s="46">
        <v>11058800000</v>
      </c>
      <c r="G38" s="47">
        <v>9.4821157911548198E-3</v>
      </c>
    </row>
    <row r="39" spans="1:7" ht="34" customHeight="1">
      <c r="A39" s="44" t="s">
        <v>640</v>
      </c>
      <c r="B39" s="45" t="s">
        <v>641</v>
      </c>
      <c r="C39" s="98" t="s">
        <v>642</v>
      </c>
      <c r="D39" s="46">
        <v>400000</v>
      </c>
      <c r="E39" s="99">
        <v>101227</v>
      </c>
      <c r="F39" s="46">
        <v>40490800000</v>
      </c>
      <c r="G39" s="47">
        <v>3.4717912800348298E-2</v>
      </c>
    </row>
    <row r="40" spans="1:7" ht="34" customHeight="1">
      <c r="A40" s="44" t="s">
        <v>643</v>
      </c>
      <c r="B40" s="45" t="s">
        <v>644</v>
      </c>
      <c r="C40" s="98" t="s">
        <v>645</v>
      </c>
      <c r="D40" s="46">
        <v>100000</v>
      </c>
      <c r="E40" s="99">
        <v>100135</v>
      </c>
      <c r="F40" s="46">
        <v>10013500000</v>
      </c>
      <c r="G40" s="47">
        <v>8.5858471511130307E-3</v>
      </c>
    </row>
    <row r="41" spans="1:7" ht="34" customHeight="1">
      <c r="A41" s="44" t="s">
        <v>646</v>
      </c>
      <c r="B41" s="45" t="s">
        <v>647</v>
      </c>
      <c r="C41" s="98" t="s">
        <v>648</v>
      </c>
      <c r="D41" s="46">
        <v>500000</v>
      </c>
      <c r="E41" s="99">
        <v>100000.06299999999</v>
      </c>
      <c r="F41" s="46">
        <v>50000031500</v>
      </c>
      <c r="G41" s="47">
        <v>4.2871386429304097E-2</v>
      </c>
    </row>
    <row r="42" spans="1:7" ht="34" customHeight="1">
      <c r="A42" s="44" t="s">
        <v>649</v>
      </c>
      <c r="B42" s="45" t="s">
        <v>650</v>
      </c>
      <c r="C42" s="98" t="s">
        <v>651</v>
      </c>
      <c r="D42" s="46">
        <v>560000</v>
      </c>
      <c r="E42" s="99">
        <v>99820</v>
      </c>
      <c r="F42" s="46">
        <v>55899200000</v>
      </c>
      <c r="G42" s="47">
        <v>4.7929493890198002E-2</v>
      </c>
    </row>
    <row r="43" spans="1:7" ht="34" customHeight="1">
      <c r="A43" s="44" t="s">
        <v>652</v>
      </c>
      <c r="B43" s="45" t="s">
        <v>653</v>
      </c>
      <c r="C43" s="98" t="s">
        <v>654</v>
      </c>
      <c r="D43" s="46">
        <v>569270</v>
      </c>
      <c r="E43" s="99">
        <v>100000</v>
      </c>
      <c r="F43" s="46">
        <v>56927000000</v>
      </c>
      <c r="G43" s="47">
        <v>4.8810757554442703E-2</v>
      </c>
    </row>
    <row r="44" spans="1:7" ht="39" customHeight="1">
      <c r="A44" s="44" t="s">
        <v>655</v>
      </c>
      <c r="B44" s="45" t="s">
        <v>656</v>
      </c>
      <c r="C44" s="98" t="s">
        <v>657</v>
      </c>
      <c r="D44" s="46"/>
      <c r="E44" s="99"/>
      <c r="F44" s="46">
        <v>90636330460</v>
      </c>
      <c r="G44" s="47">
        <v>7.7714053993841306E-2</v>
      </c>
    </row>
    <row r="45" spans="1:7" ht="34" customHeight="1">
      <c r="A45" s="44" t="s">
        <v>658</v>
      </c>
      <c r="B45" s="45" t="s">
        <v>659</v>
      </c>
      <c r="C45" s="98" t="s">
        <v>660</v>
      </c>
      <c r="D45" s="46">
        <v>30</v>
      </c>
      <c r="E45" s="99">
        <v>999750040</v>
      </c>
      <c r="F45" s="46">
        <v>29992501200</v>
      </c>
      <c r="G45" s="47">
        <v>2.5716385977208201E-2</v>
      </c>
    </row>
    <row r="46" spans="1:7" ht="34" customHeight="1">
      <c r="A46" s="44" t="s">
        <v>661</v>
      </c>
      <c r="B46" s="45" t="s">
        <v>662</v>
      </c>
      <c r="C46" s="98" t="s">
        <v>663</v>
      </c>
      <c r="D46" s="46">
        <v>52</v>
      </c>
      <c r="E46" s="99">
        <v>989303250</v>
      </c>
      <c r="F46" s="46">
        <v>51443769000</v>
      </c>
      <c r="G46" s="47">
        <v>4.4109286214726803E-2</v>
      </c>
    </row>
    <row r="47" spans="1:7" ht="34" customHeight="1">
      <c r="A47" s="44" t="s">
        <v>664</v>
      </c>
      <c r="B47" s="45" t="s">
        <v>665</v>
      </c>
      <c r="C47" s="98" t="s">
        <v>666</v>
      </c>
      <c r="D47" s="46">
        <v>92</v>
      </c>
      <c r="E47" s="99">
        <v>100000655</v>
      </c>
      <c r="F47" s="46">
        <v>9200060260</v>
      </c>
      <c r="G47" s="47">
        <v>7.8883818019063502E-3</v>
      </c>
    </row>
    <row r="48" spans="1:7" ht="39" customHeight="1">
      <c r="A48" s="40"/>
      <c r="B48" s="41" t="s">
        <v>667</v>
      </c>
      <c r="C48" s="40" t="s">
        <v>668</v>
      </c>
      <c r="D48" s="42"/>
      <c r="E48" s="42"/>
      <c r="F48" s="42">
        <v>611610129421</v>
      </c>
      <c r="G48" s="43">
        <v>0.52441115367066105</v>
      </c>
    </row>
    <row r="49" spans="1:7" ht="39" customHeight="1">
      <c r="A49" s="40" t="s">
        <v>669</v>
      </c>
      <c r="B49" s="41" t="s">
        <v>670</v>
      </c>
      <c r="C49" s="40" t="s">
        <v>671</v>
      </c>
      <c r="D49" s="42"/>
      <c r="E49" s="42"/>
      <c r="F49" s="42"/>
      <c r="G49" s="43"/>
    </row>
    <row r="50" spans="1:7" ht="39" customHeight="1">
      <c r="A50" s="44"/>
      <c r="B50" s="45"/>
      <c r="C50" s="98"/>
      <c r="D50" s="46"/>
      <c r="E50" s="99"/>
      <c r="F50" s="46"/>
      <c r="G50" s="47"/>
    </row>
    <row r="51" spans="1:7" ht="39" customHeight="1">
      <c r="A51" s="44" t="s">
        <v>672</v>
      </c>
      <c r="B51" s="45" t="s">
        <v>673</v>
      </c>
      <c r="C51" s="98" t="s">
        <v>674</v>
      </c>
      <c r="D51" s="46"/>
      <c r="E51" s="99"/>
      <c r="F51" s="46">
        <v>0</v>
      </c>
      <c r="G51" s="47">
        <v>0</v>
      </c>
    </row>
    <row r="52" spans="1:7" ht="39" customHeight="1">
      <c r="A52" s="44" t="s">
        <v>675</v>
      </c>
      <c r="B52" s="45" t="s">
        <v>676</v>
      </c>
      <c r="C52" s="98" t="s">
        <v>677</v>
      </c>
      <c r="D52" s="46"/>
      <c r="E52" s="99"/>
      <c r="F52" s="46">
        <v>0</v>
      </c>
      <c r="G52" s="47">
        <v>0</v>
      </c>
    </row>
    <row r="53" spans="1:7" ht="34" customHeight="1">
      <c r="A53" s="40"/>
      <c r="B53" s="41" t="s">
        <v>678</v>
      </c>
      <c r="C53" s="40" t="s">
        <v>679</v>
      </c>
      <c r="D53" s="42"/>
      <c r="E53" s="42"/>
      <c r="F53" s="42">
        <v>0</v>
      </c>
      <c r="G53" s="43">
        <v>0</v>
      </c>
    </row>
    <row r="54" spans="1:7" ht="39" customHeight="1">
      <c r="A54" s="40"/>
      <c r="B54" s="41" t="s">
        <v>680</v>
      </c>
      <c r="C54" s="40" t="s">
        <v>681</v>
      </c>
      <c r="D54" s="42"/>
      <c r="E54" s="42"/>
      <c r="F54" s="42">
        <v>611610129421</v>
      </c>
      <c r="G54" s="43">
        <v>0.52441115367066105</v>
      </c>
    </row>
    <row r="55" spans="1:7" ht="39" customHeight="1">
      <c r="A55" s="40" t="s">
        <v>682</v>
      </c>
      <c r="B55" s="41" t="s">
        <v>683</v>
      </c>
      <c r="C55" s="40" t="s">
        <v>684</v>
      </c>
      <c r="D55" s="42"/>
      <c r="E55" s="42"/>
      <c r="F55" s="42"/>
      <c r="G55" s="43"/>
    </row>
    <row r="56" spans="1:7" ht="39" customHeight="1">
      <c r="A56" s="44"/>
      <c r="B56" s="45"/>
      <c r="C56" s="98"/>
      <c r="D56" s="46"/>
      <c r="E56" s="99"/>
      <c r="F56" s="46"/>
      <c r="G56" s="47"/>
    </row>
    <row r="57" spans="1:7" ht="39" customHeight="1">
      <c r="A57" s="44" t="s">
        <v>685</v>
      </c>
      <c r="B57" s="45" t="s">
        <v>686</v>
      </c>
      <c r="C57" s="98" t="s">
        <v>687</v>
      </c>
      <c r="D57" s="46"/>
      <c r="E57" s="99"/>
      <c r="F57" s="46">
        <v>0</v>
      </c>
      <c r="G57" s="47">
        <v>0</v>
      </c>
    </row>
    <row r="58" spans="1:7" ht="39" customHeight="1">
      <c r="A58" s="44" t="s">
        <v>688</v>
      </c>
      <c r="B58" s="45" t="s">
        <v>689</v>
      </c>
      <c r="C58" s="98" t="s">
        <v>690</v>
      </c>
      <c r="D58" s="46"/>
      <c r="E58" s="99"/>
      <c r="F58" s="46">
        <v>18160073621</v>
      </c>
      <c r="G58" s="47">
        <v>1.55709408661173E-2</v>
      </c>
    </row>
    <row r="59" spans="1:7" ht="78.5" customHeight="1">
      <c r="A59" s="44" t="s">
        <v>691</v>
      </c>
      <c r="B59" s="45" t="s">
        <v>692</v>
      </c>
      <c r="C59" s="98" t="s">
        <v>693</v>
      </c>
      <c r="D59" s="46"/>
      <c r="E59" s="99"/>
      <c r="F59" s="46">
        <v>4038991781</v>
      </c>
      <c r="G59" s="47">
        <v>3.4631413667816201E-3</v>
      </c>
    </row>
    <row r="60" spans="1:7" ht="85.5" customHeight="1">
      <c r="A60" s="44" t="s">
        <v>694</v>
      </c>
      <c r="B60" s="45" t="s">
        <v>695</v>
      </c>
      <c r="C60" s="98" t="s">
        <v>696</v>
      </c>
      <c r="D60" s="46"/>
      <c r="E60" s="99"/>
      <c r="F60" s="46">
        <v>0</v>
      </c>
      <c r="G60" s="47">
        <v>0</v>
      </c>
    </row>
    <row r="61" spans="1:7" ht="91.5" customHeight="1">
      <c r="A61" s="44" t="s">
        <v>697</v>
      </c>
      <c r="B61" s="45" t="s">
        <v>698</v>
      </c>
      <c r="C61" s="98" t="s">
        <v>699</v>
      </c>
      <c r="D61" s="46"/>
      <c r="E61" s="99"/>
      <c r="F61" s="46">
        <v>0</v>
      </c>
      <c r="G61" s="47">
        <v>0</v>
      </c>
    </row>
    <row r="62" spans="1:7" ht="39" customHeight="1">
      <c r="A62" s="44" t="s">
        <v>700</v>
      </c>
      <c r="B62" s="45" t="s">
        <v>701</v>
      </c>
      <c r="C62" s="98" t="s">
        <v>702</v>
      </c>
      <c r="D62" s="46"/>
      <c r="E62" s="99"/>
      <c r="F62" s="46">
        <v>0</v>
      </c>
      <c r="G62" s="47">
        <v>0</v>
      </c>
    </row>
    <row r="63" spans="1:7" ht="39" customHeight="1">
      <c r="A63" s="44" t="s">
        <v>703</v>
      </c>
      <c r="B63" s="45" t="s">
        <v>704</v>
      </c>
      <c r="C63" s="98" t="s">
        <v>705</v>
      </c>
      <c r="D63" s="46"/>
      <c r="E63" s="99"/>
      <c r="F63" s="46">
        <v>0</v>
      </c>
      <c r="G63" s="47">
        <v>0</v>
      </c>
    </row>
    <row r="64" spans="1:7" ht="39" customHeight="1">
      <c r="A64" s="40"/>
      <c r="B64" s="41" t="s">
        <v>706</v>
      </c>
      <c r="C64" s="40" t="s">
        <v>707</v>
      </c>
      <c r="D64" s="42"/>
      <c r="E64" s="42"/>
      <c r="F64" s="42">
        <v>22199065402</v>
      </c>
      <c r="G64" s="43">
        <v>1.9034082232898899E-2</v>
      </c>
    </row>
    <row r="65" spans="1:7" ht="39" customHeight="1">
      <c r="A65" s="40" t="s">
        <v>708</v>
      </c>
      <c r="B65" s="41" t="s">
        <v>709</v>
      </c>
      <c r="C65" s="40" t="s">
        <v>710</v>
      </c>
      <c r="D65" s="42"/>
      <c r="E65" s="42"/>
      <c r="F65" s="42"/>
      <c r="G65" s="43"/>
    </row>
    <row r="66" spans="1:7" ht="39" customHeight="1">
      <c r="A66" s="44" t="s">
        <v>711</v>
      </c>
      <c r="B66" s="45" t="s">
        <v>712</v>
      </c>
      <c r="C66" s="98" t="s">
        <v>713</v>
      </c>
      <c r="D66" s="46"/>
      <c r="E66" s="99"/>
      <c r="F66" s="100">
        <f>F68+F69</f>
        <v>316667085954</v>
      </c>
      <c r="G66" s="101">
        <f>F66/F74</f>
        <v>0.2715189691705614</v>
      </c>
    </row>
    <row r="67" spans="1:7" ht="39" customHeight="1">
      <c r="A67" s="44"/>
      <c r="B67" s="45"/>
      <c r="C67" s="98"/>
      <c r="D67" s="46"/>
      <c r="E67" s="99"/>
      <c r="F67" s="46"/>
      <c r="G67" s="47"/>
    </row>
    <row r="68" spans="1:7" ht="39" customHeight="1">
      <c r="A68" s="44" t="s">
        <v>714</v>
      </c>
      <c r="B68" s="45" t="s">
        <v>715</v>
      </c>
      <c r="C68" s="98" t="s">
        <v>716</v>
      </c>
      <c r="D68" s="46"/>
      <c r="E68" s="99"/>
      <c r="F68" s="46">
        <v>59667085954</v>
      </c>
      <c r="G68" s="47">
        <v>5.1160181749974297E-2</v>
      </c>
    </row>
    <row r="69" spans="1:7" ht="39" customHeight="1">
      <c r="A69" s="44" t="s">
        <v>717</v>
      </c>
      <c r="B69" s="45" t="s">
        <v>718</v>
      </c>
      <c r="C69" s="98" t="s">
        <v>719</v>
      </c>
      <c r="D69" s="46"/>
      <c r="E69" s="99"/>
      <c r="F69" s="46">
        <v>257000000000</v>
      </c>
      <c r="G69" s="47">
        <v>0.22035878742058701</v>
      </c>
    </row>
    <row r="70" spans="1:7" ht="91" customHeight="1">
      <c r="A70" s="44" t="s">
        <v>720</v>
      </c>
      <c r="B70" s="45" t="s">
        <v>721</v>
      </c>
      <c r="C70" s="98" t="s">
        <v>722</v>
      </c>
      <c r="D70" s="46"/>
      <c r="E70" s="99"/>
      <c r="F70" s="46">
        <v>56100000000</v>
      </c>
      <c r="G70" s="47">
        <v>4.8101665269630098E-2</v>
      </c>
    </row>
    <row r="71" spans="1:7" ht="39" customHeight="1">
      <c r="A71" s="44"/>
      <c r="B71" s="45"/>
      <c r="C71" s="98"/>
      <c r="D71" s="46"/>
      <c r="E71" s="99"/>
      <c r="F71" s="46"/>
      <c r="G71" s="47"/>
    </row>
    <row r="72" spans="1:7" ht="39" customHeight="1">
      <c r="A72" s="44" t="s">
        <v>723</v>
      </c>
      <c r="B72" s="45" t="s">
        <v>724</v>
      </c>
      <c r="C72" s="98" t="s">
        <v>725</v>
      </c>
      <c r="D72" s="46"/>
      <c r="E72" s="99"/>
      <c r="F72" s="46">
        <v>159703507782</v>
      </c>
      <c r="G72" s="47">
        <v>0.13693412965624799</v>
      </c>
    </row>
    <row r="73" spans="1:7" ht="39" customHeight="1">
      <c r="A73" s="40"/>
      <c r="B73" s="41" t="s">
        <v>726</v>
      </c>
      <c r="C73" s="40" t="s">
        <v>727</v>
      </c>
      <c r="D73" s="42"/>
      <c r="E73" s="42"/>
      <c r="F73" s="42">
        <v>532470593736</v>
      </c>
      <c r="G73" s="43">
        <v>0.45655476409644002</v>
      </c>
    </row>
    <row r="74" spans="1:7" ht="39" customHeight="1">
      <c r="A74" s="40" t="s">
        <v>728</v>
      </c>
      <c r="B74" s="41" t="s">
        <v>729</v>
      </c>
      <c r="C74" s="40" t="s">
        <v>730</v>
      </c>
      <c r="D74" s="42"/>
      <c r="E74" s="42"/>
      <c r="F74" s="42">
        <v>1166279788559</v>
      </c>
      <c r="G74" s="43">
        <v>1</v>
      </c>
    </row>
    <row r="75" spans="1:7" ht="16.899999999999999" customHeight="1">
      <c r="A75" s="102"/>
      <c r="B75" s="103"/>
      <c r="C75" s="103"/>
      <c r="D75" s="103"/>
      <c r="E75" s="49"/>
      <c r="F75" s="103"/>
    </row>
    <row r="76" spans="1:7" ht="16.899999999999999" customHeight="1">
      <c r="A76" s="49" t="s">
        <v>10</v>
      </c>
      <c r="B76" s="103"/>
      <c r="C76" s="103"/>
      <c r="D76" s="103"/>
      <c r="E76" s="49" t="s">
        <v>11</v>
      </c>
      <c r="F76" s="103"/>
    </row>
    <row r="77" spans="1:7" ht="16.899999999999999" customHeight="1">
      <c r="A77" s="51" t="s">
        <v>12</v>
      </c>
      <c r="B77" s="103"/>
      <c r="C77" s="103"/>
      <c r="D77" s="103"/>
      <c r="E77" s="51" t="s">
        <v>13</v>
      </c>
      <c r="F77" s="103"/>
    </row>
    <row r="78" spans="1:7" ht="16.899999999999999" customHeight="1"/>
    <row r="79" spans="1:7" ht="16.899999999999999" customHeight="1">
      <c r="A79" s="95"/>
      <c r="E79" s="95"/>
    </row>
    <row r="80" spans="1:7" ht="16.899999999999999" customHeight="1">
      <c r="A80" s="95"/>
      <c r="E80" s="95"/>
    </row>
    <row r="81" spans="1:7" ht="16.899999999999999" customHeight="1">
      <c r="A81" s="95"/>
      <c r="E81" s="95"/>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104" t="s">
        <v>14</v>
      </c>
      <c r="B88" s="94"/>
      <c r="C88" s="94"/>
      <c r="E88" s="104" t="s">
        <v>1102</v>
      </c>
      <c r="F88" s="94"/>
      <c r="G88" s="94"/>
    </row>
    <row r="89" spans="1:7" ht="16.899999999999999" customHeight="1">
      <c r="A89" s="105" t="s">
        <v>1108</v>
      </c>
      <c r="E89" s="59" t="s">
        <v>1121</v>
      </c>
    </row>
    <row r="90" spans="1:7" ht="16.899999999999999" customHeight="1">
      <c r="A90" s="106" t="s">
        <v>1109</v>
      </c>
      <c r="E90" s="50" t="s">
        <v>1130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1"/>
  <sheetViews>
    <sheetView view="pageBreakPreview" topLeftCell="A40" zoomScale="70" zoomScaleNormal="85" zoomScaleSheetLayoutView="70" workbookViewId="0">
      <selection activeCell="H46" sqref="H46:H47"/>
    </sheetView>
  </sheetViews>
  <sheetFormatPr defaultColWidth="9.1796875" defaultRowHeight="15.5"/>
  <cols>
    <col min="1" max="1" width="4.81640625" style="137" customWidth="1"/>
    <col min="2" max="2" width="34.453125" style="108" customWidth="1"/>
    <col min="3" max="3" width="14.453125" style="108" customWidth="1"/>
    <col min="4" max="4" width="11.81640625" style="108" customWidth="1"/>
    <col min="5" max="5" width="12.26953125" style="108" customWidth="1"/>
    <col min="6" max="6" width="12.54296875" style="108" customWidth="1"/>
    <col min="7" max="7" width="16.453125" style="108" customWidth="1"/>
    <col min="8" max="9" width="19" style="108" customWidth="1"/>
    <col min="10" max="10" width="43.54296875" style="108" customWidth="1"/>
    <col min="11" max="16384" width="9.1796875" style="108"/>
  </cols>
  <sheetData>
    <row r="1" spans="1:10" s="107" customFormat="1" ht="46.5" customHeight="1">
      <c r="A1" s="232" t="s">
        <v>569</v>
      </c>
      <c r="B1" s="232"/>
      <c r="C1" s="232"/>
      <c r="D1" s="232"/>
      <c r="E1" s="232"/>
      <c r="F1" s="232"/>
      <c r="G1" s="232"/>
      <c r="H1" s="232"/>
      <c r="I1" s="232"/>
      <c r="J1" s="232"/>
    </row>
    <row r="2" spans="1:10" ht="49" customHeight="1">
      <c r="A2" s="233" t="s">
        <v>571</v>
      </c>
      <c r="B2" s="233"/>
      <c r="C2" s="233"/>
      <c r="D2" s="233"/>
      <c r="E2" s="233"/>
      <c r="F2" s="233"/>
      <c r="G2" s="233"/>
      <c r="H2" s="233"/>
      <c r="I2" s="233"/>
      <c r="J2" s="233"/>
    </row>
    <row r="3" spans="1:10" ht="19.149999999999999" customHeight="1">
      <c r="A3" s="234" t="s">
        <v>520</v>
      </c>
      <c r="B3" s="234"/>
      <c r="C3" s="234"/>
      <c r="D3" s="234"/>
      <c r="E3" s="234"/>
      <c r="F3" s="234"/>
      <c r="G3" s="234"/>
      <c r="H3" s="234"/>
      <c r="I3" s="234"/>
      <c r="J3" s="234"/>
    </row>
    <row r="4" spans="1:10" ht="21.65" customHeight="1">
      <c r="A4" s="234"/>
      <c r="B4" s="234"/>
      <c r="C4" s="234"/>
      <c r="D4" s="234"/>
      <c r="E4" s="234"/>
      <c r="F4" s="234"/>
      <c r="G4" s="234"/>
      <c r="H4" s="234"/>
      <c r="I4" s="234"/>
      <c r="J4" s="234"/>
    </row>
    <row r="5" spans="1:10">
      <c r="A5" s="235" t="s">
        <v>1101</v>
      </c>
      <c r="B5" s="235"/>
      <c r="C5" s="235"/>
      <c r="D5" s="235"/>
      <c r="E5" s="235"/>
      <c r="F5" s="235"/>
      <c r="G5" s="235"/>
      <c r="H5" s="235"/>
      <c r="I5" s="235"/>
      <c r="J5" s="235"/>
    </row>
    <row r="6" spans="1:10">
      <c r="A6" s="109"/>
      <c r="B6" s="109"/>
      <c r="C6" s="109"/>
      <c r="D6" s="109"/>
      <c r="E6" s="109"/>
      <c r="F6" s="110"/>
      <c r="G6" s="111"/>
      <c r="H6" s="111"/>
      <c r="I6" s="111"/>
      <c r="J6" s="111"/>
    </row>
    <row r="7" spans="1:10">
      <c r="A7" s="236" t="s">
        <v>2</v>
      </c>
      <c r="B7" s="237"/>
      <c r="C7" s="111"/>
      <c r="D7" s="111"/>
      <c r="E7" s="111"/>
      <c r="F7" s="111"/>
      <c r="G7" s="226" t="s">
        <v>1102</v>
      </c>
      <c r="H7" s="226"/>
      <c r="I7" s="226"/>
      <c r="J7" s="226"/>
    </row>
    <row r="8" spans="1:10" ht="15" customHeight="1">
      <c r="A8" s="229" t="s">
        <v>15</v>
      </c>
      <c r="B8" s="229"/>
      <c r="C8" s="111"/>
      <c r="D8" s="111"/>
      <c r="E8" s="111"/>
      <c r="F8" s="111"/>
      <c r="G8" s="227" t="s">
        <v>1103</v>
      </c>
      <c r="H8" s="227"/>
      <c r="I8" s="227"/>
      <c r="J8" s="227"/>
    </row>
    <row r="9" spans="1:10">
      <c r="A9" s="224" t="s">
        <v>3</v>
      </c>
      <c r="B9" s="230"/>
      <c r="C9" s="111"/>
      <c r="D9" s="111"/>
      <c r="E9" s="111"/>
      <c r="F9" s="111"/>
      <c r="G9" s="231" t="s">
        <v>1104</v>
      </c>
      <c r="H9" s="231"/>
      <c r="I9" s="231"/>
      <c r="J9" s="231"/>
    </row>
    <row r="10" spans="1:10" ht="15" customHeight="1">
      <c r="A10" s="230" t="s">
        <v>4</v>
      </c>
      <c r="B10" s="230"/>
      <c r="C10" s="111"/>
      <c r="D10" s="111"/>
      <c r="E10" s="111"/>
      <c r="F10" s="111"/>
      <c r="G10" s="227" t="s">
        <v>1105</v>
      </c>
      <c r="H10" s="227"/>
      <c r="I10" s="227"/>
      <c r="J10" s="227"/>
    </row>
    <row r="11" spans="1:10" ht="15" customHeight="1">
      <c r="A11" s="224" t="s">
        <v>5</v>
      </c>
      <c r="B11" s="225"/>
      <c r="C11" s="111"/>
      <c r="D11" s="111"/>
      <c r="E11" s="111"/>
      <c r="F11" s="111"/>
      <c r="G11" s="226" t="s">
        <v>576</v>
      </c>
      <c r="H11" s="226"/>
      <c r="I11" s="226"/>
      <c r="J11" s="226"/>
    </row>
    <row r="12" spans="1:10" ht="15" customHeight="1">
      <c r="A12" s="112" t="s">
        <v>515</v>
      </c>
      <c r="B12" s="113"/>
      <c r="C12" s="111"/>
      <c r="D12" s="111"/>
      <c r="E12" s="111"/>
      <c r="F12" s="111"/>
      <c r="G12" s="227" t="s">
        <v>1124</v>
      </c>
      <c r="H12" s="227"/>
      <c r="I12" s="227"/>
      <c r="J12" s="227"/>
    </row>
    <row r="13" spans="1:10" ht="15" customHeight="1">
      <c r="A13" s="114" t="s">
        <v>7</v>
      </c>
      <c r="B13" s="115"/>
      <c r="C13" s="111"/>
      <c r="D13" s="111"/>
      <c r="E13" s="111"/>
      <c r="F13" s="111"/>
      <c r="G13" s="226" t="s">
        <v>1106</v>
      </c>
      <c r="H13" s="226"/>
      <c r="I13" s="226"/>
      <c r="J13" s="226"/>
    </row>
    <row r="14" spans="1:10">
      <c r="A14" s="116" t="s">
        <v>8</v>
      </c>
      <c r="B14" s="116"/>
      <c r="C14" s="117"/>
      <c r="D14" s="117"/>
      <c r="E14" s="117"/>
      <c r="F14" s="117"/>
      <c r="G14" s="228" t="s">
        <v>1107</v>
      </c>
      <c r="H14" s="228"/>
      <c r="I14" s="228"/>
      <c r="J14" s="228"/>
    </row>
    <row r="15" spans="1:10">
      <c r="A15" s="32" t="s">
        <v>567</v>
      </c>
      <c r="B15" s="33" t="s">
        <v>568</v>
      </c>
      <c r="C15" s="117"/>
      <c r="D15" s="117"/>
      <c r="E15" s="117"/>
      <c r="F15" s="117"/>
      <c r="G15" s="118"/>
      <c r="H15" s="118"/>
      <c r="I15" s="118"/>
      <c r="J15" s="118"/>
    </row>
    <row r="16" spans="1:10">
      <c r="A16" s="119" t="s">
        <v>27</v>
      </c>
      <c r="B16" s="120" t="s">
        <v>523</v>
      </c>
      <c r="C16" s="117"/>
      <c r="D16" s="117"/>
      <c r="E16" s="117"/>
      <c r="F16" s="117"/>
      <c r="G16" s="117"/>
      <c r="H16" s="117"/>
      <c r="I16" s="117"/>
      <c r="J16" s="117"/>
    </row>
    <row r="17" spans="1:10" s="121" customFormat="1" ht="36" customHeight="1">
      <c r="A17" s="222" t="s">
        <v>234</v>
      </c>
      <c r="B17" s="222" t="s">
        <v>558</v>
      </c>
      <c r="C17" s="222" t="s">
        <v>559</v>
      </c>
      <c r="D17" s="222" t="s">
        <v>560</v>
      </c>
      <c r="E17" s="222" t="s">
        <v>561</v>
      </c>
      <c r="F17" s="222" t="s">
        <v>562</v>
      </c>
      <c r="G17" s="222" t="s">
        <v>563</v>
      </c>
      <c r="H17" s="223"/>
      <c r="I17" s="222" t="s">
        <v>572</v>
      </c>
      <c r="J17" s="223"/>
    </row>
    <row r="18" spans="1:10" s="121" customFormat="1" ht="124" customHeight="1">
      <c r="A18" s="223"/>
      <c r="B18" s="223"/>
      <c r="C18" s="223"/>
      <c r="D18" s="223"/>
      <c r="E18" s="223"/>
      <c r="F18" s="223"/>
      <c r="G18" s="122" t="s">
        <v>564</v>
      </c>
      <c r="H18" s="122" t="s">
        <v>565</v>
      </c>
      <c r="I18" s="122" t="s">
        <v>564</v>
      </c>
      <c r="J18" s="122" t="s">
        <v>566</v>
      </c>
    </row>
    <row r="19" spans="1:10" s="121" customFormat="1" ht="45.75" customHeight="1">
      <c r="A19" s="44" t="s">
        <v>731</v>
      </c>
      <c r="B19" s="44" t="s">
        <v>732</v>
      </c>
      <c r="C19" s="44"/>
      <c r="D19" s="44"/>
      <c r="E19" s="44"/>
      <c r="F19" s="46"/>
      <c r="G19" s="44"/>
      <c r="H19" s="47"/>
      <c r="I19" s="44"/>
      <c r="J19" s="47"/>
    </row>
    <row r="20" spans="1:10">
      <c r="A20" s="44" t="s">
        <v>733</v>
      </c>
      <c r="B20" s="44" t="s">
        <v>734</v>
      </c>
      <c r="C20" s="44" t="s">
        <v>735</v>
      </c>
      <c r="D20" s="44" t="s">
        <v>736</v>
      </c>
      <c r="E20" s="44" t="s">
        <v>737</v>
      </c>
      <c r="F20" s="46" t="s">
        <v>738</v>
      </c>
      <c r="G20" s="44" t="s">
        <v>739</v>
      </c>
      <c r="H20" s="47" t="s">
        <v>740</v>
      </c>
      <c r="I20" s="44" t="s">
        <v>741</v>
      </c>
      <c r="J20" s="47" t="s">
        <v>742</v>
      </c>
    </row>
    <row r="21" spans="1:10" ht="50" customHeight="1">
      <c r="A21" s="40" t="s">
        <v>743</v>
      </c>
      <c r="B21" s="40" t="s">
        <v>744</v>
      </c>
      <c r="C21" s="40"/>
      <c r="D21" s="40"/>
      <c r="E21" s="40"/>
      <c r="F21" s="42">
        <v>0</v>
      </c>
      <c r="G21" s="40"/>
      <c r="H21" s="43">
        <v>0</v>
      </c>
      <c r="I21" s="40"/>
      <c r="J21" s="43">
        <v>0</v>
      </c>
    </row>
    <row r="22" spans="1:10" ht="51.5" customHeight="1">
      <c r="A22" s="44" t="s">
        <v>745</v>
      </c>
      <c r="B22" s="44" t="s">
        <v>746</v>
      </c>
      <c r="C22" s="44"/>
      <c r="D22" s="44"/>
      <c r="E22" s="44"/>
      <c r="F22" s="46"/>
      <c r="G22" s="44"/>
      <c r="H22" s="47"/>
      <c r="I22" s="44"/>
      <c r="J22" s="47"/>
    </row>
    <row r="23" spans="1:10">
      <c r="A23" s="44" t="s">
        <v>747</v>
      </c>
      <c r="B23" s="44" t="s">
        <v>748</v>
      </c>
      <c r="C23" s="44" t="s">
        <v>749</v>
      </c>
      <c r="D23" s="44" t="s">
        <v>750</v>
      </c>
      <c r="E23" s="44" t="s">
        <v>751</v>
      </c>
      <c r="F23" s="46" t="s">
        <v>752</v>
      </c>
      <c r="G23" s="44" t="s">
        <v>753</v>
      </c>
      <c r="H23" s="47" t="s">
        <v>754</v>
      </c>
      <c r="I23" s="44" t="s">
        <v>755</v>
      </c>
      <c r="J23" s="47" t="s">
        <v>756</v>
      </c>
    </row>
    <row r="24" spans="1:10" ht="53" customHeight="1">
      <c r="A24" s="40" t="s">
        <v>757</v>
      </c>
      <c r="B24" s="40" t="s">
        <v>758</v>
      </c>
      <c r="C24" s="40"/>
      <c r="D24" s="40"/>
      <c r="E24" s="40"/>
      <c r="F24" s="42">
        <v>0</v>
      </c>
      <c r="G24" s="40"/>
      <c r="H24" s="43">
        <v>0</v>
      </c>
      <c r="I24" s="40"/>
      <c r="J24" s="43">
        <v>0</v>
      </c>
    </row>
    <row r="25" spans="1:10" ht="59.5" customHeight="1">
      <c r="A25" s="40" t="s">
        <v>759</v>
      </c>
      <c r="B25" s="40" t="s">
        <v>760</v>
      </c>
      <c r="C25" s="40"/>
      <c r="D25" s="40"/>
      <c r="E25" s="40"/>
      <c r="F25" s="42">
        <v>0</v>
      </c>
      <c r="G25" s="40"/>
      <c r="H25" s="43">
        <v>0</v>
      </c>
      <c r="I25" s="40"/>
      <c r="J25" s="43">
        <v>0</v>
      </c>
    </row>
    <row r="26" spans="1:10" ht="50.5" customHeight="1">
      <c r="A26" s="44" t="s">
        <v>761</v>
      </c>
      <c r="B26" s="44" t="s">
        <v>762</v>
      </c>
      <c r="C26" s="44"/>
      <c r="D26" s="44"/>
      <c r="E26" s="44"/>
      <c r="F26" s="46"/>
      <c r="G26" s="44"/>
      <c r="H26" s="47"/>
      <c r="I26" s="44"/>
      <c r="J26" s="47"/>
    </row>
    <row r="27" spans="1:10">
      <c r="A27" s="44" t="s">
        <v>763</v>
      </c>
      <c r="B27" s="44" t="s">
        <v>764</v>
      </c>
      <c r="C27" s="44" t="s">
        <v>765</v>
      </c>
      <c r="D27" s="44" t="s">
        <v>766</v>
      </c>
      <c r="E27" s="44" t="s">
        <v>767</v>
      </c>
      <c r="F27" s="46" t="s">
        <v>768</v>
      </c>
      <c r="G27" s="44" t="s">
        <v>769</v>
      </c>
      <c r="H27" s="47" t="s">
        <v>770</v>
      </c>
      <c r="I27" s="44" t="s">
        <v>771</v>
      </c>
      <c r="J27" s="47" t="s">
        <v>772</v>
      </c>
    </row>
    <row r="28" spans="1:10" ht="40.5" customHeight="1">
      <c r="A28" s="40" t="s">
        <v>773</v>
      </c>
      <c r="B28" s="40" t="s">
        <v>774</v>
      </c>
      <c r="C28" s="40"/>
      <c r="D28" s="40"/>
      <c r="E28" s="40"/>
      <c r="F28" s="42">
        <v>0</v>
      </c>
      <c r="G28" s="40"/>
      <c r="H28" s="43">
        <v>0</v>
      </c>
      <c r="I28" s="40"/>
      <c r="J28" s="43">
        <v>0</v>
      </c>
    </row>
    <row r="29" spans="1:10" ht="56.5" customHeight="1">
      <c r="A29" s="44" t="s">
        <v>775</v>
      </c>
      <c r="B29" s="44" t="s">
        <v>776</v>
      </c>
      <c r="C29" s="44"/>
      <c r="D29" s="44"/>
      <c r="E29" s="44"/>
      <c r="F29" s="46"/>
      <c r="G29" s="44"/>
      <c r="H29" s="47"/>
      <c r="I29" s="44"/>
      <c r="J29" s="47"/>
    </row>
    <row r="30" spans="1:10">
      <c r="A30" s="44" t="s">
        <v>777</v>
      </c>
      <c r="B30" s="44" t="s">
        <v>778</v>
      </c>
      <c r="C30" s="44" t="s">
        <v>779</v>
      </c>
      <c r="D30" s="44" t="s">
        <v>780</v>
      </c>
      <c r="E30" s="44" t="s">
        <v>781</v>
      </c>
      <c r="F30" s="46" t="s">
        <v>782</v>
      </c>
      <c r="G30" s="44" t="s">
        <v>783</v>
      </c>
      <c r="H30" s="47" t="s">
        <v>784</v>
      </c>
      <c r="I30" s="44" t="s">
        <v>785</v>
      </c>
      <c r="J30" s="47" t="s">
        <v>786</v>
      </c>
    </row>
    <row r="31" spans="1:10" ht="42" customHeight="1">
      <c r="A31" s="40" t="s">
        <v>787</v>
      </c>
      <c r="B31" s="40" t="s">
        <v>788</v>
      </c>
      <c r="C31" s="40"/>
      <c r="D31" s="40"/>
      <c r="E31" s="40"/>
      <c r="F31" s="42">
        <v>0</v>
      </c>
      <c r="G31" s="40"/>
      <c r="H31" s="43">
        <v>0</v>
      </c>
      <c r="I31" s="40"/>
      <c r="J31" s="43">
        <v>0</v>
      </c>
    </row>
    <row r="32" spans="1:10" ht="65" customHeight="1">
      <c r="A32" s="40" t="s">
        <v>789</v>
      </c>
      <c r="B32" s="40" t="s">
        <v>790</v>
      </c>
      <c r="C32" s="40"/>
      <c r="D32" s="40"/>
      <c r="E32" s="40"/>
      <c r="F32" s="42">
        <v>0</v>
      </c>
      <c r="G32" s="40"/>
      <c r="H32" s="43">
        <v>0</v>
      </c>
      <c r="I32" s="40"/>
      <c r="J32" s="43">
        <v>0</v>
      </c>
    </row>
    <row r="33" spans="1:10" s="127" customFormat="1" ht="45.75" customHeight="1">
      <c r="A33" s="123" t="s">
        <v>10</v>
      </c>
      <c r="B33" s="124"/>
      <c r="C33" s="125"/>
      <c r="D33" s="117"/>
      <c r="E33" s="117"/>
      <c r="F33" s="117"/>
      <c r="G33" s="117"/>
      <c r="H33" s="126" t="s">
        <v>11</v>
      </c>
      <c r="I33" s="138"/>
      <c r="J33" s="117"/>
    </row>
    <row r="34" spans="1:10">
      <c r="A34" s="128" t="s">
        <v>12</v>
      </c>
      <c r="B34" s="124"/>
      <c r="C34" s="125"/>
      <c r="D34" s="117"/>
      <c r="E34" s="117"/>
      <c r="F34" s="117"/>
      <c r="G34" s="117"/>
      <c r="H34" s="129" t="s">
        <v>13</v>
      </c>
      <c r="I34" s="111"/>
      <c r="J34" s="117"/>
    </row>
    <row r="35" spans="1:10">
      <c r="A35" s="124"/>
      <c r="B35" s="124"/>
      <c r="C35" s="125"/>
      <c r="D35" s="111"/>
      <c r="E35" s="111"/>
      <c r="F35" s="111"/>
      <c r="G35" s="111"/>
      <c r="H35" s="125"/>
      <c r="I35" s="111"/>
      <c r="J35" s="111"/>
    </row>
    <row r="36" spans="1:10">
      <c r="A36" s="124"/>
      <c r="B36" s="124"/>
      <c r="C36" s="125"/>
      <c r="D36" s="111"/>
      <c r="E36" s="111"/>
      <c r="F36" s="111"/>
      <c r="G36" s="111"/>
      <c r="H36" s="125"/>
      <c r="I36" s="111"/>
      <c r="J36" s="111"/>
    </row>
    <row r="37" spans="1:10">
      <c r="A37" s="124"/>
      <c r="B37" s="124"/>
      <c r="C37" s="125"/>
      <c r="D37" s="111"/>
      <c r="E37" s="111"/>
      <c r="F37" s="111"/>
      <c r="G37" s="111"/>
      <c r="H37" s="125"/>
      <c r="I37" s="111"/>
      <c r="J37" s="111"/>
    </row>
    <row r="38" spans="1:10">
      <c r="A38" s="124"/>
      <c r="B38" s="124"/>
      <c r="C38" s="125"/>
      <c r="D38" s="111"/>
      <c r="E38" s="111"/>
      <c r="F38" s="111"/>
      <c r="G38" s="111"/>
      <c r="H38" s="125"/>
      <c r="I38" s="111"/>
      <c r="J38" s="111"/>
    </row>
    <row r="39" spans="1:10">
      <c r="A39" s="124"/>
      <c r="B39" s="124"/>
      <c r="C39" s="125"/>
      <c r="D39" s="111"/>
      <c r="E39" s="111"/>
      <c r="F39" s="111"/>
      <c r="G39" s="111"/>
      <c r="H39" s="125"/>
      <c r="I39" s="111"/>
      <c r="J39" s="111"/>
    </row>
    <row r="40" spans="1:10">
      <c r="A40" s="124"/>
      <c r="B40" s="124"/>
      <c r="C40" s="125"/>
      <c r="D40" s="111"/>
      <c r="E40" s="111"/>
      <c r="F40" s="111"/>
      <c r="G40" s="111"/>
      <c r="H40" s="125"/>
      <c r="I40" s="111"/>
      <c r="J40" s="111"/>
    </row>
    <row r="41" spans="1:10">
      <c r="A41" s="130"/>
      <c r="B41" s="111"/>
      <c r="C41" s="111"/>
      <c r="D41" s="111"/>
      <c r="E41" s="111"/>
      <c r="F41" s="111"/>
      <c r="G41" s="117"/>
      <c r="H41" s="111"/>
      <c r="I41" s="111"/>
      <c r="J41" s="111"/>
    </row>
    <row r="42" spans="1:10">
      <c r="A42" s="130"/>
      <c r="B42" s="111"/>
      <c r="C42" s="111"/>
      <c r="D42" s="111"/>
      <c r="E42" s="111"/>
      <c r="F42" s="111"/>
      <c r="G42" s="111"/>
      <c r="H42" s="111"/>
      <c r="I42" s="111"/>
      <c r="J42" s="111"/>
    </row>
    <row r="43" spans="1:10">
      <c r="A43" s="130"/>
      <c r="B43" s="111"/>
      <c r="C43" s="111"/>
      <c r="D43" s="111"/>
      <c r="E43" s="111"/>
      <c r="F43" s="111"/>
      <c r="G43" s="111"/>
      <c r="H43" s="111"/>
      <c r="I43" s="111"/>
      <c r="J43" s="111"/>
    </row>
    <row r="44" spans="1:10">
      <c r="A44" s="130"/>
      <c r="B44" s="111"/>
      <c r="C44" s="111"/>
      <c r="D44" s="111"/>
      <c r="E44" s="111"/>
      <c r="F44" s="111"/>
      <c r="G44" s="111"/>
      <c r="H44" s="111"/>
      <c r="I44" s="139"/>
      <c r="J44" s="111"/>
    </row>
    <row r="45" spans="1:10" s="121" customFormat="1" ht="15">
      <c r="A45" s="131" t="s">
        <v>14</v>
      </c>
      <c r="B45" s="131"/>
      <c r="C45" s="132"/>
      <c r="D45" s="117"/>
      <c r="E45" s="117"/>
      <c r="F45" s="117"/>
      <c r="G45" s="117"/>
      <c r="H45" s="133" t="s">
        <v>1102</v>
      </c>
      <c r="I45" s="117"/>
      <c r="J45" s="132"/>
    </row>
    <row r="46" spans="1:10" s="121" customFormat="1" ht="15">
      <c r="A46" s="134" t="s">
        <v>1108</v>
      </c>
      <c r="B46" s="135"/>
      <c r="C46" s="117"/>
      <c r="D46" s="117"/>
      <c r="E46" s="117"/>
      <c r="F46" s="117"/>
      <c r="G46" s="117"/>
      <c r="H46" s="59" t="s">
        <v>1121</v>
      </c>
      <c r="I46" s="117"/>
      <c r="J46" s="117"/>
    </row>
    <row r="47" spans="1:10" s="121" customFormat="1" ht="15">
      <c r="A47" s="135" t="s">
        <v>1109</v>
      </c>
      <c r="B47" s="135"/>
      <c r="C47" s="117"/>
      <c r="D47" s="117"/>
      <c r="E47" s="117"/>
      <c r="F47" s="117"/>
      <c r="G47" s="117"/>
      <c r="H47" s="50" t="s">
        <v>1130</v>
      </c>
      <c r="I47" s="117"/>
      <c r="J47" s="117"/>
    </row>
    <row r="48" spans="1:10" s="121" customFormat="1" ht="15">
      <c r="A48" s="136"/>
      <c r="B48" s="117"/>
      <c r="C48" s="117"/>
      <c r="D48" s="117"/>
      <c r="E48" s="117"/>
      <c r="F48" s="117"/>
      <c r="G48" s="117"/>
      <c r="H48" s="117"/>
      <c r="I48" s="117"/>
      <c r="J48" s="117"/>
    </row>
    <row r="49" spans="1:10" s="121" customFormat="1" ht="15">
      <c r="A49" s="136"/>
      <c r="B49" s="117"/>
      <c r="C49" s="117"/>
      <c r="D49" s="117"/>
      <c r="E49" s="117"/>
      <c r="F49" s="117"/>
      <c r="G49" s="117"/>
      <c r="H49" s="117"/>
      <c r="I49" s="117"/>
      <c r="J49" s="117"/>
    </row>
    <row r="50" spans="1:10">
      <c r="A50" s="130"/>
      <c r="B50" s="111"/>
      <c r="C50" s="111"/>
      <c r="D50" s="111"/>
      <c r="E50" s="111"/>
      <c r="F50" s="111"/>
      <c r="G50" s="111"/>
      <c r="H50" s="111"/>
      <c r="I50" s="111"/>
      <c r="J50" s="111"/>
    </row>
    <row r="51" spans="1:10">
      <c r="A51" s="130"/>
      <c r="B51" s="111"/>
      <c r="C51" s="111"/>
      <c r="D51" s="111"/>
      <c r="E51" s="111"/>
      <c r="F51" s="111"/>
      <c r="G51" s="111"/>
      <c r="H51" s="111"/>
      <c r="I51" s="111"/>
      <c r="J51" s="111"/>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56" zoomScale="70" zoomScaleNormal="100" zoomScaleSheetLayoutView="70" workbookViewId="0">
      <selection activeCell="D67" sqref="D67:D68"/>
    </sheetView>
  </sheetViews>
  <sheetFormatPr defaultColWidth="8.7265625" defaultRowHeight="53.25" customHeight="1"/>
  <cols>
    <col min="1" max="1" width="8.7265625" style="29"/>
    <col min="2" max="2" width="64.7265625" style="29" customWidth="1"/>
    <col min="3" max="3" width="12.453125" style="29" customWidth="1"/>
    <col min="4" max="4" width="41.7265625" style="29" customWidth="1"/>
    <col min="5" max="5" width="39.54296875" style="29" customWidth="1"/>
    <col min="6" max="6" width="8.453125" style="96" customWidth="1"/>
    <col min="7" max="16384" width="8.7265625" style="96"/>
  </cols>
  <sheetData>
    <row r="1" spans="1:6" ht="53.25" customHeight="1">
      <c r="A1" s="216" t="s">
        <v>569</v>
      </c>
      <c r="B1" s="216"/>
      <c r="C1" s="216"/>
      <c r="D1" s="216"/>
      <c r="E1" s="216"/>
      <c r="F1" s="140"/>
    </row>
    <row r="2" spans="1:6" ht="66" customHeight="1">
      <c r="A2" s="217" t="s">
        <v>570</v>
      </c>
      <c r="B2" s="217"/>
      <c r="C2" s="217"/>
      <c r="D2" s="217"/>
      <c r="E2" s="217"/>
      <c r="F2" s="141"/>
    </row>
    <row r="3" spans="1:6" ht="40.5" customHeight="1">
      <c r="A3" s="218" t="s">
        <v>520</v>
      </c>
      <c r="B3" s="218"/>
      <c r="C3" s="218"/>
      <c r="D3" s="218"/>
      <c r="E3" s="218"/>
      <c r="F3" s="140"/>
    </row>
    <row r="4" spans="1:6" ht="15" hidden="1">
      <c r="A4" s="218"/>
      <c r="B4" s="218"/>
      <c r="C4" s="218"/>
      <c r="D4" s="218"/>
      <c r="E4" s="218"/>
      <c r="F4" s="140"/>
    </row>
    <row r="5" spans="1:6" ht="15">
      <c r="A5" s="219" t="s">
        <v>1101</v>
      </c>
      <c r="B5" s="219"/>
      <c r="C5" s="219"/>
      <c r="D5" s="219"/>
      <c r="E5" s="219"/>
      <c r="F5" s="142"/>
    </row>
    <row r="6" spans="1:6" ht="15"/>
    <row r="7" spans="1:6" ht="15">
      <c r="A7" s="62" t="s">
        <v>2</v>
      </c>
      <c r="C7" s="220" t="s">
        <v>1102</v>
      </c>
      <c r="D7" s="220"/>
      <c r="E7" s="220"/>
    </row>
    <row r="8" spans="1:6" ht="15">
      <c r="A8" s="29" t="s">
        <v>15</v>
      </c>
      <c r="C8" s="215" t="s">
        <v>1103</v>
      </c>
      <c r="D8" s="215"/>
      <c r="E8" s="215"/>
    </row>
    <row r="9" spans="1:6" ht="15">
      <c r="A9" s="62" t="s">
        <v>3</v>
      </c>
      <c r="C9" s="220" t="s">
        <v>1104</v>
      </c>
      <c r="D9" s="220"/>
      <c r="E9" s="220"/>
    </row>
    <row r="10" spans="1:6" ht="15">
      <c r="A10" s="29" t="s">
        <v>4</v>
      </c>
      <c r="C10" s="215" t="s">
        <v>1105</v>
      </c>
      <c r="D10" s="215"/>
      <c r="E10" s="215"/>
    </row>
    <row r="11" spans="1:6" ht="15">
      <c r="A11" s="62" t="s">
        <v>5</v>
      </c>
      <c r="C11" s="221" t="s">
        <v>576</v>
      </c>
      <c r="D11" s="221"/>
      <c r="E11" s="221"/>
    </row>
    <row r="12" spans="1:6" ht="15">
      <c r="A12" s="29" t="s">
        <v>6</v>
      </c>
      <c r="C12" s="215" t="s">
        <v>1124</v>
      </c>
      <c r="D12" s="215"/>
      <c r="E12" s="215"/>
    </row>
    <row r="13" spans="1:6" ht="15">
      <c r="A13" s="62" t="s">
        <v>7</v>
      </c>
      <c r="C13" s="220" t="s">
        <v>1106</v>
      </c>
      <c r="D13" s="220"/>
      <c r="E13" s="220"/>
    </row>
    <row r="14" spans="1:6" ht="15">
      <c r="A14" s="29" t="s">
        <v>8</v>
      </c>
      <c r="C14" s="215" t="s">
        <v>1107</v>
      </c>
      <c r="D14" s="215"/>
      <c r="E14" s="215"/>
    </row>
    <row r="15" spans="1:6" ht="15"/>
    <row r="16" spans="1:6" ht="15">
      <c r="A16" s="32" t="s">
        <v>567</v>
      </c>
      <c r="B16" s="33" t="s">
        <v>568</v>
      </c>
    </row>
    <row r="17" spans="1:5" ht="15">
      <c r="A17" s="63" t="s">
        <v>28</v>
      </c>
      <c r="B17" s="64" t="s">
        <v>285</v>
      </c>
    </row>
    <row r="18" spans="1:5" ht="45">
      <c r="A18" s="143" t="s">
        <v>17</v>
      </c>
      <c r="B18" s="143" t="s">
        <v>557</v>
      </c>
      <c r="C18" s="143" t="s">
        <v>19</v>
      </c>
      <c r="D18" s="144" t="s">
        <v>1112</v>
      </c>
      <c r="E18" s="144" t="s">
        <v>1113</v>
      </c>
    </row>
    <row r="19" spans="1:5" s="148" customFormat="1" ht="72" customHeight="1">
      <c r="A19" s="145" t="s">
        <v>16</v>
      </c>
      <c r="B19" s="146" t="s">
        <v>112</v>
      </c>
      <c r="C19" s="147" t="s">
        <v>113</v>
      </c>
      <c r="D19" s="47"/>
      <c r="E19" s="47"/>
    </row>
    <row r="20" spans="1:5" ht="72" customHeight="1">
      <c r="A20" s="149">
        <v>1</v>
      </c>
      <c r="B20" s="150" t="s">
        <v>542</v>
      </c>
      <c r="C20" s="151" t="s">
        <v>114</v>
      </c>
      <c r="D20" s="47">
        <v>1.18363830760296E-2</v>
      </c>
      <c r="E20" s="47">
        <v>1.21872766235907E-2</v>
      </c>
    </row>
    <row r="21" spans="1:5" ht="72" customHeight="1">
      <c r="A21" s="149">
        <v>2</v>
      </c>
      <c r="B21" s="150" t="s">
        <v>543</v>
      </c>
      <c r="C21" s="151" t="s">
        <v>115</v>
      </c>
      <c r="D21" s="47">
        <v>8.6093643722564195E-4</v>
      </c>
      <c r="E21" s="47">
        <v>9.3505338566134198E-4</v>
      </c>
    </row>
    <row r="22" spans="1:5" ht="99" customHeight="1">
      <c r="A22" s="149">
        <v>3</v>
      </c>
      <c r="B22" s="150" t="s">
        <v>544</v>
      </c>
      <c r="C22" s="151" t="s">
        <v>116</v>
      </c>
      <c r="D22" s="47">
        <v>7.4664884013268004E-4</v>
      </c>
      <c r="E22" s="47">
        <v>1.0812290439350101E-3</v>
      </c>
    </row>
    <row r="23" spans="1:5" ht="72" customHeight="1">
      <c r="A23" s="149">
        <v>4</v>
      </c>
      <c r="B23" s="150" t="s">
        <v>286</v>
      </c>
      <c r="C23" s="151" t="s">
        <v>117</v>
      </c>
      <c r="D23" s="47">
        <v>1.8231343709263401E-4</v>
      </c>
      <c r="E23" s="47">
        <v>2.8471089877459297E-4</v>
      </c>
    </row>
    <row r="24" spans="1:5" ht="72" customHeight="1">
      <c r="A24" s="149">
        <v>5</v>
      </c>
      <c r="B24" s="150" t="s">
        <v>545</v>
      </c>
      <c r="C24" s="151" t="s">
        <v>546</v>
      </c>
      <c r="D24" s="152"/>
      <c r="E24" s="152"/>
    </row>
    <row r="25" spans="1:5" ht="72" customHeight="1">
      <c r="A25" s="149">
        <v>6</v>
      </c>
      <c r="B25" s="150" t="s">
        <v>547</v>
      </c>
      <c r="C25" s="151" t="s">
        <v>516</v>
      </c>
      <c r="D25" s="152"/>
      <c r="E25" s="152"/>
    </row>
    <row r="26" spans="1:5" ht="100" customHeight="1">
      <c r="A26" s="149">
        <v>7</v>
      </c>
      <c r="B26" s="150" t="s">
        <v>287</v>
      </c>
      <c r="C26" s="151" t="s">
        <v>118</v>
      </c>
      <c r="D26" s="47">
        <v>1.9938198127360799E-4</v>
      </c>
      <c r="E26" s="47">
        <v>3.0710897518346702E-4</v>
      </c>
    </row>
    <row r="27" spans="1:5" ht="72" customHeight="1">
      <c r="A27" s="149">
        <v>8</v>
      </c>
      <c r="B27" s="150" t="s">
        <v>548</v>
      </c>
      <c r="C27" s="151" t="s">
        <v>119</v>
      </c>
      <c r="D27" s="47">
        <v>1.4211082870685799E-2</v>
      </c>
      <c r="E27" s="47">
        <v>1.4801258502297901E-2</v>
      </c>
    </row>
    <row r="28" spans="1:5" ht="72" customHeight="1">
      <c r="A28" s="149">
        <v>9</v>
      </c>
      <c r="B28" s="150" t="s">
        <v>583</v>
      </c>
      <c r="C28" s="151" t="s">
        <v>120</v>
      </c>
      <c r="D28" s="47">
        <v>2.70717903244805</v>
      </c>
      <c r="E28" s="47">
        <v>2.4344299842054502</v>
      </c>
    </row>
    <row r="29" spans="1:5" ht="97.5" customHeight="1">
      <c r="A29" s="149">
        <v>10</v>
      </c>
      <c r="B29" s="150" t="s">
        <v>549</v>
      </c>
      <c r="C29" s="151" t="s">
        <v>516</v>
      </c>
      <c r="D29" s="152"/>
      <c r="E29" s="152"/>
    </row>
    <row r="30" spans="1:5" s="148" customFormat="1" ht="72" customHeight="1">
      <c r="A30" s="145" t="s">
        <v>22</v>
      </c>
      <c r="B30" s="146" t="s">
        <v>121</v>
      </c>
      <c r="C30" s="147" t="s">
        <v>122</v>
      </c>
      <c r="D30" s="153"/>
      <c r="E30" s="153"/>
    </row>
    <row r="31" spans="1:5" ht="72" customHeight="1">
      <c r="A31" s="241">
        <v>1</v>
      </c>
      <c r="B31" s="150" t="s">
        <v>123</v>
      </c>
      <c r="C31" s="151" t="s">
        <v>124</v>
      </c>
      <c r="D31" s="154">
        <v>653424790600</v>
      </c>
      <c r="E31" s="154">
        <v>471153348400</v>
      </c>
    </row>
    <row r="32" spans="1:5" ht="72" customHeight="1">
      <c r="A32" s="242"/>
      <c r="B32" s="150" t="s">
        <v>125</v>
      </c>
      <c r="C32" s="151" t="s">
        <v>126</v>
      </c>
      <c r="D32" s="154">
        <v>653424790600</v>
      </c>
      <c r="E32" s="154">
        <v>471153348400</v>
      </c>
    </row>
    <row r="33" spans="1:5" ht="72" customHeight="1">
      <c r="A33" s="243"/>
      <c r="B33" s="150" t="s">
        <v>550</v>
      </c>
      <c r="C33" s="151" t="s">
        <v>127</v>
      </c>
      <c r="D33" s="152">
        <v>65342479.060000002</v>
      </c>
      <c r="E33" s="152">
        <v>47115334.840000004</v>
      </c>
    </row>
    <row r="34" spans="1:5" ht="72" customHeight="1">
      <c r="A34" s="240">
        <v>2</v>
      </c>
      <c r="B34" s="150" t="s">
        <v>128</v>
      </c>
      <c r="C34" s="151" t="s">
        <v>129</v>
      </c>
      <c r="D34" s="154">
        <v>402655477800</v>
      </c>
      <c r="E34" s="154">
        <v>182271442200</v>
      </c>
    </row>
    <row r="35" spans="1:5" ht="72" customHeight="1">
      <c r="A35" s="240"/>
      <c r="B35" s="150" t="s">
        <v>130</v>
      </c>
      <c r="C35" s="151" t="s">
        <v>551</v>
      </c>
      <c r="D35" s="152">
        <v>40265547.780000001</v>
      </c>
      <c r="E35" s="152">
        <v>18227144.219999999</v>
      </c>
    </row>
    <row r="36" spans="1:5" ht="72" customHeight="1">
      <c r="A36" s="240"/>
      <c r="B36" s="150" t="s">
        <v>131</v>
      </c>
      <c r="C36" s="151" t="s">
        <v>552</v>
      </c>
      <c r="D36" s="154">
        <v>402655477800</v>
      </c>
      <c r="E36" s="154">
        <v>182271442200</v>
      </c>
    </row>
    <row r="37" spans="1:5" ht="72" customHeight="1">
      <c r="A37" s="240"/>
      <c r="B37" s="150" t="s">
        <v>553</v>
      </c>
      <c r="C37" s="151" t="s">
        <v>132</v>
      </c>
      <c r="D37" s="152">
        <v>54182183.090000004</v>
      </c>
      <c r="E37" s="152">
        <v>25167431.739999998</v>
      </c>
    </row>
    <row r="38" spans="1:5" ht="72" customHeight="1">
      <c r="A38" s="240"/>
      <c r="B38" s="150" t="s">
        <v>258</v>
      </c>
      <c r="C38" s="151" t="s">
        <v>133</v>
      </c>
      <c r="D38" s="154">
        <v>541821830900</v>
      </c>
      <c r="E38" s="154">
        <v>251674317400</v>
      </c>
    </row>
    <row r="39" spans="1:5" ht="72" customHeight="1">
      <c r="A39" s="240"/>
      <c r="B39" s="150" t="s">
        <v>575</v>
      </c>
      <c r="C39" s="151" t="s">
        <v>134</v>
      </c>
      <c r="D39" s="152">
        <v>-13916635.310000001</v>
      </c>
      <c r="E39" s="152">
        <v>-6940287.5199999996</v>
      </c>
    </row>
    <row r="40" spans="1:5" ht="72" customHeight="1">
      <c r="A40" s="240"/>
      <c r="B40" s="150" t="s">
        <v>259</v>
      </c>
      <c r="C40" s="151" t="s">
        <v>135</v>
      </c>
      <c r="D40" s="154">
        <v>-139166353100</v>
      </c>
      <c r="E40" s="154">
        <v>-69402875200</v>
      </c>
    </row>
    <row r="41" spans="1:5" ht="72" customHeight="1">
      <c r="A41" s="240">
        <v>3</v>
      </c>
      <c r="B41" s="150" t="s">
        <v>260</v>
      </c>
      <c r="C41" s="151" t="s">
        <v>136</v>
      </c>
      <c r="D41" s="154">
        <v>1056080268400</v>
      </c>
      <c r="E41" s="154">
        <v>653424790600</v>
      </c>
    </row>
    <row r="42" spans="1:5" ht="72" customHeight="1">
      <c r="A42" s="240"/>
      <c r="B42" s="150" t="s">
        <v>554</v>
      </c>
      <c r="C42" s="151" t="s">
        <v>137</v>
      </c>
      <c r="D42" s="154">
        <v>1056080268400</v>
      </c>
      <c r="E42" s="154">
        <v>653424790600</v>
      </c>
    </row>
    <row r="43" spans="1:5" ht="72" customHeight="1">
      <c r="A43" s="240"/>
      <c r="B43" s="150" t="s">
        <v>555</v>
      </c>
      <c r="C43" s="151" t="s">
        <v>138</v>
      </c>
      <c r="D43" s="152">
        <v>105608026.84</v>
      </c>
      <c r="E43" s="152">
        <v>65342479.060000002</v>
      </c>
    </row>
    <row r="44" spans="1:5" ht="72" customHeight="1">
      <c r="A44" s="149">
        <v>4</v>
      </c>
      <c r="B44" s="150" t="s">
        <v>139</v>
      </c>
      <c r="C44" s="151" t="s">
        <v>140</v>
      </c>
      <c r="D44" s="47">
        <v>0.25532006493077702</v>
      </c>
      <c r="E44" s="47">
        <v>0.41265419766582101</v>
      </c>
    </row>
    <row r="45" spans="1:5" ht="72" customHeight="1">
      <c r="A45" s="149">
        <v>5</v>
      </c>
      <c r="B45" s="150" t="s">
        <v>141</v>
      </c>
      <c r="C45" s="151" t="s">
        <v>142</v>
      </c>
      <c r="D45" s="47">
        <v>0.54049999999999998</v>
      </c>
      <c r="E45" s="47">
        <v>0.59750000000000003</v>
      </c>
    </row>
    <row r="46" spans="1:5" ht="72" customHeight="1">
      <c r="A46" s="149">
        <v>6</v>
      </c>
      <c r="B46" s="150" t="s">
        <v>1123</v>
      </c>
      <c r="C46" s="151" t="s">
        <v>143</v>
      </c>
      <c r="D46" s="47">
        <v>2.0000000000000001E-4</v>
      </c>
      <c r="E46" s="47">
        <v>6.9999999999999999E-4</v>
      </c>
    </row>
    <row r="47" spans="1:5" ht="72" customHeight="1">
      <c r="A47" s="149">
        <v>7</v>
      </c>
      <c r="B47" s="150" t="s">
        <v>144</v>
      </c>
      <c r="C47" s="151" t="s">
        <v>145</v>
      </c>
      <c r="D47" s="154">
        <v>16236</v>
      </c>
      <c r="E47" s="154">
        <v>15893</v>
      </c>
    </row>
    <row r="48" spans="1:5" ht="72" customHeight="1">
      <c r="A48" s="149">
        <v>8</v>
      </c>
      <c r="B48" s="150" t="s">
        <v>261</v>
      </c>
      <c r="C48" s="151" t="s">
        <v>146</v>
      </c>
      <c r="D48" s="152">
        <v>10606.34</v>
      </c>
      <c r="E48" s="152">
        <v>10534.06</v>
      </c>
    </row>
    <row r="49" spans="1:5" ht="72" customHeight="1">
      <c r="A49" s="149">
        <v>9</v>
      </c>
      <c r="B49" s="150" t="s">
        <v>556</v>
      </c>
      <c r="C49" s="151" t="s">
        <v>517</v>
      </c>
      <c r="D49" s="152"/>
      <c r="E49" s="152"/>
    </row>
    <row r="50" spans="1:5" ht="31.5" customHeight="1">
      <c r="A50" s="214" t="s">
        <v>577</v>
      </c>
      <c r="B50" s="215"/>
      <c r="C50" s="215"/>
      <c r="D50" s="215"/>
      <c r="E50" s="215"/>
    </row>
    <row r="51" spans="1:5" ht="95.25" customHeight="1">
      <c r="A51" s="214" t="s">
        <v>578</v>
      </c>
      <c r="B51" s="215"/>
      <c r="C51" s="215"/>
      <c r="D51" s="215"/>
      <c r="E51" s="215"/>
    </row>
    <row r="52" spans="1:5" ht="124" customHeight="1">
      <c r="A52" s="238" t="s">
        <v>1122</v>
      </c>
      <c r="B52" s="239"/>
      <c r="C52" s="239"/>
      <c r="D52" s="239"/>
      <c r="E52" s="239"/>
    </row>
    <row r="53" spans="1:5" ht="7" customHeight="1">
      <c r="A53" s="155"/>
      <c r="B53" s="156"/>
      <c r="C53" s="156"/>
      <c r="D53" s="156"/>
      <c r="E53" s="156"/>
    </row>
    <row r="54" spans="1:5" ht="5.5" customHeight="1">
      <c r="A54" s="155"/>
      <c r="B54" s="156"/>
      <c r="C54" s="156"/>
      <c r="D54" s="156"/>
      <c r="E54" s="156"/>
    </row>
    <row r="55" spans="1:5" ht="15">
      <c r="A55" s="95" t="s">
        <v>10</v>
      </c>
      <c r="D55" s="95" t="s">
        <v>11</v>
      </c>
    </row>
    <row r="56" spans="1:5" s="158" customFormat="1" ht="15">
      <c r="A56" s="157" t="s">
        <v>12</v>
      </c>
      <c r="B56" s="157"/>
      <c r="C56" s="157"/>
      <c r="D56" s="157" t="s">
        <v>13</v>
      </c>
      <c r="E56" s="157"/>
    </row>
    <row r="57" spans="1:5" ht="15"/>
    <row r="58" spans="1:5" ht="15"/>
    <row r="59" spans="1:5" ht="15"/>
    <row r="60" spans="1:5" ht="15"/>
    <row r="61" spans="1:5" ht="15"/>
    <row r="62" spans="1:5" ht="15"/>
    <row r="63" spans="1:5" ht="15"/>
    <row r="64" spans="1:5" ht="15"/>
    <row r="65" spans="1:5" ht="15">
      <c r="A65" s="159"/>
      <c r="B65" s="159"/>
      <c r="D65" s="159"/>
      <c r="E65" s="159"/>
    </row>
    <row r="66" spans="1:5" ht="15">
      <c r="A66" s="95" t="s">
        <v>14</v>
      </c>
      <c r="D66" s="95" t="s">
        <v>1102</v>
      </c>
    </row>
    <row r="67" spans="1:5" ht="15">
      <c r="A67" s="95" t="s">
        <v>1108</v>
      </c>
      <c r="D67" s="59" t="s">
        <v>1121</v>
      </c>
    </row>
    <row r="68" spans="1:5" ht="15">
      <c r="A68" s="29" t="s">
        <v>1109</v>
      </c>
      <c r="D68" s="50" t="s">
        <v>1130</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58" fitToHeight="0" orientation="portrait" r:id="rId1"/>
  <headerFooter>
    <oddHeader>&amp;L&amp;"Arial"&amp;9&amp;K317100PUBLIC&amp;1#</oddHeader>
  </headerFooter>
  <rowBreaks count="2" manualBreakCount="2">
    <brk id="28" max="16383" man="1"/>
    <brk id="44"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8" zoomScale="70" zoomScaleNormal="100" zoomScaleSheetLayoutView="70" workbookViewId="0">
      <selection activeCell="F96" sqref="F96"/>
    </sheetView>
  </sheetViews>
  <sheetFormatPr defaultColWidth="8.7265625" defaultRowHeight="15.5"/>
  <cols>
    <col min="1" max="1" width="69.81640625" style="29" customWidth="1"/>
    <col min="2" max="2" width="12" style="29" customWidth="1"/>
    <col min="3" max="3" width="12.54296875" style="29" customWidth="1"/>
    <col min="4" max="4" width="28" style="29" customWidth="1"/>
    <col min="5" max="5" width="25.54296875" style="29" customWidth="1"/>
    <col min="6" max="6" width="27.7265625" style="29" customWidth="1"/>
    <col min="7" max="7" width="28.81640625" style="29" customWidth="1"/>
    <col min="8" max="16384" width="8.7265625" style="160"/>
  </cols>
  <sheetData>
    <row r="1" spans="1:7" ht="57" customHeight="1">
      <c r="A1" s="216" t="s">
        <v>582</v>
      </c>
      <c r="B1" s="216"/>
      <c r="C1" s="216"/>
      <c r="D1" s="216"/>
      <c r="E1" s="216"/>
      <c r="F1" s="216"/>
      <c r="G1" s="216"/>
    </row>
    <row r="2" spans="1:7" ht="57" customHeight="1">
      <c r="A2" s="217" t="s">
        <v>581</v>
      </c>
      <c r="B2" s="217"/>
      <c r="C2" s="217"/>
      <c r="D2" s="217"/>
      <c r="E2" s="217"/>
      <c r="F2" s="217"/>
      <c r="G2" s="217"/>
    </row>
    <row r="3" spans="1:7" ht="43.9" customHeight="1">
      <c r="A3" s="218" t="s">
        <v>147</v>
      </c>
      <c r="B3" s="218"/>
      <c r="C3" s="218"/>
      <c r="D3" s="218"/>
      <c r="E3" s="218"/>
      <c r="F3" s="218"/>
      <c r="G3" s="218"/>
    </row>
    <row r="4" spans="1:7" ht="9.4" customHeight="1"/>
    <row r="5" spans="1:7">
      <c r="A5" s="219" t="s">
        <v>1101</v>
      </c>
      <c r="B5" s="219"/>
      <c r="C5" s="219"/>
      <c r="D5" s="219"/>
      <c r="E5" s="219"/>
      <c r="F5" s="219"/>
      <c r="G5" s="219"/>
    </row>
    <row r="7" spans="1:7" ht="16.899999999999999" customHeight="1">
      <c r="A7" s="60" t="s">
        <v>2</v>
      </c>
      <c r="D7" s="211" t="s">
        <v>1102</v>
      </c>
      <c r="E7" s="211"/>
      <c r="F7" s="211"/>
      <c r="G7" s="211"/>
    </row>
    <row r="8" spans="1:7" ht="16.899999999999999" customHeight="1">
      <c r="A8" s="161" t="s">
        <v>15</v>
      </c>
      <c r="D8" s="214" t="s">
        <v>1103</v>
      </c>
      <c r="E8" s="214"/>
      <c r="F8" s="214"/>
      <c r="G8" s="214"/>
    </row>
    <row r="9" spans="1:7" ht="16.899999999999999" customHeight="1">
      <c r="A9" s="60" t="s">
        <v>3</v>
      </c>
      <c r="D9" s="211" t="s">
        <v>1104</v>
      </c>
      <c r="E9" s="211"/>
      <c r="F9" s="211"/>
      <c r="G9" s="211"/>
    </row>
    <row r="10" spans="1:7" ht="16.899999999999999" customHeight="1">
      <c r="A10" s="161" t="s">
        <v>4</v>
      </c>
      <c r="D10" s="214" t="s">
        <v>1105</v>
      </c>
      <c r="E10" s="214"/>
      <c r="F10" s="214"/>
      <c r="G10" s="214"/>
    </row>
    <row r="11" spans="1:7" ht="16.899999999999999" customHeight="1">
      <c r="A11" s="60" t="s">
        <v>5</v>
      </c>
      <c r="D11" s="213" t="s">
        <v>576</v>
      </c>
      <c r="E11" s="213"/>
      <c r="F11" s="213"/>
      <c r="G11" s="213"/>
    </row>
    <row r="12" spans="1:7" ht="16.899999999999999" customHeight="1">
      <c r="A12" s="161" t="s">
        <v>6</v>
      </c>
      <c r="D12" s="214" t="s">
        <v>1124</v>
      </c>
      <c r="E12" s="214"/>
      <c r="F12" s="214"/>
      <c r="G12" s="214"/>
    </row>
    <row r="13" spans="1:7" ht="16.899999999999999" customHeight="1">
      <c r="A13" s="60" t="s">
        <v>7</v>
      </c>
      <c r="D13" s="211" t="s">
        <v>1106</v>
      </c>
      <c r="E13" s="211"/>
      <c r="F13" s="211"/>
      <c r="G13" s="211"/>
    </row>
    <row r="14" spans="1:7" ht="16.899999999999999" customHeight="1">
      <c r="A14" s="161" t="s">
        <v>8</v>
      </c>
      <c r="D14" s="214" t="s">
        <v>1107</v>
      </c>
      <c r="E14" s="214"/>
      <c r="F14" s="214"/>
      <c r="G14" s="214"/>
    </row>
    <row r="16" spans="1:7" ht="39" customHeight="1">
      <c r="A16" s="247" t="s">
        <v>148</v>
      </c>
      <c r="B16" s="249" t="s">
        <v>149</v>
      </c>
      <c r="C16" s="249" t="s">
        <v>150</v>
      </c>
      <c r="D16" s="252" t="s">
        <v>1114</v>
      </c>
      <c r="E16" s="253"/>
      <c r="F16" s="252" t="s">
        <v>1115</v>
      </c>
      <c r="G16" s="253"/>
    </row>
    <row r="17" spans="1:10" ht="39" customHeight="1">
      <c r="A17" s="248"/>
      <c r="B17" s="250"/>
      <c r="C17" s="251"/>
      <c r="D17" s="162" t="s">
        <v>1112</v>
      </c>
      <c r="E17" s="163" t="s">
        <v>151</v>
      </c>
      <c r="F17" s="38" t="s">
        <v>1116</v>
      </c>
      <c r="G17" s="163" t="s">
        <v>151</v>
      </c>
    </row>
    <row r="18" spans="1:10" s="168" customFormat="1" ht="60.5" customHeight="1">
      <c r="A18" s="164" t="s">
        <v>288</v>
      </c>
      <c r="B18" s="165" t="s">
        <v>152</v>
      </c>
      <c r="C18" s="166"/>
      <c r="D18" s="167">
        <v>7312426774</v>
      </c>
      <c r="E18" s="167">
        <v>31956441553</v>
      </c>
      <c r="F18" s="167">
        <v>-10366562416</v>
      </c>
      <c r="G18" s="167">
        <v>18780696457</v>
      </c>
    </row>
    <row r="19" spans="1:10" ht="60.5" customHeight="1">
      <c r="A19" s="169" t="s">
        <v>289</v>
      </c>
      <c r="B19" s="170" t="s">
        <v>153</v>
      </c>
      <c r="C19" s="171"/>
      <c r="D19" s="172">
        <v>0</v>
      </c>
      <c r="E19" s="172">
        <v>0</v>
      </c>
      <c r="F19" s="172">
        <v>0</v>
      </c>
      <c r="G19" s="172">
        <v>0</v>
      </c>
      <c r="J19" s="168"/>
    </row>
    <row r="20" spans="1:10" ht="60.5" customHeight="1">
      <c r="A20" s="169" t="s">
        <v>290</v>
      </c>
      <c r="B20" s="170" t="s">
        <v>154</v>
      </c>
      <c r="C20" s="173"/>
      <c r="D20" s="172">
        <v>5203553061</v>
      </c>
      <c r="E20" s="172">
        <v>29880512941</v>
      </c>
      <c r="F20" s="172">
        <v>3219299854</v>
      </c>
      <c r="G20" s="172">
        <v>33508168090</v>
      </c>
      <c r="J20" s="168"/>
    </row>
    <row r="21" spans="1:10" ht="60.5" customHeight="1">
      <c r="A21" s="169" t="s">
        <v>239</v>
      </c>
      <c r="B21" s="170" t="s">
        <v>155</v>
      </c>
      <c r="C21" s="173"/>
      <c r="D21" s="172">
        <v>826166617</v>
      </c>
      <c r="E21" s="172">
        <v>4194122703</v>
      </c>
      <c r="F21" s="172">
        <v>-355419324</v>
      </c>
      <c r="G21" s="172">
        <v>2402714088</v>
      </c>
      <c r="J21" s="168"/>
    </row>
    <row r="22" spans="1:10" ht="60.5" customHeight="1">
      <c r="A22" s="169" t="s">
        <v>587</v>
      </c>
      <c r="B22" s="170" t="s">
        <v>156</v>
      </c>
      <c r="C22" s="173"/>
      <c r="D22" s="172">
        <v>869545206</v>
      </c>
      <c r="E22" s="172">
        <v>3081052055</v>
      </c>
      <c r="F22" s="172">
        <v>186630138</v>
      </c>
      <c r="G22" s="172">
        <v>4764417806</v>
      </c>
      <c r="J22" s="168"/>
    </row>
    <row r="23" spans="1:10" ht="60.5" customHeight="1">
      <c r="A23" s="169" t="s">
        <v>291</v>
      </c>
      <c r="B23" s="170" t="s">
        <v>235</v>
      </c>
      <c r="C23" s="173"/>
      <c r="D23" s="172">
        <v>3507841238</v>
      </c>
      <c r="E23" s="172">
        <v>22605338183</v>
      </c>
      <c r="F23" s="172">
        <v>3388089040</v>
      </c>
      <c r="G23" s="172">
        <v>26341036196</v>
      </c>
      <c r="J23" s="168"/>
    </row>
    <row r="24" spans="1:10" ht="60.5" customHeight="1">
      <c r="A24" s="169" t="s">
        <v>238</v>
      </c>
      <c r="B24" s="170" t="s">
        <v>237</v>
      </c>
      <c r="C24" s="173"/>
      <c r="D24" s="172">
        <v>0</v>
      </c>
      <c r="E24" s="172">
        <v>0</v>
      </c>
      <c r="F24" s="172">
        <v>0</v>
      </c>
      <c r="G24" s="172">
        <v>0</v>
      </c>
      <c r="J24" s="168"/>
    </row>
    <row r="25" spans="1:10" ht="60.5" customHeight="1">
      <c r="A25" s="169" t="s">
        <v>240</v>
      </c>
      <c r="B25" s="174" t="s">
        <v>157</v>
      </c>
      <c r="C25" s="173"/>
      <c r="D25" s="172">
        <v>2909177877</v>
      </c>
      <c r="E25" s="172">
        <v>1270865792</v>
      </c>
      <c r="F25" s="172">
        <v>-14343402858</v>
      </c>
      <c r="G25" s="172">
        <v>-14528858610</v>
      </c>
      <c r="J25" s="168"/>
    </row>
    <row r="26" spans="1:10" ht="60.5" customHeight="1">
      <c r="A26" s="169" t="s">
        <v>241</v>
      </c>
      <c r="B26" s="174" t="s">
        <v>158</v>
      </c>
      <c r="C26" s="173"/>
      <c r="D26" s="172">
        <v>-800304164</v>
      </c>
      <c r="E26" s="172">
        <v>805062820</v>
      </c>
      <c r="F26" s="172">
        <v>757540588</v>
      </c>
      <c r="G26" s="172">
        <v>-198613023</v>
      </c>
      <c r="J26" s="168"/>
    </row>
    <row r="27" spans="1:10" ht="60.5" customHeight="1">
      <c r="A27" s="169" t="s">
        <v>292</v>
      </c>
      <c r="B27" s="174" t="s">
        <v>159</v>
      </c>
      <c r="C27" s="173"/>
      <c r="D27" s="172">
        <v>0</v>
      </c>
      <c r="E27" s="172">
        <v>0</v>
      </c>
      <c r="F27" s="172">
        <v>0</v>
      </c>
      <c r="G27" s="172">
        <v>0</v>
      </c>
      <c r="J27" s="168"/>
    </row>
    <row r="28" spans="1:10" ht="60.5" customHeight="1">
      <c r="A28" s="169" t="s">
        <v>242</v>
      </c>
      <c r="B28" s="174" t="s">
        <v>160</v>
      </c>
      <c r="C28" s="173"/>
      <c r="D28" s="172">
        <v>0</v>
      </c>
      <c r="E28" s="172">
        <v>0</v>
      </c>
      <c r="F28" s="172">
        <v>0</v>
      </c>
      <c r="G28" s="172">
        <v>0</v>
      </c>
      <c r="J28" s="168"/>
    </row>
    <row r="29" spans="1:10" ht="60.5" customHeight="1">
      <c r="A29" s="169" t="s">
        <v>293</v>
      </c>
      <c r="B29" s="174" t="s">
        <v>161</v>
      </c>
      <c r="C29" s="173"/>
      <c r="D29" s="172">
        <v>0</v>
      </c>
      <c r="E29" s="172">
        <v>0</v>
      </c>
      <c r="F29" s="172">
        <v>0</v>
      </c>
      <c r="G29" s="172">
        <v>0</v>
      </c>
      <c r="J29" s="168"/>
    </row>
    <row r="30" spans="1:10" ht="82" customHeight="1">
      <c r="A30" s="169" t="s">
        <v>294</v>
      </c>
      <c r="B30" s="174" t="s">
        <v>162</v>
      </c>
      <c r="C30" s="173"/>
      <c r="D30" s="172">
        <v>0</v>
      </c>
      <c r="E30" s="172">
        <v>0</v>
      </c>
      <c r="F30" s="172">
        <v>0</v>
      </c>
      <c r="G30" s="172">
        <v>0</v>
      </c>
      <c r="J30" s="168"/>
    </row>
    <row r="31" spans="1:10" s="168" customFormat="1" ht="60.5" customHeight="1">
      <c r="A31" s="164" t="s">
        <v>262</v>
      </c>
      <c r="B31" s="165" t="s">
        <v>163</v>
      </c>
      <c r="C31" s="166"/>
      <c r="D31" s="167">
        <v>74625079</v>
      </c>
      <c r="E31" s="167">
        <v>291979380</v>
      </c>
      <c r="F31" s="167">
        <v>63432365</v>
      </c>
      <c r="G31" s="167">
        <v>268042598</v>
      </c>
    </row>
    <row r="32" spans="1:10" ht="60.5" customHeight="1">
      <c r="A32" s="169" t="s">
        <v>164</v>
      </c>
      <c r="B32" s="174" t="s">
        <v>165</v>
      </c>
      <c r="C32" s="173"/>
      <c r="D32" s="172">
        <v>74625079</v>
      </c>
      <c r="E32" s="172">
        <v>248479380</v>
      </c>
      <c r="F32" s="172">
        <v>43432365</v>
      </c>
      <c r="G32" s="172">
        <v>215042598</v>
      </c>
      <c r="J32" s="168"/>
    </row>
    <row r="33" spans="1:10" ht="60.5" customHeight="1">
      <c r="A33" s="175" t="s">
        <v>588</v>
      </c>
      <c r="B33" s="170" t="s">
        <v>166</v>
      </c>
      <c r="C33" s="171"/>
      <c r="D33" s="172">
        <v>74480848</v>
      </c>
      <c r="E33" s="172">
        <v>247155073</v>
      </c>
      <c r="F33" s="172">
        <v>42999155</v>
      </c>
      <c r="G33" s="172">
        <v>214297388</v>
      </c>
      <c r="J33" s="168"/>
    </row>
    <row r="34" spans="1:10" ht="60.5" customHeight="1">
      <c r="A34" s="175" t="s">
        <v>42</v>
      </c>
      <c r="B34" s="170" t="s">
        <v>167</v>
      </c>
      <c r="C34" s="171"/>
      <c r="D34" s="172">
        <v>144231</v>
      </c>
      <c r="E34" s="172">
        <v>1324307</v>
      </c>
      <c r="F34" s="172">
        <v>433210</v>
      </c>
      <c r="G34" s="172">
        <v>745210</v>
      </c>
      <c r="J34" s="168"/>
    </row>
    <row r="35" spans="1:10" ht="60.5" customHeight="1">
      <c r="A35" s="175" t="s">
        <v>168</v>
      </c>
      <c r="B35" s="170" t="s">
        <v>169</v>
      </c>
      <c r="C35" s="173"/>
      <c r="D35" s="172">
        <v>0</v>
      </c>
      <c r="E35" s="172">
        <v>0</v>
      </c>
      <c r="F35" s="172">
        <v>0</v>
      </c>
      <c r="G35" s="172">
        <v>0</v>
      </c>
      <c r="J35" s="168"/>
    </row>
    <row r="36" spans="1:10" ht="60.5" customHeight="1">
      <c r="A36" s="175" t="s">
        <v>170</v>
      </c>
      <c r="B36" s="170" t="s">
        <v>171</v>
      </c>
      <c r="C36" s="173"/>
      <c r="D36" s="172">
        <v>0</v>
      </c>
      <c r="E36" s="172">
        <v>0</v>
      </c>
      <c r="F36" s="172">
        <v>0</v>
      </c>
      <c r="G36" s="172">
        <v>0</v>
      </c>
      <c r="J36" s="168"/>
    </row>
    <row r="37" spans="1:10" ht="60.5" customHeight="1">
      <c r="A37" s="175" t="s">
        <v>172</v>
      </c>
      <c r="B37" s="170" t="s">
        <v>173</v>
      </c>
      <c r="C37" s="173"/>
      <c r="D37" s="172">
        <v>0</v>
      </c>
      <c r="E37" s="172">
        <v>0</v>
      </c>
      <c r="F37" s="172">
        <v>0</v>
      </c>
      <c r="G37" s="172">
        <v>0</v>
      </c>
      <c r="J37" s="168"/>
    </row>
    <row r="38" spans="1:10" ht="60.5" customHeight="1">
      <c r="A38" s="175" t="s">
        <v>263</v>
      </c>
      <c r="B38" s="170" t="s">
        <v>174</v>
      </c>
      <c r="C38" s="173"/>
      <c r="D38" s="172">
        <v>0</v>
      </c>
      <c r="E38" s="172">
        <v>43500000</v>
      </c>
      <c r="F38" s="172">
        <v>20000000</v>
      </c>
      <c r="G38" s="172">
        <v>53000000</v>
      </c>
      <c r="J38" s="168"/>
    </row>
    <row r="39" spans="1:10" s="168" customFormat="1" ht="60.5" customHeight="1">
      <c r="A39" s="164" t="s">
        <v>264</v>
      </c>
      <c r="B39" s="165" t="s">
        <v>175</v>
      </c>
      <c r="C39" s="166"/>
      <c r="D39" s="167">
        <v>995170371</v>
      </c>
      <c r="E39" s="167">
        <v>5588932887</v>
      </c>
      <c r="F39" s="167">
        <v>650550308</v>
      </c>
      <c r="G39" s="167">
        <v>6533852657</v>
      </c>
    </row>
    <row r="40" spans="1:10" ht="60.5" customHeight="1">
      <c r="A40" s="175" t="s">
        <v>295</v>
      </c>
      <c r="B40" s="170" t="s">
        <v>176</v>
      </c>
      <c r="C40" s="173"/>
      <c r="D40" s="172">
        <v>840387611</v>
      </c>
      <c r="E40" s="172">
        <v>4181807767</v>
      </c>
      <c r="F40" s="172">
        <v>502456780</v>
      </c>
      <c r="G40" s="172">
        <v>5131182784</v>
      </c>
      <c r="J40" s="168"/>
    </row>
    <row r="41" spans="1:10" ht="60.5" customHeight="1">
      <c r="A41" s="175" t="s">
        <v>177</v>
      </c>
      <c r="B41" s="170" t="s">
        <v>178</v>
      </c>
      <c r="C41" s="171"/>
      <c r="D41" s="172">
        <v>38399609</v>
      </c>
      <c r="E41" s="172">
        <v>196304081</v>
      </c>
      <c r="F41" s="172">
        <v>24185592</v>
      </c>
      <c r="G41" s="172">
        <v>230648575</v>
      </c>
      <c r="J41" s="168"/>
    </row>
    <row r="42" spans="1:10" ht="60.5" customHeight="1">
      <c r="A42" s="176" t="s">
        <v>23</v>
      </c>
      <c r="B42" s="177" t="s">
        <v>179</v>
      </c>
      <c r="C42" s="171"/>
      <c r="D42" s="172">
        <v>35016149</v>
      </c>
      <c r="E42" s="172">
        <v>178779897</v>
      </c>
      <c r="F42" s="172">
        <v>20935700</v>
      </c>
      <c r="G42" s="172">
        <v>214719330</v>
      </c>
      <c r="J42" s="168"/>
    </row>
    <row r="43" spans="1:10" ht="60.5" customHeight="1">
      <c r="A43" s="176" t="s">
        <v>24</v>
      </c>
      <c r="B43" s="177" t="s">
        <v>180</v>
      </c>
      <c r="C43" s="171"/>
      <c r="D43" s="172">
        <v>3000000</v>
      </c>
      <c r="E43" s="172">
        <v>12900000</v>
      </c>
      <c r="F43" s="172">
        <v>2400000</v>
      </c>
      <c r="G43" s="172">
        <v>12400000</v>
      </c>
      <c r="J43" s="168"/>
    </row>
    <row r="44" spans="1:10" ht="81" customHeight="1">
      <c r="A44" s="176" t="s">
        <v>591</v>
      </c>
      <c r="B44" s="177" t="s">
        <v>181</v>
      </c>
      <c r="C44" s="171"/>
      <c r="D44" s="172">
        <v>383460</v>
      </c>
      <c r="E44" s="172">
        <v>4624184</v>
      </c>
      <c r="F44" s="172">
        <v>849892</v>
      </c>
      <c r="G44" s="172">
        <v>3529245</v>
      </c>
      <c r="J44" s="168"/>
    </row>
    <row r="45" spans="1:10" ht="60.5" customHeight="1">
      <c r="A45" s="175" t="s">
        <v>182</v>
      </c>
      <c r="B45" s="170" t="s">
        <v>183</v>
      </c>
      <c r="C45" s="171"/>
      <c r="D45" s="172">
        <v>23110659</v>
      </c>
      <c r="E45" s="172">
        <v>204647520</v>
      </c>
      <c r="F45" s="172">
        <v>18217767</v>
      </c>
      <c r="G45" s="172">
        <v>215118896</v>
      </c>
      <c r="J45" s="168"/>
    </row>
    <row r="46" spans="1:10" ht="60.5" customHeight="1">
      <c r="A46" s="175" t="s">
        <v>184</v>
      </c>
      <c r="B46" s="170" t="s">
        <v>185</v>
      </c>
      <c r="C46" s="171"/>
      <c r="D46" s="172">
        <v>39428886</v>
      </c>
      <c r="E46" s="172">
        <v>412053886</v>
      </c>
      <c r="F46" s="172">
        <v>37262500</v>
      </c>
      <c r="G46" s="172">
        <v>415956825</v>
      </c>
      <c r="J46" s="168"/>
    </row>
    <row r="47" spans="1:10" ht="60.5" customHeight="1">
      <c r="A47" s="175" t="s">
        <v>186</v>
      </c>
      <c r="B47" s="170" t="s">
        <v>187</v>
      </c>
      <c r="C47" s="171"/>
      <c r="D47" s="172">
        <v>13200000</v>
      </c>
      <c r="E47" s="172">
        <v>145200000</v>
      </c>
      <c r="F47" s="172">
        <v>13200000</v>
      </c>
      <c r="G47" s="172">
        <v>132000000</v>
      </c>
      <c r="J47" s="168"/>
    </row>
    <row r="48" spans="1:10" ht="60.5" customHeight="1">
      <c r="A48" s="175" t="s">
        <v>188</v>
      </c>
      <c r="B48" s="170" t="s">
        <v>189</v>
      </c>
      <c r="C48" s="171"/>
      <c r="D48" s="172">
        <v>0</v>
      </c>
      <c r="E48" s="172">
        <v>0</v>
      </c>
      <c r="F48" s="172">
        <v>0</v>
      </c>
      <c r="G48" s="172">
        <v>0</v>
      </c>
      <c r="J48" s="168"/>
    </row>
    <row r="49" spans="1:10" ht="60.5" customHeight="1">
      <c r="A49" s="178" t="s">
        <v>296</v>
      </c>
      <c r="B49" s="177" t="s">
        <v>190</v>
      </c>
      <c r="C49" s="171"/>
      <c r="D49" s="172">
        <v>0</v>
      </c>
      <c r="E49" s="172">
        <v>0</v>
      </c>
      <c r="F49" s="172">
        <v>0</v>
      </c>
      <c r="G49" s="172">
        <v>0</v>
      </c>
      <c r="J49" s="168"/>
    </row>
    <row r="50" spans="1:10" ht="60.5" customHeight="1">
      <c r="A50" s="178" t="s">
        <v>297</v>
      </c>
      <c r="B50" s="177" t="s">
        <v>191</v>
      </c>
      <c r="C50" s="171"/>
      <c r="D50" s="172">
        <v>0</v>
      </c>
      <c r="E50" s="172">
        <v>0</v>
      </c>
      <c r="F50" s="172">
        <v>0</v>
      </c>
      <c r="G50" s="172">
        <v>0</v>
      </c>
      <c r="J50" s="168"/>
    </row>
    <row r="51" spans="1:10" ht="60.5" customHeight="1">
      <c r="A51" s="175" t="s">
        <v>192</v>
      </c>
      <c r="B51" s="170" t="s">
        <v>193</v>
      </c>
      <c r="C51" s="171"/>
      <c r="D51" s="172">
        <v>0</v>
      </c>
      <c r="E51" s="172">
        <v>34754442</v>
      </c>
      <c r="F51" s="172">
        <v>0</v>
      </c>
      <c r="G51" s="172">
        <v>0</v>
      </c>
      <c r="J51" s="168"/>
    </row>
    <row r="52" spans="1:10" ht="60.5" customHeight="1">
      <c r="A52" s="175" t="s">
        <v>265</v>
      </c>
      <c r="B52" s="170" t="s">
        <v>194</v>
      </c>
      <c r="C52" s="171"/>
      <c r="D52" s="172">
        <v>12944322</v>
      </c>
      <c r="E52" s="172">
        <v>125105544</v>
      </c>
      <c r="F52" s="172">
        <v>9717642</v>
      </c>
      <c r="G52" s="172">
        <v>99974643</v>
      </c>
      <c r="J52" s="168"/>
    </row>
    <row r="53" spans="1:10" ht="60.5" customHeight="1">
      <c r="A53" s="175" t="s">
        <v>195</v>
      </c>
      <c r="B53" s="170" t="s">
        <v>196</v>
      </c>
      <c r="C53" s="171"/>
      <c r="D53" s="172">
        <v>0</v>
      </c>
      <c r="E53" s="172">
        <v>0</v>
      </c>
      <c r="F53" s="172">
        <v>0</v>
      </c>
      <c r="G53" s="172">
        <v>0</v>
      </c>
      <c r="J53" s="168"/>
    </row>
    <row r="54" spans="1:10" ht="60.5" customHeight="1">
      <c r="A54" s="175" t="s">
        <v>266</v>
      </c>
      <c r="B54" s="179" t="s">
        <v>197</v>
      </c>
      <c r="C54" s="171"/>
      <c r="D54" s="172">
        <v>27699284</v>
      </c>
      <c r="E54" s="172">
        <v>289059647</v>
      </c>
      <c r="F54" s="172">
        <v>45510027</v>
      </c>
      <c r="G54" s="172">
        <v>308970934</v>
      </c>
      <c r="J54" s="168"/>
    </row>
    <row r="55" spans="1:10" ht="60.5" customHeight="1">
      <c r="A55" s="178" t="s">
        <v>38</v>
      </c>
      <c r="B55" s="180" t="s">
        <v>198</v>
      </c>
      <c r="C55" s="171"/>
      <c r="D55" s="172">
        <v>6493151</v>
      </c>
      <c r="E55" s="172">
        <v>71490411</v>
      </c>
      <c r="F55" s="172">
        <v>6372386</v>
      </c>
      <c r="G55" s="172">
        <v>83615248</v>
      </c>
      <c r="J55" s="168"/>
    </row>
    <row r="56" spans="1:10" ht="60.5" customHeight="1">
      <c r="A56" s="178" t="s">
        <v>199</v>
      </c>
      <c r="B56" s="180" t="s">
        <v>200</v>
      </c>
      <c r="C56" s="171"/>
      <c r="D56" s="172">
        <v>0</v>
      </c>
      <c r="E56" s="172">
        <v>0</v>
      </c>
      <c r="F56" s="172">
        <v>0</v>
      </c>
      <c r="G56" s="172">
        <v>0</v>
      </c>
      <c r="J56" s="168"/>
    </row>
    <row r="57" spans="1:10" ht="60.5" customHeight="1">
      <c r="A57" s="178" t="s">
        <v>201</v>
      </c>
      <c r="B57" s="180" t="s">
        <v>202</v>
      </c>
      <c r="C57" s="173"/>
      <c r="D57" s="172">
        <v>0</v>
      </c>
      <c r="E57" s="172">
        <v>0</v>
      </c>
      <c r="F57" s="172">
        <v>0</v>
      </c>
      <c r="G57" s="172">
        <v>0</v>
      </c>
      <c r="J57" s="168"/>
    </row>
    <row r="58" spans="1:10" ht="60.5" customHeight="1">
      <c r="A58" s="178" t="s">
        <v>267</v>
      </c>
      <c r="B58" s="180" t="s">
        <v>203</v>
      </c>
      <c r="C58" s="171"/>
      <c r="D58" s="172">
        <v>7663044</v>
      </c>
      <c r="E58" s="172">
        <v>86081522</v>
      </c>
      <c r="F58" s="172">
        <v>31066666</v>
      </c>
      <c r="G58" s="172">
        <v>105266665</v>
      </c>
      <c r="J58" s="168"/>
    </row>
    <row r="59" spans="1:10" ht="60.5" customHeight="1">
      <c r="A59" s="178" t="s">
        <v>39</v>
      </c>
      <c r="B59" s="180" t="s">
        <v>204</v>
      </c>
      <c r="C59" s="173"/>
      <c r="D59" s="172">
        <v>0</v>
      </c>
      <c r="E59" s="172">
        <v>0</v>
      </c>
      <c r="F59" s="172">
        <v>0</v>
      </c>
      <c r="G59" s="172">
        <v>0</v>
      </c>
      <c r="J59" s="168"/>
    </row>
    <row r="60" spans="1:10" ht="60.5" customHeight="1">
      <c r="A60" s="178" t="s">
        <v>268</v>
      </c>
      <c r="B60" s="180" t="s">
        <v>205</v>
      </c>
      <c r="C60" s="173"/>
      <c r="D60" s="172">
        <v>0</v>
      </c>
      <c r="E60" s="172">
        <v>0</v>
      </c>
      <c r="F60" s="172">
        <v>0</v>
      </c>
      <c r="G60" s="172">
        <v>0</v>
      </c>
      <c r="J60" s="168"/>
    </row>
    <row r="61" spans="1:10" ht="60.5" customHeight="1">
      <c r="A61" s="178" t="s">
        <v>269</v>
      </c>
      <c r="B61" s="180" t="s">
        <v>206</v>
      </c>
      <c r="C61" s="173"/>
      <c r="D61" s="172">
        <v>616439</v>
      </c>
      <c r="E61" s="172">
        <v>14363014</v>
      </c>
      <c r="F61" s="172">
        <v>0</v>
      </c>
      <c r="G61" s="172">
        <v>0</v>
      </c>
      <c r="J61" s="168"/>
    </row>
    <row r="62" spans="1:10" ht="60.5" customHeight="1">
      <c r="A62" s="178" t="s">
        <v>46</v>
      </c>
      <c r="B62" s="180" t="s">
        <v>207</v>
      </c>
      <c r="C62" s="173"/>
      <c r="D62" s="172">
        <v>12926650</v>
      </c>
      <c r="E62" s="172">
        <v>116024700</v>
      </c>
      <c r="F62" s="172">
        <v>8070975</v>
      </c>
      <c r="G62" s="172">
        <v>118989021</v>
      </c>
      <c r="J62" s="168"/>
    </row>
    <row r="63" spans="1:10" ht="60.5" customHeight="1">
      <c r="A63" s="178" t="s">
        <v>40</v>
      </c>
      <c r="B63" s="180" t="s">
        <v>208</v>
      </c>
      <c r="C63" s="173"/>
      <c r="D63" s="172">
        <v>0</v>
      </c>
      <c r="E63" s="172">
        <v>0</v>
      </c>
      <c r="F63" s="172">
        <v>0</v>
      </c>
      <c r="G63" s="172">
        <v>0</v>
      </c>
      <c r="J63" s="168"/>
    </row>
    <row r="64" spans="1:10" ht="60.5" customHeight="1">
      <c r="A64" s="178" t="s">
        <v>254</v>
      </c>
      <c r="B64" s="180" t="s">
        <v>209</v>
      </c>
      <c r="C64" s="171"/>
      <c r="D64" s="172">
        <v>0</v>
      </c>
      <c r="E64" s="172">
        <v>0</v>
      </c>
      <c r="F64" s="172">
        <v>0</v>
      </c>
      <c r="G64" s="172">
        <v>0</v>
      </c>
      <c r="J64" s="168"/>
    </row>
    <row r="65" spans="1:10" ht="60.5" customHeight="1">
      <c r="A65" s="178" t="s">
        <v>592</v>
      </c>
      <c r="B65" s="180" t="s">
        <v>210</v>
      </c>
      <c r="C65" s="171"/>
      <c r="D65" s="172">
        <v>0</v>
      </c>
      <c r="E65" s="172">
        <v>1100000</v>
      </c>
      <c r="F65" s="172">
        <v>0</v>
      </c>
      <c r="G65" s="172">
        <v>1100000</v>
      </c>
      <c r="J65" s="168"/>
    </row>
    <row r="66" spans="1:10" ht="60.5" customHeight="1">
      <c r="A66" s="178" t="s">
        <v>593</v>
      </c>
      <c r="B66" s="180" t="s">
        <v>211</v>
      </c>
      <c r="C66" s="171"/>
      <c r="D66" s="172">
        <v>0</v>
      </c>
      <c r="E66" s="172">
        <v>0</v>
      </c>
      <c r="F66" s="172">
        <v>0</v>
      </c>
      <c r="G66" s="172">
        <v>0</v>
      </c>
      <c r="J66" s="168"/>
    </row>
    <row r="67" spans="1:10" ht="60.5" customHeight="1">
      <c r="A67" s="178" t="s">
        <v>270</v>
      </c>
      <c r="B67" s="180" t="s">
        <v>212</v>
      </c>
      <c r="C67" s="171"/>
      <c r="D67" s="172">
        <v>0</v>
      </c>
      <c r="E67" s="172">
        <v>0</v>
      </c>
      <c r="F67" s="172">
        <v>0</v>
      </c>
      <c r="G67" s="172">
        <v>0</v>
      </c>
      <c r="J67" s="168"/>
    </row>
    <row r="68" spans="1:10" ht="60.5" customHeight="1">
      <c r="A68" s="178" t="s">
        <v>213</v>
      </c>
      <c r="B68" s="180" t="s">
        <v>214</v>
      </c>
      <c r="C68" s="171"/>
      <c r="D68" s="172">
        <v>0</v>
      </c>
      <c r="E68" s="172">
        <v>0</v>
      </c>
      <c r="F68" s="172">
        <v>0</v>
      </c>
      <c r="G68" s="172">
        <v>0</v>
      </c>
      <c r="J68" s="168"/>
    </row>
    <row r="69" spans="1:10" s="168" customFormat="1" ht="60.5" customHeight="1">
      <c r="A69" s="164" t="s">
        <v>215</v>
      </c>
      <c r="B69" s="165" t="s">
        <v>216</v>
      </c>
      <c r="C69" s="166"/>
      <c r="D69" s="167">
        <v>6242631324</v>
      </c>
      <c r="E69" s="167">
        <v>26075529286</v>
      </c>
      <c r="F69" s="167">
        <v>-11080545089</v>
      </c>
      <c r="G69" s="167">
        <v>11978801202</v>
      </c>
    </row>
    <row r="70" spans="1:10" s="168" customFormat="1" ht="60.5" customHeight="1">
      <c r="A70" s="164" t="s">
        <v>217</v>
      </c>
      <c r="B70" s="165" t="s">
        <v>218</v>
      </c>
      <c r="C70" s="166"/>
      <c r="D70" s="167">
        <v>0</v>
      </c>
      <c r="E70" s="167">
        <v>0</v>
      </c>
      <c r="F70" s="167">
        <v>0</v>
      </c>
      <c r="G70" s="167">
        <v>0</v>
      </c>
    </row>
    <row r="71" spans="1:10" ht="60.5" customHeight="1">
      <c r="A71" s="169" t="s">
        <v>298</v>
      </c>
      <c r="B71" s="174" t="s">
        <v>219</v>
      </c>
      <c r="C71" s="173"/>
      <c r="D71" s="172">
        <v>0</v>
      </c>
      <c r="E71" s="172">
        <v>0</v>
      </c>
      <c r="F71" s="172">
        <v>0</v>
      </c>
      <c r="G71" s="172">
        <v>0</v>
      </c>
      <c r="J71" s="168"/>
    </row>
    <row r="72" spans="1:10" ht="60.5" customHeight="1">
      <c r="A72" s="169" t="s">
        <v>271</v>
      </c>
      <c r="B72" s="174" t="s">
        <v>220</v>
      </c>
      <c r="C72" s="173"/>
      <c r="D72" s="172">
        <v>0</v>
      </c>
      <c r="E72" s="172">
        <v>0</v>
      </c>
      <c r="F72" s="172">
        <v>0</v>
      </c>
      <c r="G72" s="172">
        <v>0</v>
      </c>
      <c r="J72" s="168"/>
    </row>
    <row r="73" spans="1:10" s="168" customFormat="1" ht="60.5" customHeight="1">
      <c r="A73" s="164" t="s">
        <v>221</v>
      </c>
      <c r="B73" s="165" t="s">
        <v>222</v>
      </c>
      <c r="C73" s="166"/>
      <c r="D73" s="167">
        <v>6242631324</v>
      </c>
      <c r="E73" s="167">
        <v>26075529286</v>
      </c>
      <c r="F73" s="167">
        <v>-11080545089</v>
      </c>
      <c r="G73" s="167">
        <v>11978801202</v>
      </c>
    </row>
    <row r="74" spans="1:10" ht="60.5" customHeight="1">
      <c r="A74" s="175" t="s">
        <v>223</v>
      </c>
      <c r="B74" s="170" t="s">
        <v>224</v>
      </c>
      <c r="C74" s="173"/>
      <c r="D74" s="172">
        <v>7042935488</v>
      </c>
      <c r="E74" s="172">
        <v>25270466466</v>
      </c>
      <c r="F74" s="172">
        <v>-11838085677</v>
      </c>
      <c r="G74" s="172">
        <v>12177414225</v>
      </c>
      <c r="J74" s="168"/>
    </row>
    <row r="75" spans="1:10" ht="60.5" customHeight="1">
      <c r="A75" s="175" t="s">
        <v>225</v>
      </c>
      <c r="B75" s="170" t="s">
        <v>226</v>
      </c>
      <c r="C75" s="173"/>
      <c r="D75" s="172">
        <v>-800304164</v>
      </c>
      <c r="E75" s="172">
        <v>805062820</v>
      </c>
      <c r="F75" s="172">
        <v>757540588</v>
      </c>
      <c r="G75" s="172">
        <v>-198613023</v>
      </c>
      <c r="J75" s="168"/>
    </row>
    <row r="76" spans="1:10" s="168" customFormat="1" ht="60.5" customHeight="1">
      <c r="A76" s="164" t="s">
        <v>227</v>
      </c>
      <c r="B76" s="165" t="s">
        <v>228</v>
      </c>
      <c r="C76" s="166"/>
      <c r="D76" s="167">
        <v>0</v>
      </c>
      <c r="E76" s="167">
        <v>0</v>
      </c>
      <c r="F76" s="167">
        <v>0</v>
      </c>
      <c r="G76" s="167">
        <v>0</v>
      </c>
    </row>
    <row r="77" spans="1:10" s="168" customFormat="1" ht="60.5" customHeight="1">
      <c r="A77" s="164" t="s">
        <v>229</v>
      </c>
      <c r="B77" s="165" t="s">
        <v>230</v>
      </c>
      <c r="C77" s="166"/>
      <c r="D77" s="167">
        <v>6242631324</v>
      </c>
      <c r="E77" s="167">
        <v>26075529286</v>
      </c>
      <c r="F77" s="167">
        <v>-11080545089</v>
      </c>
      <c r="G77" s="167">
        <v>11978801202</v>
      </c>
    </row>
    <row r="80" spans="1:10" s="168" customFormat="1" ht="16.899999999999999" customHeight="1">
      <c r="A80" s="181" t="s">
        <v>231</v>
      </c>
      <c r="B80" s="254" t="s">
        <v>232</v>
      </c>
      <c r="C80" s="254"/>
      <c r="D80" s="254"/>
      <c r="E80" s="254"/>
      <c r="F80" s="254"/>
      <c r="G80" s="254"/>
    </row>
    <row r="93" spans="1:7">
      <c r="A93" s="103" t="s">
        <v>518</v>
      </c>
      <c r="B93" s="244" t="s">
        <v>519</v>
      </c>
      <c r="C93" s="244"/>
      <c r="D93" s="244"/>
      <c r="E93" s="244"/>
      <c r="F93" s="244" t="s">
        <v>1125</v>
      </c>
      <c r="G93" s="244"/>
    </row>
    <row r="94" spans="1:7" ht="16.899999999999999" customHeight="1">
      <c r="A94" s="182" t="s">
        <v>1117</v>
      </c>
      <c r="B94" s="245" t="s">
        <v>1118</v>
      </c>
      <c r="C94" s="245"/>
      <c r="D94" s="245"/>
      <c r="E94" s="245"/>
      <c r="F94" s="245" t="s">
        <v>1121</v>
      </c>
      <c r="G94" s="245"/>
    </row>
    <row r="95" spans="1:7" ht="16.899999999999999" customHeight="1">
      <c r="A95" s="183" t="s">
        <v>1119</v>
      </c>
      <c r="B95" s="246" t="s">
        <v>1120</v>
      </c>
      <c r="C95" s="246"/>
      <c r="D95" s="246"/>
      <c r="E95" s="246"/>
      <c r="F95" s="246" t="s">
        <v>1130</v>
      </c>
      <c r="G95" s="24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5"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1"/>
  <sheetViews>
    <sheetView view="pageBreakPreview" topLeftCell="A85" zoomScale="55" zoomScaleNormal="100" zoomScaleSheetLayoutView="55" workbookViewId="0">
      <selection activeCell="A139" sqref="A139"/>
    </sheetView>
  </sheetViews>
  <sheetFormatPr defaultColWidth="8.7265625" defaultRowHeight="15.5"/>
  <cols>
    <col min="1" max="1" width="7.1796875" style="29" customWidth="1"/>
    <col min="2" max="2" width="84" style="29" customWidth="1"/>
    <col min="3" max="3" width="10.54296875" style="29" customWidth="1"/>
    <col min="4" max="4" width="15.1796875" style="29" customWidth="1"/>
    <col min="5" max="5" width="28.7265625" style="29" customWidth="1"/>
    <col min="6" max="6" width="28" style="29" bestFit="1" customWidth="1"/>
    <col min="7" max="7" width="8.7265625" style="184"/>
    <col min="8" max="16384" width="8.7265625" style="160"/>
  </cols>
  <sheetData>
    <row r="1" spans="1:6" ht="65.25" customHeight="1">
      <c r="A1" s="216" t="s">
        <v>579</v>
      </c>
      <c r="B1" s="216"/>
      <c r="C1" s="216"/>
      <c r="D1" s="216"/>
      <c r="E1" s="216"/>
      <c r="F1" s="216"/>
    </row>
    <row r="2" spans="1:6" ht="64.5" customHeight="1">
      <c r="A2" s="217" t="s">
        <v>580</v>
      </c>
      <c r="B2" s="217"/>
      <c r="C2" s="217"/>
      <c r="D2" s="217"/>
      <c r="E2" s="217"/>
      <c r="F2" s="217"/>
    </row>
    <row r="3" spans="1:6" ht="31.15" customHeight="1">
      <c r="A3" s="218" t="s">
        <v>233</v>
      </c>
      <c r="B3" s="218"/>
      <c r="C3" s="218"/>
      <c r="D3" s="218"/>
      <c r="E3" s="218"/>
      <c r="F3" s="218"/>
    </row>
    <row r="4" spans="1:6" ht="6" customHeight="1"/>
    <row r="5" spans="1:6" ht="16.899999999999999" customHeight="1">
      <c r="A5" s="219" t="s">
        <v>1100</v>
      </c>
      <c r="B5" s="219"/>
      <c r="C5" s="219"/>
      <c r="D5" s="219"/>
      <c r="E5" s="219"/>
      <c r="F5" s="219"/>
    </row>
    <row r="6" spans="1:6" ht="16.899999999999999" customHeight="1"/>
    <row r="7" spans="1:6" ht="16.899999999999999" customHeight="1">
      <c r="A7" s="62" t="s">
        <v>2</v>
      </c>
      <c r="C7" s="211" t="s">
        <v>1102</v>
      </c>
      <c r="D7" s="211"/>
      <c r="E7" s="211"/>
      <c r="F7" s="211"/>
    </row>
    <row r="8" spans="1:6" ht="16.899999999999999" customHeight="1">
      <c r="A8" s="29" t="s">
        <v>15</v>
      </c>
      <c r="C8" s="214" t="s">
        <v>1103</v>
      </c>
      <c r="D8" s="214"/>
      <c r="E8" s="214"/>
      <c r="F8" s="214"/>
    </row>
    <row r="9" spans="1:6" ht="16.899999999999999" customHeight="1">
      <c r="A9" s="62" t="s">
        <v>3</v>
      </c>
      <c r="C9" s="211" t="s">
        <v>1104</v>
      </c>
      <c r="D9" s="211"/>
      <c r="E9" s="211"/>
      <c r="F9" s="211"/>
    </row>
    <row r="10" spans="1:6" ht="16.899999999999999" customHeight="1">
      <c r="A10" s="29" t="s">
        <v>4</v>
      </c>
      <c r="C10" s="214" t="s">
        <v>1105</v>
      </c>
      <c r="D10" s="214"/>
      <c r="E10" s="214"/>
      <c r="F10" s="214"/>
    </row>
    <row r="11" spans="1:6" ht="16.899999999999999" customHeight="1">
      <c r="A11" s="62" t="s">
        <v>5</v>
      </c>
      <c r="C11" s="213" t="s">
        <v>576</v>
      </c>
      <c r="D11" s="213"/>
      <c r="E11" s="213"/>
      <c r="F11" s="213"/>
    </row>
    <row r="12" spans="1:6" ht="16.899999999999999" customHeight="1">
      <c r="A12" s="29" t="s">
        <v>6</v>
      </c>
      <c r="C12" s="214" t="s">
        <v>1124</v>
      </c>
      <c r="D12" s="214"/>
      <c r="E12" s="214"/>
      <c r="F12" s="214"/>
    </row>
    <row r="13" spans="1:6" ht="16.899999999999999" customHeight="1">
      <c r="A13" s="62" t="s">
        <v>7</v>
      </c>
      <c r="C13" s="211" t="s">
        <v>1106</v>
      </c>
      <c r="D13" s="211"/>
      <c r="E13" s="211"/>
      <c r="F13" s="211"/>
    </row>
    <row r="14" spans="1:6" ht="16.899999999999999" customHeight="1">
      <c r="A14" s="29" t="s">
        <v>8</v>
      </c>
      <c r="C14" s="214" t="s">
        <v>1107</v>
      </c>
      <c r="D14" s="214"/>
      <c r="E14" s="214"/>
      <c r="F14" s="214"/>
    </row>
    <row r="15" spans="1:6" ht="16.899999999999999" customHeight="1"/>
    <row r="16" spans="1:6" ht="64" customHeight="1">
      <c r="A16" s="97" t="s">
        <v>234</v>
      </c>
      <c r="B16" s="97" t="s">
        <v>148</v>
      </c>
      <c r="C16" s="97" t="s">
        <v>149</v>
      </c>
      <c r="D16" s="97" t="s">
        <v>150</v>
      </c>
      <c r="E16" s="97" t="s">
        <v>1110</v>
      </c>
      <c r="F16" s="97" t="s">
        <v>1111</v>
      </c>
    </row>
    <row r="17" spans="1:7" ht="62.5" customHeight="1">
      <c r="A17" s="185" t="s">
        <v>16</v>
      </c>
      <c r="B17" s="186" t="s">
        <v>312</v>
      </c>
      <c r="C17" s="37" t="s">
        <v>16</v>
      </c>
      <c r="D17" s="167"/>
      <c r="E17" s="167"/>
      <c r="F17" s="167"/>
    </row>
    <row r="18" spans="1:7" ht="62.5" customHeight="1">
      <c r="A18" s="187" t="s">
        <v>313</v>
      </c>
      <c r="B18" s="188" t="s">
        <v>314</v>
      </c>
      <c r="C18" s="189" t="s">
        <v>315</v>
      </c>
      <c r="D18" s="187"/>
      <c r="E18" s="190">
        <v>316667085954</v>
      </c>
      <c r="F18" s="190">
        <v>181312646476</v>
      </c>
    </row>
    <row r="19" spans="1:7" ht="62.5" customHeight="1">
      <c r="A19" s="187" t="s">
        <v>316</v>
      </c>
      <c r="B19" s="188" t="s">
        <v>317</v>
      </c>
      <c r="C19" s="189" t="s">
        <v>318</v>
      </c>
      <c r="D19" s="187"/>
      <c r="E19" s="190">
        <v>59667085954</v>
      </c>
      <c r="F19" s="190">
        <v>62312646476</v>
      </c>
    </row>
    <row r="20" spans="1:7" s="194" customFormat="1" ht="62.5" customHeight="1">
      <c r="A20" s="187" t="s">
        <v>319</v>
      </c>
      <c r="B20" s="191" t="s">
        <v>320</v>
      </c>
      <c r="C20" s="192" t="s">
        <v>321</v>
      </c>
      <c r="D20" s="187"/>
      <c r="E20" s="190">
        <v>22455480348</v>
      </c>
      <c r="F20" s="190">
        <v>8512937548</v>
      </c>
      <c r="G20" s="193"/>
    </row>
    <row r="21" spans="1:7" s="194" customFormat="1" ht="62.5" customHeight="1">
      <c r="A21" s="187" t="s">
        <v>319</v>
      </c>
      <c r="B21" s="191" t="s">
        <v>322</v>
      </c>
      <c r="C21" s="192" t="s">
        <v>323</v>
      </c>
      <c r="D21" s="187"/>
      <c r="E21" s="190">
        <v>1005324038</v>
      </c>
      <c r="F21" s="190">
        <v>139373</v>
      </c>
      <c r="G21" s="193"/>
    </row>
    <row r="22" spans="1:7" s="194" customFormat="1" ht="62.5" customHeight="1">
      <c r="A22" s="187" t="s">
        <v>319</v>
      </c>
      <c r="B22" s="191" t="s">
        <v>324</v>
      </c>
      <c r="C22" s="192" t="s">
        <v>325</v>
      </c>
      <c r="D22" s="187"/>
      <c r="E22" s="190">
        <v>36206281568</v>
      </c>
      <c r="F22" s="190">
        <v>53799569555</v>
      </c>
      <c r="G22" s="193"/>
    </row>
    <row r="23" spans="1:7" ht="62.5" customHeight="1">
      <c r="A23" s="187" t="s">
        <v>319</v>
      </c>
      <c r="B23" s="191" t="s">
        <v>21</v>
      </c>
      <c r="C23" s="192" t="s">
        <v>326</v>
      </c>
      <c r="D23" s="187"/>
      <c r="E23" s="190">
        <v>0</v>
      </c>
      <c r="F23" s="190">
        <v>0</v>
      </c>
    </row>
    <row r="24" spans="1:7" ht="62.5" customHeight="1">
      <c r="A24" s="187" t="s">
        <v>327</v>
      </c>
      <c r="B24" s="188" t="s">
        <v>328</v>
      </c>
      <c r="C24" s="189" t="s">
        <v>329</v>
      </c>
      <c r="D24" s="187"/>
      <c r="E24" s="190">
        <v>257000000000</v>
      </c>
      <c r="F24" s="190">
        <v>119000000000</v>
      </c>
    </row>
    <row r="25" spans="1:7" ht="62.5" customHeight="1">
      <c r="A25" s="187" t="s">
        <v>330</v>
      </c>
      <c r="B25" s="188" t="s">
        <v>331</v>
      </c>
      <c r="C25" s="189" t="s">
        <v>332</v>
      </c>
      <c r="D25" s="187"/>
      <c r="E25" s="190">
        <v>827413637203</v>
      </c>
      <c r="F25" s="190">
        <v>502955019024</v>
      </c>
    </row>
    <row r="26" spans="1:7" ht="62.5" customHeight="1">
      <c r="A26" s="187" t="s">
        <v>333</v>
      </c>
      <c r="B26" s="188" t="s">
        <v>334</v>
      </c>
      <c r="C26" s="189" t="s">
        <v>335</v>
      </c>
      <c r="D26" s="187"/>
      <c r="E26" s="190">
        <v>827413637203</v>
      </c>
      <c r="F26" s="190">
        <v>502955019024</v>
      </c>
    </row>
    <row r="27" spans="1:7" ht="62.5" customHeight="1">
      <c r="A27" s="187" t="s">
        <v>319</v>
      </c>
      <c r="B27" s="191" t="s">
        <v>584</v>
      </c>
      <c r="C27" s="192" t="s">
        <v>336</v>
      </c>
      <c r="D27" s="187"/>
      <c r="E27" s="190">
        <v>0</v>
      </c>
      <c r="F27" s="190">
        <v>0</v>
      </c>
    </row>
    <row r="28" spans="1:7" ht="62.5" customHeight="1">
      <c r="A28" s="187" t="s">
        <v>319</v>
      </c>
      <c r="B28" s="191" t="s">
        <v>585</v>
      </c>
      <c r="C28" s="192" t="s">
        <v>337</v>
      </c>
      <c r="D28" s="187"/>
      <c r="E28" s="190">
        <v>0</v>
      </c>
      <c r="F28" s="190">
        <v>0</v>
      </c>
    </row>
    <row r="29" spans="1:7" ht="62.5" customHeight="1">
      <c r="A29" s="187" t="s">
        <v>319</v>
      </c>
      <c r="B29" s="191" t="s">
        <v>338</v>
      </c>
      <c r="C29" s="192" t="s">
        <v>339</v>
      </c>
      <c r="D29" s="187"/>
      <c r="E29" s="190">
        <v>520973798961</v>
      </c>
      <c r="F29" s="190">
        <v>306202797189</v>
      </c>
    </row>
    <row r="30" spans="1:7" ht="62.5" customHeight="1">
      <c r="A30" s="187" t="s">
        <v>319</v>
      </c>
      <c r="B30" s="191" t="s">
        <v>340</v>
      </c>
      <c r="C30" s="192" t="s">
        <v>341</v>
      </c>
      <c r="D30" s="187"/>
      <c r="E30" s="190">
        <v>90636330460</v>
      </c>
      <c r="F30" s="190">
        <v>30520696248</v>
      </c>
    </row>
    <row r="31" spans="1:7" ht="62.5" customHeight="1">
      <c r="A31" s="187" t="s">
        <v>319</v>
      </c>
      <c r="B31" s="191" t="s">
        <v>586</v>
      </c>
      <c r="C31" s="192" t="s">
        <v>342</v>
      </c>
      <c r="D31" s="187"/>
      <c r="E31" s="190">
        <v>159703507782</v>
      </c>
      <c r="F31" s="190">
        <v>139131525587</v>
      </c>
    </row>
    <row r="32" spans="1:7" ht="62.5" customHeight="1">
      <c r="A32" s="187" t="s">
        <v>319</v>
      </c>
      <c r="B32" s="191" t="s">
        <v>299</v>
      </c>
      <c r="C32" s="192" t="s">
        <v>343</v>
      </c>
      <c r="D32" s="187"/>
      <c r="E32" s="190">
        <v>56100000000</v>
      </c>
      <c r="F32" s="190">
        <v>27100000000</v>
      </c>
    </row>
    <row r="33" spans="1:6" ht="62.5" customHeight="1">
      <c r="A33" s="187" t="s">
        <v>319</v>
      </c>
      <c r="B33" s="191" t="s">
        <v>300</v>
      </c>
      <c r="C33" s="192" t="s">
        <v>344</v>
      </c>
      <c r="D33" s="187"/>
      <c r="E33" s="190">
        <v>0</v>
      </c>
      <c r="F33" s="190">
        <v>0</v>
      </c>
    </row>
    <row r="34" spans="1:6" ht="62.5" customHeight="1">
      <c r="A34" s="187" t="s">
        <v>319</v>
      </c>
      <c r="B34" s="191" t="s">
        <v>301</v>
      </c>
      <c r="C34" s="192" t="s">
        <v>345</v>
      </c>
      <c r="D34" s="187"/>
      <c r="E34" s="190">
        <v>0</v>
      </c>
      <c r="F34" s="190">
        <v>0</v>
      </c>
    </row>
    <row r="35" spans="1:6" ht="62.5" customHeight="1">
      <c r="A35" s="187" t="s">
        <v>319</v>
      </c>
      <c r="B35" s="191" t="s">
        <v>346</v>
      </c>
      <c r="C35" s="192" t="s">
        <v>347</v>
      </c>
      <c r="D35" s="187"/>
      <c r="E35" s="190">
        <v>0</v>
      </c>
      <c r="F35" s="190">
        <v>0</v>
      </c>
    </row>
    <row r="36" spans="1:6" ht="62.5" customHeight="1">
      <c r="A36" s="187" t="s">
        <v>319</v>
      </c>
      <c r="B36" s="191" t="s">
        <v>302</v>
      </c>
      <c r="C36" s="192" t="s">
        <v>348</v>
      </c>
      <c r="D36" s="187"/>
      <c r="E36" s="190">
        <v>0</v>
      </c>
      <c r="F36" s="190">
        <v>0</v>
      </c>
    </row>
    <row r="37" spans="1:6" ht="62.5" customHeight="1">
      <c r="A37" s="187" t="s">
        <v>349</v>
      </c>
      <c r="B37" s="188" t="s">
        <v>350</v>
      </c>
      <c r="C37" s="189" t="s">
        <v>351</v>
      </c>
      <c r="D37" s="187"/>
      <c r="E37" s="190">
        <v>0</v>
      </c>
      <c r="F37" s="190">
        <v>0</v>
      </c>
    </row>
    <row r="38" spans="1:6" ht="62.5" customHeight="1">
      <c r="A38" s="187" t="s">
        <v>352</v>
      </c>
      <c r="B38" s="188" t="s">
        <v>353</v>
      </c>
      <c r="C38" s="189" t="s">
        <v>354</v>
      </c>
      <c r="D38" s="187"/>
      <c r="E38" s="190">
        <v>22199065402</v>
      </c>
      <c r="F38" s="190">
        <v>13381026045</v>
      </c>
    </row>
    <row r="39" spans="1:6" ht="62.5" customHeight="1">
      <c r="A39" s="187" t="s">
        <v>355</v>
      </c>
      <c r="B39" s="188" t="s">
        <v>356</v>
      </c>
      <c r="C39" s="189" t="s">
        <v>357</v>
      </c>
      <c r="D39" s="187"/>
      <c r="E39" s="190">
        <v>0</v>
      </c>
      <c r="F39" s="190">
        <v>0</v>
      </c>
    </row>
    <row r="40" spans="1:6" ht="62.5" customHeight="1">
      <c r="A40" s="187" t="s">
        <v>319</v>
      </c>
      <c r="B40" s="191" t="s">
        <v>358</v>
      </c>
      <c r="C40" s="192" t="s">
        <v>359</v>
      </c>
      <c r="D40" s="187"/>
      <c r="E40" s="190">
        <v>0</v>
      </c>
      <c r="F40" s="190">
        <v>0</v>
      </c>
    </row>
    <row r="41" spans="1:6" ht="62.5" customHeight="1">
      <c r="A41" s="187" t="s">
        <v>360</v>
      </c>
      <c r="B41" s="188" t="s">
        <v>361</v>
      </c>
      <c r="C41" s="189" t="s">
        <v>362</v>
      </c>
      <c r="D41" s="187"/>
      <c r="E41" s="190">
        <v>22199065402</v>
      </c>
      <c r="F41" s="190">
        <v>13380796145</v>
      </c>
    </row>
    <row r="42" spans="1:6" ht="62.5" customHeight="1">
      <c r="A42" s="187" t="s">
        <v>363</v>
      </c>
      <c r="B42" s="188" t="s">
        <v>364</v>
      </c>
      <c r="C42" s="189" t="s">
        <v>365</v>
      </c>
      <c r="D42" s="187"/>
      <c r="E42" s="190">
        <v>0</v>
      </c>
      <c r="F42" s="190">
        <v>0</v>
      </c>
    </row>
    <row r="43" spans="1:6" ht="62.5" customHeight="1">
      <c r="A43" s="187" t="s">
        <v>319</v>
      </c>
      <c r="B43" s="191" t="s">
        <v>303</v>
      </c>
      <c r="C43" s="192" t="s">
        <v>366</v>
      </c>
      <c r="D43" s="187"/>
      <c r="E43" s="190">
        <v>0</v>
      </c>
      <c r="F43" s="190">
        <v>0</v>
      </c>
    </row>
    <row r="44" spans="1:6" ht="62.5" customHeight="1">
      <c r="A44" s="187" t="s">
        <v>319</v>
      </c>
      <c r="B44" s="191" t="s">
        <v>304</v>
      </c>
      <c r="C44" s="192" t="s">
        <v>367</v>
      </c>
      <c r="D44" s="187"/>
      <c r="E44" s="190">
        <v>0</v>
      </c>
      <c r="F44" s="190">
        <v>0</v>
      </c>
    </row>
    <row r="45" spans="1:6" ht="62.5" customHeight="1">
      <c r="A45" s="187" t="s">
        <v>319</v>
      </c>
      <c r="B45" s="191" t="s">
        <v>368</v>
      </c>
      <c r="C45" s="192" t="s">
        <v>369</v>
      </c>
      <c r="D45" s="187"/>
      <c r="E45" s="190">
        <v>0</v>
      </c>
      <c r="F45" s="190">
        <v>0</v>
      </c>
    </row>
    <row r="46" spans="1:6" ht="62.5" customHeight="1">
      <c r="A46" s="187" t="s">
        <v>319</v>
      </c>
      <c r="B46" s="191" t="s">
        <v>370</v>
      </c>
      <c r="C46" s="192" t="s">
        <v>371</v>
      </c>
      <c r="D46" s="187"/>
      <c r="E46" s="190">
        <v>0</v>
      </c>
      <c r="F46" s="190">
        <v>0</v>
      </c>
    </row>
    <row r="47" spans="1:6" ht="62.5" customHeight="1">
      <c r="A47" s="187" t="s">
        <v>319</v>
      </c>
      <c r="B47" s="191" t="s">
        <v>589</v>
      </c>
      <c r="C47" s="192" t="s">
        <v>372</v>
      </c>
      <c r="D47" s="187"/>
      <c r="E47" s="190">
        <v>0</v>
      </c>
      <c r="F47" s="190">
        <v>0</v>
      </c>
    </row>
    <row r="48" spans="1:6" ht="62.5" customHeight="1">
      <c r="A48" s="187" t="s">
        <v>319</v>
      </c>
      <c r="B48" s="188" t="s">
        <v>373</v>
      </c>
      <c r="C48" s="189" t="s">
        <v>374</v>
      </c>
      <c r="D48" s="187"/>
      <c r="E48" s="190">
        <v>0</v>
      </c>
      <c r="F48" s="190">
        <v>0</v>
      </c>
    </row>
    <row r="49" spans="1:7" ht="62.5" customHeight="1">
      <c r="A49" s="187" t="s">
        <v>375</v>
      </c>
      <c r="B49" s="188" t="s">
        <v>376</v>
      </c>
      <c r="C49" s="189" t="s">
        <v>377</v>
      </c>
      <c r="D49" s="187"/>
      <c r="E49" s="190">
        <v>22199065402</v>
      </c>
      <c r="F49" s="190">
        <v>13380796145</v>
      </c>
    </row>
    <row r="50" spans="1:7" ht="62.5" customHeight="1">
      <c r="A50" s="187" t="s">
        <v>319</v>
      </c>
      <c r="B50" s="191" t="s">
        <v>378</v>
      </c>
      <c r="C50" s="192" t="s">
        <v>379</v>
      </c>
      <c r="D50" s="187"/>
      <c r="E50" s="190">
        <v>0</v>
      </c>
      <c r="F50" s="190">
        <v>0</v>
      </c>
    </row>
    <row r="51" spans="1:7" ht="62.5" customHeight="1">
      <c r="A51" s="187" t="s">
        <v>319</v>
      </c>
      <c r="B51" s="191" t="s">
        <v>380</v>
      </c>
      <c r="C51" s="192" t="s">
        <v>381</v>
      </c>
      <c r="D51" s="187"/>
      <c r="E51" s="190">
        <v>18160073621</v>
      </c>
      <c r="F51" s="190">
        <v>8129229024</v>
      </c>
    </row>
    <row r="52" spans="1:7" ht="62.5" customHeight="1">
      <c r="A52" s="187" t="s">
        <v>319</v>
      </c>
      <c r="B52" s="191" t="s">
        <v>382</v>
      </c>
      <c r="C52" s="192" t="s">
        <v>383</v>
      </c>
      <c r="D52" s="187"/>
      <c r="E52" s="190">
        <v>453183562</v>
      </c>
      <c r="F52" s="190">
        <v>262419178</v>
      </c>
    </row>
    <row r="53" spans="1:7" ht="62.5" customHeight="1">
      <c r="A53" s="187" t="s">
        <v>319</v>
      </c>
      <c r="B53" s="191" t="s">
        <v>384</v>
      </c>
      <c r="C53" s="192" t="s">
        <v>385</v>
      </c>
      <c r="D53" s="187"/>
      <c r="E53" s="190">
        <v>338953425</v>
      </c>
      <c r="F53" s="190">
        <v>162052054</v>
      </c>
    </row>
    <row r="54" spans="1:7" ht="62.5" customHeight="1">
      <c r="A54" s="187" t="s">
        <v>319</v>
      </c>
      <c r="B54" s="191" t="s">
        <v>590</v>
      </c>
      <c r="C54" s="192" t="s">
        <v>386</v>
      </c>
      <c r="D54" s="187"/>
      <c r="E54" s="190">
        <v>3246854794</v>
      </c>
      <c r="F54" s="190">
        <v>4827095889</v>
      </c>
    </row>
    <row r="55" spans="1:7" ht="62.5" customHeight="1">
      <c r="A55" s="187" t="s">
        <v>319</v>
      </c>
      <c r="B55" s="191" t="s">
        <v>387</v>
      </c>
      <c r="C55" s="192" t="s">
        <v>388</v>
      </c>
      <c r="D55" s="187"/>
      <c r="E55" s="190">
        <v>0</v>
      </c>
      <c r="F55" s="190">
        <v>0</v>
      </c>
    </row>
    <row r="56" spans="1:7" ht="62.5" customHeight="1">
      <c r="A56" s="187" t="s">
        <v>389</v>
      </c>
      <c r="B56" s="188" t="s">
        <v>390</v>
      </c>
      <c r="C56" s="189" t="s">
        <v>391</v>
      </c>
      <c r="D56" s="187"/>
      <c r="E56" s="190">
        <v>0</v>
      </c>
      <c r="F56" s="190">
        <v>229900</v>
      </c>
    </row>
    <row r="57" spans="1:7" s="194" customFormat="1" ht="62.5" customHeight="1">
      <c r="A57" s="187" t="s">
        <v>319</v>
      </c>
      <c r="B57" s="191" t="s">
        <v>392</v>
      </c>
      <c r="C57" s="192" t="s">
        <v>393</v>
      </c>
      <c r="D57" s="187"/>
      <c r="E57" s="190">
        <v>0</v>
      </c>
      <c r="F57" s="190">
        <v>0</v>
      </c>
      <c r="G57" s="193"/>
    </row>
    <row r="58" spans="1:7" ht="62.5" customHeight="1">
      <c r="A58" s="187" t="s">
        <v>319</v>
      </c>
      <c r="B58" s="191" t="s">
        <v>394</v>
      </c>
      <c r="C58" s="192" t="s">
        <v>395</v>
      </c>
      <c r="D58" s="187"/>
      <c r="E58" s="190">
        <v>0</v>
      </c>
      <c r="F58" s="190">
        <v>0</v>
      </c>
    </row>
    <row r="59" spans="1:7" ht="62.5" customHeight="1">
      <c r="A59" s="187" t="s">
        <v>319</v>
      </c>
      <c r="B59" s="191" t="s">
        <v>396</v>
      </c>
      <c r="C59" s="192" t="s">
        <v>397</v>
      </c>
      <c r="D59" s="187"/>
      <c r="E59" s="190">
        <v>0</v>
      </c>
      <c r="F59" s="190">
        <v>229900</v>
      </c>
    </row>
    <row r="60" spans="1:7" ht="62.5" customHeight="1">
      <c r="A60" s="187" t="s">
        <v>398</v>
      </c>
      <c r="B60" s="188" t="s">
        <v>399</v>
      </c>
      <c r="C60" s="189" t="s">
        <v>400</v>
      </c>
      <c r="D60" s="187"/>
      <c r="E60" s="190">
        <v>0</v>
      </c>
      <c r="F60" s="190">
        <v>0</v>
      </c>
    </row>
    <row r="61" spans="1:7" ht="62.5" customHeight="1">
      <c r="A61" s="185" t="s">
        <v>319</v>
      </c>
      <c r="B61" s="186" t="s">
        <v>305</v>
      </c>
      <c r="C61" s="37" t="s">
        <v>401</v>
      </c>
      <c r="D61" s="167"/>
      <c r="E61" s="167">
        <v>1166279788559</v>
      </c>
      <c r="F61" s="167">
        <v>697648691545</v>
      </c>
    </row>
    <row r="62" spans="1:7" ht="62.5" customHeight="1">
      <c r="A62" s="185" t="s">
        <v>22</v>
      </c>
      <c r="B62" s="186" t="s">
        <v>402</v>
      </c>
      <c r="C62" s="37" t="s">
        <v>22</v>
      </c>
      <c r="D62" s="167"/>
      <c r="E62" s="167"/>
      <c r="F62" s="167"/>
    </row>
    <row r="63" spans="1:7" ht="62.5" customHeight="1">
      <c r="A63" s="187" t="s">
        <v>313</v>
      </c>
      <c r="B63" s="188" t="s">
        <v>403</v>
      </c>
      <c r="C63" s="189" t="s">
        <v>404</v>
      </c>
      <c r="D63" s="187"/>
      <c r="E63" s="190">
        <v>0</v>
      </c>
      <c r="F63" s="190">
        <v>0</v>
      </c>
    </row>
    <row r="64" spans="1:7" ht="62.5" customHeight="1">
      <c r="A64" s="187" t="s">
        <v>319</v>
      </c>
      <c r="B64" s="191" t="s">
        <v>405</v>
      </c>
      <c r="C64" s="192" t="s">
        <v>406</v>
      </c>
      <c r="D64" s="187"/>
      <c r="E64" s="190">
        <v>0</v>
      </c>
      <c r="F64" s="190">
        <v>0</v>
      </c>
    </row>
    <row r="65" spans="1:6" ht="62.5" customHeight="1">
      <c r="A65" s="187" t="s">
        <v>319</v>
      </c>
      <c r="B65" s="191" t="s">
        <v>407</v>
      </c>
      <c r="C65" s="192" t="s">
        <v>408</v>
      </c>
      <c r="D65" s="187"/>
      <c r="E65" s="190">
        <v>0</v>
      </c>
      <c r="F65" s="190">
        <v>0</v>
      </c>
    </row>
    <row r="66" spans="1:6" ht="62.5" customHeight="1">
      <c r="A66" s="187" t="s">
        <v>330</v>
      </c>
      <c r="B66" s="188" t="s">
        <v>409</v>
      </c>
      <c r="C66" s="189" t="s">
        <v>410</v>
      </c>
      <c r="D66" s="187"/>
      <c r="E66" s="190">
        <v>21503400000</v>
      </c>
      <c r="F66" s="190">
        <v>0</v>
      </c>
    </row>
    <row r="67" spans="1:6" ht="62.5" customHeight="1">
      <c r="A67" s="187" t="s">
        <v>352</v>
      </c>
      <c r="B67" s="188" t="s">
        <v>411</v>
      </c>
      <c r="C67" s="189" t="s">
        <v>412</v>
      </c>
      <c r="D67" s="187"/>
      <c r="E67" s="190">
        <v>0</v>
      </c>
      <c r="F67" s="190">
        <v>0</v>
      </c>
    </row>
    <row r="68" spans="1:6" ht="62.5" customHeight="1">
      <c r="A68" s="187" t="s">
        <v>319</v>
      </c>
      <c r="B68" s="191" t="s">
        <v>413</v>
      </c>
      <c r="C68" s="192" t="s">
        <v>414</v>
      </c>
      <c r="D68" s="187"/>
      <c r="E68" s="190">
        <v>0</v>
      </c>
      <c r="F68" s="190">
        <v>0</v>
      </c>
    </row>
    <row r="69" spans="1:6" ht="62.5" customHeight="1">
      <c r="A69" s="187" t="s">
        <v>319</v>
      </c>
      <c r="B69" s="191" t="s">
        <v>415</v>
      </c>
      <c r="C69" s="192" t="s">
        <v>416</v>
      </c>
      <c r="D69" s="187"/>
      <c r="E69" s="190">
        <v>0</v>
      </c>
      <c r="F69" s="190">
        <v>0</v>
      </c>
    </row>
    <row r="70" spans="1:6" ht="62.5" customHeight="1">
      <c r="A70" s="187" t="s">
        <v>417</v>
      </c>
      <c r="B70" s="188" t="s">
        <v>418</v>
      </c>
      <c r="C70" s="189" t="s">
        <v>419</v>
      </c>
      <c r="D70" s="187"/>
      <c r="E70" s="190">
        <v>147043274</v>
      </c>
      <c r="F70" s="190">
        <v>72846223</v>
      </c>
    </row>
    <row r="71" spans="1:6" ht="62.5" customHeight="1">
      <c r="A71" s="187" t="s">
        <v>420</v>
      </c>
      <c r="B71" s="188" t="s">
        <v>421</v>
      </c>
      <c r="C71" s="189" t="s">
        <v>422</v>
      </c>
      <c r="D71" s="187"/>
      <c r="E71" s="190">
        <v>0</v>
      </c>
      <c r="F71" s="190">
        <v>0</v>
      </c>
    </row>
    <row r="72" spans="1:6" ht="62.5" customHeight="1">
      <c r="A72" s="187" t="s">
        <v>423</v>
      </c>
      <c r="B72" s="188" t="s">
        <v>424</v>
      </c>
      <c r="C72" s="189" t="s">
        <v>425</v>
      </c>
      <c r="D72" s="187"/>
      <c r="E72" s="190">
        <v>69660122</v>
      </c>
      <c r="F72" s="190">
        <v>52997139</v>
      </c>
    </row>
    <row r="73" spans="1:6" ht="62.5" customHeight="1">
      <c r="A73" s="187" t="s">
        <v>319</v>
      </c>
      <c r="B73" s="191" t="s">
        <v>308</v>
      </c>
      <c r="C73" s="192" t="s">
        <v>426</v>
      </c>
      <c r="D73" s="187"/>
      <c r="E73" s="190">
        <v>3225510</v>
      </c>
      <c r="F73" s="190">
        <v>0</v>
      </c>
    </row>
    <row r="74" spans="1:6" ht="62.5" customHeight="1">
      <c r="A74" s="187" t="s">
        <v>319</v>
      </c>
      <c r="B74" s="191" t="s">
        <v>427</v>
      </c>
      <c r="C74" s="192" t="s">
        <v>428</v>
      </c>
      <c r="D74" s="187"/>
      <c r="E74" s="190">
        <v>3225510</v>
      </c>
      <c r="F74" s="190">
        <v>0</v>
      </c>
    </row>
    <row r="75" spans="1:6" ht="62.5" customHeight="1">
      <c r="A75" s="187" t="s">
        <v>319</v>
      </c>
      <c r="B75" s="191" t="s">
        <v>429</v>
      </c>
      <c r="C75" s="192" t="s">
        <v>430</v>
      </c>
      <c r="D75" s="187"/>
      <c r="E75" s="190">
        <v>0</v>
      </c>
      <c r="F75" s="190">
        <v>0</v>
      </c>
    </row>
    <row r="76" spans="1:6" ht="62.5" customHeight="1">
      <c r="A76" s="187" t="s">
        <v>319</v>
      </c>
      <c r="B76" s="191" t="s">
        <v>431</v>
      </c>
      <c r="C76" s="192" t="s">
        <v>432</v>
      </c>
      <c r="D76" s="187"/>
      <c r="E76" s="190">
        <v>54944201</v>
      </c>
      <c r="F76" s="190">
        <v>41999879</v>
      </c>
    </row>
    <row r="77" spans="1:6" ht="62.5" customHeight="1">
      <c r="A77" s="187" t="s">
        <v>319</v>
      </c>
      <c r="B77" s="191" t="s">
        <v>433</v>
      </c>
      <c r="C77" s="192" t="s">
        <v>434</v>
      </c>
      <c r="D77" s="187"/>
      <c r="E77" s="190">
        <v>0</v>
      </c>
      <c r="F77" s="190">
        <v>0</v>
      </c>
    </row>
    <row r="78" spans="1:6" ht="62.5" customHeight="1">
      <c r="A78" s="187" t="s">
        <v>319</v>
      </c>
      <c r="B78" s="191" t="s">
        <v>435</v>
      </c>
      <c r="C78" s="192" t="s">
        <v>436</v>
      </c>
      <c r="D78" s="187"/>
      <c r="E78" s="190">
        <v>0</v>
      </c>
      <c r="F78" s="190">
        <v>0</v>
      </c>
    </row>
    <row r="79" spans="1:6" ht="62.5" customHeight="1">
      <c r="A79" s="187" t="s">
        <v>319</v>
      </c>
      <c r="B79" s="191" t="s">
        <v>437</v>
      </c>
      <c r="C79" s="192" t="s">
        <v>438</v>
      </c>
      <c r="D79" s="187"/>
      <c r="E79" s="190">
        <v>11490411</v>
      </c>
      <c r="F79" s="190">
        <v>10997260</v>
      </c>
    </row>
    <row r="80" spans="1:6" ht="62.5" customHeight="1">
      <c r="A80" s="187" t="s">
        <v>319</v>
      </c>
      <c r="B80" s="191" t="s">
        <v>439</v>
      </c>
      <c r="C80" s="192" t="s">
        <v>440</v>
      </c>
      <c r="D80" s="187"/>
      <c r="E80" s="190">
        <v>0</v>
      </c>
      <c r="F80" s="190">
        <v>0</v>
      </c>
    </row>
    <row r="81" spans="1:6" ht="62.5" customHeight="1">
      <c r="A81" s="187" t="s">
        <v>319</v>
      </c>
      <c r="B81" s="191" t="s">
        <v>441</v>
      </c>
      <c r="C81" s="192" t="s">
        <v>442</v>
      </c>
      <c r="D81" s="187"/>
      <c r="E81" s="190">
        <v>0</v>
      </c>
      <c r="F81" s="190">
        <v>0</v>
      </c>
    </row>
    <row r="82" spans="1:6" ht="62.5" customHeight="1">
      <c r="A82" s="187" t="s">
        <v>443</v>
      </c>
      <c r="B82" s="188" t="s">
        <v>444</v>
      </c>
      <c r="C82" s="189" t="s">
        <v>445</v>
      </c>
      <c r="D82" s="187"/>
      <c r="E82" s="190">
        <v>22455480348</v>
      </c>
      <c r="F82" s="190">
        <v>8512937548</v>
      </c>
    </row>
    <row r="83" spans="1:6" ht="62.5" customHeight="1">
      <c r="A83" s="187" t="s">
        <v>319</v>
      </c>
      <c r="B83" s="191" t="s">
        <v>306</v>
      </c>
      <c r="C83" s="192" t="s">
        <v>446</v>
      </c>
      <c r="D83" s="187"/>
      <c r="E83" s="190">
        <v>22455480348</v>
      </c>
      <c r="F83" s="190">
        <v>8512937548</v>
      </c>
    </row>
    <row r="84" spans="1:6" ht="62.5" customHeight="1">
      <c r="A84" s="187" t="s">
        <v>319</v>
      </c>
      <c r="B84" s="191" t="s">
        <v>307</v>
      </c>
      <c r="C84" s="192" t="s">
        <v>447</v>
      </c>
      <c r="D84" s="187"/>
      <c r="E84" s="190">
        <v>0</v>
      </c>
      <c r="F84" s="190">
        <v>0</v>
      </c>
    </row>
    <row r="85" spans="1:6" ht="62.5" customHeight="1">
      <c r="A85" s="187" t="s">
        <v>448</v>
      </c>
      <c r="B85" s="188" t="s">
        <v>449</v>
      </c>
      <c r="C85" s="189" t="s">
        <v>450</v>
      </c>
      <c r="D85" s="187"/>
      <c r="E85" s="190">
        <v>1005324038</v>
      </c>
      <c r="F85" s="190">
        <v>139373</v>
      </c>
    </row>
    <row r="86" spans="1:6" ht="62.5" customHeight="1">
      <c r="A86" s="187" t="s">
        <v>451</v>
      </c>
      <c r="B86" s="188" t="s">
        <v>452</v>
      </c>
      <c r="C86" s="189" t="s">
        <v>453</v>
      </c>
      <c r="D86" s="187"/>
      <c r="E86" s="190">
        <v>954143305</v>
      </c>
      <c r="F86" s="190">
        <v>666803296</v>
      </c>
    </row>
    <row r="87" spans="1:6" ht="62.5" customHeight="1">
      <c r="A87" s="187" t="s">
        <v>319</v>
      </c>
      <c r="B87" s="191" t="s">
        <v>454</v>
      </c>
      <c r="C87" s="192" t="s">
        <v>455</v>
      </c>
      <c r="D87" s="187"/>
      <c r="E87" s="190">
        <v>840387611</v>
      </c>
      <c r="F87" s="190">
        <v>572561722</v>
      </c>
    </row>
    <row r="88" spans="1:6" ht="62.5" customHeight="1">
      <c r="A88" s="187" t="s">
        <v>319</v>
      </c>
      <c r="B88" s="191" t="s">
        <v>456</v>
      </c>
      <c r="C88" s="192" t="s">
        <v>457</v>
      </c>
      <c r="D88" s="187"/>
      <c r="E88" s="190">
        <v>38016149</v>
      </c>
      <c r="F88" s="190">
        <v>25592213</v>
      </c>
    </row>
    <row r="89" spans="1:6" ht="62.5" customHeight="1">
      <c r="A89" s="187" t="s">
        <v>319</v>
      </c>
      <c r="B89" s="191" t="s">
        <v>23</v>
      </c>
      <c r="C89" s="192" t="s">
        <v>458</v>
      </c>
      <c r="D89" s="187"/>
      <c r="E89" s="190">
        <v>35016149</v>
      </c>
      <c r="F89" s="190">
        <v>23942213</v>
      </c>
    </row>
    <row r="90" spans="1:6" ht="62.5" customHeight="1">
      <c r="A90" s="187" t="s">
        <v>319</v>
      </c>
      <c r="B90" s="191" t="s">
        <v>35</v>
      </c>
      <c r="C90" s="192" t="s">
        <v>459</v>
      </c>
      <c r="D90" s="187"/>
      <c r="E90" s="190">
        <v>2550000</v>
      </c>
      <c r="F90" s="190">
        <v>1200000</v>
      </c>
    </row>
    <row r="91" spans="1:6" ht="62.5" customHeight="1">
      <c r="A91" s="187" t="s">
        <v>319</v>
      </c>
      <c r="B91" s="191" t="s">
        <v>591</v>
      </c>
      <c r="C91" s="192" t="s">
        <v>460</v>
      </c>
      <c r="D91" s="187"/>
      <c r="E91" s="190">
        <v>450000</v>
      </c>
      <c r="F91" s="190">
        <v>450000</v>
      </c>
    </row>
    <row r="92" spans="1:6" ht="62.5" customHeight="1">
      <c r="A92" s="187" t="s">
        <v>319</v>
      </c>
      <c r="B92" s="191" t="s">
        <v>461</v>
      </c>
      <c r="C92" s="192" t="s">
        <v>462</v>
      </c>
      <c r="D92" s="187"/>
      <c r="E92" s="190">
        <v>39428886</v>
      </c>
      <c r="F92" s="190">
        <v>37262500</v>
      </c>
    </row>
    <row r="93" spans="1:6" ht="62.5" customHeight="1">
      <c r="A93" s="187" t="s">
        <v>319</v>
      </c>
      <c r="B93" s="191" t="s">
        <v>463</v>
      </c>
      <c r="C93" s="192" t="s">
        <v>464</v>
      </c>
      <c r="D93" s="187"/>
      <c r="E93" s="190">
        <v>23110659</v>
      </c>
      <c r="F93" s="190">
        <v>18186861</v>
      </c>
    </row>
    <row r="94" spans="1:6" ht="62.5" customHeight="1">
      <c r="A94" s="187" t="s">
        <v>319</v>
      </c>
      <c r="B94" s="191" t="s">
        <v>465</v>
      </c>
      <c r="C94" s="192" t="s">
        <v>466</v>
      </c>
      <c r="D94" s="187"/>
      <c r="E94" s="190">
        <v>13200000</v>
      </c>
      <c r="F94" s="190">
        <v>13200000</v>
      </c>
    </row>
    <row r="95" spans="1:6" ht="62.5" customHeight="1">
      <c r="A95" s="187" t="s">
        <v>319</v>
      </c>
      <c r="B95" s="191" t="s">
        <v>467</v>
      </c>
      <c r="C95" s="192" t="s">
        <v>468</v>
      </c>
      <c r="D95" s="187"/>
      <c r="E95" s="190">
        <v>0</v>
      </c>
      <c r="F95" s="190">
        <v>0</v>
      </c>
    </row>
    <row r="96" spans="1:6" ht="62.5" customHeight="1">
      <c r="A96" s="187" t="s">
        <v>319</v>
      </c>
      <c r="B96" s="191" t="s">
        <v>469</v>
      </c>
      <c r="C96" s="192" t="s">
        <v>470</v>
      </c>
      <c r="D96" s="187"/>
      <c r="E96" s="190">
        <v>0</v>
      </c>
      <c r="F96" s="190">
        <v>0</v>
      </c>
    </row>
    <row r="97" spans="1:6" ht="62.5" customHeight="1">
      <c r="A97" s="187" t="s">
        <v>163</v>
      </c>
      <c r="B97" s="188" t="s">
        <v>471</v>
      </c>
      <c r="C97" s="189" t="s">
        <v>472</v>
      </c>
      <c r="D97" s="187"/>
      <c r="E97" s="190">
        <v>29635786</v>
      </c>
      <c r="F97" s="190">
        <v>21356303</v>
      </c>
    </row>
    <row r="98" spans="1:6" ht="62.5" customHeight="1">
      <c r="A98" s="187" t="s">
        <v>319</v>
      </c>
      <c r="B98" s="191" t="s">
        <v>310</v>
      </c>
      <c r="C98" s="192" t="s">
        <v>473</v>
      </c>
      <c r="D98" s="187"/>
      <c r="E98" s="190">
        <v>15581522</v>
      </c>
      <c r="F98" s="190">
        <v>7918478</v>
      </c>
    </row>
    <row r="99" spans="1:6" ht="62.5" customHeight="1">
      <c r="A99" s="187" t="s">
        <v>319</v>
      </c>
      <c r="B99" s="191" t="s">
        <v>311</v>
      </c>
      <c r="C99" s="192" t="s">
        <v>474</v>
      </c>
      <c r="D99" s="187"/>
      <c r="E99" s="190">
        <v>0</v>
      </c>
      <c r="F99" s="190">
        <v>0</v>
      </c>
    </row>
    <row r="100" spans="1:6" ht="62.5" customHeight="1">
      <c r="A100" s="187" t="s">
        <v>319</v>
      </c>
      <c r="B100" s="191" t="s">
        <v>475</v>
      </c>
      <c r="C100" s="192" t="s">
        <v>476</v>
      </c>
      <c r="D100" s="187"/>
      <c r="E100" s="190">
        <v>6863014</v>
      </c>
      <c r="F100" s="190">
        <v>6246575</v>
      </c>
    </row>
    <row r="101" spans="1:6" ht="62.5" customHeight="1">
      <c r="A101" s="187" t="s">
        <v>319</v>
      </c>
      <c r="B101" s="191" t="s">
        <v>477</v>
      </c>
      <c r="C101" s="192" t="s">
        <v>478</v>
      </c>
      <c r="D101" s="187"/>
      <c r="E101" s="190">
        <v>7191250</v>
      </c>
      <c r="F101" s="190">
        <v>7191250</v>
      </c>
    </row>
    <row r="102" spans="1:6" ht="62.5" customHeight="1">
      <c r="A102" s="187" t="s">
        <v>319</v>
      </c>
      <c r="B102" s="191" t="s">
        <v>309</v>
      </c>
      <c r="C102" s="192" t="s">
        <v>479</v>
      </c>
      <c r="D102" s="187"/>
      <c r="E102" s="190">
        <v>0</v>
      </c>
      <c r="F102" s="190">
        <v>0</v>
      </c>
    </row>
    <row r="103" spans="1:6" ht="62.5" customHeight="1">
      <c r="A103" s="185" t="s">
        <v>319</v>
      </c>
      <c r="B103" s="186" t="s">
        <v>480</v>
      </c>
      <c r="C103" s="37" t="s">
        <v>481</v>
      </c>
      <c r="D103" s="167"/>
      <c r="E103" s="167">
        <v>46164686873</v>
      </c>
      <c r="F103" s="167">
        <v>9327079882</v>
      </c>
    </row>
    <row r="104" spans="1:6" ht="62.5" customHeight="1">
      <c r="A104" s="185" t="s">
        <v>26</v>
      </c>
      <c r="B104" s="186" t="s">
        <v>482</v>
      </c>
      <c r="C104" s="37" t="s">
        <v>483</v>
      </c>
      <c r="D104" s="167"/>
      <c r="E104" s="167">
        <v>1120115101686</v>
      </c>
      <c r="F104" s="167">
        <v>688321611663</v>
      </c>
    </row>
    <row r="105" spans="1:6" ht="62.5" customHeight="1">
      <c r="A105" s="187" t="s">
        <v>313</v>
      </c>
      <c r="B105" s="188" t="s">
        <v>484</v>
      </c>
      <c r="C105" s="189" t="s">
        <v>485</v>
      </c>
      <c r="D105" s="187"/>
      <c r="E105" s="190">
        <v>1056080268400</v>
      </c>
      <c r="F105" s="190">
        <v>653424790600</v>
      </c>
    </row>
    <row r="106" spans="1:6" ht="62.5" customHeight="1">
      <c r="A106" s="187" t="s">
        <v>316</v>
      </c>
      <c r="B106" s="188" t="s">
        <v>486</v>
      </c>
      <c r="C106" s="189" t="s">
        <v>487</v>
      </c>
      <c r="D106" s="187"/>
      <c r="E106" s="190">
        <v>2700602113500</v>
      </c>
      <c r="F106" s="190">
        <v>2158780282600</v>
      </c>
    </row>
    <row r="107" spans="1:6" ht="62.5" customHeight="1">
      <c r="A107" s="187" t="s">
        <v>327</v>
      </c>
      <c r="B107" s="188" t="s">
        <v>488</v>
      </c>
      <c r="C107" s="189" t="s">
        <v>489</v>
      </c>
      <c r="D107" s="187"/>
      <c r="E107" s="190">
        <v>-1644521845100</v>
      </c>
      <c r="F107" s="190">
        <v>-1505355492000</v>
      </c>
    </row>
    <row r="108" spans="1:6" ht="62.5" customHeight="1">
      <c r="A108" s="187" t="s">
        <v>330</v>
      </c>
      <c r="B108" s="188" t="s">
        <v>490</v>
      </c>
      <c r="C108" s="189" t="s">
        <v>491</v>
      </c>
      <c r="D108" s="187"/>
      <c r="E108" s="190">
        <v>16847239243</v>
      </c>
      <c r="F108" s="190">
        <v>-6048141656</v>
      </c>
    </row>
    <row r="109" spans="1:6" ht="62.5" customHeight="1">
      <c r="A109" s="187" t="s">
        <v>352</v>
      </c>
      <c r="B109" s="188" t="s">
        <v>492</v>
      </c>
      <c r="C109" s="189" t="s">
        <v>493</v>
      </c>
      <c r="D109" s="187"/>
      <c r="E109" s="190">
        <v>47187594043</v>
      </c>
      <c r="F109" s="190">
        <v>40944962719</v>
      </c>
    </row>
    <row r="110" spans="1:6" ht="62.5" customHeight="1">
      <c r="A110" s="187" t="s">
        <v>355</v>
      </c>
      <c r="B110" s="188" t="s">
        <v>494</v>
      </c>
      <c r="C110" s="189" t="s">
        <v>495</v>
      </c>
      <c r="D110" s="187"/>
      <c r="E110" s="190">
        <v>40944962719</v>
      </c>
      <c r="F110" s="190">
        <v>37580421367</v>
      </c>
    </row>
    <row r="111" spans="1:6" ht="62.5" customHeight="1">
      <c r="A111" s="187" t="s">
        <v>360</v>
      </c>
      <c r="B111" s="188" t="s">
        <v>496</v>
      </c>
      <c r="C111" s="189" t="s">
        <v>497</v>
      </c>
      <c r="D111" s="187"/>
      <c r="E111" s="190">
        <v>6242631324</v>
      </c>
      <c r="F111" s="190">
        <v>3364541352</v>
      </c>
    </row>
    <row r="112" spans="1:6" ht="62.5" customHeight="1">
      <c r="A112" s="185" t="s">
        <v>27</v>
      </c>
      <c r="B112" s="186" t="s">
        <v>498</v>
      </c>
      <c r="C112" s="37" t="s">
        <v>499</v>
      </c>
      <c r="D112" s="167"/>
      <c r="E112" s="195">
        <v>10606.34</v>
      </c>
      <c r="F112" s="195">
        <v>10534.06</v>
      </c>
    </row>
    <row r="113" spans="1:7" ht="62.5" customHeight="1">
      <c r="A113" s="185" t="s">
        <v>28</v>
      </c>
      <c r="B113" s="186" t="s">
        <v>500</v>
      </c>
      <c r="C113" s="37" t="s">
        <v>501</v>
      </c>
      <c r="D113" s="167"/>
      <c r="E113" s="167">
        <v>0</v>
      </c>
      <c r="F113" s="167">
        <v>0</v>
      </c>
    </row>
    <row r="114" spans="1:7" ht="62.5" customHeight="1">
      <c r="A114" s="187" t="s">
        <v>313</v>
      </c>
      <c r="B114" s="188" t="s">
        <v>502</v>
      </c>
      <c r="C114" s="189" t="s">
        <v>503</v>
      </c>
      <c r="D114" s="187"/>
      <c r="E114" s="190">
        <v>0</v>
      </c>
      <c r="F114" s="190">
        <v>0</v>
      </c>
    </row>
    <row r="115" spans="1:7" ht="62.5" customHeight="1">
      <c r="A115" s="187" t="s">
        <v>330</v>
      </c>
      <c r="B115" s="188" t="s">
        <v>504</v>
      </c>
      <c r="C115" s="189" t="s">
        <v>505</v>
      </c>
      <c r="D115" s="187"/>
      <c r="E115" s="190">
        <v>0</v>
      </c>
      <c r="F115" s="190">
        <v>0</v>
      </c>
    </row>
    <row r="116" spans="1:7" ht="62.5" customHeight="1">
      <c r="A116" s="185" t="s">
        <v>29</v>
      </c>
      <c r="B116" s="186" t="s">
        <v>506</v>
      </c>
      <c r="C116" s="37" t="s">
        <v>29</v>
      </c>
      <c r="D116" s="167"/>
      <c r="E116" s="167"/>
      <c r="F116" s="167"/>
    </row>
    <row r="117" spans="1:7" ht="62.5" customHeight="1">
      <c r="A117" s="187" t="s">
        <v>313</v>
      </c>
      <c r="B117" s="188" t="s">
        <v>507</v>
      </c>
      <c r="C117" s="189" t="s">
        <v>508</v>
      </c>
      <c r="D117" s="187"/>
      <c r="E117" s="190">
        <v>0</v>
      </c>
      <c r="F117" s="190">
        <v>0</v>
      </c>
    </row>
    <row r="118" spans="1:7" ht="62.5" customHeight="1">
      <c r="A118" s="187" t="s">
        <v>330</v>
      </c>
      <c r="B118" s="188" t="s">
        <v>509</v>
      </c>
      <c r="C118" s="189" t="s">
        <v>510</v>
      </c>
      <c r="D118" s="187"/>
      <c r="E118" s="190">
        <v>0</v>
      </c>
      <c r="F118" s="190">
        <v>0</v>
      </c>
    </row>
    <row r="119" spans="1:7" ht="62.5" customHeight="1">
      <c r="A119" s="187" t="s">
        <v>352</v>
      </c>
      <c r="B119" s="188" t="s">
        <v>511</v>
      </c>
      <c r="C119" s="189" t="s">
        <v>512</v>
      </c>
      <c r="D119" s="187"/>
      <c r="E119" s="190">
        <v>0</v>
      </c>
      <c r="F119" s="190">
        <v>0</v>
      </c>
    </row>
    <row r="120" spans="1:7" ht="62.5" customHeight="1">
      <c r="A120" s="196" t="s">
        <v>417</v>
      </c>
      <c r="B120" s="197" t="s">
        <v>513</v>
      </c>
      <c r="C120" s="189" t="s">
        <v>514</v>
      </c>
      <c r="D120" s="196"/>
      <c r="E120" s="198">
        <v>105608026.84</v>
      </c>
      <c r="F120" s="198">
        <v>65342479.060000002</v>
      </c>
    </row>
    <row r="121" spans="1:7" s="168" customFormat="1">
      <c r="A121" s="29"/>
      <c r="B121" s="29"/>
      <c r="C121" s="29"/>
      <c r="D121" s="29"/>
      <c r="E121" s="29"/>
      <c r="F121" s="29"/>
      <c r="G121" s="199"/>
    </row>
    <row r="123" spans="1:7" ht="16.899999999999999" customHeight="1">
      <c r="A123" s="255" t="s">
        <v>1127</v>
      </c>
      <c r="B123" s="255"/>
      <c r="C123" s="255" t="s">
        <v>1128</v>
      </c>
      <c r="D123" s="255"/>
      <c r="E123" s="255"/>
      <c r="F123" s="255"/>
    </row>
    <row r="136" spans="1:6">
      <c r="A136" s="256" t="s">
        <v>1126</v>
      </c>
      <c r="B136" s="256"/>
      <c r="C136" s="256"/>
      <c r="D136" s="256"/>
      <c r="E136" s="256"/>
      <c r="F136" s="256"/>
    </row>
    <row r="137" spans="1:6" ht="16.899999999999999" customHeight="1">
      <c r="A137" s="257" t="s">
        <v>1129</v>
      </c>
      <c r="B137" s="257"/>
      <c r="C137" s="257"/>
      <c r="D137" s="257"/>
      <c r="E137" s="257"/>
      <c r="F137" s="257"/>
    </row>
    <row r="138" spans="1:6" ht="16.899999999999999" customHeight="1">
      <c r="A138" s="215" t="s">
        <v>1131</v>
      </c>
      <c r="B138" s="215"/>
      <c r="C138" s="215"/>
      <c r="D138" s="215"/>
      <c r="E138" s="215"/>
      <c r="F138" s="215"/>
    </row>
    <row r="140" spans="1:6">
      <c r="A140" s="200"/>
      <c r="B140" s="200"/>
      <c r="C140" s="245"/>
      <c r="D140" s="245"/>
      <c r="E140" s="245"/>
      <c r="F140" s="182"/>
    </row>
    <row r="141" spans="1:6">
      <c r="C141" s="246"/>
      <c r="D141" s="246"/>
      <c r="E141" s="246"/>
      <c r="F141" s="183"/>
    </row>
  </sheetData>
  <mergeCells count="19">
    <mergeCell ref="C141:E141"/>
    <mergeCell ref="A123:B123"/>
    <mergeCell ref="C123:F123"/>
    <mergeCell ref="C140:E140"/>
    <mergeCell ref="A136:F136"/>
    <mergeCell ref="A137:F137"/>
    <mergeCell ref="A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eQvpfzRnoWnSM8XxgSS4Qow15OJ1Sbyq7sBlHdxJjn4=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ZKnn1BzSBllI65gQOZXgR9JJjpo+6raz9uTzTatOoQM=</DigestValue>
    </Reference>
  </SignedInfo>
  <SignatureValue>Km0CNjboFfgVO0YmqsVcEqYqVfg+sFZkGbV6hxQ6iN7o6bPqqwRpJNY9dl3r59f4SBQWTBeBAkb8
Sg3UgoEEWWVoZtxT22pyELWVI3RtTbhaBBGhKFZG7S1689gzCQY/vwQq5bFGgEB7NXEsj1g4Diqm
46TJ/Kbz5urMFTl8PsqWLuQ4Wo7JihERiVR+kUDclR5dNVp/6UQU5hYNMdL4yKcB4UENFP5ZI1MJ
7fkTDy8HKD2xhI8QPXHjVFQXNxaeBwV0Lucso/oPgzk9DpV/YxSaTir9Qj42NaOQ+iNawoRqUD7E
jlNahpKODeseD8A1xKk6F1ZiYbzhpRiyWBH5FA==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4TljtDCsCaRVbX98RfaJ4mElg2A/IXl20XOCWv9cF10=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WEwXb7CXgEox285248PmA6DkKy0uPJF2HmhIxoRXRM8=</DigestValue>
      </Reference>
      <Reference URI="/xl/drawings/drawing2.xml?ContentType=application/vnd.openxmlformats-officedocument.drawing+xml">
        <DigestMethod Algorithm="http://www.w3.org/2001/04/xmlenc#sha256"/>
        <DigestValue>totgPH2uiCJTEXM/39ODNjK9XmZQWkthMFmJj8zQRYk=</DigestValue>
      </Reference>
      <Reference URI="/xl/drawings/drawing3.xml?ContentType=application/vnd.openxmlformats-officedocument.drawing+xml">
        <DigestMethod Algorithm="http://www.w3.org/2001/04/xmlenc#sha256"/>
        <DigestValue>XndM+jwlrmY6aOjaiypyMsOHAaqkF453YLnDKO5fjWI=</DigestValue>
      </Reference>
      <Reference URI="/xl/drawings/drawing4.xml?ContentType=application/vnd.openxmlformats-officedocument.drawing+xml">
        <DigestMethod Algorithm="http://www.w3.org/2001/04/xmlenc#sha256"/>
        <DigestValue>ftAyPbTXb/BIhPfNsG8Mq/ZT/X9UBHmWC1If7xwL6Io=</DigestValue>
      </Reference>
      <Reference URI="/xl/drawings/drawing5.xml?ContentType=application/vnd.openxmlformats-officedocument.drawing+xml">
        <DigestMethod Algorithm="http://www.w3.org/2001/04/xmlenc#sha256"/>
        <DigestValue>DPxYn/54BUW3WHGEcGcOZf38l68v9WbBFUVMqweey2U=</DigestValue>
      </Reference>
      <Reference URI="/xl/drawings/drawing6.xml?ContentType=application/vnd.openxmlformats-officedocument.drawing+xml">
        <DigestMethod Algorithm="http://www.w3.org/2001/04/xmlenc#sha256"/>
        <DigestValue>Q8brL4dIAglze7rbJ+gYTjmSdLTPpew+pTaKwEUR5Wo=</DigestValue>
      </Reference>
      <Reference URI="/xl/drawings/drawing7.xml?ContentType=application/vnd.openxmlformats-officedocument.drawing+xml">
        <DigestMethod Algorithm="http://www.w3.org/2001/04/xmlenc#sha256"/>
        <DigestValue>HujYzqXjcgDFEUsMkHKRWK/pF/MpcjFrBgtF7A2XzXo=</DigestValue>
      </Reference>
      <Reference URI="/xl/drawings/vmlDrawing1.vml?ContentType=application/vnd.openxmlformats-officedocument.vmlDrawing">
        <DigestMethod Algorithm="http://www.w3.org/2001/04/xmlenc#sha256"/>
        <DigestValue>6qS4IuaFpsRd4ifnLxtEhci+zB6S4pMvrImilM/JoSo=</DigestValue>
      </Reference>
      <Reference URI="/xl/drawings/vmlDrawing2.vml?ContentType=application/vnd.openxmlformats-officedocument.vmlDrawing">
        <DigestMethod Algorithm="http://www.w3.org/2001/04/xmlenc#sha256"/>
        <DigestValue>gcKqCbTdBaXaqsFRW7is2yMdIzC/VmfD9WV1NY1MVgQ=</DigestValue>
      </Reference>
      <Reference URI="/xl/drawings/vmlDrawing3.vml?ContentType=application/vnd.openxmlformats-officedocument.vmlDrawing">
        <DigestMethod Algorithm="http://www.w3.org/2001/04/xmlenc#sha256"/>
        <DigestValue>jUIfRCSy8jtkGSv+xi4NKwiXaRtJxi8rHietXr1Ut40=</DigestValue>
      </Reference>
      <Reference URI="/xl/drawings/vmlDrawing4.vml?ContentType=application/vnd.openxmlformats-officedocument.vmlDrawing">
        <DigestMethod Algorithm="http://www.w3.org/2001/04/xmlenc#sha256"/>
        <DigestValue>fghu061WJaNsOF4Ea/Bh1GkVjUYt1OrBCmEVcPyyx1c=</DigestValue>
      </Reference>
      <Reference URI="/xl/drawings/vmlDrawing5.vml?ContentType=application/vnd.openxmlformats-officedocument.vmlDrawing">
        <DigestMethod Algorithm="http://www.w3.org/2001/04/xmlenc#sha256"/>
        <DigestValue>vu2hf58vKgDIgWdNliss7ukELW9TDtekIuESGOPTA+A=</DigestValue>
      </Reference>
      <Reference URI="/xl/drawings/vmlDrawing6.vml?ContentType=application/vnd.openxmlformats-officedocument.vmlDrawing">
        <DigestMethod Algorithm="http://www.w3.org/2001/04/xmlenc#sha256"/>
        <DigestValue>0yJjGOj4XweRcucwf9BT+dU3WYQjaGpK1evgfJ/YO88=</DigestValue>
      </Reference>
      <Reference URI="/xl/drawings/vmlDrawing7.vml?ContentType=application/vnd.openxmlformats-officedocument.vmlDrawing">
        <DigestMethod Algorithm="http://www.w3.org/2001/04/xmlenc#sha256"/>
        <DigestValue>kFJ1CvymAr9ghdzbcwx+144zJmwbeUu8JzK3LxtLhzE=</DigestValue>
      </Reference>
      <Reference URI="/xl/media/image1.emf?ContentType=image/x-emf">
        <DigestMethod Algorithm="http://www.w3.org/2001/04/xmlenc#sha256"/>
        <DigestValue>DTL9TZKTh5zRuAlC93+M1qxFTmnb/+j5xx0Ms1JneGQ=</DigestValue>
      </Reference>
      <Reference URI="/xl/media/image2.emf?ContentType=image/x-emf">
        <DigestMethod Algorithm="http://www.w3.org/2001/04/xmlenc#sha256"/>
        <DigestValue>DTL9TZKTh5zRuAlC93+M1qxFTmnb/+j5xx0Ms1JneGQ=</DigestValue>
      </Reference>
      <Reference URI="/xl/printerSettings/printerSettings1.bin?ContentType=application/vnd.openxmlformats-officedocument.spreadsheetml.printerSettings">
        <DigestMethod Algorithm="http://www.w3.org/2001/04/xmlenc#sha256"/>
        <DigestValue>BRnz/qgMSh+mRCWeg+5nKOALOnIFoLXQQjGE7S/T1U8=</DigestValue>
      </Reference>
      <Reference URI="/xl/printerSettings/printerSettings2.bin?ContentType=application/vnd.openxmlformats-officedocument.spreadsheetml.printerSettings">
        <DigestMethod Algorithm="http://www.w3.org/2001/04/xmlenc#sha256"/>
        <DigestValue>o23c83Np/+l9BlUYut7TROtPpo21tvu5z1K4KNtXzWI=</DigestValue>
      </Reference>
      <Reference URI="/xl/printerSettings/printerSettings3.bin?ContentType=application/vnd.openxmlformats-officedocument.spreadsheetml.printerSettings">
        <DigestMethod Algorithm="http://www.w3.org/2001/04/xmlenc#sha256"/>
        <DigestValue>o23c83Np/+l9BlUYut7TROtPpo21tvu5z1K4KNtXzWI=</DigestValue>
      </Reference>
      <Reference URI="/xl/printerSettings/printerSettings4.bin?ContentType=application/vnd.openxmlformats-officedocument.spreadsheetml.printerSettings">
        <DigestMethod Algorithm="http://www.w3.org/2001/04/xmlenc#sha256"/>
        <DigestValue>o23c83Np/+l9BlUYut7TROtPpo21tvu5z1K4KNtXzWI=</DigestValue>
      </Reference>
      <Reference URI="/xl/printerSettings/printerSettings5.bin?ContentType=application/vnd.openxmlformats-officedocument.spreadsheetml.printerSettings">
        <DigestMethod Algorithm="http://www.w3.org/2001/04/xmlenc#sha256"/>
        <DigestValue>YK2Z7S6rLm3C/9iLanystdOx5ldBZnqY622cXrpkPeM=</DigestValue>
      </Reference>
      <Reference URI="/xl/printerSettings/printerSettings6.bin?ContentType=application/vnd.openxmlformats-officedocument.spreadsheetml.printerSettings">
        <DigestMethod Algorithm="http://www.w3.org/2001/04/xmlenc#sha256"/>
        <DigestValue>o23c83Np/+l9BlUYut7TROtPpo21tvu5z1K4KNtXzWI=</DigestValue>
      </Reference>
      <Reference URI="/xl/printerSettings/printerSettings7.bin?ContentType=application/vnd.openxmlformats-officedocument.spreadsheetml.printerSettings">
        <DigestMethod Algorithm="http://www.w3.org/2001/04/xmlenc#sha256"/>
        <DigestValue>o23c83Np/+l9BlUYut7TROtPpo21tvu5z1K4KNtXzWI=</DigestValue>
      </Reference>
      <Reference URI="/xl/printerSettings/printerSettings8.bin?ContentType=application/vnd.openxmlformats-officedocument.spreadsheetml.printerSettings">
        <DigestMethod Algorithm="http://www.w3.org/2001/04/xmlenc#sha256"/>
        <DigestValue>o23c83Np/+l9BlUYut7TROtPpo21tvu5z1K4KNtXzWI=</DigestValue>
      </Reference>
      <Reference URI="/xl/sharedStrings.xml?ContentType=application/vnd.openxmlformats-officedocument.spreadsheetml.sharedStrings+xml">
        <DigestMethod Algorithm="http://www.w3.org/2001/04/xmlenc#sha256"/>
        <DigestValue>UwHPwcTfPbJdMH2ZpEVApAuB3Q21CO8V/lkilI9JsHU=</DigestValue>
      </Reference>
      <Reference URI="/xl/styles.xml?ContentType=application/vnd.openxmlformats-officedocument.spreadsheetml.styles+xml">
        <DigestMethod Algorithm="http://www.w3.org/2001/04/xmlenc#sha256"/>
        <DigestValue>jUZj42s2ns48wgPxyvyf3zCZsETnoXuNlzrJllmyl/4=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+YpR9Yafyp2JpgUBpu2cKE73otrxKfNoCxg8CyEfzyM=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xO0lDIkgCr1vw4TnyourmI9MDDdewZOtRPfPy/Wiwmk=</DigestValue>
      </Reference>
      <Reference URI="/xl/worksheets/sheet2.xml?ContentType=application/vnd.openxmlformats-officedocument.spreadsheetml.worksheet+xml">
        <DigestMethod Algorithm="http://www.w3.org/2001/04/xmlenc#sha256"/>
        <DigestValue>qUDNA21ztz4XtWky+rUCmS0GBK6if4mFmsX5I3IR24s=</DigestValue>
      </Reference>
      <Reference URI="/xl/worksheets/sheet3.xml?ContentType=application/vnd.openxmlformats-officedocument.spreadsheetml.worksheet+xml">
        <DigestMethod Algorithm="http://www.w3.org/2001/04/xmlenc#sha256"/>
        <DigestValue>HQY1Qn79fZLE5yBzEmP0nM9JwbrTA6p47JyKoq2C38I=</DigestValue>
      </Reference>
      <Reference URI="/xl/worksheets/sheet4.xml?ContentType=application/vnd.openxmlformats-officedocument.spreadsheetml.worksheet+xml">
        <DigestMethod Algorithm="http://www.w3.org/2001/04/xmlenc#sha256"/>
        <DigestValue>tNDklCMKgwnCcbSbNrI0KRIgT01H4qzRhV2G/CCHch0=</DigestValue>
      </Reference>
      <Reference URI="/xl/worksheets/sheet5.xml?ContentType=application/vnd.openxmlformats-officedocument.spreadsheetml.worksheet+xml">
        <DigestMethod Algorithm="http://www.w3.org/2001/04/xmlenc#sha256"/>
        <DigestValue>8Www0Drx3uxinC50u7FdzuvXEIsMoDkoUw4IEfWETrY=</DigestValue>
      </Reference>
      <Reference URI="/xl/worksheets/sheet6.xml?ContentType=application/vnd.openxmlformats-officedocument.spreadsheetml.worksheet+xml">
        <DigestMethod Algorithm="http://www.w3.org/2001/04/xmlenc#sha256"/>
        <DigestValue>J8prITQajYjSk8YrjSeYDCgWpA0hHyPnZDCg8zID/AQ=</DigestValue>
      </Reference>
      <Reference URI="/xl/worksheets/sheet7.xml?ContentType=application/vnd.openxmlformats-officedocument.spreadsheetml.worksheet+xml">
        <DigestMethod Algorithm="http://www.w3.org/2001/04/xmlenc#sha256"/>
        <DigestValue>j+YPtm6ZYkBl8vmyQShgOf9Iq1+Adiv0Dr7zlCaczJc=</DigestValue>
      </Reference>
      <Reference URI="/xl/worksheets/sheet8.xml?ContentType=application/vnd.openxmlformats-officedocument.spreadsheetml.worksheet+xml">
        <DigestMethod Algorithm="http://www.w3.org/2001/04/xmlenc#sha256"/>
        <DigestValue>lqSeFAYClj/XqpLqbEstr2v5kR58ZT84ib6hY6MVlwY=</DigestValue>
      </Reference>
    </Manifest>
    <SignatureProperties>
      <SignatureProperty Id="idSignatureTime" Target="#idPackageSignature">
        <mdssi:SignatureTime xmlns:mdssi="http://schemas.openxmlformats.org/package/2006/digital-signature">
          <mdssi:Format>YYYY-MM-DDThh:mm:ssTZD</mdssi:Format>
          <mdssi:Value>2023-12-06T08:07:13Z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2023-12-06T08:07:13Z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TONGQUAN</vt:lpstr>
      <vt:lpstr>BCTaiSan_06027</vt:lpstr>
      <vt:lpstr>BCKetQuaHoatDong_06028</vt:lpstr>
      <vt:lpstr>BCDanhMucDauTu_06029</vt:lpstr>
      <vt:lpstr>BCHoatDongVay_06026</vt:lpstr>
      <vt:lpstr>Khac_06030</vt:lpstr>
      <vt:lpstr>BCThuNhap_06203</vt:lpstr>
      <vt:lpstr>BCTinhHinhTaiChinh_06105</vt:lpstr>
      <vt:lpstr>BCHoatDongVay_06026!Print_Area</vt:lpstr>
      <vt:lpstr>BCKetQuaHoatDong_06028!Print_Area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2023-12-06T07:37:28Z</cp:lastPrinted>
  <dcterms:created xsi:type="dcterms:W3CDTF">2019-03-13T13:30:00Z</dcterms:created>
  <dcterms:modified xsi:type="dcterms:W3CDTF">2023-12-06T07:37:38Z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2023-12-06T07:37:37Z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d23b16b7-404b-4e8a-89b8-6ee8f393d6b2</vt:lpwstr>
  </property>
  <property fmtid="{D5CDD505-2E9C-101B-9397-08002B2CF9AE}" pid="8" name="MSIP_Label_ebbfc019-7f88-4fb6-96d6-94ffadd4b772_ContentBits">
    <vt:lpwstr>1</vt:lpwstr>
  </property>
</Properties>
</file>