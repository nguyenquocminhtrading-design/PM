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12. Dec\Monthly\Ky so\"/>
    </mc:Choice>
  </mc:AlternateContent>
  <xr:revisionPtr revIDLastSave="0" documentId="13_ncr:1_{989E689F-F020-4B25-A90E-49DE07162927}" xr6:coauthVersionLast="47" xr6:coauthVersionMax="47" xr10:uidLastSave="{00000000-0000-0000-0000-000000000000}"/>
  <bookViews>
    <workbookView xWindow="-120" yWindow="-120" windowWidth="29040" windowHeight="1584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D107" i="29" l="1"/>
  <c r="D106" i="29"/>
  <c r="A107" i="29"/>
  <c r="A106" i="29"/>
  <c r="A105" i="29"/>
  <c r="C14" i="29"/>
  <c r="C12" i="29"/>
  <c r="C10" i="29"/>
  <c r="C13" i="29"/>
  <c r="C11" i="29"/>
  <c r="C9" i="29"/>
  <c r="A5" i="29"/>
  <c r="C8" i="29"/>
  <c r="C7" i="29"/>
  <c r="F19" i="1" l="1"/>
  <c r="D105" i="29" l="1"/>
</calcChain>
</file>

<file path=xl/sharedStrings.xml><?xml version="1.0" encoding="utf-8"?>
<sst xmlns="http://schemas.openxmlformats.org/spreadsheetml/2006/main" count="965" uniqueCount="753">
  <si>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</si>
  <si>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</si>
  <si>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</si>
  <si>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</si>
  <si>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</si>
  <si>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</si>
  <si>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</si>
  <si>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</si>
  <si>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</si>
  <si>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</si>
  <si>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</si>
  <si>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</si>
  <si>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</si>
  <si>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</si>
  <si>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</si>
  <si>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</si>
  <si>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</si>
  <si>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</si>
  <si>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</si>
  <si>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</si>
  <si>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</si>
  <si>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</si>
  <si>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</si>
  <si>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</si>
  <si>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</si>
  <si>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</si>
  <si>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</si>
  <si>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</si>
  <si>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</si>
  <si>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</si>
  <si>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</si>
  <si>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</si>
  <si>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</si>
  <si>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</si>
  <si>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</si>
  <si>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</si>
  <si>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</si>
  <si>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</si>
  <si>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</si>
  <si>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</si>
  <si>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</si>
  <si>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</si>
  <si>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</si>
  <si>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</si>
  <si>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</si>
  <si>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</si>
  <si>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</si>
  <si>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</si>
  <si>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</si>
  <si>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</si>
  <si>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</si>
  <si>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</si>
  <si>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</si>
  <si>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</si>
  <si>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</si>
  <si>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</si>
  <si>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</si>
  <si>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</si>
  <si>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</si>
  <si>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</si>
  <si>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</si>
  <si>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</si>
  <si>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</si>
  <si>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</si>
  <si>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</si>
  <si>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</si>
  <si>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</si>
  <si>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</si>
  <si>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</si>
  <si>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</si>
  <si>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</si>
  <si>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</si>
  <si>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</si>
  <si>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</si>
  <si>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</si>
  <si>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</si>
  <si>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</si>
  <si>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</si>
  <si>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</si>
  <si>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</si>
  <si>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</si>
  <si>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</si>
  <si>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</si>
  <si>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</si>
  <si>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</si>
  <si>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</si>
  <si>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</si>
  <si>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</si>
  <si>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</si>
  <si>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</si>
  <si>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</si>
  <si>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</si>
  <si>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</si>
  <si>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</si>
  <si>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</si>
  <si>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</si>
  <si>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</si>
  <si>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</si>
  <si>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</si>
  <si>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</si>
  <si>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</si>
  <si>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</si>
  <si>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</si>
  <si>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</si>
  <si>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</si>
  <si>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</si>
  <si>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</si>
  <si>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</si>
  <si>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</si>
  <si>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</si>
  <si>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</si>
  <si>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</si>
  <si>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</si>
  <si>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</si>
  <si>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</si>
  <si>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</si>
  <si>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</si>
  <si>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</si>
  <si>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</si>
  <si>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</si>
  <si>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</si>
  <si>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</si>
  <si>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</si>
  <si>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</si>
  <si>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</si>
  <si>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</si>
  <si>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</si>
  <si>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</si>
  <si>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</si>
  <si>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</si>
  <si>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</si>
  <si>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</si>
  <si>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</si>
  <si>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</si>
  <si>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</si>
  <si>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</si>
  <si>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</si>
  <si>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</si>
  <si>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</si>
  <si>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</si>
  <si>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</si>
  <si>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</si>
  <si>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</si>
  <si>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</si>
  <si>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</si>
  <si>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</si>
  <si>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</si>
  <si>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</si>
  <si>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</si>
  <si>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</si>
  <si>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</si>
  <si>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</si>
  <si>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</si>
  <si>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</si>
  <si>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</si>
  <si>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</si>
  <si>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</si>
  <si>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</si>
  <si>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</si>
  <si>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</si>
  <si>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</si>
  <si>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</si>
  <si>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</si>
  <si>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</si>
  <si>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</si>
  <si>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</si>
  <si>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</si>
  <si>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</si>
  <si>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</si>
  <si>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</si>
  <si>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</si>
  <si>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</si>
  <si>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</si>
  <si>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</si>
  <si>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</si>
  <si>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</si>
  <si>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</si>
  <si>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</si>
  <si>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</si>
  <si>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</si>
  <si>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</si>
  <si>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</si>
  <si>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</si>
  <si>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</si>
  <si>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</si>
  <si>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</si>
  <si>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</si>
  <si>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</si>
  <si>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</si>
  <si>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</si>
  <si>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</si>
  <si>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</si>
  <si>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</si>
  <si>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</si>
  <si>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</si>
  <si>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</si>
  <si>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</si>
  <si>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</si>
  <si>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</si>
  <si>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</si>
  <si>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</si>
  <si>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</si>
  <si>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</si>
  <si>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</si>
  <si>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</si>
  <si>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</si>
  <si>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</si>
  <si>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</si>
  <si>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</si>
  <si>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</si>
  <si>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</si>
  <si>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</si>
  <si>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</si>
  <si>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</si>
  <si>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</si>
  <si>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</si>
  <si>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</si>
  <si>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</si>
  <si>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</si>
  <si>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</si>
  <si>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</si>
  <si>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</si>
  <si>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</si>
  <si>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</si>
  <si>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</si>
  <si>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</si>
  <si>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</si>
  <si>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</si>
  <si>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</si>
  <si>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</si>
  <si>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</si>
  <si>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</si>
  <si>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</si>
  <si>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</si>
  <si>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</si>
  <si>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</si>
  <si>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</si>
  <si>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</si>
  <si>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</si>
  <si>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</si>
  <si>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</si>
  <si>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</si>
  <si>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</si>
  <si>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</si>
  <si>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</si>
  <si>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</si>
  <si>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</si>
  <si>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</si>
  <si>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</si>
  <si>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</si>
  <si>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</si>
  <si>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</si>
  <si>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</si>
  <si>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</si>
  <si>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</si>
  <si>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</si>
  <si>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</si>
  <si>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</si>
  <si>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</si>
  <si>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</si>
  <si>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</si>
  <si>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</si>
  <si>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</si>
  <si>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</si>
  <si>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</si>
  <si>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</si>
  <si>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</si>
  <si>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</si>
  <si>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</si>
  <si>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</si>
  <si>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</si>
  <si>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</si>
  <si>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</si>
  <si>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</si>
  <si>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</si>
  <si>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</si>
  <si>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MSN123009</t>
  </si>
  <si>
    <t>2251.1.4</t>
  </si>
  <si>
    <t>1.5</t>
  </si>
  <si>
    <t>TCX124011</t>
  </si>
  <si>
    <t>2251.1.5</t>
  </si>
  <si>
    <t>1.6</t>
  </si>
  <si>
    <t>TNG122017</t>
  </si>
  <si>
    <t>2251.1.6</t>
  </si>
  <si>
    <t>1.7</t>
  </si>
  <si>
    <t>VND122014</t>
  </si>
  <si>
    <t>2251.1.7</t>
  </si>
  <si>
    <t>1.8</t>
  </si>
  <si>
    <t>VPI124001</t>
  </si>
  <si>
    <t>2251.1.8</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</si>
  <si>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</si>
  <si>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</si>
  <si>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</si>
  <si>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</si>
  <si>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</si>
  <si>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</si>
  <si>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</si>
  <si>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</si>
  <si>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</si>
  <si>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</si>
  <si>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</si>
  <si>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</si>
  <si>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</si>
  <si>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</si>
  <si>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</si>
  <si>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</si>
  <si>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</si>
  <si>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</si>
  <si>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</si>
  <si>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</si>
  <si>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</si>
  <si>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</si>
  <si>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</si>
  <si>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</si>
  <si>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</si>
  <si>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</si>
  <si>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</si>
  <si>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</si>
  <si>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</si>
  <si>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</si>
  <si>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</si>
  <si>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</si>
  <si>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</si>
  <si>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</si>
  <si>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</si>
  <si>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</si>
  <si>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</si>
  <si>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</si>
  <si>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</si>
  <si>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</si>
  <si>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</si>
  <si>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</si>
  <si>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</si>
  <si>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</si>
  <si>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</si>
  <si>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</si>
  <si>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</si>
  <si>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</si>
  <si>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</si>
  <si>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</si>
  <si>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</si>
  <si>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</si>
  <si>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</si>
  <si>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</si>
  <si>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</si>
  <si>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</si>
  <si>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</si>
  <si>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</si>
  <si>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</si>
  <si>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</si>
  <si>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</si>
  <si>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</si>
  <si>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</si>
  <si>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</si>
  <si>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</si>
  <si>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</si>
  <si>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</si>
  <si>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</si>
  <si>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</si>
  <si>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</si>
  <si>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</si>
  <si>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</si>
  <si>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</si>
  <si>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</si>
  <si>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</si>
  <si>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</si>
  <si>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</si>
  <si>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</si>
  <si>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</si>
  <si>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</si>
  <si>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</si>
  <si>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</si>
  <si>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</si>
  <si>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</si>
  <si>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</si>
  <si>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</si>
  <si>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</si>
  <si>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</si>
  <si>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</si>
  <si>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</si>
  <si>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</si>
  <si>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</si>
  <si>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</si>
  <si>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</si>
  <si>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</si>
  <si>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</si>
  <si>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</si>
  <si>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</si>
  <si>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</si>
  <si>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</si>
  <si>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</si>
  <si>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</si>
  <si>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</si>
  <si>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</si>
  <si>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</si>
  <si>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</si>
  <si>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</si>
  <si>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</si>
  <si>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</si>
  <si>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</si>
  <si>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</si>
  <si>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</si>
  <si>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</si>
  <si>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</si>
  <si>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</si>
  <si>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</si>
  <si>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</si>
  <si>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</si>
  <si>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</si>
  <si>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</si>
  <si>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</si>
  <si>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</si>
  <si>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</si>
  <si>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</si>
  <si>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</si>
  <si>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</si>
  <si>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</si>
  <si>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</si>
  <si>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</si>
  <si>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</si>
  <si>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</si>
  <si>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</si>
  <si>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</si>
  <si>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</si>
  <si>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</si>
  <si>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</si>
  <si>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</si>
  <si>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</si>
  <si>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</si>
  <si>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</si>
  <si>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</si>
  <si>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</si>
  <si>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</si>
  <si>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</si>
  <si>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</si>
  <si>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</si>
  <si>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</si>
  <si>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</si>
  <si>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</si>
  <si>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</si>
  <si>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</si>
  <si>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</si>
  <si>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</si>
  <si>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</si>
  <si>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</si>
  <si>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</si>
  <si>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</si>
  <si>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</si>
  <si>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</si>
  <si>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</si>
  <si>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</si>
  <si>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</si>
  <si>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</si>
  <si>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</si>
  <si>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</si>
  <si>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</si>
  <si>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</si>
  <si>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</si>
  <si>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</si>
  <si>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</si>
  <si>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</si>
  <si>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</si>
  <si>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</si>
  <si>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</si>
  <si>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</si>
  <si>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</si>
  <si>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</si>
  <si>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</si>
  <si>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</si>
  <si>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</si>
  <si>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</si>
  <si>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</si>
  <si>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</si>
  <si>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</si>
  <si>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</si>
  <si>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</si>
  <si>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</si>
  <si>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</si>
  <si>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</si>
  <si>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</si>
  <si>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</si>
  <si>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</si>
  <si>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</si>
  <si>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</si>
  <si>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</si>
  <si>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</si>
  <si>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</si>
  <si>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</si>
  <si>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</si>
  <si>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</si>
  <si>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</si>
  <si>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</si>
  <si>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</si>
  <si>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</si>
  <si>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</si>
  <si>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</si>
  <si>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</si>
  <si>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</si>
  <si>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</si>
  <si>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</si>
  <si>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</si>
  <si>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</si>
  <si>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</si>
  <si>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</si>
  <si>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</si>
  <si>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</si>
  <si>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</si>
  <si>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</si>
  <si>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</si>
  <si>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</si>
  <si>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</si>
  <si>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</si>
  <si>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</si>
  <si>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</si>
  <si>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</si>
  <si>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</si>
  <si>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</si>
  <si>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</si>
  <si>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</si>
  <si>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</si>
  <si>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</si>
  <si>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</si>
  <si>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</si>
  <si>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</si>
  <si>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</si>
  <si>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</si>
  <si>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</si>
  <si>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</si>
  <si>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</si>
  <si>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</si>
  <si>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</si>
  <si>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</si>
  <si>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</si>
  <si>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</si>
  <si>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</si>
  <si>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</si>
  <si>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</si>
  <si>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</si>
  <si>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</si>
  <si>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</si>
  <si>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</si>
  <si>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</si>
  <si>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</si>
  <si>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</si>
  <si>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</si>
  <si>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</si>
  <si>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</si>
  <si>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</si>
  <si>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</si>
  <si>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</si>
  <si>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</si>
  <si>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</si>
  <si>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</si>
  <si>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</si>
  <si>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</si>
  <si>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</si>
  <si>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</si>
  <si>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</si>
  <si>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</si>
  <si>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</si>
  <si>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</si>
  <si>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</si>
  <si>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</si>
  <si>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</si>
  <si>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</si>
  <si>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</si>
  <si>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</si>
  <si>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</si>
  <si>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</si>
  <si>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</si>
  <si>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</si>
  <si>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</si>
  <si>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</si>
  <si>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</si>
  <si>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</si>
  <si>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</si>
  <si>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</si>
  <si>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</si>
  <si>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</si>
  <si>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</si>
  <si>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</si>
  <si>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</si>
  <si>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</si>
  <si>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</si>
  <si>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</si>
  <si>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</si>
  <si>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</si>
  <si>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</si>
  <si>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</si>
  <si>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</si>
  <si>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</si>
  <si>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</si>
  <si>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</si>
  <si>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</si>
  <si>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</si>
  <si>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</si>
  <si>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</si>
  <si>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</si>
  <si>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</si>
  <si>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</si>
  <si>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</si>
  <si>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</si>
  <si>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</si>
  <si>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</si>
  <si>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</si>
  <si>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</si>
  <si>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</si>
  <si>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</si>
  <si>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</si>
  <si>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</si>
  <si>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</si>
  <si>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</si>
  <si>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</si>
  <si>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</si>
  <si>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</si>
  <si>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</si>
  <si>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</si>
  <si>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</si>
  <si>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</si>
  <si>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</si>
  <si>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</si>
  <si>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</si>
  <si>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</si>
  <si>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</si>
  <si>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</si>
  <si>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</si>
  <si>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</si>
  <si>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</si>
  <si>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</si>
  <si>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</si>
  <si>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</si>
  <si>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</si>
  <si>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</si>
  <si>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</si>
  <si>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</si>
  <si>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</si>
  <si>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</si>
  <si>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</si>
  <si>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</si>
  <si>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</si>
  <si>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</si>
  <si>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</si>
  <si>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</si>
  <si>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</si>
  <si>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</si>
  <si>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</si>
  <si>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</si>
  <si>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</si>
  <si>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</si>
  <si>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</si>
  <si>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</si>
  <si>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</si>
  <si>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</si>
  <si>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</si>
  <si>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</si>
  <si>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</si>
  <si>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</si>
  <si>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</si>
  <si>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</si>
  <si>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</si>
  <si>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</si>
  <si>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</si>
  <si>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</si>
  <si>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</si>
  <si>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</si>
  <si>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</si>
  <si>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</si>
  <si>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</si>
  <si>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</si>
  <si>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</si>
  <si>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</si>
  <si>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</si>
  <si>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</si>
  <si>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</si>
  <si>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</si>
  <si>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</si>
  <si>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</si>
  <si>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</si>
  <si>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</si>
  <si>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</si>
  <si>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</si>
  <si>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</si>
  <si>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</si>
  <si>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</si>
  <si>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</si>
  <si>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</si>
  <si>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</si>
  <si>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</si>
  <si>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</si>
  <si>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</si>
  <si>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</si>
  <si>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</si>
  <si>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</si>
  <si>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</si>
  <si>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</si>
  <si>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</si>
  <si>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</si>
  <si>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</si>
  <si>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</si>
  <si>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</si>
  <si>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</si>
  <si>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</si>
  <si>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</si>
  <si>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</si>
  <si>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</si>
  <si>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</si>
  <si>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</si>
  <si>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</si>
  <si>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</si>
  <si>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</si>
  <si>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</si>
  <si>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</si>
  <si>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</si>
  <si>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</si>
  <si>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</si>
  <si>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</si>
  <si>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</si>
  <si>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</si>
  <si>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</si>
  <si>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</si>
  <si>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</si>
  <si>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</si>
  <si>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</si>
  <si>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</si>
  <si>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</si>
  <si>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</si>
  <si>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</si>
  <si>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</si>
  <si>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</si>
  <si>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</si>
  <si>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</si>
  <si>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</si>
  <si>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</si>
  <si>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</si>
  <si>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</si>
  <si>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</si>
  <si>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Tháng 12 năm 2024
/ Dec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</si>
  <si>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</si>
  <si>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</si>
  <si>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</si>
  <si>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</si>
  <si>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01 năm 2025</t>
  </si>
  <si>
    <t>03 Jan 2025</t>
  </si>
  <si>
    <t>Vũ Quang Phan</t>
  </si>
  <si>
    <t>Lê Hoàng Anh</t>
  </si>
  <si>
    <t>Phó phòng Dịch vụ nghiệp vụ giám sát Quỹ</t>
  </si>
  <si>
    <t>Quyền Giám đốc nghiệp vụ hỗ trợ đầu tư</t>
  </si>
  <si>
    <t>Ngày 31 tháng 12 năm 2024
 As at 31 Dec 2024</t>
  </si>
  <si>
    <t>Ngày 30 tháng 11 năm 2024
 As at 30 Nov 2024</t>
  </si>
  <si>
    <t>Tháng 12 năm 2024
Dec 2024</t>
  </si>
  <si>
    <t>Tháng 11 năm 2024
Nov 2024</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</si>
  <si>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</si>
  <si>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Income Plus Bond Fund (DCIP)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</si>
</sst>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21" sqref="E21"/>
    </sheetView>
  </sheetViews>
  <sheetFormatPr defaultColWidth="9.140625" defaultRowHeight="12.75"/>
  <cols>
    <col min="1" max="2" width="9.140625" style="79"/>
    <col min="3" max="3" width="30.140625" style="79" customWidth="1"/>
    <col min="4" max="4" width="30.85546875" style="79" customWidth="1"/>
    <col min="5" max="5" width="21.140625" style="79" customWidth="1"/>
    <col min="6" max="9" width="9.140625" style="79"/>
    <col min="10" max="10" width="11.85546875" style="79" customWidth="1"/>
    <col min="11" max="11" width="15" style="79" customWidth="1"/>
    <col min="12" max="16384" width="9.14062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239</v>
      </c>
      <c r="E9" s="144"/>
      <c r="F9" s="144"/>
      <c r="G9" s="144"/>
      <c r="H9" s="144"/>
      <c r="I9" s="144"/>
    </row>
    <row r="10" spans="1:11" ht="15" customHeight="1">
      <c r="C10" s="85" t="s">
        <v>6</v>
      </c>
      <c r="D10" s="143" t="s">
        <v>752</v>
      </c>
      <c r="E10" s="143"/>
      <c r="F10" s="143"/>
      <c r="G10" s="143"/>
      <c r="H10" s="143"/>
      <c r="I10" s="143"/>
    </row>
    <row r="11" spans="1:11">
      <c r="C11" s="86" t="s">
        <v>7</v>
      </c>
      <c r="D11" s="144" t="s">
        <v>741</v>
      </c>
      <c r="E11" s="144"/>
      <c r="F11" s="144"/>
      <c r="G11" s="144"/>
      <c r="H11" s="144"/>
      <c r="I11" s="144"/>
    </row>
    <row r="12" spans="1:11">
      <c r="C12" s="2" t="s">
        <v>8</v>
      </c>
      <c r="D12" s="143" t="s">
        <v>742</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743</v>
      </c>
      <c r="D20" s="92"/>
      <c r="F20" s="95" t="s">
        <v>744</v>
      </c>
      <c r="G20" s="1"/>
      <c r="H20" s="1"/>
      <c r="I20" s="1"/>
      <c r="J20" s="1"/>
      <c r="K20" s="93"/>
    </row>
    <row r="21" spans="3:11">
      <c r="C21" s="96" t="s">
        <v>745</v>
      </c>
      <c r="D21" s="81"/>
      <c r="F21" s="96" t="s">
        <v>746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9" zoomScaleNormal="85" zoomScaleSheetLayoutView="100" workbookViewId="0">
      <selection activeCell="C17" sqref="C17:C18"/>
    </sheetView>
  </sheetViews>
  <sheetFormatPr defaultColWidth="9.140625" defaultRowHeight="12.75"/>
  <cols>
    <col min="1" max="1" width="4.85546875" style="113" customWidth="1"/>
    <col min="2" max="2" width="34.42578125" style="110" customWidth="1"/>
    <col min="3" max="3" width="14.42578125" style="110" customWidth="1"/>
    <col min="4" max="4" width="11.85546875" style="110" customWidth="1"/>
    <col min="5" max="5" width="12.28515625" style="110" customWidth="1"/>
    <col min="6" max="6" width="12.5703125" style="110" customWidth="1"/>
    <col min="7" max="7" width="16.42578125" style="110" customWidth="1"/>
    <col min="8" max="9" width="19" style="110" customWidth="1"/>
    <col min="10" max="10" width="43.5703125" style="110" customWidth="1"/>
    <col min="11" max="16384" width="9.140625" style="110"/>
  </cols>
  <sheetData>
    <row r="1" spans="1:10" s="109" customFormat="1" ht="46.5" customHeight="1">
      <c r="A1" s="145" t="s">
        <v>232</v>
      </c>
      <c r="B1" s="145"/>
      <c r="C1" s="145"/>
      <c r="D1" s="145"/>
      <c r="E1" s="145"/>
      <c r="F1" s="145"/>
      <c r="G1" s="145"/>
      <c r="H1" s="145"/>
      <c r="I1" s="145"/>
      <c r="J1" s="145"/>
    </row>
    <row r="2" spans="1:10" ht="48.95"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 customHeight="1">
      <c r="A4" s="147"/>
      <c r="B4" s="147"/>
      <c r="C4" s="147"/>
      <c r="D4" s="147"/>
      <c r="E4" s="147"/>
      <c r="F4" s="147"/>
      <c r="G4" s="147"/>
      <c r="H4" s="147"/>
      <c r="I4" s="147"/>
      <c r="J4" s="147"/>
    </row>
    <row r="5" spans="1:10">
      <c r="A5" s="148" t="str">
        <f>TONGQUAN!C2</f>
        <v>Tháng 12 năm 2024
/ Dec 2024</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tr">
        <f>TONGQUAN!D5</f>
        <v>Công ty Cổ phần Quản lý Quỹ Đầu tư Dragon Capital Việt Nam</v>
      </c>
      <c r="H7" s="151"/>
      <c r="I7" s="151"/>
      <c r="J7" s="151"/>
    </row>
    <row r="8" spans="1:10" ht="15" customHeight="1">
      <c r="A8" s="152" t="s">
        <v>15</v>
      </c>
      <c r="B8" s="152"/>
      <c r="C8" s="111"/>
      <c r="D8" s="111"/>
      <c r="E8" s="111"/>
      <c r="F8" s="111"/>
      <c r="G8" s="153" t="str">
        <f>TONGQUAN!D6</f>
        <v>Dragon Capital Vietfund Management Joint Stock Company</v>
      </c>
      <c r="H8" s="153"/>
      <c r="I8" s="153"/>
      <c r="J8" s="153"/>
    </row>
    <row r="9" spans="1:10">
      <c r="A9" s="154" t="s">
        <v>3</v>
      </c>
      <c r="B9" s="155"/>
      <c r="C9" s="111"/>
      <c r="D9" s="111"/>
      <c r="E9" s="111"/>
      <c r="F9" s="111"/>
      <c r="G9" s="156" t="str">
        <f>TONGQUAN!D7</f>
        <v>Ngân hàng TNHH Một thành viên Standard Chartered (Việt Nam)</v>
      </c>
      <c r="H9" s="156"/>
      <c r="I9" s="156"/>
      <c r="J9" s="156"/>
    </row>
    <row r="10" spans="1:10" ht="15" customHeight="1">
      <c r="A10" s="155" t="s">
        <v>4</v>
      </c>
      <c r="B10" s="155"/>
      <c r="C10" s="111"/>
      <c r="D10" s="111"/>
      <c r="E10" s="111"/>
      <c r="F10" s="111"/>
      <c r="G10" s="153" t="str">
        <f>TONGQUAN!D8</f>
        <v>Standard Chartered Bank (Vietnam) Limited</v>
      </c>
      <c r="H10" s="153"/>
      <c r="I10" s="153"/>
      <c r="J10" s="153"/>
    </row>
    <row r="11" spans="1:10" ht="15" customHeight="1">
      <c r="A11" s="154" t="s">
        <v>5</v>
      </c>
      <c r="B11" s="157"/>
      <c r="C11" s="111"/>
      <c r="D11" s="111"/>
      <c r="E11" s="111"/>
      <c r="F11" s="111"/>
      <c r="G11" s="151" t="str">
        <f>TONGQUAN!D9</f>
        <v>Quỹ Đầu tư Trái phiếu Gia tăng Thu nhập Cố định DC</v>
      </c>
      <c r="H11" s="151"/>
      <c r="I11" s="151"/>
      <c r="J11" s="151"/>
    </row>
    <row r="12" spans="1:10" ht="15" customHeight="1">
      <c r="A12" s="33" t="s">
        <v>180</v>
      </c>
      <c r="B12" s="106"/>
      <c r="C12" s="111"/>
      <c r="D12" s="111"/>
      <c r="E12" s="111"/>
      <c r="F12" s="111"/>
      <c r="G12" s="153" t="str">
        <f>TONGQUAN!D10</f>
        <v>DC Income Plus Bond Fund (DCIP)</v>
      </c>
      <c r="H12" s="153"/>
      <c r="I12" s="153"/>
      <c r="J12" s="153"/>
    </row>
    <row r="13" spans="1:10" ht="15" customHeight="1">
      <c r="A13" s="34" t="s">
        <v>7</v>
      </c>
      <c r="B13" s="35"/>
      <c r="C13" s="111"/>
      <c r="D13" s="111"/>
      <c r="E13" s="111"/>
      <c r="F13" s="111"/>
      <c r="G13" s="151" t="str">
        <f>TONGQUAN!D11</f>
        <v>Ngày 03 tháng 01 năm 2025</v>
      </c>
      <c r="H13" s="151"/>
      <c r="I13" s="151"/>
      <c r="J13" s="151"/>
    </row>
    <row r="14" spans="1:10">
      <c r="A14" s="36" t="s">
        <v>8</v>
      </c>
      <c r="B14" s="36"/>
      <c r="C14" s="38"/>
      <c r="D14" s="38"/>
      <c r="E14" s="38"/>
      <c r="F14" s="38"/>
      <c r="G14" s="158" t="str">
        <f>TONGQUAN!D12</f>
        <v>03 Jan 2025</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5">
      <c r="A21" s="136" t="s">
        <v>378</v>
      </c>
      <c r="B21" s="136" t="s">
        <v>379</v>
      </c>
      <c r="C21" s="136"/>
      <c r="D21" s="136"/>
      <c r="E21" s="136"/>
      <c r="F21" s="138">
        <v>0</v>
      </c>
      <c r="G21" s="136"/>
      <c r="H21" s="137">
        <v>0</v>
      </c>
      <c r="I21" s="136"/>
      <c r="J21" s="137">
        <v>0</v>
      </c>
    </row>
    <row r="22" spans="1:10" ht="25.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5">
      <c r="A24" s="136" t="s">
        <v>392</v>
      </c>
      <c r="B24" s="136" t="s">
        <v>393</v>
      </c>
      <c r="C24" s="136"/>
      <c r="D24" s="136"/>
      <c r="E24" s="136"/>
      <c r="F24" s="138">
        <v>0</v>
      </c>
      <c r="G24" s="136"/>
      <c r="H24" s="137">
        <v>0</v>
      </c>
      <c r="I24" s="136"/>
      <c r="J24" s="137">
        <v>0</v>
      </c>
    </row>
    <row r="25" spans="1:10" ht="25.5">
      <c r="A25" s="136" t="s">
        <v>394</v>
      </c>
      <c r="B25" s="136" t="s">
        <v>395</v>
      </c>
      <c r="C25" s="136"/>
      <c r="D25" s="136"/>
      <c r="E25" s="136"/>
      <c r="F25" s="138">
        <v>0</v>
      </c>
      <c r="G25" s="136"/>
      <c r="H25" s="137">
        <v>0</v>
      </c>
      <c r="I25" s="136"/>
      <c r="J25" s="137">
        <v>0</v>
      </c>
    </row>
    <row r="26" spans="1:10" ht="25.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5">
      <c r="A28" s="136" t="s">
        <v>408</v>
      </c>
      <c r="B28" s="136" t="s">
        <v>409</v>
      </c>
      <c r="C28" s="136"/>
      <c r="D28" s="136"/>
      <c r="E28" s="136"/>
      <c r="F28" s="138">
        <v>0</v>
      </c>
      <c r="G28" s="136"/>
      <c r="H28" s="137">
        <v>0</v>
      </c>
      <c r="I28" s="136"/>
      <c r="J28" s="137">
        <v>0</v>
      </c>
    </row>
    <row r="29" spans="1:10" ht="25.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5">
      <c r="A31" s="136" t="s">
        <v>422</v>
      </c>
      <c r="B31" s="136" t="s">
        <v>423</v>
      </c>
      <c r="C31" s="136"/>
      <c r="D31" s="136"/>
      <c r="E31" s="136"/>
      <c r="F31" s="138">
        <v>0</v>
      </c>
      <c r="G31" s="136"/>
      <c r="H31" s="137">
        <v>0</v>
      </c>
      <c r="I31" s="136"/>
      <c r="J31" s="137">
        <v>0</v>
      </c>
    </row>
    <row r="32" spans="1:10" ht="25.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c r="A40" s="159" t="s">
        <v>14</v>
      </c>
      <c r="B40" s="159"/>
      <c r="C40" s="38"/>
      <c r="D40" s="38"/>
      <c r="E40" s="38"/>
      <c r="F40" s="38"/>
      <c r="G40" s="38"/>
      <c r="H40" s="38"/>
      <c r="I40" s="128" t="s">
        <v>737</v>
      </c>
      <c r="J40" s="129"/>
    </row>
    <row r="41" spans="1:10" s="37" customFormat="1">
      <c r="A41" s="49" t="s">
        <v>743</v>
      </c>
      <c r="B41" s="38"/>
      <c r="C41" s="38"/>
      <c r="D41" s="38"/>
      <c r="E41" s="38"/>
      <c r="F41" s="38"/>
      <c r="G41" s="38"/>
      <c r="H41" s="38"/>
      <c r="I41" s="49" t="s">
        <v>744</v>
      </c>
      <c r="J41" s="38"/>
    </row>
    <row r="42" spans="1:10" s="37" customFormat="1">
      <c r="A42" s="38" t="s">
        <v>745</v>
      </c>
      <c r="B42" s="38"/>
      <c r="C42" s="38"/>
      <c r="D42" s="38"/>
      <c r="E42" s="38"/>
      <c r="F42" s="38"/>
      <c r="G42" s="38"/>
      <c r="H42" s="38"/>
      <c r="I42" s="38" t="s">
        <v>746</v>
      </c>
      <c r="J42" s="38"/>
    </row>
    <row r="43" spans="1:10" s="37" customFormat="1">
      <c r="A43" s="127"/>
      <c r="B43" s="38"/>
      <c r="C43" s="38"/>
      <c r="D43" s="38"/>
      <c r="E43" s="38"/>
      <c r="F43" s="38"/>
      <c r="G43" s="38"/>
      <c r="H43" s="38"/>
      <c r="I43" s="38"/>
      <c r="J43" s="38"/>
    </row>
    <row r="44" spans="1:10" s="37" customFormat="1">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A5" sqref="A5:F5"/>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62" t="s">
        <v>232</v>
      </c>
      <c r="B1" s="162"/>
      <c r="C1" s="162"/>
      <c r="D1" s="162"/>
      <c r="E1" s="162"/>
      <c r="F1" s="162"/>
    </row>
    <row r="2" spans="1:6" s="2" customFormat="1" ht="50.4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tr">
        <f>TONGQUAN!C1</f>
        <v>Tại ngày 31 tháng 12 năm 2024
/ As at 31 Dec 2024</v>
      </c>
      <c r="B5" s="165"/>
      <c r="C5" s="165"/>
      <c r="D5" s="165"/>
      <c r="E5" s="165"/>
      <c r="F5" s="165"/>
    </row>
    <row r="6" spans="1:6">
      <c r="A6" s="9"/>
      <c r="B6" s="9"/>
      <c r="C6" s="9"/>
      <c r="D6" s="9"/>
      <c r="E6" s="9"/>
      <c r="F6" s="9"/>
    </row>
    <row r="7" spans="1:6" ht="16.899999999999999" customHeight="1">
      <c r="A7" s="144" t="s">
        <v>2</v>
      </c>
      <c r="B7" s="144"/>
      <c r="C7" s="144" t="str">
        <f>TONGQUAN!D5</f>
        <v>Công ty Cổ phần Quản lý Quỹ Đầu tư Dragon Capital Việt Nam</v>
      </c>
      <c r="D7" s="144"/>
      <c r="E7" s="144"/>
      <c r="F7" s="144"/>
    </row>
    <row r="8" spans="1:6" s="2" customFormat="1" ht="16.899999999999999" customHeight="1">
      <c r="A8" s="143" t="s">
        <v>15</v>
      </c>
      <c r="B8" s="143"/>
      <c r="C8" s="143" t="str">
        <f>TONGQUAN!D6</f>
        <v>Dragon Capital Vietfund Management Joint Stock Company</v>
      </c>
      <c r="D8" s="143"/>
      <c r="E8" s="143"/>
      <c r="F8" s="143"/>
    </row>
    <row r="9" spans="1:6" ht="16.899999999999999" customHeight="1">
      <c r="A9" s="144" t="s">
        <v>3</v>
      </c>
      <c r="B9" s="144"/>
      <c r="C9" s="144" t="str">
        <f>TONGQUAN!D7</f>
        <v>Ngân hàng TNHH Một thành viên Standard Chartered (Việt Nam)</v>
      </c>
      <c r="D9" s="144"/>
      <c r="E9" s="144"/>
      <c r="F9" s="144"/>
    </row>
    <row r="10" spans="1:6" s="2" customFormat="1" ht="16.899999999999999" customHeight="1">
      <c r="A10" s="143" t="s">
        <v>4</v>
      </c>
      <c r="B10" s="143"/>
      <c r="C10" s="143" t="str">
        <f>TONGQUAN!D8</f>
        <v>Standard Chartered Bank (Vietnam) Limited</v>
      </c>
      <c r="D10" s="143"/>
      <c r="E10" s="143"/>
      <c r="F10" s="143"/>
    </row>
    <row r="11" spans="1:6" ht="16.899999999999999" customHeight="1">
      <c r="A11" s="144" t="s">
        <v>5</v>
      </c>
      <c r="B11" s="144"/>
      <c r="C11" s="144" t="str">
        <f>TONGQUAN!D9</f>
        <v>Quỹ Đầu tư Trái phiếu Gia tăng Thu nhập Cố định DC</v>
      </c>
      <c r="D11" s="144"/>
      <c r="E11" s="144"/>
      <c r="F11" s="144"/>
    </row>
    <row r="12" spans="1:6" s="2" customFormat="1" ht="16.899999999999999" customHeight="1">
      <c r="A12" s="143" t="s">
        <v>6</v>
      </c>
      <c r="B12" s="143"/>
      <c r="C12" s="143" t="str">
        <f>TONGQUAN!D10</f>
        <v>DC Income Plus Bond Fund (DCIP)</v>
      </c>
      <c r="D12" s="143"/>
      <c r="E12" s="143"/>
      <c r="F12" s="143"/>
    </row>
    <row r="13" spans="1:6" ht="16.899999999999999" customHeight="1">
      <c r="A13" s="144" t="s">
        <v>7</v>
      </c>
      <c r="B13" s="144"/>
      <c r="C13" s="144" t="str">
        <f>TONGQUAN!D11</f>
        <v>Ngày 03 tháng 01 năm 2025</v>
      </c>
      <c r="D13" s="144"/>
      <c r="E13" s="144"/>
      <c r="F13" s="144"/>
    </row>
    <row r="14" spans="1:6" s="2" customFormat="1" ht="16.899999999999999" customHeight="1">
      <c r="A14" s="143" t="s">
        <v>8</v>
      </c>
      <c r="B14" s="143"/>
      <c r="C14" s="143" t="str">
        <f>TONGQUAN!D12</f>
        <v>03 Jan 2025</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747</v>
      </c>
      <c r="E18" s="7" t="s">
        <v>748</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532821835814</v>
      </c>
      <c r="E20" s="134">
        <v>318904337181</v>
      </c>
      <c r="F20" s="133">
        <v>0.93733580273680595</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532821835814</v>
      </c>
      <c r="E23" s="134">
        <v>318904337181</v>
      </c>
      <c r="F23" s="133">
        <v>0.93733580273680595</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15719104214</v>
      </c>
      <c r="E25" s="134">
        <v>28804237072</v>
      </c>
      <c r="F25" s="133">
        <v>0.44160502651816003</v>
      </c>
    </row>
    <row r="26" spans="1:6" ht="45" customHeight="1">
      <c r="A26" s="131" t="s">
        <v>453</v>
      </c>
      <c r="B26" s="130" t="s">
        <v>454</v>
      </c>
      <c r="C26" s="131" t="s">
        <v>455</v>
      </c>
      <c r="D26" s="134">
        <v>700928</v>
      </c>
      <c r="E26" s="134">
        <v>208776</v>
      </c>
      <c r="F26" s="133">
        <v>1.16285100484745E-3</v>
      </c>
    </row>
    <row r="27" spans="1:6" ht="42" customHeight="1">
      <c r="A27" s="131" t="s">
        <v>456</v>
      </c>
      <c r="B27" s="130" t="s">
        <v>457</v>
      </c>
      <c r="C27" s="131" t="s">
        <v>458</v>
      </c>
      <c r="D27" s="134">
        <v>22302030672</v>
      </c>
      <c r="E27" s="134">
        <v>21099891333</v>
      </c>
      <c r="F27" s="133">
        <v>0.17582155316897299</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494800000000</v>
      </c>
      <c r="E29" s="134">
        <v>269000000000</v>
      </c>
      <c r="F29" s="133">
        <v>1.2205229403058699</v>
      </c>
    </row>
    <row r="30" spans="1:6" ht="39" customHeight="1">
      <c r="A30" s="131" t="s">
        <v>465</v>
      </c>
      <c r="B30" s="130" t="s">
        <v>466</v>
      </c>
      <c r="C30" s="131" t="s">
        <v>467</v>
      </c>
      <c r="D30" s="134">
        <v>639279969928</v>
      </c>
      <c r="E30" s="134">
        <v>796467799748</v>
      </c>
      <c r="F30" s="133">
        <v>0.57094333574526401</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392779969928</v>
      </c>
      <c r="E34" s="134">
        <v>489967799748</v>
      </c>
      <c r="F34" s="133">
        <v>0.50110872679753404</v>
      </c>
    </row>
    <row r="35" spans="1:6" ht="39" customHeight="1">
      <c r="A35" s="131" t="s">
        <v>483</v>
      </c>
      <c r="B35" s="130" t="s">
        <v>484</v>
      </c>
      <c r="C35" s="131" t="s">
        <v>485</v>
      </c>
      <c r="D35" s="134">
        <v>240000000000</v>
      </c>
      <c r="E35" s="134">
        <v>300000000000</v>
      </c>
      <c r="F35" s="133">
        <v>0.85785090450655899</v>
      </c>
    </row>
    <row r="36" spans="1:6" ht="39" customHeight="1">
      <c r="A36" s="131" t="s">
        <v>486</v>
      </c>
      <c r="B36" s="130" t="s">
        <v>487</v>
      </c>
      <c r="C36" s="131" t="s">
        <v>488</v>
      </c>
      <c r="D36" s="134">
        <v>6500000000</v>
      </c>
      <c r="E36" s="134">
        <v>6500000000</v>
      </c>
      <c r="F36" s="133">
        <v>0.11586452762923399</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15045345017</v>
      </c>
      <c r="E43" s="134">
        <v>15268554295</v>
      </c>
      <c r="F43" s="133">
        <v>0.46874527607525102</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15045345017</v>
      </c>
      <c r="E46" s="134">
        <v>15268554295</v>
      </c>
      <c r="F46" s="133">
        <v>0.46874527607525102</v>
      </c>
    </row>
    <row r="47" spans="1:6" ht="39" customHeight="1">
      <c r="A47" s="131" t="s">
        <v>525</v>
      </c>
      <c r="B47" s="130" t="s">
        <v>526</v>
      </c>
      <c r="C47" s="131" t="s">
        <v>527</v>
      </c>
      <c r="D47" s="134">
        <v>9672578083</v>
      </c>
      <c r="E47" s="134">
        <v>10072339725</v>
      </c>
      <c r="F47" s="133">
        <v>0.64326086367816304</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672194521</v>
      </c>
      <c r="E49" s="134">
        <v>693161643</v>
      </c>
      <c r="F49" s="133">
        <v>0.56160573458234497</v>
      </c>
    </row>
    <row r="50" spans="1:6" ht="39" customHeight="1">
      <c r="A50" s="131" t="s">
        <v>537</v>
      </c>
      <c r="B50" s="130" t="s">
        <v>538</v>
      </c>
      <c r="C50" s="131" t="s">
        <v>539</v>
      </c>
      <c r="D50" s="134">
        <v>9000383562</v>
      </c>
      <c r="E50" s="134">
        <v>9379178082</v>
      </c>
      <c r="F50" s="133">
        <v>0.65032265319458205</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v>0</v>
      </c>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v>0</v>
      </c>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v>0</v>
      </c>
    </row>
    <row r="61" spans="1:6" ht="39" customHeight="1">
      <c r="A61" s="131" t="s">
        <v>579</v>
      </c>
      <c r="B61" s="130" t="s">
        <v>580</v>
      </c>
      <c r="C61" s="131" t="s">
        <v>581</v>
      </c>
      <c r="D61" s="134">
        <v>0</v>
      </c>
      <c r="E61" s="134">
        <v>18884808</v>
      </c>
      <c r="F61" s="133"/>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1196819728842</v>
      </c>
      <c r="E63" s="138">
        <v>1140731915757</v>
      </c>
      <c r="F63" s="137">
        <v>0.68808704692823197</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v>0</v>
      </c>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17727968070</v>
      </c>
      <c r="E69" s="134">
        <v>30784283376</v>
      </c>
      <c r="F69" s="133">
        <v>0.46422418796630999</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15719805142</v>
      </c>
      <c r="E71" s="134">
        <v>28804445848</v>
      </c>
      <c r="F71" s="133">
        <v>0.43427084339314798</v>
      </c>
    </row>
    <row r="72" spans="1:6" ht="39" customHeight="1">
      <c r="A72" s="131" t="s">
        <v>624</v>
      </c>
      <c r="B72" s="130" t="s">
        <v>625</v>
      </c>
      <c r="C72" s="131" t="s">
        <v>626</v>
      </c>
      <c r="D72" s="134">
        <v>15719104214</v>
      </c>
      <c r="E72" s="134">
        <v>28804237072</v>
      </c>
      <c r="F72" s="133">
        <v>0.44160502651816003</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700928</v>
      </c>
      <c r="E75" s="134">
        <v>208776</v>
      </c>
      <c r="F75" s="133">
        <v>1.16285100484745E-3</v>
      </c>
    </row>
    <row r="76" spans="1:6" ht="39" customHeight="1">
      <c r="A76" s="131" t="s">
        <v>636</v>
      </c>
      <c r="B76" s="130" t="s">
        <v>637</v>
      </c>
      <c r="C76" s="131" t="s">
        <v>638</v>
      </c>
      <c r="D76" s="134">
        <v>642183967</v>
      </c>
      <c r="E76" s="134">
        <v>621753361</v>
      </c>
      <c r="F76" s="133">
        <v>1.8126007040625101</v>
      </c>
    </row>
    <row r="77" spans="1:6" ht="60.95"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12000000</v>
      </c>
      <c r="E79" s="134">
        <v>11491803</v>
      </c>
      <c r="F79" s="133">
        <v>1</v>
      </c>
    </row>
    <row r="80" spans="1:6" ht="39" customHeight="1">
      <c r="A80" s="131" t="s">
        <v>648</v>
      </c>
      <c r="B80" s="130" t="s">
        <v>649</v>
      </c>
      <c r="C80" s="131" t="s">
        <v>650</v>
      </c>
      <c r="D80" s="134">
        <v>1074647304</v>
      </c>
      <c r="E80" s="134">
        <v>1081299388</v>
      </c>
      <c r="F80" s="133">
        <v>0.80592477332829904</v>
      </c>
    </row>
    <row r="81" spans="1:6" ht="39" customHeight="1">
      <c r="A81" s="131" t="s">
        <v>651</v>
      </c>
      <c r="B81" s="130" t="s">
        <v>652</v>
      </c>
      <c r="C81" s="131" t="s">
        <v>653</v>
      </c>
      <c r="D81" s="134">
        <v>45866235</v>
      </c>
      <c r="E81" s="134">
        <v>46129894</v>
      </c>
      <c r="F81" s="133">
        <v>0.82838074680780405</v>
      </c>
    </row>
    <row r="82" spans="1:6" ht="39" customHeight="1">
      <c r="A82" s="131" t="s">
        <v>654</v>
      </c>
      <c r="B82" s="130" t="s">
        <v>655</v>
      </c>
      <c r="C82" s="131" t="s">
        <v>656</v>
      </c>
      <c r="D82" s="134">
        <v>29552800</v>
      </c>
      <c r="E82" s="134">
        <v>29750549</v>
      </c>
      <c r="F82" s="133">
        <v>0.80570273345628496</v>
      </c>
    </row>
    <row r="83" spans="1:6" ht="39" customHeight="1">
      <c r="A83" s="131" t="s">
        <v>657</v>
      </c>
      <c r="B83" s="130" t="s">
        <v>658</v>
      </c>
      <c r="C83" s="131" t="s">
        <v>659</v>
      </c>
      <c r="D83" s="134">
        <v>0</v>
      </c>
      <c r="E83" s="134">
        <v>0</v>
      </c>
      <c r="F83" s="133">
        <v>0</v>
      </c>
    </row>
    <row r="84" spans="1:6" ht="39" customHeight="1">
      <c r="A84" s="131" t="s">
        <v>660</v>
      </c>
      <c r="B84" s="130" t="s">
        <v>661</v>
      </c>
      <c r="C84" s="131" t="s">
        <v>662</v>
      </c>
      <c r="D84" s="134">
        <v>0</v>
      </c>
      <c r="E84" s="134">
        <v>0</v>
      </c>
      <c r="F84" s="133">
        <v>0</v>
      </c>
    </row>
    <row r="85" spans="1:6" ht="45.95" customHeight="1">
      <c r="A85" s="131" t="s">
        <v>663</v>
      </c>
      <c r="B85" s="130" t="s">
        <v>664</v>
      </c>
      <c r="C85" s="131" t="s">
        <v>665</v>
      </c>
      <c r="D85" s="134">
        <v>0</v>
      </c>
      <c r="E85" s="134">
        <v>0</v>
      </c>
      <c r="F85" s="133"/>
    </row>
    <row r="86" spans="1:6" ht="39" customHeight="1">
      <c r="A86" s="131" t="s">
        <v>666</v>
      </c>
      <c r="B86" s="130" t="s">
        <v>667</v>
      </c>
      <c r="C86" s="131" t="s">
        <v>668</v>
      </c>
      <c r="D86" s="134">
        <v>45826971</v>
      </c>
      <c r="E86" s="134">
        <v>46276584</v>
      </c>
      <c r="F86" s="133">
        <v>0.77837677893057899</v>
      </c>
    </row>
    <row r="87" spans="1:6" ht="39" customHeight="1">
      <c r="A87" s="131" t="s">
        <v>669</v>
      </c>
      <c r="B87" s="130" t="s">
        <v>670</v>
      </c>
      <c r="C87" s="131" t="s">
        <v>671</v>
      </c>
      <c r="D87" s="134">
        <v>44776971</v>
      </c>
      <c r="E87" s="134">
        <v>45076584</v>
      </c>
      <c r="F87" s="133">
        <v>0.805702771400166</v>
      </c>
    </row>
    <row r="88" spans="1:6" ht="39" customHeight="1">
      <c r="A88" s="131" t="s">
        <v>672</v>
      </c>
      <c r="B88" s="130" t="s">
        <v>673</v>
      </c>
      <c r="C88" s="131" t="s">
        <v>674</v>
      </c>
      <c r="D88" s="134">
        <v>600000</v>
      </c>
      <c r="E88" s="134">
        <v>750000</v>
      </c>
      <c r="F88" s="133">
        <v>0.21052631578947401</v>
      </c>
    </row>
    <row r="89" spans="1:6" ht="60" customHeight="1">
      <c r="A89" s="131" t="s">
        <v>675</v>
      </c>
      <c r="B89" s="130" t="s">
        <v>676</v>
      </c>
      <c r="C89" s="131" t="s">
        <v>677</v>
      </c>
      <c r="D89" s="134">
        <v>450000</v>
      </c>
      <c r="E89" s="134">
        <v>450000</v>
      </c>
      <c r="F89" s="133">
        <v>1</v>
      </c>
    </row>
    <row r="90" spans="1:6" ht="39" customHeight="1">
      <c r="A90" s="131" t="s">
        <v>678</v>
      </c>
      <c r="B90" s="130" t="s">
        <v>679</v>
      </c>
      <c r="C90" s="131" t="s">
        <v>680</v>
      </c>
      <c r="D90" s="134">
        <v>68320000</v>
      </c>
      <c r="E90" s="134">
        <v>56953333</v>
      </c>
      <c r="F90" s="133">
        <v>1</v>
      </c>
    </row>
    <row r="91" spans="1:6" ht="39" customHeight="1">
      <c r="A91" s="131" t="s">
        <v>681</v>
      </c>
      <c r="B91" s="130" t="s">
        <v>682</v>
      </c>
      <c r="C91" s="131" t="s">
        <v>683</v>
      </c>
      <c r="D91" s="134">
        <v>41315651</v>
      </c>
      <c r="E91" s="134">
        <v>35245579</v>
      </c>
      <c r="F91" s="133"/>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35250000</v>
      </c>
      <c r="E96" s="134">
        <v>37737037</v>
      </c>
      <c r="F96" s="133">
        <v>0.898493322282928</v>
      </c>
    </row>
    <row r="97" spans="1:6" ht="39" customHeight="1">
      <c r="A97" s="131" t="s">
        <v>699</v>
      </c>
      <c r="B97" s="130" t="s">
        <v>700</v>
      </c>
      <c r="C97" s="131" t="s">
        <v>701</v>
      </c>
      <c r="D97" s="134">
        <v>35250000</v>
      </c>
      <c r="E97" s="134">
        <v>23372283</v>
      </c>
      <c r="F97" s="133">
        <v>1.5</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0</v>
      </c>
      <c r="E99" s="134">
        <v>14364754</v>
      </c>
      <c r="F99" s="133">
        <v>0</v>
      </c>
    </row>
    <row r="100" spans="1:6" ht="39" customHeight="1">
      <c r="A100" s="131" t="s">
        <v>708</v>
      </c>
      <c r="B100" s="130" t="s">
        <v>709</v>
      </c>
      <c r="C100" s="131" t="s">
        <v>710</v>
      </c>
      <c r="D100" s="134">
        <v>0</v>
      </c>
      <c r="E100" s="134">
        <v>0</v>
      </c>
      <c r="F100" s="133">
        <v>0</v>
      </c>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17727968070</v>
      </c>
      <c r="E105" s="138">
        <v>30784283376</v>
      </c>
      <c r="F105" s="137">
        <v>0.111095260714273</v>
      </c>
    </row>
    <row r="106" spans="1:6" ht="39" customHeight="1">
      <c r="A106" s="131" t="s">
        <v>726</v>
      </c>
      <c r="B106" s="130" t="s">
        <v>727</v>
      </c>
      <c r="C106" s="131" t="s">
        <v>728</v>
      </c>
      <c r="D106" s="134">
        <v>1179091760772</v>
      </c>
      <c r="E106" s="134">
        <v>1109947632381</v>
      </c>
      <c r="F106" s="133">
        <v>0.74636972064204898</v>
      </c>
    </row>
    <row r="107" spans="1:6" ht="39" customHeight="1">
      <c r="A107" s="131" t="s">
        <v>729</v>
      </c>
      <c r="B107" s="130" t="s">
        <v>730</v>
      </c>
      <c r="C107" s="131" t="s">
        <v>731</v>
      </c>
      <c r="D107" s="139">
        <v>104923542.79000001</v>
      </c>
      <c r="E107" s="139">
        <v>99149915.599999994</v>
      </c>
      <c r="F107" s="133">
        <v>0.70868505947432303</v>
      </c>
    </row>
    <row r="108" spans="1:6" ht="39" customHeight="1">
      <c r="A108" s="131" t="s">
        <v>732</v>
      </c>
      <c r="B108" s="130" t="s">
        <v>733</v>
      </c>
      <c r="C108" s="131" t="s">
        <v>734</v>
      </c>
      <c r="D108" s="139">
        <v>11237.62</v>
      </c>
      <c r="E108" s="139">
        <v>11194.64</v>
      </c>
      <c r="F108" s="133">
        <v>1.05317504871029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743</v>
      </c>
      <c r="B120" s="3"/>
      <c r="C120" s="3"/>
      <c r="E120" s="45" t="s">
        <v>744</v>
      </c>
      <c r="F120" s="3"/>
    </row>
    <row r="121" spans="1:6" s="2" customFormat="1" ht="16.899999999999999" customHeight="1">
      <c r="A121" s="3" t="s">
        <v>745</v>
      </c>
      <c r="B121" s="3"/>
      <c r="C121" s="3"/>
      <c r="E121" s="3" t="s">
        <v>746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C101" sqref="C101"/>
    </sheetView>
  </sheetViews>
  <sheetFormatPr defaultColWidth="8.7109375" defaultRowHeight="12.75"/>
  <cols>
    <col min="1" max="1" width="8.7109375" style="9"/>
    <col min="2" max="2" width="46.28515625" style="9" customWidth="1"/>
    <col min="3" max="3" width="10.7109375" style="9" bestFit="1" customWidth="1"/>
    <col min="4" max="6" width="36.85546875" style="9" customWidth="1"/>
    <col min="7" max="16384" width="8.710937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tr">
        <f>TONGQUAN!C2</f>
        <v>Tháng 12 năm 2024
/ Dec 2024</v>
      </c>
      <c r="B5" s="170"/>
      <c r="C5" s="170"/>
      <c r="D5" s="170"/>
      <c r="E5" s="170"/>
      <c r="F5" s="170"/>
    </row>
    <row r="7" spans="1:6" ht="16.899999999999999" customHeight="1">
      <c r="A7" s="75" t="s">
        <v>2</v>
      </c>
      <c r="C7" s="171" t="str">
        <f>TONGQUAN!D5</f>
        <v>Công ty Cổ phần Quản lý Quỹ Đầu tư Dragon Capital Việt Nam</v>
      </c>
      <c r="D7" s="171"/>
      <c r="E7" s="171"/>
      <c r="F7" s="171"/>
    </row>
    <row r="8" spans="1:6" ht="16.899999999999999" customHeight="1">
      <c r="A8" s="9" t="s">
        <v>15</v>
      </c>
      <c r="C8" s="166" t="str">
        <f>TONGQUAN!D6</f>
        <v>Dragon Capital Vietfund Management Joint Stock Company</v>
      </c>
      <c r="D8" s="166"/>
      <c r="E8" s="166"/>
      <c r="F8" s="166"/>
    </row>
    <row r="9" spans="1:6" ht="16.899999999999999" customHeight="1">
      <c r="A9" s="75" t="s">
        <v>3</v>
      </c>
      <c r="C9" s="171" t="str">
        <f>TONGQUAN!D7</f>
        <v>Ngân hàng TNHH Một thành viên Standard Chartered (Việt Nam)</v>
      </c>
      <c r="D9" s="171"/>
      <c r="E9" s="171"/>
      <c r="F9" s="171"/>
    </row>
    <row r="10" spans="1:6" ht="16.899999999999999" customHeight="1">
      <c r="A10" s="9" t="s">
        <v>4</v>
      </c>
      <c r="C10" s="166" t="str">
        <f>TONGQUAN!D8</f>
        <v>Standard Chartered Bank (Vietnam) Limited</v>
      </c>
      <c r="D10" s="166"/>
      <c r="E10" s="166"/>
      <c r="F10" s="166"/>
    </row>
    <row r="11" spans="1:6" ht="16.899999999999999" customHeight="1">
      <c r="A11" s="75" t="s">
        <v>5</v>
      </c>
      <c r="C11" s="171" t="str">
        <f>TONGQUAN!D9</f>
        <v>Quỹ Đầu tư Trái phiếu Gia tăng Thu nhập Cố định DC</v>
      </c>
      <c r="D11" s="171"/>
      <c r="E11" s="171"/>
      <c r="F11" s="171"/>
    </row>
    <row r="12" spans="1:6" ht="16.899999999999999" customHeight="1">
      <c r="A12" s="9" t="s">
        <v>6</v>
      </c>
      <c r="C12" s="166" t="str">
        <f>TONGQUAN!D10</f>
        <v>DC Income Plus Bond Fund (DCIP)</v>
      </c>
      <c r="D12" s="166"/>
      <c r="E12" s="166"/>
      <c r="F12" s="166"/>
    </row>
    <row r="13" spans="1:6" ht="16.899999999999999" customHeight="1">
      <c r="A13" s="75" t="s">
        <v>7</v>
      </c>
      <c r="C13" s="171" t="str">
        <f>TONGQUAN!D11</f>
        <v>Ngày 03 tháng 01 năm 2025</v>
      </c>
      <c r="D13" s="171"/>
      <c r="E13" s="171"/>
      <c r="F13" s="171"/>
    </row>
    <row r="14" spans="1:6" ht="16.899999999999999" customHeight="1">
      <c r="A14" s="9" t="s">
        <v>8</v>
      </c>
      <c r="C14" s="166" t="str">
        <f>TONGQUAN!D12</f>
        <v>03 Jan 2025</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8.25">
      <c r="A18" s="117" t="s">
        <v>17</v>
      </c>
      <c r="B18" s="117" t="s">
        <v>18</v>
      </c>
      <c r="C18" s="117" t="s">
        <v>19</v>
      </c>
      <c r="D18" s="118" t="s">
        <v>749</v>
      </c>
      <c r="E18" s="118" t="s">
        <v>750</v>
      </c>
      <c r="F18" s="118" t="s">
        <v>236</v>
      </c>
    </row>
    <row r="19" spans="1:6" s="17" customFormat="1" ht="25.5">
      <c r="A19" s="119" t="s">
        <v>16</v>
      </c>
      <c r="B19" s="120" t="s">
        <v>30</v>
      </c>
      <c r="C19" s="121" t="s">
        <v>44</v>
      </c>
      <c r="D19" s="122">
        <v>6332307556</v>
      </c>
      <c r="E19" s="122">
        <v>6302304680</v>
      </c>
      <c r="F19" s="122">
        <v>114906791519</v>
      </c>
    </row>
    <row r="20" spans="1:6" ht="25.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5">
      <c r="A22" s="50">
        <v>2</v>
      </c>
      <c r="B22" s="51" t="s">
        <v>146</v>
      </c>
      <c r="C22" s="52" t="s">
        <v>45</v>
      </c>
      <c r="D22" s="123">
        <v>3741098940</v>
      </c>
      <c r="E22" s="123">
        <v>3562184149</v>
      </c>
      <c r="F22" s="123">
        <v>68602597613</v>
      </c>
    </row>
    <row r="23" spans="1:6">
      <c r="A23" s="73" t="s">
        <v>188</v>
      </c>
      <c r="B23" s="73" t="s">
        <v>188</v>
      </c>
      <c r="C23" s="73" t="s">
        <v>188</v>
      </c>
      <c r="D23" s="124" t="s">
        <v>188</v>
      </c>
      <c r="E23" s="124" t="s">
        <v>189</v>
      </c>
      <c r="F23" s="124" t="s">
        <v>189</v>
      </c>
    </row>
    <row r="24" spans="1:6" ht="25.5">
      <c r="A24" s="53"/>
      <c r="B24" s="54" t="s">
        <v>147</v>
      </c>
      <c r="C24" s="55" t="s">
        <v>46</v>
      </c>
      <c r="D24" s="123">
        <v>0</v>
      </c>
      <c r="E24" s="123">
        <v>0</v>
      </c>
      <c r="F24" s="123">
        <v>0</v>
      </c>
    </row>
    <row r="25" spans="1:6" ht="25.5">
      <c r="A25" s="53"/>
      <c r="B25" s="54" t="s">
        <v>148</v>
      </c>
      <c r="C25" s="55" t="s">
        <v>47</v>
      </c>
      <c r="D25" s="123">
        <v>3741098940</v>
      </c>
      <c r="E25" s="123">
        <v>3562184149</v>
      </c>
      <c r="F25" s="123">
        <v>68602597613</v>
      </c>
    </row>
    <row r="26" spans="1:6" ht="25.5">
      <c r="A26" s="50">
        <v>3</v>
      </c>
      <c r="B26" s="51" t="s">
        <v>149</v>
      </c>
      <c r="C26" s="52" t="s">
        <v>48</v>
      </c>
      <c r="D26" s="123">
        <v>2591208616</v>
      </c>
      <c r="E26" s="123">
        <v>2740120531</v>
      </c>
      <c r="F26" s="123">
        <v>46304193906</v>
      </c>
    </row>
    <row r="27" spans="1:6">
      <c r="A27" s="73" t="s">
        <v>188</v>
      </c>
      <c r="B27" s="73" t="s">
        <v>188</v>
      </c>
      <c r="C27" s="73" t="s">
        <v>188</v>
      </c>
      <c r="D27" s="124" t="s">
        <v>188</v>
      </c>
      <c r="E27" s="124" t="s">
        <v>188</v>
      </c>
      <c r="F27" s="124" t="s">
        <v>188</v>
      </c>
    </row>
    <row r="28" spans="1:6" ht="25.5">
      <c r="A28" s="53"/>
      <c r="B28" s="54" t="s">
        <v>145</v>
      </c>
      <c r="C28" s="55" t="s">
        <v>49</v>
      </c>
      <c r="D28" s="123">
        <v>1104907246</v>
      </c>
      <c r="E28" s="123">
        <v>1084778065</v>
      </c>
      <c r="F28" s="123">
        <v>21920698017</v>
      </c>
    </row>
    <row r="29" spans="1:6" ht="25.5">
      <c r="A29" s="53"/>
      <c r="B29" s="54" t="s">
        <v>242</v>
      </c>
      <c r="C29" s="55" t="s">
        <v>50</v>
      </c>
      <c r="D29" s="123">
        <v>1486301370</v>
      </c>
      <c r="E29" s="123">
        <v>1655342466</v>
      </c>
      <c r="F29" s="123">
        <v>24383495889</v>
      </c>
    </row>
    <row r="30" spans="1:6" ht="25.5">
      <c r="A30" s="53"/>
      <c r="B30" s="54" t="s">
        <v>164</v>
      </c>
      <c r="C30" s="55" t="s">
        <v>144</v>
      </c>
      <c r="D30" s="123">
        <v>0</v>
      </c>
      <c r="E30" s="123">
        <v>0</v>
      </c>
      <c r="F30" s="123">
        <v>0</v>
      </c>
    </row>
    <row r="31" spans="1:6" s="17" customFormat="1" ht="25.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5">
      <c r="A33" s="56"/>
      <c r="B33" s="57" t="s">
        <v>151</v>
      </c>
      <c r="C33" s="58" t="s">
        <v>52</v>
      </c>
      <c r="D33" s="123">
        <v>0</v>
      </c>
      <c r="E33" s="123">
        <v>0</v>
      </c>
      <c r="F33" s="123">
        <v>0</v>
      </c>
    </row>
    <row r="34" spans="1:6" ht="25.5">
      <c r="A34" s="56"/>
      <c r="B34" s="57" t="s">
        <v>152</v>
      </c>
      <c r="C34" s="58" t="s">
        <v>53</v>
      </c>
      <c r="D34" s="123">
        <v>0</v>
      </c>
      <c r="E34" s="123">
        <v>0</v>
      </c>
      <c r="F34" s="123">
        <v>0</v>
      </c>
    </row>
    <row r="35" spans="1:6" ht="76.5">
      <c r="A35" s="56"/>
      <c r="B35" s="57" t="s">
        <v>31</v>
      </c>
      <c r="C35" s="58" t="s">
        <v>54</v>
      </c>
      <c r="D35" s="123">
        <v>0</v>
      </c>
      <c r="E35" s="123">
        <v>0</v>
      </c>
      <c r="F35" s="123">
        <v>0</v>
      </c>
    </row>
    <row r="36" spans="1:6" ht="25.5">
      <c r="A36" s="119" t="s">
        <v>21</v>
      </c>
      <c r="B36" s="120" t="s">
        <v>153</v>
      </c>
      <c r="C36" s="121" t="s">
        <v>55</v>
      </c>
      <c r="D36" s="126">
        <v>1308487812</v>
      </c>
      <c r="E36" s="126">
        <v>1286498617</v>
      </c>
      <c r="F36" s="126">
        <v>24222822493</v>
      </c>
    </row>
    <row r="37" spans="1:6" ht="38.25">
      <c r="A37" s="50">
        <v>1</v>
      </c>
      <c r="B37" s="51" t="s">
        <v>190</v>
      </c>
      <c r="C37" s="52" t="s">
        <v>56</v>
      </c>
      <c r="D37" s="123">
        <v>1074647304</v>
      </c>
      <c r="E37" s="123">
        <v>1081299388</v>
      </c>
      <c r="F37" s="123">
        <v>20283808055</v>
      </c>
    </row>
    <row r="38" spans="1:6">
      <c r="A38" s="73" t="s">
        <v>188</v>
      </c>
      <c r="B38" s="73" t="s">
        <v>188</v>
      </c>
      <c r="C38" s="73" t="s">
        <v>188</v>
      </c>
      <c r="D38" s="124" t="s">
        <v>188</v>
      </c>
      <c r="E38" s="124" t="s">
        <v>188</v>
      </c>
      <c r="F38" s="124" t="s">
        <v>188</v>
      </c>
    </row>
    <row r="39" spans="1:6" ht="51">
      <c r="A39" s="50">
        <v>2</v>
      </c>
      <c r="B39" s="51" t="s">
        <v>244</v>
      </c>
      <c r="C39" s="52" t="s">
        <v>57</v>
      </c>
      <c r="D39" s="123">
        <v>75750006</v>
      </c>
      <c r="E39" s="123">
        <v>78688005</v>
      </c>
      <c r="F39" s="123">
        <v>1444001087</v>
      </c>
    </row>
    <row r="40" spans="1:6">
      <c r="A40" s="73" t="s">
        <v>188</v>
      </c>
      <c r="B40" s="73" t="s">
        <v>188</v>
      </c>
      <c r="C40" s="73" t="s">
        <v>188</v>
      </c>
      <c r="D40" s="124" t="s">
        <v>188</v>
      </c>
      <c r="E40" s="124" t="s">
        <v>188</v>
      </c>
      <c r="F40" s="124" t="s">
        <v>188</v>
      </c>
    </row>
    <row r="41" spans="1:6" ht="25.5">
      <c r="A41" s="59"/>
      <c r="B41" s="54" t="s">
        <v>191</v>
      </c>
      <c r="C41" s="55" t="s">
        <v>58</v>
      </c>
      <c r="D41" s="123">
        <v>44776971</v>
      </c>
      <c r="E41" s="123">
        <v>45076584</v>
      </c>
      <c r="F41" s="123">
        <v>845535193</v>
      </c>
    </row>
    <row r="42" spans="1:6" ht="25.5">
      <c r="A42" s="59"/>
      <c r="B42" s="54" t="s">
        <v>192</v>
      </c>
      <c r="C42" s="55" t="s">
        <v>59</v>
      </c>
      <c r="D42" s="123">
        <v>600000</v>
      </c>
      <c r="E42" s="123">
        <v>2800000</v>
      </c>
      <c r="F42" s="123">
        <v>27050000</v>
      </c>
    </row>
    <row r="43" spans="1:6" ht="51">
      <c r="A43" s="59"/>
      <c r="B43" s="54" t="s">
        <v>245</v>
      </c>
      <c r="C43" s="55" t="s">
        <v>60</v>
      </c>
      <c r="D43" s="123">
        <v>820235</v>
      </c>
      <c r="E43" s="123">
        <v>1060872</v>
      </c>
      <c r="F43" s="123">
        <v>13362675</v>
      </c>
    </row>
    <row r="44" spans="1:6" ht="25.5">
      <c r="A44" s="59"/>
      <c r="B44" s="54" t="s">
        <v>193</v>
      </c>
      <c r="C44" s="55" t="s">
        <v>61</v>
      </c>
      <c r="D44" s="123">
        <v>29552800</v>
      </c>
      <c r="E44" s="123">
        <v>29750549</v>
      </c>
      <c r="F44" s="123">
        <v>558053219</v>
      </c>
    </row>
    <row r="45" spans="1:6" ht="63.75">
      <c r="A45" s="50">
        <v>3</v>
      </c>
      <c r="B45" s="60" t="s">
        <v>194</v>
      </c>
      <c r="C45" s="52" t="s">
        <v>62</v>
      </c>
      <c r="D45" s="123">
        <v>59066235</v>
      </c>
      <c r="E45" s="123">
        <v>59329894</v>
      </c>
      <c r="F45" s="123">
        <v>980020965</v>
      </c>
    </row>
    <row r="46" spans="1:6">
      <c r="A46" s="73" t="s">
        <v>188</v>
      </c>
      <c r="B46" s="73" t="s">
        <v>188</v>
      </c>
      <c r="C46" s="73" t="s">
        <v>188</v>
      </c>
      <c r="D46" s="124" t="s">
        <v>188</v>
      </c>
      <c r="E46" s="124" t="s">
        <v>188</v>
      </c>
      <c r="F46" s="124" t="s">
        <v>188</v>
      </c>
    </row>
    <row r="47" spans="1:6" ht="25.5">
      <c r="A47" s="59"/>
      <c r="B47" s="61" t="s">
        <v>165</v>
      </c>
      <c r="C47" s="55" t="s">
        <v>63</v>
      </c>
      <c r="D47" s="123">
        <v>45866235</v>
      </c>
      <c r="E47" s="123">
        <v>46129894</v>
      </c>
      <c r="F47" s="123">
        <v>821620965</v>
      </c>
    </row>
    <row r="48" spans="1:6" ht="25.5">
      <c r="A48" s="59"/>
      <c r="B48" s="61" t="s">
        <v>32</v>
      </c>
      <c r="C48" s="55" t="s">
        <v>64</v>
      </c>
      <c r="D48" s="123">
        <v>13200000</v>
      </c>
      <c r="E48" s="123">
        <v>13200000</v>
      </c>
      <c r="F48" s="123">
        <v>158400000</v>
      </c>
    </row>
    <row r="49" spans="1:6" ht="25.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8.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5">
      <c r="A53" s="50">
        <v>6</v>
      </c>
      <c r="B53" s="51" t="s">
        <v>33</v>
      </c>
      <c r="C53" s="52" t="s">
        <v>65</v>
      </c>
      <c r="D53" s="123">
        <v>11366667</v>
      </c>
      <c r="E53" s="123">
        <v>11000000</v>
      </c>
      <c r="F53" s="123">
        <v>134217528</v>
      </c>
    </row>
    <row r="54" spans="1:6">
      <c r="A54" s="73" t="s">
        <v>188</v>
      </c>
      <c r="B54" s="73" t="s">
        <v>188</v>
      </c>
      <c r="C54" s="73" t="s">
        <v>188</v>
      </c>
      <c r="D54" s="124" t="s">
        <v>188</v>
      </c>
      <c r="E54" s="124" t="s">
        <v>188</v>
      </c>
      <c r="F54" s="124" t="s">
        <v>188</v>
      </c>
    </row>
    <row r="55" spans="1:6" ht="63.75">
      <c r="A55" s="50">
        <v>7</v>
      </c>
      <c r="B55" s="51" t="s">
        <v>166</v>
      </c>
      <c r="C55" s="52" t="s">
        <v>66</v>
      </c>
      <c r="D55" s="123">
        <v>22027758</v>
      </c>
      <c r="E55" s="123">
        <v>21510735</v>
      </c>
      <c r="F55" s="123">
        <v>238700000</v>
      </c>
    </row>
    <row r="56" spans="1:6">
      <c r="A56" s="73" t="s">
        <v>188</v>
      </c>
      <c r="B56" s="73" t="s">
        <v>188</v>
      </c>
      <c r="C56" s="73" t="s">
        <v>188</v>
      </c>
      <c r="D56" s="124" t="s">
        <v>188</v>
      </c>
      <c r="E56" s="124" t="s">
        <v>188</v>
      </c>
      <c r="F56" s="124" t="s">
        <v>188</v>
      </c>
    </row>
    <row r="57" spans="1:6" ht="25.5">
      <c r="A57" s="59"/>
      <c r="B57" s="10" t="s">
        <v>167</v>
      </c>
      <c r="C57" s="55" t="s">
        <v>67</v>
      </c>
      <c r="D57" s="123">
        <v>6508197</v>
      </c>
      <c r="E57" s="123">
        <v>6491803</v>
      </c>
      <c r="F57" s="123">
        <v>78000000</v>
      </c>
    </row>
    <row r="58" spans="1:6" ht="25.5">
      <c r="A58" s="59"/>
      <c r="B58" s="10" t="s">
        <v>154</v>
      </c>
      <c r="C58" s="55" t="s">
        <v>68</v>
      </c>
      <c r="D58" s="123">
        <v>11877717</v>
      </c>
      <c r="E58" s="123">
        <v>11494566</v>
      </c>
      <c r="F58" s="123">
        <v>117500000</v>
      </c>
    </row>
    <row r="59" spans="1:6" ht="25.5">
      <c r="A59" s="59"/>
      <c r="B59" s="10" t="s">
        <v>34</v>
      </c>
      <c r="C59" s="55" t="s">
        <v>69</v>
      </c>
      <c r="D59" s="123">
        <v>3641844</v>
      </c>
      <c r="E59" s="123">
        <v>3524366</v>
      </c>
      <c r="F59" s="123">
        <v>43200000</v>
      </c>
    </row>
    <row r="60" spans="1:6" ht="140.25">
      <c r="A60" s="50">
        <v>8</v>
      </c>
      <c r="B60" s="60" t="s">
        <v>168</v>
      </c>
      <c r="C60" s="52" t="s">
        <v>70</v>
      </c>
      <c r="D60" s="123">
        <v>14713036</v>
      </c>
      <c r="E60" s="123">
        <v>14238388</v>
      </c>
      <c r="F60" s="123">
        <v>145908114</v>
      </c>
    </row>
    <row r="61" spans="1:6">
      <c r="A61" s="73" t="s">
        <v>188</v>
      </c>
      <c r="B61" s="73" t="s">
        <v>188</v>
      </c>
      <c r="C61" s="73" t="s">
        <v>188</v>
      </c>
      <c r="D61" s="124" t="s">
        <v>188</v>
      </c>
      <c r="E61" s="124" t="s">
        <v>188</v>
      </c>
      <c r="F61" s="124" t="s">
        <v>188</v>
      </c>
    </row>
    <row r="62" spans="1:6" ht="25.5">
      <c r="A62" s="59"/>
      <c r="B62" s="61" t="s">
        <v>155</v>
      </c>
      <c r="C62" s="55" t="s">
        <v>71</v>
      </c>
      <c r="D62" s="123">
        <v>14713036</v>
      </c>
      <c r="E62" s="123">
        <v>14238388</v>
      </c>
      <c r="F62" s="123">
        <v>145908114</v>
      </c>
    </row>
    <row r="63" spans="1:6" ht="25.5">
      <c r="A63" s="59"/>
      <c r="B63" s="61" t="s">
        <v>142</v>
      </c>
      <c r="C63" s="55" t="s">
        <v>72</v>
      </c>
      <c r="D63" s="123">
        <v>0</v>
      </c>
      <c r="E63" s="123">
        <v>0</v>
      </c>
      <c r="F63" s="123">
        <v>0</v>
      </c>
    </row>
    <row r="64" spans="1:6" s="17" customFormat="1" ht="38.25">
      <c r="A64" s="59"/>
      <c r="B64" s="61" t="s">
        <v>169</v>
      </c>
      <c r="C64" s="55" t="s">
        <v>73</v>
      </c>
      <c r="D64" s="123">
        <v>0</v>
      </c>
      <c r="E64" s="123">
        <v>0</v>
      </c>
      <c r="F64" s="123">
        <v>0</v>
      </c>
    </row>
    <row r="65" spans="1:6" s="17" customFormat="1" ht="25.5">
      <c r="A65" s="59"/>
      <c r="B65" s="10" t="s">
        <v>156</v>
      </c>
      <c r="C65" s="55" t="s">
        <v>74</v>
      </c>
      <c r="D65" s="123">
        <v>0</v>
      </c>
      <c r="E65" s="123">
        <v>0</v>
      </c>
      <c r="F65" s="123">
        <v>0</v>
      </c>
    </row>
    <row r="66" spans="1:6" ht="25.5">
      <c r="A66" s="59"/>
      <c r="B66" s="10" t="s">
        <v>197</v>
      </c>
      <c r="C66" s="55" t="s">
        <v>75</v>
      </c>
      <c r="D66" s="123">
        <v>0</v>
      </c>
      <c r="E66" s="123">
        <v>0</v>
      </c>
      <c r="F66" s="123">
        <v>0</v>
      </c>
    </row>
    <row r="67" spans="1:6" ht="51">
      <c r="A67" s="50">
        <v>9</v>
      </c>
      <c r="B67" s="51" t="s">
        <v>170</v>
      </c>
      <c r="C67" s="52" t="s">
        <v>76</v>
      </c>
      <c r="D67" s="123">
        <v>46426060</v>
      </c>
      <c r="E67" s="123">
        <v>15501053</v>
      </c>
      <c r="F67" s="123">
        <v>905846094</v>
      </c>
    </row>
    <row r="68" spans="1:6" s="17" customFormat="1">
      <c r="A68" s="73" t="s">
        <v>188</v>
      </c>
      <c r="B68" s="73" t="s">
        <v>188</v>
      </c>
      <c r="C68" s="73" t="s">
        <v>188</v>
      </c>
      <c r="D68" s="124" t="s">
        <v>188</v>
      </c>
      <c r="E68" s="124" t="s">
        <v>188</v>
      </c>
      <c r="F68" s="124" t="s">
        <v>188</v>
      </c>
    </row>
    <row r="69" spans="1:6" s="17" customFormat="1" ht="25.5">
      <c r="A69" s="59"/>
      <c r="B69" s="54" t="s">
        <v>35</v>
      </c>
      <c r="C69" s="55" t="s">
        <v>77</v>
      </c>
      <c r="D69" s="123">
        <v>39766051</v>
      </c>
      <c r="E69" s="123">
        <v>15201053</v>
      </c>
      <c r="F69" s="123">
        <v>892382790</v>
      </c>
    </row>
    <row r="70" spans="1:6" s="17" customFormat="1" ht="25.5">
      <c r="A70" s="59"/>
      <c r="B70" s="54" t="s">
        <v>36</v>
      </c>
      <c r="C70" s="55" t="s">
        <v>78</v>
      </c>
      <c r="D70" s="123">
        <v>60009</v>
      </c>
      <c r="E70" s="123">
        <v>300000</v>
      </c>
      <c r="F70" s="123">
        <v>6863304</v>
      </c>
    </row>
    <row r="71" spans="1:6" ht="25.5">
      <c r="A71" s="59"/>
      <c r="B71" s="54" t="s">
        <v>37</v>
      </c>
      <c r="C71" s="55" t="s">
        <v>79</v>
      </c>
      <c r="D71" s="123">
        <v>6600000</v>
      </c>
      <c r="E71" s="123">
        <v>0</v>
      </c>
      <c r="F71" s="123">
        <v>6600000</v>
      </c>
    </row>
    <row r="72" spans="1:6" ht="25.5">
      <c r="A72" s="50">
        <v>10</v>
      </c>
      <c r="B72" s="51" t="s">
        <v>198</v>
      </c>
      <c r="C72" s="52" t="s">
        <v>80</v>
      </c>
      <c r="D72" s="123">
        <v>4490746</v>
      </c>
      <c r="E72" s="123">
        <v>4931154</v>
      </c>
      <c r="F72" s="123">
        <v>90320650</v>
      </c>
    </row>
    <row r="73" spans="1:6">
      <c r="A73" s="73" t="s">
        <v>188</v>
      </c>
      <c r="B73" s="73" t="s">
        <v>188</v>
      </c>
      <c r="C73" s="73" t="s">
        <v>188</v>
      </c>
      <c r="D73" s="124" t="s">
        <v>188</v>
      </c>
      <c r="E73" s="124" t="s">
        <v>188</v>
      </c>
      <c r="F73" s="124" t="s">
        <v>188</v>
      </c>
    </row>
    <row r="74" spans="1:6" ht="25.5">
      <c r="A74" s="50"/>
      <c r="B74" s="54" t="s">
        <v>38</v>
      </c>
      <c r="C74" s="55" t="s">
        <v>81</v>
      </c>
      <c r="D74" s="123">
        <v>0</v>
      </c>
      <c r="E74" s="123">
        <v>0</v>
      </c>
      <c r="F74" s="123">
        <v>0</v>
      </c>
    </row>
    <row r="75" spans="1:6" ht="25.5">
      <c r="A75" s="50"/>
      <c r="B75" s="54" t="s">
        <v>171</v>
      </c>
      <c r="C75" s="55" t="s">
        <v>82</v>
      </c>
      <c r="D75" s="123">
        <v>0</v>
      </c>
      <c r="E75" s="123">
        <v>0</v>
      </c>
      <c r="F75" s="123">
        <v>0</v>
      </c>
    </row>
    <row r="76" spans="1:6" ht="25.5">
      <c r="A76" s="50"/>
      <c r="B76" s="54" t="s">
        <v>39</v>
      </c>
      <c r="C76" s="55" t="s">
        <v>83</v>
      </c>
      <c r="D76" s="123">
        <v>635246</v>
      </c>
      <c r="E76" s="123">
        <v>614754</v>
      </c>
      <c r="F76" s="123">
        <v>7500000</v>
      </c>
    </row>
    <row r="77" spans="1:6" ht="25.5">
      <c r="A77" s="50"/>
      <c r="B77" s="54" t="s">
        <v>40</v>
      </c>
      <c r="C77" s="55" t="s">
        <v>84</v>
      </c>
      <c r="D77" s="123">
        <v>3855500</v>
      </c>
      <c r="E77" s="123">
        <v>4316400</v>
      </c>
      <c r="F77" s="123">
        <v>80989150</v>
      </c>
    </row>
    <row r="78" spans="1:6" ht="25.5">
      <c r="A78" s="50"/>
      <c r="B78" s="54" t="s">
        <v>172</v>
      </c>
      <c r="C78" s="55" t="s">
        <v>85</v>
      </c>
      <c r="D78" s="123">
        <v>0</v>
      </c>
      <c r="E78" s="123">
        <v>0</v>
      </c>
      <c r="F78" s="123">
        <v>0</v>
      </c>
    </row>
    <row r="79" spans="1:6" ht="25.5">
      <c r="A79" s="50"/>
      <c r="B79" s="54" t="s">
        <v>37</v>
      </c>
      <c r="C79" s="55" t="s">
        <v>86</v>
      </c>
      <c r="D79" s="123">
        <v>0</v>
      </c>
      <c r="E79" s="123">
        <v>0</v>
      </c>
      <c r="F79" s="123">
        <v>731500</v>
      </c>
    </row>
    <row r="80" spans="1:6" ht="25.5">
      <c r="A80" s="50"/>
      <c r="B80" s="54" t="s">
        <v>243</v>
      </c>
      <c r="C80" s="55" t="s">
        <v>87</v>
      </c>
      <c r="D80" s="123">
        <v>0</v>
      </c>
      <c r="E80" s="123">
        <v>0</v>
      </c>
      <c r="F80" s="123">
        <v>1100000</v>
      </c>
    </row>
    <row r="81" spans="1:6" ht="38.25">
      <c r="A81" s="125" t="s">
        <v>23</v>
      </c>
      <c r="B81" s="120" t="s">
        <v>173</v>
      </c>
      <c r="C81" s="121" t="s">
        <v>88</v>
      </c>
      <c r="D81" s="126">
        <v>5023819744</v>
      </c>
      <c r="E81" s="126">
        <v>5015806063</v>
      </c>
      <c r="F81" s="126">
        <v>90683969026</v>
      </c>
    </row>
    <row r="82" spans="1:6" ht="25.5">
      <c r="A82" s="125" t="s">
        <v>24</v>
      </c>
      <c r="B82" s="120" t="s">
        <v>157</v>
      </c>
      <c r="C82" s="121" t="s">
        <v>89</v>
      </c>
      <c r="D82" s="126">
        <v>-1027703790</v>
      </c>
      <c r="E82" s="126">
        <v>496694262</v>
      </c>
      <c r="F82" s="126">
        <v>-4133300575</v>
      </c>
    </row>
    <row r="83" spans="1:6" ht="51">
      <c r="A83" s="50">
        <v>1</v>
      </c>
      <c r="B83" s="51" t="s">
        <v>199</v>
      </c>
      <c r="C83" s="52" t="s">
        <v>90</v>
      </c>
      <c r="D83" s="123">
        <v>-410798733</v>
      </c>
      <c r="E83" s="123">
        <v>707197102</v>
      </c>
      <c r="F83" s="123">
        <v>-2820821003</v>
      </c>
    </row>
    <row r="84" spans="1:6" ht="25.5">
      <c r="A84" s="50">
        <v>2</v>
      </c>
      <c r="B84" s="51" t="s">
        <v>41</v>
      </c>
      <c r="C84" s="52" t="s">
        <v>91</v>
      </c>
      <c r="D84" s="123">
        <v>-616905057</v>
      </c>
      <c r="E84" s="123">
        <v>-210502840</v>
      </c>
      <c r="F84" s="123">
        <v>-1312479572</v>
      </c>
    </row>
    <row r="85" spans="1:6" ht="63.75">
      <c r="A85" s="125" t="s">
        <v>25</v>
      </c>
      <c r="B85" s="120" t="s">
        <v>174</v>
      </c>
      <c r="C85" s="121" t="s">
        <v>92</v>
      </c>
      <c r="D85" s="126">
        <v>3996115954</v>
      </c>
      <c r="E85" s="126">
        <v>5512500325</v>
      </c>
      <c r="F85" s="126">
        <v>86550668451</v>
      </c>
    </row>
    <row r="86" spans="1:6" ht="25.5">
      <c r="A86" s="125" t="s">
        <v>26</v>
      </c>
      <c r="B86" s="120" t="s">
        <v>42</v>
      </c>
      <c r="C86" s="121" t="s">
        <v>93</v>
      </c>
      <c r="D86" s="126">
        <v>1109947632381</v>
      </c>
      <c r="E86" s="126">
        <v>1204691095638</v>
      </c>
      <c r="F86" s="126">
        <v>1579769018172</v>
      </c>
    </row>
    <row r="87" spans="1:6" ht="62.25" customHeight="1">
      <c r="A87" s="125" t="s">
        <v>27</v>
      </c>
      <c r="B87" s="120" t="s">
        <v>237</v>
      </c>
      <c r="C87" s="121" t="s">
        <v>94</v>
      </c>
      <c r="D87" s="126">
        <v>69144128391</v>
      </c>
      <c r="E87" s="126">
        <v>-94743463257</v>
      </c>
      <c r="F87" s="126">
        <v>-400677257400</v>
      </c>
    </row>
    <row r="88" spans="1:6" s="17" customFormat="1" ht="51">
      <c r="A88" s="50">
        <v>1</v>
      </c>
      <c r="B88" s="51" t="s">
        <v>200</v>
      </c>
      <c r="C88" s="52" t="s">
        <v>95</v>
      </c>
      <c r="D88" s="123">
        <v>3996115954</v>
      </c>
      <c r="E88" s="123">
        <v>5512500325</v>
      </c>
      <c r="F88" s="123">
        <v>86550668451</v>
      </c>
    </row>
    <row r="89" spans="1:6" ht="51">
      <c r="A89" s="50">
        <v>2</v>
      </c>
      <c r="B89" s="51" t="s">
        <v>201</v>
      </c>
      <c r="C89" s="52" t="s">
        <v>96</v>
      </c>
      <c r="D89" s="123">
        <v>0</v>
      </c>
      <c r="E89" s="123">
        <v>0</v>
      </c>
      <c r="F89" s="123">
        <v>0</v>
      </c>
    </row>
    <row r="90" spans="1:6" ht="51">
      <c r="A90" s="50">
        <v>3</v>
      </c>
      <c r="B90" s="51" t="s">
        <v>202</v>
      </c>
      <c r="C90" s="52" t="s">
        <v>97</v>
      </c>
      <c r="D90" s="123">
        <v>65148012437</v>
      </c>
      <c r="E90" s="123">
        <v>-100255963582</v>
      </c>
      <c r="F90" s="123">
        <v>-487227925851</v>
      </c>
    </row>
    <row r="91" spans="1:6" ht="51">
      <c r="A91" s="50"/>
      <c r="B91" s="51" t="s">
        <v>175</v>
      </c>
      <c r="C91" s="52" t="s">
        <v>203</v>
      </c>
      <c r="D91" s="123">
        <v>707333724115</v>
      </c>
      <c r="E91" s="123">
        <v>521497415670</v>
      </c>
      <c r="F91" s="123">
        <v>7836835428322</v>
      </c>
    </row>
    <row r="92" spans="1:6" ht="51">
      <c r="A92" s="50"/>
      <c r="B92" s="51" t="s">
        <v>176</v>
      </c>
      <c r="C92" s="52" t="s">
        <v>204</v>
      </c>
      <c r="D92" s="123">
        <v>-642185711678</v>
      </c>
      <c r="E92" s="123">
        <v>-621753379252</v>
      </c>
      <c r="F92" s="123">
        <v>-8324063354173</v>
      </c>
    </row>
    <row r="93" spans="1:6" s="20" customFormat="1" ht="25.5">
      <c r="A93" s="119" t="s">
        <v>28</v>
      </c>
      <c r="B93" s="120" t="s">
        <v>43</v>
      </c>
      <c r="C93" s="121" t="s">
        <v>98</v>
      </c>
      <c r="D93" s="126">
        <v>1179091760772</v>
      </c>
      <c r="E93" s="126">
        <v>1109947632381</v>
      </c>
      <c r="F93" s="126">
        <v>1179091760772</v>
      </c>
    </row>
    <row r="94" spans="1:6" ht="51">
      <c r="A94" s="119" t="s">
        <v>29</v>
      </c>
      <c r="B94" s="120" t="s">
        <v>158</v>
      </c>
      <c r="C94" s="121" t="s">
        <v>99</v>
      </c>
      <c r="D94" s="126">
        <v>0</v>
      </c>
      <c r="E94" s="126">
        <v>0</v>
      </c>
      <c r="F94" s="126">
        <v>0</v>
      </c>
    </row>
    <row r="95" spans="1:6" ht="51">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95" zoomScaleNormal="100" zoomScaleSheetLayoutView="95" workbookViewId="0">
      <selection activeCell="D18" sqref="D18"/>
    </sheetView>
  </sheetViews>
  <sheetFormatPr defaultColWidth="8.7109375" defaultRowHeight="12.75"/>
  <cols>
    <col min="1" max="1" width="9" style="9" customWidth="1"/>
    <col min="2" max="2" width="39.85546875" style="9" customWidth="1"/>
    <col min="3" max="3" width="9.28515625" style="9" customWidth="1"/>
    <col min="4" max="4" width="28" style="9" customWidth="1"/>
    <col min="5" max="5" width="33.85546875" style="9" customWidth="1"/>
    <col min="6" max="6" width="32.140625" style="9" customWidth="1"/>
    <col min="7" max="7" width="28.5703125" style="9" customWidth="1"/>
    <col min="8" max="16384" width="8.710937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tr">
        <f>TONGQUAN!C1</f>
        <v>Tại ngày 31 tháng 12 năm 2024
/ As at 31 Dec 2024</v>
      </c>
      <c r="B5" s="170"/>
      <c r="C5" s="170"/>
      <c r="D5" s="170"/>
      <c r="E5" s="170"/>
      <c r="F5" s="170"/>
      <c r="G5" s="170"/>
    </row>
    <row r="6" spans="1:7" ht="16.899999999999999" customHeight="1"/>
    <row r="7" spans="1:7" ht="16.899999999999999" customHeight="1">
      <c r="A7" s="75" t="s">
        <v>2</v>
      </c>
      <c r="C7" s="171" t="str">
        <f>TONGQUAN!D5</f>
        <v>Công ty Cổ phần Quản lý Quỹ Đầu tư Dragon Capital Việt Nam</v>
      </c>
      <c r="D7" s="171"/>
      <c r="E7" s="171"/>
      <c r="F7" s="171"/>
      <c r="G7" s="171"/>
    </row>
    <row r="8" spans="1:7" ht="16.899999999999999" customHeight="1">
      <c r="A8" s="9" t="s">
        <v>15</v>
      </c>
      <c r="C8" s="166" t="str">
        <f>TONGQUAN!D6</f>
        <v>Dragon Capital Vietfund Management Joint Stock Company</v>
      </c>
      <c r="D8" s="166"/>
      <c r="E8" s="166"/>
      <c r="F8" s="166"/>
      <c r="G8" s="166"/>
    </row>
    <row r="9" spans="1:7" ht="16.899999999999999" customHeight="1">
      <c r="A9" s="75" t="s">
        <v>3</v>
      </c>
      <c r="C9" s="171" t="str">
        <f>TONGQUAN!D7</f>
        <v>Ngân hàng TNHH Một thành viên Standard Chartered (Việt Nam)</v>
      </c>
      <c r="D9" s="171"/>
      <c r="E9" s="171"/>
      <c r="F9" s="171"/>
      <c r="G9" s="171"/>
    </row>
    <row r="10" spans="1:7" ht="16.899999999999999" customHeight="1">
      <c r="A10" s="9" t="s">
        <v>4</v>
      </c>
      <c r="C10" s="166" t="str">
        <f>TONGQUAN!D8</f>
        <v>Standard Chartered Bank (Vietnam) Limited</v>
      </c>
      <c r="D10" s="166"/>
      <c r="E10" s="166"/>
      <c r="F10" s="166"/>
      <c r="G10" s="166"/>
    </row>
    <row r="11" spans="1:7" ht="16.899999999999999" customHeight="1">
      <c r="A11" s="75" t="s">
        <v>5</v>
      </c>
      <c r="C11" s="171" t="str">
        <f>TONGQUAN!D9</f>
        <v>Quỹ Đầu tư Trái phiếu Gia tăng Thu nhập Cố định DC</v>
      </c>
      <c r="D11" s="171"/>
      <c r="E11" s="171"/>
      <c r="F11" s="171"/>
      <c r="G11" s="171"/>
    </row>
    <row r="12" spans="1:7" ht="16.899999999999999" customHeight="1">
      <c r="A12" s="9" t="s">
        <v>6</v>
      </c>
      <c r="C12" s="166" t="str">
        <f>TONGQUAN!D10</f>
        <v>DC Income Plus Bond Fund (DCIP)</v>
      </c>
      <c r="D12" s="166"/>
      <c r="E12" s="166"/>
      <c r="F12" s="166"/>
      <c r="G12" s="166"/>
    </row>
    <row r="13" spans="1:7" ht="16.899999999999999" customHeight="1">
      <c r="A13" s="75" t="s">
        <v>7</v>
      </c>
      <c r="C13" s="171" t="str">
        <f>TONGQUAN!D11</f>
        <v>Ngày 03 tháng 01 năm 2025</v>
      </c>
      <c r="D13" s="171"/>
      <c r="E13" s="171"/>
      <c r="F13" s="171"/>
      <c r="G13" s="171"/>
    </row>
    <row r="14" spans="1:7" ht="16.899999999999999" customHeight="1">
      <c r="A14" s="9" t="s">
        <v>8</v>
      </c>
      <c r="C14" s="166" t="str">
        <f>TONGQUAN!D12</f>
        <v>03 Jan 2025</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304663481288</v>
      </c>
      <c r="G30" s="133">
        <v>0.25456087825589402</v>
      </c>
    </row>
    <row r="31" spans="1:7" ht="33.950000000000003" customHeight="1">
      <c r="A31" s="131" t="s">
        <v>266</v>
      </c>
      <c r="B31" s="130" t="s">
        <v>267</v>
      </c>
      <c r="C31" s="132" t="s">
        <v>268</v>
      </c>
      <c r="D31" s="134">
        <v>276091</v>
      </c>
      <c r="E31" s="140">
        <v>100539.325001</v>
      </c>
      <c r="F31" s="134">
        <v>27758002779</v>
      </c>
      <c r="G31" s="133">
        <v>2.3193136033826601E-2</v>
      </c>
    </row>
    <row r="32" spans="1:7" ht="33.950000000000003" customHeight="1">
      <c r="A32" s="131" t="s">
        <v>269</v>
      </c>
      <c r="B32" s="130" t="s">
        <v>270</v>
      </c>
      <c r="C32" s="132" t="s">
        <v>271</v>
      </c>
      <c r="D32" s="134">
        <v>280000</v>
      </c>
      <c r="E32" s="140">
        <v>100750.686</v>
      </c>
      <c r="F32" s="134">
        <v>28210192080</v>
      </c>
      <c r="G32" s="133">
        <v>2.35709617749159E-2</v>
      </c>
    </row>
    <row r="33" spans="1:7" ht="33.950000000000003" customHeight="1">
      <c r="A33" s="131" t="s">
        <v>272</v>
      </c>
      <c r="B33" s="130" t="s">
        <v>273</v>
      </c>
      <c r="C33" s="132" t="s">
        <v>274</v>
      </c>
      <c r="D33" s="134">
        <v>300000</v>
      </c>
      <c r="E33" s="140">
        <v>99787.479000000007</v>
      </c>
      <c r="F33" s="134">
        <v>29936243700</v>
      </c>
      <c r="G33" s="133">
        <v>2.50131602768324E-2</v>
      </c>
    </row>
    <row r="34" spans="1:7" ht="33.950000000000003" customHeight="1">
      <c r="A34" s="131" t="s">
        <v>275</v>
      </c>
      <c r="B34" s="130" t="s">
        <v>276</v>
      </c>
      <c r="C34" s="132" t="s">
        <v>277</v>
      </c>
      <c r="D34" s="134">
        <v>500000</v>
      </c>
      <c r="E34" s="140">
        <v>99644.331999999995</v>
      </c>
      <c r="F34" s="134">
        <v>49822166000</v>
      </c>
      <c r="G34" s="133">
        <v>4.1628797386391803E-2</v>
      </c>
    </row>
    <row r="35" spans="1:7" ht="33.950000000000003" customHeight="1">
      <c r="A35" s="131" t="s">
        <v>278</v>
      </c>
      <c r="B35" s="130" t="s">
        <v>279</v>
      </c>
      <c r="C35" s="132" t="s">
        <v>280</v>
      </c>
      <c r="D35" s="134">
        <v>186856</v>
      </c>
      <c r="E35" s="140">
        <v>99366.808000999998</v>
      </c>
      <c r="F35" s="134">
        <v>18567284276</v>
      </c>
      <c r="G35" s="133">
        <v>1.55138521103467E-2</v>
      </c>
    </row>
    <row r="36" spans="1:7" ht="33.950000000000003" customHeight="1">
      <c r="A36" s="131" t="s">
        <v>281</v>
      </c>
      <c r="B36" s="130" t="s">
        <v>282</v>
      </c>
      <c r="C36" s="132" t="s">
        <v>283</v>
      </c>
      <c r="D36" s="134">
        <v>128712</v>
      </c>
      <c r="E36" s="140">
        <v>101016.372001</v>
      </c>
      <c r="F36" s="134">
        <v>13002019273</v>
      </c>
      <c r="G36" s="133">
        <v>1.08638076058291E-2</v>
      </c>
    </row>
    <row r="37" spans="1:7" ht="33.950000000000003" customHeight="1">
      <c r="A37" s="131" t="s">
        <v>284</v>
      </c>
      <c r="B37" s="130" t="s">
        <v>285</v>
      </c>
      <c r="C37" s="132" t="s">
        <v>286</v>
      </c>
      <c r="D37" s="134">
        <v>869270</v>
      </c>
      <c r="E37" s="140">
        <v>100317.725999</v>
      </c>
      <c r="F37" s="134">
        <v>87203189680</v>
      </c>
      <c r="G37" s="133">
        <v>7.2862426628256399E-2</v>
      </c>
    </row>
    <row r="38" spans="1:7" ht="33.950000000000003" customHeight="1">
      <c r="A38" s="131" t="s">
        <v>287</v>
      </c>
      <c r="B38" s="130" t="s">
        <v>288</v>
      </c>
      <c r="C38" s="132" t="s">
        <v>289</v>
      </c>
      <c r="D38" s="134">
        <v>500000</v>
      </c>
      <c r="E38" s="140">
        <v>100328.76700000001</v>
      </c>
      <c r="F38" s="134">
        <v>50164383500</v>
      </c>
      <c r="G38" s="133">
        <v>4.1914736439494699E-2</v>
      </c>
    </row>
    <row r="39" spans="1:7" ht="39" customHeight="1">
      <c r="A39" s="131" t="s">
        <v>290</v>
      </c>
      <c r="B39" s="130" t="s">
        <v>291</v>
      </c>
      <c r="C39" s="132" t="s">
        <v>292</v>
      </c>
      <c r="D39" s="134"/>
      <c r="E39" s="140"/>
      <c r="F39" s="134">
        <v>88116488640</v>
      </c>
      <c r="G39" s="133">
        <v>7.3625531495255706E-2</v>
      </c>
    </row>
    <row r="40" spans="1:7" ht="33.950000000000003" customHeight="1">
      <c r="A40" s="131" t="s">
        <v>293</v>
      </c>
      <c r="B40" s="130" t="s">
        <v>294</v>
      </c>
      <c r="C40" s="132" t="s">
        <v>295</v>
      </c>
      <c r="D40" s="134">
        <v>46</v>
      </c>
      <c r="E40" s="140">
        <v>999709240</v>
      </c>
      <c r="F40" s="134">
        <v>45986625040</v>
      </c>
      <c r="G40" s="133">
        <v>3.8424019868468398E-2</v>
      </c>
    </row>
    <row r="41" spans="1:7" ht="33.950000000000003" customHeight="1">
      <c r="A41" s="131" t="s">
        <v>296</v>
      </c>
      <c r="B41" s="130" t="s">
        <v>297</v>
      </c>
      <c r="C41" s="132" t="s">
        <v>298</v>
      </c>
      <c r="D41" s="134">
        <v>40</v>
      </c>
      <c r="E41" s="140">
        <v>1003246590</v>
      </c>
      <c r="F41" s="134">
        <v>40129863600</v>
      </c>
      <c r="G41" s="133">
        <v>3.3530416179576403E-2</v>
      </c>
    </row>
    <row r="42" spans="1:7" ht="33.950000000000003" customHeight="1">
      <c r="A42" s="131" t="s">
        <v>299</v>
      </c>
      <c r="B42" s="130" t="s">
        <v>300</v>
      </c>
      <c r="C42" s="132" t="s">
        <v>301</v>
      </c>
      <c r="D42" s="134">
        <v>2</v>
      </c>
      <c r="E42" s="140">
        <v>1000000000</v>
      </c>
      <c r="F42" s="134">
        <v>2000000000</v>
      </c>
      <c r="G42" s="133">
        <v>1.67109544721086E-3</v>
      </c>
    </row>
    <row r="43" spans="1:7" ht="39" customHeight="1">
      <c r="A43" s="136"/>
      <c r="B43" s="135" t="s">
        <v>302</v>
      </c>
      <c r="C43" s="136" t="s">
        <v>303</v>
      </c>
      <c r="D43" s="138"/>
      <c r="E43" s="138"/>
      <c r="F43" s="138">
        <v>392779969928</v>
      </c>
      <c r="G43" s="137">
        <v>0.32818640975114899</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3.950000000000003" customHeight="1">
      <c r="A48" s="136"/>
      <c r="B48" s="135" t="s">
        <v>313</v>
      </c>
      <c r="C48" s="136" t="s">
        <v>314</v>
      </c>
      <c r="D48" s="138"/>
      <c r="E48" s="138"/>
      <c r="F48" s="138">
        <v>0</v>
      </c>
      <c r="G48" s="137">
        <v>0</v>
      </c>
    </row>
    <row r="49" spans="1:7" ht="39" customHeight="1">
      <c r="A49" s="136"/>
      <c r="B49" s="135" t="s">
        <v>315</v>
      </c>
      <c r="C49" s="136" t="s">
        <v>316</v>
      </c>
      <c r="D49" s="138"/>
      <c r="E49" s="138"/>
      <c r="F49" s="138">
        <v>392779969928</v>
      </c>
      <c r="G49" s="137">
        <v>0.32818640975114899</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15045345017</v>
      </c>
      <c r="G53" s="133">
        <v>1.25711037798126E-2</v>
      </c>
    </row>
    <row r="54" spans="1:7" ht="47.1" customHeight="1">
      <c r="A54" s="131" t="s">
        <v>326</v>
      </c>
      <c r="B54" s="130" t="s">
        <v>327</v>
      </c>
      <c r="C54" s="132" t="s">
        <v>328</v>
      </c>
      <c r="D54" s="134"/>
      <c r="E54" s="140"/>
      <c r="F54" s="134">
        <v>9672578083</v>
      </c>
      <c r="G54" s="133">
        <v>8.0819005986464097E-3</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0</v>
      </c>
      <c r="G58" s="133">
        <v>0</v>
      </c>
    </row>
    <row r="59" spans="1:7" ht="39" customHeight="1">
      <c r="A59" s="136"/>
      <c r="B59" s="135" t="s">
        <v>341</v>
      </c>
      <c r="C59" s="136" t="s">
        <v>342</v>
      </c>
      <c r="D59" s="138"/>
      <c r="E59" s="138"/>
      <c r="F59" s="138">
        <v>24717923100</v>
      </c>
      <c r="G59" s="137">
        <v>2.06530043784591E-2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532821835814</v>
      </c>
      <c r="G61" s="133">
        <v>0.44519807200165301</v>
      </c>
    </row>
    <row r="62" spans="1:7" ht="39" customHeight="1">
      <c r="A62" s="131"/>
      <c r="B62" s="130"/>
      <c r="C62" s="132"/>
      <c r="D62" s="134"/>
      <c r="E62" s="140"/>
      <c r="F62" s="134"/>
      <c r="G62" s="133"/>
    </row>
    <row r="63" spans="1:7" ht="39" customHeight="1">
      <c r="A63" s="131" t="s">
        <v>349</v>
      </c>
      <c r="B63" s="130" t="s">
        <v>350</v>
      </c>
      <c r="C63" s="132" t="s">
        <v>351</v>
      </c>
      <c r="D63" s="134"/>
      <c r="E63" s="140"/>
      <c r="F63" s="134">
        <v>38021835814</v>
      </c>
      <c r="G63" s="133">
        <v>3.17690583616871E-2</v>
      </c>
    </row>
    <row r="64" spans="1:7" ht="39" customHeight="1">
      <c r="A64" s="131" t="s">
        <v>352</v>
      </c>
      <c r="B64" s="130" t="s">
        <v>353</v>
      </c>
      <c r="C64" s="132" t="s">
        <v>354</v>
      </c>
      <c r="D64" s="134"/>
      <c r="E64" s="140"/>
      <c r="F64" s="134">
        <v>494800000000</v>
      </c>
      <c r="G64" s="133">
        <v>0.41342901363996598</v>
      </c>
    </row>
    <row r="65" spans="1:7" ht="39" customHeight="1">
      <c r="A65" s="131" t="s">
        <v>355</v>
      </c>
      <c r="B65" s="130" t="s">
        <v>356</v>
      </c>
      <c r="C65" s="132" t="s">
        <v>357</v>
      </c>
      <c r="D65" s="134"/>
      <c r="E65" s="140"/>
      <c r="F65" s="134">
        <v>6500000000</v>
      </c>
      <c r="G65" s="133">
        <v>5.43106020343529E-3</v>
      </c>
    </row>
    <row r="66" spans="1:7" ht="39" customHeight="1">
      <c r="A66" s="131"/>
      <c r="B66" s="130"/>
      <c r="C66" s="132"/>
      <c r="D66" s="134"/>
      <c r="E66" s="140"/>
      <c r="F66" s="134"/>
      <c r="G66" s="133"/>
    </row>
    <row r="67" spans="1:7" ht="39" customHeight="1">
      <c r="A67" s="131" t="s">
        <v>358</v>
      </c>
      <c r="B67" s="130" t="s">
        <v>359</v>
      </c>
      <c r="C67" s="132" t="s">
        <v>360</v>
      </c>
      <c r="D67" s="134"/>
      <c r="E67" s="140"/>
      <c r="F67" s="134">
        <v>240000000000</v>
      </c>
      <c r="G67" s="133">
        <v>0.20053145366530301</v>
      </c>
    </row>
    <row r="68" spans="1:7" ht="39" customHeight="1">
      <c r="A68" s="136"/>
      <c r="B68" s="135" t="s">
        <v>361</v>
      </c>
      <c r="C68" s="136" t="s">
        <v>362</v>
      </c>
      <c r="D68" s="138"/>
      <c r="E68" s="138"/>
      <c r="F68" s="138">
        <v>779321835814</v>
      </c>
      <c r="G68" s="137">
        <v>0.65116058587039205</v>
      </c>
    </row>
    <row r="69" spans="1:7" ht="39" customHeight="1">
      <c r="A69" s="136" t="s">
        <v>363</v>
      </c>
      <c r="B69" s="135" t="s">
        <v>364</v>
      </c>
      <c r="C69" s="136" t="s">
        <v>365</v>
      </c>
      <c r="D69" s="138"/>
      <c r="E69" s="138"/>
      <c r="F69" s="138">
        <v>1196819728842</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743</v>
      </c>
      <c r="E82" s="25" t="s">
        <v>744</v>
      </c>
    </row>
    <row r="83" spans="1:7" ht="16.899999999999999" customHeight="1">
      <c r="A83" s="26" t="s">
        <v>745</v>
      </c>
      <c r="E83" s="26" t="s">
        <v>746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2" zoomScaleNormal="100" zoomScaleSheetLayoutView="100" workbookViewId="0">
      <selection activeCell="J51" sqref="J51"/>
    </sheetView>
  </sheetViews>
  <sheetFormatPr defaultColWidth="8.7109375" defaultRowHeight="53.25" customHeight="1"/>
  <cols>
    <col min="1" max="1" width="8.7109375" style="9"/>
    <col min="2" max="2" width="59.85546875" style="9" customWidth="1"/>
    <col min="3" max="3" width="10.7109375" style="9" bestFit="1" customWidth="1"/>
    <col min="4" max="4" width="41.7109375" style="9" customWidth="1"/>
    <col min="5" max="5" width="39.5703125" style="9" customWidth="1"/>
    <col min="6" max="6" width="8.42578125" style="100" customWidth="1"/>
    <col min="7" max="16384" width="8.710937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75" hidden="1">
      <c r="A4" s="169"/>
      <c r="B4" s="169"/>
      <c r="C4" s="169"/>
      <c r="D4" s="169"/>
      <c r="E4" s="169"/>
      <c r="F4" s="101"/>
    </row>
    <row r="5" spans="1:6" ht="12.75">
      <c r="A5" s="170" t="s">
        <v>736</v>
      </c>
      <c r="B5" s="170"/>
      <c r="C5" s="170"/>
      <c r="D5" s="170"/>
      <c r="E5" s="170"/>
      <c r="F5" s="103"/>
    </row>
    <row r="6" spans="1:6" ht="12.75"/>
    <row r="7" spans="1:6" ht="12.75">
      <c r="A7" s="75" t="s">
        <v>2</v>
      </c>
      <c r="C7" s="171" t="s">
        <v>737</v>
      </c>
      <c r="D7" s="171"/>
      <c r="E7" s="171"/>
    </row>
    <row r="8" spans="1:6" ht="12.75">
      <c r="A8" s="9" t="s">
        <v>15</v>
      </c>
      <c r="C8" s="166" t="s">
        <v>738</v>
      </c>
      <c r="D8" s="166"/>
      <c r="E8" s="166"/>
    </row>
    <row r="9" spans="1:6" ht="12.75">
      <c r="A9" s="75" t="s">
        <v>3</v>
      </c>
      <c r="C9" s="171" t="s">
        <v>739</v>
      </c>
      <c r="D9" s="171"/>
      <c r="E9" s="171"/>
    </row>
    <row r="10" spans="1:6" ht="12.75">
      <c r="A10" s="9" t="s">
        <v>4</v>
      </c>
      <c r="C10" s="166" t="s">
        <v>740</v>
      </c>
      <c r="D10" s="166"/>
      <c r="E10" s="166"/>
    </row>
    <row r="11" spans="1:6" ht="12.75">
      <c r="A11" s="75" t="s">
        <v>5</v>
      </c>
      <c r="C11" s="171" t="s">
        <v>239</v>
      </c>
      <c r="D11" s="171"/>
      <c r="E11" s="171"/>
    </row>
    <row r="12" spans="1:6" ht="12.75">
      <c r="A12" s="9" t="s">
        <v>6</v>
      </c>
      <c r="C12" s="166" t="s">
        <v>752</v>
      </c>
      <c r="D12" s="166"/>
      <c r="E12" s="166"/>
    </row>
    <row r="13" spans="1:6" ht="12.75">
      <c r="A13" s="75" t="s">
        <v>7</v>
      </c>
      <c r="C13" s="171" t="s">
        <v>741</v>
      </c>
      <c r="D13" s="171"/>
      <c r="E13" s="171"/>
    </row>
    <row r="14" spans="1:6" ht="12.75">
      <c r="A14" s="9" t="s">
        <v>8</v>
      </c>
      <c r="C14" s="166" t="s">
        <v>742</v>
      </c>
      <c r="D14" s="166"/>
      <c r="E14" s="166"/>
    </row>
    <row r="15" spans="1:6" ht="12.75"/>
    <row r="16" spans="1:6" ht="12.75">
      <c r="A16" s="69" t="s">
        <v>230</v>
      </c>
      <c r="B16" s="70" t="s">
        <v>231</v>
      </c>
    </row>
    <row r="17" spans="1:5" ht="12.75">
      <c r="A17" s="14" t="s">
        <v>25</v>
      </c>
      <c r="B17" s="15" t="s">
        <v>177</v>
      </c>
    </row>
    <row r="18" spans="1:5" ht="38.25">
      <c r="A18" s="115" t="s">
        <v>17</v>
      </c>
      <c r="B18" s="115" t="s">
        <v>220</v>
      </c>
      <c r="C18" s="115" t="s">
        <v>19</v>
      </c>
      <c r="D18" s="116" t="s">
        <v>749</v>
      </c>
      <c r="E18" s="116" t="s">
        <v>750</v>
      </c>
    </row>
    <row r="19" spans="1:5" s="104" customFormat="1" ht="25.5">
      <c r="A19" s="29" t="s">
        <v>16</v>
      </c>
      <c r="B19" s="63" t="s">
        <v>106</v>
      </c>
      <c r="C19" s="64" t="s">
        <v>107</v>
      </c>
      <c r="D19" s="133"/>
      <c r="E19" s="133"/>
    </row>
    <row r="20" spans="1:5" ht="51">
      <c r="A20" s="76">
        <v>1</v>
      </c>
      <c r="B20" s="65" t="s">
        <v>205</v>
      </c>
      <c r="C20" s="66" t="s">
        <v>108</v>
      </c>
      <c r="D20" s="133">
        <v>1.21975082515457E-2</v>
      </c>
      <c r="E20" s="133">
        <v>1.17982034437254E-2</v>
      </c>
    </row>
    <row r="21" spans="1:5" ht="51">
      <c r="A21" s="76">
        <v>2</v>
      </c>
      <c r="B21" s="65" t="s">
        <v>206</v>
      </c>
      <c r="C21" s="66" t="s">
        <v>109</v>
      </c>
      <c r="D21" s="133">
        <v>8.5047112355565301E-4</v>
      </c>
      <c r="E21" s="133">
        <v>8.47000116758719E-4</v>
      </c>
    </row>
    <row r="22" spans="1:5" ht="63.75">
      <c r="A22" s="76">
        <v>3</v>
      </c>
      <c r="B22" s="65" t="s">
        <v>207</v>
      </c>
      <c r="C22" s="66" t="s">
        <v>110</v>
      </c>
      <c r="D22" s="133">
        <v>6.7972599871794499E-4</v>
      </c>
      <c r="E22" s="133">
        <v>6.5893179196954905E-4</v>
      </c>
    </row>
    <row r="23" spans="1:5" ht="38.25">
      <c r="A23" s="76">
        <v>4</v>
      </c>
      <c r="B23" s="65" t="s">
        <v>178</v>
      </c>
      <c r="C23" s="66" t="s">
        <v>111</v>
      </c>
      <c r="D23" s="133">
        <v>1.29014434790852E-4</v>
      </c>
      <c r="E23" s="133">
        <v>1.20022483431739E-4</v>
      </c>
    </row>
    <row r="24" spans="1:5" ht="51">
      <c r="A24" s="76">
        <v>5</v>
      </c>
      <c r="B24" s="65" t="s">
        <v>208</v>
      </c>
      <c r="C24" s="66" t="s">
        <v>209</v>
      </c>
      <c r="D24" s="68"/>
      <c r="E24" s="68"/>
    </row>
    <row r="25" spans="1:5" ht="76.5">
      <c r="A25" s="76">
        <v>6</v>
      </c>
      <c r="B25" s="65" t="s">
        <v>210</v>
      </c>
      <c r="C25" s="66"/>
      <c r="D25" s="68"/>
      <c r="E25" s="68"/>
    </row>
    <row r="26" spans="1:5" ht="76.5">
      <c r="A26" s="76">
        <v>7</v>
      </c>
      <c r="B26" s="65" t="s">
        <v>179</v>
      </c>
      <c r="C26" s="66" t="s">
        <v>112</v>
      </c>
      <c r="D26" s="133">
        <v>2.50020410387642E-4</v>
      </c>
      <c r="E26" s="133">
        <v>2.3470653046745699E-4</v>
      </c>
    </row>
    <row r="27" spans="1:5" ht="25.5">
      <c r="A27" s="76">
        <v>8</v>
      </c>
      <c r="B27" s="65" t="s">
        <v>211</v>
      </c>
      <c r="C27" s="66" t="s">
        <v>113</v>
      </c>
      <c r="D27" s="133">
        <v>1.40936641405671E-2</v>
      </c>
      <c r="E27" s="133">
        <v>1.4099159588007899E-2</v>
      </c>
    </row>
    <row r="28" spans="1:5" ht="12.75">
      <c r="A28" s="76">
        <v>9</v>
      </c>
      <c r="B28" s="65" t="s">
        <v>241</v>
      </c>
      <c r="C28" s="66" t="s">
        <v>114</v>
      </c>
      <c r="D28" s="133">
        <v>1.7042870233085201</v>
      </c>
      <c r="E28" s="133">
        <v>1.7381497886528801</v>
      </c>
    </row>
    <row r="29" spans="1:5" ht="51">
      <c r="A29" s="76">
        <v>10</v>
      </c>
      <c r="B29" s="65" t="s">
        <v>212</v>
      </c>
      <c r="C29" s="66" t="s">
        <v>181</v>
      </c>
      <c r="D29" s="68"/>
      <c r="E29" s="68"/>
    </row>
    <row r="30" spans="1:5" s="104" customFormat="1" ht="25.5">
      <c r="A30" s="29" t="s">
        <v>21</v>
      </c>
      <c r="B30" s="63" t="s">
        <v>115</v>
      </c>
      <c r="C30" s="64" t="s">
        <v>116</v>
      </c>
      <c r="D30" s="67"/>
      <c r="E30" s="67"/>
    </row>
    <row r="31" spans="1:5" ht="38.25">
      <c r="A31" s="174">
        <v>1</v>
      </c>
      <c r="B31" s="65" t="s">
        <v>117</v>
      </c>
      <c r="C31" s="66" t="s">
        <v>118</v>
      </c>
      <c r="D31" s="77">
        <v>991499156000</v>
      </c>
      <c r="E31" s="77">
        <v>1081542533700</v>
      </c>
    </row>
    <row r="32" spans="1:5" ht="25.5">
      <c r="A32" s="175"/>
      <c r="B32" s="65" t="s">
        <v>119</v>
      </c>
      <c r="C32" s="66" t="s">
        <v>120</v>
      </c>
      <c r="D32" s="77">
        <v>991499156000</v>
      </c>
      <c r="E32" s="77">
        <v>1081542533700</v>
      </c>
    </row>
    <row r="33" spans="1:5" ht="38.25">
      <c r="A33" s="176"/>
      <c r="B33" s="65" t="s">
        <v>213</v>
      </c>
      <c r="C33" s="66" t="s">
        <v>121</v>
      </c>
      <c r="D33" s="68">
        <v>99149915.599999994</v>
      </c>
      <c r="E33" s="68">
        <v>108154253.37</v>
      </c>
    </row>
    <row r="34" spans="1:5" ht="38.25">
      <c r="A34" s="173">
        <v>2</v>
      </c>
      <c r="B34" s="65" t="s">
        <v>122</v>
      </c>
      <c r="C34" s="66" t="s">
        <v>123</v>
      </c>
      <c r="D34" s="77">
        <v>57736271900</v>
      </c>
      <c r="E34" s="77">
        <v>-90043377700</v>
      </c>
    </row>
    <row r="35" spans="1:5" ht="25.5">
      <c r="A35" s="173"/>
      <c r="B35" s="65" t="s">
        <v>124</v>
      </c>
      <c r="C35" s="66" t="s">
        <v>214</v>
      </c>
      <c r="D35" s="68">
        <v>5773627.1900000004</v>
      </c>
      <c r="E35" s="68">
        <v>-9004337.7699999996</v>
      </c>
    </row>
    <row r="36" spans="1:5" ht="25.5">
      <c r="A36" s="173"/>
      <c r="B36" s="65" t="s">
        <v>125</v>
      </c>
      <c r="C36" s="66" t="s">
        <v>215</v>
      </c>
      <c r="D36" s="77">
        <v>57736271900</v>
      </c>
      <c r="E36" s="77">
        <v>-90043377700</v>
      </c>
    </row>
    <row r="37" spans="1:5" ht="25.5">
      <c r="A37" s="173"/>
      <c r="B37" s="65" t="s">
        <v>216</v>
      </c>
      <c r="C37" s="66" t="s">
        <v>126</v>
      </c>
      <c r="D37" s="68">
        <v>63035563.869999997</v>
      </c>
      <c r="E37" s="68">
        <v>46708673.439999998</v>
      </c>
    </row>
    <row r="38" spans="1:5" ht="25.5">
      <c r="A38" s="173"/>
      <c r="B38" s="65" t="s">
        <v>160</v>
      </c>
      <c r="C38" s="66" t="s">
        <v>127</v>
      </c>
      <c r="D38" s="77">
        <v>630355638700</v>
      </c>
      <c r="E38" s="77">
        <v>467086734400</v>
      </c>
    </row>
    <row r="39" spans="1:5" ht="25.5">
      <c r="A39" s="173"/>
      <c r="B39" s="65" t="s">
        <v>238</v>
      </c>
      <c r="C39" s="66" t="s">
        <v>128</v>
      </c>
      <c r="D39" s="68">
        <v>-57261936.68</v>
      </c>
      <c r="E39" s="68">
        <v>-55713011.210000001</v>
      </c>
    </row>
    <row r="40" spans="1:5" ht="38.25">
      <c r="A40" s="173"/>
      <c r="B40" s="65" t="s">
        <v>161</v>
      </c>
      <c r="C40" s="66" t="s">
        <v>129</v>
      </c>
      <c r="D40" s="77">
        <v>-572619366800</v>
      </c>
      <c r="E40" s="77">
        <v>-557130112100</v>
      </c>
    </row>
    <row r="41" spans="1:5" ht="25.5">
      <c r="A41" s="173">
        <v>3</v>
      </c>
      <c r="B41" s="65" t="s">
        <v>162</v>
      </c>
      <c r="C41" s="66" t="s">
        <v>130</v>
      </c>
      <c r="D41" s="77">
        <v>1049235427900</v>
      </c>
      <c r="E41" s="77">
        <v>991499156000</v>
      </c>
    </row>
    <row r="42" spans="1:5" ht="38.25">
      <c r="A42" s="173"/>
      <c r="B42" s="65" t="s">
        <v>217</v>
      </c>
      <c r="C42" s="66" t="s">
        <v>131</v>
      </c>
      <c r="D42" s="77">
        <v>1049235427900</v>
      </c>
      <c r="E42" s="77">
        <v>991499156000</v>
      </c>
    </row>
    <row r="43" spans="1:5" ht="25.5">
      <c r="A43" s="173"/>
      <c r="B43" s="65" t="s">
        <v>218</v>
      </c>
      <c r="C43" s="66" t="s">
        <v>132</v>
      </c>
      <c r="D43" s="68">
        <v>104923542.79000001</v>
      </c>
      <c r="E43" s="68">
        <v>99149915.599999994</v>
      </c>
    </row>
    <row r="44" spans="1:5" ht="51">
      <c r="A44" s="76">
        <v>4</v>
      </c>
      <c r="B44" s="65" t="s">
        <v>133</v>
      </c>
      <c r="C44" s="66" t="s">
        <v>134</v>
      </c>
      <c r="D44" s="133"/>
      <c r="E44" s="133"/>
    </row>
    <row r="45" spans="1:5" ht="25.5">
      <c r="A45" s="76">
        <v>5</v>
      </c>
      <c r="B45" s="65" t="s">
        <v>135</v>
      </c>
      <c r="C45" s="66" t="s">
        <v>136</v>
      </c>
      <c r="D45" s="133">
        <v>0.26989999999999997</v>
      </c>
      <c r="E45" s="133">
        <v>0.12720000000000001</v>
      </c>
    </row>
    <row r="46" spans="1:5" ht="25.5">
      <c r="A46" s="76">
        <v>6</v>
      </c>
      <c r="B46" s="65" t="s">
        <v>137</v>
      </c>
      <c r="C46" s="66" t="s">
        <v>138</v>
      </c>
      <c r="D46" s="133">
        <v>4.5999999999999999E-3</v>
      </c>
      <c r="E46" s="133">
        <v>1.8E-3</v>
      </c>
    </row>
    <row r="47" spans="1:5" ht="25.5">
      <c r="A47" s="76">
        <v>7</v>
      </c>
      <c r="B47" s="65" t="s">
        <v>139</v>
      </c>
      <c r="C47" s="66" t="s">
        <v>140</v>
      </c>
      <c r="D47" s="77">
        <v>20876</v>
      </c>
      <c r="E47" s="77">
        <v>20764</v>
      </c>
    </row>
    <row r="48" spans="1:5" ht="25.5">
      <c r="A48" s="76">
        <v>8</v>
      </c>
      <c r="B48" s="65" t="s">
        <v>163</v>
      </c>
      <c r="C48" s="66" t="s">
        <v>141</v>
      </c>
      <c r="D48" s="68">
        <v>11237.62</v>
      </c>
      <c r="E48" s="68">
        <v>11194.64</v>
      </c>
    </row>
    <row r="49" spans="1:5" ht="38.25">
      <c r="A49" s="76">
        <v>9</v>
      </c>
      <c r="B49" s="65" t="s">
        <v>219</v>
      </c>
      <c r="C49" s="66" t="s">
        <v>182</v>
      </c>
      <c r="D49" s="68"/>
      <c r="E49" s="68"/>
    </row>
    <row r="50" spans="1:5" ht="31.5" customHeight="1">
      <c r="A50" s="172" t="s">
        <v>240</v>
      </c>
      <c r="B50" s="166"/>
      <c r="C50" s="166"/>
      <c r="D50" s="166"/>
      <c r="E50" s="166"/>
    </row>
    <row r="51" spans="1:5" ht="95.25" customHeight="1">
      <c r="A51" s="172" t="s">
        <v>751</v>
      </c>
      <c r="B51" s="166"/>
      <c r="C51" s="166"/>
      <c r="D51" s="166"/>
      <c r="E51" s="166"/>
    </row>
    <row r="52" spans="1:5" ht="12.75">
      <c r="A52" s="18" t="s">
        <v>10</v>
      </c>
      <c r="D52" s="18" t="s">
        <v>11</v>
      </c>
    </row>
    <row r="53" spans="1:5" s="103" customFormat="1" ht="12.75">
      <c r="A53" s="19" t="s">
        <v>12</v>
      </c>
      <c r="B53" s="19"/>
      <c r="C53" s="19"/>
      <c r="D53" s="19" t="s">
        <v>13</v>
      </c>
      <c r="E53" s="19"/>
    </row>
    <row r="54" spans="1:5" ht="12.75"/>
    <row r="55" spans="1:5" ht="12.75"/>
    <row r="56" spans="1:5" ht="12.75"/>
    <row r="57" spans="1:5" ht="12.75"/>
    <row r="58" spans="1:5" ht="12.75"/>
    <row r="59" spans="1:5" ht="12.75"/>
    <row r="60" spans="1:5" ht="12.75"/>
    <row r="61" spans="1:5" ht="12.75"/>
    <row r="62" spans="1:5" ht="12.75">
      <c r="A62" s="27"/>
      <c r="B62" s="27"/>
      <c r="D62" s="27"/>
      <c r="E62" s="27"/>
    </row>
    <row r="63" spans="1:5" ht="12.75">
      <c r="A63" s="18" t="s">
        <v>14</v>
      </c>
      <c r="D63" s="18" t="s">
        <v>737</v>
      </c>
    </row>
    <row r="64" spans="1:5" ht="12.75">
      <c r="A64" s="18" t="s">
        <v>743</v>
      </c>
      <c r="D64" s="18" t="s">
        <v>744</v>
      </c>
    </row>
    <row r="65" spans="1:4" ht="12.75">
      <c r="A65" s="9" t="s">
        <v>745</v>
      </c>
      <c r="D65" s="9" t="s">
        <v>746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JI4vNZ0Iy0p97SrOu9ycy0IT1wNf63mRCiAoBfZraeo=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B6UDRByXY5S1nG03LHVxZBBJR3puTF+caZwAltraKTk=</DigestValue>
    </Reference>
  </SignedInfo>
  <SignatureValue>jXfC3kpedfyXTPvSrzaldybLsCKa8WIP2Kxq8rsR8zrNQ62F+ETanUjl0/FBzIivnWv3LLYsbPQT
RBEkn+xvRHpvFVRFqP5sEZ3H32cwfNGPYlz9S9KMa+nL0lXHg0/25/IIjFWXClQRSe/hL6z7mcNy
alKgXm3COXXDE62JczahBxJG08LKVd7n72pnT6M2s1e7K+UHzji1o4jpOqP8UF+iO5DyBGrR4uYu
V4doI7/PHJCFcD8nKNqa8A96DMiW8AJg0NUQOr3FviIKnjsWynPSgIKNHal68yOkVilfDpRzwGzl
DoE5TWEFSRDrif4khtsM/6hdGxVju2uB44R0ZQ==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XGU243vFP11XeYeu4w/dp+Z9t7yAKr0olvr8+hXjBcM=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xJRItUf3fHcznFxXyoPEnPWDWlAlWct+/4f5CI3PylE=</DigestValue>
      </Reference>
      <Reference URI="/xl/drawings/vmlDrawing2.vml?ContentType=application/vnd.openxmlformats-officedocument.vmlDrawing">
        <DigestMethod Algorithm="http://www.w3.org/2001/04/xmlenc#sha256"/>
        <DigestValue>C7Oplka77BopvovJexHqap5MT7cSke128lzRhdNQtMY=</DigestValue>
      </Reference>
      <Reference URI="/xl/drawings/vmlDrawing3.vml?ContentType=application/vnd.openxmlformats-officedocument.vmlDrawing">
        <DigestMethod Algorithm="http://www.w3.org/2001/04/xmlenc#sha256"/>
        <DigestValue>tzHdRSzVgjAAdpB5i5xgm2drDnCNO1TjlQ5pM+PUDCo=</DigestValue>
      </Reference>
      <Reference URI="/xl/drawings/vmlDrawing4.vml?ContentType=application/vnd.openxmlformats-officedocument.vmlDrawing">
        <DigestMethod Algorithm="http://www.w3.org/2001/04/xmlenc#sha256"/>
        <DigestValue>yOL35jIzveiYjpznjfUKYPAUFSqd7z2dujwcXnS14Ec=</DigestValue>
      </Reference>
      <Reference URI="/xl/drawings/vmlDrawing5.vml?ContentType=application/vnd.openxmlformats-officedocument.vmlDrawing">
        <DigestMethod Algorithm="http://www.w3.org/2001/04/xmlenc#sha256"/>
        <DigestValue>BhjG3tLyg6XxShoxQveIPkd5u3SO1yyElygWYS1UMeQ=</DigestValue>
      </Reference>
      <Reference URI="/xl/media/image1.emf?ContentType=image/x-emf">
        <DigestMethod Algorithm="http://www.w3.org/2001/04/xmlenc#sha256"/>
        <DigestValue>10ISVeOYV+a6B9rICiXrQ+ituS3OtftWAmwulmQ9Hrk=</DigestValue>
      </Reference>
      <Reference URI="/xl/media/image2.emf?ContentType=image/x-emf">
        <DigestMethod Algorithm="http://www.w3.org/2001/04/xmlenc#sha256"/>
        <DigestValue>10ISVeOYV+a6B9rICiXrQ+ituS3OtftWAmwulmQ9Hrk=</DigestValue>
      </Reference>
      <Reference URI="/xl/printerSettings/printerSettings1.bin?ContentType=application/vnd.openxmlformats-officedocument.spreadsheetml.printerSettings">
        <DigestMethod Algorithm="http://www.w3.org/2001/04/xmlenc#sha256"/>
        <DigestValue>nXU7AAcwIJJasLK7uvjeEyNtRwClcRsM7zXV9V9TEz8=</DigestValue>
      </Reference>
      <Reference URI="/xl/printerSettings/printerSettings2.bin?ContentType=application/vnd.openxmlformats-officedocument.spreadsheetml.printerSettings">
        <DigestMethod Algorithm="http://www.w3.org/2001/04/xmlenc#sha256"/>
        <DigestValue>2CZWW0vDPCCgBPOIjRjxwP2oR7/XQ0yo2ftzutzxnL4=</DigestValue>
      </Reference>
      <Reference URI="/xl/printerSettings/printerSettings3.bin?ContentType=application/vnd.openxmlformats-officedocument.spreadsheetml.printerSettings">
        <DigestMethod Algorithm="http://www.w3.org/2001/04/xmlenc#sha256"/>
        <DigestValue>HLpj1Cum8t5+TjR0YTpJxPz4LbjDXpbLJLJG5pag5FY=</DigestValue>
      </Reference>
      <Reference URI="/xl/printerSettings/printerSettings4.bin?ContentType=application/vnd.openxmlformats-officedocument.spreadsheetml.printerSettings">
        <DigestMethod Algorithm="http://www.w3.org/2001/04/xmlenc#sha256"/>
        <DigestValue>HLpj1Cum8t5+TjR0YTpJxPz4LbjDXpbLJLJG5pag5FY=</DigestValue>
      </Reference>
      <Reference URI="/xl/printerSettings/printerSettings5.bin?ContentType=application/vnd.openxmlformats-officedocument.spreadsheetml.printerSettings">
        <DigestMethod Algorithm="http://www.w3.org/2001/04/xmlenc#sha256"/>
        <DigestValue>HLpj1Cum8t5+TjR0YTpJxPz4LbjDXpbLJLJG5pag5FY=</DigestValue>
      </Reference>
      <Reference URI="/xl/printerSettings/printerSettings6.bin?ContentType=application/vnd.openxmlformats-officedocument.spreadsheetml.printerSettings">
        <DigestMethod Algorithm="http://www.w3.org/2001/04/xmlenc#sha256"/>
        <DigestValue>HLpj1Cum8t5+TjR0YTpJxPz4LbjDXpbLJLJG5pag5FY=</DigestValue>
      </Reference>
      <Reference URI="/xl/sharedStrings.xml?ContentType=application/vnd.openxmlformats-officedocument.spreadsheetml.sharedStrings+xml">
        <DigestMethod Algorithm="http://www.w3.org/2001/04/xmlenc#sha256"/>
        <DigestValue>uf/Z59bMcrk5GBS239KX1ZlRNuA2JheLFgunutj4AJ0=</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Kgp7hyYLE2mWVz3Uvatzth/gKLaiCWR+C5631mLqKl4=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4TFxec2BpX+3WFG4tR5AVUOvlRv5Np6m/5Cj197r+MI=</DigestValue>
      </Reference>
      <Reference URI="/xl/worksheets/sheet2.xml?ContentType=application/vnd.openxmlformats-officedocument.spreadsheetml.worksheet+xml">
        <DigestMethod Algorithm="http://www.w3.org/2001/04/xmlenc#sha256"/>
        <DigestValue>SaC+NMWRqQc4jCk+r7sE7/rDqcJbeilwtt9FRnrhg5Y=</DigestValue>
      </Reference>
      <Reference URI="/xl/worksheets/sheet3.xml?ContentType=application/vnd.openxmlformats-officedocument.spreadsheetml.worksheet+xml">
        <DigestMethod Algorithm="http://www.w3.org/2001/04/xmlenc#sha256"/>
        <DigestValue>/Ld4gBvkMAcr8lSUfjpzKGoIAWDu1Sy0Zlylx8FVtNs=</DigestValue>
      </Reference>
      <Reference URI="/xl/worksheets/sheet4.xml?ContentType=application/vnd.openxmlformats-officedocument.spreadsheetml.worksheet+xml">
        <DigestMethod Algorithm="http://www.w3.org/2001/04/xmlenc#sha256"/>
        <DigestValue>NjeVBayYzbHNuErjmOyRW+XlMWfkHzRyGtF//8flk6M=</DigestValue>
      </Reference>
      <Reference URI="/xl/worksheets/sheet5.xml?ContentType=application/vnd.openxmlformats-officedocument.spreadsheetml.worksheet+xml">
        <DigestMethod Algorithm="http://www.w3.org/2001/04/xmlenc#sha256"/>
        <DigestValue>LmLJzxqj+XSJRAUKUIuO/0nig3aoyUl+hJ6F2ApOOpE=</DigestValue>
      </Reference>
      <Reference URI="/xl/worksheets/sheet6.xml?ContentType=application/vnd.openxmlformats-officedocument.spreadsheetml.worksheet+xml">
        <DigestMethod Algorithm="http://www.w3.org/2001/04/xmlenc#sha256"/>
        <DigestValue>CCmfWceezRUJ6u7ldfVJ2YphX7oAOPZp/+siLPhCCIE=</DigestValue>
      </Reference>
    </Manifest>
    <SignatureProperties>
      <SignatureProperty Id="idSignatureTime" Target="#idPackageSignature">
        <mdssi:SignatureTime xmlns:mdssi="http://schemas.openxmlformats.org/package/2006/digital-signature">
          <mdssi:Format>YYYY-MM-DDThh:mm:ssTZD</mdssi:Format>
          <mdssi:Value>2025-01-07T06:31:13Z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2025-01-07T06:31:13Z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2025-01-07T06:31:10Z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