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7.Jul\06.07\"/>
    </mc:Choice>
  </mc:AlternateContent>
  <xr:revisionPtr revIDLastSave="0" documentId="13_ncr:1_{3E962366-464C-45BD-A9BB-20EC44386BD2}" xr6:coauthVersionLast="47" xr6:coauthVersionMax="47" xr10:uidLastSave="{00000000-0000-0000-0000-000000000000}"/>
  <bookViews>
    <workbookView xWindow="20" yWindow="620" windowWidth="19180" windowHeight="1018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INDEX(LogoFMS!$C$3:$C$71,MATCH(LogoFMS!$D$1,LogoFMS!$A$3:$A$71,0))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2" l="1"/>
  <c r="C13" i="42"/>
  <c r="C12" i="42"/>
  <c r="C11" i="42"/>
  <c r="C10" i="42"/>
  <c r="C9" i="42"/>
  <c r="C8" i="42"/>
  <c r="C7" i="42"/>
  <c r="A5" i="42"/>
</calcChain>
</file>

<file path=xl/sharedStrings.xml><?xml version="1.0" encoding="utf-8"?>
<sst xmlns="http://schemas.openxmlformats.org/spreadsheetml/2006/main" count="1787" uniqueCount="1386">
  <si>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</si>
  <si>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</si>
  <si>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</si>
  <si>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</si>
  <si>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</si>
  <si>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</si>
  <si>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</si>
  <si>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</si>
  <si>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</si>
  <si>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</si>
  <si>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</si>
  <si>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</si>
  <si>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</si>
  <si>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</si>
  <si>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</si>
  <si>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</si>
  <si>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</si>
  <si>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</si>
  <si>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</si>
  <si>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</si>
  <si>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</si>
  <si>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</si>
  <si>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</si>
  <si>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</si>
  <si>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</si>
  <si>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</si>
  <si>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</si>
  <si>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</si>
  <si>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</si>
  <si>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</si>
  <si>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</si>
  <si>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</si>
  <si>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</si>
  <si>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</si>
  <si>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</si>
  <si>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</si>
  <si>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</si>
  <si>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</si>
  <si>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</si>
  <si>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</si>
  <si>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</si>
  <si>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</si>
  <si>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</si>
  <si>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</si>
  <si>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</si>
  <si>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</si>
  <si>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</si>
  <si>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</si>
  <si>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</si>
  <si>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</si>
  <si>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</si>
  <si>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</si>
  <si>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</si>
  <si>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</si>
  <si>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</si>
  <si>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</si>
  <si>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</si>
  <si>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</si>
  <si>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</si>
  <si>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</si>
  <si>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</si>
  <si>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</si>
  <si>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</si>
  <si>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</si>
  <si>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</si>
  <si>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</si>
  <si>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</si>
  <si>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</si>
  <si>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</si>
  <si>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</si>
  <si>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</si>
  <si>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</si>
  <si>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</si>
  <si>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</si>
  <si>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</si>
  <si>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</si>
  <si>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</si>
  <si>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</si>
  <si>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</si>
  <si>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</si>
  <si>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</si>
  <si>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</si>
  <si>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</si>
  <si>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</si>
  <si>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</si>
  <si>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</si>
  <si>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</si>
  <si>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</si>
  <si>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</si>
  <si>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</si>
  <si>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</si>
  <si>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</si>
  <si>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</si>
  <si>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</si>
  <si>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</si>
  <si>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</si>
  <si>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</si>
  <si>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</si>
  <si>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</si>
  <si>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</si>
  <si>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</si>
  <si>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</si>
  <si>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</si>
  <si>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</si>
  <si>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</si>
  <si>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</si>
  <si>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</si>
  <si>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</si>
  <si>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</si>
  <si>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</si>
  <si>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</si>
  <si>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</si>
  <si>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</si>
  <si>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</si>
  <si>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</si>
  <si>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</si>
  <si>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</si>
  <si>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</si>
  <si>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</si>
  <si>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</si>
  <si>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</si>
  <si>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</si>
  <si>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</si>
  <si>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</si>
  <si>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</si>
  <si>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</si>
  <si>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</si>
  <si>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</si>
  <si>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</si>
  <si>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</si>
  <si>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</si>
  <si>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</si>
  <si>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</si>
  <si>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</si>
  <si>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</si>
  <si>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</si>
  <si>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</si>
  <si>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</si>
  <si>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</si>
  <si>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</si>
  <si>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</si>
  <si>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</si>
  <si>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</si>
  <si>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</si>
  <si>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</si>
  <si>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</si>
  <si>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</si>
  <si>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</si>
  <si>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</si>
  <si>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</si>
  <si>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</si>
  <si>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</si>
  <si>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</si>
  <si>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</si>
  <si>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</si>
  <si>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</si>
  <si>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</si>
  <si>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</si>
  <si>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</si>
  <si>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</si>
  <si>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</si>
  <si>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</si>
  <si>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</si>
  <si>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</si>
  <si>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</si>
  <si>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</si>
  <si>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</si>
  <si>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</si>
  <si>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</si>
  <si>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</si>
  <si>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</si>
  <si>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</si>
  <si>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</si>
  <si>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</si>
  <si>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</si>
  <si>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</si>
  <si>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</si>
  <si>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</si>
  <si>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</si>
  <si>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</si>
  <si>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</si>
  <si>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</si>
  <si>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</si>
  <si>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</si>
  <si>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</si>
  <si>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</si>
  <si>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</si>
  <si>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</si>
  <si>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</si>
  <si>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</si>
  <si>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</si>
  <si>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</si>
  <si>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</si>
  <si>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</si>
  <si>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</si>
  <si>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</si>
  <si>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</si>
  <si>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</si>
  <si>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</si>
  <si>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</si>
  <si>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</si>
  <si>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</si>
  <si>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</si>
  <si>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</si>
  <si>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</si>
  <si>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</si>
  <si>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</si>
  <si>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</si>
  <si>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</si>
  <si>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</si>
  <si>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</si>
  <si>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</si>
  <si>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</si>
  <si>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</si>
  <si>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</si>
  <si>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</si>
  <si>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</si>
  <si>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</si>
  <si>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</si>
  <si>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</si>
  <si>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</si>
  <si>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</si>
  <si>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</si>
  <si>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</si>
  <si>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</si>
  <si>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</si>
  <si>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</si>
  <si>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</si>
  <si>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</si>
  <si>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</si>
  <si>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</si>
  <si>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</si>
  <si>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</si>
  <si>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</si>
  <si>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</si>
  <si>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</si>
  <si>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</si>
  <si>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</si>
  <si>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</si>
  <si>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</si>
  <si>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</si>
  <si>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</si>
  <si>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</si>
  <si>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</si>
  <si>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</si>
  <si>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</si>
  <si>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</si>
  <si>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</si>
  <si>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</si>
  <si>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</si>
  <si>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</si>
  <si>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</si>
  <si>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</si>
  <si>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</si>
  <si>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</si>
  <si>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</si>
  <si>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</si>
  <si>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</si>
  <si>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</si>
  <si>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</si>
  <si>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</si>
  <si>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</si>
  <si>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</si>
  <si>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</si>
  <si>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</si>
  <si>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</si>
  <si>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</si>
  <si>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</si>
  <si>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</si>
  <si>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</si>
  <si>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</si>
  <si>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</si>
  <si>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</si>
  <si>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</si>
  <si>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</si>
  <si>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</si>
  <si>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</si>
  <si>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</si>
  <si>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</si>
  <si>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</si>
  <si>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</si>
  <si>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</si>
  <si>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</si>
  <si>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</si>
  <si>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</si>
  <si>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</si>
  <si>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</si>
  <si>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</si>
  <si>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</si>
  <si>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</si>
  <si>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</si>
  <si>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</si>
  <si>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</si>
  <si>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</si>
  <si>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</si>
  <si>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</si>
  <si>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</si>
  <si>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</si>
  <si>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</si>
  <si>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</si>
  <si>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</si>
  <si>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</si>
  <si>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</si>
  <si>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</si>
  <si>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</si>
  <si>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</si>
  <si>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</si>
  <si>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</si>
  <si>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</si>
  <si>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</si>
  <si>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</si>
  <si>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</si>
  <si>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</si>
  <si>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</si>
  <si>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</si>
  <si>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</si>
  <si>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</si>
  <si>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</si>
  <si>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</si>
  <si>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</si>
  <si>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</si>
  <si>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</si>
  <si>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</si>
  <si>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</si>
  <si>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</si>
  <si>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</si>
  <si>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</si>
  <si>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</si>
  <si>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</si>
  <si>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</si>
  <si>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</si>
  <si>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</si>
  <si>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</si>
  <si>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</si>
  <si>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</si>
  <si>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</si>
  <si>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</si>
  <si>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</si>
  <si>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</si>
  <si>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</si>
  <si>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</si>
  <si>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</si>
  <si>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</si>
  <si>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</si>
  <si>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</si>
  <si>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</si>
  <si>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</si>
  <si>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</si>
  <si>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</si>
  <si>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</si>
  <si>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</si>
  <si>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</si>
  <si>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</si>
  <si>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</si>
  <si>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</si>
  <si>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</si>
  <si>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</si>
  <si>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</si>
  <si>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</si>
  <si>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</si>
  <si>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</si>
  <si>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</si>
  <si>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</si>
  <si>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</si>
  <si>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</si>
  <si>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</si>
  <si>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</si>
  <si>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</si>
  <si>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</si>
  <si>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</si>
  <si>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</si>
  <si>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</si>
  <si>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</si>
  <si>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</si>
  <si>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</si>
  <si>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</si>
  <si>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</si>
  <si>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</si>
  <si>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</si>
  <si>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</si>
  <si>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</si>
  <si>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</si>
  <si>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</si>
  <si>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</si>
  <si>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</si>
  <si>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</si>
  <si>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</si>
  <si>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</si>
  <si>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</si>
  <si>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</si>
  <si>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</si>
  <si>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</si>
  <si>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</si>
  <si>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</si>
  <si>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</si>
  <si>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</si>
  <si>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</si>
  <si>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</si>
  <si>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</si>
  <si>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</si>
  <si>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</si>
  <si>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</si>
  <si>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</si>
  <si>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</si>
  <si>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</si>
  <si>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</si>
  <si>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</si>
  <si>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</si>
  <si>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</si>
  <si>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</si>
  <si>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</si>
  <si>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</si>
  <si>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</si>
  <si>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</si>
  <si>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</si>
  <si>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</si>
  <si>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</si>
  <si>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</si>
  <si>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</si>
  <si>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</si>
  <si>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</si>
  <si>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</si>
  <si>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</si>
  <si>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</si>
  <si>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</si>
  <si>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</si>
  <si>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</si>
  <si>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</si>
  <si>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</si>
  <si>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</si>
  <si>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</si>
  <si>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</si>
  <si>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</si>
  <si>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</si>
  <si>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</si>
  <si>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</si>
  <si>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</si>
  <si>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</si>
  <si>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</si>
  <si>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</si>
  <si>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</si>
  <si>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</si>
  <si>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</si>
  <si>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</si>
  <si>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</si>
  <si>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</si>
  <si>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</si>
  <si>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</si>
  <si>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</si>
  <si>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</si>
  <si>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</si>
  <si>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</si>
  <si>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</si>
  <si>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</si>
  <si>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</si>
  <si>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</si>
  <si>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</si>
  <si>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</si>
  <si>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</si>
  <si>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</si>
  <si>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</si>
  <si>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</si>
  <si>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</si>
  <si>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</si>
  <si>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</si>
  <si>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</si>
  <si>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</si>
  <si>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</si>
  <si>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</si>
  <si>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</si>
  <si>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</si>
  <si>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</si>
  <si>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</si>
  <si>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</si>
  <si>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</si>
  <si>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</si>
  <si>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</si>
  <si>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</si>
  <si>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</si>
  <si>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</si>
  <si>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</si>
  <si>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</si>
  <si>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</si>
  <si>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</si>
  <si>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</si>
  <si>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</si>
  <si>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</si>
  <si>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</si>
  <si>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</si>
  <si>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</si>
  <si>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</si>
  <si>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</si>
  <si>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</si>
  <si>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</si>
  <si>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</si>
  <si>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</si>
  <si>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</si>
  <si>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</si>
  <si>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</si>
  <si>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</si>
  <si>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</si>
  <si>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</si>
  <si>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</si>
  <si>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</si>
  <si>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</si>
  <si>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</si>
  <si>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</si>
  <si>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</si>
  <si>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</si>
  <si>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</si>
  <si>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</si>
  <si>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</si>
  <si>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</si>
  <si>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</si>
  <si>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</si>
  <si>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</si>
  <si>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</si>
  <si>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</si>
  <si>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</si>
  <si>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</si>
  <si>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</si>
  <si>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</si>
  <si>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</si>
  <si>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</si>
  <si>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</si>
  <si>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</si>
  <si>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</si>
  <si>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</si>
  <si>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</si>
  <si>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</si>
  <si>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</si>
  <si>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</si>
  <si>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</si>
  <si>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</si>
  <si>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</si>
  <si>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</si>
  <si>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</si>
  <si>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</si>
  <si>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</si>
  <si>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</si>
  <si>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</si>
  <si>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</si>
  <si>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</si>
  <si>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</si>
  <si>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</si>
  <si>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</si>
  <si>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</si>
  <si>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</si>
  <si>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</si>
  <si>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</si>
  <si>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</si>
  <si>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</si>
  <si>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</si>
  <si>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</si>
  <si>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</si>
  <si>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</si>
  <si>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</si>
  <si>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</si>
  <si>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</si>
  <si>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</si>
  <si>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</si>
  <si>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</si>
  <si>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</si>
  <si>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</si>
  <si>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</si>
  <si>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</si>
  <si>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</si>
  <si>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</si>
  <si>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</si>
  <si>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</si>
  <si>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</si>
  <si>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</si>
  <si>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</si>
  <si>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</si>
  <si>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</si>
  <si>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</si>
  <si>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</si>
  <si>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</si>
  <si>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</si>
  <si>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</si>
  <si>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</si>
  <si>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</si>
  <si>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</si>
  <si>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</si>
  <si>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</si>
  <si>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</si>
  <si>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</si>
  <si>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</si>
  <si>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</si>
  <si>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</si>
  <si>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</si>
  <si>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</si>
  <si>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</si>
  <si>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</si>
  <si>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</si>
  <si>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</si>
  <si>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</si>
  <si>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</si>
  <si>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</si>
  <si>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</si>
  <si>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</si>
  <si>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</si>
  <si>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</si>
  <si>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</si>
  <si>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</si>
  <si>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</si>
  <si>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</si>
  <si>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</si>
  <si>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</si>
  <si>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</si>
  <si>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</si>
  <si>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</si>
  <si>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</si>
  <si>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</si>
  <si>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</si>
  <si>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</si>
  <si>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</si>
  <si>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</si>
  <si>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</si>
  <si>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</si>
  <si>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</si>
  <si>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</si>
  <si>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</si>
  <si>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</si>
  <si>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</si>
  <si>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</si>
  <si>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</si>
  <si>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</si>
  <si>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</si>
  <si>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</si>
  <si>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</si>
  <si>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</si>
  <si>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</si>
  <si>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</si>
  <si>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</si>
  <si>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</si>
  <si>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</si>
  <si>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</si>
  <si>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</si>
  <si>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</si>
  <si>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</si>
  <si>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</si>
  <si>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</si>
  <si>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</si>
  <si>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</si>
  <si>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</si>
  <si>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</si>
  <si>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</si>
  <si>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</si>
  <si>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</si>
  <si>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</si>
  <si>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</si>
  <si>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</si>
  <si>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</si>
  <si>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</si>
  <si>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</si>
  <si>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</si>
  <si>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</si>
  <si>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</si>
  <si>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</si>
  <si>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</si>
  <si>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</si>
  <si>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</si>
  <si>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</si>
  <si>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</si>
  <si>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</si>
  <si>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</si>
  <si>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</si>
  <si>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</si>
  <si>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</si>
  <si>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</si>
  <si>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</si>
  <si>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</si>
  <si>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</si>
  <si>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</si>
  <si>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</si>
  <si>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</si>
  <si>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</si>
  <si>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</si>
  <si>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</si>
  <si>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</si>
  <si>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</si>
  <si>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</si>
  <si>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</si>
  <si>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</si>
  <si>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</si>
  <si>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</si>
  <si>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</si>
  <si>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</si>
  <si>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</si>
  <si>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</si>
  <si>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</si>
  <si>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</si>
  <si>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</si>
  <si>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</si>
  <si>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</si>
  <si>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</si>
  <si>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</si>
  <si>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</si>
  <si>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</si>
  <si>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</si>
  <si>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</si>
  <si>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</si>
  <si>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</si>
  <si>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</si>
  <si>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</si>
  <si>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</si>
  <si>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</si>
  <si>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</si>
  <si>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</si>
  <si>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</si>
  <si>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</si>
  <si>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</si>
  <si>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</si>
  <si>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</si>
  <si>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</si>
  <si>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</si>
  <si>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</si>
  <si>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</si>
  <si>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</si>
  <si>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</si>
  <si>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</si>
  <si>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</si>
  <si>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</si>
  <si>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</si>
  <si>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</si>
  <si>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</si>
  <si>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</si>
  <si>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</si>
  <si>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</si>
  <si>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</si>
  <si>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</si>
  <si>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BSI</t>
  </si>
  <si>
    <t>2246.3</t>
  </si>
  <si>
    <t>4</t>
  </si>
  <si>
    <t>C4G</t>
  </si>
  <si>
    <t>2246.4</t>
  </si>
  <si>
    <t>5</t>
  </si>
  <si>
    <t>CII</t>
  </si>
  <si>
    <t>2246.5</t>
  </si>
  <si>
    <t>6</t>
  </si>
  <si>
    <t>CTG</t>
  </si>
  <si>
    <t>2246.6</t>
  </si>
  <si>
    <t>7</t>
  </si>
  <si>
    <t>CTR</t>
  </si>
  <si>
    <t>2246.7</t>
  </si>
  <si>
    <t>8</t>
  </si>
  <si>
    <t>DCM</t>
  </si>
  <si>
    <t>2246.8</t>
  </si>
  <si>
    <t>9</t>
  </si>
  <si>
    <t>DGC</t>
  </si>
  <si>
    <t>2246.9</t>
  </si>
  <si>
    <t>10</t>
  </si>
  <si>
    <t>DGW</t>
  </si>
  <si>
    <t>2246.10</t>
  </si>
  <si>
    <t>11</t>
  </si>
  <si>
    <t>DHC</t>
  </si>
  <si>
    <t>2246.11</t>
  </si>
  <si>
    <t>12</t>
  </si>
  <si>
    <t>DIG</t>
  </si>
  <si>
    <t>2246.12</t>
  </si>
  <si>
    <t>13</t>
  </si>
  <si>
    <t>DPG</t>
  </si>
  <si>
    <t>2246.13</t>
  </si>
  <si>
    <t>14</t>
  </si>
  <si>
    <t>DXG</t>
  </si>
  <si>
    <t>2246.14</t>
  </si>
  <si>
    <t>15</t>
  </si>
  <si>
    <t>EIB</t>
  </si>
  <si>
    <t>2246.15</t>
  </si>
  <si>
    <t>16</t>
  </si>
  <si>
    <t>FPT</t>
  </si>
  <si>
    <t>2246.16</t>
  </si>
  <si>
    <t>17</t>
  </si>
  <si>
    <t>FRT</t>
  </si>
  <si>
    <t>2246.17</t>
  </si>
  <si>
    <t>18</t>
  </si>
  <si>
    <t>FTS</t>
  </si>
  <si>
    <t>2246.18</t>
  </si>
  <si>
    <t>19</t>
  </si>
  <si>
    <t>GEX</t>
  </si>
  <si>
    <t>2246.19</t>
  </si>
  <si>
    <t>20</t>
  </si>
  <si>
    <t>HAH</t>
  </si>
  <si>
    <t>2246.20</t>
  </si>
  <si>
    <t>21</t>
  </si>
  <si>
    <t>HDC</t>
  </si>
  <si>
    <t>2246.21</t>
  </si>
  <si>
    <t>22</t>
  </si>
  <si>
    <t>HDG</t>
  </si>
  <si>
    <t>2246.22</t>
  </si>
  <si>
    <t>23</t>
  </si>
  <si>
    <t>HHV</t>
  </si>
  <si>
    <t>2246.23</t>
  </si>
  <si>
    <t>24</t>
  </si>
  <si>
    <t>HPG</t>
  </si>
  <si>
    <t>2246.24</t>
  </si>
  <si>
    <t>25</t>
  </si>
  <si>
    <t>HSG</t>
  </si>
  <si>
    <t>2246.25</t>
  </si>
  <si>
    <t>26</t>
  </si>
  <si>
    <t>IDC</t>
  </si>
  <si>
    <t>2246.26</t>
  </si>
  <si>
    <t>27</t>
  </si>
  <si>
    <t>KBC</t>
  </si>
  <si>
    <t>2246.27</t>
  </si>
  <si>
    <t>28</t>
  </si>
  <si>
    <t>KDH</t>
  </si>
  <si>
    <t>2246.28</t>
  </si>
  <si>
    <t>29</t>
  </si>
  <si>
    <t>MBB</t>
  </si>
  <si>
    <t>2246.29</t>
  </si>
  <si>
    <t>30</t>
  </si>
  <si>
    <t>MSN</t>
  </si>
  <si>
    <t>2246.30</t>
  </si>
  <si>
    <t>31</t>
  </si>
  <si>
    <t>MWG</t>
  </si>
  <si>
    <t>2246.31</t>
  </si>
  <si>
    <t>32</t>
  </si>
  <si>
    <t>NKG</t>
  </si>
  <si>
    <t>2246.32</t>
  </si>
  <si>
    <t>33</t>
  </si>
  <si>
    <t>NLG</t>
  </si>
  <si>
    <t>2246.33</t>
  </si>
  <si>
    <t>34</t>
  </si>
  <si>
    <t>PDR</t>
  </si>
  <si>
    <t>2246.34</t>
  </si>
  <si>
    <t>35</t>
  </si>
  <si>
    <t>PET</t>
  </si>
  <si>
    <t>2246.35</t>
  </si>
  <si>
    <t>36</t>
  </si>
  <si>
    <t>PNJ</t>
  </si>
  <si>
    <t>2246.36</t>
  </si>
  <si>
    <t>37</t>
  </si>
  <si>
    <t>PTB</t>
  </si>
  <si>
    <t>2246.37</t>
  </si>
  <si>
    <t>38</t>
  </si>
  <si>
    <t>PVD</t>
  </si>
  <si>
    <t>2246.38</t>
  </si>
  <si>
    <t>39</t>
  </si>
  <si>
    <t>PVS</t>
  </si>
  <si>
    <t>2246.39</t>
  </si>
  <si>
    <t>40</t>
  </si>
  <si>
    <t>QNS</t>
  </si>
  <si>
    <t>2246.40</t>
  </si>
  <si>
    <t>41</t>
  </si>
  <si>
    <t>SHB</t>
  </si>
  <si>
    <t>2246.41</t>
  </si>
  <si>
    <t>42</t>
  </si>
  <si>
    <t>SKG</t>
  </si>
  <si>
    <t>2246.42</t>
  </si>
  <si>
    <t>43</t>
  </si>
  <si>
    <t>SSI</t>
  </si>
  <si>
    <t>2246.43</t>
  </si>
  <si>
    <t>44</t>
  </si>
  <si>
    <t>STB</t>
  </si>
  <si>
    <t>2246.44</t>
  </si>
  <si>
    <t>45</t>
  </si>
  <si>
    <t>SZC</t>
  </si>
  <si>
    <t>2246.45</t>
  </si>
  <si>
    <t>46</t>
  </si>
  <si>
    <t>TCB</t>
  </si>
  <si>
    <t>2246.46</t>
  </si>
  <si>
    <t>47</t>
  </si>
  <si>
    <t>TNG</t>
  </si>
  <si>
    <t>2246.47</t>
  </si>
  <si>
    <t>48</t>
  </si>
  <si>
    <t>TPB</t>
  </si>
  <si>
    <t>2246.48</t>
  </si>
  <si>
    <t>49</t>
  </si>
  <si>
    <t>VCB</t>
  </si>
  <si>
    <t>2246.49</t>
  </si>
  <si>
    <t>50</t>
  </si>
  <si>
    <t>VCI</t>
  </si>
  <si>
    <t>2246.50</t>
  </si>
  <si>
    <t>51</t>
  </si>
  <si>
    <t>VDS</t>
  </si>
  <si>
    <t>2246.51</t>
  </si>
  <si>
    <t>52</t>
  </si>
  <si>
    <t>VGC</t>
  </si>
  <si>
    <t>2246.52</t>
  </si>
  <si>
    <t>53</t>
  </si>
  <si>
    <t>VHC</t>
  </si>
  <si>
    <t>2246.53</t>
  </si>
  <si>
    <t>54</t>
  </si>
  <si>
    <t>VHM</t>
  </si>
  <si>
    <t>2246.54</t>
  </si>
  <si>
    <t>55</t>
  </si>
  <si>
    <t>VIB</t>
  </si>
  <si>
    <t>2246.55</t>
  </si>
  <si>
    <t>56</t>
  </si>
  <si>
    <t>VIX</t>
  </si>
  <si>
    <t>2246.56</t>
  </si>
  <si>
    <t>57</t>
  </si>
  <si>
    <t>VND</t>
  </si>
  <si>
    <t>2246.57</t>
  </si>
  <si>
    <t>58</t>
  </si>
  <si>
    <t>VNM</t>
  </si>
  <si>
    <t>2246.58</t>
  </si>
  <si>
    <t>59</t>
  </si>
  <si>
    <t>VPB</t>
  </si>
  <si>
    <t>2246.59</t>
  </si>
  <si>
    <t>60</t>
  </si>
  <si>
    <t>VTP</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</si>
  <si>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</si>
  <si>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</si>
  <si>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</si>
  <si>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</si>
  <si>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</si>
  <si>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</si>
  <si>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</si>
  <si>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</si>
  <si>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</si>
  <si>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</si>
  <si>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</si>
  <si>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</si>
  <si>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</si>
  <si>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</si>
  <si>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</si>
  <si>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</si>
  <si>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</si>
  <si>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</si>
  <si>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PDR BOND 12 PCT 02 DEC 2023</t>
  </si>
  <si>
    <t>2251.2.1</t>
  </si>
  <si>
    <t>2.2</t>
  </si>
  <si>
    <t>PHAT DAT REAL ESTATE 13% 24/09/2023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</si>
  <si>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</si>
  <si>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</si>
  <si>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</si>
  <si>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</si>
  <si>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</si>
  <si>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</si>
  <si>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</si>
  <si>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</si>
  <si>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</si>
  <si>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</si>
  <si>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</si>
  <si>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</si>
  <si>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</si>
  <si>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</si>
  <si>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</si>
  <si>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</si>
  <si>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</si>
  <si>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</si>
  <si>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</si>
  <si>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</si>
  <si>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</si>
  <si>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</si>
  <si>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</si>
  <si>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</si>
  <si>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</si>
  <si>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</si>
  <si>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</si>
  <si>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</si>
  <si>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</si>
  <si>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</si>
  <si>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</si>
  <si>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</si>
  <si>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</si>
  <si>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</si>
  <si>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</si>
  <si>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</si>
  <si>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</si>
  <si>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</si>
  <si>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</si>
  <si>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</si>
  <si>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</si>
  <si>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</si>
  <si>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</si>
  <si>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</si>
  <si>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</si>
  <si>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</si>
  <si>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</si>
  <si>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</si>
  <si>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</si>
  <si>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</si>
  <si>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</si>
  <si>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</si>
  <si>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</si>
  <si>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</si>
  <si>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</si>
  <si>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</si>
  <si>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</si>
  <si>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</si>
  <si>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</si>
  <si>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</si>
  <si>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</si>
  <si>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</si>
  <si>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</si>
  <si>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</si>
  <si>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</si>
  <si>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</si>
  <si>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</si>
  <si>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</si>
  <si>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</si>
  <si>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</si>
  <si>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</si>
  <si>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</si>
  <si>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</si>
  <si>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</si>
  <si>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</si>
  <si>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</si>
  <si>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</si>
  <si>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</si>
  <si>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</si>
  <si>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</si>
  <si>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</si>
  <si>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</si>
  <si>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</si>
  <si>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</si>
  <si>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</si>
  <si>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</si>
  <si>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</si>
  <si>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</si>
  <si>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</si>
  <si>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</si>
  <si>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</si>
  <si>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</si>
  <si>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</si>
  <si>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</si>
  <si>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</si>
  <si>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</si>
  <si>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</si>
  <si>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</si>
  <si>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</si>
  <si>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</si>
  <si>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</si>
  <si>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</si>
  <si>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</si>
  <si>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</si>
  <si>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</si>
  <si>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</si>
  <si>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</si>
  <si>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</si>
  <si>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</si>
  <si>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</si>
  <si>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</si>
  <si>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</si>
  <si>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</si>
  <si>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</si>
  <si>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</si>
  <si>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</si>
  <si>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</si>
  <si>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</si>
  <si>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</si>
  <si>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</si>
  <si>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</si>
  <si>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</si>
  <si>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</si>
  <si>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</si>
  <si>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</si>
  <si>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</si>
  <si>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</si>
  <si>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</si>
  <si>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</si>
  <si>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</si>
  <si>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</si>
  <si>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</si>
  <si>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</si>
  <si>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</si>
  <si>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</si>
  <si>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</si>
  <si>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</si>
  <si>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</si>
  <si>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</si>
  <si>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</si>
  <si>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</si>
  <si>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</si>
  <si>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</si>
  <si>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</si>
  <si>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</si>
  <si>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</si>
  <si>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</si>
  <si>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</si>
  <si>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</si>
  <si>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</si>
  <si>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</si>
  <si>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</si>
  <si>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</si>
  <si>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</si>
  <si>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</si>
  <si>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</si>
  <si>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</si>
  <si>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</si>
  <si>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</si>
  <si>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</si>
  <si>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</si>
  <si>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</si>
  <si>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</si>
  <si>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</si>
  <si>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</si>
  <si>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</si>
  <si>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</si>
  <si>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</si>
  <si>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</si>
  <si>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</si>
  <si>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</si>
  <si>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</si>
  <si>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</si>
  <si>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</si>
  <si>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</si>
  <si>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</si>
  <si>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</si>
  <si>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</si>
  <si>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</si>
  <si>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</si>
  <si>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</si>
  <si>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</si>
  <si>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</si>
  <si>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</si>
  <si>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</si>
  <si>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</si>
  <si>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</si>
  <si>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</si>
  <si>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</si>
  <si>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</si>
  <si>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</si>
  <si>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</si>
  <si>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</si>
  <si>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</si>
  <si>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</si>
  <si>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</si>
  <si>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</si>
  <si>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</si>
  <si>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</si>
  <si>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</si>
  <si>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</si>
  <si>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</si>
  <si>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</si>
  <si>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</si>
  <si>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</si>
  <si>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</si>
  <si>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</si>
  <si>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</si>
  <si>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</si>
  <si>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</si>
  <si>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</si>
  <si>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</si>
  <si>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</si>
  <si>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</si>
  <si>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</si>
  <si>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</si>
  <si>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</si>
  <si>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</si>
  <si>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</si>
  <si>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</si>
  <si>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</si>
  <si>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</si>
  <si>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</si>
  <si>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</si>
  <si>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</si>
  <si>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</si>
  <si>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</si>
  <si>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</si>
  <si>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</si>
  <si>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</si>
  <si>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</si>
  <si>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</si>
  <si>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</si>
  <si>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</si>
  <si>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</si>
  <si>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</si>
  <si>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</si>
  <si>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</si>
  <si>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</si>
  <si>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</si>
  <si>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</si>
  <si>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</si>
  <si>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</si>
  <si>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</si>
  <si>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</si>
  <si>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</si>
  <si>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</si>
  <si>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</si>
  <si>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</si>
  <si>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</si>
  <si>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</si>
  <si>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</si>
  <si>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</si>
  <si>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</si>
  <si>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</si>
  <si>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</si>
  <si>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</si>
  <si>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</si>
  <si>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</si>
  <si>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</si>
  <si>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</si>
  <si>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</si>
  <si>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</si>
  <si>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</si>
  <si>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</si>
  <si>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</si>
  <si>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</si>
  <si>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</si>
  <si>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</si>
  <si>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</si>
  <si>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</si>
  <si>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</si>
  <si>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</si>
  <si>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</si>
  <si>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</si>
  <si>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</si>
  <si>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</si>
  <si>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</si>
  <si>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</si>
  <si>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</si>
  <si>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</si>
  <si>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</si>
  <si>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</si>
  <si>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</si>
  <si>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</si>
  <si>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</si>
  <si>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</si>
  <si>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</si>
  <si>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</si>
  <si>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</si>
  <si>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</si>
  <si>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</si>
  <si>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</si>
  <si>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</si>
  <si>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</si>
  <si>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</si>
  <si>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</si>
  <si>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</si>
  <si>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</si>
  <si>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</si>
  <si>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</si>
  <si>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</si>
  <si>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</si>
  <si>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</si>
  <si>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</si>
  <si>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</si>
  <si>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</si>
  <si>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</si>
  <si>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</si>
  <si>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</si>
  <si>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</si>
  <si>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</si>
  <si>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</si>
  <si>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</si>
  <si>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</si>
  <si>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</si>
  <si>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</si>
  <si>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</si>
  <si>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</si>
  <si>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</si>
  <si>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</si>
  <si>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</si>
  <si>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</si>
  <si>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</si>
  <si>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</si>
  <si>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</si>
  <si>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</si>
  <si>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</si>
  <si>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</si>
  <si>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</si>
  <si>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</si>
  <si>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</si>
  <si>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</si>
  <si>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</si>
  <si>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</si>
  <si>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</si>
  <si>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</si>
  <si>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</si>
  <si>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</si>
  <si>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</si>
  <si>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</si>
  <si>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</si>
  <si>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</si>
  <si>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</si>
  <si>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</si>
  <si>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</si>
  <si>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</si>
  <si>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</si>
  <si>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</si>
  <si>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</si>
  <si>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</si>
  <si>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</si>
  <si>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</si>
  <si>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</si>
  <si>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</si>
  <si>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</si>
  <si>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</si>
  <si>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</si>
  <si>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</si>
  <si>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</si>
  <si>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</si>
  <si>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</si>
  <si>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</si>
  <si>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</si>
  <si>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</si>
  <si>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</si>
  <si>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</si>
  <si>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</si>
  <si>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</si>
  <si>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</si>
  <si>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</si>
  <si>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</si>
  <si>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</si>
  <si>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</si>
  <si>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</si>
  <si>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</si>
  <si>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</si>
  <si>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</si>
  <si>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</si>
  <si>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</si>
  <si>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</si>
  <si>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</si>
  <si>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</si>
  <si>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</si>
  <si>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</si>
  <si>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</si>
  <si>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</si>
  <si>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</si>
  <si>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</si>
  <si>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</si>
  <si>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</si>
  <si>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</si>
  <si>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</si>
  <si>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</si>
  <si>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</si>
  <si>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</si>
  <si>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</si>
  <si>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</si>
  <si>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</si>
  <si>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</si>
  <si>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</si>
  <si>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</si>
  <si>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</si>
  <si>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</si>
  <si>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</si>
  <si>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</si>
  <si>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</si>
  <si>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</si>
  <si>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</si>
  <si>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</si>
  <si>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</si>
  <si>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</si>
  <si>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</si>
  <si>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</si>
  <si>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</si>
  <si>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</si>
  <si>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</si>
  <si>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</si>
  <si>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</si>
  <si>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</si>
  <si>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</si>
  <si>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</si>
  <si>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</si>
  <si>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</si>
  <si>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</si>
  <si>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</si>
  <si>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</si>
  <si>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</si>
  <si>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</si>
  <si>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</si>
  <si>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</si>
  <si>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</si>
  <si>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</si>
  <si>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</si>
  <si>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</si>
  <si>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Tháng 06 năm 2023
/ Jun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</si>
  <si>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</si>
  <si>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</si>
  <si>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</si>
  <si>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</si>
  <si>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07 năm 2023</t>
  </si>
  <si>
    <t>04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</si>
  <si>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</si>
  <si>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</si>
  <si>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</si>
  <si>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</si>
  <si>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</si>
  <si>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05 năm 2023
 As at 31 May 2023</t>
  </si>
  <si>
    <t>Tháng 06 năm 2023
Jun 2023</t>
  </si>
  <si>
    <t>Tháng 05 năm 2023
May 2023</t>
  </si>
  <si>
    <t>Năm 2023
Year 2023</t>
  </si>
  <si>
    <t>Năm 2022
Year 2022</t>
  </si>
  <si>
    <t>Tháng 06 năm 2022
Jun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</si>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</sst>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2122714</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6"/>
                </a:ext>
              </a:extLst>
            </xdr:cNvPicPr>
          </xdr:nvPicPr>
          <xdr:blipFill>
            <a:blip xmlns:r="http://schemas.openxmlformats.org/officeDocument/2006/relationships" r:embed="rId1"/>
            <a:srcRect/>
            <a:stretch>
              <a:fillRect/>
            </a:stretch>
          </xdr:blipFill>
          <xdr:spPr bwMode="auto">
            <a:xfrm>
              <a:off x="0" y="0"/>
              <a:ext cx="2122714" cy="747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1872343</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3"/>
                </a:ext>
              </a:extLst>
            </xdr:cNvPicPr>
          </xdr:nvPicPr>
          <xdr:blipFill>
            <a:blip xmlns:r="http://schemas.openxmlformats.org/officeDocument/2006/relationships" r:embed="rId1"/>
            <a:srcRect/>
            <a:stretch>
              <a:fillRect/>
            </a:stretch>
          </xdr:blipFill>
          <xdr:spPr bwMode="auto">
            <a:xfrm>
              <a:off x="0" y="0"/>
              <a:ext cx="2373086"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1426029</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1"/>
                </a:ext>
              </a:extLst>
            </xdr:cNvPicPr>
          </xdr:nvPicPr>
          <xdr:blipFill>
            <a:blip xmlns:r="http://schemas.openxmlformats.org/officeDocument/2006/relationships" r:embed="rId1"/>
            <a:srcRect/>
            <a:stretch>
              <a:fillRect/>
            </a:stretch>
          </xdr:blipFill>
          <xdr:spPr bwMode="auto">
            <a:xfrm>
              <a:off x="57150" y="0"/>
              <a:ext cx="1967593"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1328057</xdr:colOff>
          <xdr:row>1</xdr:row>
          <xdr:rowOff>10886</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1"/>
                </a:ext>
              </a:extLst>
            </xdr:cNvPicPr>
          </xdr:nvPicPr>
          <xdr:blipFill>
            <a:blip xmlns:r="http://schemas.openxmlformats.org/officeDocument/2006/relationships" r:embed="rId1"/>
            <a:srcRect/>
            <a:stretch>
              <a:fillRect/>
            </a:stretch>
          </xdr:blipFill>
          <xdr:spPr bwMode="auto">
            <a:xfrm>
              <a:off x="0" y="0"/>
              <a:ext cx="1948543" cy="56605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1905000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0"/>
                </a:ext>
              </a:extLst>
            </xdr:cNvPicPr>
          </xdr:nvPicPr>
          <xdr:blipFill>
            <a:blip xmlns:r="http://schemas.openxmlformats.org/officeDocument/2006/relationships" r:embed="rId1"/>
            <a:srcRect/>
            <a:stretch>
              <a:fillRect/>
            </a:stretch>
          </xdr:blipFill>
          <xdr:spPr bwMode="auto">
            <a:xfrm>
              <a:off x="1" y="0"/>
              <a:ext cx="2503713" cy="7039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1883229</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1"/>
                </a:ext>
              </a:extLst>
            </xdr:cNvPicPr>
          </xdr:nvPicPr>
          <xdr:blipFill>
            <a:blip xmlns:r="http://schemas.openxmlformats.org/officeDocument/2006/relationships" r:embed="rId1"/>
            <a:srcRect/>
            <a:stretch>
              <a:fillRect/>
            </a:stretch>
          </xdr:blipFill>
          <xdr:spPr bwMode="auto">
            <a:xfrm>
              <a:off x="0" y="0"/>
              <a:ext cx="2209800" cy="67307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3" sqref="D13"/>
    </sheetView>
  </sheetViews>
  <sheetFormatPr defaultColWidth="9.1796875" defaultRowHeight="12.5"/>
  <cols>
    <col min="1" max="2" width="9.1796875" style="121"/>
    <col min="3" max="3" width="30.1796875" style="121" customWidth="1"/>
    <col min="4" max="4" width="30.81640625" style="121" customWidth="1"/>
    <col min="5" max="5" width="21.1796875" style="121" customWidth="1"/>
    <col min="6" max="9" width="9.1796875" style="121"/>
    <col min="10" max="10" width="11.81640625" style="121" customWidth="1"/>
    <col min="11" max="11" width="15" style="121" customWidth="1"/>
    <col min="12" max="16384" width="9.1796875" style="121"/>
  </cols>
  <sheetData>
    <row r="1" spans="1:11">
      <c r="A1" s="120" t="s">
        <v>0</v>
      </c>
      <c r="C1" s="196" t="s">
        <v>1360</v>
      </c>
      <c r="D1" s="197"/>
    </row>
    <row r="2" spans="1:11">
      <c r="C2" s="122" t="s">
        <v>1361</v>
      </c>
      <c r="D2" s="123"/>
    </row>
    <row r="3" spans="1:11">
      <c r="D3" s="124"/>
    </row>
    <row r="4" spans="1:11">
      <c r="A4" s="120" t="s">
        <v>1</v>
      </c>
      <c r="D4" s="124"/>
    </row>
    <row r="5" spans="1:11" ht="15" customHeight="1">
      <c r="C5" s="125" t="s">
        <v>2</v>
      </c>
      <c r="D5" s="199" t="s">
        <v>1362</v>
      </c>
      <c r="E5" s="199"/>
      <c r="F5" s="199"/>
      <c r="G5" s="199"/>
      <c r="H5" s="199"/>
      <c r="I5" s="199"/>
    </row>
    <row r="6" spans="1:11">
      <c r="C6" s="115" t="s">
        <v>15</v>
      </c>
      <c r="D6" s="198" t="s">
        <v>1363</v>
      </c>
      <c r="E6" s="198"/>
      <c r="F6" s="198"/>
      <c r="G6" s="198"/>
      <c r="H6" s="198"/>
      <c r="I6" s="198"/>
    </row>
    <row r="7" spans="1:11">
      <c r="C7" s="126" t="s">
        <v>3</v>
      </c>
      <c r="D7" s="199" t="s">
        <v>1364</v>
      </c>
      <c r="E7" s="199"/>
      <c r="F7" s="199"/>
      <c r="G7" s="199"/>
      <c r="H7" s="199"/>
      <c r="I7" s="199"/>
    </row>
    <row r="8" spans="1:11" ht="15" customHeight="1">
      <c r="C8" s="118" t="s">
        <v>4</v>
      </c>
      <c r="D8" s="198" t="s">
        <v>1365</v>
      </c>
      <c r="E8" s="198"/>
      <c r="F8" s="198"/>
      <c r="G8" s="198"/>
      <c r="H8" s="198"/>
      <c r="I8" s="198"/>
    </row>
    <row r="9" spans="1:11" ht="15" customHeight="1">
      <c r="C9" s="126" t="s">
        <v>5</v>
      </c>
      <c r="D9" s="199" t="s">
        <v>702</v>
      </c>
      <c r="E9" s="199"/>
      <c r="F9" s="199"/>
      <c r="G9" s="199"/>
      <c r="H9" s="199"/>
      <c r="I9" s="199"/>
    </row>
    <row r="10" spans="1:11" ht="15" customHeight="1">
      <c r="C10" s="127" t="s">
        <v>6</v>
      </c>
      <c r="D10" s="198" t="s">
        <v>1383</v>
      </c>
      <c r="E10" s="198"/>
      <c r="F10" s="198"/>
      <c r="G10" s="198"/>
      <c r="H10" s="198"/>
      <c r="I10" s="198"/>
    </row>
    <row r="11" spans="1:11">
      <c r="C11" s="128" t="s">
        <v>7</v>
      </c>
      <c r="D11" s="199" t="s">
        <v>1366</v>
      </c>
      <c r="E11" s="199"/>
      <c r="F11" s="199"/>
      <c r="G11" s="199"/>
      <c r="H11" s="199"/>
      <c r="I11" s="199"/>
    </row>
    <row r="12" spans="1:11">
      <c r="C12" s="5" t="s">
        <v>8</v>
      </c>
      <c r="D12" s="198" t="s">
        <v>1367</v>
      </c>
      <c r="E12" s="198"/>
      <c r="F12" s="198"/>
      <c r="G12" s="198"/>
      <c r="H12" s="198"/>
      <c r="I12" s="198"/>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
        <v>1362</v>
      </c>
      <c r="G19" s="135"/>
      <c r="H19" s="135"/>
      <c r="I19" s="135"/>
      <c r="J19" s="135"/>
      <c r="K19" s="136"/>
    </row>
    <row r="20" spans="3:11">
      <c r="C20" s="139" t="s">
        <v>1368</v>
      </c>
      <c r="D20" s="134"/>
      <c r="F20" s="138" t="s">
        <v>1369</v>
      </c>
      <c r="G20" s="135"/>
      <c r="H20" s="135"/>
      <c r="I20" s="135"/>
      <c r="J20" s="135"/>
      <c r="K20" s="136"/>
    </row>
    <row r="21" spans="3:11">
      <c r="C21" s="140" t="s">
        <v>1370</v>
      </c>
      <c r="D21" s="123"/>
      <c r="F21" s="141" t="s">
        <v>1371</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E4" sqref="E4"/>
    </sheetView>
  </sheetViews>
  <sheetFormatPr defaultColWidth="8.81640625" defaultRowHeight="12.5"/>
  <cols>
    <col min="1" max="1" width="69.81640625" style="15" customWidth="1"/>
    <col min="2" max="2" width="12" style="15" customWidth="1"/>
    <col min="3" max="3" width="12.54296875" style="15" customWidth="1"/>
    <col min="4" max="7" width="24.54296875" style="15" customWidth="1"/>
    <col min="8" max="16384" width="8.81640625" style="33"/>
  </cols>
  <sheetData>
    <row r="1" spans="1:7" ht="57" customHeight="1">
      <c r="A1" s="213" t="s">
        <v>712</v>
      </c>
      <c r="B1" s="213"/>
      <c r="C1" s="213"/>
      <c r="D1" s="213"/>
      <c r="E1" s="213"/>
      <c r="F1" s="213"/>
      <c r="G1" s="213"/>
    </row>
    <row r="2" spans="1:7" ht="57" customHeight="1">
      <c r="A2" s="214" t="s">
        <v>711</v>
      </c>
      <c r="B2" s="214"/>
      <c r="C2" s="214"/>
      <c r="D2" s="214"/>
      <c r="E2" s="214"/>
      <c r="F2" s="214"/>
      <c r="G2" s="214"/>
    </row>
    <row r="3" spans="1:7" ht="44" customHeight="1">
      <c r="A3" s="215" t="s">
        <v>148</v>
      </c>
      <c r="B3" s="215"/>
      <c r="C3" s="215"/>
      <c r="D3" s="215"/>
      <c r="E3" s="215"/>
      <c r="F3" s="215"/>
      <c r="G3" s="215"/>
    </row>
    <row r="4" spans="1:7" ht="9.5" customHeight="1"/>
    <row r="5" spans="1:7">
      <c r="A5" s="216" t="s">
        <v>1361</v>
      </c>
      <c r="B5" s="216"/>
      <c r="C5" s="216"/>
      <c r="D5" s="216"/>
      <c r="E5" s="216"/>
      <c r="F5" s="216"/>
      <c r="G5" s="216"/>
    </row>
    <row r="7" spans="1:7" ht="17" customHeight="1">
      <c r="A7" s="151" t="s">
        <v>2</v>
      </c>
      <c r="D7" s="211" t="s">
        <v>1362</v>
      </c>
      <c r="E7" s="211"/>
      <c r="F7" s="211"/>
      <c r="G7" s="211"/>
    </row>
    <row r="8" spans="1:7" ht="17" customHeight="1">
      <c r="A8" s="156" t="s">
        <v>15</v>
      </c>
      <c r="D8" s="212" t="s">
        <v>1363</v>
      </c>
      <c r="E8" s="212"/>
      <c r="F8" s="212"/>
      <c r="G8" s="212"/>
    </row>
    <row r="9" spans="1:7" ht="17" customHeight="1">
      <c r="A9" s="151" t="s">
        <v>3</v>
      </c>
      <c r="D9" s="211" t="s">
        <v>1364</v>
      </c>
      <c r="E9" s="211"/>
      <c r="F9" s="211"/>
      <c r="G9" s="211"/>
    </row>
    <row r="10" spans="1:7" ht="17" customHeight="1">
      <c r="A10" s="156" t="s">
        <v>4</v>
      </c>
      <c r="D10" s="212" t="s">
        <v>1365</v>
      </c>
      <c r="E10" s="212"/>
      <c r="F10" s="212"/>
      <c r="G10" s="212"/>
    </row>
    <row r="11" spans="1:7" ht="17" customHeight="1">
      <c r="A11" s="151" t="s">
        <v>5</v>
      </c>
      <c r="D11" s="211" t="s">
        <v>702</v>
      </c>
      <c r="E11" s="211"/>
      <c r="F11" s="211"/>
      <c r="G11" s="211"/>
    </row>
    <row r="12" spans="1:7" ht="17" customHeight="1">
      <c r="A12" s="156" t="s">
        <v>6</v>
      </c>
      <c r="D12" s="212" t="s">
        <v>1383</v>
      </c>
      <c r="E12" s="212"/>
      <c r="F12" s="212"/>
      <c r="G12" s="212"/>
    </row>
    <row r="13" spans="1:7" ht="17" customHeight="1">
      <c r="A13" s="151" t="s">
        <v>7</v>
      </c>
      <c r="D13" s="211" t="s">
        <v>1366</v>
      </c>
      <c r="E13" s="211"/>
      <c r="F13" s="211"/>
      <c r="G13" s="211"/>
    </row>
    <row r="14" spans="1:7" ht="17" customHeight="1">
      <c r="A14" s="156" t="s">
        <v>8</v>
      </c>
      <c r="D14" s="212" t="s">
        <v>1367</v>
      </c>
      <c r="E14" s="212"/>
      <c r="F14" s="212"/>
      <c r="G14" s="212"/>
    </row>
    <row r="16" spans="1:7" ht="39" customHeight="1">
      <c r="A16" s="203" t="s">
        <v>149</v>
      </c>
      <c r="B16" s="205" t="s">
        <v>150</v>
      </c>
      <c r="C16" s="205" t="s">
        <v>151</v>
      </c>
      <c r="D16" s="208" t="s">
        <v>1376</v>
      </c>
      <c r="E16" s="209"/>
      <c r="F16" s="208" t="s">
        <v>1377</v>
      </c>
      <c r="G16" s="209"/>
    </row>
    <row r="17" spans="1:10" ht="39" customHeight="1">
      <c r="A17" s="204"/>
      <c r="B17" s="206"/>
      <c r="C17" s="207"/>
      <c r="D17" s="42" t="s">
        <v>1374</v>
      </c>
      <c r="E17" s="43" t="s">
        <v>152</v>
      </c>
      <c r="F17" s="12" t="s">
        <v>1378</v>
      </c>
      <c r="G17" s="43" t="s">
        <v>152</v>
      </c>
    </row>
    <row r="18" spans="1:10" s="40" customFormat="1" ht="25">
      <c r="A18" s="44" t="s">
        <v>362</v>
      </c>
      <c r="B18" s="45" t="s">
        <v>153</v>
      </c>
      <c r="C18" s="46"/>
      <c r="D18" s="25">
        <v>78163747341</v>
      </c>
      <c r="E18" s="25">
        <v>198423537239</v>
      </c>
      <c r="F18" s="25">
        <v>-86156509431</v>
      </c>
      <c r="G18" s="25">
        <v>-414778499197</v>
      </c>
    </row>
    <row r="19" spans="1:10" ht="25">
      <c r="A19" s="47" t="s">
        <v>363</v>
      </c>
      <c r="B19" s="48" t="s">
        <v>154</v>
      </c>
      <c r="C19" s="49"/>
      <c r="D19" s="27">
        <v>3448980000</v>
      </c>
      <c r="E19" s="27">
        <v>7626840000</v>
      </c>
      <c r="F19" s="27">
        <v>4163184500</v>
      </c>
      <c r="G19" s="27">
        <v>6991132500</v>
      </c>
      <c r="J19" s="40"/>
    </row>
    <row r="20" spans="1:10" ht="25">
      <c r="A20" s="47" t="s">
        <v>364</v>
      </c>
      <c r="B20" s="48" t="s">
        <v>155</v>
      </c>
      <c r="C20" s="50"/>
      <c r="D20" s="27">
        <v>121072161</v>
      </c>
      <c r="E20" s="27">
        <v>4307326248</v>
      </c>
      <c r="F20" s="27">
        <v>1615733119</v>
      </c>
      <c r="G20" s="27">
        <v>8615803107</v>
      </c>
      <c r="J20" s="40"/>
    </row>
    <row r="21" spans="1:10" ht="25">
      <c r="A21" s="47" t="s">
        <v>277</v>
      </c>
      <c r="B21" s="48" t="s">
        <v>156</v>
      </c>
      <c r="C21" s="50"/>
      <c r="D21" s="27">
        <v>18332435</v>
      </c>
      <c r="E21" s="27">
        <v>159243848</v>
      </c>
      <c r="F21" s="27">
        <v>22650926</v>
      </c>
      <c r="G21" s="27">
        <v>1005974265</v>
      </c>
      <c r="J21" s="40"/>
    </row>
    <row r="22" spans="1:10" ht="25">
      <c r="A22" s="47" t="s">
        <v>317</v>
      </c>
      <c r="B22" s="48" t="s">
        <v>157</v>
      </c>
      <c r="C22" s="50"/>
      <c r="D22" s="27">
        <v>0</v>
      </c>
      <c r="E22" s="27">
        <v>0</v>
      </c>
      <c r="F22" s="27">
        <v>64315068</v>
      </c>
      <c r="G22" s="27">
        <v>640239726</v>
      </c>
      <c r="J22" s="40"/>
    </row>
    <row r="23" spans="1:10" ht="25">
      <c r="A23" s="47" t="s">
        <v>365</v>
      </c>
      <c r="B23" s="48" t="s">
        <v>237</v>
      </c>
      <c r="C23" s="50"/>
      <c r="D23" s="27">
        <v>102739726</v>
      </c>
      <c r="E23" s="27">
        <v>4148082400</v>
      </c>
      <c r="F23" s="27">
        <v>1528767125</v>
      </c>
      <c r="G23" s="27">
        <v>6969589116</v>
      </c>
      <c r="J23" s="40"/>
    </row>
    <row r="24" spans="1:10" ht="25">
      <c r="A24" s="47" t="s">
        <v>276</v>
      </c>
      <c r="B24" s="48" t="s">
        <v>275</v>
      </c>
      <c r="C24" s="50"/>
      <c r="D24" s="27">
        <v>0</v>
      </c>
      <c r="E24" s="27">
        <v>0</v>
      </c>
      <c r="F24" s="27">
        <v>0</v>
      </c>
      <c r="G24" s="27">
        <v>0</v>
      </c>
      <c r="J24" s="40"/>
    </row>
    <row r="25" spans="1:10" ht="25">
      <c r="A25" s="47" t="s">
        <v>278</v>
      </c>
      <c r="B25" s="51" t="s">
        <v>158</v>
      </c>
      <c r="C25" s="50"/>
      <c r="D25" s="27">
        <v>30969586696</v>
      </c>
      <c r="E25" s="27">
        <v>65021082747</v>
      </c>
      <c r="F25" s="27">
        <v>-85220772842</v>
      </c>
      <c r="G25" s="27">
        <v>-167715205437</v>
      </c>
      <c r="J25" s="40"/>
    </row>
    <row r="26" spans="1:10" ht="25">
      <c r="A26" s="47" t="s">
        <v>279</v>
      </c>
      <c r="B26" s="51" t="s">
        <v>159</v>
      </c>
      <c r="C26" s="50"/>
      <c r="D26" s="27">
        <v>43624108484</v>
      </c>
      <c r="E26" s="27">
        <v>121468288244</v>
      </c>
      <c r="F26" s="27">
        <v>-6714654208</v>
      </c>
      <c r="G26" s="27">
        <v>-262670229367</v>
      </c>
      <c r="J26" s="40"/>
    </row>
    <row r="27" spans="1:10" ht="25">
      <c r="A27" s="47" t="s">
        <v>366</v>
      </c>
      <c r="B27" s="51" t="s">
        <v>160</v>
      </c>
      <c r="C27" s="50"/>
      <c r="D27" s="27">
        <v>0</v>
      </c>
      <c r="E27" s="27">
        <v>0</v>
      </c>
      <c r="F27" s="27">
        <v>0</v>
      </c>
      <c r="G27" s="27">
        <v>0</v>
      </c>
      <c r="J27" s="40"/>
    </row>
    <row r="28" spans="1:10" ht="25">
      <c r="A28" s="47" t="s">
        <v>280</v>
      </c>
      <c r="B28" s="51" t="s">
        <v>161</v>
      </c>
      <c r="C28" s="50"/>
      <c r="D28" s="27">
        <v>0</v>
      </c>
      <c r="E28" s="27">
        <v>0</v>
      </c>
      <c r="F28" s="27">
        <v>0</v>
      </c>
      <c r="G28" s="27">
        <v>0</v>
      </c>
      <c r="J28" s="40"/>
    </row>
    <row r="29" spans="1:10" ht="25">
      <c r="A29" s="47" t="s">
        <v>367</v>
      </c>
      <c r="B29" s="51" t="s">
        <v>162</v>
      </c>
      <c r="C29" s="50"/>
      <c r="D29" s="27">
        <v>0</v>
      </c>
      <c r="E29" s="27">
        <v>0</v>
      </c>
      <c r="F29" s="27">
        <v>0</v>
      </c>
      <c r="G29" s="27">
        <v>0</v>
      </c>
      <c r="J29" s="40"/>
    </row>
    <row r="30" spans="1:10" ht="50">
      <c r="A30" s="47" t="s">
        <v>368</v>
      </c>
      <c r="B30" s="51" t="s">
        <v>163</v>
      </c>
      <c r="C30" s="50"/>
      <c r="D30" s="27">
        <v>0</v>
      </c>
      <c r="E30" s="27">
        <v>0</v>
      </c>
      <c r="F30" s="27">
        <v>0</v>
      </c>
      <c r="G30" s="27">
        <v>0</v>
      </c>
      <c r="J30" s="40"/>
    </row>
    <row r="31" spans="1:10" s="40" customFormat="1" ht="25">
      <c r="A31" s="44" t="s">
        <v>333</v>
      </c>
      <c r="B31" s="45" t="s">
        <v>164</v>
      </c>
      <c r="C31" s="46"/>
      <c r="D31" s="25">
        <v>1212302219</v>
      </c>
      <c r="E31" s="25">
        <v>8721607941</v>
      </c>
      <c r="F31" s="25">
        <v>2411028471</v>
      </c>
      <c r="G31" s="25">
        <v>5748850432</v>
      </c>
    </row>
    <row r="32" spans="1:10" ht="25">
      <c r="A32" s="47" t="s">
        <v>165</v>
      </c>
      <c r="B32" s="51" t="s">
        <v>166</v>
      </c>
      <c r="C32" s="50"/>
      <c r="D32" s="27">
        <v>1212302219</v>
      </c>
      <c r="E32" s="27">
        <v>8704107941</v>
      </c>
      <c r="F32" s="27">
        <v>2411028471</v>
      </c>
      <c r="G32" s="27">
        <v>5748850432</v>
      </c>
      <c r="J32" s="40"/>
    </row>
    <row r="33" spans="1:10" ht="25">
      <c r="A33" s="52" t="s">
        <v>167</v>
      </c>
      <c r="B33" s="48" t="s">
        <v>168</v>
      </c>
      <c r="C33" s="49"/>
      <c r="D33" s="27">
        <v>1209249535</v>
      </c>
      <c r="E33" s="27">
        <v>8663631644</v>
      </c>
      <c r="F33" s="27">
        <v>2408972041</v>
      </c>
      <c r="G33" s="27">
        <v>5741092482</v>
      </c>
      <c r="J33" s="40"/>
    </row>
    <row r="34" spans="1:10" ht="25">
      <c r="A34" s="52" t="s">
        <v>42</v>
      </c>
      <c r="B34" s="48" t="s">
        <v>169</v>
      </c>
      <c r="C34" s="49"/>
      <c r="D34" s="27">
        <v>3052684</v>
      </c>
      <c r="E34" s="27">
        <v>40476297</v>
      </c>
      <c r="F34" s="27">
        <v>2056430</v>
      </c>
      <c r="G34" s="27">
        <v>7757950</v>
      </c>
      <c r="J34" s="40"/>
    </row>
    <row r="35" spans="1:10" ht="25">
      <c r="A35" s="52" t="s">
        <v>170</v>
      </c>
      <c r="B35" s="48" t="s">
        <v>171</v>
      </c>
      <c r="C35" s="50"/>
      <c r="D35" s="27">
        <v>0</v>
      </c>
      <c r="E35" s="27">
        <v>0</v>
      </c>
      <c r="F35" s="27">
        <v>0</v>
      </c>
      <c r="G35" s="27">
        <v>0</v>
      </c>
      <c r="J35" s="40"/>
    </row>
    <row r="36" spans="1:10" ht="25">
      <c r="A36" s="52" t="s">
        <v>172</v>
      </c>
      <c r="B36" s="48" t="s">
        <v>173</v>
      </c>
      <c r="C36" s="50"/>
      <c r="D36" s="27">
        <v>0</v>
      </c>
      <c r="E36" s="27">
        <v>0</v>
      </c>
      <c r="F36" s="27">
        <v>0</v>
      </c>
      <c r="G36" s="27">
        <v>0</v>
      </c>
      <c r="J36" s="40"/>
    </row>
    <row r="37" spans="1:10" ht="37.5">
      <c r="A37" s="52" t="s">
        <v>174</v>
      </c>
      <c r="B37" s="48" t="s">
        <v>175</v>
      </c>
      <c r="C37" s="50"/>
      <c r="D37" s="27">
        <v>0</v>
      </c>
      <c r="E37" s="27">
        <v>0</v>
      </c>
      <c r="F37" s="27">
        <v>0</v>
      </c>
      <c r="G37" s="27">
        <v>0</v>
      </c>
      <c r="J37" s="40"/>
    </row>
    <row r="38" spans="1:10" ht="25">
      <c r="A38" s="52" t="s">
        <v>334</v>
      </c>
      <c r="B38" s="48" t="s">
        <v>176</v>
      </c>
      <c r="C38" s="50"/>
      <c r="D38" s="27">
        <v>0</v>
      </c>
      <c r="E38" s="27">
        <v>17500000</v>
      </c>
      <c r="F38" s="27">
        <v>0</v>
      </c>
      <c r="G38" s="27">
        <v>0</v>
      </c>
      <c r="J38" s="40"/>
    </row>
    <row r="39" spans="1:10" s="40" customFormat="1" ht="25">
      <c r="A39" s="44" t="s">
        <v>335</v>
      </c>
      <c r="B39" s="45" t="s">
        <v>177</v>
      </c>
      <c r="C39" s="46"/>
      <c r="D39" s="25">
        <v>2340389661</v>
      </c>
      <c r="E39" s="25">
        <v>13656154698</v>
      </c>
      <c r="F39" s="25">
        <v>2805323515</v>
      </c>
      <c r="G39" s="25">
        <v>17915116731</v>
      </c>
    </row>
    <row r="40" spans="1:10" ht="25">
      <c r="A40" s="52" t="s">
        <v>369</v>
      </c>
      <c r="B40" s="48" t="s">
        <v>178</v>
      </c>
      <c r="C40" s="50"/>
      <c r="D40" s="27">
        <v>2113012199</v>
      </c>
      <c r="E40" s="27">
        <v>12276449083</v>
      </c>
      <c r="F40" s="27">
        <v>2562833656</v>
      </c>
      <c r="G40" s="27">
        <v>16483810684</v>
      </c>
      <c r="J40" s="40"/>
    </row>
    <row r="41" spans="1:10" ht="25">
      <c r="A41" s="52" t="s">
        <v>179</v>
      </c>
      <c r="B41" s="48" t="s">
        <v>180</v>
      </c>
      <c r="C41" s="49"/>
      <c r="D41" s="27">
        <v>88294780</v>
      </c>
      <c r="E41" s="27">
        <v>562790694</v>
      </c>
      <c r="F41" s="27">
        <v>95524039</v>
      </c>
      <c r="G41" s="27">
        <v>455158634</v>
      </c>
      <c r="J41" s="40"/>
    </row>
    <row r="42" spans="1:10" ht="25">
      <c r="A42" s="17" t="s">
        <v>23</v>
      </c>
      <c r="B42" s="53" t="s">
        <v>181</v>
      </c>
      <c r="C42" s="49"/>
      <c r="D42" s="27">
        <v>43343839</v>
      </c>
      <c r="E42" s="27">
        <v>251966308</v>
      </c>
      <c r="F42" s="27">
        <v>52570948</v>
      </c>
      <c r="G42" s="27">
        <v>338129449</v>
      </c>
      <c r="J42" s="40"/>
    </row>
    <row r="43" spans="1:10" ht="25">
      <c r="A43" s="17" t="s">
        <v>24</v>
      </c>
      <c r="B43" s="53" t="s">
        <v>182</v>
      </c>
      <c r="C43" s="49"/>
      <c r="D43" s="27">
        <v>34700000</v>
      </c>
      <c r="E43" s="27">
        <v>252415000</v>
      </c>
      <c r="F43" s="27">
        <v>33700000</v>
      </c>
      <c r="G43" s="27">
        <v>71400000</v>
      </c>
      <c r="J43" s="40"/>
    </row>
    <row r="44" spans="1:10" ht="50">
      <c r="A44" s="17" t="s">
        <v>345</v>
      </c>
      <c r="B44" s="53" t="s">
        <v>183</v>
      </c>
      <c r="C44" s="49"/>
      <c r="D44" s="27">
        <v>10250941</v>
      </c>
      <c r="E44" s="27">
        <v>58409386</v>
      </c>
      <c r="F44" s="27">
        <v>9253091</v>
      </c>
      <c r="G44" s="27">
        <v>45629185</v>
      </c>
      <c r="J44" s="40"/>
    </row>
    <row r="45" spans="1:10" ht="25">
      <c r="A45" s="52" t="s">
        <v>184</v>
      </c>
      <c r="B45" s="48" t="s">
        <v>185</v>
      </c>
      <c r="C45" s="49"/>
      <c r="D45" s="27">
        <v>47678224</v>
      </c>
      <c r="E45" s="27">
        <v>277162943</v>
      </c>
      <c r="F45" s="27">
        <v>57828042</v>
      </c>
      <c r="G45" s="27">
        <v>371942396</v>
      </c>
      <c r="J45" s="40"/>
    </row>
    <row r="46" spans="1:10" ht="25">
      <c r="A46" s="52" t="s">
        <v>186</v>
      </c>
      <c r="B46" s="48" t="s">
        <v>187</v>
      </c>
      <c r="C46" s="49"/>
      <c r="D46" s="27">
        <v>29798887</v>
      </c>
      <c r="E46" s="27">
        <v>173226837</v>
      </c>
      <c r="F46" s="27">
        <v>36142524</v>
      </c>
      <c r="G46" s="27">
        <v>232463996</v>
      </c>
      <c r="J46" s="40"/>
    </row>
    <row r="47" spans="1:10" ht="25">
      <c r="A47" s="52" t="s">
        <v>188</v>
      </c>
      <c r="B47" s="48" t="s">
        <v>189</v>
      </c>
      <c r="C47" s="49"/>
      <c r="D47" s="27">
        <v>13200000</v>
      </c>
      <c r="E47" s="27">
        <v>79200000</v>
      </c>
      <c r="F47" s="27">
        <v>11000000</v>
      </c>
      <c r="G47" s="27">
        <v>66000000</v>
      </c>
      <c r="J47" s="40"/>
    </row>
    <row r="48" spans="1:10" ht="25">
      <c r="A48" s="52" t="s">
        <v>190</v>
      </c>
      <c r="B48" s="48" t="s">
        <v>191</v>
      </c>
      <c r="C48" s="49"/>
      <c r="D48" s="27">
        <v>0</v>
      </c>
      <c r="E48" s="27">
        <v>0</v>
      </c>
      <c r="F48" s="27">
        <v>0</v>
      </c>
      <c r="G48" s="27">
        <v>0</v>
      </c>
      <c r="J48" s="40"/>
    </row>
    <row r="49" spans="1:10" ht="37.5">
      <c r="A49" s="18" t="s">
        <v>370</v>
      </c>
      <c r="B49" s="53" t="s">
        <v>192</v>
      </c>
      <c r="C49" s="49"/>
      <c r="D49" s="27">
        <v>0</v>
      </c>
      <c r="E49" s="27">
        <v>0</v>
      </c>
      <c r="F49" s="27">
        <v>0</v>
      </c>
      <c r="G49" s="27">
        <v>0</v>
      </c>
      <c r="J49" s="40"/>
    </row>
    <row r="50" spans="1:10" ht="25">
      <c r="A50" s="18" t="s">
        <v>371</v>
      </c>
      <c r="B50" s="53" t="s">
        <v>193</v>
      </c>
      <c r="C50" s="49"/>
      <c r="D50" s="27">
        <v>0</v>
      </c>
      <c r="E50" s="27">
        <v>0</v>
      </c>
      <c r="F50" s="27">
        <v>0</v>
      </c>
      <c r="G50" s="27">
        <v>0</v>
      </c>
      <c r="J50" s="40"/>
    </row>
    <row r="51" spans="1:10" ht="25">
      <c r="A51" s="52" t="s">
        <v>194</v>
      </c>
      <c r="B51" s="48" t="s">
        <v>195</v>
      </c>
      <c r="C51" s="49"/>
      <c r="D51" s="27">
        <v>3864187</v>
      </c>
      <c r="E51" s="27">
        <v>4250606</v>
      </c>
      <c r="F51" s="27">
        <v>2326968</v>
      </c>
      <c r="G51" s="27">
        <v>35094216</v>
      </c>
      <c r="J51" s="40"/>
    </row>
    <row r="52" spans="1:10" ht="25">
      <c r="A52" s="52" t="s">
        <v>336</v>
      </c>
      <c r="B52" s="48" t="s">
        <v>196</v>
      </c>
      <c r="C52" s="49"/>
      <c r="D52" s="27">
        <v>15916542</v>
      </c>
      <c r="E52" s="27">
        <v>101390997</v>
      </c>
      <c r="F52" s="27">
        <v>15969210</v>
      </c>
      <c r="G52" s="27">
        <v>91997511</v>
      </c>
      <c r="J52" s="40"/>
    </row>
    <row r="53" spans="1:10" ht="25">
      <c r="A53" s="52" t="s">
        <v>197</v>
      </c>
      <c r="B53" s="48" t="s">
        <v>198</v>
      </c>
      <c r="C53" s="49"/>
      <c r="D53" s="27">
        <v>0</v>
      </c>
      <c r="E53" s="27">
        <v>0</v>
      </c>
      <c r="F53" s="27">
        <v>0</v>
      </c>
      <c r="G53" s="27">
        <v>0</v>
      </c>
      <c r="J53" s="40"/>
    </row>
    <row r="54" spans="1:10" ht="25">
      <c r="A54" s="52" t="s">
        <v>337</v>
      </c>
      <c r="B54" s="54" t="s">
        <v>199</v>
      </c>
      <c r="C54" s="49"/>
      <c r="D54" s="27">
        <v>28624842</v>
      </c>
      <c r="E54" s="27">
        <v>181683538</v>
      </c>
      <c r="F54" s="27">
        <v>23699076</v>
      </c>
      <c r="G54" s="27">
        <v>178649294</v>
      </c>
      <c r="J54" s="40"/>
    </row>
    <row r="55" spans="1:10" ht="25">
      <c r="A55" s="18" t="s">
        <v>38</v>
      </c>
      <c r="B55" s="55" t="s">
        <v>200</v>
      </c>
      <c r="C55" s="49"/>
      <c r="D55" s="27">
        <v>12986301</v>
      </c>
      <c r="E55" s="27">
        <v>77950685</v>
      </c>
      <c r="F55" s="27">
        <v>12696326</v>
      </c>
      <c r="G55" s="27">
        <v>104729203</v>
      </c>
      <c r="J55" s="40"/>
    </row>
    <row r="56" spans="1:10" ht="25">
      <c r="A56" s="18" t="s">
        <v>201</v>
      </c>
      <c r="B56" s="55" t="s">
        <v>202</v>
      </c>
      <c r="C56" s="49"/>
      <c r="D56" s="27">
        <v>0</v>
      </c>
      <c r="E56" s="27">
        <v>0</v>
      </c>
      <c r="F56" s="27">
        <v>0</v>
      </c>
      <c r="G56" s="27">
        <v>0</v>
      </c>
      <c r="J56" s="40"/>
    </row>
    <row r="57" spans="1:10" ht="25">
      <c r="A57" s="18" t="s">
        <v>203</v>
      </c>
      <c r="B57" s="55" t="s">
        <v>204</v>
      </c>
      <c r="C57" s="50"/>
      <c r="D57" s="27">
        <v>0</v>
      </c>
      <c r="E57" s="27">
        <v>0</v>
      </c>
      <c r="F57" s="27">
        <v>0</v>
      </c>
      <c r="G57" s="27">
        <v>0</v>
      </c>
      <c r="J57" s="40"/>
    </row>
    <row r="58" spans="1:10" ht="25">
      <c r="A58" s="18" t="s">
        <v>338</v>
      </c>
      <c r="B58" s="55" t="s">
        <v>205</v>
      </c>
      <c r="C58" s="49"/>
      <c r="D58" s="27">
        <v>7747253</v>
      </c>
      <c r="E58" s="27">
        <v>47000000</v>
      </c>
      <c r="F58" s="27">
        <v>0</v>
      </c>
      <c r="G58" s="27">
        <v>28966666</v>
      </c>
      <c r="J58" s="40"/>
    </row>
    <row r="59" spans="1:10" ht="25">
      <c r="A59" s="18" t="s">
        <v>39</v>
      </c>
      <c r="B59" s="55" t="s">
        <v>206</v>
      </c>
      <c r="C59" s="50"/>
      <c r="D59" s="27">
        <v>0</v>
      </c>
      <c r="E59" s="27">
        <v>0</v>
      </c>
      <c r="F59" s="27">
        <v>0</v>
      </c>
      <c r="G59" s="27">
        <v>0</v>
      </c>
      <c r="J59" s="40"/>
    </row>
    <row r="60" spans="1:10" ht="25">
      <c r="A60" s="18" t="s">
        <v>339</v>
      </c>
      <c r="B60" s="55" t="s">
        <v>207</v>
      </c>
      <c r="C60" s="50"/>
      <c r="D60" s="27">
        <v>0</v>
      </c>
      <c r="E60" s="27">
        <v>0</v>
      </c>
      <c r="F60" s="27">
        <v>0</v>
      </c>
      <c r="G60" s="27">
        <v>0</v>
      </c>
      <c r="J60" s="40"/>
    </row>
    <row r="61" spans="1:10" ht="25">
      <c r="A61" s="18" t="s">
        <v>340</v>
      </c>
      <c r="B61" s="55" t="s">
        <v>208</v>
      </c>
      <c r="C61" s="50"/>
      <c r="D61" s="27">
        <v>616438</v>
      </c>
      <c r="E61" s="27">
        <v>3719178</v>
      </c>
      <c r="F61" s="27">
        <v>0</v>
      </c>
      <c r="G61" s="27">
        <v>0</v>
      </c>
      <c r="J61" s="40"/>
    </row>
    <row r="62" spans="1:10" ht="25">
      <c r="A62" s="18" t="s">
        <v>46</v>
      </c>
      <c r="B62" s="55" t="s">
        <v>209</v>
      </c>
      <c r="C62" s="50"/>
      <c r="D62" s="27">
        <v>7274850</v>
      </c>
      <c r="E62" s="27">
        <v>51913675</v>
      </c>
      <c r="F62" s="27">
        <v>11002750</v>
      </c>
      <c r="G62" s="27">
        <v>43853425</v>
      </c>
      <c r="J62" s="40"/>
    </row>
    <row r="63" spans="1:10" ht="25">
      <c r="A63" s="18" t="s">
        <v>40</v>
      </c>
      <c r="B63" s="55" t="s">
        <v>210</v>
      </c>
      <c r="C63" s="50"/>
      <c r="D63" s="27">
        <v>0</v>
      </c>
      <c r="E63" s="27">
        <v>0</v>
      </c>
      <c r="F63" s="27">
        <v>0</v>
      </c>
      <c r="G63" s="27">
        <v>0</v>
      </c>
      <c r="J63" s="40"/>
    </row>
    <row r="64" spans="1:10" ht="25">
      <c r="A64" s="18" t="s">
        <v>325</v>
      </c>
      <c r="B64" s="55" t="s">
        <v>211</v>
      </c>
      <c r="C64" s="49"/>
      <c r="D64" s="27">
        <v>0</v>
      </c>
      <c r="E64" s="27">
        <v>0</v>
      </c>
      <c r="F64" s="27">
        <v>0</v>
      </c>
      <c r="G64" s="27">
        <v>0</v>
      </c>
      <c r="J64" s="40"/>
    </row>
    <row r="65" spans="1:10" ht="25">
      <c r="A65" s="18" t="s">
        <v>354</v>
      </c>
      <c r="B65" s="55" t="s">
        <v>212</v>
      </c>
      <c r="C65" s="49"/>
      <c r="D65" s="27">
        <v>0</v>
      </c>
      <c r="E65" s="27">
        <v>1100000</v>
      </c>
      <c r="F65" s="27">
        <v>0</v>
      </c>
      <c r="G65" s="27">
        <v>1100000</v>
      </c>
      <c r="J65" s="40"/>
    </row>
    <row r="66" spans="1:10" ht="25">
      <c r="A66" s="18" t="s">
        <v>341</v>
      </c>
      <c r="B66" s="55" t="s">
        <v>213</v>
      </c>
      <c r="C66" s="49"/>
      <c r="D66" s="27">
        <v>0</v>
      </c>
      <c r="E66" s="27">
        <v>0</v>
      </c>
      <c r="F66" s="27">
        <v>0</v>
      </c>
      <c r="G66" s="27">
        <v>0</v>
      </c>
      <c r="J66" s="40"/>
    </row>
    <row r="67" spans="1:10" ht="25">
      <c r="A67" s="18" t="s">
        <v>342</v>
      </c>
      <c r="B67" s="55" t="s">
        <v>214</v>
      </c>
      <c r="C67" s="49"/>
      <c r="D67" s="27">
        <v>0</v>
      </c>
      <c r="E67" s="27">
        <v>0</v>
      </c>
      <c r="F67" s="27">
        <v>0</v>
      </c>
      <c r="G67" s="27">
        <v>0</v>
      </c>
      <c r="J67" s="40"/>
    </row>
    <row r="68" spans="1:10" ht="25">
      <c r="A68" s="18" t="s">
        <v>215</v>
      </c>
      <c r="B68" s="55" t="s">
        <v>216</v>
      </c>
      <c r="C68" s="49"/>
      <c r="D68" s="27">
        <v>0</v>
      </c>
      <c r="E68" s="27">
        <v>0</v>
      </c>
      <c r="F68" s="27">
        <v>0</v>
      </c>
      <c r="G68" s="27">
        <v>0</v>
      </c>
      <c r="J68" s="40"/>
    </row>
    <row r="69" spans="1:10" s="40" customFormat="1" ht="37.5">
      <c r="A69" s="44" t="s">
        <v>217</v>
      </c>
      <c r="B69" s="45" t="s">
        <v>218</v>
      </c>
      <c r="C69" s="46"/>
      <c r="D69" s="25">
        <v>74611055461</v>
      </c>
      <c r="E69" s="25">
        <v>176045774600</v>
      </c>
      <c r="F69" s="25">
        <v>-91372861417</v>
      </c>
      <c r="G69" s="25">
        <v>-438442466360</v>
      </c>
    </row>
    <row r="70" spans="1:10" s="40" customFormat="1" ht="25">
      <c r="A70" s="44" t="s">
        <v>219</v>
      </c>
      <c r="B70" s="45" t="s">
        <v>220</v>
      </c>
      <c r="C70" s="46"/>
      <c r="D70" s="25">
        <v>0</v>
      </c>
      <c r="E70" s="25">
        <v>0</v>
      </c>
      <c r="F70" s="25">
        <v>0</v>
      </c>
      <c r="G70" s="25">
        <v>0</v>
      </c>
    </row>
    <row r="71" spans="1:10" ht="25">
      <c r="A71" s="47" t="s">
        <v>372</v>
      </c>
      <c r="B71" s="51" t="s">
        <v>221</v>
      </c>
      <c r="C71" s="50"/>
      <c r="D71" s="27">
        <v>0</v>
      </c>
      <c r="E71" s="27">
        <v>0</v>
      </c>
      <c r="F71" s="27">
        <v>0</v>
      </c>
      <c r="G71" s="27">
        <v>0</v>
      </c>
      <c r="J71" s="40"/>
    </row>
    <row r="72" spans="1:10" ht="25">
      <c r="A72" s="47" t="s">
        <v>343</v>
      </c>
      <c r="B72" s="51" t="s">
        <v>222</v>
      </c>
      <c r="C72" s="50"/>
      <c r="D72" s="27">
        <v>0</v>
      </c>
      <c r="E72" s="27">
        <v>0</v>
      </c>
      <c r="F72" s="27">
        <v>0</v>
      </c>
      <c r="G72" s="27">
        <v>0</v>
      </c>
      <c r="J72" s="40"/>
    </row>
    <row r="73" spans="1:10" s="40" customFormat="1" ht="37.5">
      <c r="A73" s="44" t="s">
        <v>223</v>
      </c>
      <c r="B73" s="45" t="s">
        <v>224</v>
      </c>
      <c r="C73" s="46"/>
      <c r="D73" s="25">
        <v>74611055461</v>
      </c>
      <c r="E73" s="25">
        <v>176045774600</v>
      </c>
      <c r="F73" s="25">
        <v>-91372861417</v>
      </c>
      <c r="G73" s="25">
        <v>-438442466360</v>
      </c>
    </row>
    <row r="74" spans="1:10" ht="25">
      <c r="A74" s="52" t="s">
        <v>225</v>
      </c>
      <c r="B74" s="48" t="s">
        <v>226</v>
      </c>
      <c r="C74" s="50"/>
      <c r="D74" s="27">
        <v>30986946977</v>
      </c>
      <c r="E74" s="27">
        <v>54577486356</v>
      </c>
      <c r="F74" s="27">
        <v>-84658207209</v>
      </c>
      <c r="G74" s="27">
        <v>-175772236993</v>
      </c>
      <c r="J74" s="40"/>
    </row>
    <row r="75" spans="1:10" ht="25">
      <c r="A75" s="52" t="s">
        <v>227</v>
      </c>
      <c r="B75" s="48" t="s">
        <v>228</v>
      </c>
      <c r="C75" s="50"/>
      <c r="D75" s="27">
        <v>43624108484</v>
      </c>
      <c r="E75" s="27">
        <v>121468288244</v>
      </c>
      <c r="F75" s="27">
        <v>-6714654208</v>
      </c>
      <c r="G75" s="27">
        <v>-262670229367</v>
      </c>
      <c r="J75" s="40"/>
    </row>
    <row r="76" spans="1:10" s="40" customFormat="1" ht="25">
      <c r="A76" s="44" t="s">
        <v>229</v>
      </c>
      <c r="B76" s="45" t="s">
        <v>230</v>
      </c>
      <c r="C76" s="46"/>
      <c r="D76" s="25">
        <v>0</v>
      </c>
      <c r="E76" s="25">
        <v>0</v>
      </c>
      <c r="F76" s="25">
        <v>0</v>
      </c>
      <c r="G76" s="25">
        <v>0</v>
      </c>
    </row>
    <row r="77" spans="1:10" s="40" customFormat="1" ht="37.5">
      <c r="A77" s="44" t="s">
        <v>231</v>
      </c>
      <c r="B77" s="45" t="s">
        <v>232</v>
      </c>
      <c r="C77" s="46"/>
      <c r="D77" s="25">
        <v>74611055461</v>
      </c>
      <c r="E77" s="25">
        <v>176045774600</v>
      </c>
      <c r="F77" s="25">
        <v>-91372861417</v>
      </c>
      <c r="G77" s="25">
        <v>-438442466360</v>
      </c>
    </row>
    <row r="80" spans="1:10" s="40" customFormat="1" ht="17" customHeight="1">
      <c r="A80" s="153" t="s">
        <v>233</v>
      </c>
      <c r="B80" s="210" t="s">
        <v>234</v>
      </c>
      <c r="C80" s="210"/>
      <c r="D80" s="210"/>
      <c r="E80" s="210"/>
      <c r="F80" s="210"/>
      <c r="G80" s="210"/>
    </row>
    <row r="93" spans="1:7">
      <c r="A93" s="35" t="s">
        <v>595</v>
      </c>
      <c r="B93" s="200" t="s">
        <v>596</v>
      </c>
      <c r="C93" s="200"/>
      <c r="D93" s="200"/>
      <c r="E93" s="200"/>
      <c r="F93" s="200" t="s">
        <v>597</v>
      </c>
      <c r="G93" s="200"/>
    </row>
    <row r="94" spans="1:7" ht="17" customHeight="1">
      <c r="A94" s="154" t="s">
        <v>1379</v>
      </c>
      <c r="B94" s="201" t="s">
        <v>1380</v>
      </c>
      <c r="C94" s="201"/>
      <c r="D94" s="201"/>
      <c r="E94" s="201"/>
      <c r="F94" s="201" t="s">
        <v>1369</v>
      </c>
      <c r="G94" s="201"/>
    </row>
    <row r="95" spans="1:7" ht="17" customHeight="1">
      <c r="A95" s="155" t="s">
        <v>1381</v>
      </c>
      <c r="B95" s="202" t="s">
        <v>1382</v>
      </c>
      <c r="C95" s="202"/>
      <c r="D95" s="202"/>
      <c r="E95" s="202"/>
      <c r="F95" s="202" t="s">
        <v>1371</v>
      </c>
      <c r="G95" s="20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7" zoomScale="70" zoomScaleNormal="100" zoomScaleSheetLayoutView="70" workbookViewId="0">
      <selection activeCell="J130" sqref="J130"/>
    </sheetView>
  </sheetViews>
  <sheetFormatPr defaultColWidth="8.81640625" defaultRowHeight="12.5"/>
  <cols>
    <col min="1" max="1" width="7.1796875" style="15" customWidth="1"/>
    <col min="2" max="2" width="71.08984375" style="15" customWidth="1"/>
    <col min="3" max="3" width="10.54296875" style="15" customWidth="1"/>
    <col min="4" max="4" width="15.1796875" style="15" customWidth="1"/>
    <col min="5" max="5" width="28.81640625" style="15" customWidth="1"/>
    <col min="6" max="6" width="40.54296875" style="15" customWidth="1"/>
    <col min="7" max="7" width="8.81640625" style="1"/>
    <col min="8" max="16384" width="8.81640625" style="33"/>
  </cols>
  <sheetData>
    <row r="1" spans="1:6" ht="65.25" customHeight="1">
      <c r="A1" s="213" t="s">
        <v>709</v>
      </c>
      <c r="B1" s="213"/>
      <c r="C1" s="213"/>
      <c r="D1" s="213"/>
      <c r="E1" s="213"/>
      <c r="F1" s="213"/>
    </row>
    <row r="2" spans="1:6" ht="64.5" customHeight="1">
      <c r="A2" s="214" t="s">
        <v>710</v>
      </c>
      <c r="B2" s="214"/>
      <c r="C2" s="214"/>
      <c r="D2" s="214"/>
      <c r="E2" s="214"/>
      <c r="F2" s="214"/>
    </row>
    <row r="3" spans="1:6" ht="31.25" customHeight="1">
      <c r="A3" s="215" t="s">
        <v>235</v>
      </c>
      <c r="B3" s="215"/>
      <c r="C3" s="215"/>
      <c r="D3" s="215"/>
      <c r="E3" s="215"/>
      <c r="F3" s="215"/>
    </row>
    <row r="4" spans="1:6" ht="6" customHeight="1"/>
    <row r="5" spans="1:6" ht="17" customHeight="1">
      <c r="A5" s="216" t="str">
        <f>TONGQUAN!C1</f>
        <v>Tại ngày 30 tháng 06 năm 2023
/ As at 30 Jun 2023</v>
      </c>
      <c r="B5" s="216"/>
      <c r="C5" s="216"/>
      <c r="D5" s="216"/>
      <c r="E5" s="216"/>
      <c r="F5" s="216"/>
    </row>
    <row r="6" spans="1:6" ht="17" customHeight="1"/>
    <row r="7" spans="1:6" ht="17" customHeight="1">
      <c r="A7" s="152" t="s">
        <v>2</v>
      </c>
      <c r="C7" s="211" t="str">
        <f>TONGQUAN!D5</f>
        <v>Công ty Cổ phần Quản lý Quỹ Đầu tư Dragon Capital Việt Nam</v>
      </c>
      <c r="D7" s="211"/>
      <c r="E7" s="211"/>
      <c r="F7" s="211"/>
    </row>
    <row r="8" spans="1:6" ht="17" customHeight="1">
      <c r="A8" s="15" t="s">
        <v>15</v>
      </c>
      <c r="C8" s="212" t="str">
        <f>TONGQUAN!D6</f>
        <v>Dragon Capital Vietfund Management Joint Stock Company</v>
      </c>
      <c r="D8" s="212"/>
      <c r="E8" s="212"/>
      <c r="F8" s="212"/>
    </row>
    <row r="9" spans="1:6" ht="17" customHeight="1">
      <c r="A9" s="152" t="s">
        <v>3</v>
      </c>
      <c r="C9" s="211" t="str">
        <f>TONGQUAN!D7</f>
        <v>Ngân hàng TNHH Một thành viên Standard Chartered (Việt Nam)</v>
      </c>
      <c r="D9" s="211"/>
      <c r="E9" s="211"/>
      <c r="F9" s="211"/>
    </row>
    <row r="10" spans="1:6" ht="17" customHeight="1">
      <c r="A10" s="15" t="s">
        <v>4</v>
      </c>
      <c r="C10" s="212" t="str">
        <f>TONGQUAN!D8</f>
        <v>Standard Chartered Bank (Vietnam) Limited</v>
      </c>
      <c r="D10" s="212"/>
      <c r="E10" s="212"/>
      <c r="F10" s="212"/>
    </row>
    <row r="11" spans="1:6" ht="17" customHeight="1">
      <c r="A11" s="152" t="s">
        <v>5</v>
      </c>
      <c r="C11" s="211" t="str">
        <f>TONGQUAN!D9</f>
        <v>Quỹ Đầu tư Chứng khoán Năng động DC</v>
      </c>
      <c r="D11" s="211"/>
      <c r="E11" s="211"/>
      <c r="F11" s="211"/>
    </row>
    <row r="12" spans="1:6" ht="17" customHeight="1">
      <c r="A12" s="15" t="s">
        <v>6</v>
      </c>
      <c r="C12" s="212" t="str">
        <f>TONGQUAN!D10</f>
        <v>DC Dynamic Securities Fund(DCDS)</v>
      </c>
      <c r="D12" s="212"/>
      <c r="E12" s="212"/>
      <c r="F12" s="212"/>
    </row>
    <row r="13" spans="1:6" ht="17" customHeight="1">
      <c r="A13" s="152" t="s">
        <v>7</v>
      </c>
      <c r="C13" s="211" t="str">
        <f>TONGQUAN!D11</f>
        <v>Ngày 04 tháng 07 năm 2023</v>
      </c>
      <c r="D13" s="211"/>
      <c r="E13" s="211"/>
      <c r="F13" s="211"/>
    </row>
    <row r="14" spans="1:6" ht="17" customHeight="1">
      <c r="A14" s="15" t="s">
        <v>8</v>
      </c>
      <c r="C14" s="212" t="str">
        <f>TONGQUAN!D12</f>
        <v>04 Jul 2023</v>
      </c>
      <c r="D14" s="212"/>
      <c r="E14" s="212"/>
      <c r="F14" s="212"/>
    </row>
    <row r="15" spans="1:6" ht="17" customHeight="1"/>
    <row r="16" spans="1:6" ht="47" customHeight="1">
      <c r="A16" s="34" t="s">
        <v>236</v>
      </c>
      <c r="B16" s="34" t="s">
        <v>149</v>
      </c>
      <c r="C16" s="34" t="s">
        <v>150</v>
      </c>
      <c r="D16" s="34" t="s">
        <v>151</v>
      </c>
      <c r="E16" s="34" t="str">
        <f>BCTaiSan_06027!D18</f>
        <v>Ngày 30 tháng 06 năm 2023
 As at 30 Jun 2023</v>
      </c>
      <c r="F16" s="34" t="str">
        <f>BCTaiSan_06027!E18</f>
        <v>Ngày 31 tháng 05 năm 2023
 As at 31 May 2023</v>
      </c>
    </row>
    <row r="17" spans="1:7" ht="40.25" customHeight="1">
      <c r="A17" s="16" t="s">
        <v>16</v>
      </c>
      <c r="B17" s="57" t="s">
        <v>386</v>
      </c>
      <c r="C17" s="11" t="s">
        <v>16</v>
      </c>
      <c r="D17" s="25"/>
      <c r="E17" s="25"/>
      <c r="F17" s="25"/>
    </row>
    <row r="18" spans="1:7" ht="40.25" customHeight="1">
      <c r="A18" s="59" t="s">
        <v>387</v>
      </c>
      <c r="B18" s="60" t="s">
        <v>388</v>
      </c>
      <c r="C18" s="61" t="s">
        <v>389</v>
      </c>
      <c r="D18" s="59"/>
      <c r="E18" s="58">
        <v>36947214338</v>
      </c>
      <c r="F18" s="58">
        <v>33781834030</v>
      </c>
    </row>
    <row r="19" spans="1:7" ht="40.25" customHeight="1">
      <c r="A19" s="59" t="s">
        <v>390</v>
      </c>
      <c r="B19" s="60" t="s">
        <v>391</v>
      </c>
      <c r="C19" s="61" t="s">
        <v>392</v>
      </c>
      <c r="D19" s="59"/>
      <c r="E19" s="58">
        <v>36947214338</v>
      </c>
      <c r="F19" s="58">
        <v>33781834030</v>
      </c>
    </row>
    <row r="20" spans="1:7" s="65" customFormat="1" ht="40.25" customHeight="1">
      <c r="A20" s="59" t="s">
        <v>393</v>
      </c>
      <c r="B20" s="62" t="s">
        <v>394</v>
      </c>
      <c r="C20" s="63" t="s">
        <v>395</v>
      </c>
      <c r="D20" s="59"/>
      <c r="E20" s="58">
        <v>1117586152</v>
      </c>
      <c r="F20" s="58">
        <v>1140800113</v>
      </c>
      <c r="G20" s="64"/>
    </row>
    <row r="21" spans="1:7" s="65" customFormat="1" ht="40.25" customHeight="1">
      <c r="A21" s="59" t="s">
        <v>393</v>
      </c>
      <c r="B21" s="62" t="s">
        <v>396</v>
      </c>
      <c r="C21" s="63" t="s">
        <v>397</v>
      </c>
      <c r="D21" s="59"/>
      <c r="E21" s="58">
        <v>154819666</v>
      </c>
      <c r="F21" s="58">
        <v>139209833</v>
      </c>
      <c r="G21" s="64"/>
    </row>
    <row r="22" spans="1:7" s="65" customFormat="1" ht="40.25" customHeight="1">
      <c r="A22" s="59" t="s">
        <v>393</v>
      </c>
      <c r="B22" s="62" t="s">
        <v>398</v>
      </c>
      <c r="C22" s="63" t="s">
        <v>399</v>
      </c>
      <c r="D22" s="59"/>
      <c r="E22" s="58">
        <v>35674808520</v>
      </c>
      <c r="F22" s="58">
        <v>32501824084</v>
      </c>
      <c r="G22" s="64"/>
    </row>
    <row r="23" spans="1:7" ht="40.25" customHeight="1">
      <c r="A23" s="59" t="s">
        <v>393</v>
      </c>
      <c r="B23" s="62" t="s">
        <v>21</v>
      </c>
      <c r="C23" s="63" t="s">
        <v>400</v>
      </c>
      <c r="D23" s="59"/>
      <c r="E23" s="58">
        <v>0</v>
      </c>
      <c r="F23" s="58">
        <v>0</v>
      </c>
    </row>
    <row r="24" spans="1:7" ht="40.25" customHeight="1">
      <c r="A24" s="59" t="s">
        <v>401</v>
      </c>
      <c r="B24" s="60" t="s">
        <v>402</v>
      </c>
      <c r="C24" s="61" t="s">
        <v>403</v>
      </c>
      <c r="D24" s="59"/>
      <c r="E24" s="58">
        <v>0</v>
      </c>
      <c r="F24" s="58">
        <v>0</v>
      </c>
    </row>
    <row r="25" spans="1:7" ht="40.25" customHeight="1">
      <c r="A25" s="59" t="s">
        <v>404</v>
      </c>
      <c r="B25" s="60" t="s">
        <v>405</v>
      </c>
      <c r="C25" s="61" t="s">
        <v>406</v>
      </c>
      <c r="D25" s="59"/>
      <c r="E25" s="58">
        <v>1252283090450</v>
      </c>
      <c r="F25" s="58">
        <v>1179570523100</v>
      </c>
    </row>
    <row r="26" spans="1:7" ht="40.25" customHeight="1">
      <c r="A26" s="59" t="s">
        <v>407</v>
      </c>
      <c r="B26" s="60" t="s">
        <v>408</v>
      </c>
      <c r="C26" s="61" t="s">
        <v>409</v>
      </c>
      <c r="D26" s="59"/>
      <c r="E26" s="58">
        <v>1252283090450</v>
      </c>
      <c r="F26" s="58">
        <v>1179570523100</v>
      </c>
    </row>
    <row r="27" spans="1:7" ht="40.25" customHeight="1">
      <c r="A27" s="59" t="s">
        <v>393</v>
      </c>
      <c r="B27" s="62" t="s">
        <v>714</v>
      </c>
      <c r="C27" s="63" t="s">
        <v>410</v>
      </c>
      <c r="D27" s="59"/>
      <c r="E27" s="58">
        <v>1242283090450</v>
      </c>
      <c r="F27" s="58">
        <v>1169570523100</v>
      </c>
    </row>
    <row r="28" spans="1:7" ht="40.25" customHeight="1">
      <c r="A28" s="59" t="s">
        <v>393</v>
      </c>
      <c r="B28" s="62" t="s">
        <v>715</v>
      </c>
      <c r="C28" s="63" t="s">
        <v>411</v>
      </c>
      <c r="D28" s="59"/>
      <c r="E28" s="58">
        <v>0</v>
      </c>
      <c r="F28" s="58">
        <v>0</v>
      </c>
    </row>
    <row r="29" spans="1:7" ht="40.25" customHeight="1">
      <c r="A29" s="59" t="s">
        <v>393</v>
      </c>
      <c r="B29" s="62" t="s">
        <v>412</v>
      </c>
      <c r="C29" s="63" t="s">
        <v>413</v>
      </c>
      <c r="D29" s="59"/>
      <c r="E29" s="58">
        <v>0</v>
      </c>
      <c r="F29" s="58">
        <v>0</v>
      </c>
    </row>
    <row r="30" spans="1:7" ht="40.25" customHeight="1">
      <c r="A30" s="59" t="s">
        <v>393</v>
      </c>
      <c r="B30" s="62" t="s">
        <v>414</v>
      </c>
      <c r="C30" s="63" t="s">
        <v>415</v>
      </c>
      <c r="D30" s="59"/>
      <c r="E30" s="58">
        <v>10000000000</v>
      </c>
      <c r="F30" s="58">
        <v>10000000000</v>
      </c>
    </row>
    <row r="31" spans="1:7" ht="40.25" customHeight="1">
      <c r="A31" s="59" t="s">
        <v>393</v>
      </c>
      <c r="B31" s="62" t="s">
        <v>416</v>
      </c>
      <c r="C31" s="63" t="s">
        <v>417</v>
      </c>
      <c r="D31" s="59"/>
      <c r="E31" s="58">
        <v>0</v>
      </c>
      <c r="F31" s="58">
        <v>0</v>
      </c>
    </row>
    <row r="32" spans="1:7" ht="40.25" customHeight="1">
      <c r="A32" s="59" t="s">
        <v>393</v>
      </c>
      <c r="B32" s="62" t="s">
        <v>373</v>
      </c>
      <c r="C32" s="63" t="s">
        <v>418</v>
      </c>
      <c r="D32" s="59"/>
      <c r="E32" s="58">
        <v>0</v>
      </c>
      <c r="F32" s="58">
        <v>0</v>
      </c>
    </row>
    <row r="33" spans="1:6" ht="40.25" customHeight="1">
      <c r="A33" s="59" t="s">
        <v>393</v>
      </c>
      <c r="B33" s="62" t="s">
        <v>374</v>
      </c>
      <c r="C33" s="63" t="s">
        <v>419</v>
      </c>
      <c r="D33" s="59"/>
      <c r="E33" s="58">
        <v>0</v>
      </c>
      <c r="F33" s="58">
        <v>0</v>
      </c>
    </row>
    <row r="34" spans="1:6" ht="40.25" customHeight="1">
      <c r="A34" s="59" t="s">
        <v>393</v>
      </c>
      <c r="B34" s="62" t="s">
        <v>375</v>
      </c>
      <c r="C34" s="63" t="s">
        <v>420</v>
      </c>
      <c r="D34" s="59"/>
      <c r="E34" s="58">
        <v>0</v>
      </c>
      <c r="F34" s="58">
        <v>0</v>
      </c>
    </row>
    <row r="35" spans="1:6" ht="40.25" customHeight="1">
      <c r="A35" s="59" t="s">
        <v>393</v>
      </c>
      <c r="B35" s="62" t="s">
        <v>421</v>
      </c>
      <c r="C35" s="63" t="s">
        <v>422</v>
      </c>
      <c r="D35" s="59"/>
      <c r="E35" s="58">
        <v>0</v>
      </c>
      <c r="F35" s="58">
        <v>0</v>
      </c>
    </row>
    <row r="36" spans="1:6" ht="40.25" customHeight="1">
      <c r="A36" s="59" t="s">
        <v>393</v>
      </c>
      <c r="B36" s="62" t="s">
        <v>376</v>
      </c>
      <c r="C36" s="63" t="s">
        <v>423</v>
      </c>
      <c r="D36" s="59"/>
      <c r="E36" s="58">
        <v>0</v>
      </c>
      <c r="F36" s="58">
        <v>0</v>
      </c>
    </row>
    <row r="37" spans="1:6" ht="40.25" customHeight="1">
      <c r="A37" s="59" t="s">
        <v>424</v>
      </c>
      <c r="B37" s="60" t="s">
        <v>425</v>
      </c>
      <c r="C37" s="61" t="s">
        <v>426</v>
      </c>
      <c r="D37" s="59"/>
      <c r="E37" s="58">
        <v>0</v>
      </c>
      <c r="F37" s="58">
        <v>0</v>
      </c>
    </row>
    <row r="38" spans="1:6" ht="40.25" customHeight="1">
      <c r="A38" s="59" t="s">
        <v>427</v>
      </c>
      <c r="B38" s="60" t="s">
        <v>428</v>
      </c>
      <c r="C38" s="61" t="s">
        <v>429</v>
      </c>
      <c r="D38" s="59"/>
      <c r="E38" s="58">
        <v>66818709332</v>
      </c>
      <c r="F38" s="58">
        <v>79476468286</v>
      </c>
    </row>
    <row r="39" spans="1:6" ht="40.25" customHeight="1">
      <c r="A39" s="59" t="s">
        <v>430</v>
      </c>
      <c r="B39" s="60" t="s">
        <v>431</v>
      </c>
      <c r="C39" s="61" t="s">
        <v>432</v>
      </c>
      <c r="D39" s="59"/>
      <c r="E39" s="58">
        <v>63917892000</v>
      </c>
      <c r="F39" s="58">
        <v>77923378000</v>
      </c>
    </row>
    <row r="40" spans="1:6" ht="40.25" customHeight="1">
      <c r="A40" s="59" t="s">
        <v>393</v>
      </c>
      <c r="B40" s="62" t="s">
        <v>433</v>
      </c>
      <c r="C40" s="63" t="s">
        <v>434</v>
      </c>
      <c r="D40" s="59"/>
      <c r="E40" s="58">
        <v>0</v>
      </c>
      <c r="F40" s="58">
        <v>0</v>
      </c>
    </row>
    <row r="41" spans="1:6" ht="40.25" customHeight="1">
      <c r="A41" s="59" t="s">
        <v>435</v>
      </c>
      <c r="B41" s="60" t="s">
        <v>436</v>
      </c>
      <c r="C41" s="61" t="s">
        <v>437</v>
      </c>
      <c r="D41" s="59"/>
      <c r="E41" s="58">
        <v>3743516986</v>
      </c>
      <c r="F41" s="58">
        <v>2391925753</v>
      </c>
    </row>
    <row r="42" spans="1:6" ht="40.25" customHeight="1">
      <c r="A42" s="59" t="s">
        <v>438</v>
      </c>
      <c r="B42" s="60" t="s">
        <v>439</v>
      </c>
      <c r="C42" s="61" t="s">
        <v>440</v>
      </c>
      <c r="D42" s="59"/>
      <c r="E42" s="58">
        <v>866400000</v>
      </c>
      <c r="F42" s="58">
        <v>866400000</v>
      </c>
    </row>
    <row r="43" spans="1:6" ht="40.25" customHeight="1">
      <c r="A43" s="59" t="s">
        <v>393</v>
      </c>
      <c r="B43" s="62" t="s">
        <v>377</v>
      </c>
      <c r="C43" s="63" t="s">
        <v>441</v>
      </c>
      <c r="D43" s="59"/>
      <c r="E43" s="58">
        <v>866400000</v>
      </c>
      <c r="F43" s="58">
        <v>866400000</v>
      </c>
    </row>
    <row r="44" spans="1:6" ht="40.25" customHeight="1">
      <c r="A44" s="59" t="s">
        <v>393</v>
      </c>
      <c r="B44" s="62" t="s">
        <v>378</v>
      </c>
      <c r="C44" s="63" t="s">
        <v>442</v>
      </c>
      <c r="D44" s="59"/>
      <c r="E44" s="58">
        <v>0</v>
      </c>
      <c r="F44" s="58">
        <v>0</v>
      </c>
    </row>
    <row r="45" spans="1:6" ht="40.25" customHeight="1">
      <c r="A45" s="59" t="s">
        <v>393</v>
      </c>
      <c r="B45" s="62" t="s">
        <v>443</v>
      </c>
      <c r="C45" s="63" t="s">
        <v>444</v>
      </c>
      <c r="D45" s="59"/>
      <c r="E45" s="58">
        <v>0</v>
      </c>
      <c r="F45" s="58">
        <v>0</v>
      </c>
    </row>
    <row r="46" spans="1:6" ht="40.25" customHeight="1">
      <c r="A46" s="59" t="s">
        <v>393</v>
      </c>
      <c r="B46" s="62" t="s">
        <v>445</v>
      </c>
      <c r="C46" s="63" t="s">
        <v>446</v>
      </c>
      <c r="D46" s="59"/>
      <c r="E46" s="58">
        <v>0</v>
      </c>
      <c r="F46" s="58">
        <v>0</v>
      </c>
    </row>
    <row r="47" spans="1:6" ht="40.25" customHeight="1">
      <c r="A47" s="59" t="s">
        <v>393</v>
      </c>
      <c r="B47" s="62" t="s">
        <v>447</v>
      </c>
      <c r="C47" s="63" t="s">
        <v>448</v>
      </c>
      <c r="D47" s="59"/>
      <c r="E47" s="58">
        <v>0</v>
      </c>
      <c r="F47" s="58">
        <v>0</v>
      </c>
    </row>
    <row r="48" spans="1:6" ht="40.25" customHeight="1">
      <c r="A48" s="59" t="s">
        <v>393</v>
      </c>
      <c r="B48" s="60" t="s">
        <v>449</v>
      </c>
      <c r="C48" s="61" t="s">
        <v>450</v>
      </c>
      <c r="D48" s="59"/>
      <c r="E48" s="58">
        <v>866400000</v>
      </c>
      <c r="F48" s="58">
        <v>866400000</v>
      </c>
    </row>
    <row r="49" spans="1:7" ht="40.25" customHeight="1">
      <c r="A49" s="59" t="s">
        <v>451</v>
      </c>
      <c r="B49" s="60" t="s">
        <v>452</v>
      </c>
      <c r="C49" s="61" t="s">
        <v>453</v>
      </c>
      <c r="D49" s="59"/>
      <c r="E49" s="58">
        <v>2877116986</v>
      </c>
      <c r="F49" s="58">
        <v>1525525753</v>
      </c>
    </row>
    <row r="50" spans="1:7" ht="40.25" customHeight="1">
      <c r="A50" s="59" t="s">
        <v>393</v>
      </c>
      <c r="B50" s="62" t="s">
        <v>454</v>
      </c>
      <c r="C50" s="63" t="s">
        <v>455</v>
      </c>
      <c r="D50" s="59"/>
      <c r="E50" s="58">
        <v>2816980000</v>
      </c>
      <c r="F50" s="58">
        <v>1253060000</v>
      </c>
    </row>
    <row r="51" spans="1:7" ht="40.25" customHeight="1">
      <c r="A51" s="59" t="s">
        <v>393</v>
      </c>
      <c r="B51" s="62" t="s">
        <v>456</v>
      </c>
      <c r="C51" s="63" t="s">
        <v>457</v>
      </c>
      <c r="D51" s="59"/>
      <c r="E51" s="58">
        <v>60136986</v>
      </c>
      <c r="F51" s="58">
        <v>272465753</v>
      </c>
    </row>
    <row r="52" spans="1:7" ht="40.25" customHeight="1">
      <c r="A52" s="59" t="s">
        <v>393</v>
      </c>
      <c r="B52" s="62" t="s">
        <v>458</v>
      </c>
      <c r="C52" s="63" t="s">
        <v>459</v>
      </c>
      <c r="D52" s="59"/>
      <c r="E52" s="58">
        <v>0</v>
      </c>
      <c r="F52" s="58">
        <v>0</v>
      </c>
    </row>
    <row r="53" spans="1:7" ht="40.25" customHeight="1">
      <c r="A53" s="59" t="s">
        <v>393</v>
      </c>
      <c r="B53" s="62" t="s">
        <v>460</v>
      </c>
      <c r="C53" s="63" t="s">
        <v>461</v>
      </c>
      <c r="D53" s="59"/>
      <c r="E53" s="58">
        <v>0</v>
      </c>
      <c r="F53" s="58">
        <v>0</v>
      </c>
    </row>
    <row r="54" spans="1:7" ht="40.25" customHeight="1">
      <c r="A54" s="59" t="s">
        <v>393</v>
      </c>
      <c r="B54" s="62" t="s">
        <v>462</v>
      </c>
      <c r="C54" s="63" t="s">
        <v>463</v>
      </c>
      <c r="D54" s="59"/>
      <c r="E54" s="58">
        <v>0</v>
      </c>
      <c r="F54" s="58">
        <v>0</v>
      </c>
    </row>
    <row r="55" spans="1:7" ht="40.25" customHeight="1">
      <c r="A55" s="59" t="s">
        <v>393</v>
      </c>
      <c r="B55" s="62" t="s">
        <v>464</v>
      </c>
      <c r="C55" s="63" t="s">
        <v>465</v>
      </c>
      <c r="D55" s="59"/>
      <c r="E55" s="58">
        <v>0</v>
      </c>
      <c r="F55" s="58">
        <v>0</v>
      </c>
    </row>
    <row r="56" spans="1:7" ht="40.25" customHeight="1">
      <c r="A56" s="59" t="s">
        <v>466</v>
      </c>
      <c r="B56" s="60" t="s">
        <v>467</v>
      </c>
      <c r="C56" s="61" t="s">
        <v>468</v>
      </c>
      <c r="D56" s="59"/>
      <c r="E56" s="58">
        <v>23700346</v>
      </c>
      <c r="F56" s="58">
        <v>27564533</v>
      </c>
    </row>
    <row r="57" spans="1:7" s="65" customFormat="1" ht="40.25" customHeight="1">
      <c r="A57" s="59" t="s">
        <v>393</v>
      </c>
      <c r="B57" s="62" t="s">
        <v>469</v>
      </c>
      <c r="C57" s="63" t="s">
        <v>470</v>
      </c>
      <c r="D57" s="59"/>
      <c r="E57" s="58">
        <v>0</v>
      </c>
      <c r="F57" s="58">
        <v>0</v>
      </c>
      <c r="G57" s="64"/>
    </row>
    <row r="58" spans="1:7" ht="40.25" customHeight="1">
      <c r="A58" s="59" t="s">
        <v>393</v>
      </c>
      <c r="B58" s="62" t="s">
        <v>471</v>
      </c>
      <c r="C58" s="63" t="s">
        <v>472</v>
      </c>
      <c r="D58" s="59"/>
      <c r="E58" s="58">
        <v>23700346</v>
      </c>
      <c r="F58" s="58">
        <v>27564533</v>
      </c>
    </row>
    <row r="59" spans="1:7" ht="40.25" customHeight="1">
      <c r="A59" s="59" t="s">
        <v>393</v>
      </c>
      <c r="B59" s="62" t="s">
        <v>473</v>
      </c>
      <c r="C59" s="63" t="s">
        <v>474</v>
      </c>
      <c r="D59" s="59"/>
      <c r="E59" s="58">
        <v>0</v>
      </c>
      <c r="F59" s="58">
        <v>0</v>
      </c>
    </row>
    <row r="60" spans="1:7" ht="40.25" customHeight="1">
      <c r="A60" s="59" t="s">
        <v>475</v>
      </c>
      <c r="B60" s="60" t="s">
        <v>476</v>
      </c>
      <c r="C60" s="61" t="s">
        <v>477</v>
      </c>
      <c r="D60" s="59"/>
      <c r="E60" s="58">
        <v>-866400000</v>
      </c>
      <c r="F60" s="58">
        <v>-866400000</v>
      </c>
    </row>
    <row r="61" spans="1:7" ht="40.25" customHeight="1">
      <c r="A61" s="16" t="s">
        <v>393</v>
      </c>
      <c r="B61" s="57" t="s">
        <v>379</v>
      </c>
      <c r="C61" s="11" t="s">
        <v>478</v>
      </c>
      <c r="D61" s="25"/>
      <c r="E61" s="25">
        <v>1356049014120</v>
      </c>
      <c r="F61" s="25">
        <v>1292828825416</v>
      </c>
    </row>
    <row r="62" spans="1:7" ht="40.25" customHeight="1">
      <c r="A62" s="16" t="s">
        <v>22</v>
      </c>
      <c r="B62" s="57" t="s">
        <v>479</v>
      </c>
      <c r="C62" s="11" t="s">
        <v>22</v>
      </c>
      <c r="D62" s="25"/>
      <c r="E62" s="25"/>
      <c r="F62" s="25"/>
    </row>
    <row r="63" spans="1:7" ht="40.25" customHeight="1">
      <c r="A63" s="59" t="s">
        <v>387</v>
      </c>
      <c r="B63" s="60" t="s">
        <v>480</v>
      </c>
      <c r="C63" s="61" t="s">
        <v>481</v>
      </c>
      <c r="D63" s="59"/>
      <c r="E63" s="58">
        <v>0</v>
      </c>
      <c r="F63" s="58">
        <v>0</v>
      </c>
    </row>
    <row r="64" spans="1:7" ht="40.25" customHeight="1">
      <c r="A64" s="59" t="s">
        <v>393</v>
      </c>
      <c r="B64" s="62" t="s">
        <v>482</v>
      </c>
      <c r="C64" s="63" t="s">
        <v>483</v>
      </c>
      <c r="D64" s="59"/>
      <c r="E64" s="58">
        <v>0</v>
      </c>
      <c r="F64" s="58">
        <v>0</v>
      </c>
    </row>
    <row r="65" spans="1:6" ht="40.25" customHeight="1">
      <c r="A65" s="59" t="s">
        <v>393</v>
      </c>
      <c r="B65" s="62" t="s">
        <v>484</v>
      </c>
      <c r="C65" s="63" t="s">
        <v>485</v>
      </c>
      <c r="D65" s="59"/>
      <c r="E65" s="58">
        <v>0</v>
      </c>
      <c r="F65" s="58">
        <v>0</v>
      </c>
    </row>
    <row r="66" spans="1:6" ht="40.25" customHeight="1">
      <c r="A66" s="59" t="s">
        <v>404</v>
      </c>
      <c r="B66" s="60" t="s">
        <v>486</v>
      </c>
      <c r="C66" s="61" t="s">
        <v>487</v>
      </c>
      <c r="D66" s="59"/>
      <c r="E66" s="58">
        <v>24325815000</v>
      </c>
      <c r="F66" s="58">
        <v>18807159000</v>
      </c>
    </row>
    <row r="67" spans="1:6" ht="40.25" customHeight="1">
      <c r="A67" s="59" t="s">
        <v>427</v>
      </c>
      <c r="B67" s="60" t="s">
        <v>488</v>
      </c>
      <c r="C67" s="61" t="s">
        <v>489</v>
      </c>
      <c r="D67" s="59"/>
      <c r="E67" s="58">
        <v>250748580</v>
      </c>
      <c r="F67" s="58">
        <v>172315032</v>
      </c>
    </row>
    <row r="68" spans="1:6" ht="40.25" customHeight="1">
      <c r="A68" s="59" t="s">
        <v>393</v>
      </c>
      <c r="B68" s="62" t="s">
        <v>490</v>
      </c>
      <c r="C68" s="63" t="s">
        <v>491</v>
      </c>
      <c r="D68" s="59"/>
      <c r="E68" s="58">
        <v>6835448</v>
      </c>
      <c r="F68" s="58">
        <v>6835448</v>
      </c>
    </row>
    <row r="69" spans="1:6" ht="40.25" customHeight="1">
      <c r="A69" s="59" t="s">
        <v>393</v>
      </c>
      <c r="B69" s="62" t="s">
        <v>492</v>
      </c>
      <c r="C69" s="63" t="s">
        <v>493</v>
      </c>
      <c r="D69" s="59"/>
      <c r="E69" s="58">
        <v>243913132</v>
      </c>
      <c r="F69" s="58">
        <v>165479584</v>
      </c>
    </row>
    <row r="70" spans="1:6" ht="40.25" customHeight="1">
      <c r="A70" s="59" t="s">
        <v>494</v>
      </c>
      <c r="B70" s="60" t="s">
        <v>495</v>
      </c>
      <c r="C70" s="61" t="s">
        <v>496</v>
      </c>
      <c r="D70" s="59"/>
      <c r="E70" s="58">
        <v>37910173</v>
      </c>
      <c r="F70" s="58">
        <v>15356648</v>
      </c>
    </row>
    <row r="71" spans="1:6" ht="40.25" customHeight="1">
      <c r="A71" s="59" t="s">
        <v>497</v>
      </c>
      <c r="B71" s="60" t="s">
        <v>498</v>
      </c>
      <c r="C71" s="61" t="s">
        <v>499</v>
      </c>
      <c r="D71" s="59"/>
      <c r="E71" s="58">
        <v>39925000</v>
      </c>
      <c r="F71" s="58">
        <v>39925000</v>
      </c>
    </row>
    <row r="72" spans="1:6" ht="40.25" customHeight="1">
      <c r="A72" s="59" t="s">
        <v>500</v>
      </c>
      <c r="B72" s="60" t="s">
        <v>501</v>
      </c>
      <c r="C72" s="61" t="s">
        <v>502</v>
      </c>
      <c r="D72" s="59"/>
      <c r="E72" s="58">
        <v>265330919</v>
      </c>
      <c r="F72" s="58">
        <v>256867861</v>
      </c>
    </row>
    <row r="73" spans="1:6" ht="40.25" customHeight="1">
      <c r="A73" s="59" t="s">
        <v>393</v>
      </c>
      <c r="B73" s="62" t="s">
        <v>382</v>
      </c>
      <c r="C73" s="63" t="s">
        <v>503</v>
      </c>
      <c r="D73" s="59"/>
      <c r="E73" s="58">
        <v>151826706</v>
      </c>
      <c r="F73" s="58">
        <v>160266491</v>
      </c>
    </row>
    <row r="74" spans="1:6" ht="40.25" customHeight="1">
      <c r="A74" s="59" t="s">
        <v>393</v>
      </c>
      <c r="B74" s="62" t="s">
        <v>504</v>
      </c>
      <c r="C74" s="63" t="s">
        <v>505</v>
      </c>
      <c r="D74" s="59"/>
      <c r="E74" s="58">
        <v>151826706</v>
      </c>
      <c r="F74" s="58">
        <v>160266491</v>
      </c>
    </row>
    <row r="75" spans="1:6" ht="40.25" customHeight="1">
      <c r="A75" s="59" t="s">
        <v>393</v>
      </c>
      <c r="B75" s="62" t="s">
        <v>506</v>
      </c>
      <c r="C75" s="63" t="s">
        <v>507</v>
      </c>
      <c r="D75" s="59"/>
      <c r="E75" s="58">
        <v>0</v>
      </c>
      <c r="F75" s="58">
        <v>0</v>
      </c>
    </row>
    <row r="76" spans="1:6" ht="40.25" customHeight="1">
      <c r="A76" s="59" t="s">
        <v>393</v>
      </c>
      <c r="B76" s="62" t="s">
        <v>508</v>
      </c>
      <c r="C76" s="63" t="s">
        <v>509</v>
      </c>
      <c r="D76" s="59"/>
      <c r="E76" s="58">
        <v>95553528</v>
      </c>
      <c r="F76" s="58">
        <v>79636986</v>
      </c>
    </row>
    <row r="77" spans="1:6" ht="40.25" customHeight="1">
      <c r="A77" s="59" t="s">
        <v>393</v>
      </c>
      <c r="B77" s="62" t="s">
        <v>510</v>
      </c>
      <c r="C77" s="63" t="s">
        <v>511</v>
      </c>
      <c r="D77" s="59"/>
      <c r="E77" s="58">
        <v>0</v>
      </c>
      <c r="F77" s="58">
        <v>0</v>
      </c>
    </row>
    <row r="78" spans="1:6" ht="40.25" customHeight="1">
      <c r="A78" s="59" t="s">
        <v>393</v>
      </c>
      <c r="B78" s="62" t="s">
        <v>512</v>
      </c>
      <c r="C78" s="63" t="s">
        <v>513</v>
      </c>
      <c r="D78" s="59"/>
      <c r="E78" s="58">
        <v>0</v>
      </c>
      <c r="F78" s="58">
        <v>0</v>
      </c>
    </row>
    <row r="79" spans="1:6" ht="40.25" customHeight="1">
      <c r="A79" s="59" t="s">
        <v>393</v>
      </c>
      <c r="B79" s="62" t="s">
        <v>514</v>
      </c>
      <c r="C79" s="63" t="s">
        <v>515</v>
      </c>
      <c r="D79" s="59"/>
      <c r="E79" s="58">
        <v>17950685</v>
      </c>
      <c r="F79" s="58">
        <v>16964384</v>
      </c>
    </row>
    <row r="80" spans="1:6" ht="40.25" customHeight="1">
      <c r="A80" s="59" t="s">
        <v>393</v>
      </c>
      <c r="B80" s="62" t="s">
        <v>516</v>
      </c>
      <c r="C80" s="63" t="s">
        <v>517</v>
      </c>
      <c r="D80" s="59"/>
      <c r="E80" s="58">
        <v>0</v>
      </c>
      <c r="F80" s="58">
        <v>0</v>
      </c>
    </row>
    <row r="81" spans="1:6" ht="40.25" customHeight="1">
      <c r="A81" s="59" t="s">
        <v>393</v>
      </c>
      <c r="B81" s="62" t="s">
        <v>518</v>
      </c>
      <c r="C81" s="63" t="s">
        <v>519</v>
      </c>
      <c r="D81" s="59"/>
      <c r="E81" s="58">
        <v>0</v>
      </c>
      <c r="F81" s="58">
        <v>0</v>
      </c>
    </row>
    <row r="82" spans="1:6" ht="40.25" customHeight="1">
      <c r="A82" s="59" t="s">
        <v>520</v>
      </c>
      <c r="B82" s="60" t="s">
        <v>521</v>
      </c>
      <c r="C82" s="61" t="s">
        <v>522</v>
      </c>
      <c r="D82" s="59"/>
      <c r="E82" s="58">
        <v>1117586152</v>
      </c>
      <c r="F82" s="58">
        <v>1140800113</v>
      </c>
    </row>
    <row r="83" spans="1:6" ht="40.25" customHeight="1">
      <c r="A83" s="59" t="s">
        <v>393</v>
      </c>
      <c r="B83" s="62" t="s">
        <v>380</v>
      </c>
      <c r="C83" s="63" t="s">
        <v>523</v>
      </c>
      <c r="D83" s="59"/>
      <c r="E83" s="58">
        <v>1117586152</v>
      </c>
      <c r="F83" s="58">
        <v>1140800113</v>
      </c>
    </row>
    <row r="84" spans="1:6" ht="40.25" customHeight="1">
      <c r="A84" s="59" t="s">
        <v>393</v>
      </c>
      <c r="B84" s="62" t="s">
        <v>381</v>
      </c>
      <c r="C84" s="63" t="s">
        <v>524</v>
      </c>
      <c r="D84" s="59"/>
      <c r="E84" s="58">
        <v>0</v>
      </c>
      <c r="F84" s="58">
        <v>0</v>
      </c>
    </row>
    <row r="85" spans="1:6" ht="40.25" customHeight="1">
      <c r="A85" s="59" t="s">
        <v>525</v>
      </c>
      <c r="B85" s="60" t="s">
        <v>526</v>
      </c>
      <c r="C85" s="61" t="s">
        <v>527</v>
      </c>
      <c r="D85" s="59"/>
      <c r="E85" s="58">
        <v>6848509910</v>
      </c>
      <c r="F85" s="58">
        <v>1776948590</v>
      </c>
    </row>
    <row r="86" spans="1:6" ht="40.25" customHeight="1">
      <c r="A86" s="59" t="s">
        <v>528</v>
      </c>
      <c r="B86" s="60" t="s">
        <v>529</v>
      </c>
      <c r="C86" s="61" t="s">
        <v>530</v>
      </c>
      <c r="D86" s="59"/>
      <c r="E86" s="58">
        <v>2284333149</v>
      </c>
      <c r="F86" s="58">
        <v>2218357407</v>
      </c>
    </row>
    <row r="87" spans="1:6" ht="40.25" customHeight="1">
      <c r="A87" s="59" t="s">
        <v>393</v>
      </c>
      <c r="B87" s="62" t="s">
        <v>531</v>
      </c>
      <c r="C87" s="63" t="s">
        <v>532</v>
      </c>
      <c r="D87" s="59"/>
      <c r="E87" s="58">
        <v>2113012199</v>
      </c>
      <c r="F87" s="58">
        <v>2055807393</v>
      </c>
    </row>
    <row r="88" spans="1:6" ht="40.25" customHeight="1">
      <c r="A88" s="59" t="s">
        <v>393</v>
      </c>
      <c r="B88" s="62" t="s">
        <v>533</v>
      </c>
      <c r="C88" s="63" t="s">
        <v>534</v>
      </c>
      <c r="D88" s="59"/>
      <c r="E88" s="58">
        <v>80643839</v>
      </c>
      <c r="F88" s="58">
        <v>73970409</v>
      </c>
    </row>
    <row r="89" spans="1:6" ht="40.25" customHeight="1">
      <c r="A89" s="59" t="s">
        <v>393</v>
      </c>
      <c r="B89" s="62" t="s">
        <v>23</v>
      </c>
      <c r="C89" s="63" t="s">
        <v>535</v>
      </c>
      <c r="D89" s="59"/>
      <c r="E89" s="58">
        <v>43343839</v>
      </c>
      <c r="F89" s="58">
        <v>42170409</v>
      </c>
    </row>
    <row r="90" spans="1:6" ht="40.25" customHeight="1">
      <c r="A90" s="59" t="s">
        <v>393</v>
      </c>
      <c r="B90" s="62" t="s">
        <v>35</v>
      </c>
      <c r="C90" s="63" t="s">
        <v>536</v>
      </c>
      <c r="D90" s="59"/>
      <c r="E90" s="58">
        <v>37300000</v>
      </c>
      <c r="F90" s="58">
        <v>31800000</v>
      </c>
    </row>
    <row r="91" spans="1:6" ht="40.25" customHeight="1">
      <c r="A91" s="59" t="s">
        <v>393</v>
      </c>
      <c r="B91" s="62" t="s">
        <v>345</v>
      </c>
      <c r="C91" s="63" t="s">
        <v>537</v>
      </c>
      <c r="D91" s="59"/>
      <c r="E91" s="58">
        <v>0</v>
      </c>
      <c r="F91" s="58">
        <v>0</v>
      </c>
    </row>
    <row r="92" spans="1:6" ht="40.25" customHeight="1">
      <c r="A92" s="59" t="s">
        <v>393</v>
      </c>
      <c r="B92" s="62" t="s">
        <v>538</v>
      </c>
      <c r="C92" s="63" t="s">
        <v>539</v>
      </c>
      <c r="D92" s="59"/>
      <c r="E92" s="58">
        <v>29798887</v>
      </c>
      <c r="F92" s="58">
        <v>28992156</v>
      </c>
    </row>
    <row r="93" spans="1:6" ht="40.25" customHeight="1">
      <c r="A93" s="59" t="s">
        <v>393</v>
      </c>
      <c r="B93" s="62" t="s">
        <v>540</v>
      </c>
      <c r="C93" s="63" t="s">
        <v>541</v>
      </c>
      <c r="D93" s="59"/>
      <c r="E93" s="58">
        <v>47678224</v>
      </c>
      <c r="F93" s="58">
        <v>46387449</v>
      </c>
    </row>
    <row r="94" spans="1:6" ht="40.25" customHeight="1">
      <c r="A94" s="59" t="s">
        <v>393</v>
      </c>
      <c r="B94" s="62" t="s">
        <v>542</v>
      </c>
      <c r="C94" s="63" t="s">
        <v>543</v>
      </c>
      <c r="D94" s="59"/>
      <c r="E94" s="58">
        <v>13200000</v>
      </c>
      <c r="F94" s="58">
        <v>13200000</v>
      </c>
    </row>
    <row r="95" spans="1:6" ht="40.25" customHeight="1">
      <c r="A95" s="59" t="s">
        <v>393</v>
      </c>
      <c r="B95" s="62" t="s">
        <v>544</v>
      </c>
      <c r="C95" s="63" t="s">
        <v>545</v>
      </c>
      <c r="D95" s="59"/>
      <c r="E95" s="58">
        <v>0</v>
      </c>
      <c r="F95" s="58">
        <v>0</v>
      </c>
    </row>
    <row r="96" spans="1:6" ht="40.25" customHeight="1">
      <c r="A96" s="59" t="s">
        <v>393</v>
      </c>
      <c r="B96" s="62" t="s">
        <v>546</v>
      </c>
      <c r="C96" s="63" t="s">
        <v>547</v>
      </c>
      <c r="D96" s="59"/>
      <c r="E96" s="58">
        <v>0</v>
      </c>
      <c r="F96" s="58">
        <v>0</v>
      </c>
    </row>
    <row r="97" spans="1:6" ht="40.25" customHeight="1">
      <c r="A97" s="59" t="s">
        <v>164</v>
      </c>
      <c r="B97" s="60" t="s">
        <v>548</v>
      </c>
      <c r="C97" s="61" t="s">
        <v>549</v>
      </c>
      <c r="D97" s="59"/>
      <c r="E97" s="58">
        <v>210893394</v>
      </c>
      <c r="F97" s="58">
        <v>202529703</v>
      </c>
    </row>
    <row r="98" spans="1:6" ht="40.25" customHeight="1">
      <c r="A98" s="59" t="s">
        <v>393</v>
      </c>
      <c r="B98" s="62" t="s">
        <v>384</v>
      </c>
      <c r="C98" s="63" t="s">
        <v>550</v>
      </c>
      <c r="D98" s="59"/>
      <c r="E98" s="58">
        <v>23500000</v>
      </c>
      <c r="F98" s="58">
        <v>15752747</v>
      </c>
    </row>
    <row r="99" spans="1:6" ht="40.25" customHeight="1">
      <c r="A99" s="59" t="s">
        <v>393</v>
      </c>
      <c r="B99" s="62" t="s">
        <v>385</v>
      </c>
      <c r="C99" s="63" t="s">
        <v>551</v>
      </c>
      <c r="D99" s="59"/>
      <c r="E99" s="58">
        <v>0</v>
      </c>
      <c r="F99" s="58">
        <v>0</v>
      </c>
    </row>
    <row r="100" spans="1:6" ht="40.25" customHeight="1">
      <c r="A100" s="59" t="s">
        <v>393</v>
      </c>
      <c r="B100" s="62" t="s">
        <v>552</v>
      </c>
      <c r="C100" s="63" t="s">
        <v>553</v>
      </c>
      <c r="D100" s="59"/>
      <c r="E100" s="58">
        <v>3719178</v>
      </c>
      <c r="F100" s="58">
        <v>3102740</v>
      </c>
    </row>
    <row r="101" spans="1:6" ht="40.25" customHeight="1">
      <c r="A101" s="59" t="s">
        <v>393</v>
      </c>
      <c r="B101" s="62" t="s">
        <v>554</v>
      </c>
      <c r="C101" s="63" t="s">
        <v>555</v>
      </c>
      <c r="D101" s="59"/>
      <c r="E101" s="58">
        <v>7191250</v>
      </c>
      <c r="F101" s="58">
        <v>7191250</v>
      </c>
    </row>
    <row r="102" spans="1:6" ht="40.25" customHeight="1">
      <c r="A102" s="59" t="s">
        <v>393</v>
      </c>
      <c r="B102" s="62" t="s">
        <v>383</v>
      </c>
      <c r="C102" s="63" t="s">
        <v>556</v>
      </c>
      <c r="D102" s="59"/>
      <c r="E102" s="58">
        <v>176482966</v>
      </c>
      <c r="F102" s="58">
        <v>176482966</v>
      </c>
    </row>
    <row r="103" spans="1:6" ht="40.25" customHeight="1">
      <c r="A103" s="16" t="s">
        <v>393</v>
      </c>
      <c r="B103" s="57" t="s">
        <v>557</v>
      </c>
      <c r="C103" s="11" t="s">
        <v>558</v>
      </c>
      <c r="D103" s="25"/>
      <c r="E103" s="25">
        <v>35381052277</v>
      </c>
      <c r="F103" s="25">
        <v>24630259354</v>
      </c>
    </row>
    <row r="104" spans="1:6" ht="40.25" customHeight="1">
      <c r="A104" s="16" t="s">
        <v>26</v>
      </c>
      <c r="B104" s="57" t="s">
        <v>559</v>
      </c>
      <c r="C104" s="11" t="s">
        <v>560</v>
      </c>
      <c r="D104" s="25"/>
      <c r="E104" s="25">
        <v>1320667961843</v>
      </c>
      <c r="F104" s="25">
        <v>1268198566062</v>
      </c>
    </row>
    <row r="105" spans="1:6" ht="40.25" customHeight="1">
      <c r="A105" s="59" t="s">
        <v>387</v>
      </c>
      <c r="B105" s="60" t="s">
        <v>561</v>
      </c>
      <c r="C105" s="61" t="s">
        <v>562</v>
      </c>
      <c r="D105" s="59"/>
      <c r="E105" s="58">
        <v>223472437500</v>
      </c>
      <c r="F105" s="58">
        <v>227201375500</v>
      </c>
    </row>
    <row r="106" spans="1:6" ht="40.25" customHeight="1">
      <c r="A106" s="59" t="s">
        <v>390</v>
      </c>
      <c r="B106" s="60" t="s">
        <v>563</v>
      </c>
      <c r="C106" s="61" t="s">
        <v>564</v>
      </c>
      <c r="D106" s="59"/>
      <c r="E106" s="58">
        <v>1904542709800</v>
      </c>
      <c r="F106" s="58">
        <v>1901058252200</v>
      </c>
    </row>
    <row r="107" spans="1:6" ht="40.25" customHeight="1">
      <c r="A107" s="59" t="s">
        <v>401</v>
      </c>
      <c r="B107" s="60" t="s">
        <v>565</v>
      </c>
      <c r="C107" s="61" t="s">
        <v>566</v>
      </c>
      <c r="D107" s="59"/>
      <c r="E107" s="58">
        <v>-1681070272300</v>
      </c>
      <c r="F107" s="58">
        <v>-1673856876700</v>
      </c>
    </row>
    <row r="108" spans="1:6" ht="40.25" customHeight="1">
      <c r="A108" s="59" t="s">
        <v>404</v>
      </c>
      <c r="B108" s="60" t="s">
        <v>567</v>
      </c>
      <c r="C108" s="61" t="s">
        <v>568</v>
      </c>
      <c r="D108" s="59"/>
      <c r="E108" s="58">
        <v>897764435688</v>
      </c>
      <c r="F108" s="58">
        <v>916177157368</v>
      </c>
    </row>
    <row r="109" spans="1:6" ht="40.25" customHeight="1">
      <c r="A109" s="59" t="s">
        <v>427</v>
      </c>
      <c r="B109" s="60" t="s">
        <v>569</v>
      </c>
      <c r="C109" s="61" t="s">
        <v>570</v>
      </c>
      <c r="D109" s="59"/>
      <c r="E109" s="58">
        <v>86814687711</v>
      </c>
      <c r="F109" s="58">
        <v>12203632250</v>
      </c>
    </row>
    <row r="110" spans="1:6" ht="40.25" customHeight="1">
      <c r="A110" s="59" t="s">
        <v>430</v>
      </c>
      <c r="B110" s="60" t="s">
        <v>571</v>
      </c>
      <c r="C110" s="61" t="s">
        <v>572</v>
      </c>
      <c r="D110" s="59"/>
      <c r="E110" s="58">
        <v>12203632250</v>
      </c>
      <c r="F110" s="58">
        <v>-34253959013</v>
      </c>
    </row>
    <row r="111" spans="1:6" ht="40.25" customHeight="1">
      <c r="A111" s="59" t="s">
        <v>435</v>
      </c>
      <c r="B111" s="60" t="s">
        <v>573</v>
      </c>
      <c r="C111" s="61" t="s">
        <v>574</v>
      </c>
      <c r="D111" s="59"/>
      <c r="E111" s="58">
        <v>74611055461</v>
      </c>
      <c r="F111" s="58">
        <v>46457591263</v>
      </c>
    </row>
    <row r="112" spans="1:6" ht="40.25" customHeight="1">
      <c r="A112" s="16" t="s">
        <v>27</v>
      </c>
      <c r="B112" s="57" t="s">
        <v>575</v>
      </c>
      <c r="C112" s="11" t="s">
        <v>576</v>
      </c>
      <c r="D112" s="25"/>
      <c r="E112" s="69">
        <v>59097.57</v>
      </c>
      <c r="F112" s="69">
        <v>55818.26</v>
      </c>
    </row>
    <row r="113" spans="1:7" ht="40.25" customHeight="1">
      <c r="A113" s="16" t="s">
        <v>28</v>
      </c>
      <c r="B113" s="57" t="s">
        <v>577</v>
      </c>
      <c r="C113" s="11" t="s">
        <v>578</v>
      </c>
      <c r="D113" s="25"/>
      <c r="E113" s="25">
        <v>0</v>
      </c>
      <c r="F113" s="25">
        <v>0</v>
      </c>
    </row>
    <row r="114" spans="1:7" ht="40.25" customHeight="1">
      <c r="A114" s="59" t="s">
        <v>387</v>
      </c>
      <c r="B114" s="60" t="s">
        <v>579</v>
      </c>
      <c r="C114" s="61" t="s">
        <v>580</v>
      </c>
      <c r="D114" s="59"/>
      <c r="E114" s="58">
        <v>0</v>
      </c>
      <c r="F114" s="58">
        <v>0</v>
      </c>
    </row>
    <row r="115" spans="1:7" ht="40.25" customHeight="1">
      <c r="A115" s="59" t="s">
        <v>404</v>
      </c>
      <c r="B115" s="60" t="s">
        <v>581</v>
      </c>
      <c r="C115" s="61" t="s">
        <v>582</v>
      </c>
      <c r="D115" s="59"/>
      <c r="E115" s="58">
        <v>0</v>
      </c>
      <c r="F115" s="58">
        <v>0</v>
      </c>
    </row>
    <row r="116" spans="1:7" ht="40.25" customHeight="1">
      <c r="A116" s="16" t="s">
        <v>29</v>
      </c>
      <c r="B116" s="57" t="s">
        <v>583</v>
      </c>
      <c r="C116" s="11" t="s">
        <v>29</v>
      </c>
      <c r="D116" s="25"/>
      <c r="E116" s="25"/>
      <c r="F116" s="25"/>
    </row>
    <row r="117" spans="1:7" ht="40.25" customHeight="1">
      <c r="A117" s="59" t="s">
        <v>387</v>
      </c>
      <c r="B117" s="60" t="s">
        <v>584</v>
      </c>
      <c r="C117" s="61" t="s">
        <v>585</v>
      </c>
      <c r="D117" s="59"/>
      <c r="E117" s="58">
        <v>0</v>
      </c>
      <c r="F117" s="58">
        <v>0</v>
      </c>
    </row>
    <row r="118" spans="1:7" ht="40.25" customHeight="1">
      <c r="A118" s="59" t="s">
        <v>404</v>
      </c>
      <c r="B118" s="60" t="s">
        <v>586</v>
      </c>
      <c r="C118" s="61" t="s">
        <v>587</v>
      </c>
      <c r="D118" s="59"/>
      <c r="E118" s="58">
        <v>0</v>
      </c>
      <c r="F118" s="58">
        <v>0</v>
      </c>
    </row>
    <row r="119" spans="1:7" ht="40.25" customHeight="1">
      <c r="A119" s="59" t="s">
        <v>427</v>
      </c>
      <c r="B119" s="60" t="s">
        <v>588</v>
      </c>
      <c r="C119" s="61" t="s">
        <v>589</v>
      </c>
      <c r="D119" s="59"/>
      <c r="E119" s="58">
        <v>0</v>
      </c>
      <c r="F119" s="58">
        <v>0</v>
      </c>
    </row>
    <row r="120" spans="1:7" ht="40.25" customHeight="1">
      <c r="A120" s="66" t="s">
        <v>494</v>
      </c>
      <c r="B120" s="67" t="s">
        <v>590</v>
      </c>
      <c r="C120" s="61" t="s">
        <v>591</v>
      </c>
      <c r="D120" s="66"/>
      <c r="E120" s="68">
        <v>22347243.75</v>
      </c>
      <c r="F120" s="68">
        <v>22720137.550000001</v>
      </c>
    </row>
    <row r="121" spans="1:7" s="40" customFormat="1" ht="13">
      <c r="A121" s="15"/>
      <c r="B121" s="15"/>
      <c r="C121" s="15"/>
      <c r="D121" s="15"/>
      <c r="E121" s="15"/>
      <c r="F121" s="15"/>
      <c r="G121" s="2"/>
    </row>
    <row r="123" spans="1:7" ht="17" customHeight="1">
      <c r="A123" s="210" t="s">
        <v>233</v>
      </c>
      <c r="B123" s="210"/>
      <c r="C123" s="210" t="s">
        <v>234</v>
      </c>
      <c r="D123" s="210"/>
      <c r="E123" s="210"/>
      <c r="F123" s="210"/>
    </row>
    <row r="136" spans="1:6">
      <c r="A136" s="202" t="s">
        <v>597</v>
      </c>
      <c r="B136" s="202"/>
      <c r="C136" s="202" t="s">
        <v>598</v>
      </c>
      <c r="D136" s="202"/>
      <c r="E136" s="202"/>
      <c r="F136" s="15" t="s">
        <v>1385</v>
      </c>
    </row>
    <row r="137" spans="1:6" ht="17" customHeight="1">
      <c r="A137" s="201" t="s">
        <v>1379</v>
      </c>
      <c r="B137" s="201"/>
      <c r="C137" s="201" t="s">
        <v>1380</v>
      </c>
      <c r="D137" s="201"/>
      <c r="E137" s="201"/>
      <c r="F137" s="154" t="s">
        <v>1369</v>
      </c>
    </row>
    <row r="138" spans="1:6" ht="17" customHeight="1">
      <c r="A138" s="202" t="s">
        <v>1381</v>
      </c>
      <c r="B138" s="202"/>
      <c r="C138" s="202" t="s">
        <v>1382</v>
      </c>
      <c r="D138" s="202"/>
      <c r="E138" s="202"/>
      <c r="F138" s="155" t="s">
        <v>1371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9" zoomScale="70" zoomScaleNormal="100" zoomScaleSheetLayoutView="70" workbookViewId="0">
      <selection activeCell="E89" sqref="E89"/>
    </sheetView>
  </sheetViews>
  <sheetFormatPr defaultColWidth="8.81640625" defaultRowHeight="12.5"/>
  <cols>
    <col min="1" max="1" width="8.81640625" style="4"/>
    <col min="2" max="2" width="44.1796875" style="4" customWidth="1"/>
    <col min="3" max="3" width="10.1796875" style="4" customWidth="1"/>
    <col min="4" max="5" width="41.1796875" style="4" customWidth="1"/>
    <col min="6" max="6" width="37.54296875" style="4" customWidth="1"/>
    <col min="7" max="16384" width="8.81640625" style="4"/>
  </cols>
  <sheetData>
    <row r="1" spans="1:6" s="5" customFormat="1" ht="54.75" customHeight="1">
      <c r="A1" s="217" t="s">
        <v>651</v>
      </c>
      <c r="B1" s="217"/>
      <c r="C1" s="217"/>
      <c r="D1" s="217"/>
      <c r="E1" s="217"/>
      <c r="F1" s="217"/>
    </row>
    <row r="2" spans="1:6" s="5" customFormat="1" ht="50.5" customHeight="1">
      <c r="A2" s="218" t="s">
        <v>652</v>
      </c>
      <c r="B2" s="218"/>
      <c r="C2" s="218"/>
      <c r="D2" s="218"/>
      <c r="E2" s="218"/>
      <c r="F2" s="218"/>
    </row>
    <row r="3" spans="1:6" s="5" customFormat="1">
      <c r="A3" s="219" t="s">
        <v>600</v>
      </c>
      <c r="B3" s="219"/>
      <c r="C3" s="219"/>
      <c r="D3" s="219"/>
      <c r="E3" s="219"/>
      <c r="F3" s="219"/>
    </row>
    <row r="4" spans="1:6" s="5" customFormat="1" ht="32.75" customHeight="1">
      <c r="A4" s="219"/>
      <c r="B4" s="219"/>
      <c r="C4" s="219"/>
      <c r="D4" s="219"/>
      <c r="E4" s="219"/>
      <c r="F4" s="219"/>
    </row>
    <row r="5" spans="1:6" s="5" customFormat="1" ht="17" customHeight="1">
      <c r="A5" s="220" t="s">
        <v>1360</v>
      </c>
      <c r="B5" s="220"/>
      <c r="C5" s="220"/>
      <c r="D5" s="220"/>
      <c r="E5" s="220"/>
      <c r="F5" s="220"/>
    </row>
    <row r="6" spans="1:6">
      <c r="A6" s="15"/>
      <c r="B6" s="15"/>
      <c r="C6" s="15"/>
      <c r="D6" s="15"/>
      <c r="E6" s="15"/>
      <c r="F6" s="15"/>
    </row>
    <row r="7" spans="1:6" ht="17" customHeight="1">
      <c r="A7" s="211" t="s">
        <v>2</v>
      </c>
      <c r="B7" s="211"/>
      <c r="C7" s="211" t="s">
        <v>1362</v>
      </c>
      <c r="D7" s="211"/>
      <c r="E7" s="211"/>
      <c r="F7" s="211"/>
    </row>
    <row r="8" spans="1:6" s="5" customFormat="1" ht="17" customHeight="1">
      <c r="A8" s="198" t="s">
        <v>15</v>
      </c>
      <c r="B8" s="198"/>
      <c r="C8" s="198" t="s">
        <v>1363</v>
      </c>
      <c r="D8" s="198"/>
      <c r="E8" s="198"/>
      <c r="F8" s="198"/>
    </row>
    <row r="9" spans="1:6" ht="17" customHeight="1">
      <c r="A9" s="211" t="s">
        <v>3</v>
      </c>
      <c r="B9" s="211"/>
      <c r="C9" s="211" t="s">
        <v>1364</v>
      </c>
      <c r="D9" s="211"/>
      <c r="E9" s="211"/>
      <c r="F9" s="211"/>
    </row>
    <row r="10" spans="1:6" s="5" customFormat="1" ht="17" customHeight="1">
      <c r="A10" s="198" t="s">
        <v>4</v>
      </c>
      <c r="B10" s="198"/>
      <c r="C10" s="198" t="s">
        <v>1365</v>
      </c>
      <c r="D10" s="198"/>
      <c r="E10" s="198"/>
      <c r="F10" s="198"/>
    </row>
    <row r="11" spans="1:6" ht="17" customHeight="1">
      <c r="A11" s="211" t="s">
        <v>5</v>
      </c>
      <c r="B11" s="211"/>
      <c r="C11" s="211" t="s">
        <v>702</v>
      </c>
      <c r="D11" s="211"/>
      <c r="E11" s="211"/>
      <c r="F11" s="211"/>
    </row>
    <row r="12" spans="1:6" s="5" customFormat="1" ht="17" customHeight="1">
      <c r="A12" s="198" t="s">
        <v>6</v>
      </c>
      <c r="B12" s="198"/>
      <c r="C12" s="198" t="s">
        <v>1383</v>
      </c>
      <c r="D12" s="198"/>
      <c r="E12" s="198"/>
      <c r="F12" s="198"/>
    </row>
    <row r="13" spans="1:6" ht="17" customHeight="1">
      <c r="A13" s="211" t="s">
        <v>7</v>
      </c>
      <c r="B13" s="211"/>
      <c r="C13" s="211" t="s">
        <v>1366</v>
      </c>
      <c r="D13" s="211"/>
      <c r="E13" s="211"/>
      <c r="F13" s="211"/>
    </row>
    <row r="14" spans="1:6" s="5" customFormat="1" ht="17" customHeight="1">
      <c r="A14" s="198" t="s">
        <v>8</v>
      </c>
      <c r="B14" s="198"/>
      <c r="C14" s="198" t="s">
        <v>1367</v>
      </c>
      <c r="D14" s="198"/>
      <c r="E14" s="198"/>
      <c r="F14" s="198"/>
    </row>
    <row r="15" spans="1:6" s="5" customFormat="1" ht="7.5" customHeight="1">
      <c r="A15" s="14"/>
      <c r="B15" s="14"/>
      <c r="C15" s="14"/>
      <c r="D15" s="14"/>
      <c r="E15" s="14"/>
      <c r="F15" s="14"/>
    </row>
    <row r="16" spans="1:6" s="5" customFormat="1" ht="17" customHeight="1">
      <c r="A16" s="110" t="s">
        <v>649</v>
      </c>
      <c r="B16" s="111" t="s">
        <v>650</v>
      </c>
      <c r="C16" s="14"/>
      <c r="D16" s="14"/>
      <c r="E16" s="14"/>
      <c r="F16" s="14"/>
    </row>
    <row r="17" spans="1:6" s="5" customFormat="1" ht="17" customHeight="1">
      <c r="A17" s="112" t="s">
        <v>16</v>
      </c>
      <c r="B17" s="113" t="s">
        <v>601</v>
      </c>
      <c r="C17" s="14"/>
      <c r="D17" s="14"/>
      <c r="E17" s="14"/>
      <c r="F17" s="14"/>
    </row>
    <row r="18" spans="1:6" s="5" customFormat="1" ht="50.75" customHeight="1">
      <c r="A18" s="13" t="s">
        <v>17</v>
      </c>
      <c r="B18" s="11" t="s">
        <v>18</v>
      </c>
      <c r="C18" s="13" t="s">
        <v>19</v>
      </c>
      <c r="D18" s="12" t="s">
        <v>1372</v>
      </c>
      <c r="E18" s="12" t="s">
        <v>1373</v>
      </c>
      <c r="F18" s="70" t="s">
        <v>20</v>
      </c>
    </row>
    <row r="19" spans="1:6" ht="39" customHeight="1">
      <c r="A19" s="191" t="s">
        <v>1051</v>
      </c>
      <c r="B19" s="190" t="s">
        <v>1052</v>
      </c>
      <c r="C19" s="191" t="s">
        <v>1053</v>
      </c>
      <c r="D19" s="193"/>
      <c r="E19" s="193"/>
      <c r="F19" s="192"/>
    </row>
    <row r="20" spans="1:6" ht="39" customHeight="1">
      <c r="A20" s="186" t="s">
        <v>1054</v>
      </c>
      <c r="B20" s="185" t="s">
        <v>1055</v>
      </c>
      <c r="C20" s="186" t="s">
        <v>1056</v>
      </c>
      <c r="D20" s="189">
        <v>36947214338</v>
      </c>
      <c r="E20" s="189">
        <v>33781834030</v>
      </c>
      <c r="F20" s="188">
        <v>0.31137077165545002</v>
      </c>
    </row>
    <row r="21" spans="1:6" ht="39" customHeight="1">
      <c r="A21" s="186" t="s">
        <v>1057</v>
      </c>
      <c r="B21" s="185" t="s">
        <v>1058</v>
      </c>
      <c r="C21" s="186" t="s">
        <v>1059</v>
      </c>
      <c r="D21" s="189"/>
      <c r="E21" s="189"/>
      <c r="F21" s="188"/>
    </row>
    <row r="22" spans="1:6" ht="39" customHeight="1">
      <c r="A22" s="186" t="s">
        <v>1060</v>
      </c>
      <c r="B22" s="185" t="s">
        <v>1061</v>
      </c>
      <c r="C22" s="186" t="s">
        <v>1062</v>
      </c>
      <c r="D22" s="189" t="s">
        <v>1063</v>
      </c>
      <c r="E22" s="189" t="s">
        <v>1064</v>
      </c>
      <c r="F22" s="188" t="s">
        <v>1065</v>
      </c>
    </row>
    <row r="23" spans="1:6" ht="39" customHeight="1">
      <c r="A23" s="186" t="s">
        <v>1066</v>
      </c>
      <c r="B23" s="185" t="s">
        <v>1067</v>
      </c>
      <c r="C23" s="186" t="s">
        <v>1068</v>
      </c>
      <c r="D23" s="189">
        <v>36947214338</v>
      </c>
      <c r="E23" s="189">
        <v>33781834030</v>
      </c>
      <c r="F23" s="188">
        <v>0.31137077165545002</v>
      </c>
    </row>
    <row r="24" spans="1:6" ht="39" customHeight="1">
      <c r="A24" s="186" t="s">
        <v>1069</v>
      </c>
      <c r="B24" s="185" t="s">
        <v>1070</v>
      </c>
      <c r="C24" s="186" t="s">
        <v>1071</v>
      </c>
      <c r="D24" s="189" t="s">
        <v>1072</v>
      </c>
      <c r="E24" s="189" t="s">
        <v>1073</v>
      </c>
      <c r="F24" s="188" t="s">
        <v>1074</v>
      </c>
    </row>
    <row r="25" spans="1:6" ht="48" customHeight="1">
      <c r="A25" s="186" t="s">
        <v>1075</v>
      </c>
      <c r="B25" s="185" t="s">
        <v>1076</v>
      </c>
      <c r="C25" s="186" t="s">
        <v>1077</v>
      </c>
      <c r="D25" s="189">
        <v>1117586152</v>
      </c>
      <c r="E25" s="189">
        <v>1140800113</v>
      </c>
      <c r="F25" s="188"/>
    </row>
    <row r="26" spans="1:6" ht="45" customHeight="1">
      <c r="A26" s="186" t="s">
        <v>1078</v>
      </c>
      <c r="B26" s="185" t="s">
        <v>1079</v>
      </c>
      <c r="C26" s="186" t="s">
        <v>1080</v>
      </c>
      <c r="D26" s="189">
        <v>154819666</v>
      </c>
      <c r="E26" s="189">
        <v>139209833</v>
      </c>
      <c r="F26" s="188">
        <v>0.138459972034531</v>
      </c>
    </row>
    <row r="27" spans="1:6" ht="42" customHeight="1">
      <c r="A27" s="186" t="s">
        <v>1081</v>
      </c>
      <c r="B27" s="185" t="s">
        <v>1082</v>
      </c>
      <c r="C27" s="186" t="s">
        <v>1083</v>
      </c>
      <c r="D27" s="189">
        <v>35674808520</v>
      </c>
      <c r="E27" s="189">
        <v>32501824084</v>
      </c>
      <c r="F27" s="188">
        <v>0.303507647033811</v>
      </c>
    </row>
    <row r="28" spans="1:6" ht="48" customHeight="1">
      <c r="A28" s="186" t="s">
        <v>1084</v>
      </c>
      <c r="B28" s="185" t="s">
        <v>1085</v>
      </c>
      <c r="C28" s="186" t="s">
        <v>1086</v>
      </c>
      <c r="D28" s="189">
        <v>0</v>
      </c>
      <c r="E28" s="189">
        <v>0</v>
      </c>
      <c r="F28" s="188"/>
    </row>
    <row r="29" spans="1:6" ht="39" customHeight="1">
      <c r="A29" s="186" t="s">
        <v>1087</v>
      </c>
      <c r="B29" s="185" t="s">
        <v>1088</v>
      </c>
      <c r="C29" s="186" t="s">
        <v>1089</v>
      </c>
      <c r="D29" s="189">
        <v>0</v>
      </c>
      <c r="E29" s="189">
        <v>0</v>
      </c>
      <c r="F29" s="188"/>
    </row>
    <row r="30" spans="1:6" ht="39" customHeight="1">
      <c r="A30" s="186" t="s">
        <v>1090</v>
      </c>
      <c r="B30" s="185" t="s">
        <v>1091</v>
      </c>
      <c r="C30" s="186" t="s">
        <v>1092</v>
      </c>
      <c r="D30" s="189">
        <v>1252283090450</v>
      </c>
      <c r="E30" s="189">
        <v>1179570523100</v>
      </c>
      <c r="F30" s="188">
        <v>0.85136537555792602</v>
      </c>
    </row>
    <row r="31" spans="1:6" ht="39" customHeight="1">
      <c r="A31" s="186" t="s">
        <v>1093</v>
      </c>
      <c r="B31" s="185" t="s">
        <v>1094</v>
      </c>
      <c r="C31" s="186" t="s">
        <v>1095</v>
      </c>
      <c r="D31" s="189" t="s">
        <v>1096</v>
      </c>
      <c r="E31" s="189" t="s">
        <v>1097</v>
      </c>
      <c r="F31" s="188" t="s">
        <v>1098</v>
      </c>
    </row>
    <row r="32" spans="1:6" ht="39" customHeight="1">
      <c r="A32" s="186" t="s">
        <v>1099</v>
      </c>
      <c r="B32" s="185" t="s">
        <v>1100</v>
      </c>
      <c r="C32" s="186" t="s">
        <v>1101</v>
      </c>
      <c r="D32" s="189">
        <v>1242283090450</v>
      </c>
      <c r="E32" s="189">
        <v>1169570523100</v>
      </c>
      <c r="F32" s="188">
        <v>0.96222273705002104</v>
      </c>
    </row>
    <row r="33" spans="1:6" ht="39" customHeight="1">
      <c r="A33" s="186" t="s">
        <v>1102</v>
      </c>
      <c r="B33" s="185" t="s">
        <v>1103</v>
      </c>
      <c r="C33" s="186" t="s">
        <v>1104</v>
      </c>
      <c r="D33" s="189">
        <v>0</v>
      </c>
      <c r="E33" s="189">
        <v>0</v>
      </c>
      <c r="F33" s="188"/>
    </row>
    <row r="34" spans="1:6" ht="39" customHeight="1">
      <c r="A34" s="186" t="s">
        <v>1105</v>
      </c>
      <c r="B34" s="185" t="s">
        <v>1106</v>
      </c>
      <c r="C34" s="186" t="s">
        <v>1107</v>
      </c>
      <c r="D34" s="189">
        <v>10000000000</v>
      </c>
      <c r="E34" s="189">
        <v>10000000000</v>
      </c>
      <c r="F34" s="188">
        <v>5.88734594386114E-2</v>
      </c>
    </row>
    <row r="35" spans="1:6" ht="39" customHeight="1">
      <c r="A35" s="186" t="s">
        <v>1108</v>
      </c>
      <c r="B35" s="185" t="s">
        <v>1109</v>
      </c>
      <c r="C35" s="186" t="s">
        <v>1110</v>
      </c>
      <c r="D35" s="189">
        <v>0</v>
      </c>
      <c r="E35" s="189">
        <v>0</v>
      </c>
      <c r="F35" s="188">
        <v>0</v>
      </c>
    </row>
    <row r="36" spans="1:6" ht="39" customHeight="1">
      <c r="A36" s="186" t="s">
        <v>1111</v>
      </c>
      <c r="B36" s="185" t="s">
        <v>1112</v>
      </c>
      <c r="C36" s="186" t="s">
        <v>1113</v>
      </c>
      <c r="D36" s="189">
        <v>0</v>
      </c>
      <c r="E36" s="189">
        <v>0</v>
      </c>
      <c r="F36" s="188"/>
    </row>
    <row r="37" spans="1:6" ht="39" customHeight="1">
      <c r="A37" s="186" t="s">
        <v>1114</v>
      </c>
      <c r="B37" s="185" t="s">
        <v>1115</v>
      </c>
      <c r="C37" s="186" t="s">
        <v>1116</v>
      </c>
      <c r="D37" s="189">
        <v>0</v>
      </c>
      <c r="E37" s="189">
        <v>0</v>
      </c>
      <c r="F37" s="188"/>
    </row>
    <row r="38" spans="1:6" ht="39" customHeight="1">
      <c r="A38" s="186" t="s">
        <v>1117</v>
      </c>
      <c r="B38" s="185" t="s">
        <v>1118</v>
      </c>
      <c r="C38" s="186" t="s">
        <v>1119</v>
      </c>
      <c r="D38" s="189">
        <v>0</v>
      </c>
      <c r="E38" s="189">
        <v>0</v>
      </c>
      <c r="F38" s="188"/>
    </row>
    <row r="39" spans="1:6" ht="39" customHeight="1">
      <c r="A39" s="186" t="s">
        <v>1120</v>
      </c>
      <c r="B39" s="185" t="s">
        <v>1121</v>
      </c>
      <c r="C39" s="186" t="s">
        <v>1122</v>
      </c>
      <c r="D39" s="189">
        <v>0</v>
      </c>
      <c r="E39" s="189">
        <v>0</v>
      </c>
      <c r="F39" s="188"/>
    </row>
    <row r="40" spans="1:6" ht="39" customHeight="1">
      <c r="A40" s="186" t="s">
        <v>1123</v>
      </c>
      <c r="B40" s="185" t="s">
        <v>1124</v>
      </c>
      <c r="C40" s="186" t="s">
        <v>1125</v>
      </c>
      <c r="D40" s="189">
        <v>0</v>
      </c>
      <c r="E40" s="189">
        <v>0</v>
      </c>
      <c r="F40" s="188"/>
    </row>
    <row r="41" spans="1:6" ht="39" customHeight="1">
      <c r="A41" s="186" t="s">
        <v>1126</v>
      </c>
      <c r="B41" s="185" t="s">
        <v>1127</v>
      </c>
      <c r="C41" s="186" t="s">
        <v>1128</v>
      </c>
      <c r="D41" s="189">
        <v>0</v>
      </c>
      <c r="E41" s="189">
        <v>0</v>
      </c>
      <c r="F41" s="188"/>
    </row>
    <row r="42" spans="1:6" ht="39" customHeight="1">
      <c r="A42" s="186" t="s">
        <v>1129</v>
      </c>
      <c r="B42" s="185" t="s">
        <v>1130</v>
      </c>
      <c r="C42" s="186" t="s">
        <v>1131</v>
      </c>
      <c r="D42" s="189" t="s">
        <v>1132</v>
      </c>
      <c r="E42" s="189" t="s">
        <v>1133</v>
      </c>
      <c r="F42" s="188" t="s">
        <v>1134</v>
      </c>
    </row>
    <row r="43" spans="1:6" ht="39" customHeight="1">
      <c r="A43" s="186" t="s">
        <v>1135</v>
      </c>
      <c r="B43" s="185" t="s">
        <v>1136</v>
      </c>
      <c r="C43" s="186" t="s">
        <v>1137</v>
      </c>
      <c r="D43" s="189">
        <v>3743516986</v>
      </c>
      <c r="E43" s="189">
        <v>2391925753</v>
      </c>
      <c r="F43" s="188">
        <v>0.57758909975427197</v>
      </c>
    </row>
    <row r="44" spans="1:6" ht="39" customHeight="1">
      <c r="A44" s="186" t="s">
        <v>1138</v>
      </c>
      <c r="B44" s="185" t="s">
        <v>1139</v>
      </c>
      <c r="C44" s="186" t="s">
        <v>1140</v>
      </c>
      <c r="D44" s="189" t="s">
        <v>1141</v>
      </c>
      <c r="E44" s="189" t="s">
        <v>1142</v>
      </c>
      <c r="F44" s="188" t="s">
        <v>1143</v>
      </c>
    </row>
    <row r="45" spans="1:6" ht="39" customHeight="1">
      <c r="A45" s="186" t="s">
        <v>1144</v>
      </c>
      <c r="B45" s="185" t="s">
        <v>1145</v>
      </c>
      <c r="C45" s="186" t="s">
        <v>1146</v>
      </c>
      <c r="D45" s="189">
        <v>3683380000</v>
      </c>
      <c r="E45" s="189">
        <v>2119460000</v>
      </c>
      <c r="F45" s="188">
        <v>1.15049735995436</v>
      </c>
    </row>
    <row r="46" spans="1:6" ht="39" customHeight="1">
      <c r="A46" s="186" t="s">
        <v>1147</v>
      </c>
      <c r="B46" s="185" t="s">
        <v>1148</v>
      </c>
      <c r="C46" s="186" t="s">
        <v>1149</v>
      </c>
      <c r="D46" s="189">
        <v>60136986</v>
      </c>
      <c r="E46" s="189">
        <v>272465753</v>
      </c>
      <c r="F46" s="188">
        <v>1.8335978514137E-2</v>
      </c>
    </row>
    <row r="47" spans="1:6" ht="39" customHeight="1">
      <c r="A47" s="186" t="s">
        <v>1150</v>
      </c>
      <c r="B47" s="185" t="s">
        <v>1151</v>
      </c>
      <c r="C47" s="186" t="s">
        <v>1152</v>
      </c>
      <c r="D47" s="189">
        <v>0</v>
      </c>
      <c r="E47" s="189">
        <v>0</v>
      </c>
      <c r="F47" s="188">
        <v>0</v>
      </c>
    </row>
    <row r="48" spans="1:6" ht="39" customHeight="1">
      <c r="A48" s="186" t="s">
        <v>1153</v>
      </c>
      <c r="B48" s="185" t="s">
        <v>1154</v>
      </c>
      <c r="C48" s="186" t="s">
        <v>1155</v>
      </c>
      <c r="D48" s="189" t="s">
        <v>1156</v>
      </c>
      <c r="E48" s="189" t="s">
        <v>1157</v>
      </c>
      <c r="F48" s="188" t="s">
        <v>1158</v>
      </c>
    </row>
    <row r="49" spans="1:6" ht="39" customHeight="1">
      <c r="A49" s="186" t="s">
        <v>1159</v>
      </c>
      <c r="B49" s="185" t="s">
        <v>1160</v>
      </c>
      <c r="C49" s="186" t="s">
        <v>1161</v>
      </c>
      <c r="D49" s="189">
        <v>0</v>
      </c>
      <c r="E49" s="189">
        <v>0</v>
      </c>
      <c r="F49" s="188"/>
    </row>
    <row r="50" spans="1:6" ht="39" customHeight="1">
      <c r="A50" s="186" t="s">
        <v>1162</v>
      </c>
      <c r="B50" s="185" t="s">
        <v>1163</v>
      </c>
      <c r="C50" s="186" t="s">
        <v>1164</v>
      </c>
      <c r="D50" s="189">
        <v>0</v>
      </c>
      <c r="E50" s="189">
        <v>0</v>
      </c>
      <c r="F50" s="188">
        <v>0</v>
      </c>
    </row>
    <row r="51" spans="1:6" ht="39" customHeight="1">
      <c r="A51" s="186" t="s">
        <v>1165</v>
      </c>
      <c r="B51" s="185" t="s">
        <v>1166</v>
      </c>
      <c r="C51" s="186" t="s">
        <v>1167</v>
      </c>
      <c r="D51" s="189">
        <v>0</v>
      </c>
      <c r="E51" s="189">
        <v>0</v>
      </c>
      <c r="F51" s="188"/>
    </row>
    <row r="52" spans="1:6" ht="39" customHeight="1">
      <c r="A52" s="186" t="s">
        <v>1168</v>
      </c>
      <c r="B52" s="185" t="s">
        <v>1169</v>
      </c>
      <c r="C52" s="186" t="s">
        <v>1170</v>
      </c>
      <c r="D52" s="189">
        <v>0</v>
      </c>
      <c r="E52" s="189">
        <v>0</v>
      </c>
      <c r="F52" s="188"/>
    </row>
    <row r="53" spans="1:6" ht="39" customHeight="1">
      <c r="A53" s="186" t="s">
        <v>1171</v>
      </c>
      <c r="B53" s="185" t="s">
        <v>1172</v>
      </c>
      <c r="C53" s="186" t="s">
        <v>1173</v>
      </c>
      <c r="D53" s="189" t="s">
        <v>1174</v>
      </c>
      <c r="E53" s="189" t="s">
        <v>1175</v>
      </c>
      <c r="F53" s="188" t="s">
        <v>1176</v>
      </c>
    </row>
    <row r="54" spans="1:6" ht="39" customHeight="1">
      <c r="A54" s="186" t="s">
        <v>1177</v>
      </c>
      <c r="B54" s="185" t="s">
        <v>1178</v>
      </c>
      <c r="C54" s="186" t="s">
        <v>1179</v>
      </c>
      <c r="D54" s="189">
        <v>63917892000</v>
      </c>
      <c r="E54" s="189">
        <v>77923378000</v>
      </c>
      <c r="F54" s="188">
        <v>1.52730550294995</v>
      </c>
    </row>
    <row r="55" spans="1:6" ht="39" customHeight="1">
      <c r="A55" s="186" t="s">
        <v>1180</v>
      </c>
      <c r="B55" s="185" t="s">
        <v>1181</v>
      </c>
      <c r="C55" s="186" t="s">
        <v>1182</v>
      </c>
      <c r="D55" s="189" t="s">
        <v>1183</v>
      </c>
      <c r="E55" s="189" t="s">
        <v>1184</v>
      </c>
      <c r="F55" s="188" t="s">
        <v>1185</v>
      </c>
    </row>
    <row r="56" spans="1:6" ht="39" customHeight="1">
      <c r="A56" s="186" t="s">
        <v>1186</v>
      </c>
      <c r="B56" s="185" t="s">
        <v>1187</v>
      </c>
      <c r="C56" s="186" t="s">
        <v>1188</v>
      </c>
      <c r="D56" s="189">
        <v>-866400000</v>
      </c>
      <c r="E56" s="189">
        <v>-866400000</v>
      </c>
      <c r="F56" s="188">
        <v>1</v>
      </c>
    </row>
    <row r="57" spans="1:6" ht="39" customHeight="1">
      <c r="A57" s="186" t="s">
        <v>1189</v>
      </c>
      <c r="B57" s="185" t="s">
        <v>1190</v>
      </c>
      <c r="C57" s="186" t="s">
        <v>1191</v>
      </c>
      <c r="D57" s="189" t="s">
        <v>1192</v>
      </c>
      <c r="E57" s="189" t="s">
        <v>1193</v>
      </c>
      <c r="F57" s="188" t="s">
        <v>1194</v>
      </c>
    </row>
    <row r="58" spans="1:6" ht="39" customHeight="1">
      <c r="A58" s="186" t="s">
        <v>1195</v>
      </c>
      <c r="B58" s="185" t="s">
        <v>1196</v>
      </c>
      <c r="C58" s="186" t="s">
        <v>1197</v>
      </c>
      <c r="D58" s="189">
        <v>0</v>
      </c>
      <c r="E58" s="189">
        <v>0</v>
      </c>
      <c r="F58" s="188"/>
    </row>
    <row r="59" spans="1:6" ht="39" customHeight="1">
      <c r="A59" s="186" t="s">
        <v>1198</v>
      </c>
      <c r="B59" s="185" t="s">
        <v>1199</v>
      </c>
      <c r="C59" s="186" t="s">
        <v>1200</v>
      </c>
      <c r="D59" s="189">
        <v>-866400000</v>
      </c>
      <c r="E59" s="189">
        <v>-866400000</v>
      </c>
      <c r="F59" s="188">
        <v>1</v>
      </c>
    </row>
    <row r="60" spans="1:6" ht="39" customHeight="1">
      <c r="A60" s="186" t="s">
        <v>1201</v>
      </c>
      <c r="B60" s="185" t="s">
        <v>1202</v>
      </c>
      <c r="C60" s="186" t="s">
        <v>1203</v>
      </c>
      <c r="D60" s="189">
        <v>0</v>
      </c>
      <c r="E60" s="189">
        <v>0</v>
      </c>
      <c r="F60" s="188"/>
    </row>
    <row r="61" spans="1:6" ht="39" customHeight="1">
      <c r="A61" s="186" t="s">
        <v>1204</v>
      </c>
      <c r="B61" s="185" t="s">
        <v>1205</v>
      </c>
      <c r="C61" s="186" t="s">
        <v>1206</v>
      </c>
      <c r="D61" s="189">
        <v>23700346</v>
      </c>
      <c r="E61" s="189">
        <v>27564533</v>
      </c>
      <c r="F61" s="188"/>
    </row>
    <row r="62" spans="1:6" ht="39" customHeight="1">
      <c r="A62" s="186" t="s">
        <v>1207</v>
      </c>
      <c r="B62" s="185" t="s">
        <v>1208</v>
      </c>
      <c r="C62" s="186" t="s">
        <v>1209</v>
      </c>
      <c r="D62" s="189" t="s">
        <v>1210</v>
      </c>
      <c r="E62" s="189" t="s">
        <v>1211</v>
      </c>
      <c r="F62" s="188" t="s">
        <v>1212</v>
      </c>
    </row>
    <row r="63" spans="1:6" ht="39" customHeight="1">
      <c r="A63" s="191" t="s">
        <v>1213</v>
      </c>
      <c r="B63" s="190" t="s">
        <v>1214</v>
      </c>
      <c r="C63" s="191" t="s">
        <v>1215</v>
      </c>
      <c r="D63" s="193">
        <v>1356049014120</v>
      </c>
      <c r="E63" s="193">
        <v>1292828825416</v>
      </c>
      <c r="F63" s="192">
        <v>0.82825522448664102</v>
      </c>
    </row>
    <row r="64" spans="1:6" ht="39" customHeight="1">
      <c r="A64" s="191" t="s">
        <v>1216</v>
      </c>
      <c r="B64" s="190" t="s">
        <v>1217</v>
      </c>
      <c r="C64" s="191" t="s">
        <v>1218</v>
      </c>
      <c r="D64" s="193"/>
      <c r="E64" s="193"/>
      <c r="F64" s="192"/>
    </row>
    <row r="65" spans="1:6" ht="39" customHeight="1">
      <c r="A65" s="186" t="s">
        <v>1219</v>
      </c>
      <c r="B65" s="185" t="s">
        <v>1220</v>
      </c>
      <c r="C65" s="186" t="s">
        <v>1221</v>
      </c>
      <c r="D65" s="189">
        <v>0</v>
      </c>
      <c r="E65" s="189">
        <v>0</v>
      </c>
      <c r="F65" s="188"/>
    </row>
    <row r="66" spans="1:6" ht="39" customHeight="1">
      <c r="A66" s="186" t="s">
        <v>1222</v>
      </c>
      <c r="B66" s="185" t="s">
        <v>1223</v>
      </c>
      <c r="C66" s="186" t="s">
        <v>1224</v>
      </c>
      <c r="D66" s="189" t="s">
        <v>1225</v>
      </c>
      <c r="E66" s="189" t="s">
        <v>1226</v>
      </c>
      <c r="F66" s="188" t="s">
        <v>1227</v>
      </c>
    </row>
    <row r="67" spans="1:6" ht="39" customHeight="1">
      <c r="A67" s="186" t="s">
        <v>1228</v>
      </c>
      <c r="B67" s="185" t="s">
        <v>1229</v>
      </c>
      <c r="C67" s="186" t="s">
        <v>1230</v>
      </c>
      <c r="D67" s="189">
        <v>24325815000</v>
      </c>
      <c r="E67" s="189">
        <v>18807159000</v>
      </c>
      <c r="F67" s="188">
        <v>0.36009850010861799</v>
      </c>
    </row>
    <row r="68" spans="1:6" ht="39" customHeight="1">
      <c r="A68" s="186" t="s">
        <v>1231</v>
      </c>
      <c r="B68" s="185" t="s">
        <v>1232</v>
      </c>
      <c r="C68" s="186" t="s">
        <v>1233</v>
      </c>
      <c r="D68" s="189" t="s">
        <v>1234</v>
      </c>
      <c r="E68" s="189" t="s">
        <v>1235</v>
      </c>
      <c r="F68" s="188" t="s">
        <v>1236</v>
      </c>
    </row>
    <row r="69" spans="1:6" ht="39" customHeight="1">
      <c r="A69" s="186" t="s">
        <v>1237</v>
      </c>
      <c r="B69" s="185" t="s">
        <v>1238</v>
      </c>
      <c r="C69" s="186" t="s">
        <v>1239</v>
      </c>
      <c r="D69" s="189">
        <v>11055237277</v>
      </c>
      <c r="E69" s="189">
        <v>5823100354</v>
      </c>
      <c r="F69" s="188">
        <v>1.38128223313152</v>
      </c>
    </row>
    <row r="70" spans="1:6" ht="39" customHeight="1">
      <c r="A70" s="186" t="s">
        <v>1240</v>
      </c>
      <c r="B70" s="185" t="s">
        <v>1241</v>
      </c>
      <c r="C70" s="186" t="s">
        <v>1242</v>
      </c>
      <c r="D70" s="189" t="s">
        <v>1243</v>
      </c>
      <c r="E70" s="189" t="s">
        <v>1244</v>
      </c>
      <c r="F70" s="188" t="s">
        <v>1245</v>
      </c>
    </row>
    <row r="71" spans="1:6" ht="39" customHeight="1">
      <c r="A71" s="186" t="s">
        <v>1246</v>
      </c>
      <c r="B71" s="185" t="s">
        <v>1247</v>
      </c>
      <c r="C71" s="186" t="s">
        <v>1248</v>
      </c>
      <c r="D71" s="189">
        <v>7966096062</v>
      </c>
      <c r="E71" s="189">
        <v>2917748703</v>
      </c>
      <c r="F71" s="188">
        <v>1.8298652329879601</v>
      </c>
    </row>
    <row r="72" spans="1:6" ht="39" customHeight="1">
      <c r="A72" s="186" t="s">
        <v>1249</v>
      </c>
      <c r="B72" s="185" t="s">
        <v>1250</v>
      </c>
      <c r="C72" s="186" t="s">
        <v>1251</v>
      </c>
      <c r="D72" s="189">
        <v>1117586152</v>
      </c>
      <c r="E72" s="189">
        <v>1140800113</v>
      </c>
      <c r="F72" s="188">
        <v>0.37952549566356097</v>
      </c>
    </row>
    <row r="73" spans="1:6" ht="48" customHeight="1">
      <c r="A73" s="186" t="s">
        <v>1252</v>
      </c>
      <c r="B73" s="185" t="s">
        <v>1253</v>
      </c>
      <c r="C73" s="186" t="s">
        <v>1254</v>
      </c>
      <c r="D73" s="189">
        <v>0</v>
      </c>
      <c r="E73" s="189">
        <v>0</v>
      </c>
      <c r="F73" s="188"/>
    </row>
    <row r="74" spans="1:6" ht="39" customHeight="1">
      <c r="A74" s="186" t="s">
        <v>1255</v>
      </c>
      <c r="B74" s="185" t="s">
        <v>1256</v>
      </c>
      <c r="C74" s="186" t="s">
        <v>1257</v>
      </c>
      <c r="D74" s="189">
        <v>0</v>
      </c>
      <c r="E74" s="189">
        <v>0</v>
      </c>
      <c r="F74" s="188"/>
    </row>
    <row r="75" spans="1:6" ht="39" customHeight="1">
      <c r="A75" s="186" t="s">
        <v>1258</v>
      </c>
      <c r="B75" s="185" t="s">
        <v>1259</v>
      </c>
      <c r="C75" s="186" t="s">
        <v>1260</v>
      </c>
      <c r="D75" s="189">
        <v>6848509910</v>
      </c>
      <c r="E75" s="189">
        <v>1776948590</v>
      </c>
      <c r="F75" s="188">
        <v>4.8616321334483601</v>
      </c>
    </row>
    <row r="76" spans="1:6" ht="39" customHeight="1">
      <c r="A76" s="186" t="s">
        <v>1261</v>
      </c>
      <c r="B76" s="185" t="s">
        <v>1262</v>
      </c>
      <c r="C76" s="186" t="s">
        <v>1263</v>
      </c>
      <c r="D76" s="189">
        <v>37910173</v>
      </c>
      <c r="E76" s="189">
        <v>15356648</v>
      </c>
      <c r="F76" s="188">
        <v>2.8470380050427901</v>
      </c>
    </row>
    <row r="77" spans="1:6" ht="61" customHeight="1">
      <c r="A77" s="186" t="s">
        <v>1264</v>
      </c>
      <c r="B77" s="185" t="s">
        <v>1265</v>
      </c>
      <c r="C77" s="186" t="s">
        <v>1266</v>
      </c>
      <c r="D77" s="189">
        <v>250748580</v>
      </c>
      <c r="E77" s="189">
        <v>172315032</v>
      </c>
      <c r="F77" s="188">
        <v>0.68848631972681296</v>
      </c>
    </row>
    <row r="78" spans="1:6" ht="39" customHeight="1">
      <c r="A78" s="186" t="s">
        <v>1267</v>
      </c>
      <c r="B78" s="185" t="s">
        <v>1268</v>
      </c>
      <c r="C78" s="186" t="s">
        <v>1269</v>
      </c>
      <c r="D78" s="189">
        <v>39925000</v>
      </c>
      <c r="E78" s="189">
        <v>39925000</v>
      </c>
      <c r="F78" s="188">
        <v>1</v>
      </c>
    </row>
    <row r="79" spans="1:6" ht="39" customHeight="1">
      <c r="A79" s="186" t="s">
        <v>1270</v>
      </c>
      <c r="B79" s="185" t="s">
        <v>1271</v>
      </c>
      <c r="C79" s="186" t="s">
        <v>1272</v>
      </c>
      <c r="D79" s="189">
        <v>17950685</v>
      </c>
      <c r="E79" s="189">
        <v>16964384</v>
      </c>
      <c r="F79" s="188">
        <v>0.90985353032253802</v>
      </c>
    </row>
    <row r="80" spans="1:6" ht="39" customHeight="1">
      <c r="A80" s="186" t="s">
        <v>1273</v>
      </c>
      <c r="B80" s="185" t="s">
        <v>1274</v>
      </c>
      <c r="C80" s="186" t="s">
        <v>1275</v>
      </c>
      <c r="D80" s="189">
        <v>2113012199</v>
      </c>
      <c r="E80" s="189">
        <v>2055807393</v>
      </c>
      <c r="F80" s="188">
        <v>0.824482772829639</v>
      </c>
    </row>
    <row r="81" spans="1:6" ht="39" customHeight="1">
      <c r="A81" s="186" t="s">
        <v>1276</v>
      </c>
      <c r="B81" s="185" t="s">
        <v>1277</v>
      </c>
      <c r="C81" s="186" t="s">
        <v>1278</v>
      </c>
      <c r="D81" s="189">
        <v>29798887</v>
      </c>
      <c r="E81" s="189">
        <v>28992156</v>
      </c>
      <c r="F81" s="188">
        <v>0.82448273396733396</v>
      </c>
    </row>
    <row r="82" spans="1:6" ht="39" customHeight="1">
      <c r="A82" s="186" t="s">
        <v>1279</v>
      </c>
      <c r="B82" s="185" t="s">
        <v>1280</v>
      </c>
      <c r="C82" s="186" t="s">
        <v>1281</v>
      </c>
      <c r="D82" s="189">
        <v>47678224</v>
      </c>
      <c r="E82" s="189">
        <v>46387449</v>
      </c>
      <c r="F82" s="188">
        <v>0.82448276564508305</v>
      </c>
    </row>
    <row r="83" spans="1:6" ht="39" customHeight="1">
      <c r="A83" s="186" t="s">
        <v>1282</v>
      </c>
      <c r="B83" s="185" t="s">
        <v>1283</v>
      </c>
      <c r="C83" s="186" t="s">
        <v>1284</v>
      </c>
      <c r="D83" s="189">
        <v>151826706</v>
      </c>
      <c r="E83" s="189">
        <v>160266491</v>
      </c>
      <c r="F83" s="188">
        <v>0.80229644916221499</v>
      </c>
    </row>
    <row r="84" spans="1:6" ht="39" customHeight="1">
      <c r="A84" s="186" t="s">
        <v>1285</v>
      </c>
      <c r="B84" s="185" t="s">
        <v>1286</v>
      </c>
      <c r="C84" s="186" t="s">
        <v>1287</v>
      </c>
      <c r="D84" s="189">
        <v>151826706</v>
      </c>
      <c r="E84" s="189">
        <v>160266491</v>
      </c>
      <c r="F84" s="188">
        <v>0.80229644916221499</v>
      </c>
    </row>
    <row r="85" spans="1:6" ht="46" customHeight="1">
      <c r="A85" s="186" t="s">
        <v>1288</v>
      </c>
      <c r="B85" s="185" t="s">
        <v>1289</v>
      </c>
      <c r="C85" s="186" t="s">
        <v>1290</v>
      </c>
      <c r="D85" s="189">
        <v>0</v>
      </c>
      <c r="E85" s="189">
        <v>0</v>
      </c>
      <c r="F85" s="188"/>
    </row>
    <row r="86" spans="1:6" ht="39" customHeight="1">
      <c r="A86" s="186" t="s">
        <v>1291</v>
      </c>
      <c r="B86" s="185" t="s">
        <v>1292</v>
      </c>
      <c r="C86" s="186" t="s">
        <v>1293</v>
      </c>
      <c r="D86" s="189">
        <v>80643839</v>
      </c>
      <c r="E86" s="189">
        <v>73970409</v>
      </c>
      <c r="F86" s="188">
        <v>0.91152904793107903</v>
      </c>
    </row>
    <row r="87" spans="1:6" ht="39" customHeight="1">
      <c r="A87" s="186" t="s">
        <v>1294</v>
      </c>
      <c r="B87" s="185" t="s">
        <v>1295</v>
      </c>
      <c r="C87" s="186" t="s">
        <v>1296</v>
      </c>
      <c r="D87" s="189">
        <v>43343839</v>
      </c>
      <c r="E87" s="189">
        <v>42170409</v>
      </c>
      <c r="F87" s="188">
        <v>0.82448273521717697</v>
      </c>
    </row>
    <row r="88" spans="1:6" ht="39" customHeight="1">
      <c r="A88" s="186" t="s">
        <v>1297</v>
      </c>
      <c r="B88" s="185" t="s">
        <v>1298</v>
      </c>
      <c r="C88" s="186" t="s">
        <v>1299</v>
      </c>
      <c r="D88" s="189">
        <v>37300000</v>
      </c>
      <c r="E88" s="189">
        <v>31800000</v>
      </c>
      <c r="F88" s="188">
        <v>1.03899721448468</v>
      </c>
    </row>
    <row r="89" spans="1:6" ht="60" customHeight="1">
      <c r="A89" s="186" t="s">
        <v>1300</v>
      </c>
      <c r="B89" s="185" t="s">
        <v>1301</v>
      </c>
      <c r="C89" s="186" t="s">
        <v>1302</v>
      </c>
      <c r="D89" s="189">
        <v>0</v>
      </c>
      <c r="E89" s="189">
        <v>0</v>
      </c>
      <c r="F89" s="188"/>
    </row>
    <row r="90" spans="1:6" ht="39" customHeight="1">
      <c r="A90" s="186" t="s">
        <v>1303</v>
      </c>
      <c r="B90" s="185" t="s">
        <v>1304</v>
      </c>
      <c r="C90" s="186" t="s">
        <v>1305</v>
      </c>
      <c r="D90" s="189">
        <v>95553528</v>
      </c>
      <c r="E90" s="189">
        <v>79636986</v>
      </c>
      <c r="F90" s="188">
        <v>1.0493986245379501</v>
      </c>
    </row>
    <row r="91" spans="1:6" ht="39" customHeight="1">
      <c r="A91" s="186" t="s">
        <v>1306</v>
      </c>
      <c r="B91" s="185" t="s">
        <v>1307</v>
      </c>
      <c r="C91" s="186" t="s">
        <v>1308</v>
      </c>
      <c r="D91" s="189">
        <v>0</v>
      </c>
      <c r="E91" s="189">
        <v>0</v>
      </c>
      <c r="F91" s="188"/>
    </row>
    <row r="92" spans="1:6" ht="39" customHeight="1">
      <c r="A92" s="186" t="s">
        <v>1309</v>
      </c>
      <c r="B92" s="185" t="s">
        <v>1310</v>
      </c>
      <c r="C92" s="186" t="s">
        <v>1311</v>
      </c>
      <c r="D92" s="189">
        <v>0</v>
      </c>
      <c r="E92" s="189">
        <v>0</v>
      </c>
      <c r="F92" s="188"/>
    </row>
    <row r="93" spans="1:6" ht="39" customHeight="1">
      <c r="A93" s="186" t="s">
        <v>1312</v>
      </c>
      <c r="B93" s="185" t="s">
        <v>1313</v>
      </c>
      <c r="C93" s="186" t="s">
        <v>1314</v>
      </c>
      <c r="D93" s="189">
        <v>13200000</v>
      </c>
      <c r="E93" s="189">
        <v>13200000</v>
      </c>
      <c r="F93" s="188">
        <v>1.2</v>
      </c>
    </row>
    <row r="94" spans="1:6" ht="48" customHeight="1">
      <c r="A94" s="186" t="s">
        <v>1315</v>
      </c>
      <c r="B94" s="185" t="s">
        <v>1316</v>
      </c>
      <c r="C94" s="186" t="s">
        <v>1317</v>
      </c>
      <c r="D94" s="189">
        <v>0</v>
      </c>
      <c r="E94" s="189">
        <v>0</v>
      </c>
      <c r="F94" s="188"/>
    </row>
    <row r="95" spans="1:6" ht="39" customHeight="1">
      <c r="A95" s="186" t="s">
        <v>1318</v>
      </c>
      <c r="B95" s="185" t="s">
        <v>1319</v>
      </c>
      <c r="C95" s="186" t="s">
        <v>1320</v>
      </c>
      <c r="D95" s="189">
        <v>0</v>
      </c>
      <c r="E95" s="189">
        <v>0</v>
      </c>
      <c r="F95" s="188"/>
    </row>
    <row r="96" spans="1:6" ht="39" customHeight="1">
      <c r="A96" s="186" t="s">
        <v>1321</v>
      </c>
      <c r="B96" s="185" t="s">
        <v>1322</v>
      </c>
      <c r="C96" s="186" t="s">
        <v>1323</v>
      </c>
      <c r="D96" s="189">
        <v>210893394</v>
      </c>
      <c r="E96" s="189">
        <v>202529703</v>
      </c>
      <c r="F96" s="188">
        <v>1.1949787493938699</v>
      </c>
    </row>
    <row r="97" spans="1:6" ht="39" customHeight="1">
      <c r="A97" s="186" t="s">
        <v>1324</v>
      </c>
      <c r="B97" s="185" t="s">
        <v>1325</v>
      </c>
      <c r="C97" s="186" t="s">
        <v>1326</v>
      </c>
      <c r="D97" s="189">
        <v>23500000</v>
      </c>
      <c r="E97" s="189">
        <v>15752747</v>
      </c>
      <c r="F97" s="188"/>
    </row>
    <row r="98" spans="1:6" ht="48" customHeight="1">
      <c r="A98" s="186" t="s">
        <v>1327</v>
      </c>
      <c r="B98" s="185" t="s">
        <v>1328</v>
      </c>
      <c r="C98" s="186" t="s">
        <v>1329</v>
      </c>
      <c r="D98" s="189">
        <v>0</v>
      </c>
      <c r="E98" s="189">
        <v>0</v>
      </c>
      <c r="F98" s="188"/>
    </row>
    <row r="99" spans="1:6" ht="45" customHeight="1">
      <c r="A99" s="186" t="s">
        <v>1330</v>
      </c>
      <c r="B99" s="185" t="s">
        <v>1331</v>
      </c>
      <c r="C99" s="186" t="s">
        <v>1332</v>
      </c>
      <c r="D99" s="189">
        <v>3719178</v>
      </c>
      <c r="E99" s="189">
        <v>3102740</v>
      </c>
      <c r="F99" s="188"/>
    </row>
    <row r="100" spans="1:6" ht="39" customHeight="1">
      <c r="A100" s="186" t="s">
        <v>1333</v>
      </c>
      <c r="B100" s="185" t="s">
        <v>1334</v>
      </c>
      <c r="C100" s="186" t="s">
        <v>1335</v>
      </c>
      <c r="D100" s="189">
        <v>183674216</v>
      </c>
      <c r="E100" s="189">
        <v>183674216</v>
      </c>
      <c r="F100" s="188">
        <v>1.04074755860574</v>
      </c>
    </row>
    <row r="101" spans="1:6" ht="39" customHeight="1">
      <c r="A101" s="186" t="s">
        <v>1336</v>
      </c>
      <c r="B101" s="185" t="s">
        <v>1337</v>
      </c>
      <c r="C101" s="186" t="s">
        <v>1338</v>
      </c>
      <c r="D101" s="189">
        <v>0</v>
      </c>
      <c r="E101" s="189">
        <v>0</v>
      </c>
      <c r="F101" s="188"/>
    </row>
    <row r="102" spans="1:6" ht="39" customHeight="1">
      <c r="A102" s="186" t="s">
        <v>1339</v>
      </c>
      <c r="B102" s="185" t="s">
        <v>1340</v>
      </c>
      <c r="C102" s="186" t="s">
        <v>1341</v>
      </c>
      <c r="D102" s="189">
        <v>0</v>
      </c>
      <c r="E102" s="189">
        <v>0</v>
      </c>
      <c r="F102" s="188"/>
    </row>
    <row r="103" spans="1:6" ht="39" customHeight="1">
      <c r="A103" s="186" t="s">
        <v>1342</v>
      </c>
      <c r="B103" s="185" t="s">
        <v>1343</v>
      </c>
      <c r="C103" s="186" t="s">
        <v>1344</v>
      </c>
      <c r="D103" s="189">
        <v>0</v>
      </c>
      <c r="E103" s="189">
        <v>0</v>
      </c>
      <c r="F103" s="188"/>
    </row>
    <row r="104" spans="1:6" ht="39" customHeight="1">
      <c r="A104" s="186" t="s">
        <v>1345</v>
      </c>
      <c r="B104" s="185" t="s">
        <v>1346</v>
      </c>
      <c r="C104" s="186" t="s">
        <v>1347</v>
      </c>
      <c r="D104" s="189">
        <v>0</v>
      </c>
      <c r="E104" s="189">
        <v>0</v>
      </c>
      <c r="F104" s="188"/>
    </row>
    <row r="105" spans="1:6" ht="39" customHeight="1">
      <c r="A105" s="191" t="s">
        <v>1348</v>
      </c>
      <c r="B105" s="190" t="s">
        <v>1349</v>
      </c>
      <c r="C105" s="191" t="s">
        <v>1350</v>
      </c>
      <c r="D105" s="193">
        <v>35381052277</v>
      </c>
      <c r="E105" s="193">
        <v>24630259354</v>
      </c>
      <c r="F105" s="192">
        <v>0.46827073494827198</v>
      </c>
    </row>
    <row r="106" spans="1:6" ht="39" customHeight="1">
      <c r="A106" s="186" t="s">
        <v>1351</v>
      </c>
      <c r="B106" s="185" t="s">
        <v>1352</v>
      </c>
      <c r="C106" s="186" t="s">
        <v>1353</v>
      </c>
      <c r="D106" s="189">
        <v>1320667961843</v>
      </c>
      <c r="E106" s="189">
        <v>1268198566062</v>
      </c>
      <c r="F106" s="188">
        <v>0.845671921057086</v>
      </c>
    </row>
    <row r="107" spans="1:6" ht="39" customHeight="1">
      <c r="A107" s="186" t="s">
        <v>1354</v>
      </c>
      <c r="B107" s="185" t="s">
        <v>1355</v>
      </c>
      <c r="C107" s="186" t="s">
        <v>1356</v>
      </c>
      <c r="D107" s="194">
        <v>22347243.75</v>
      </c>
      <c r="E107" s="194">
        <v>22720137.550000001</v>
      </c>
      <c r="F107" s="188">
        <v>0.86666679102703703</v>
      </c>
    </row>
    <row r="108" spans="1:6" ht="39" customHeight="1">
      <c r="A108" s="186" t="s">
        <v>1357</v>
      </c>
      <c r="B108" s="185" t="s">
        <v>1358</v>
      </c>
      <c r="C108" s="186" t="s">
        <v>1359</v>
      </c>
      <c r="D108" s="194">
        <v>59097.57</v>
      </c>
      <c r="E108" s="194">
        <v>55818.26</v>
      </c>
      <c r="F108" s="188">
        <v>0.97577517875912601</v>
      </c>
    </row>
    <row r="109" spans="1:6" s="5" customFormat="1" ht="17" customHeight="1"/>
    <row r="110" spans="1:6" s="5" customFormat="1" ht="17" customHeight="1">
      <c r="A110" s="20" t="s">
        <v>10</v>
      </c>
      <c r="B110" s="6"/>
      <c r="C110" s="6"/>
      <c r="E110" s="20" t="s">
        <v>11</v>
      </c>
      <c r="F110" s="6"/>
    </row>
    <row r="111" spans="1:6" s="9" customFormat="1" ht="17" customHeight="1">
      <c r="A111" s="21" t="s">
        <v>12</v>
      </c>
      <c r="B111" s="10"/>
      <c r="C111" s="10"/>
      <c r="E111" s="21" t="s">
        <v>13</v>
      </c>
      <c r="F111" s="10"/>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7"/>
      <c r="B118" s="87"/>
      <c r="C118" s="6"/>
      <c r="D118" s="8"/>
      <c r="E118" s="87"/>
      <c r="F118" s="87"/>
    </row>
    <row r="119" spans="1:6" s="5" customFormat="1" ht="17" customHeight="1">
      <c r="A119" s="19" t="s">
        <v>14</v>
      </c>
      <c r="B119" s="86"/>
      <c r="C119" s="6"/>
      <c r="D119" s="7"/>
      <c r="E119" s="19" t="s">
        <v>1362</v>
      </c>
      <c r="F119" s="86"/>
    </row>
    <row r="120" spans="1:6" s="5" customFormat="1" ht="17" customHeight="1">
      <c r="A120" s="85" t="s">
        <v>1368</v>
      </c>
      <c r="B120" s="8"/>
      <c r="C120" s="6"/>
      <c r="E120" s="85" t="s">
        <v>1369</v>
      </c>
      <c r="F120" s="8"/>
    </row>
    <row r="121" spans="1:6" s="5" customFormat="1" ht="17" customHeight="1">
      <c r="A121" s="6" t="s">
        <v>1370</v>
      </c>
      <c r="B121" s="6"/>
      <c r="C121" s="6"/>
      <c r="E121" s="6" t="s">
        <v>1371</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D92" sqref="D92"/>
    </sheetView>
  </sheetViews>
  <sheetFormatPr defaultColWidth="8.81640625" defaultRowHeight="12.5"/>
  <cols>
    <col min="1" max="1" width="8.81640625" style="15"/>
    <col min="2" max="2" width="46.1796875" style="15" customWidth="1"/>
    <col min="3" max="3" width="10.81640625" style="15" bestFit="1" customWidth="1"/>
    <col min="4" max="6" width="36.81640625" style="15" customWidth="1"/>
    <col min="7" max="16384" width="8.81640625" style="24"/>
  </cols>
  <sheetData>
    <row r="1" spans="1:6" ht="54.75" customHeight="1">
      <c r="A1" s="213" t="s">
        <v>651</v>
      </c>
      <c r="B1" s="213"/>
      <c r="C1" s="213"/>
      <c r="D1" s="213"/>
      <c r="E1" s="213"/>
      <c r="F1" s="213"/>
    </row>
    <row r="2" spans="1:6" ht="54.75" customHeight="1">
      <c r="A2" s="214" t="s">
        <v>652</v>
      </c>
      <c r="B2" s="214"/>
      <c r="C2" s="214"/>
      <c r="D2" s="214"/>
      <c r="E2" s="214"/>
      <c r="F2" s="214"/>
    </row>
    <row r="3" spans="1:6" ht="22.5" customHeight="1">
      <c r="A3" s="215" t="s">
        <v>600</v>
      </c>
      <c r="B3" s="215"/>
      <c r="C3" s="215"/>
      <c r="D3" s="215"/>
      <c r="E3" s="215"/>
      <c r="F3" s="215"/>
    </row>
    <row r="4" spans="1:6" ht="21" customHeight="1">
      <c r="A4" s="215"/>
      <c r="B4" s="215"/>
      <c r="C4" s="215"/>
      <c r="D4" s="215"/>
      <c r="E4" s="215"/>
      <c r="F4" s="215"/>
    </row>
    <row r="5" spans="1:6" ht="16.25" customHeight="1">
      <c r="A5" s="216" t="s">
        <v>1361</v>
      </c>
      <c r="B5" s="216"/>
      <c r="C5" s="216"/>
      <c r="D5" s="216"/>
      <c r="E5" s="216"/>
      <c r="F5" s="216"/>
    </row>
    <row r="7" spans="1:6" ht="17" customHeight="1">
      <c r="A7" s="116" t="s">
        <v>2</v>
      </c>
      <c r="C7" s="222" t="s">
        <v>1362</v>
      </c>
      <c r="D7" s="222"/>
      <c r="E7" s="222"/>
      <c r="F7" s="222"/>
    </row>
    <row r="8" spans="1:6" ht="17" customHeight="1">
      <c r="A8" s="15" t="s">
        <v>15</v>
      </c>
      <c r="C8" s="221" t="s">
        <v>1363</v>
      </c>
      <c r="D8" s="221"/>
      <c r="E8" s="221"/>
      <c r="F8" s="221"/>
    </row>
    <row r="9" spans="1:6" ht="17" customHeight="1">
      <c r="A9" s="116" t="s">
        <v>3</v>
      </c>
      <c r="C9" s="222" t="s">
        <v>1364</v>
      </c>
      <c r="D9" s="222"/>
      <c r="E9" s="222"/>
      <c r="F9" s="222"/>
    </row>
    <row r="10" spans="1:6" ht="17" customHeight="1">
      <c r="A10" s="15" t="s">
        <v>4</v>
      </c>
      <c r="C10" s="221" t="s">
        <v>1365</v>
      </c>
      <c r="D10" s="221"/>
      <c r="E10" s="221"/>
      <c r="F10" s="221"/>
    </row>
    <row r="11" spans="1:6" ht="17" customHeight="1">
      <c r="A11" s="116" t="s">
        <v>5</v>
      </c>
      <c r="C11" s="222" t="s">
        <v>702</v>
      </c>
      <c r="D11" s="222"/>
      <c r="E11" s="222"/>
      <c r="F11" s="222"/>
    </row>
    <row r="12" spans="1:6" ht="17" customHeight="1">
      <c r="A12" s="15" t="s">
        <v>6</v>
      </c>
      <c r="C12" s="221" t="s">
        <v>1383</v>
      </c>
      <c r="D12" s="221"/>
      <c r="E12" s="221"/>
      <c r="F12" s="221"/>
    </row>
    <row r="13" spans="1:6" ht="17" customHeight="1">
      <c r="A13" s="116" t="s">
        <v>7</v>
      </c>
      <c r="C13" s="222" t="s">
        <v>1366</v>
      </c>
      <c r="D13" s="222"/>
      <c r="E13" s="222"/>
      <c r="F13" s="222"/>
    </row>
    <row r="14" spans="1:6" ht="17" customHeight="1">
      <c r="A14" s="15" t="s">
        <v>8</v>
      </c>
      <c r="C14" s="221" t="s">
        <v>1367</v>
      </c>
      <c r="D14" s="221"/>
      <c r="E14" s="221"/>
      <c r="F14" s="221"/>
    </row>
    <row r="15" spans="1:6" ht="17" customHeight="1"/>
    <row r="16" spans="1:6" ht="17" customHeight="1">
      <c r="A16" s="110" t="s">
        <v>649</v>
      </c>
      <c r="B16" s="111" t="s">
        <v>650</v>
      </c>
    </row>
    <row r="17" spans="1:6" ht="17" customHeight="1">
      <c r="A17" s="22" t="s">
        <v>22</v>
      </c>
      <c r="B17" s="23" t="s">
        <v>25</v>
      </c>
    </row>
    <row r="18" spans="1:6" ht="37.5">
      <c r="A18" s="169" t="s">
        <v>17</v>
      </c>
      <c r="B18" s="169" t="s">
        <v>18</v>
      </c>
      <c r="C18" s="169" t="s">
        <v>19</v>
      </c>
      <c r="D18" s="170" t="s">
        <v>1374</v>
      </c>
      <c r="E18" s="170" t="s">
        <v>1375</v>
      </c>
      <c r="F18" s="170" t="s">
        <v>655</v>
      </c>
    </row>
    <row r="19" spans="1:6" s="26" customFormat="1" ht="25">
      <c r="A19" s="171" t="s">
        <v>16</v>
      </c>
      <c r="B19" s="172" t="s">
        <v>33</v>
      </c>
      <c r="C19" s="173" t="s">
        <v>50</v>
      </c>
      <c r="D19" s="174">
        <v>3570052161</v>
      </c>
      <c r="E19" s="174">
        <v>1758351304</v>
      </c>
      <c r="F19" s="174">
        <v>11934166248</v>
      </c>
    </row>
    <row r="20" spans="1:6" ht="25">
      <c r="A20" s="90">
        <v>1</v>
      </c>
      <c r="B20" s="91" t="s">
        <v>604</v>
      </c>
      <c r="C20" s="92" t="s">
        <v>57</v>
      </c>
      <c r="D20" s="175">
        <v>0</v>
      </c>
      <c r="E20" s="175">
        <v>0</v>
      </c>
      <c r="F20" s="175">
        <v>0</v>
      </c>
    </row>
    <row r="21" spans="1:6">
      <c r="A21" s="114" t="s">
        <v>605</v>
      </c>
      <c r="B21" s="114" t="s">
        <v>605</v>
      </c>
      <c r="C21" s="114" t="s">
        <v>605</v>
      </c>
      <c r="D21" s="176" t="s">
        <v>605</v>
      </c>
      <c r="E21" s="176" t="s">
        <v>606</v>
      </c>
      <c r="F21" s="177" t="s">
        <v>606</v>
      </c>
    </row>
    <row r="22" spans="1:6" ht="25">
      <c r="A22" s="90">
        <v>2</v>
      </c>
      <c r="B22" s="91" t="s">
        <v>313</v>
      </c>
      <c r="C22" s="92" t="s">
        <v>51</v>
      </c>
      <c r="D22" s="175">
        <v>3551719726</v>
      </c>
      <c r="E22" s="175">
        <v>1738594246</v>
      </c>
      <c r="F22" s="175">
        <v>11774922400</v>
      </c>
    </row>
    <row r="23" spans="1:6">
      <c r="A23" s="114" t="s">
        <v>605</v>
      </c>
      <c r="B23" s="114" t="s">
        <v>605</v>
      </c>
      <c r="C23" s="114" t="s">
        <v>605</v>
      </c>
      <c r="D23" s="176" t="s">
        <v>605</v>
      </c>
      <c r="E23" s="176" t="s">
        <v>606</v>
      </c>
      <c r="F23" s="177" t="s">
        <v>606</v>
      </c>
    </row>
    <row r="24" spans="1:6" ht="25">
      <c r="A24" s="93"/>
      <c r="B24" s="94" t="s">
        <v>314</v>
      </c>
      <c r="C24" s="95" t="s">
        <v>52</v>
      </c>
      <c r="D24" s="175">
        <v>3448980000</v>
      </c>
      <c r="E24" s="175">
        <v>1253060000</v>
      </c>
      <c r="F24" s="175">
        <v>7626840000</v>
      </c>
    </row>
    <row r="25" spans="1:6" ht="25">
      <c r="A25" s="93"/>
      <c r="B25" s="94" t="s">
        <v>315</v>
      </c>
      <c r="C25" s="95" t="s">
        <v>53</v>
      </c>
      <c r="D25" s="175">
        <v>102739726</v>
      </c>
      <c r="E25" s="175">
        <v>485534246</v>
      </c>
      <c r="F25" s="175">
        <v>4148082400</v>
      </c>
    </row>
    <row r="26" spans="1:6" ht="25">
      <c r="A26" s="90">
        <v>3</v>
      </c>
      <c r="B26" s="91" t="s">
        <v>316</v>
      </c>
      <c r="C26" s="92" t="s">
        <v>54</v>
      </c>
      <c r="D26" s="175">
        <v>18332435</v>
      </c>
      <c r="E26" s="175">
        <v>19757058</v>
      </c>
      <c r="F26" s="175">
        <v>159243848</v>
      </c>
    </row>
    <row r="27" spans="1:6">
      <c r="A27" s="114" t="s">
        <v>605</v>
      </c>
      <c r="B27" s="114" t="s">
        <v>605</v>
      </c>
      <c r="C27" s="114" t="s">
        <v>605</v>
      </c>
      <c r="D27" s="176" t="s">
        <v>605</v>
      </c>
      <c r="E27" s="176" t="s">
        <v>605</v>
      </c>
      <c r="F27" s="176" t="s">
        <v>605</v>
      </c>
    </row>
    <row r="28" spans="1:6" ht="25">
      <c r="A28" s="93"/>
      <c r="B28" s="94" t="s">
        <v>277</v>
      </c>
      <c r="C28" s="95" t="s">
        <v>55</v>
      </c>
      <c r="D28" s="175">
        <v>18332435</v>
      </c>
      <c r="E28" s="175">
        <v>19757058</v>
      </c>
      <c r="F28" s="175">
        <v>159243848</v>
      </c>
    </row>
    <row r="29" spans="1:6" ht="25">
      <c r="A29" s="93"/>
      <c r="B29" s="94" t="s">
        <v>317</v>
      </c>
      <c r="C29" s="95" t="s">
        <v>56</v>
      </c>
      <c r="D29" s="175">
        <v>0</v>
      </c>
      <c r="E29" s="175">
        <v>0</v>
      </c>
      <c r="F29" s="175">
        <v>0</v>
      </c>
    </row>
    <row r="30" spans="1:6" ht="25">
      <c r="A30" s="93"/>
      <c r="B30" s="94" t="s">
        <v>344</v>
      </c>
      <c r="C30" s="95" t="s">
        <v>274</v>
      </c>
      <c r="D30" s="175">
        <v>0</v>
      </c>
      <c r="E30" s="175">
        <v>0</v>
      </c>
      <c r="F30" s="175">
        <v>0</v>
      </c>
    </row>
    <row r="31" spans="1:6" s="26" customFormat="1" ht="25">
      <c r="A31" s="90">
        <v>4</v>
      </c>
      <c r="B31" s="91" t="s">
        <v>318</v>
      </c>
      <c r="C31" s="92" t="s">
        <v>57</v>
      </c>
      <c r="D31" s="175">
        <v>0</v>
      </c>
      <c r="E31" s="175">
        <v>0</v>
      </c>
      <c r="F31" s="175">
        <v>0</v>
      </c>
    </row>
    <row r="32" spans="1:6">
      <c r="A32" s="114" t="s">
        <v>605</v>
      </c>
      <c r="B32" s="114" t="s">
        <v>605</v>
      </c>
      <c r="C32" s="114" t="s">
        <v>605</v>
      </c>
      <c r="D32" s="176" t="s">
        <v>605</v>
      </c>
      <c r="E32" s="176" t="s">
        <v>605</v>
      </c>
      <c r="F32" s="176" t="s">
        <v>605</v>
      </c>
    </row>
    <row r="33" spans="1:6" ht="25">
      <c r="A33" s="96"/>
      <c r="B33" s="97" t="s">
        <v>319</v>
      </c>
      <c r="C33" s="98" t="s">
        <v>58</v>
      </c>
      <c r="D33" s="175">
        <v>0</v>
      </c>
      <c r="E33" s="175">
        <v>0</v>
      </c>
      <c r="F33" s="175">
        <v>0</v>
      </c>
    </row>
    <row r="34" spans="1:6" ht="25">
      <c r="A34" s="96"/>
      <c r="B34" s="97" t="s">
        <v>320</v>
      </c>
      <c r="C34" s="98" t="s">
        <v>59</v>
      </c>
      <c r="D34" s="175">
        <v>0</v>
      </c>
      <c r="E34" s="175">
        <v>0</v>
      </c>
      <c r="F34" s="175">
        <v>0</v>
      </c>
    </row>
    <row r="35" spans="1:6" ht="75">
      <c r="A35" s="96"/>
      <c r="B35" s="97" t="s">
        <v>34</v>
      </c>
      <c r="C35" s="98" t="s">
        <v>60</v>
      </c>
      <c r="D35" s="175">
        <v>0</v>
      </c>
      <c r="E35" s="175">
        <v>0</v>
      </c>
      <c r="F35" s="175">
        <v>0</v>
      </c>
    </row>
    <row r="36" spans="1:6" ht="25">
      <c r="A36" s="171" t="s">
        <v>22</v>
      </c>
      <c r="B36" s="172" t="s">
        <v>321</v>
      </c>
      <c r="C36" s="173" t="s">
        <v>61</v>
      </c>
      <c r="D36" s="179">
        <v>3552691880</v>
      </c>
      <c r="E36" s="179">
        <v>3306739930</v>
      </c>
      <c r="F36" s="179">
        <v>22377762639</v>
      </c>
    </row>
    <row r="37" spans="1:6" ht="25">
      <c r="A37" s="90">
        <v>1</v>
      </c>
      <c r="B37" s="91" t="s">
        <v>607</v>
      </c>
      <c r="C37" s="92" t="s">
        <v>62</v>
      </c>
      <c r="D37" s="175">
        <v>2113012199</v>
      </c>
      <c r="E37" s="175">
        <v>2055807393</v>
      </c>
      <c r="F37" s="175">
        <v>12276449083</v>
      </c>
    </row>
    <row r="38" spans="1:6">
      <c r="A38" s="114" t="s">
        <v>605</v>
      </c>
      <c r="B38" s="114" t="s">
        <v>605</v>
      </c>
      <c r="C38" s="114" t="s">
        <v>605</v>
      </c>
      <c r="D38" s="176" t="s">
        <v>605</v>
      </c>
      <c r="E38" s="176" t="s">
        <v>605</v>
      </c>
      <c r="F38" s="176" t="s">
        <v>605</v>
      </c>
    </row>
    <row r="39" spans="1:6" ht="50">
      <c r="A39" s="90">
        <v>2</v>
      </c>
      <c r="B39" s="91" t="s">
        <v>608</v>
      </c>
      <c r="C39" s="92" t="s">
        <v>63</v>
      </c>
      <c r="D39" s="175">
        <v>135973004</v>
      </c>
      <c r="E39" s="175">
        <v>129154142</v>
      </c>
      <c r="F39" s="175">
        <v>839953637</v>
      </c>
    </row>
    <row r="40" spans="1:6">
      <c r="A40" s="114" t="s">
        <v>605</v>
      </c>
      <c r="B40" s="114" t="s">
        <v>605</v>
      </c>
      <c r="C40" s="114" t="s">
        <v>605</v>
      </c>
      <c r="D40" s="176" t="s">
        <v>605</v>
      </c>
      <c r="E40" s="176" t="s">
        <v>605</v>
      </c>
      <c r="F40" s="176" t="s">
        <v>605</v>
      </c>
    </row>
    <row r="41" spans="1:6" ht="25">
      <c r="A41" s="99"/>
      <c r="B41" s="94" t="s">
        <v>609</v>
      </c>
      <c r="C41" s="95" t="s">
        <v>64</v>
      </c>
      <c r="D41" s="175">
        <v>43343839</v>
      </c>
      <c r="E41" s="175">
        <v>42170409</v>
      </c>
      <c r="F41" s="175">
        <v>251966308</v>
      </c>
    </row>
    <row r="42" spans="1:6" ht="25">
      <c r="A42" s="99"/>
      <c r="B42" s="94" t="s">
        <v>610</v>
      </c>
      <c r="C42" s="95" t="s">
        <v>65</v>
      </c>
      <c r="D42" s="175">
        <v>34700000</v>
      </c>
      <c r="E42" s="175">
        <v>30200000</v>
      </c>
      <c r="F42" s="175">
        <v>252415000</v>
      </c>
    </row>
    <row r="43" spans="1:6" ht="50">
      <c r="A43" s="99"/>
      <c r="B43" s="94" t="s">
        <v>611</v>
      </c>
      <c r="C43" s="95" t="s">
        <v>66</v>
      </c>
      <c r="D43" s="175">
        <v>10250941</v>
      </c>
      <c r="E43" s="175">
        <v>10396284</v>
      </c>
      <c r="F43" s="175">
        <v>58409386</v>
      </c>
    </row>
    <row r="44" spans="1:6" ht="25">
      <c r="A44" s="99"/>
      <c r="B44" s="94" t="s">
        <v>612</v>
      </c>
      <c r="C44" s="95" t="s">
        <v>67</v>
      </c>
      <c r="D44" s="175">
        <v>47678224</v>
      </c>
      <c r="E44" s="175">
        <v>46387449</v>
      </c>
      <c r="F44" s="175">
        <v>277162943</v>
      </c>
    </row>
    <row r="45" spans="1:6" ht="62.5">
      <c r="A45" s="90">
        <v>3</v>
      </c>
      <c r="B45" s="100" t="s">
        <v>613</v>
      </c>
      <c r="C45" s="92" t="s">
        <v>68</v>
      </c>
      <c r="D45" s="175">
        <v>42998887</v>
      </c>
      <c r="E45" s="175">
        <v>42192156</v>
      </c>
      <c r="F45" s="175">
        <v>252426837</v>
      </c>
    </row>
    <row r="46" spans="1:6">
      <c r="A46" s="114" t="s">
        <v>605</v>
      </c>
      <c r="B46" s="114" t="s">
        <v>605</v>
      </c>
      <c r="C46" s="114" t="s">
        <v>605</v>
      </c>
      <c r="D46" s="176" t="s">
        <v>605</v>
      </c>
      <c r="E46" s="176" t="s">
        <v>605</v>
      </c>
      <c r="F46" s="176" t="s">
        <v>605</v>
      </c>
    </row>
    <row r="47" spans="1:6" ht="25">
      <c r="A47" s="99"/>
      <c r="B47" s="101" t="s">
        <v>346</v>
      </c>
      <c r="C47" s="95" t="s">
        <v>69</v>
      </c>
      <c r="D47" s="175">
        <v>29798887</v>
      </c>
      <c r="E47" s="175">
        <v>28992156</v>
      </c>
      <c r="F47" s="175">
        <v>173226837</v>
      </c>
    </row>
    <row r="48" spans="1:6" ht="25">
      <c r="A48" s="99"/>
      <c r="B48" s="101" t="s">
        <v>36</v>
      </c>
      <c r="C48" s="95" t="s">
        <v>70</v>
      </c>
      <c r="D48" s="175">
        <v>13200000</v>
      </c>
      <c r="E48" s="175">
        <v>13200000</v>
      </c>
      <c r="F48" s="175">
        <v>79200000</v>
      </c>
    </row>
    <row r="49" spans="1:6" ht="25">
      <c r="A49" s="99">
        <v>4</v>
      </c>
      <c r="B49" s="101" t="s">
        <v>614</v>
      </c>
      <c r="C49" s="95" t="s">
        <v>82</v>
      </c>
      <c r="D49" s="175">
        <v>0</v>
      </c>
      <c r="E49" s="175">
        <v>0</v>
      </c>
      <c r="F49" s="175">
        <v>0</v>
      </c>
    </row>
    <row r="50" spans="1:6">
      <c r="A50" s="114" t="s">
        <v>605</v>
      </c>
      <c r="B50" s="114" t="s">
        <v>605</v>
      </c>
      <c r="C50" s="114" t="s">
        <v>605</v>
      </c>
      <c r="D50" s="176" t="s">
        <v>605</v>
      </c>
      <c r="E50" s="176" t="s">
        <v>605</v>
      </c>
      <c r="F50" s="176" t="s">
        <v>605</v>
      </c>
    </row>
    <row r="51" spans="1:6" ht="37.5">
      <c r="A51" s="99">
        <v>5</v>
      </c>
      <c r="B51" s="101" t="s">
        <v>615</v>
      </c>
      <c r="C51" s="95" t="s">
        <v>86</v>
      </c>
      <c r="D51" s="175">
        <v>0</v>
      </c>
      <c r="E51" s="175">
        <v>0</v>
      </c>
      <c r="F51" s="175">
        <v>0</v>
      </c>
    </row>
    <row r="52" spans="1:6">
      <c r="A52" s="114" t="s">
        <v>605</v>
      </c>
      <c r="B52" s="114" t="s">
        <v>605</v>
      </c>
      <c r="C52" s="114" t="s">
        <v>605</v>
      </c>
      <c r="D52" s="176" t="s">
        <v>605</v>
      </c>
      <c r="E52" s="176" t="s">
        <v>605</v>
      </c>
      <c r="F52" s="176" t="s">
        <v>605</v>
      </c>
    </row>
    <row r="53" spans="1:6" ht="25">
      <c r="A53" s="90">
        <v>6</v>
      </c>
      <c r="B53" s="91" t="s">
        <v>37</v>
      </c>
      <c r="C53" s="92" t="s">
        <v>71</v>
      </c>
      <c r="D53" s="175">
        <v>15916542</v>
      </c>
      <c r="E53" s="175">
        <v>16349315</v>
      </c>
      <c r="F53" s="175">
        <v>101390997</v>
      </c>
    </row>
    <row r="54" spans="1:6">
      <c r="A54" s="114" t="s">
        <v>605</v>
      </c>
      <c r="B54" s="114" t="s">
        <v>605</v>
      </c>
      <c r="C54" s="114" t="s">
        <v>605</v>
      </c>
      <c r="D54" s="176" t="s">
        <v>605</v>
      </c>
      <c r="E54" s="176" t="s">
        <v>605</v>
      </c>
      <c r="F54" s="176" t="s">
        <v>605</v>
      </c>
    </row>
    <row r="55" spans="1:6" ht="62.5">
      <c r="A55" s="90">
        <v>7</v>
      </c>
      <c r="B55" s="91" t="s">
        <v>347</v>
      </c>
      <c r="C55" s="92" t="s">
        <v>72</v>
      </c>
      <c r="D55" s="175">
        <v>20733554</v>
      </c>
      <c r="E55" s="175">
        <v>21024673</v>
      </c>
      <c r="F55" s="175">
        <v>124950685</v>
      </c>
    </row>
    <row r="56" spans="1:6">
      <c r="A56" s="114" t="s">
        <v>605</v>
      </c>
      <c r="B56" s="114" t="s">
        <v>605</v>
      </c>
      <c r="C56" s="114" t="s">
        <v>605</v>
      </c>
      <c r="D56" s="176" t="s">
        <v>605</v>
      </c>
      <c r="E56" s="176" t="s">
        <v>605</v>
      </c>
      <c r="F56" s="176" t="s">
        <v>605</v>
      </c>
    </row>
    <row r="57" spans="1:6" ht="25">
      <c r="A57" s="99"/>
      <c r="B57" s="102" t="s">
        <v>348</v>
      </c>
      <c r="C57" s="95" t="s">
        <v>73</v>
      </c>
      <c r="D57" s="175">
        <v>12986301</v>
      </c>
      <c r="E57" s="175">
        <v>13019179</v>
      </c>
      <c r="F57" s="175">
        <v>77950685</v>
      </c>
    </row>
    <row r="58" spans="1:6" ht="25">
      <c r="A58" s="99"/>
      <c r="B58" s="102" t="s">
        <v>322</v>
      </c>
      <c r="C58" s="95" t="s">
        <v>74</v>
      </c>
      <c r="D58" s="175">
        <v>7747253</v>
      </c>
      <c r="E58" s="175">
        <v>8005494</v>
      </c>
      <c r="F58" s="175">
        <v>47000000</v>
      </c>
    </row>
    <row r="59" spans="1:6" ht="25">
      <c r="A59" s="99"/>
      <c r="B59" s="102" t="s">
        <v>39</v>
      </c>
      <c r="C59" s="95" t="s">
        <v>75</v>
      </c>
      <c r="D59" s="175">
        <v>0</v>
      </c>
      <c r="E59" s="175">
        <v>0</v>
      </c>
      <c r="F59" s="175">
        <v>0</v>
      </c>
    </row>
    <row r="60" spans="1:6" ht="137.5">
      <c r="A60" s="90">
        <v>8</v>
      </c>
      <c r="B60" s="100" t="s">
        <v>349</v>
      </c>
      <c r="C60" s="92" t="s">
        <v>76</v>
      </c>
      <c r="D60" s="175">
        <v>3864187</v>
      </c>
      <c r="E60" s="175">
        <v>386419</v>
      </c>
      <c r="F60" s="175">
        <v>4250606</v>
      </c>
    </row>
    <row r="61" spans="1:6">
      <c r="A61" s="114" t="s">
        <v>605</v>
      </c>
      <c r="B61" s="114" t="s">
        <v>605</v>
      </c>
      <c r="C61" s="114" t="s">
        <v>605</v>
      </c>
      <c r="D61" s="176" t="s">
        <v>605</v>
      </c>
      <c r="E61" s="176" t="s">
        <v>605</v>
      </c>
      <c r="F61" s="176" t="s">
        <v>605</v>
      </c>
    </row>
    <row r="62" spans="1:6" ht="25">
      <c r="A62" s="99"/>
      <c r="B62" s="101" t="s">
        <v>323</v>
      </c>
      <c r="C62" s="95" t="s">
        <v>77</v>
      </c>
      <c r="D62" s="175">
        <v>3864187</v>
      </c>
      <c r="E62" s="175">
        <v>386419</v>
      </c>
      <c r="F62" s="175">
        <v>4250606</v>
      </c>
    </row>
    <row r="63" spans="1:6" ht="25">
      <c r="A63" s="99"/>
      <c r="B63" s="101" t="s">
        <v>203</v>
      </c>
      <c r="C63" s="95" t="s">
        <v>78</v>
      </c>
      <c r="D63" s="175">
        <v>0</v>
      </c>
      <c r="E63" s="175">
        <v>0</v>
      </c>
      <c r="F63" s="175">
        <v>0</v>
      </c>
    </row>
    <row r="64" spans="1:6" s="26" customFormat="1" ht="37.5">
      <c r="A64" s="99"/>
      <c r="B64" s="101" t="s">
        <v>350</v>
      </c>
      <c r="C64" s="95" t="s">
        <v>79</v>
      </c>
      <c r="D64" s="175">
        <v>0</v>
      </c>
      <c r="E64" s="175">
        <v>0</v>
      </c>
      <c r="F64" s="175">
        <v>0</v>
      </c>
    </row>
    <row r="65" spans="1:6" s="26" customFormat="1" ht="25">
      <c r="A65" s="99"/>
      <c r="B65" s="102" t="s">
        <v>324</v>
      </c>
      <c r="C65" s="95" t="s">
        <v>80</v>
      </c>
      <c r="D65" s="175">
        <v>0</v>
      </c>
      <c r="E65" s="175">
        <v>0</v>
      </c>
      <c r="F65" s="175">
        <v>0</v>
      </c>
    </row>
    <row r="66" spans="1:6" ht="25">
      <c r="A66" s="99"/>
      <c r="B66" s="102" t="s">
        <v>616</v>
      </c>
      <c r="C66" s="95" t="s">
        <v>81</v>
      </c>
      <c r="D66" s="175">
        <v>0</v>
      </c>
      <c r="E66" s="175">
        <v>0</v>
      </c>
      <c r="F66" s="175">
        <v>0</v>
      </c>
    </row>
    <row r="67" spans="1:6" ht="50">
      <c r="A67" s="90">
        <v>9</v>
      </c>
      <c r="B67" s="91" t="s">
        <v>351</v>
      </c>
      <c r="C67" s="92" t="s">
        <v>82</v>
      </c>
      <c r="D67" s="175">
        <v>1212302219</v>
      </c>
      <c r="E67" s="175">
        <v>1033866145</v>
      </c>
      <c r="F67" s="175">
        <v>8721607941</v>
      </c>
    </row>
    <row r="68" spans="1:6" s="26" customFormat="1">
      <c r="A68" s="114" t="s">
        <v>605</v>
      </c>
      <c r="B68" s="114" t="s">
        <v>605</v>
      </c>
      <c r="C68" s="114" t="s">
        <v>605</v>
      </c>
      <c r="D68" s="176" t="s">
        <v>605</v>
      </c>
      <c r="E68" s="176" t="s">
        <v>605</v>
      </c>
      <c r="F68" s="176" t="s">
        <v>605</v>
      </c>
    </row>
    <row r="69" spans="1:6" s="26" customFormat="1" ht="25">
      <c r="A69" s="99"/>
      <c r="B69" s="94" t="s">
        <v>41</v>
      </c>
      <c r="C69" s="95" t="s">
        <v>83</v>
      </c>
      <c r="D69" s="175">
        <v>1209249535</v>
      </c>
      <c r="E69" s="175">
        <v>1019621145</v>
      </c>
      <c r="F69" s="175">
        <v>8663631644</v>
      </c>
    </row>
    <row r="70" spans="1:6" s="26" customFormat="1" ht="25">
      <c r="A70" s="99"/>
      <c r="B70" s="94" t="s">
        <v>42</v>
      </c>
      <c r="C70" s="95" t="s">
        <v>84</v>
      </c>
      <c r="D70" s="175">
        <v>3052684</v>
      </c>
      <c r="E70" s="175">
        <v>6745000</v>
      </c>
      <c r="F70" s="175">
        <v>40476297</v>
      </c>
    </row>
    <row r="71" spans="1:6" ht="25">
      <c r="A71" s="99"/>
      <c r="B71" s="94" t="s">
        <v>43</v>
      </c>
      <c r="C71" s="95" t="s">
        <v>85</v>
      </c>
      <c r="D71" s="175">
        <v>0</v>
      </c>
      <c r="E71" s="175">
        <v>7500000</v>
      </c>
      <c r="F71" s="175">
        <v>17500000</v>
      </c>
    </row>
    <row r="72" spans="1:6" ht="25">
      <c r="A72" s="90">
        <v>10</v>
      </c>
      <c r="B72" s="91" t="s">
        <v>617</v>
      </c>
      <c r="C72" s="92" t="s">
        <v>86</v>
      </c>
      <c r="D72" s="175">
        <v>7891288</v>
      </c>
      <c r="E72" s="175">
        <v>7959687</v>
      </c>
      <c r="F72" s="175">
        <v>56732853</v>
      </c>
    </row>
    <row r="73" spans="1:6">
      <c r="A73" s="114" t="s">
        <v>605</v>
      </c>
      <c r="B73" s="114" t="s">
        <v>605</v>
      </c>
      <c r="C73" s="114" t="s">
        <v>605</v>
      </c>
      <c r="D73" s="176" t="s">
        <v>605</v>
      </c>
      <c r="E73" s="176" t="s">
        <v>605</v>
      </c>
      <c r="F73" s="176" t="s">
        <v>605</v>
      </c>
    </row>
    <row r="74" spans="1:6" ht="25">
      <c r="A74" s="90"/>
      <c r="B74" s="94" t="s">
        <v>44</v>
      </c>
      <c r="C74" s="95" t="s">
        <v>87</v>
      </c>
      <c r="D74" s="175">
        <v>0</v>
      </c>
      <c r="E74" s="175">
        <v>0</v>
      </c>
      <c r="F74" s="175">
        <v>0</v>
      </c>
    </row>
    <row r="75" spans="1:6" ht="25">
      <c r="A75" s="90"/>
      <c r="B75" s="94" t="s">
        <v>352</v>
      </c>
      <c r="C75" s="95" t="s">
        <v>88</v>
      </c>
      <c r="D75" s="175">
        <v>0</v>
      </c>
      <c r="E75" s="175">
        <v>0</v>
      </c>
      <c r="F75" s="175">
        <v>0</v>
      </c>
    </row>
    <row r="76" spans="1:6" ht="25">
      <c r="A76" s="90"/>
      <c r="B76" s="94" t="s">
        <v>45</v>
      </c>
      <c r="C76" s="95" t="s">
        <v>89</v>
      </c>
      <c r="D76" s="175">
        <v>616438</v>
      </c>
      <c r="E76" s="175">
        <v>636987</v>
      </c>
      <c r="F76" s="175">
        <v>3719178</v>
      </c>
    </row>
    <row r="77" spans="1:6" ht="25">
      <c r="A77" s="90"/>
      <c r="B77" s="94" t="s">
        <v>46</v>
      </c>
      <c r="C77" s="95" t="s">
        <v>90</v>
      </c>
      <c r="D77" s="175">
        <v>7274850</v>
      </c>
      <c r="E77" s="175">
        <v>7322700</v>
      </c>
      <c r="F77" s="175">
        <v>51913675</v>
      </c>
    </row>
    <row r="78" spans="1:6" ht="25">
      <c r="A78" s="90"/>
      <c r="B78" s="94" t="s">
        <v>353</v>
      </c>
      <c r="C78" s="95" t="s">
        <v>91</v>
      </c>
      <c r="D78" s="175">
        <v>0</v>
      </c>
      <c r="E78" s="175">
        <v>0</v>
      </c>
      <c r="F78" s="175">
        <v>0</v>
      </c>
    </row>
    <row r="79" spans="1:6" ht="25">
      <c r="A79" s="90"/>
      <c r="B79" s="94" t="s">
        <v>43</v>
      </c>
      <c r="C79" s="95" t="s">
        <v>92</v>
      </c>
      <c r="D79" s="175">
        <v>0</v>
      </c>
      <c r="E79" s="175">
        <v>0</v>
      </c>
      <c r="F79" s="175">
        <v>0</v>
      </c>
    </row>
    <row r="80" spans="1:6" ht="25">
      <c r="A80" s="90"/>
      <c r="B80" s="94" t="s">
        <v>354</v>
      </c>
      <c r="C80" s="95" t="s">
        <v>93</v>
      </c>
      <c r="D80" s="175">
        <v>0</v>
      </c>
      <c r="E80" s="175">
        <v>0</v>
      </c>
      <c r="F80" s="175">
        <v>1100000</v>
      </c>
    </row>
    <row r="81" spans="1:6" ht="37.5">
      <c r="A81" s="178" t="s">
        <v>26</v>
      </c>
      <c r="B81" s="172" t="s">
        <v>355</v>
      </c>
      <c r="C81" s="173" t="s">
        <v>94</v>
      </c>
      <c r="D81" s="179">
        <v>17360281</v>
      </c>
      <c r="E81" s="179">
        <v>-1548388626</v>
      </c>
      <c r="F81" s="179">
        <v>-10443596391</v>
      </c>
    </row>
    <row r="82" spans="1:6" ht="25">
      <c r="A82" s="178" t="s">
        <v>27</v>
      </c>
      <c r="B82" s="172" t="s">
        <v>326</v>
      </c>
      <c r="C82" s="173" t="s">
        <v>95</v>
      </c>
      <c r="D82" s="179">
        <v>74593695180</v>
      </c>
      <c r="E82" s="179">
        <v>48005979889</v>
      </c>
      <c r="F82" s="179">
        <v>186489370991</v>
      </c>
    </row>
    <row r="83" spans="1:6" ht="50">
      <c r="A83" s="90">
        <v>1</v>
      </c>
      <c r="B83" s="91" t="s">
        <v>618</v>
      </c>
      <c r="C83" s="92" t="s">
        <v>96</v>
      </c>
      <c r="D83" s="175">
        <v>30969586696</v>
      </c>
      <c r="E83" s="175">
        <v>8588197744</v>
      </c>
      <c r="F83" s="175">
        <v>65021082747</v>
      </c>
    </row>
    <row r="84" spans="1:6" ht="25">
      <c r="A84" s="90">
        <v>2</v>
      </c>
      <c r="B84" s="91" t="s">
        <v>47</v>
      </c>
      <c r="C84" s="92" t="s">
        <v>97</v>
      </c>
      <c r="D84" s="175">
        <v>43624108484</v>
      </c>
      <c r="E84" s="175">
        <v>39417782145</v>
      </c>
      <c r="F84" s="175">
        <v>121468288244</v>
      </c>
    </row>
    <row r="85" spans="1:6" ht="62.5">
      <c r="A85" s="178" t="s">
        <v>28</v>
      </c>
      <c r="B85" s="172" t="s">
        <v>356</v>
      </c>
      <c r="C85" s="173" t="s">
        <v>98</v>
      </c>
      <c r="D85" s="179">
        <v>74611055461</v>
      </c>
      <c r="E85" s="179">
        <v>46457591263</v>
      </c>
      <c r="F85" s="179">
        <v>176045774600</v>
      </c>
    </row>
    <row r="86" spans="1:6" ht="25">
      <c r="A86" s="178" t="s">
        <v>29</v>
      </c>
      <c r="B86" s="172" t="s">
        <v>48</v>
      </c>
      <c r="C86" s="173" t="s">
        <v>99</v>
      </c>
      <c r="D86" s="179">
        <v>1268198566062</v>
      </c>
      <c r="E86" s="179">
        <v>1230326086676</v>
      </c>
      <c r="F86" s="179">
        <v>1261305844696</v>
      </c>
    </row>
    <row r="87" spans="1:6" ht="62.25" customHeight="1">
      <c r="A87" s="178" t="s">
        <v>30</v>
      </c>
      <c r="B87" s="172" t="s">
        <v>656</v>
      </c>
      <c r="C87" s="173" t="s">
        <v>100</v>
      </c>
      <c r="D87" s="179">
        <v>52469395781</v>
      </c>
      <c r="E87" s="179">
        <v>37872479386</v>
      </c>
      <c r="F87" s="179">
        <v>59362117147</v>
      </c>
    </row>
    <row r="88" spans="1:6" s="26" customFormat="1" ht="50">
      <c r="A88" s="90">
        <v>1</v>
      </c>
      <c r="B88" s="91" t="s">
        <v>619</v>
      </c>
      <c r="C88" s="92" t="s">
        <v>101</v>
      </c>
      <c r="D88" s="175">
        <v>74611055461</v>
      </c>
      <c r="E88" s="175">
        <v>46457591263</v>
      </c>
      <c r="F88" s="175">
        <v>176045774600</v>
      </c>
    </row>
    <row r="89" spans="1:6" ht="50">
      <c r="A89" s="90">
        <v>2</v>
      </c>
      <c r="B89" s="91" t="s">
        <v>620</v>
      </c>
      <c r="C89" s="92" t="s">
        <v>102</v>
      </c>
      <c r="D89" s="175">
        <v>0</v>
      </c>
      <c r="E89" s="175">
        <v>0</v>
      </c>
      <c r="F89" s="175">
        <v>0</v>
      </c>
    </row>
    <row r="90" spans="1:6" ht="50">
      <c r="A90" s="90">
        <v>3</v>
      </c>
      <c r="B90" s="91" t="s">
        <v>621</v>
      </c>
      <c r="C90" s="92" t="s">
        <v>103</v>
      </c>
      <c r="D90" s="175">
        <v>-22141659680</v>
      </c>
      <c r="E90" s="175">
        <v>-8585111877</v>
      </c>
      <c r="F90" s="175">
        <v>-116683657453</v>
      </c>
    </row>
    <row r="91" spans="1:6" ht="50">
      <c r="A91" s="90"/>
      <c r="B91" s="91" t="s">
        <v>357</v>
      </c>
      <c r="C91" s="92" t="s">
        <v>622</v>
      </c>
      <c r="D91" s="175">
        <v>20105763745</v>
      </c>
      <c r="E91" s="175">
        <v>8800511729</v>
      </c>
      <c r="F91" s="175">
        <v>72137603193</v>
      </c>
    </row>
    <row r="92" spans="1:6" ht="37.5">
      <c r="A92" s="90"/>
      <c r="B92" s="91" t="s">
        <v>358</v>
      </c>
      <c r="C92" s="92" t="s">
        <v>623</v>
      </c>
      <c r="D92" s="175">
        <v>-42247423425</v>
      </c>
      <c r="E92" s="175">
        <v>-17385623606</v>
      </c>
      <c r="F92" s="175">
        <v>-188821260646</v>
      </c>
    </row>
    <row r="93" spans="1:6" s="30" customFormat="1" ht="25">
      <c r="A93" s="171" t="s">
        <v>31</v>
      </c>
      <c r="B93" s="172" t="s">
        <v>49</v>
      </c>
      <c r="C93" s="173" t="s">
        <v>104</v>
      </c>
      <c r="D93" s="179">
        <v>1320667961843</v>
      </c>
      <c r="E93" s="179">
        <v>1268198566062</v>
      </c>
      <c r="F93" s="179">
        <v>1320667961843</v>
      </c>
    </row>
    <row r="94" spans="1:6" ht="50">
      <c r="A94" s="171" t="s">
        <v>32</v>
      </c>
      <c r="B94" s="172" t="s">
        <v>327</v>
      </c>
      <c r="C94" s="173" t="s">
        <v>105</v>
      </c>
      <c r="D94" s="179">
        <v>0</v>
      </c>
      <c r="E94" s="179">
        <v>0</v>
      </c>
      <c r="F94" s="179">
        <v>0</v>
      </c>
    </row>
    <row r="95" spans="1:6" ht="50">
      <c r="A95" s="103"/>
      <c r="B95" s="91" t="s">
        <v>328</v>
      </c>
      <c r="C95" s="92" t="s">
        <v>106</v>
      </c>
      <c r="D95" s="188">
        <v>0</v>
      </c>
      <c r="E95" s="188">
        <v>0</v>
      </c>
      <c r="F95" s="188">
        <v>0</v>
      </c>
    </row>
    <row r="96" spans="1:6" ht="17" customHeight="1"/>
    <row r="97" spans="1:6" ht="17" customHeight="1">
      <c r="A97" s="20" t="s">
        <v>10</v>
      </c>
      <c r="D97" s="20" t="s">
        <v>11</v>
      </c>
    </row>
    <row r="98" spans="1:6" ht="17" customHeight="1">
      <c r="A98" s="21" t="s">
        <v>12</v>
      </c>
      <c r="D98" s="21" t="s">
        <v>13</v>
      </c>
    </row>
    <row r="99" spans="1:6" ht="17" customHeight="1">
      <c r="A99" s="21"/>
      <c r="D99" s="21"/>
    </row>
    <row r="100" spans="1:6" ht="17" customHeight="1">
      <c r="A100" s="21"/>
      <c r="D100" s="21"/>
    </row>
    <row r="101" spans="1:6" ht="17" customHeight="1">
      <c r="A101" s="21"/>
      <c r="D101" s="21"/>
    </row>
    <row r="102" spans="1:6" ht="17" customHeight="1">
      <c r="A102" s="21"/>
      <c r="D102" s="21"/>
    </row>
    <row r="103" spans="1:6" ht="17" customHeight="1"/>
    <row r="104" spans="1:6" ht="17" customHeight="1"/>
    <row r="105" spans="1:6" ht="17" customHeight="1">
      <c r="A105" s="31" t="s">
        <v>14</v>
      </c>
      <c r="B105" s="32"/>
      <c r="D105" s="31" t="s">
        <v>1362</v>
      </c>
      <c r="E105" s="32"/>
      <c r="F105" s="32"/>
    </row>
    <row r="106" spans="1:6" ht="17" customHeight="1">
      <c r="A106" s="28" t="s">
        <v>1368</v>
      </c>
      <c r="D106" s="28" t="s">
        <v>1369</v>
      </c>
    </row>
    <row r="107" spans="1:6" ht="17" customHeight="1">
      <c r="A107" s="15" t="s">
        <v>1370</v>
      </c>
      <c r="D107" s="15" t="s">
        <v>1371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topLeftCell="A112" zoomScale="70" zoomScaleNormal="100" zoomScaleSheetLayoutView="70" workbookViewId="0">
      <selection activeCell="F117" sqref="F117"/>
    </sheetView>
  </sheetViews>
  <sheetFormatPr defaultColWidth="8.81640625" defaultRowHeight="12.5"/>
  <cols>
    <col min="1" max="1" width="9" style="15" customWidth="1"/>
    <col min="2" max="2" width="39.81640625" style="15" customWidth="1"/>
    <col min="3" max="3" width="9.1796875" style="15" customWidth="1"/>
    <col min="4" max="4" width="28" style="15" customWidth="1"/>
    <col min="5" max="5" width="33.81640625" style="15" customWidth="1"/>
    <col min="6" max="6" width="32.1796875" style="15" customWidth="1"/>
    <col min="7" max="7" width="28.54296875" style="15" customWidth="1"/>
    <col min="8" max="16384" width="8.81640625" style="145"/>
  </cols>
  <sheetData>
    <row r="1" spans="1:7" ht="44.25" customHeight="1">
      <c r="A1" s="213" t="s">
        <v>651</v>
      </c>
      <c r="B1" s="213"/>
      <c r="C1" s="213"/>
      <c r="D1" s="213"/>
      <c r="E1" s="213"/>
      <c r="F1" s="213"/>
      <c r="G1" s="213"/>
    </row>
    <row r="2" spans="1:7" ht="59.25" customHeight="1">
      <c r="A2" s="214" t="s">
        <v>652</v>
      </c>
      <c r="B2" s="214"/>
      <c r="C2" s="214"/>
      <c r="D2" s="214"/>
      <c r="E2" s="214"/>
      <c r="F2" s="214"/>
      <c r="G2" s="214"/>
    </row>
    <row r="3" spans="1:7" ht="15" customHeight="1">
      <c r="A3" s="215" t="s">
        <v>600</v>
      </c>
      <c r="B3" s="215"/>
      <c r="C3" s="215"/>
      <c r="D3" s="215"/>
      <c r="E3" s="215"/>
      <c r="F3" s="215"/>
      <c r="G3" s="215"/>
    </row>
    <row r="4" spans="1:7" ht="27.5" customHeight="1">
      <c r="A4" s="215"/>
      <c r="B4" s="215"/>
      <c r="C4" s="215"/>
      <c r="D4" s="215"/>
      <c r="E4" s="215"/>
      <c r="F4" s="215"/>
      <c r="G4" s="215"/>
    </row>
    <row r="5" spans="1:7" ht="17" customHeight="1">
      <c r="A5" s="216" t="s">
        <v>1360</v>
      </c>
      <c r="B5" s="216"/>
      <c r="C5" s="216"/>
      <c r="D5" s="216"/>
      <c r="E5" s="216"/>
      <c r="F5" s="216"/>
      <c r="G5" s="216"/>
    </row>
    <row r="6" spans="1:7" ht="17" customHeight="1"/>
    <row r="7" spans="1:7" ht="17" customHeight="1">
      <c r="A7" s="116" t="s">
        <v>2</v>
      </c>
      <c r="C7" s="222" t="s">
        <v>1362</v>
      </c>
      <c r="D7" s="222"/>
      <c r="E7" s="222"/>
      <c r="F7" s="222"/>
      <c r="G7" s="222"/>
    </row>
    <row r="8" spans="1:7" ht="17" customHeight="1">
      <c r="A8" s="15" t="s">
        <v>15</v>
      </c>
      <c r="C8" s="221" t="s">
        <v>1363</v>
      </c>
      <c r="D8" s="221"/>
      <c r="E8" s="221"/>
      <c r="F8" s="221"/>
      <c r="G8" s="221"/>
    </row>
    <row r="9" spans="1:7" ht="17" customHeight="1">
      <c r="A9" s="116" t="s">
        <v>3</v>
      </c>
      <c r="C9" s="222" t="s">
        <v>1364</v>
      </c>
      <c r="D9" s="222"/>
      <c r="E9" s="222"/>
      <c r="F9" s="222"/>
      <c r="G9" s="222"/>
    </row>
    <row r="10" spans="1:7" ht="17" customHeight="1">
      <c r="A10" s="15" t="s">
        <v>4</v>
      </c>
      <c r="C10" s="221" t="s">
        <v>1365</v>
      </c>
      <c r="D10" s="221"/>
      <c r="E10" s="221"/>
      <c r="F10" s="221"/>
      <c r="G10" s="221"/>
    </row>
    <row r="11" spans="1:7" ht="17" customHeight="1">
      <c r="A11" s="116" t="s">
        <v>5</v>
      </c>
      <c r="C11" s="222" t="s">
        <v>702</v>
      </c>
      <c r="D11" s="222"/>
      <c r="E11" s="222"/>
      <c r="F11" s="222"/>
      <c r="G11" s="222"/>
    </row>
    <row r="12" spans="1:7" ht="17" customHeight="1">
      <c r="A12" s="15" t="s">
        <v>6</v>
      </c>
      <c r="C12" s="221" t="s">
        <v>1383</v>
      </c>
      <c r="D12" s="221"/>
      <c r="E12" s="221"/>
      <c r="F12" s="221"/>
      <c r="G12" s="221"/>
    </row>
    <row r="13" spans="1:7" ht="17" customHeight="1">
      <c r="A13" s="116" t="s">
        <v>7</v>
      </c>
      <c r="C13" s="222" t="s">
        <v>1366</v>
      </c>
      <c r="D13" s="222"/>
      <c r="E13" s="222"/>
      <c r="F13" s="222"/>
      <c r="G13" s="222"/>
    </row>
    <row r="14" spans="1:7" ht="17" customHeight="1">
      <c r="A14" s="15" t="s">
        <v>8</v>
      </c>
      <c r="C14" s="221" t="s">
        <v>1367</v>
      </c>
      <c r="D14" s="221"/>
      <c r="E14" s="221"/>
      <c r="F14" s="221"/>
      <c r="G14" s="221"/>
    </row>
    <row r="15" spans="1:7" ht="18" hidden="1" customHeight="1"/>
    <row r="16" spans="1:7" ht="17" customHeight="1">
      <c r="A16" s="110" t="s">
        <v>649</v>
      </c>
      <c r="B16" s="111" t="s">
        <v>650</v>
      </c>
    </row>
    <row r="17" spans="1:7" ht="17" customHeight="1">
      <c r="A17" s="22" t="s">
        <v>26</v>
      </c>
      <c r="B17" s="23" t="s">
        <v>602</v>
      </c>
    </row>
    <row r="18" spans="1:7" ht="75.5" customHeight="1">
      <c r="A18" s="34" t="s">
        <v>236</v>
      </c>
      <c r="B18" s="34" t="s">
        <v>107</v>
      </c>
      <c r="C18" s="34" t="s">
        <v>19</v>
      </c>
      <c r="D18" s="34" t="s">
        <v>108</v>
      </c>
      <c r="E18" s="34" t="s">
        <v>109</v>
      </c>
      <c r="F18" s="34" t="s">
        <v>110</v>
      </c>
      <c r="G18" s="34" t="s">
        <v>111</v>
      </c>
    </row>
    <row r="19" spans="1:7" ht="63.65" customHeight="1">
      <c r="A19" s="191" t="s">
        <v>718</v>
      </c>
      <c r="B19" s="190" t="s">
        <v>719</v>
      </c>
      <c r="C19" s="191"/>
      <c r="D19" s="193"/>
      <c r="E19" s="193"/>
      <c r="F19" s="193"/>
      <c r="G19" s="192"/>
    </row>
    <row r="20" spans="1:7" ht="39" customHeight="1">
      <c r="A20" s="186"/>
      <c r="B20" s="185"/>
      <c r="C20" s="187"/>
      <c r="D20" s="189"/>
      <c r="E20" s="195"/>
      <c r="F20" s="189"/>
      <c r="G20" s="188"/>
    </row>
    <row r="21" spans="1:7" ht="39" customHeight="1">
      <c r="A21" s="191"/>
      <c r="B21" s="190" t="s">
        <v>720</v>
      </c>
      <c r="C21" s="191" t="s">
        <v>721</v>
      </c>
      <c r="D21" s="193"/>
      <c r="E21" s="193"/>
      <c r="F21" s="193"/>
      <c r="G21" s="192"/>
    </row>
    <row r="22" spans="1:7" ht="75" customHeight="1">
      <c r="A22" s="191" t="s">
        <v>722</v>
      </c>
      <c r="B22" s="190" t="s">
        <v>723</v>
      </c>
      <c r="C22" s="191" t="s">
        <v>724</v>
      </c>
      <c r="D22" s="193"/>
      <c r="E22" s="193"/>
      <c r="F22" s="193"/>
      <c r="G22" s="192"/>
    </row>
    <row r="23" spans="1:7" ht="39" customHeight="1">
      <c r="A23" s="186"/>
      <c r="B23" s="185"/>
      <c r="C23" s="187"/>
      <c r="D23" s="189"/>
      <c r="E23" s="195"/>
      <c r="F23" s="189"/>
      <c r="G23" s="188"/>
    </row>
    <row r="24" spans="1:7" ht="34" customHeight="1">
      <c r="A24" s="186" t="s">
        <v>725</v>
      </c>
      <c r="B24" s="185" t="s">
        <v>726</v>
      </c>
      <c r="C24" s="187" t="s">
        <v>727</v>
      </c>
      <c r="D24" s="189">
        <v>955300</v>
      </c>
      <c r="E24" s="195">
        <v>22050</v>
      </c>
      <c r="F24" s="189">
        <v>21064365000</v>
      </c>
      <c r="G24" s="188">
        <v>1.55336309976005E-2</v>
      </c>
    </row>
    <row r="25" spans="1:7" ht="34" customHeight="1">
      <c r="A25" s="186" t="s">
        <v>728</v>
      </c>
      <c r="B25" s="185" t="s">
        <v>729</v>
      </c>
      <c r="C25" s="187" t="s">
        <v>730</v>
      </c>
      <c r="D25" s="189">
        <v>524100</v>
      </c>
      <c r="E25" s="195">
        <v>43350</v>
      </c>
      <c r="F25" s="189">
        <v>22719735000</v>
      </c>
      <c r="G25" s="188">
        <v>1.6754361209239801E-2</v>
      </c>
    </row>
    <row r="26" spans="1:7" ht="34" customHeight="1">
      <c r="A26" s="186" t="s">
        <v>731</v>
      </c>
      <c r="B26" s="185" t="s">
        <v>732</v>
      </c>
      <c r="C26" s="187" t="s">
        <v>733</v>
      </c>
      <c r="D26" s="189">
        <v>334500</v>
      </c>
      <c r="E26" s="195">
        <v>32550</v>
      </c>
      <c r="F26" s="189">
        <v>10887975000</v>
      </c>
      <c r="G26" s="188">
        <v>8.0291898645460692E-3</v>
      </c>
    </row>
    <row r="27" spans="1:7" ht="34" customHeight="1">
      <c r="A27" s="186" t="s">
        <v>734</v>
      </c>
      <c r="B27" s="185" t="s">
        <v>735</v>
      </c>
      <c r="C27" s="187" t="s">
        <v>736</v>
      </c>
      <c r="D27" s="189">
        <v>262500</v>
      </c>
      <c r="E27" s="195">
        <v>13600</v>
      </c>
      <c r="F27" s="189">
        <v>3570000000</v>
      </c>
      <c r="G27" s="188">
        <v>2.6326482028503498E-3</v>
      </c>
    </row>
    <row r="28" spans="1:7" ht="34" customHeight="1">
      <c r="A28" s="186" t="s">
        <v>737</v>
      </c>
      <c r="B28" s="185" t="s">
        <v>738</v>
      </c>
      <c r="C28" s="187" t="s">
        <v>739</v>
      </c>
      <c r="D28" s="189">
        <v>478000</v>
      </c>
      <c r="E28" s="195">
        <v>18200</v>
      </c>
      <c r="F28" s="189">
        <v>8699600000</v>
      </c>
      <c r="G28" s="188">
        <v>6.4154023264753101E-3</v>
      </c>
    </row>
    <row r="29" spans="1:7" ht="34" customHeight="1">
      <c r="A29" s="186" t="s">
        <v>740</v>
      </c>
      <c r="B29" s="185" t="s">
        <v>741</v>
      </c>
      <c r="C29" s="187" t="s">
        <v>742</v>
      </c>
      <c r="D29" s="189">
        <v>1100300</v>
      </c>
      <c r="E29" s="195">
        <v>29500</v>
      </c>
      <c r="F29" s="189">
        <v>32458850000</v>
      </c>
      <c r="G29" s="188">
        <v>2.3936339809268601E-2</v>
      </c>
    </row>
    <row r="30" spans="1:7" ht="34" customHeight="1">
      <c r="A30" s="186" t="s">
        <v>743</v>
      </c>
      <c r="B30" s="185" t="s">
        <v>744</v>
      </c>
      <c r="C30" s="187" t="s">
        <v>745</v>
      </c>
      <c r="D30" s="189">
        <v>130500</v>
      </c>
      <c r="E30" s="195">
        <v>70500</v>
      </c>
      <c r="F30" s="189">
        <v>9200250000</v>
      </c>
      <c r="G30" s="188">
        <v>6.7845998958750396E-3</v>
      </c>
    </row>
    <row r="31" spans="1:7" ht="34" customHeight="1">
      <c r="A31" s="186" t="s">
        <v>746</v>
      </c>
      <c r="B31" s="185" t="s">
        <v>747</v>
      </c>
      <c r="C31" s="187" t="s">
        <v>748</v>
      </c>
      <c r="D31" s="189">
        <v>268000</v>
      </c>
      <c r="E31" s="195">
        <v>26400</v>
      </c>
      <c r="F31" s="189">
        <v>7075200000</v>
      </c>
      <c r="G31" s="188">
        <v>5.2175105223548303E-3</v>
      </c>
    </row>
    <row r="32" spans="1:7" ht="34" customHeight="1">
      <c r="A32" s="186" t="s">
        <v>749</v>
      </c>
      <c r="B32" s="185" t="s">
        <v>750</v>
      </c>
      <c r="C32" s="187" t="s">
        <v>751</v>
      </c>
      <c r="D32" s="189">
        <v>360000</v>
      </c>
      <c r="E32" s="195">
        <v>63800</v>
      </c>
      <c r="F32" s="189">
        <v>22968000000</v>
      </c>
      <c r="G32" s="188">
        <v>1.6937440874808599E-2</v>
      </c>
    </row>
    <row r="33" spans="1:7" ht="34" customHeight="1">
      <c r="A33" s="186" t="s">
        <v>752</v>
      </c>
      <c r="B33" s="185" t="s">
        <v>753</v>
      </c>
      <c r="C33" s="187" t="s">
        <v>754</v>
      </c>
      <c r="D33" s="189">
        <v>354600</v>
      </c>
      <c r="E33" s="195">
        <v>41600</v>
      </c>
      <c r="F33" s="189">
        <v>14751360000</v>
      </c>
      <c r="G33" s="188">
        <v>1.0878190866554199E-2</v>
      </c>
    </row>
    <row r="34" spans="1:7" ht="34" customHeight="1">
      <c r="A34" s="186" t="s">
        <v>755</v>
      </c>
      <c r="B34" s="185" t="s">
        <v>756</v>
      </c>
      <c r="C34" s="187" t="s">
        <v>757</v>
      </c>
      <c r="D34" s="189">
        <v>100000</v>
      </c>
      <c r="E34" s="195">
        <v>40900</v>
      </c>
      <c r="F34" s="189">
        <v>4090000000</v>
      </c>
      <c r="G34" s="188">
        <v>3.0161151679714E-3</v>
      </c>
    </row>
    <row r="35" spans="1:7" ht="34" customHeight="1">
      <c r="A35" s="186" t="s">
        <v>758</v>
      </c>
      <c r="B35" s="185" t="s">
        <v>759</v>
      </c>
      <c r="C35" s="187" t="s">
        <v>760</v>
      </c>
      <c r="D35" s="189">
        <v>319800</v>
      </c>
      <c r="E35" s="195">
        <v>21050</v>
      </c>
      <c r="F35" s="189">
        <v>6731790000</v>
      </c>
      <c r="G35" s="188">
        <v>4.9642674637159403E-3</v>
      </c>
    </row>
    <row r="36" spans="1:7" ht="34" customHeight="1">
      <c r="A36" s="186" t="s">
        <v>761</v>
      </c>
      <c r="B36" s="185" t="s">
        <v>762</v>
      </c>
      <c r="C36" s="187" t="s">
        <v>763</v>
      </c>
      <c r="D36" s="189">
        <v>335800</v>
      </c>
      <c r="E36" s="195">
        <v>32600</v>
      </c>
      <c r="F36" s="189">
        <v>10947080000</v>
      </c>
      <c r="G36" s="188">
        <v>8.0727760471873793E-3</v>
      </c>
    </row>
    <row r="37" spans="1:7" ht="34" customHeight="1">
      <c r="A37" s="186" t="s">
        <v>764</v>
      </c>
      <c r="B37" s="185" t="s">
        <v>765</v>
      </c>
      <c r="C37" s="187" t="s">
        <v>766</v>
      </c>
      <c r="D37" s="189">
        <v>766000</v>
      </c>
      <c r="E37" s="195">
        <v>14850</v>
      </c>
      <c r="F37" s="189">
        <v>11375100000</v>
      </c>
      <c r="G37" s="188">
        <v>8.3884136056702994E-3</v>
      </c>
    </row>
    <row r="38" spans="1:7" ht="34" customHeight="1">
      <c r="A38" s="186" t="s">
        <v>767</v>
      </c>
      <c r="B38" s="185" t="s">
        <v>768</v>
      </c>
      <c r="C38" s="187" t="s">
        <v>769</v>
      </c>
      <c r="D38" s="189">
        <v>404120</v>
      </c>
      <c r="E38" s="195">
        <v>21250</v>
      </c>
      <c r="F38" s="189">
        <v>8587550000</v>
      </c>
      <c r="G38" s="188">
        <v>6.3327725698564402E-3</v>
      </c>
    </row>
    <row r="39" spans="1:7" ht="34" customHeight="1">
      <c r="A39" s="186" t="s">
        <v>770</v>
      </c>
      <c r="B39" s="185" t="s">
        <v>771</v>
      </c>
      <c r="C39" s="187" t="s">
        <v>772</v>
      </c>
      <c r="D39" s="189">
        <v>598300</v>
      </c>
      <c r="E39" s="195">
        <v>86000</v>
      </c>
      <c r="F39" s="189">
        <v>51453800000</v>
      </c>
      <c r="G39" s="188">
        <v>3.79439087114345E-2</v>
      </c>
    </row>
    <row r="40" spans="1:7" ht="34" customHeight="1">
      <c r="A40" s="186" t="s">
        <v>773</v>
      </c>
      <c r="B40" s="185" t="s">
        <v>774</v>
      </c>
      <c r="C40" s="187" t="s">
        <v>775</v>
      </c>
      <c r="D40" s="189">
        <v>175400</v>
      </c>
      <c r="E40" s="195">
        <v>71600</v>
      </c>
      <c r="F40" s="189">
        <v>12558640000</v>
      </c>
      <c r="G40" s="188">
        <v>9.2611991670152501E-3</v>
      </c>
    </row>
    <row r="41" spans="1:7" ht="34" customHeight="1">
      <c r="A41" s="186" t="s">
        <v>776</v>
      </c>
      <c r="B41" s="185" t="s">
        <v>777</v>
      </c>
      <c r="C41" s="187" t="s">
        <v>778</v>
      </c>
      <c r="D41" s="189">
        <v>5000</v>
      </c>
      <c r="E41" s="195">
        <v>29050</v>
      </c>
      <c r="F41" s="189">
        <v>145250000</v>
      </c>
      <c r="G41" s="188">
        <v>1.0711264746891101E-4</v>
      </c>
    </row>
    <row r="42" spans="1:7" ht="34" customHeight="1">
      <c r="A42" s="186" t="s">
        <v>779</v>
      </c>
      <c r="B42" s="185" t="s">
        <v>780</v>
      </c>
      <c r="C42" s="187" t="s">
        <v>781</v>
      </c>
      <c r="D42" s="189">
        <v>668000</v>
      </c>
      <c r="E42" s="195">
        <v>19350</v>
      </c>
      <c r="F42" s="189">
        <v>12925800000</v>
      </c>
      <c r="G42" s="188">
        <v>9.5319563418495793E-3</v>
      </c>
    </row>
    <row r="43" spans="1:7" ht="34" customHeight="1">
      <c r="A43" s="186" t="s">
        <v>782</v>
      </c>
      <c r="B43" s="185" t="s">
        <v>783</v>
      </c>
      <c r="C43" s="187" t="s">
        <v>784</v>
      </c>
      <c r="D43" s="189">
        <v>176300</v>
      </c>
      <c r="E43" s="195">
        <v>45000</v>
      </c>
      <c r="F43" s="189">
        <v>7933500000</v>
      </c>
      <c r="G43" s="188">
        <v>5.8504522457459998E-3</v>
      </c>
    </row>
    <row r="44" spans="1:7" ht="34" customHeight="1">
      <c r="A44" s="186" t="s">
        <v>785</v>
      </c>
      <c r="B44" s="185" t="s">
        <v>786</v>
      </c>
      <c r="C44" s="187" t="s">
        <v>787</v>
      </c>
      <c r="D44" s="189">
        <v>54200</v>
      </c>
      <c r="E44" s="195">
        <v>28000</v>
      </c>
      <c r="F44" s="189">
        <v>1517600000</v>
      </c>
      <c r="G44" s="188">
        <v>1.1191335889763801E-3</v>
      </c>
    </row>
    <row r="45" spans="1:7" ht="34" customHeight="1">
      <c r="A45" s="186" t="s">
        <v>788</v>
      </c>
      <c r="B45" s="185" t="s">
        <v>789</v>
      </c>
      <c r="C45" s="187" t="s">
        <v>790</v>
      </c>
      <c r="D45" s="189">
        <v>520600</v>
      </c>
      <c r="E45" s="195">
        <v>38700</v>
      </c>
      <c r="F45" s="189">
        <v>20147220000</v>
      </c>
      <c r="G45" s="188">
        <v>1.4857294825050601E-2</v>
      </c>
    </row>
    <row r="46" spans="1:7" ht="34" customHeight="1">
      <c r="A46" s="186" t="s">
        <v>791</v>
      </c>
      <c r="B46" s="185" t="s">
        <v>792</v>
      </c>
      <c r="C46" s="187" t="s">
        <v>793</v>
      </c>
      <c r="D46" s="189">
        <v>935560</v>
      </c>
      <c r="E46" s="195">
        <v>15250</v>
      </c>
      <c r="F46" s="189">
        <v>14267290000</v>
      </c>
      <c r="G46" s="188">
        <v>1.0521219993850099E-2</v>
      </c>
    </row>
    <row r="47" spans="1:7" ht="34" customHeight="1">
      <c r="A47" s="186" t="s">
        <v>794</v>
      </c>
      <c r="B47" s="185" t="s">
        <v>795</v>
      </c>
      <c r="C47" s="187" t="s">
        <v>796</v>
      </c>
      <c r="D47" s="189">
        <v>2466800</v>
      </c>
      <c r="E47" s="195">
        <v>26150</v>
      </c>
      <c r="F47" s="189">
        <v>64506820000</v>
      </c>
      <c r="G47" s="188">
        <v>4.7569681721173901E-2</v>
      </c>
    </row>
    <row r="48" spans="1:7" ht="34" customHeight="1">
      <c r="A48" s="186" t="s">
        <v>797</v>
      </c>
      <c r="B48" s="185" t="s">
        <v>798</v>
      </c>
      <c r="C48" s="187" t="s">
        <v>799</v>
      </c>
      <c r="D48" s="189">
        <v>1103040</v>
      </c>
      <c r="E48" s="195">
        <v>16450</v>
      </c>
      <c r="F48" s="189">
        <v>18145008000</v>
      </c>
      <c r="G48" s="188">
        <v>1.33807906728026E-2</v>
      </c>
    </row>
    <row r="49" spans="1:7" ht="34" customHeight="1">
      <c r="A49" s="186" t="s">
        <v>800</v>
      </c>
      <c r="B49" s="185" t="s">
        <v>801</v>
      </c>
      <c r="C49" s="187" t="s">
        <v>802</v>
      </c>
      <c r="D49" s="189">
        <v>346800</v>
      </c>
      <c r="E49" s="195">
        <v>42400</v>
      </c>
      <c r="F49" s="189">
        <v>14704320000</v>
      </c>
      <c r="G49" s="188">
        <v>1.08435018549402E-2</v>
      </c>
    </row>
    <row r="50" spans="1:7" ht="34" customHeight="1">
      <c r="A50" s="186" t="s">
        <v>803</v>
      </c>
      <c r="B50" s="185" t="s">
        <v>804</v>
      </c>
      <c r="C50" s="187" t="s">
        <v>805</v>
      </c>
      <c r="D50" s="189">
        <v>805000</v>
      </c>
      <c r="E50" s="195">
        <v>29350</v>
      </c>
      <c r="F50" s="189">
        <v>23626750000</v>
      </c>
      <c r="G50" s="188">
        <v>1.7423227150334598E-2</v>
      </c>
    </row>
    <row r="51" spans="1:7" ht="34" customHeight="1">
      <c r="A51" s="186" t="s">
        <v>806</v>
      </c>
      <c r="B51" s="185" t="s">
        <v>807</v>
      </c>
      <c r="C51" s="187" t="s">
        <v>808</v>
      </c>
      <c r="D51" s="189">
        <v>781400</v>
      </c>
      <c r="E51" s="195">
        <v>30800</v>
      </c>
      <c r="F51" s="189">
        <v>24067120000</v>
      </c>
      <c r="G51" s="188">
        <v>1.77479720492391E-2</v>
      </c>
    </row>
    <row r="52" spans="1:7" ht="34" customHeight="1">
      <c r="A52" s="186" t="s">
        <v>809</v>
      </c>
      <c r="B52" s="185" t="s">
        <v>810</v>
      </c>
      <c r="C52" s="187" t="s">
        <v>811</v>
      </c>
      <c r="D52" s="189">
        <v>1449400</v>
      </c>
      <c r="E52" s="195">
        <v>20200</v>
      </c>
      <c r="F52" s="189">
        <v>29277880000</v>
      </c>
      <c r="G52" s="188">
        <v>2.1590576516881801E-2</v>
      </c>
    </row>
    <row r="53" spans="1:7" ht="34" customHeight="1">
      <c r="A53" s="186" t="s">
        <v>812</v>
      </c>
      <c r="B53" s="185" t="s">
        <v>813</v>
      </c>
      <c r="C53" s="187" t="s">
        <v>814</v>
      </c>
      <c r="D53" s="189">
        <v>141900</v>
      </c>
      <c r="E53" s="195">
        <v>75200</v>
      </c>
      <c r="F53" s="189">
        <v>10670880000</v>
      </c>
      <c r="G53" s="188">
        <v>7.8690960937903894E-3</v>
      </c>
    </row>
    <row r="54" spans="1:7" ht="34" customHeight="1">
      <c r="A54" s="186" t="s">
        <v>815</v>
      </c>
      <c r="B54" s="185" t="s">
        <v>816</v>
      </c>
      <c r="C54" s="187" t="s">
        <v>817</v>
      </c>
      <c r="D54" s="189">
        <v>718000</v>
      </c>
      <c r="E54" s="195">
        <v>43300</v>
      </c>
      <c r="F54" s="189">
        <v>31089400000</v>
      </c>
      <c r="G54" s="188">
        <v>2.29264574335282E-2</v>
      </c>
    </row>
    <row r="55" spans="1:7" ht="34" customHeight="1">
      <c r="A55" s="186" t="s">
        <v>818</v>
      </c>
      <c r="B55" s="185" t="s">
        <v>819</v>
      </c>
      <c r="C55" s="187" t="s">
        <v>820</v>
      </c>
      <c r="D55" s="189">
        <v>668000</v>
      </c>
      <c r="E55" s="195">
        <v>17250</v>
      </c>
      <c r="F55" s="189">
        <v>11523000000</v>
      </c>
      <c r="G55" s="188">
        <v>8.4974804597883792E-3</v>
      </c>
    </row>
    <row r="56" spans="1:7" ht="34" customHeight="1">
      <c r="A56" s="186" t="s">
        <v>821</v>
      </c>
      <c r="B56" s="185" t="s">
        <v>822</v>
      </c>
      <c r="C56" s="187" t="s">
        <v>823</v>
      </c>
      <c r="D56" s="189">
        <v>571800</v>
      </c>
      <c r="E56" s="195">
        <v>33000</v>
      </c>
      <c r="F56" s="189">
        <v>18869400000</v>
      </c>
      <c r="G56" s="188">
        <v>1.3914983753183299E-2</v>
      </c>
    </row>
    <row r="57" spans="1:7" ht="34" customHeight="1">
      <c r="A57" s="186" t="s">
        <v>824</v>
      </c>
      <c r="B57" s="185" t="s">
        <v>825</v>
      </c>
      <c r="C57" s="187" t="s">
        <v>826</v>
      </c>
      <c r="D57" s="189">
        <v>968000</v>
      </c>
      <c r="E57" s="195">
        <v>16800</v>
      </c>
      <c r="F57" s="189">
        <v>16262400000</v>
      </c>
      <c r="G57" s="188">
        <v>1.19924868722783E-2</v>
      </c>
    </row>
    <row r="58" spans="1:7" ht="34" customHeight="1">
      <c r="A58" s="186" t="s">
        <v>827</v>
      </c>
      <c r="B58" s="185" t="s">
        <v>828</v>
      </c>
      <c r="C58" s="187" t="s">
        <v>829</v>
      </c>
      <c r="D58" s="189">
        <v>529700</v>
      </c>
      <c r="E58" s="195">
        <v>27500</v>
      </c>
      <c r="F58" s="189">
        <v>14566750000</v>
      </c>
      <c r="G58" s="188">
        <v>1.07420527195715E-2</v>
      </c>
    </row>
    <row r="59" spans="1:7" ht="34" customHeight="1">
      <c r="A59" s="186" t="s">
        <v>830</v>
      </c>
      <c r="B59" s="185" t="s">
        <v>831</v>
      </c>
      <c r="C59" s="187" t="s">
        <v>832</v>
      </c>
      <c r="D59" s="189">
        <v>131400</v>
      </c>
      <c r="E59" s="195">
        <v>75000</v>
      </c>
      <c r="F59" s="189">
        <v>9855000000</v>
      </c>
      <c r="G59" s="188">
        <v>7.2674364255154496E-3</v>
      </c>
    </row>
    <row r="60" spans="1:7" ht="34" customHeight="1">
      <c r="A60" s="186" t="s">
        <v>833</v>
      </c>
      <c r="B60" s="185" t="s">
        <v>834</v>
      </c>
      <c r="C60" s="187" t="s">
        <v>835</v>
      </c>
      <c r="D60" s="189">
        <v>287700</v>
      </c>
      <c r="E60" s="195">
        <v>47550</v>
      </c>
      <c r="F60" s="189">
        <v>13680135000</v>
      </c>
      <c r="G60" s="188">
        <v>1.0088230482493001E-2</v>
      </c>
    </row>
    <row r="61" spans="1:7" ht="34" customHeight="1">
      <c r="A61" s="186" t="s">
        <v>836</v>
      </c>
      <c r="B61" s="185" t="s">
        <v>837</v>
      </c>
      <c r="C61" s="187" t="s">
        <v>838</v>
      </c>
      <c r="D61" s="189">
        <v>1028000</v>
      </c>
      <c r="E61" s="195">
        <v>24500</v>
      </c>
      <c r="F61" s="189">
        <v>25186000000</v>
      </c>
      <c r="G61" s="188">
        <v>1.8573074968344198E-2</v>
      </c>
    </row>
    <row r="62" spans="1:7" ht="34" customHeight="1">
      <c r="A62" s="186" t="s">
        <v>839</v>
      </c>
      <c r="B62" s="185" t="s">
        <v>840</v>
      </c>
      <c r="C62" s="187" t="s">
        <v>841</v>
      </c>
      <c r="D62" s="189">
        <v>1000000</v>
      </c>
      <c r="E62" s="195">
        <v>32400</v>
      </c>
      <c r="F62" s="189">
        <v>32400000000</v>
      </c>
      <c r="G62" s="188">
        <v>2.3892941672927499E-2</v>
      </c>
    </row>
    <row r="63" spans="1:7" ht="34" customHeight="1">
      <c r="A63" s="186" t="s">
        <v>842</v>
      </c>
      <c r="B63" s="185" t="s">
        <v>843</v>
      </c>
      <c r="C63" s="187" t="s">
        <v>844</v>
      </c>
      <c r="D63" s="189">
        <v>325300</v>
      </c>
      <c r="E63" s="195">
        <v>47900</v>
      </c>
      <c r="F63" s="189">
        <v>15581870000</v>
      </c>
      <c r="G63" s="188">
        <v>1.1490639230405501E-2</v>
      </c>
    </row>
    <row r="64" spans="1:7" ht="34" customHeight="1">
      <c r="A64" s="186" t="s">
        <v>845</v>
      </c>
      <c r="B64" s="185" t="s">
        <v>846</v>
      </c>
      <c r="C64" s="187" t="s">
        <v>847</v>
      </c>
      <c r="D64" s="189">
        <v>268000</v>
      </c>
      <c r="E64" s="195">
        <v>12500</v>
      </c>
      <c r="F64" s="189">
        <v>3350000000</v>
      </c>
      <c r="G64" s="188">
        <v>2.4704121791452802E-3</v>
      </c>
    </row>
    <row r="65" spans="1:7" ht="34" customHeight="1">
      <c r="A65" s="186" t="s">
        <v>848</v>
      </c>
      <c r="B65" s="185" t="s">
        <v>849</v>
      </c>
      <c r="C65" s="187" t="s">
        <v>850</v>
      </c>
      <c r="D65" s="189">
        <v>548000</v>
      </c>
      <c r="E65" s="195">
        <v>20800</v>
      </c>
      <c r="F65" s="189">
        <v>11398400000</v>
      </c>
      <c r="G65" s="188">
        <v>8.4055958754536107E-3</v>
      </c>
    </row>
    <row r="66" spans="1:7" ht="34" customHeight="1">
      <c r="A66" s="186" t="s">
        <v>851</v>
      </c>
      <c r="B66" s="185" t="s">
        <v>852</v>
      </c>
      <c r="C66" s="187" t="s">
        <v>853</v>
      </c>
      <c r="D66" s="189">
        <v>1532000</v>
      </c>
      <c r="E66" s="195">
        <v>25800</v>
      </c>
      <c r="F66" s="189">
        <v>39525600000</v>
      </c>
      <c r="G66" s="188">
        <v>2.9147618993440198E-2</v>
      </c>
    </row>
    <row r="67" spans="1:7" ht="34" customHeight="1">
      <c r="A67" s="186" t="s">
        <v>854</v>
      </c>
      <c r="B67" s="185" t="s">
        <v>855</v>
      </c>
      <c r="C67" s="187" t="s">
        <v>856</v>
      </c>
      <c r="D67" s="189">
        <v>2136800</v>
      </c>
      <c r="E67" s="195">
        <v>29800</v>
      </c>
      <c r="F67" s="189">
        <v>63676640000</v>
      </c>
      <c r="G67" s="188">
        <v>4.6957476711358102E-2</v>
      </c>
    </row>
    <row r="68" spans="1:7" ht="34" customHeight="1">
      <c r="A68" s="186" t="s">
        <v>857</v>
      </c>
      <c r="B68" s="185" t="s">
        <v>858</v>
      </c>
      <c r="C68" s="187" t="s">
        <v>859</v>
      </c>
      <c r="D68" s="189">
        <v>429900</v>
      </c>
      <c r="E68" s="195">
        <v>36150</v>
      </c>
      <c r="F68" s="189">
        <v>15540885000</v>
      </c>
      <c r="G68" s="188">
        <v>1.1460415396625699E-2</v>
      </c>
    </row>
    <row r="69" spans="1:7" ht="34" customHeight="1">
      <c r="A69" s="186" t="s">
        <v>860</v>
      </c>
      <c r="B69" s="185" t="s">
        <v>861</v>
      </c>
      <c r="C69" s="187" t="s">
        <v>862</v>
      </c>
      <c r="D69" s="189">
        <v>1496600</v>
      </c>
      <c r="E69" s="195">
        <v>32350</v>
      </c>
      <c r="F69" s="189">
        <v>48415010000</v>
      </c>
      <c r="G69" s="188">
        <v>3.5702994136549399E-2</v>
      </c>
    </row>
    <row r="70" spans="1:7" ht="34" customHeight="1">
      <c r="A70" s="186" t="s">
        <v>863</v>
      </c>
      <c r="B70" s="185" t="s">
        <v>864</v>
      </c>
      <c r="C70" s="187" t="s">
        <v>865</v>
      </c>
      <c r="D70" s="189">
        <v>16000</v>
      </c>
      <c r="E70" s="195">
        <v>19000</v>
      </c>
      <c r="F70" s="189">
        <v>304000000</v>
      </c>
      <c r="G70" s="188">
        <v>2.24180687301542E-4</v>
      </c>
    </row>
    <row r="71" spans="1:7" ht="34" customHeight="1">
      <c r="A71" s="186" t="s">
        <v>866</v>
      </c>
      <c r="B71" s="185" t="s">
        <v>867</v>
      </c>
      <c r="C71" s="187" t="s">
        <v>868</v>
      </c>
      <c r="D71" s="189">
        <v>360146</v>
      </c>
      <c r="E71" s="195">
        <v>18000</v>
      </c>
      <c r="F71" s="189">
        <v>6482628000</v>
      </c>
      <c r="G71" s="188">
        <v>4.7805263176323E-3</v>
      </c>
    </row>
    <row r="72" spans="1:7" ht="34" customHeight="1">
      <c r="A72" s="186" t="s">
        <v>869</v>
      </c>
      <c r="B72" s="185" t="s">
        <v>870</v>
      </c>
      <c r="C72" s="187" t="s">
        <v>871</v>
      </c>
      <c r="D72" s="189">
        <v>1030757</v>
      </c>
      <c r="E72" s="195">
        <v>100000</v>
      </c>
      <c r="F72" s="189">
        <v>103075700000</v>
      </c>
      <c r="G72" s="188">
        <v>7.6011780493709005E-2</v>
      </c>
    </row>
    <row r="73" spans="1:7" ht="34" customHeight="1">
      <c r="A73" s="186" t="s">
        <v>872</v>
      </c>
      <c r="B73" s="185" t="s">
        <v>873</v>
      </c>
      <c r="C73" s="187" t="s">
        <v>874</v>
      </c>
      <c r="D73" s="189">
        <v>788600</v>
      </c>
      <c r="E73" s="195">
        <v>36600</v>
      </c>
      <c r="F73" s="189">
        <v>28862760000</v>
      </c>
      <c r="G73" s="188">
        <v>2.1284451888879799E-2</v>
      </c>
    </row>
    <row r="74" spans="1:7" ht="34" customHeight="1">
      <c r="A74" s="186" t="s">
        <v>875</v>
      </c>
      <c r="B74" s="185" t="s">
        <v>876</v>
      </c>
      <c r="C74" s="187" t="s">
        <v>877</v>
      </c>
      <c r="D74" s="189">
        <v>768000</v>
      </c>
      <c r="E74" s="195">
        <v>13650</v>
      </c>
      <c r="F74" s="189">
        <v>10483200000</v>
      </c>
      <c r="G74" s="188">
        <v>7.73069401684054E-3</v>
      </c>
    </row>
    <row r="75" spans="1:7" ht="34" customHeight="1">
      <c r="A75" s="186" t="s">
        <v>878</v>
      </c>
      <c r="B75" s="185" t="s">
        <v>879</v>
      </c>
      <c r="C75" s="187" t="s">
        <v>880</v>
      </c>
      <c r="D75" s="189">
        <v>268000</v>
      </c>
      <c r="E75" s="195">
        <v>42600</v>
      </c>
      <c r="F75" s="189">
        <v>11416800000</v>
      </c>
      <c r="G75" s="188">
        <v>8.4191647065271196E-3</v>
      </c>
    </row>
    <row r="76" spans="1:7" ht="34" customHeight="1">
      <c r="A76" s="186" t="s">
        <v>881</v>
      </c>
      <c r="B76" s="185" t="s">
        <v>882</v>
      </c>
      <c r="C76" s="187" t="s">
        <v>883</v>
      </c>
      <c r="D76" s="189">
        <v>331500</v>
      </c>
      <c r="E76" s="195">
        <v>65000</v>
      </c>
      <c r="F76" s="189">
        <v>21547500000</v>
      </c>
      <c r="G76" s="188">
        <v>1.5889912367203898E-2</v>
      </c>
    </row>
    <row r="77" spans="1:7" ht="34" customHeight="1">
      <c r="A77" s="186" t="s">
        <v>884</v>
      </c>
      <c r="B77" s="185" t="s">
        <v>885</v>
      </c>
      <c r="C77" s="187" t="s">
        <v>886</v>
      </c>
      <c r="D77" s="189">
        <v>1242500</v>
      </c>
      <c r="E77" s="195">
        <v>55000</v>
      </c>
      <c r="F77" s="189">
        <v>68337500000</v>
      </c>
      <c r="G77" s="188">
        <v>5.0394564863385297E-2</v>
      </c>
    </row>
    <row r="78" spans="1:7" ht="34" customHeight="1">
      <c r="A78" s="186" t="s">
        <v>887</v>
      </c>
      <c r="B78" s="185" t="s">
        <v>888</v>
      </c>
      <c r="C78" s="187" t="s">
        <v>889</v>
      </c>
      <c r="D78" s="189">
        <v>441600</v>
      </c>
      <c r="E78" s="195">
        <v>19650</v>
      </c>
      <c r="F78" s="189">
        <v>8677440000</v>
      </c>
      <c r="G78" s="188">
        <v>6.3990607342693804E-3</v>
      </c>
    </row>
    <row r="79" spans="1:7" ht="34" customHeight="1">
      <c r="A79" s="186" t="s">
        <v>890</v>
      </c>
      <c r="B79" s="185" t="s">
        <v>891</v>
      </c>
      <c r="C79" s="187" t="s">
        <v>892</v>
      </c>
      <c r="D79" s="189">
        <v>268000</v>
      </c>
      <c r="E79" s="195">
        <v>10800</v>
      </c>
      <c r="F79" s="189">
        <v>2894400000</v>
      </c>
      <c r="G79" s="188">
        <v>2.1344361227815202E-3</v>
      </c>
    </row>
    <row r="80" spans="1:7" ht="34" customHeight="1">
      <c r="A80" s="186" t="s">
        <v>893</v>
      </c>
      <c r="B80" s="185" t="s">
        <v>894</v>
      </c>
      <c r="C80" s="187" t="s">
        <v>895</v>
      </c>
      <c r="D80" s="189">
        <v>983500</v>
      </c>
      <c r="E80" s="195">
        <v>18900</v>
      </c>
      <c r="F80" s="189">
        <v>18588150000</v>
      </c>
      <c r="G80" s="188">
        <v>1.37075797456058E-2</v>
      </c>
    </row>
    <row r="81" spans="1:7" ht="34" customHeight="1">
      <c r="A81" s="186" t="s">
        <v>896</v>
      </c>
      <c r="B81" s="185" t="s">
        <v>897</v>
      </c>
      <c r="C81" s="187" t="s">
        <v>898</v>
      </c>
      <c r="D81" s="189">
        <v>437800</v>
      </c>
      <c r="E81" s="195">
        <v>71000</v>
      </c>
      <c r="F81" s="189">
        <v>31083800000</v>
      </c>
      <c r="G81" s="188">
        <v>2.2922327789288401E-2</v>
      </c>
    </row>
    <row r="82" spans="1:7" ht="34" customHeight="1">
      <c r="A82" s="186" t="s">
        <v>899</v>
      </c>
      <c r="B82" s="185" t="s">
        <v>900</v>
      </c>
      <c r="C82" s="187" t="s">
        <v>901</v>
      </c>
      <c r="D82" s="189">
        <v>2201137</v>
      </c>
      <c r="E82" s="195">
        <v>19850</v>
      </c>
      <c r="F82" s="189">
        <v>43692569450</v>
      </c>
      <c r="G82" s="188">
        <v>3.2220494241024203E-2</v>
      </c>
    </row>
    <row r="83" spans="1:7" ht="34" customHeight="1">
      <c r="A83" s="186" t="s">
        <v>902</v>
      </c>
      <c r="B83" s="185" t="s">
        <v>903</v>
      </c>
      <c r="C83" s="187" t="s">
        <v>904</v>
      </c>
      <c r="D83" s="189">
        <v>372900</v>
      </c>
      <c r="E83" s="195">
        <v>39800</v>
      </c>
      <c r="F83" s="189">
        <v>14841420000</v>
      </c>
      <c r="G83" s="188">
        <v>1.09446043951673E-2</v>
      </c>
    </row>
    <row r="84" spans="1:7" ht="39" customHeight="1">
      <c r="A84" s="191"/>
      <c r="B84" s="190" t="s">
        <v>905</v>
      </c>
      <c r="C84" s="191" t="s">
        <v>906</v>
      </c>
      <c r="D84" s="193"/>
      <c r="E84" s="193"/>
      <c r="F84" s="193">
        <v>1242283090450</v>
      </c>
      <c r="G84" s="192">
        <v>0.916104858684752</v>
      </c>
    </row>
    <row r="85" spans="1:7" ht="39" customHeight="1">
      <c r="A85" s="191" t="s">
        <v>907</v>
      </c>
      <c r="B85" s="190" t="s">
        <v>908</v>
      </c>
      <c r="C85" s="191" t="s">
        <v>909</v>
      </c>
      <c r="D85" s="193"/>
      <c r="E85" s="193"/>
      <c r="F85" s="193"/>
      <c r="G85" s="192"/>
    </row>
    <row r="86" spans="1:7" ht="39" customHeight="1">
      <c r="A86" s="186"/>
      <c r="B86" s="185"/>
      <c r="C86" s="187"/>
      <c r="D86" s="189"/>
      <c r="E86" s="195"/>
      <c r="F86" s="189"/>
      <c r="G86" s="188"/>
    </row>
    <row r="87" spans="1:7" ht="39" customHeight="1">
      <c r="A87" s="191"/>
      <c r="B87" s="190" t="s">
        <v>910</v>
      </c>
      <c r="C87" s="191" t="s">
        <v>911</v>
      </c>
      <c r="D87" s="193"/>
      <c r="E87" s="193"/>
      <c r="F87" s="193">
        <v>0</v>
      </c>
      <c r="G87" s="192">
        <v>0</v>
      </c>
    </row>
    <row r="88" spans="1:7" ht="39" customHeight="1">
      <c r="A88" s="191" t="s">
        <v>912</v>
      </c>
      <c r="B88" s="190" t="s">
        <v>913</v>
      </c>
      <c r="C88" s="191" t="s">
        <v>914</v>
      </c>
      <c r="D88" s="193"/>
      <c r="E88" s="193"/>
      <c r="F88" s="193"/>
      <c r="G88" s="192"/>
    </row>
    <row r="89" spans="1:7" ht="39" customHeight="1">
      <c r="A89" s="186"/>
      <c r="B89" s="185"/>
      <c r="C89" s="187"/>
      <c r="D89" s="189"/>
      <c r="E89" s="195"/>
      <c r="F89" s="189"/>
      <c r="G89" s="188"/>
    </row>
    <row r="90" spans="1:7" ht="39" customHeight="1">
      <c r="A90" s="186" t="s">
        <v>915</v>
      </c>
      <c r="B90" s="185" t="s">
        <v>916</v>
      </c>
      <c r="C90" s="187" t="s">
        <v>917</v>
      </c>
      <c r="D90" s="189"/>
      <c r="E90" s="195"/>
      <c r="F90" s="189">
        <v>0</v>
      </c>
      <c r="G90" s="188">
        <v>0</v>
      </c>
    </row>
    <row r="91" spans="1:7" ht="39" customHeight="1">
      <c r="A91" s="186" t="s">
        <v>918</v>
      </c>
      <c r="B91" s="185" t="s">
        <v>919</v>
      </c>
      <c r="C91" s="187" t="s">
        <v>920</v>
      </c>
      <c r="D91" s="189"/>
      <c r="E91" s="195"/>
      <c r="F91" s="189">
        <v>10000000000</v>
      </c>
      <c r="G91" s="188">
        <v>7.3743647138665097E-3</v>
      </c>
    </row>
    <row r="92" spans="1:7" ht="34" customHeight="1">
      <c r="A92" s="186" t="s">
        <v>921</v>
      </c>
      <c r="B92" s="185" t="s">
        <v>922</v>
      </c>
      <c r="C92" s="187" t="s">
        <v>923</v>
      </c>
      <c r="D92" s="189">
        <v>50</v>
      </c>
      <c r="E92" s="195">
        <v>100000000</v>
      </c>
      <c r="F92" s="189">
        <v>5000000000</v>
      </c>
      <c r="G92" s="188">
        <v>3.6871823569332601E-3</v>
      </c>
    </row>
    <row r="93" spans="1:7" ht="34" customHeight="1">
      <c r="A93" s="186" t="s">
        <v>924</v>
      </c>
      <c r="B93" s="185" t="s">
        <v>925</v>
      </c>
      <c r="C93" s="187" t="s">
        <v>926</v>
      </c>
      <c r="D93" s="189">
        <v>50</v>
      </c>
      <c r="E93" s="195">
        <v>100000000</v>
      </c>
      <c r="F93" s="189">
        <v>5000000000</v>
      </c>
      <c r="G93" s="188">
        <v>3.6871823569332601E-3</v>
      </c>
    </row>
    <row r="94" spans="1:7" ht="39" customHeight="1">
      <c r="A94" s="191"/>
      <c r="B94" s="190" t="s">
        <v>927</v>
      </c>
      <c r="C94" s="191" t="s">
        <v>928</v>
      </c>
      <c r="D94" s="193"/>
      <c r="E94" s="193"/>
      <c r="F94" s="193">
        <v>10000000000</v>
      </c>
      <c r="G94" s="192">
        <v>7.3743647138665097E-3</v>
      </c>
    </row>
    <row r="95" spans="1:7" ht="39" customHeight="1">
      <c r="A95" s="191" t="s">
        <v>929</v>
      </c>
      <c r="B95" s="190" t="s">
        <v>930</v>
      </c>
      <c r="C95" s="191" t="s">
        <v>931</v>
      </c>
      <c r="D95" s="193"/>
      <c r="E95" s="193"/>
      <c r="F95" s="193"/>
      <c r="G95" s="192"/>
    </row>
    <row r="96" spans="1:7" ht="39" customHeight="1">
      <c r="A96" s="186"/>
      <c r="B96" s="185"/>
      <c r="C96" s="187"/>
      <c r="D96" s="189"/>
      <c r="E96" s="195"/>
      <c r="F96" s="189"/>
      <c r="G96" s="188"/>
    </row>
    <row r="97" spans="1:7" ht="39" customHeight="1">
      <c r="A97" s="186" t="s">
        <v>932</v>
      </c>
      <c r="B97" s="185" t="s">
        <v>933</v>
      </c>
      <c r="C97" s="187" t="s">
        <v>934</v>
      </c>
      <c r="D97" s="189"/>
      <c r="E97" s="195"/>
      <c r="F97" s="189">
        <v>0</v>
      </c>
      <c r="G97" s="188">
        <v>0</v>
      </c>
    </row>
    <row r="98" spans="1:7" ht="39" customHeight="1">
      <c r="A98" s="186" t="s">
        <v>935</v>
      </c>
      <c r="B98" s="185" t="s">
        <v>936</v>
      </c>
      <c r="C98" s="187" t="s">
        <v>937</v>
      </c>
      <c r="D98" s="189"/>
      <c r="E98" s="195"/>
      <c r="F98" s="189">
        <v>0</v>
      </c>
      <c r="G98" s="188">
        <v>0</v>
      </c>
    </row>
    <row r="99" spans="1:7" ht="34" customHeight="1">
      <c r="A99" s="191"/>
      <c r="B99" s="190" t="s">
        <v>938</v>
      </c>
      <c r="C99" s="191" t="s">
        <v>939</v>
      </c>
      <c r="D99" s="193"/>
      <c r="E99" s="193"/>
      <c r="F99" s="193">
        <v>0</v>
      </c>
      <c r="G99" s="192">
        <v>0</v>
      </c>
    </row>
    <row r="100" spans="1:7" ht="39" customHeight="1">
      <c r="A100" s="191"/>
      <c r="B100" s="190" t="s">
        <v>940</v>
      </c>
      <c r="C100" s="191" t="s">
        <v>941</v>
      </c>
      <c r="D100" s="193"/>
      <c r="E100" s="193"/>
      <c r="F100" s="193">
        <v>1252283090450</v>
      </c>
      <c r="G100" s="192">
        <v>0.92347922339861899</v>
      </c>
    </row>
    <row r="101" spans="1:7" ht="39" customHeight="1">
      <c r="A101" s="191" t="s">
        <v>942</v>
      </c>
      <c r="B101" s="190" t="s">
        <v>943</v>
      </c>
      <c r="C101" s="191" t="s">
        <v>944</v>
      </c>
      <c r="D101" s="193"/>
      <c r="E101" s="193"/>
      <c r="F101" s="193"/>
      <c r="G101" s="192"/>
    </row>
    <row r="102" spans="1:7" ht="39" customHeight="1">
      <c r="A102" s="186"/>
      <c r="B102" s="185"/>
      <c r="C102" s="187"/>
      <c r="D102" s="189"/>
      <c r="E102" s="195"/>
      <c r="F102" s="189"/>
      <c r="G102" s="188"/>
    </row>
    <row r="103" spans="1:7" ht="39" customHeight="1">
      <c r="A103" s="186" t="s">
        <v>945</v>
      </c>
      <c r="B103" s="185" t="s">
        <v>946</v>
      </c>
      <c r="C103" s="187" t="s">
        <v>947</v>
      </c>
      <c r="D103" s="189"/>
      <c r="E103" s="195"/>
      <c r="F103" s="189">
        <v>3683380000</v>
      </c>
      <c r="G103" s="188">
        <v>2.7162587499761602E-3</v>
      </c>
    </row>
    <row r="104" spans="1:7" ht="39" customHeight="1">
      <c r="A104" s="186" t="s">
        <v>948</v>
      </c>
      <c r="B104" s="185" t="s">
        <v>949</v>
      </c>
      <c r="C104" s="187" t="s">
        <v>950</v>
      </c>
      <c r="D104" s="189"/>
      <c r="E104" s="195"/>
      <c r="F104" s="189">
        <v>60136986</v>
      </c>
      <c r="G104" s="188">
        <v>4.4347206755668502E-5</v>
      </c>
    </row>
    <row r="105" spans="1:7" ht="47" customHeight="1">
      <c r="A105" s="186" t="s">
        <v>951</v>
      </c>
      <c r="B105" s="185" t="s">
        <v>952</v>
      </c>
      <c r="C105" s="187" t="s">
        <v>953</v>
      </c>
      <c r="D105" s="189"/>
      <c r="E105" s="195"/>
      <c r="F105" s="189">
        <v>0</v>
      </c>
      <c r="G105" s="188">
        <v>0</v>
      </c>
    </row>
    <row r="106" spans="1:7" ht="45" customHeight="1">
      <c r="A106" s="186" t="s">
        <v>954</v>
      </c>
      <c r="B106" s="185" t="s">
        <v>955</v>
      </c>
      <c r="C106" s="187" t="s">
        <v>956</v>
      </c>
      <c r="D106" s="189"/>
      <c r="E106" s="195"/>
      <c r="F106" s="189">
        <v>63917892000</v>
      </c>
      <c r="G106" s="188">
        <v>4.7135384734953101E-2</v>
      </c>
    </row>
    <row r="107" spans="1:7" ht="57" customHeight="1">
      <c r="A107" s="186" t="s">
        <v>957</v>
      </c>
      <c r="B107" s="185" t="s">
        <v>958</v>
      </c>
      <c r="C107" s="187" t="s">
        <v>959</v>
      </c>
      <c r="D107" s="189"/>
      <c r="E107" s="195"/>
      <c r="F107" s="189">
        <v>0</v>
      </c>
      <c r="G107" s="188">
        <v>0</v>
      </c>
    </row>
    <row r="108" spans="1:7" ht="39" customHeight="1">
      <c r="A108" s="186" t="s">
        <v>960</v>
      </c>
      <c r="B108" s="185" t="s">
        <v>961</v>
      </c>
      <c r="C108" s="187" t="s">
        <v>962</v>
      </c>
      <c r="D108" s="189"/>
      <c r="E108" s="195"/>
      <c r="F108" s="189">
        <v>-866400000</v>
      </c>
      <c r="G108" s="188">
        <v>-6.3891495880939405E-4</v>
      </c>
    </row>
    <row r="109" spans="1:7" ht="39" customHeight="1">
      <c r="A109" s="186" t="s">
        <v>963</v>
      </c>
      <c r="B109" s="185" t="s">
        <v>964</v>
      </c>
      <c r="C109" s="187" t="s">
        <v>965</v>
      </c>
      <c r="D109" s="189"/>
      <c r="E109" s="195"/>
      <c r="F109" s="189">
        <v>23700346</v>
      </c>
      <c r="G109" s="188">
        <v>1.7477499524882699E-5</v>
      </c>
    </row>
    <row r="110" spans="1:7" ht="39" customHeight="1">
      <c r="A110" s="191"/>
      <c r="B110" s="190" t="s">
        <v>966</v>
      </c>
      <c r="C110" s="191" t="s">
        <v>967</v>
      </c>
      <c r="D110" s="193"/>
      <c r="E110" s="193"/>
      <c r="F110" s="193">
        <v>66818709332</v>
      </c>
      <c r="G110" s="192">
        <v>4.9274553232400403E-2</v>
      </c>
    </row>
    <row r="111" spans="1:7" ht="39" customHeight="1">
      <c r="A111" s="191" t="s">
        <v>968</v>
      </c>
      <c r="B111" s="190" t="s">
        <v>969</v>
      </c>
      <c r="C111" s="191" t="s">
        <v>970</v>
      </c>
      <c r="D111" s="193"/>
      <c r="E111" s="193"/>
      <c r="F111" s="193"/>
      <c r="G111" s="192"/>
    </row>
    <row r="112" spans="1:7" ht="39" customHeight="1">
      <c r="A112" s="186" t="s">
        <v>971</v>
      </c>
      <c r="B112" s="185" t="s">
        <v>972</v>
      </c>
      <c r="C112" s="187" t="s">
        <v>973</v>
      </c>
      <c r="D112" s="189"/>
      <c r="E112" s="195"/>
      <c r="F112" s="189">
        <v>36947214338</v>
      </c>
      <c r="G112" s="188">
        <v>2.7246223368980999E-2</v>
      </c>
    </row>
    <row r="113" spans="1:7" ht="39" customHeight="1">
      <c r="A113" s="186"/>
      <c r="B113" s="185"/>
      <c r="C113" s="187"/>
      <c r="D113" s="189"/>
      <c r="E113" s="195"/>
      <c r="F113" s="189"/>
      <c r="G113" s="188"/>
    </row>
    <row r="114" spans="1:7" ht="39" customHeight="1">
      <c r="A114" s="186" t="s">
        <v>974</v>
      </c>
      <c r="B114" s="185" t="s">
        <v>975</v>
      </c>
      <c r="C114" s="187" t="s">
        <v>976</v>
      </c>
      <c r="D114" s="189"/>
      <c r="E114" s="195"/>
      <c r="F114" s="189">
        <v>36947214338</v>
      </c>
      <c r="G114" s="188">
        <v>2.7246223368980999E-2</v>
      </c>
    </row>
    <row r="115" spans="1:7" ht="39" customHeight="1">
      <c r="A115" s="186" t="s">
        <v>977</v>
      </c>
      <c r="B115" s="185" t="s">
        <v>978</v>
      </c>
      <c r="C115" s="187" t="s">
        <v>979</v>
      </c>
      <c r="D115" s="189"/>
      <c r="E115" s="195"/>
      <c r="F115" s="189">
        <v>0</v>
      </c>
      <c r="G115" s="188">
        <v>0</v>
      </c>
    </row>
    <row r="116" spans="1:7" ht="39" customHeight="1">
      <c r="A116" s="186" t="s">
        <v>980</v>
      </c>
      <c r="B116" s="185" t="s">
        <v>981</v>
      </c>
      <c r="C116" s="187" t="s">
        <v>982</v>
      </c>
      <c r="D116" s="189"/>
      <c r="E116" s="195"/>
      <c r="F116" s="189">
        <v>0</v>
      </c>
      <c r="G116" s="188">
        <v>0</v>
      </c>
    </row>
    <row r="117" spans="1:7" ht="39" customHeight="1">
      <c r="A117" s="186"/>
      <c r="B117" s="185"/>
      <c r="C117" s="187"/>
      <c r="D117" s="189"/>
      <c r="E117" s="195"/>
      <c r="F117" s="189"/>
      <c r="G117" s="188"/>
    </row>
    <row r="118" spans="1:7" ht="39" customHeight="1">
      <c r="A118" s="186" t="s">
        <v>983</v>
      </c>
      <c r="B118" s="185" t="s">
        <v>984</v>
      </c>
      <c r="C118" s="187" t="s">
        <v>985</v>
      </c>
      <c r="D118" s="189"/>
      <c r="E118" s="195"/>
      <c r="F118" s="189">
        <v>0</v>
      </c>
      <c r="G118" s="188">
        <v>0</v>
      </c>
    </row>
    <row r="119" spans="1:7" ht="39" customHeight="1">
      <c r="A119" s="191"/>
      <c r="B119" s="190" t="s">
        <v>986</v>
      </c>
      <c r="C119" s="191" t="s">
        <v>987</v>
      </c>
      <c r="D119" s="193"/>
      <c r="E119" s="193"/>
      <c r="F119" s="193">
        <v>36947214338</v>
      </c>
      <c r="G119" s="192">
        <v>2.7246223368980999E-2</v>
      </c>
    </row>
    <row r="120" spans="1:7" ht="39" customHeight="1">
      <c r="A120" s="191" t="s">
        <v>988</v>
      </c>
      <c r="B120" s="190" t="s">
        <v>989</v>
      </c>
      <c r="C120" s="191" t="s">
        <v>990</v>
      </c>
      <c r="D120" s="193"/>
      <c r="E120" s="193"/>
      <c r="F120" s="193">
        <v>1356049014120</v>
      </c>
      <c r="G120" s="192">
        <v>1</v>
      </c>
    </row>
    <row r="121" spans="1:7" ht="17" customHeight="1">
      <c r="A121" s="71"/>
      <c r="B121" s="35"/>
      <c r="C121" s="35"/>
      <c r="D121" s="35"/>
      <c r="E121" s="20"/>
      <c r="F121" s="35"/>
    </row>
    <row r="122" spans="1:7" ht="17" customHeight="1">
      <c r="A122" s="20" t="s">
        <v>10</v>
      </c>
      <c r="B122" s="35"/>
      <c r="C122" s="35"/>
      <c r="D122" s="35"/>
      <c r="E122" s="20" t="s">
        <v>11</v>
      </c>
      <c r="F122" s="35"/>
    </row>
    <row r="123" spans="1:7" ht="17" customHeight="1">
      <c r="A123" s="21" t="s">
        <v>12</v>
      </c>
      <c r="B123" s="35"/>
      <c r="C123" s="35"/>
      <c r="D123" s="35"/>
      <c r="E123" s="21" t="s">
        <v>13</v>
      </c>
      <c r="F123" s="35"/>
    </row>
    <row r="124" spans="1:7" ht="17" customHeight="1"/>
    <row r="125" spans="1:7" ht="17" customHeight="1">
      <c r="A125" s="28"/>
      <c r="E125" s="28"/>
    </row>
    <row r="126" spans="1:7" ht="17" customHeight="1"/>
    <row r="127" spans="1:7" ht="17" customHeight="1"/>
    <row r="128" spans="1:7" ht="17" customHeight="1"/>
    <row r="129" spans="1:7" ht="17" customHeight="1"/>
    <row r="130" spans="1:7" ht="17" customHeight="1"/>
    <row r="131" spans="1:7" ht="17" customHeight="1"/>
    <row r="132" spans="1:7" ht="17" customHeight="1">
      <c r="A132" s="36" t="s">
        <v>14</v>
      </c>
      <c r="B132" s="32"/>
      <c r="C132" s="32"/>
      <c r="E132" s="36" t="s">
        <v>1362</v>
      </c>
      <c r="F132" s="32"/>
      <c r="G132" s="32"/>
    </row>
    <row r="133" spans="1:7" ht="17" customHeight="1">
      <c r="A133" s="37" t="s">
        <v>1368</v>
      </c>
      <c r="E133" s="37" t="s">
        <v>1369</v>
      </c>
    </row>
    <row r="134" spans="1:7" ht="17" customHeight="1">
      <c r="A134" s="38" t="s">
        <v>1370</v>
      </c>
      <c r="E134" s="39" t="s">
        <v>1371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0" zoomScale="70" zoomScaleNormal="100" zoomScaleSheetLayoutView="70" workbookViewId="0">
      <selection activeCell="B58" sqref="B58"/>
    </sheetView>
  </sheetViews>
  <sheetFormatPr defaultColWidth="8.81640625" defaultRowHeight="53.25" customHeight="1"/>
  <cols>
    <col min="1" max="1" width="8.81640625" style="15"/>
    <col min="2" max="2" width="59.81640625" style="15" customWidth="1"/>
    <col min="3" max="3" width="10.81640625" style="15" bestFit="1" customWidth="1"/>
    <col min="4" max="4" width="41.81640625" style="15" customWidth="1"/>
    <col min="5" max="5" width="39.54296875" style="15" customWidth="1"/>
    <col min="6" max="6" width="8.453125" style="145" customWidth="1"/>
    <col min="7" max="16384" width="8.81640625" style="145"/>
  </cols>
  <sheetData>
    <row r="1" spans="1:6" ht="53.25" customHeight="1">
      <c r="A1" s="213" t="s">
        <v>651</v>
      </c>
      <c r="B1" s="213"/>
      <c r="C1" s="213"/>
      <c r="D1" s="213"/>
      <c r="E1" s="213"/>
      <c r="F1" s="146"/>
    </row>
    <row r="2" spans="1:6" ht="66" customHeight="1">
      <c r="A2" s="214" t="s">
        <v>652</v>
      </c>
      <c r="B2" s="214"/>
      <c r="C2" s="214"/>
      <c r="D2" s="214"/>
      <c r="E2" s="214"/>
      <c r="F2" s="147"/>
    </row>
    <row r="3" spans="1:6" ht="40.5" customHeight="1">
      <c r="A3" s="215" t="s">
        <v>600</v>
      </c>
      <c r="B3" s="215"/>
      <c r="C3" s="215"/>
      <c r="D3" s="215"/>
      <c r="E3" s="215"/>
      <c r="F3" s="146"/>
    </row>
    <row r="4" spans="1:6" ht="12.5" hidden="1">
      <c r="A4" s="215"/>
      <c r="B4" s="215"/>
      <c r="C4" s="215"/>
      <c r="D4" s="215"/>
      <c r="E4" s="215"/>
      <c r="F4" s="146"/>
    </row>
    <row r="5" spans="1:6" ht="12.5">
      <c r="A5" s="216" t="s">
        <v>1361</v>
      </c>
      <c r="B5" s="216"/>
      <c r="C5" s="216"/>
      <c r="D5" s="216"/>
      <c r="E5" s="216"/>
      <c r="F5" s="148"/>
    </row>
    <row r="6" spans="1:6" ht="12.5"/>
    <row r="7" spans="1:6" ht="12.5">
      <c r="A7" s="116" t="s">
        <v>2</v>
      </c>
      <c r="C7" s="222" t="s">
        <v>1362</v>
      </c>
      <c r="D7" s="222"/>
      <c r="E7" s="222"/>
    </row>
    <row r="8" spans="1:6" ht="12.5">
      <c r="A8" s="15" t="s">
        <v>15</v>
      </c>
      <c r="C8" s="221" t="s">
        <v>1363</v>
      </c>
      <c r="D8" s="221"/>
      <c r="E8" s="221"/>
    </row>
    <row r="9" spans="1:6" ht="12.5">
      <c r="A9" s="116" t="s">
        <v>3</v>
      </c>
      <c r="C9" s="222" t="s">
        <v>1364</v>
      </c>
      <c r="D9" s="222"/>
      <c r="E9" s="222"/>
    </row>
    <row r="10" spans="1:6" ht="12.5">
      <c r="A10" s="15" t="s">
        <v>4</v>
      </c>
      <c r="C10" s="221" t="s">
        <v>1365</v>
      </c>
      <c r="D10" s="221"/>
      <c r="E10" s="221"/>
    </row>
    <row r="11" spans="1:6" ht="12.5">
      <c r="A11" s="116" t="s">
        <v>5</v>
      </c>
      <c r="C11" s="222" t="s">
        <v>702</v>
      </c>
      <c r="D11" s="222"/>
      <c r="E11" s="222"/>
    </row>
    <row r="12" spans="1:6" ht="12.5">
      <c r="A12" s="15" t="s">
        <v>6</v>
      </c>
      <c r="C12" s="221" t="s">
        <v>1383</v>
      </c>
      <c r="D12" s="221"/>
      <c r="E12" s="221"/>
    </row>
    <row r="13" spans="1:6" ht="12.5">
      <c r="A13" s="116" t="s">
        <v>7</v>
      </c>
      <c r="C13" s="222" t="s">
        <v>1366</v>
      </c>
      <c r="D13" s="222"/>
      <c r="E13" s="222"/>
    </row>
    <row r="14" spans="1:6" ht="12.5">
      <c r="A14" s="15" t="s">
        <v>8</v>
      </c>
      <c r="C14" s="221" t="s">
        <v>1367</v>
      </c>
      <c r="D14" s="221"/>
      <c r="E14" s="221"/>
    </row>
    <row r="15" spans="1:6" ht="12.5"/>
    <row r="16" spans="1:6" ht="12.5">
      <c r="A16" s="110" t="s">
        <v>649</v>
      </c>
      <c r="B16" s="111" t="s">
        <v>650</v>
      </c>
    </row>
    <row r="17" spans="1:5" ht="12.5">
      <c r="A17" s="22" t="s">
        <v>28</v>
      </c>
      <c r="B17" s="23" t="s">
        <v>359</v>
      </c>
    </row>
    <row r="18" spans="1:5" ht="37.5">
      <c r="A18" s="167" t="s">
        <v>17</v>
      </c>
      <c r="B18" s="167" t="s">
        <v>639</v>
      </c>
      <c r="C18" s="167" t="s">
        <v>19</v>
      </c>
      <c r="D18" s="168" t="s">
        <v>1374</v>
      </c>
      <c r="E18" s="168" t="s">
        <v>1375</v>
      </c>
    </row>
    <row r="19" spans="1:5" s="149" customFormat="1" ht="25">
      <c r="A19" s="56" t="s">
        <v>16</v>
      </c>
      <c r="B19" s="104" t="s">
        <v>112</v>
      </c>
      <c r="C19" s="105" t="s">
        <v>113</v>
      </c>
      <c r="D19" s="188"/>
      <c r="E19" s="188"/>
    </row>
    <row r="20" spans="1:5" ht="58.25" customHeight="1">
      <c r="A20" s="117">
        <v>1</v>
      </c>
      <c r="B20" s="106" t="s">
        <v>624</v>
      </c>
      <c r="C20" s="107" t="s">
        <v>114</v>
      </c>
      <c r="D20" s="188">
        <v>1.9234830354407501E-2</v>
      </c>
      <c r="E20" s="188">
        <v>1.9876178909021502E-2</v>
      </c>
    </row>
    <row r="21" spans="1:5" ht="58.25" customHeight="1">
      <c r="A21" s="117">
        <v>2</v>
      </c>
      <c r="B21" s="106" t="s">
        <v>625</v>
      </c>
      <c r="C21" s="107" t="s">
        <v>115</v>
      </c>
      <c r="D21" s="188">
        <v>1.14445271766797E-3</v>
      </c>
      <c r="E21" s="188">
        <v>1.14818753960001E-3</v>
      </c>
    </row>
    <row r="22" spans="1:5" ht="62.5">
      <c r="A22" s="117">
        <v>3</v>
      </c>
      <c r="B22" s="106" t="s">
        <v>626</v>
      </c>
      <c r="C22" s="107" t="s">
        <v>116</v>
      </c>
      <c r="D22" s="188">
        <v>4.8473520809113701E-4</v>
      </c>
      <c r="E22" s="188">
        <v>5.0844123118996105E-4</v>
      </c>
    </row>
    <row r="23" spans="1:5" ht="71.400000000000006" customHeight="1">
      <c r="A23" s="117">
        <v>4</v>
      </c>
      <c r="B23" s="106" t="s">
        <v>360</v>
      </c>
      <c r="C23" s="107" t="s">
        <v>117</v>
      </c>
      <c r="D23" s="188">
        <v>1.44888886748354E-4</v>
      </c>
      <c r="E23" s="188">
        <v>1.58070211774917E-4</v>
      </c>
    </row>
    <row r="24" spans="1:5" ht="50">
      <c r="A24" s="117">
        <v>5</v>
      </c>
      <c r="B24" s="106" t="s">
        <v>627</v>
      </c>
      <c r="C24" s="107" t="s">
        <v>628</v>
      </c>
      <c r="D24" s="109"/>
      <c r="E24" s="109"/>
    </row>
    <row r="25" spans="1:5" ht="75">
      <c r="A25" s="117">
        <v>6</v>
      </c>
      <c r="B25" s="106" t="s">
        <v>629</v>
      </c>
      <c r="C25" s="107" t="s">
        <v>593</v>
      </c>
      <c r="D25" s="109"/>
      <c r="E25" s="109"/>
    </row>
    <row r="26" spans="1:5" ht="62.5">
      <c r="A26" s="117">
        <v>7</v>
      </c>
      <c r="B26" s="106" t="s">
        <v>361</v>
      </c>
      <c r="C26" s="107" t="s">
        <v>118</v>
      </c>
      <c r="D26" s="188">
        <v>1.8873833005918499E-4</v>
      </c>
      <c r="E26" s="188">
        <v>2.0327301257626801E-4</v>
      </c>
    </row>
    <row r="27" spans="1:5" ht="43.75" customHeight="1">
      <c r="A27" s="117">
        <v>8</v>
      </c>
      <c r="B27" s="106" t="s">
        <v>630</v>
      </c>
      <c r="C27" s="107" t="s">
        <v>119</v>
      </c>
      <c r="D27" s="188">
        <v>2.1600554033130201E-2</v>
      </c>
      <c r="E27" s="188">
        <v>2.1561338504929001E-2</v>
      </c>
    </row>
    <row r="28" spans="1:5" ht="43.75" customHeight="1">
      <c r="A28" s="117">
        <v>9</v>
      </c>
      <c r="B28" s="106" t="s">
        <v>713</v>
      </c>
      <c r="C28" s="107" t="s">
        <v>120</v>
      </c>
      <c r="D28" s="188">
        <v>5.2485601563621804</v>
      </c>
      <c r="E28" s="188">
        <v>5.5497572470957603</v>
      </c>
    </row>
    <row r="29" spans="1:5" ht="50">
      <c r="A29" s="117">
        <v>10</v>
      </c>
      <c r="B29" s="106" t="s">
        <v>631</v>
      </c>
      <c r="C29" s="107" t="s">
        <v>593</v>
      </c>
      <c r="D29" s="109"/>
      <c r="E29" s="109"/>
    </row>
    <row r="30" spans="1:5" s="149" customFormat="1" ht="25">
      <c r="A30" s="56" t="s">
        <v>22</v>
      </c>
      <c r="B30" s="104" t="s">
        <v>121</v>
      </c>
      <c r="C30" s="105" t="s">
        <v>122</v>
      </c>
      <c r="D30" s="108"/>
      <c r="E30" s="108"/>
    </row>
    <row r="31" spans="1:5" ht="37.5">
      <c r="A31" s="224">
        <v>1</v>
      </c>
      <c r="B31" s="106" t="s">
        <v>123</v>
      </c>
      <c r="C31" s="107" t="s">
        <v>124</v>
      </c>
      <c r="D31" s="119">
        <v>227201375500</v>
      </c>
      <c r="E31" s="119">
        <v>228781179000</v>
      </c>
    </row>
    <row r="32" spans="1:5" ht="45" customHeight="1">
      <c r="A32" s="225"/>
      <c r="B32" s="106" t="s">
        <v>125</v>
      </c>
      <c r="C32" s="107" t="s">
        <v>126</v>
      </c>
      <c r="D32" s="119">
        <v>227201375500</v>
      </c>
      <c r="E32" s="119">
        <v>228781179000</v>
      </c>
    </row>
    <row r="33" spans="1:5" ht="37.5">
      <c r="A33" s="226"/>
      <c r="B33" s="106" t="s">
        <v>632</v>
      </c>
      <c r="C33" s="107" t="s">
        <v>127</v>
      </c>
      <c r="D33" s="109">
        <v>22720137.550000001</v>
      </c>
      <c r="E33" s="109">
        <v>22878117.899999999</v>
      </c>
    </row>
    <row r="34" spans="1:5" ht="37.5">
      <c r="A34" s="223">
        <v>2</v>
      </c>
      <c r="B34" s="106" t="s">
        <v>128</v>
      </c>
      <c r="C34" s="107" t="s">
        <v>129</v>
      </c>
      <c r="D34" s="119">
        <v>-3728938000</v>
      </c>
      <c r="E34" s="119">
        <v>-1579803500</v>
      </c>
    </row>
    <row r="35" spans="1:5" ht="25">
      <c r="A35" s="223"/>
      <c r="B35" s="106" t="s">
        <v>130</v>
      </c>
      <c r="C35" s="107" t="s">
        <v>633</v>
      </c>
      <c r="D35" s="109">
        <v>-372893.8</v>
      </c>
      <c r="E35" s="109">
        <v>-157980.35</v>
      </c>
    </row>
    <row r="36" spans="1:5" ht="25">
      <c r="A36" s="223"/>
      <c r="B36" s="106" t="s">
        <v>131</v>
      </c>
      <c r="C36" s="107" t="s">
        <v>634</v>
      </c>
      <c r="D36" s="119">
        <v>-3728938000</v>
      </c>
      <c r="E36" s="119">
        <v>-1579803500</v>
      </c>
    </row>
    <row r="37" spans="1:5" ht="25">
      <c r="A37" s="223"/>
      <c r="B37" s="106" t="s">
        <v>635</v>
      </c>
      <c r="C37" s="107" t="s">
        <v>132</v>
      </c>
      <c r="D37" s="109">
        <v>348445.76</v>
      </c>
      <c r="E37" s="109">
        <v>161841.26</v>
      </c>
    </row>
    <row r="38" spans="1:5" ht="25">
      <c r="A38" s="223"/>
      <c r="B38" s="106" t="s">
        <v>329</v>
      </c>
      <c r="C38" s="107" t="s">
        <v>133</v>
      </c>
      <c r="D38" s="119">
        <v>3484457600</v>
      </c>
      <c r="E38" s="119">
        <v>1618412600</v>
      </c>
    </row>
    <row r="39" spans="1:5" ht="25">
      <c r="A39" s="223"/>
      <c r="B39" s="106" t="s">
        <v>657</v>
      </c>
      <c r="C39" s="107" t="s">
        <v>134</v>
      </c>
      <c r="D39" s="109">
        <v>-721339.56</v>
      </c>
      <c r="E39" s="109">
        <v>-319821.61</v>
      </c>
    </row>
    <row r="40" spans="1:5" ht="37.5">
      <c r="A40" s="223"/>
      <c r="B40" s="106" t="s">
        <v>330</v>
      </c>
      <c r="C40" s="107" t="s">
        <v>135</v>
      </c>
      <c r="D40" s="119">
        <v>-7213395600</v>
      </c>
      <c r="E40" s="119">
        <v>-3198216100</v>
      </c>
    </row>
    <row r="41" spans="1:5" ht="25">
      <c r="A41" s="223">
        <v>3</v>
      </c>
      <c r="B41" s="106" t="s">
        <v>331</v>
      </c>
      <c r="C41" s="107" t="s">
        <v>136</v>
      </c>
      <c r="D41" s="119">
        <v>223472437500</v>
      </c>
      <c r="E41" s="119">
        <v>227201375500</v>
      </c>
    </row>
    <row r="42" spans="1:5" ht="51" customHeight="1">
      <c r="A42" s="223"/>
      <c r="B42" s="106" t="s">
        <v>636</v>
      </c>
      <c r="C42" s="107" t="s">
        <v>137</v>
      </c>
      <c r="D42" s="119">
        <v>223472437500</v>
      </c>
      <c r="E42" s="119">
        <v>227201375500</v>
      </c>
    </row>
    <row r="43" spans="1:5" ht="51" customHeight="1">
      <c r="A43" s="223"/>
      <c r="B43" s="106" t="s">
        <v>637</v>
      </c>
      <c r="C43" s="107" t="s">
        <v>138</v>
      </c>
      <c r="D43" s="109">
        <v>22347243.75</v>
      </c>
      <c r="E43" s="109">
        <v>22720137.550000001</v>
      </c>
    </row>
    <row r="44" spans="1:5" ht="50">
      <c r="A44" s="117">
        <v>4</v>
      </c>
      <c r="B44" s="106" t="s">
        <v>139</v>
      </c>
      <c r="C44" s="107" t="s">
        <v>140</v>
      </c>
      <c r="D44" s="188">
        <v>3.3561185817378501E-3</v>
      </c>
      <c r="E44" s="188">
        <v>3.3010363531007802E-3</v>
      </c>
    </row>
    <row r="45" spans="1:5" ht="25">
      <c r="A45" s="117">
        <v>5</v>
      </c>
      <c r="B45" s="106" t="s">
        <v>141</v>
      </c>
      <c r="C45" s="107" t="s">
        <v>142</v>
      </c>
      <c r="D45" s="188">
        <v>0.2331</v>
      </c>
      <c r="E45" s="188">
        <v>0.2354</v>
      </c>
    </row>
    <row r="46" spans="1:5" ht="25">
      <c r="A46" s="117">
        <v>6</v>
      </c>
      <c r="B46" s="106" t="s">
        <v>143</v>
      </c>
      <c r="C46" s="107" t="s">
        <v>144</v>
      </c>
      <c r="D46" s="188">
        <v>0.13600000000000001</v>
      </c>
      <c r="E46" s="188">
        <v>0.13200000000000001</v>
      </c>
    </row>
    <row r="47" spans="1:5" ht="25">
      <c r="A47" s="117">
        <v>7</v>
      </c>
      <c r="B47" s="106" t="s">
        <v>145</v>
      </c>
      <c r="C47" s="107" t="s">
        <v>146</v>
      </c>
      <c r="D47" s="119">
        <v>23500</v>
      </c>
      <c r="E47" s="119">
        <v>23252</v>
      </c>
    </row>
    <row r="48" spans="1:5" ht="25">
      <c r="A48" s="117">
        <v>8</v>
      </c>
      <c r="B48" s="106" t="s">
        <v>332</v>
      </c>
      <c r="C48" s="107" t="s">
        <v>147</v>
      </c>
      <c r="D48" s="109">
        <v>59097.57</v>
      </c>
      <c r="E48" s="109">
        <v>55818.26</v>
      </c>
    </row>
    <row r="49" spans="1:5" ht="37.5">
      <c r="A49" s="117">
        <v>9</v>
      </c>
      <c r="B49" s="106" t="s">
        <v>638</v>
      </c>
      <c r="C49" s="107" t="s">
        <v>594</v>
      </c>
      <c r="D49" s="109"/>
      <c r="E49" s="109"/>
    </row>
    <row r="50" spans="1:5" ht="31.5" customHeight="1">
      <c r="A50" s="212" t="s">
        <v>708</v>
      </c>
      <c r="B50" s="221"/>
      <c r="C50" s="221"/>
      <c r="D50" s="221"/>
      <c r="E50" s="221"/>
    </row>
    <row r="51" spans="1:5" ht="95.25" customHeight="1">
      <c r="A51" s="212" t="s">
        <v>1384</v>
      </c>
      <c r="B51" s="221"/>
      <c r="C51" s="221"/>
      <c r="D51" s="221"/>
      <c r="E51" s="221"/>
    </row>
    <row r="52" spans="1:5" ht="12.5">
      <c r="A52" s="28" t="s">
        <v>10</v>
      </c>
      <c r="D52" s="28" t="s">
        <v>11</v>
      </c>
    </row>
    <row r="53" spans="1:5" s="150" customFormat="1" ht="12.5">
      <c r="A53" s="29" t="s">
        <v>12</v>
      </c>
      <c r="B53" s="29"/>
      <c r="C53" s="29"/>
      <c r="D53" s="29" t="s">
        <v>13</v>
      </c>
      <c r="E53" s="29"/>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8" t="s">
        <v>14</v>
      </c>
      <c r="D63" s="28" t="s">
        <v>1362</v>
      </c>
    </row>
    <row r="64" spans="1:5" ht="12.5">
      <c r="A64" s="28" t="s">
        <v>1368</v>
      </c>
      <c r="D64" s="28" t="s">
        <v>1369</v>
      </c>
    </row>
    <row r="65" spans="1:4" ht="12.5">
      <c r="A65" s="15" t="s">
        <v>1370</v>
      </c>
      <c r="D65" s="15" t="s">
        <v>1371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70" zoomScaleNormal="85" zoomScaleSheetLayoutView="70" workbookViewId="0">
      <selection activeCell="E37" sqref="E37"/>
    </sheetView>
  </sheetViews>
  <sheetFormatPr defaultColWidth="9.1796875" defaultRowHeight="13"/>
  <cols>
    <col min="1" max="1" width="4.81640625" style="165" customWidth="1"/>
    <col min="2" max="2" width="34.453125" style="162" customWidth="1"/>
    <col min="3" max="3" width="14.453125" style="162" customWidth="1"/>
    <col min="4" max="4" width="11.81640625" style="162" customWidth="1"/>
    <col min="5" max="5" width="12.1796875" style="162" customWidth="1"/>
    <col min="6" max="6" width="12.54296875" style="162" customWidth="1"/>
    <col min="7" max="7" width="16.453125" style="162" customWidth="1"/>
    <col min="8" max="9" width="19" style="162" customWidth="1"/>
    <col min="10" max="10" width="43.54296875" style="162" customWidth="1"/>
    <col min="11" max="16384" width="9.1796875" style="162"/>
  </cols>
  <sheetData>
    <row r="1" spans="1:10" s="161" customFormat="1" ht="46.5" customHeight="1">
      <c r="A1" s="238" t="s">
        <v>651</v>
      </c>
      <c r="B1" s="238"/>
      <c r="C1" s="238"/>
      <c r="D1" s="238"/>
      <c r="E1" s="238"/>
      <c r="F1" s="238"/>
      <c r="G1" s="238"/>
      <c r="H1" s="238"/>
      <c r="I1" s="238"/>
      <c r="J1" s="238"/>
    </row>
    <row r="2" spans="1:10" ht="49" customHeight="1">
      <c r="A2" s="239" t="s">
        <v>653</v>
      </c>
      <c r="B2" s="239"/>
      <c r="C2" s="239"/>
      <c r="D2" s="239"/>
      <c r="E2" s="239"/>
      <c r="F2" s="239"/>
      <c r="G2" s="239"/>
      <c r="H2" s="239"/>
      <c r="I2" s="239"/>
      <c r="J2" s="239"/>
    </row>
    <row r="3" spans="1:10" ht="19.25" customHeight="1">
      <c r="A3" s="240" t="s">
        <v>600</v>
      </c>
      <c r="B3" s="240"/>
      <c r="C3" s="240"/>
      <c r="D3" s="240"/>
      <c r="E3" s="240"/>
      <c r="F3" s="240"/>
      <c r="G3" s="240"/>
      <c r="H3" s="240"/>
      <c r="I3" s="240"/>
      <c r="J3" s="240"/>
    </row>
    <row r="4" spans="1:10" ht="21.65" customHeight="1">
      <c r="A4" s="240"/>
      <c r="B4" s="240"/>
      <c r="C4" s="240"/>
      <c r="D4" s="240"/>
      <c r="E4" s="240"/>
      <c r="F4" s="240"/>
      <c r="G4" s="240"/>
      <c r="H4" s="240"/>
      <c r="I4" s="240"/>
      <c r="J4" s="240"/>
    </row>
    <row r="5" spans="1:10">
      <c r="A5" s="241" t="s">
        <v>1361</v>
      </c>
      <c r="B5" s="241"/>
      <c r="C5" s="241"/>
      <c r="D5" s="241"/>
      <c r="E5" s="241"/>
      <c r="F5" s="241"/>
      <c r="G5" s="241"/>
      <c r="H5" s="241"/>
      <c r="I5" s="241"/>
      <c r="J5" s="241"/>
    </row>
    <row r="6" spans="1:10">
      <c r="A6" s="157"/>
      <c r="B6" s="157"/>
      <c r="C6" s="157"/>
      <c r="D6" s="157"/>
      <c r="E6" s="157"/>
      <c r="F6" s="72"/>
      <c r="G6" s="163"/>
      <c r="H6" s="163"/>
      <c r="I6" s="163"/>
      <c r="J6" s="163"/>
    </row>
    <row r="7" spans="1:10">
      <c r="A7" s="242" t="s">
        <v>2</v>
      </c>
      <c r="B7" s="243"/>
      <c r="C7" s="163"/>
      <c r="D7" s="163"/>
      <c r="E7" s="163"/>
      <c r="F7" s="163"/>
      <c r="G7" s="232" t="s">
        <v>1362</v>
      </c>
      <c r="H7" s="232"/>
      <c r="I7" s="232"/>
      <c r="J7" s="232"/>
    </row>
    <row r="8" spans="1:10" ht="15" customHeight="1">
      <c r="A8" s="235" t="s">
        <v>15</v>
      </c>
      <c r="B8" s="235"/>
      <c r="C8" s="163"/>
      <c r="D8" s="163"/>
      <c r="E8" s="163"/>
      <c r="F8" s="163"/>
      <c r="G8" s="233" t="s">
        <v>1363</v>
      </c>
      <c r="H8" s="233"/>
      <c r="I8" s="233"/>
      <c r="J8" s="233"/>
    </row>
    <row r="9" spans="1:10">
      <c r="A9" s="230" t="s">
        <v>3</v>
      </c>
      <c r="B9" s="236"/>
      <c r="C9" s="163"/>
      <c r="D9" s="163"/>
      <c r="E9" s="163"/>
      <c r="F9" s="163"/>
      <c r="G9" s="237" t="s">
        <v>1364</v>
      </c>
      <c r="H9" s="237"/>
      <c r="I9" s="237"/>
      <c r="J9" s="237"/>
    </row>
    <row r="10" spans="1:10" ht="15" customHeight="1">
      <c r="A10" s="236" t="s">
        <v>4</v>
      </c>
      <c r="B10" s="236"/>
      <c r="C10" s="163"/>
      <c r="D10" s="163"/>
      <c r="E10" s="163"/>
      <c r="F10" s="163"/>
      <c r="G10" s="233" t="s">
        <v>1365</v>
      </c>
      <c r="H10" s="233"/>
      <c r="I10" s="233"/>
      <c r="J10" s="233"/>
    </row>
    <row r="11" spans="1:10" ht="15" customHeight="1">
      <c r="A11" s="230" t="s">
        <v>5</v>
      </c>
      <c r="B11" s="231"/>
      <c r="C11" s="163"/>
      <c r="D11" s="163"/>
      <c r="E11" s="163"/>
      <c r="F11" s="163"/>
      <c r="G11" s="232" t="s">
        <v>702</v>
      </c>
      <c r="H11" s="232"/>
      <c r="I11" s="232"/>
      <c r="J11" s="232"/>
    </row>
    <row r="12" spans="1:10" ht="15" customHeight="1">
      <c r="A12" s="73" t="s">
        <v>592</v>
      </c>
      <c r="B12" s="158"/>
      <c r="C12" s="163"/>
      <c r="D12" s="163"/>
      <c r="E12" s="163"/>
      <c r="F12" s="163"/>
      <c r="G12" s="233" t="s">
        <v>1383</v>
      </c>
      <c r="H12" s="233"/>
      <c r="I12" s="233"/>
      <c r="J12" s="233"/>
    </row>
    <row r="13" spans="1:10" ht="15" customHeight="1">
      <c r="A13" s="74" t="s">
        <v>7</v>
      </c>
      <c r="B13" s="75"/>
      <c r="C13" s="163"/>
      <c r="D13" s="163"/>
      <c r="E13" s="163"/>
      <c r="F13" s="163"/>
      <c r="G13" s="232" t="s">
        <v>1366</v>
      </c>
      <c r="H13" s="232"/>
      <c r="I13" s="232"/>
      <c r="J13" s="232"/>
    </row>
    <row r="14" spans="1:10">
      <c r="A14" s="76" t="s">
        <v>8</v>
      </c>
      <c r="B14" s="76"/>
      <c r="C14" s="78"/>
      <c r="D14" s="78"/>
      <c r="E14" s="78"/>
      <c r="F14" s="78"/>
      <c r="G14" s="234" t="s">
        <v>1367</v>
      </c>
      <c r="H14" s="234"/>
      <c r="I14" s="234"/>
      <c r="J14" s="234"/>
    </row>
    <row r="15" spans="1:10">
      <c r="A15" s="110" t="s">
        <v>649</v>
      </c>
      <c r="B15" s="111" t="s">
        <v>650</v>
      </c>
      <c r="C15" s="78"/>
      <c r="D15" s="78"/>
      <c r="E15" s="78"/>
      <c r="F15" s="78"/>
      <c r="G15" s="159"/>
      <c r="H15" s="159"/>
      <c r="I15" s="159"/>
      <c r="J15" s="159"/>
    </row>
    <row r="16" spans="1:10">
      <c r="A16" s="88" t="s">
        <v>27</v>
      </c>
      <c r="B16" s="89" t="s">
        <v>603</v>
      </c>
      <c r="C16" s="78"/>
      <c r="D16" s="78"/>
      <c r="E16" s="78"/>
      <c r="F16" s="78"/>
      <c r="G16" s="78"/>
      <c r="H16" s="78"/>
      <c r="I16" s="78"/>
      <c r="J16" s="78"/>
    </row>
    <row r="17" spans="1:10" s="77" customFormat="1" ht="36" customHeight="1">
      <c r="A17" s="228" t="s">
        <v>236</v>
      </c>
      <c r="B17" s="228" t="s">
        <v>640</v>
      </c>
      <c r="C17" s="228" t="s">
        <v>641</v>
      </c>
      <c r="D17" s="228" t="s">
        <v>642</v>
      </c>
      <c r="E17" s="228" t="s">
        <v>643</v>
      </c>
      <c r="F17" s="228" t="s">
        <v>644</v>
      </c>
      <c r="G17" s="228" t="s">
        <v>645</v>
      </c>
      <c r="H17" s="229"/>
      <c r="I17" s="228" t="s">
        <v>654</v>
      </c>
      <c r="J17" s="229"/>
    </row>
    <row r="18" spans="1:10" s="77" customFormat="1" ht="87" customHeight="1">
      <c r="A18" s="229"/>
      <c r="B18" s="229"/>
      <c r="C18" s="229"/>
      <c r="D18" s="229"/>
      <c r="E18" s="229"/>
      <c r="F18" s="229"/>
      <c r="G18" s="160" t="s">
        <v>646</v>
      </c>
      <c r="H18" s="160" t="s">
        <v>647</v>
      </c>
      <c r="I18" s="160" t="s">
        <v>646</v>
      </c>
      <c r="J18" s="160" t="s">
        <v>648</v>
      </c>
    </row>
    <row r="19" spans="1:10" s="77" customFormat="1" ht="45.75" customHeight="1">
      <c r="A19" s="186" t="s">
        <v>991</v>
      </c>
      <c r="B19" s="186" t="s">
        <v>992</v>
      </c>
      <c r="C19" s="186"/>
      <c r="D19" s="186"/>
      <c r="E19" s="186"/>
      <c r="F19" s="189"/>
      <c r="G19" s="186"/>
      <c r="H19" s="188"/>
      <c r="I19" s="186"/>
      <c r="J19" s="188"/>
    </row>
    <row r="20" spans="1:10">
      <c r="A20" s="186" t="s">
        <v>993</v>
      </c>
      <c r="B20" s="186" t="s">
        <v>994</v>
      </c>
      <c r="C20" s="186" t="s">
        <v>995</v>
      </c>
      <c r="D20" s="186" t="s">
        <v>996</v>
      </c>
      <c r="E20" s="186" t="s">
        <v>997</v>
      </c>
      <c r="F20" s="189" t="s">
        <v>998</v>
      </c>
      <c r="G20" s="186" t="s">
        <v>999</v>
      </c>
      <c r="H20" s="188" t="s">
        <v>1000</v>
      </c>
      <c r="I20" s="186" t="s">
        <v>1001</v>
      </c>
      <c r="J20" s="188" t="s">
        <v>1002</v>
      </c>
    </row>
    <row r="21" spans="1:10" ht="25">
      <c r="A21" s="191" t="s">
        <v>1003</v>
      </c>
      <c r="B21" s="191" t="s">
        <v>1004</v>
      </c>
      <c r="C21" s="191"/>
      <c r="D21" s="191"/>
      <c r="E21" s="191"/>
      <c r="F21" s="193">
        <v>0</v>
      </c>
      <c r="G21" s="191"/>
      <c r="H21" s="192">
        <v>0</v>
      </c>
      <c r="I21" s="191"/>
      <c r="J21" s="192">
        <v>0</v>
      </c>
    </row>
    <row r="22" spans="1:10" ht="25">
      <c r="A22" s="186" t="s">
        <v>1005</v>
      </c>
      <c r="B22" s="186" t="s">
        <v>1006</v>
      </c>
      <c r="C22" s="186"/>
      <c r="D22" s="186"/>
      <c r="E22" s="186"/>
      <c r="F22" s="189"/>
      <c r="G22" s="186"/>
      <c r="H22" s="188"/>
      <c r="I22" s="186"/>
      <c r="J22" s="188"/>
    </row>
    <row r="23" spans="1:10">
      <c r="A23" s="186" t="s">
        <v>1007</v>
      </c>
      <c r="B23" s="186" t="s">
        <v>1008</v>
      </c>
      <c r="C23" s="186" t="s">
        <v>1009</v>
      </c>
      <c r="D23" s="186" t="s">
        <v>1010</v>
      </c>
      <c r="E23" s="186" t="s">
        <v>1011</v>
      </c>
      <c r="F23" s="189" t="s">
        <v>1012</v>
      </c>
      <c r="G23" s="186" t="s">
        <v>1013</v>
      </c>
      <c r="H23" s="188" t="s">
        <v>1014</v>
      </c>
      <c r="I23" s="186" t="s">
        <v>1015</v>
      </c>
      <c r="J23" s="188" t="s">
        <v>1016</v>
      </c>
    </row>
    <row r="24" spans="1:10" ht="25">
      <c r="A24" s="191" t="s">
        <v>1017</v>
      </c>
      <c r="B24" s="191" t="s">
        <v>1018</v>
      </c>
      <c r="C24" s="191"/>
      <c r="D24" s="191"/>
      <c r="E24" s="191"/>
      <c r="F24" s="193">
        <v>0</v>
      </c>
      <c r="G24" s="191"/>
      <c r="H24" s="192">
        <v>0</v>
      </c>
      <c r="I24" s="191"/>
      <c r="J24" s="192">
        <v>0</v>
      </c>
    </row>
    <row r="25" spans="1:10" ht="25">
      <c r="A25" s="191" t="s">
        <v>1019</v>
      </c>
      <c r="B25" s="191" t="s">
        <v>1020</v>
      </c>
      <c r="C25" s="191"/>
      <c r="D25" s="191"/>
      <c r="E25" s="191"/>
      <c r="F25" s="193">
        <v>0</v>
      </c>
      <c r="G25" s="191"/>
      <c r="H25" s="192">
        <v>0</v>
      </c>
      <c r="I25" s="191"/>
      <c r="J25" s="192">
        <v>0</v>
      </c>
    </row>
    <row r="26" spans="1:10" ht="25">
      <c r="A26" s="186" t="s">
        <v>1021</v>
      </c>
      <c r="B26" s="186" t="s">
        <v>1022</v>
      </c>
      <c r="C26" s="186"/>
      <c r="D26" s="186"/>
      <c r="E26" s="186"/>
      <c r="F26" s="189"/>
      <c r="G26" s="186"/>
      <c r="H26" s="188"/>
      <c r="I26" s="186"/>
      <c r="J26" s="188"/>
    </row>
    <row r="27" spans="1:10">
      <c r="A27" s="186" t="s">
        <v>1023</v>
      </c>
      <c r="B27" s="186" t="s">
        <v>1024</v>
      </c>
      <c r="C27" s="186" t="s">
        <v>1025</v>
      </c>
      <c r="D27" s="186" t="s">
        <v>1026</v>
      </c>
      <c r="E27" s="186" t="s">
        <v>1027</v>
      </c>
      <c r="F27" s="189" t="s">
        <v>1028</v>
      </c>
      <c r="G27" s="186" t="s">
        <v>1029</v>
      </c>
      <c r="H27" s="188" t="s">
        <v>1030</v>
      </c>
      <c r="I27" s="186" t="s">
        <v>1031</v>
      </c>
      <c r="J27" s="188" t="s">
        <v>1032</v>
      </c>
    </row>
    <row r="28" spans="1:10" ht="25">
      <c r="A28" s="191" t="s">
        <v>1033</v>
      </c>
      <c r="B28" s="191" t="s">
        <v>1034</v>
      </c>
      <c r="C28" s="191"/>
      <c r="D28" s="191"/>
      <c r="E28" s="191"/>
      <c r="F28" s="193">
        <v>0</v>
      </c>
      <c r="G28" s="191"/>
      <c r="H28" s="192">
        <v>0</v>
      </c>
      <c r="I28" s="191"/>
      <c r="J28" s="192">
        <v>0</v>
      </c>
    </row>
    <row r="29" spans="1:10" ht="25">
      <c r="A29" s="186" t="s">
        <v>1035</v>
      </c>
      <c r="B29" s="186" t="s">
        <v>1036</v>
      </c>
      <c r="C29" s="186"/>
      <c r="D29" s="186"/>
      <c r="E29" s="186"/>
      <c r="F29" s="189"/>
      <c r="G29" s="186"/>
      <c r="H29" s="188"/>
      <c r="I29" s="186"/>
      <c r="J29" s="188"/>
    </row>
    <row r="30" spans="1:10">
      <c r="A30" s="186" t="s">
        <v>1037</v>
      </c>
      <c r="B30" s="186" t="s">
        <v>1038</v>
      </c>
      <c r="C30" s="186" t="s">
        <v>1039</v>
      </c>
      <c r="D30" s="186" t="s">
        <v>1040</v>
      </c>
      <c r="E30" s="186" t="s">
        <v>1041</v>
      </c>
      <c r="F30" s="189" t="s">
        <v>1042</v>
      </c>
      <c r="G30" s="186" t="s">
        <v>1043</v>
      </c>
      <c r="H30" s="188" t="s">
        <v>1044</v>
      </c>
      <c r="I30" s="186" t="s">
        <v>1045</v>
      </c>
      <c r="J30" s="188" t="s">
        <v>1046</v>
      </c>
    </row>
    <row r="31" spans="1:10" ht="25">
      <c r="A31" s="191" t="s">
        <v>1047</v>
      </c>
      <c r="B31" s="191" t="s">
        <v>1048</v>
      </c>
      <c r="C31" s="191"/>
      <c r="D31" s="191"/>
      <c r="E31" s="191"/>
      <c r="F31" s="193">
        <v>0</v>
      </c>
      <c r="G31" s="191"/>
      <c r="H31" s="192">
        <v>0</v>
      </c>
      <c r="I31" s="191"/>
      <c r="J31" s="192">
        <v>0</v>
      </c>
    </row>
    <row r="32" spans="1:10" ht="25">
      <c r="A32" s="191" t="s">
        <v>1049</v>
      </c>
      <c r="B32" s="191" t="s">
        <v>1050</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3"/>
      <c r="B35" s="80"/>
      <c r="C35" s="81"/>
      <c r="D35" s="78"/>
      <c r="E35" s="78"/>
      <c r="F35" s="78"/>
      <c r="G35" s="78"/>
      <c r="H35" s="78"/>
      <c r="I35" s="84"/>
      <c r="J35" s="78"/>
    </row>
    <row r="36" spans="1:10">
      <c r="A36" s="83"/>
      <c r="B36" s="80"/>
      <c r="C36" s="81"/>
      <c r="D36" s="78"/>
      <c r="E36" s="78"/>
      <c r="F36" s="78"/>
      <c r="G36" s="78"/>
      <c r="H36" s="78"/>
      <c r="I36" s="84"/>
      <c r="J36" s="78"/>
    </row>
    <row r="37" spans="1:10">
      <c r="A37" s="83"/>
      <c r="B37" s="80"/>
      <c r="C37" s="81"/>
      <c r="D37" s="78"/>
      <c r="E37" s="78"/>
      <c r="F37" s="78"/>
      <c r="G37" s="78"/>
      <c r="H37" s="78"/>
      <c r="I37" s="84"/>
      <c r="J37" s="78"/>
    </row>
    <row r="38" spans="1:10">
      <c r="A38" s="83"/>
      <c r="B38" s="80"/>
      <c r="C38" s="81"/>
      <c r="D38" s="78"/>
      <c r="E38" s="78"/>
      <c r="F38" s="78"/>
      <c r="G38" s="78"/>
      <c r="H38" s="78"/>
      <c r="I38" s="84"/>
      <c r="J38" s="78"/>
    </row>
    <row r="39" spans="1:10">
      <c r="A39" s="80"/>
      <c r="B39" s="80"/>
      <c r="C39" s="81"/>
      <c r="D39" s="163"/>
      <c r="E39" s="163"/>
      <c r="F39" s="163"/>
      <c r="G39" s="163"/>
      <c r="H39" s="163"/>
      <c r="I39" s="81"/>
      <c r="J39" s="163"/>
    </row>
    <row r="40" spans="1:10">
      <c r="A40" s="166"/>
      <c r="B40" s="163"/>
      <c r="C40" s="163"/>
      <c r="D40" s="163"/>
      <c r="E40" s="163"/>
      <c r="F40" s="163"/>
      <c r="G40" s="78"/>
      <c r="H40" s="163"/>
      <c r="I40" s="163"/>
      <c r="J40" s="163"/>
    </row>
    <row r="41" spans="1:10">
      <c r="A41" s="166"/>
      <c r="B41" s="163"/>
      <c r="C41" s="163"/>
      <c r="D41" s="163"/>
      <c r="E41" s="163"/>
      <c r="F41" s="163"/>
      <c r="G41" s="163"/>
      <c r="H41" s="163"/>
      <c r="I41" s="163"/>
      <c r="J41" s="163"/>
    </row>
    <row r="42" spans="1:10">
      <c r="A42" s="166"/>
      <c r="B42" s="163"/>
      <c r="C42" s="163"/>
      <c r="D42" s="163"/>
      <c r="E42" s="163"/>
      <c r="F42" s="163"/>
      <c r="G42" s="163"/>
      <c r="H42" s="163"/>
      <c r="I42" s="163"/>
      <c r="J42" s="163"/>
    </row>
    <row r="43" spans="1:10">
      <c r="A43" s="166"/>
      <c r="B43" s="163"/>
      <c r="C43" s="163"/>
      <c r="D43" s="163"/>
      <c r="E43" s="163"/>
      <c r="F43" s="163"/>
      <c r="G43" s="163"/>
      <c r="H43" s="163"/>
      <c r="I43" s="163"/>
      <c r="J43" s="163"/>
    </row>
    <row r="44" spans="1:10" s="77" customFormat="1" ht="12.5">
      <c r="A44" s="227" t="s">
        <v>14</v>
      </c>
      <c r="B44" s="227"/>
      <c r="C44" s="78"/>
      <c r="D44" s="78"/>
      <c r="E44" s="78"/>
      <c r="F44" s="78"/>
      <c r="G44" s="78"/>
      <c r="H44" s="78"/>
      <c r="I44" s="183" t="s">
        <v>1362</v>
      </c>
      <c r="J44" s="184"/>
    </row>
    <row r="45" spans="1:10" s="77" customFormat="1" ht="12.5">
      <c r="A45" s="182" t="s">
        <v>1368</v>
      </c>
      <c r="B45" s="180"/>
      <c r="C45" s="78"/>
      <c r="D45" s="78"/>
      <c r="E45" s="78"/>
      <c r="F45" s="78"/>
      <c r="G45" s="78"/>
      <c r="H45" s="78"/>
      <c r="I45" s="89" t="s">
        <v>1369</v>
      </c>
      <c r="J45" s="78"/>
    </row>
    <row r="46" spans="1:10" s="77" customFormat="1" ht="12.5">
      <c r="A46" s="180" t="s">
        <v>1370</v>
      </c>
      <c r="B46" s="180"/>
      <c r="C46" s="78"/>
      <c r="D46" s="78"/>
      <c r="E46" s="78"/>
      <c r="F46" s="78"/>
      <c r="G46" s="78"/>
      <c r="H46" s="78"/>
      <c r="I46" s="78" t="s">
        <v>1371</v>
      </c>
      <c r="J46" s="78"/>
    </row>
    <row r="47" spans="1:10" s="77" customFormat="1" ht="12.5">
      <c r="A47" s="181"/>
      <c r="B47" s="78"/>
      <c r="C47" s="78"/>
      <c r="D47" s="78"/>
      <c r="E47" s="78"/>
      <c r="F47" s="78"/>
      <c r="G47" s="78"/>
      <c r="H47" s="78"/>
      <c r="I47" s="78"/>
      <c r="J47" s="78"/>
    </row>
    <row r="48" spans="1:10" s="77" customFormat="1" ht="12.5">
      <c r="A48" s="181"/>
      <c r="B48" s="78"/>
      <c r="C48" s="78"/>
      <c r="D48" s="78"/>
      <c r="E48" s="78"/>
      <c r="F48" s="78"/>
      <c r="G48" s="78"/>
      <c r="H48" s="78"/>
      <c r="I48" s="78"/>
      <c r="J48" s="78"/>
    </row>
    <row r="49" spans="1:10">
      <c r="A49" s="166"/>
      <c r="B49" s="163"/>
      <c r="C49" s="163"/>
      <c r="D49" s="163"/>
      <c r="E49" s="163"/>
      <c r="F49" s="163"/>
      <c r="G49" s="163"/>
      <c r="H49" s="163"/>
      <c r="I49" s="163"/>
      <c r="J49" s="163"/>
    </row>
    <row r="50" spans="1:10">
      <c r="A50" s="166"/>
      <c r="B50" s="163"/>
      <c r="C50" s="163"/>
      <c r="D50" s="163"/>
      <c r="E50" s="163"/>
      <c r="F50" s="163"/>
      <c r="G50" s="163"/>
      <c r="H50" s="163"/>
      <c r="I50" s="163"/>
      <c r="J50" s="163"/>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4:B4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1"/>
  <sheetViews>
    <sheetView topLeftCell="A64" zoomScale="80" zoomScaleNormal="80" workbookViewId="0">
      <selection activeCell="B70" sqref="B70"/>
    </sheetView>
  </sheetViews>
  <sheetFormatPr defaultRowHeight="61.5" customHeight="1"/>
  <cols>
    <col min="1" max="1" width="11.453125" bestFit="1" customWidth="1"/>
    <col min="2" max="2" width="98.1796875" customWidth="1"/>
    <col min="3" max="3" width="33.453125" customWidth="1"/>
    <col min="4" max="4" width="10.1796875" customWidth="1"/>
  </cols>
  <sheetData>
    <row r="1" spans="1:4" ht="15.75" customHeight="1">
      <c r="D1" t="s">
        <v>241</v>
      </c>
    </row>
    <row r="2" spans="1:4" s="3" customFormat="1" ht="61.5" customHeight="1">
      <c r="A2" s="3" t="s">
        <v>238</v>
      </c>
      <c r="B2" s="3" t="s">
        <v>239</v>
      </c>
      <c r="C2" s="3" t="s">
        <v>240</v>
      </c>
    </row>
    <row r="3" spans="1:4" ht="57" customHeight="1">
      <c r="A3" t="s">
        <v>599</v>
      </c>
      <c r="B3" t="s">
        <v>706</v>
      </c>
    </row>
    <row r="4" spans="1:4" ht="52.5" customHeight="1">
      <c r="A4" t="s">
        <v>241</v>
      </c>
      <c r="B4" t="s">
        <v>702</v>
      </c>
    </row>
    <row r="5" spans="1:4" ht="57.75" customHeight="1">
      <c r="A5" t="s">
        <v>242</v>
      </c>
      <c r="B5" t="s">
        <v>703</v>
      </c>
    </row>
    <row r="6" spans="1:4" ht="61.5" customHeight="1">
      <c r="A6" t="s">
        <v>243</v>
      </c>
      <c r="B6" t="s">
        <v>244</v>
      </c>
    </row>
    <row r="7" spans="1:4" ht="61.5" customHeight="1">
      <c r="A7" t="s">
        <v>245</v>
      </c>
      <c r="B7" t="s">
        <v>704</v>
      </c>
    </row>
    <row r="8" spans="1:4" ht="61.5" customHeight="1">
      <c r="A8" t="s">
        <v>246</v>
      </c>
      <c r="B8" t="s">
        <v>705</v>
      </c>
    </row>
    <row r="9" spans="1:4" ht="61.5" customHeight="1">
      <c r="A9" t="s">
        <v>248</v>
      </c>
      <c r="B9" t="s">
        <v>249</v>
      </c>
    </row>
    <row r="10" spans="1:4" ht="61.5" customHeight="1">
      <c r="A10" t="s">
        <v>247</v>
      </c>
      <c r="B10" t="s">
        <v>249</v>
      </c>
    </row>
    <row r="11" spans="1:4" ht="61.5" customHeight="1">
      <c r="A11" t="s">
        <v>250</v>
      </c>
      <c r="B11" t="s">
        <v>251</v>
      </c>
    </row>
    <row r="12" spans="1:4" ht="61.5" customHeight="1">
      <c r="A12" t="s">
        <v>252</v>
      </c>
      <c r="B12" t="s">
        <v>253</v>
      </c>
    </row>
    <row r="13" spans="1:4" ht="61.5" customHeight="1">
      <c r="A13" t="s">
        <v>254</v>
      </c>
      <c r="B13" t="s">
        <v>255</v>
      </c>
    </row>
    <row r="14" spans="1:4" ht="61.5" customHeight="1">
      <c r="A14" t="s">
        <v>256</v>
      </c>
      <c r="B14" t="s">
        <v>257</v>
      </c>
    </row>
    <row r="15" spans="1:4" ht="61.5" customHeight="1">
      <c r="A15" t="s">
        <v>258</v>
      </c>
      <c r="B15" t="s">
        <v>259</v>
      </c>
    </row>
    <row r="16" spans="1:4" ht="61.5" customHeight="1">
      <c r="A16" t="s">
        <v>260</v>
      </c>
      <c r="B16" t="s">
        <v>261</v>
      </c>
    </row>
    <row r="17" spans="1:2" ht="61.5" customHeight="1">
      <c r="A17" t="s">
        <v>262</v>
      </c>
      <c r="B17" t="s">
        <v>263</v>
      </c>
    </row>
    <row r="18" spans="1:2" ht="61.5" customHeight="1">
      <c r="A18" t="s">
        <v>264</v>
      </c>
      <c r="B18" t="s">
        <v>265</v>
      </c>
    </row>
    <row r="19" spans="1:2" ht="61.5" customHeight="1">
      <c r="A19" t="s">
        <v>266</v>
      </c>
      <c r="B19" t="s">
        <v>267</v>
      </c>
    </row>
    <row r="20" spans="1:2" ht="61.5" customHeight="1">
      <c r="A20" t="s">
        <v>268</v>
      </c>
      <c r="B20" t="s">
        <v>269</v>
      </c>
    </row>
    <row r="21" spans="1:2" ht="61.5" customHeight="1">
      <c r="A21" t="s">
        <v>270</v>
      </c>
      <c r="B21" t="s">
        <v>271</v>
      </c>
    </row>
    <row r="22" spans="1:2" ht="61.5" customHeight="1">
      <c r="A22" t="s">
        <v>281</v>
      </c>
      <c r="B22" t="s">
        <v>282</v>
      </c>
    </row>
    <row r="23" spans="1:2" ht="61.5" customHeight="1">
      <c r="A23" t="s">
        <v>283</v>
      </c>
      <c r="B23" t="s">
        <v>284</v>
      </c>
    </row>
    <row r="24" spans="1:2" ht="61.5" customHeight="1">
      <c r="A24" t="s">
        <v>285</v>
      </c>
      <c r="B24" t="s">
        <v>286</v>
      </c>
    </row>
    <row r="25" spans="1:2" ht="61.5" customHeight="1">
      <c r="A25" t="s">
        <v>287</v>
      </c>
      <c r="B25" t="s">
        <v>288</v>
      </c>
    </row>
    <row r="26" spans="1:2" ht="61.5" customHeight="1">
      <c r="A26" t="s">
        <v>289</v>
      </c>
      <c r="B26" t="s">
        <v>290</v>
      </c>
    </row>
    <row r="27" spans="1:2" ht="61.5" customHeight="1">
      <c r="A27" t="s">
        <v>291</v>
      </c>
      <c r="B27" t="s">
        <v>292</v>
      </c>
    </row>
    <row r="28" spans="1:2" ht="61.5" customHeight="1">
      <c r="A28" t="s">
        <v>293</v>
      </c>
      <c r="B28" t="s">
        <v>294</v>
      </c>
    </row>
    <row r="29" spans="1:2" ht="61.5" customHeight="1">
      <c r="A29" t="s">
        <v>295</v>
      </c>
      <c r="B29" t="s">
        <v>296</v>
      </c>
    </row>
    <row r="30" spans="1:2" ht="61.5" customHeight="1">
      <c r="A30" t="s">
        <v>297</v>
      </c>
      <c r="B30" t="s">
        <v>298</v>
      </c>
    </row>
    <row r="31" spans="1:2" ht="61.5" customHeight="1">
      <c r="A31" t="s">
        <v>272</v>
      </c>
      <c r="B31" t="s">
        <v>273</v>
      </c>
    </row>
    <row r="32" spans="1:2" ht="61.5" customHeight="1">
      <c r="A32" t="s">
        <v>300</v>
      </c>
      <c r="B32" t="s">
        <v>301</v>
      </c>
    </row>
    <row r="33" spans="1:2" ht="61.5" customHeight="1">
      <c r="A33" t="s">
        <v>302</v>
      </c>
      <c r="B33" t="s">
        <v>303</v>
      </c>
    </row>
    <row r="34" spans="1:2" ht="61.5" customHeight="1">
      <c r="A34" t="s">
        <v>304</v>
      </c>
      <c r="B34" t="s">
        <v>299</v>
      </c>
    </row>
    <row r="35" spans="1:2" ht="61.5" customHeight="1">
      <c r="A35" t="s">
        <v>305</v>
      </c>
      <c r="B35" t="s">
        <v>306</v>
      </c>
    </row>
    <row r="36" spans="1:2" ht="61.5" customHeight="1">
      <c r="A36" t="s">
        <v>307</v>
      </c>
      <c r="B36" t="s">
        <v>308</v>
      </c>
    </row>
    <row r="37" spans="1:2" ht="61.5" customHeight="1">
      <c r="A37" t="s">
        <v>309</v>
      </c>
      <c r="B37" t="s">
        <v>310</v>
      </c>
    </row>
    <row r="38" spans="1:2" ht="61.5" customHeight="1">
      <c r="A38" t="s">
        <v>297</v>
      </c>
      <c r="B38" t="s">
        <v>298</v>
      </c>
    </row>
    <row r="39" spans="1:2" ht="61.5" customHeight="1">
      <c r="A39" t="s">
        <v>311</v>
      </c>
      <c r="B39" t="s">
        <v>312</v>
      </c>
    </row>
    <row r="40" spans="1:2" ht="61.5" customHeight="1">
      <c r="A40" t="s">
        <v>658</v>
      </c>
      <c r="B40" t="s">
        <v>659</v>
      </c>
    </row>
    <row r="41" spans="1:2" ht="61.5" customHeight="1">
      <c r="A41" t="s">
        <v>660</v>
      </c>
      <c r="B41" t="s">
        <v>661</v>
      </c>
    </row>
    <row r="42" spans="1:2" ht="61.5" customHeight="1">
      <c r="A42" t="s">
        <v>662</v>
      </c>
      <c r="B42" t="s">
        <v>663</v>
      </c>
    </row>
    <row r="43" spans="1:2" ht="61.5" customHeight="1">
      <c r="A43" t="s">
        <v>664</v>
      </c>
      <c r="B43" t="s">
        <v>665</v>
      </c>
    </row>
    <row r="44" spans="1:2" ht="61.5" customHeight="1">
      <c r="A44" t="s">
        <v>666</v>
      </c>
      <c r="B44" t="s">
        <v>667</v>
      </c>
    </row>
    <row r="45" spans="1:2" ht="61.5" customHeight="1">
      <c r="A45" t="s">
        <v>668</v>
      </c>
      <c r="B45" t="s">
        <v>669</v>
      </c>
    </row>
    <row r="46" spans="1:2" ht="61.5" customHeight="1">
      <c r="A46" t="s">
        <v>670</v>
      </c>
      <c r="B46" t="s">
        <v>671</v>
      </c>
    </row>
    <row r="47" spans="1:2" ht="61.5" customHeight="1">
      <c r="A47" t="s">
        <v>672</v>
      </c>
      <c r="B47" t="s">
        <v>673</v>
      </c>
    </row>
    <row r="48" spans="1:2" ht="61.5" customHeight="1">
      <c r="A48" t="s">
        <v>674</v>
      </c>
      <c r="B48" t="s">
        <v>675</v>
      </c>
    </row>
    <row r="49" spans="1:2" ht="61.5" customHeight="1">
      <c r="A49" t="s">
        <v>676</v>
      </c>
      <c r="B49" t="s">
        <v>677</v>
      </c>
    </row>
    <row r="50" spans="1:2" ht="61.5" customHeight="1">
      <c r="A50" t="s">
        <v>678</v>
      </c>
      <c r="B50" t="s">
        <v>707</v>
      </c>
    </row>
    <row r="51" spans="1:2" ht="61.5" customHeight="1">
      <c r="A51" t="s">
        <v>679</v>
      </c>
      <c r="B51" t="s">
        <v>680</v>
      </c>
    </row>
    <row r="52" spans="1:2" ht="61.5" customHeight="1">
      <c r="A52" t="s">
        <v>681</v>
      </c>
      <c r="B52" t="s">
        <v>682</v>
      </c>
    </row>
    <row r="53" spans="1:2" ht="61.5" customHeight="1">
      <c r="A53" t="s">
        <v>683</v>
      </c>
    </row>
    <row r="54" spans="1:2" ht="61.5" customHeight="1">
      <c r="A54" t="s">
        <v>684</v>
      </c>
    </row>
    <row r="55" spans="1:2" ht="61.5" customHeight="1">
      <c r="A55" t="s">
        <v>685</v>
      </c>
    </row>
    <row r="56" spans="1:2" ht="61.5" customHeight="1">
      <c r="A56" t="s">
        <v>686</v>
      </c>
      <c r="B56" t="s">
        <v>687</v>
      </c>
    </row>
    <row r="57" spans="1:2" ht="61.5" customHeight="1">
      <c r="A57" t="s">
        <v>688</v>
      </c>
    </row>
    <row r="58" spans="1:2" ht="61.5" customHeight="1">
      <c r="A58" t="s">
        <v>689</v>
      </c>
    </row>
    <row r="59" spans="1:2" ht="61.5" customHeight="1">
      <c r="A59" t="s">
        <v>690</v>
      </c>
    </row>
    <row r="60" spans="1:2" ht="61.5" customHeight="1">
      <c r="A60" t="s">
        <v>691</v>
      </c>
    </row>
    <row r="61" spans="1:2" ht="61.5" customHeight="1">
      <c r="A61" t="s">
        <v>692</v>
      </c>
    </row>
    <row r="62" spans="1:2" ht="61.5" customHeight="1">
      <c r="A62" t="s">
        <v>693</v>
      </c>
    </row>
    <row r="63" spans="1:2" ht="61.5" customHeight="1">
      <c r="A63" t="s">
        <v>694</v>
      </c>
    </row>
    <row r="64" spans="1:2" ht="61.5" customHeight="1">
      <c r="A64" t="s">
        <v>695</v>
      </c>
    </row>
    <row r="65" spans="1:2" ht="61.5" customHeight="1">
      <c r="A65" t="s">
        <v>696</v>
      </c>
    </row>
    <row r="66" spans="1:2" ht="61.5" customHeight="1">
      <c r="A66" t="s">
        <v>697</v>
      </c>
    </row>
    <row r="67" spans="1:2" ht="61.5" customHeight="1">
      <c r="A67" t="s">
        <v>698</v>
      </c>
    </row>
    <row r="68" spans="1:2" ht="61.5" customHeight="1">
      <c r="A68" t="s">
        <v>699</v>
      </c>
    </row>
    <row r="69" spans="1:2" ht="61.5" customHeight="1">
      <c r="A69" t="s">
        <v>700</v>
      </c>
    </row>
    <row r="70" spans="1:2" ht="61.5" customHeight="1">
      <c r="A70" t="s">
        <v>701</v>
      </c>
    </row>
    <row r="71" spans="1:2" ht="61.5" customHeight="1">
      <c r="A71" t="s">
        <v>716</v>
      </c>
      <c r="B71" t="s">
        <v>717</v>
      </c>
    </row>
  </sheetData>
  <conditionalFormatting sqref="A38:A70 A1:A21 A72:A1048576">
    <cfRule type="duplicateValues" dxfId="6" priority="22"/>
    <cfRule type="duplicateValues" dxfId="5" priority="25"/>
  </conditionalFormatting>
  <conditionalFormatting sqref="A22:B37 B39">
    <cfRule type="duplicateValues" dxfId="4" priority="37"/>
  </conditionalFormatting>
  <conditionalFormatting sqref="D1">
    <cfRule type="duplicateValues" dxfId="3" priority="9"/>
    <cfRule type="duplicateValues" dxfId="2" priority="10"/>
  </conditionalFormatting>
  <conditionalFormatting sqref="A71">
    <cfRule type="duplicateValues" dxfId="1" priority="1"/>
    <cfRule type="duplicateValues" dxfId="0" priority="2"/>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D+pF8UVh2sYOqetjdEgVhaP5EMQ=</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9hO8DU/u7pQRkbDLJ8CJMi+8EY0=</DigestValue>
    </Reference>
  </SignedInfo>
  <SignatureValue>6KJOHA+FRCrVcMi3Rvwtx4P0uTGfx14T9Ao5m6SmBdd/0wz9kSK5WX3ufPUUw+PF2sgangWxvg55
Y5wodexDt2zQq3q1SZBVsxWufF83OelxJ4FFJnLWi18IIuYpfNsadU9Or04cPx/wYBOIVolVQn9l
fDQbWiouaJFxJP2q20E=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Kwabnl+H5SClmOF2dZgy3eFqAlI=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HkjWvQZwolzrf71X2aUkaoLbv4Y=</DigestValue>
      </Reference>
      <Reference URI="/xl/drawings/drawing2.xml?ContentType=application/vnd.openxmlformats-officedocument.drawing+xml">
        <DigestMethod Algorithm="http://www.w3.org/2000/09/xmldsig#sha1"/>
        <DigestValue>igqgTK5SWJNqAYO7PZ7/XnRn8Gc=</DigestValue>
      </Reference>
      <Reference URI="/xl/drawings/drawing3.xml?ContentType=application/vnd.openxmlformats-officedocument.drawing+xml">
        <DigestMethod Algorithm="http://www.w3.org/2000/09/xmldsig#sha1"/>
        <DigestValue>KZ/rRtSObsEZc9w7tQxqfBeZJug=</DigestValue>
      </Reference>
      <Reference URI="/xl/drawings/drawing4.xml?ContentType=application/vnd.openxmlformats-officedocument.drawing+xml">
        <DigestMethod Algorithm="http://www.w3.org/2000/09/xmldsig#sha1"/>
        <DigestValue>9wc2d+BXnDFwEUsEIjruD+EOyu8=</DigestValue>
      </Reference>
      <Reference URI="/xl/drawings/drawing5.xml?ContentType=application/vnd.openxmlformats-officedocument.drawing+xml">
        <DigestMethod Algorithm="http://www.w3.org/2000/09/xmldsig#sha1"/>
        <DigestValue>1B4ZxDAFrRsqsq5S0h7oPH8wBtQ=</DigestValue>
      </Reference>
      <Reference URI="/xl/drawings/drawing6.xml?ContentType=application/vnd.openxmlformats-officedocument.drawing+xml">
        <DigestMethod Algorithm="http://www.w3.org/2000/09/xmldsig#sha1"/>
        <DigestValue>xM+yRjqImNgR0wNhbHa3SEzh6Ow=</DigestValue>
      </Reference>
      <Reference URI="/xl/drawings/drawing7.xml?ContentType=application/vnd.openxmlformats-officedocument.drawing+xml">
        <DigestMethod Algorithm="http://www.w3.org/2000/09/xmldsig#sha1"/>
        <DigestValue>l1SvGnOWwnAOR9IPvrSKYBPwrRs=</DigestValue>
      </Reference>
      <Reference URI="/xl/drawings/drawing8.xml?ContentType=application/vnd.openxmlformats-officedocument.drawing+xml">
        <DigestMethod Algorithm="http://www.w3.org/2000/09/xmldsig#sha1"/>
        <DigestValue>phP3bQm6FWhlHyyUEhfEx77Xx8A=</DigestValue>
      </Reference>
      <Reference URI="/xl/drawings/vmlDrawing1.vml?ContentType=application/vnd.openxmlformats-officedocument.vmlDrawing">
        <DigestMethod Algorithm="http://www.w3.org/2000/09/xmldsig#sha1"/>
        <DigestValue>JpQkGpZL86jQP2rFxpE8i17vAgc=</DigestValue>
      </Reference>
      <Reference URI="/xl/drawings/vmlDrawing2.vml?ContentType=application/vnd.openxmlformats-officedocument.vmlDrawing">
        <DigestMethod Algorithm="http://www.w3.org/2000/09/xmldsig#sha1"/>
        <DigestValue>ayeS7s322dDpyFVepYuSg5etUfY=</DigestValue>
      </Reference>
      <Reference URI="/xl/drawings/vmlDrawing3.vml?ContentType=application/vnd.openxmlformats-officedocument.vmlDrawing">
        <DigestMethod Algorithm="http://www.w3.org/2000/09/xmldsig#sha1"/>
        <DigestValue>moFRbes7y6rln7XAuglCSSVq6YA=</DigestValue>
      </Reference>
      <Reference URI="/xl/drawings/vmlDrawing4.vml?ContentType=application/vnd.openxmlformats-officedocument.vmlDrawing">
        <DigestMethod Algorithm="http://www.w3.org/2000/09/xmldsig#sha1"/>
        <DigestValue>xvOG9bpI5rHtvlPJJgAx2njmbNA=</DigestValue>
      </Reference>
      <Reference URI="/xl/drawings/vmlDrawing5.vml?ContentType=application/vnd.openxmlformats-officedocument.vmlDrawing">
        <DigestMethod Algorithm="http://www.w3.org/2000/09/xmldsig#sha1"/>
        <DigestValue>ZF/I4+G2NFYMj8y9hlk9pzxiYvs=</DigestValue>
      </Reference>
      <Reference URI="/xl/drawings/vmlDrawing6.vml?ContentType=application/vnd.openxmlformats-officedocument.vmlDrawing">
        <DigestMethod Algorithm="http://www.w3.org/2000/09/xmldsig#sha1"/>
        <DigestValue>LhPZIt+2JtB0YKxIHys+0cWp85Y=</DigestValue>
      </Reference>
      <Reference URI="/xl/drawings/vmlDrawing7.vml?ContentType=application/vnd.openxmlformats-officedocument.vmlDrawing">
        <DigestMethod Algorithm="http://www.w3.org/2000/09/xmldsig#sha1"/>
        <DigestValue>JQcAY3vj5xfoF1nUeSaL2LFvNMI=</DigestValue>
      </Reference>
      <Reference URI="/xl/media/image1.emf?ContentType=image/x-emf">
        <DigestMethod Algorithm="http://www.w3.org/2000/09/xmldsig#sha1"/>
        <DigestValue>FXupbXffbIo32UrYbpeKUln98Rw=</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FXupbXffbIo32UrYbpeKUln98Rw=</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IqY5kCOrlFyR3OCQpj6jANQWsNY=</DigestValue>
      </Reference>
      <Reference URI="/xl/printerSettings/printerSettings2.bin?ContentType=application/vnd.openxmlformats-officedocument.spreadsheetml.printerSettings">
        <DigestMethod Algorithm="http://www.w3.org/2000/09/xmldsig#sha1"/>
        <DigestValue>K4auJDAllFKvEzDCb1AJ8xHEKu0=</DigestValue>
      </Reference>
      <Reference URI="/xl/printerSettings/printerSettings3.bin?ContentType=application/vnd.openxmlformats-officedocument.spreadsheetml.printerSettings">
        <DigestMethod Algorithm="http://www.w3.org/2000/09/xmldsig#sha1"/>
        <DigestValue>K4auJDAllFKvEzDCb1AJ8xHEKu0=</DigestValue>
      </Reference>
      <Reference URI="/xl/printerSettings/printerSettings4.bin?ContentType=application/vnd.openxmlformats-officedocument.spreadsheetml.printerSettings">
        <DigestMethod Algorithm="http://www.w3.org/2000/09/xmldsig#sha1"/>
        <DigestValue>K4auJDAllFKvEzDCb1AJ8xHEKu0=</DigestValue>
      </Reference>
      <Reference URI="/xl/printerSettings/printerSettings5.bin?ContentType=application/vnd.openxmlformats-officedocument.spreadsheetml.printerSettings">
        <DigestMethod Algorithm="http://www.w3.org/2000/09/xmldsig#sha1"/>
        <DigestValue>K4auJDAllFKvEzDCb1AJ8xHEKu0=</DigestValue>
      </Reference>
      <Reference URI="/xl/printerSettings/printerSettings6.bin?ContentType=application/vnd.openxmlformats-officedocument.spreadsheetml.printerSettings">
        <DigestMethod Algorithm="http://www.w3.org/2000/09/xmldsig#sha1"/>
        <DigestValue>K4auJDAllFKvEzDCb1AJ8xHEKu0=</DigestValue>
      </Reference>
      <Reference URI="/xl/printerSettings/printerSettings7.bin?ContentType=application/vnd.openxmlformats-officedocument.spreadsheetml.printerSettings">
        <DigestMethod Algorithm="http://www.w3.org/2000/09/xmldsig#sha1"/>
        <DigestValue>K4auJDAllFKvEzDCb1AJ8xHEKu0=</DigestValue>
      </Reference>
      <Reference URI="/xl/printerSettings/printerSettings8.bin?ContentType=application/vnd.openxmlformats-officedocument.spreadsheetml.printerSettings">
        <DigestMethod Algorithm="http://www.w3.org/2000/09/xmldsig#sha1"/>
        <DigestValue>A+doKswqy5OA96aVo0H1Aly6ecQ=</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83dRdfFTFUkrtOHJ03J1OLHVXQ8=</DigestValue>
      </Reference>
      <Reference URI="/xl/styles.xml?ContentType=application/vnd.openxmlformats-officedocument.spreadsheetml.styles+xml">
        <DigestMethod Algorithm="http://www.w3.org/2000/09/xmldsig#sha1"/>
        <DigestValue>3+dbjp7eJii9mqv/yRYhvCPjCLI=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BRuASlpttFxzK6rugvkVvGiZdAA=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9WictglVUMSmHcOv+Y+zyQgHa9g=</DigestValue>
      </Reference>
      <Reference URI="/xl/worksheets/sheet2.xml?ContentType=application/vnd.openxmlformats-officedocument.spreadsheetml.worksheet+xml">
        <DigestMethod Algorithm="http://www.w3.org/2000/09/xmldsig#sha1"/>
        <DigestValue>6C1yckb/GACaMf6WxCBZ6AkLsn0=</DigestValue>
      </Reference>
      <Reference URI="/xl/worksheets/sheet3.xml?ContentType=application/vnd.openxmlformats-officedocument.spreadsheetml.worksheet+xml">
        <DigestMethod Algorithm="http://www.w3.org/2000/09/xmldsig#sha1"/>
        <DigestValue>lnIibJYImIsclyLgAUXMC/qPgm8=</DigestValue>
      </Reference>
      <Reference URI="/xl/worksheets/sheet4.xml?ContentType=application/vnd.openxmlformats-officedocument.spreadsheetml.worksheet+xml">
        <DigestMethod Algorithm="http://www.w3.org/2000/09/xmldsig#sha1"/>
        <DigestValue>fyC4y3m44mpNUAglkPwz/TwyUDI=</DigestValue>
      </Reference>
      <Reference URI="/xl/worksheets/sheet5.xml?ContentType=application/vnd.openxmlformats-officedocument.spreadsheetml.worksheet+xml">
        <DigestMethod Algorithm="http://www.w3.org/2000/09/xmldsig#sha1"/>
        <DigestValue>ftiWat1LmQFxFiCyCpRwcmkE64I=</DigestValue>
      </Reference>
      <Reference URI="/xl/worksheets/sheet6.xml?ContentType=application/vnd.openxmlformats-officedocument.spreadsheetml.worksheet+xml">
        <DigestMethod Algorithm="http://www.w3.org/2000/09/xmldsig#sha1"/>
        <DigestValue>XEMUd6Bf9ZoVLNfEmCv+ftdeN/4=</DigestValue>
      </Reference>
      <Reference URI="/xl/worksheets/sheet7.xml?ContentType=application/vnd.openxmlformats-officedocument.spreadsheetml.worksheet+xml">
        <DigestMethod Algorithm="http://www.w3.org/2000/09/xmldsig#sha1"/>
        <DigestValue>hqUbBDNyKDsmFpRtTNjRqiwq/Qg=</DigestValue>
      </Reference>
      <Reference URI="/xl/worksheets/sheet8.xml?ContentType=application/vnd.openxmlformats-officedocument.spreadsheetml.worksheet+xml">
        <DigestMethod Algorithm="http://www.w3.org/2000/09/xmldsig#sha1"/>
        <DigestValue>hrB67XW5JZnUnSDsHb05nrgHxp8=</DigestValue>
      </Reference>
      <Reference URI="/xl/worksheets/sheet9.xml?ContentType=application/vnd.openxmlformats-officedocument.spreadsheetml.worksheet+xml">
        <DigestMethod Algorithm="http://www.w3.org/2000/09/xmldsig#sha1"/>
        <DigestValue>gpX0YE5HTnW6ol+PteYRqudKTeY=</DigestValue>
      </Reference>
    </Manifest>
    <SignatureProperties>
      <SignatureProperty Id="idSignatureTime" Target="#idPackageSignature">
        <mdssi:SignatureTime xmlns:mdssi="http://schemas.openxmlformats.org/package/2006/digital-signature">
          <mdssi:Format>YYYY-MM-DDThh:mm:ssTZD</mdssi:Format>
          <mdssi:Value>2023-07-06T08:34:28Z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2023-07-06T08:34:28Z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LogoFMS</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2023-07-06T08:34:26Z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2023-07-06T08:34:25Z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0f3b7144-96f2-468f-ab07-1a562cb3b6ec</vt:lpwstr>
  </property>
  <property fmtid="{D5CDD505-2E9C-101B-9397-08002B2CF9AE}" pid="8" name="MSIP_Label_ebbfc019-7f88-4fb6-96d6-94ffadd4b772_ContentBits">
    <vt:lpwstr>1</vt:lpwstr>
  </property>
</Properties>
</file>