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3.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1.12 VNMIDCAP\3. Reports\2025\06. Jun\04.06\KY SO\"/>
    </mc:Choice>
  </mc:AlternateContent>
  <xr:revisionPtr revIDLastSave="0" documentId="13_ncr:1_{72268545-DF9F-4D19-8C18-38E24D3CAD8E}"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4">BCHoatDongVay_06026!$A$1:$J$45</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<sst xmlns="http://schemas.openxmlformats.org/spreadsheetml/2006/main" count="1106" uniqueCount="852">
  <si>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</si>
  <si>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</si>
  <si>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</si>
  <si>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</si>
  <si>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</si>
  <si>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</si>
  <si>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</si>
  <si>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</si>
  <si>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</si>
  <si>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</si>
  <si>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</si>
  <si>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</si>
  <si>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</si>
  <si>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</si>
  <si>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</si>
  <si>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</si>
  <si>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</si>
  <si>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</si>
  <si>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</si>
  <si>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</si>
  <si>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</si>
  <si>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</si>
  <si>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</si>
  <si>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</si>
  <si>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</si>
  <si>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</si>
  <si>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</si>
  <si>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</si>
  <si>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</si>
  <si>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</si>
  <si>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</si>
  <si>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</si>
  <si>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</si>
  <si>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</si>
  <si>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</si>
  <si>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</si>
  <si>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</si>
  <si>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</si>
  <si>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</si>
  <si>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</si>
  <si>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</si>
  <si>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</si>
  <si>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</si>
  <si>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</si>
  <si>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</si>
  <si>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</si>
  <si>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</si>
  <si>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</si>
  <si>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</si>
  <si>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</si>
  <si>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</si>
  <si>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</si>
  <si>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</si>
  <si>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</si>
  <si>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</si>
  <si>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</si>
  <si>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</si>
  <si>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</si>
  <si>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</si>
  <si>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</si>
  <si>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</si>
  <si>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</si>
  <si>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</si>
  <si>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</si>
  <si>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</si>
  <si>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</si>
  <si>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</si>
  <si>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</si>
  <si>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</si>
  <si>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</si>
  <si>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</si>
  <si>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</si>
  <si>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</si>
  <si>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</si>
  <si>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</si>
  <si>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</si>
  <si>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</si>
  <si>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</si>
  <si>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</si>
  <si>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</si>
  <si>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</si>
  <si>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</si>
  <si>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</si>
  <si>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</si>
  <si>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</si>
  <si>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</si>
  <si>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</si>
  <si>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</si>
  <si>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</si>
  <si>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</si>
  <si>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</si>
  <si>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</si>
  <si>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</si>
  <si>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</si>
  <si>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</si>
  <si>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</si>
  <si>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</si>
  <si>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</si>
  <si>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</si>
  <si>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</si>
  <si>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</si>
  <si>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</si>
  <si>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</si>
  <si>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</si>
  <si>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</si>
  <si>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</si>
  <si>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</si>
  <si>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</si>
  <si>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</si>
  <si>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</si>
  <si>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</si>
  <si>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</si>
  <si>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</si>
  <si>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</si>
  <si>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</si>
  <si>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</si>
  <si>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</si>
  <si>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</si>
  <si>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</si>
  <si>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</si>
  <si>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</si>
  <si>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</si>
  <si>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</si>
  <si>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</si>
  <si>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</si>
  <si>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</si>
  <si>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</si>
  <si>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</si>
  <si>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</si>
  <si>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</si>
  <si>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</si>
  <si>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</si>
  <si>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</si>
  <si>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</si>
  <si>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</si>
  <si>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</si>
  <si>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</si>
  <si>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</si>
  <si>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</si>
  <si>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</si>
  <si>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</si>
  <si>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</si>
  <si>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</si>
  <si>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</si>
  <si>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</si>
  <si>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</si>
  <si>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</si>
  <si>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</si>
  <si>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</si>
  <si>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</si>
  <si>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</si>
  <si>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</si>
  <si>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</si>
  <si>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</si>
  <si>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</si>
  <si>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</si>
  <si>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</si>
  <si>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</si>
  <si>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</si>
  <si>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</si>
  <si>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</si>
  <si>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</si>
  <si>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</si>
  <si>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</si>
  <si>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</si>
  <si>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</si>
  <si>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</si>
  <si>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</si>
  <si>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</si>
  <si>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</si>
  <si>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</si>
  <si>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</si>
  <si>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</si>
  <si>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</si>
  <si>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</si>
  <si>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</si>
  <si>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</si>
  <si>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</si>
  <si>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</si>
  <si>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</si>
  <si>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</si>
  <si>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</si>
  <si>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</si>
  <si>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</si>
  <si>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</si>
  <si>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</si>
  <si>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</si>
  <si>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Vũ Hương Giang</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</si>
  <si>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</si>
  <si>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</si>
  <si>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</si>
  <si>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</si>
  <si>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</si>
  <si>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</si>
  <si>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</si>
  <si>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</si>
  <si>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</si>
  <si>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</si>
  <si>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</si>
  <si>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</si>
  <si>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</si>
  <si>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</si>
  <si>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</si>
  <si>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</si>
  <si>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</si>
  <si>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</si>
  <si>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</si>
  <si>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</si>
  <si>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</si>
  <si>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</si>
  <si>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</si>
  <si>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</si>
  <si>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</si>
  <si>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</si>
  <si>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</si>
  <si>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</si>
  <si>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</si>
  <si>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</si>
  <si>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</si>
  <si>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</si>
  <si>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</si>
  <si>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</si>
  <si>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</si>
  <si>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</si>
  <si>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</si>
  <si>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</si>
  <si>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</si>
  <si>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</si>
  <si>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</si>
  <si>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</si>
  <si>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</si>
  <si>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</si>
  <si>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</si>
  <si>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</si>
  <si>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</si>
  <si>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</si>
  <si>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</si>
  <si>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</si>
  <si>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</si>
  <si>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</si>
  <si>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</si>
  <si>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</si>
  <si>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</si>
  <si>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</si>
  <si>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</si>
  <si>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</si>
  <si>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</si>
  <si>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</si>
  <si>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</si>
  <si>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</si>
  <si>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</si>
  <si>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</si>
  <si>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</si>
  <si>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</si>
  <si>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</si>
  <si>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</si>
  <si>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</si>
  <si>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</si>
  <si>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</si>
  <si>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</si>
  <si>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</si>
  <si>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</si>
  <si>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</si>
  <si>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</si>
  <si>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</si>
  <si>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</si>
  <si>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BMP</t>
  </si>
  <si>
    <t>2246.5</t>
  </si>
  <si>
    <t>6</t>
  </si>
  <si>
    <t>BWE</t>
  </si>
  <si>
    <t>2246.6</t>
  </si>
  <si>
    <t>7</t>
  </si>
  <si>
    <t>CII</t>
  </si>
  <si>
    <t>2246.7</t>
  </si>
  <si>
    <t>8</t>
  </si>
  <si>
    <t>CTG</t>
  </si>
  <si>
    <t>2246.8</t>
  </si>
  <si>
    <t>9</t>
  </si>
  <si>
    <t>DCM</t>
  </si>
  <si>
    <t>2246.9</t>
  </si>
  <si>
    <t>10</t>
  </si>
  <si>
    <t>DPG</t>
  </si>
  <si>
    <t>2246.10</t>
  </si>
  <si>
    <t>11</t>
  </si>
  <si>
    <t>DXG</t>
  </si>
  <si>
    <t>2246.11</t>
  </si>
  <si>
    <t>12</t>
  </si>
  <si>
    <t>EIB</t>
  </si>
  <si>
    <t>2246.12</t>
  </si>
  <si>
    <t>13</t>
  </si>
  <si>
    <t>FOX</t>
  </si>
  <si>
    <t>2246.13</t>
  </si>
  <si>
    <t>14</t>
  </si>
  <si>
    <t>FPT</t>
  </si>
  <si>
    <t>2246.14</t>
  </si>
  <si>
    <t>15</t>
  </si>
  <si>
    <t>FRT</t>
  </si>
  <si>
    <t>2246.15</t>
  </si>
  <si>
    <t>16</t>
  </si>
  <si>
    <t>GMD</t>
  </si>
  <si>
    <t>2246.16</t>
  </si>
  <si>
    <t>17</t>
  </si>
  <si>
    <t>HDG</t>
  </si>
  <si>
    <t>2246.17</t>
  </si>
  <si>
    <t>18</t>
  </si>
  <si>
    <t>HHS</t>
  </si>
  <si>
    <t>2246.18</t>
  </si>
  <si>
    <t>19</t>
  </si>
  <si>
    <t>HPG</t>
  </si>
  <si>
    <t>2246.19</t>
  </si>
  <si>
    <t>20</t>
  </si>
  <si>
    <t>HSG</t>
  </si>
  <si>
    <t>2246.20</t>
  </si>
  <si>
    <t>21</t>
  </si>
  <si>
    <t>IDC</t>
  </si>
  <si>
    <t>2246.21</t>
  </si>
  <si>
    <t>22</t>
  </si>
  <si>
    <t>LPB</t>
  </si>
  <si>
    <t>2246.22</t>
  </si>
  <si>
    <t>23</t>
  </si>
  <si>
    <t>MBB</t>
  </si>
  <si>
    <t>2246.23</t>
  </si>
  <si>
    <t>24</t>
  </si>
  <si>
    <t>MCH</t>
  </si>
  <si>
    <t>2246.24</t>
  </si>
  <si>
    <t>25</t>
  </si>
  <si>
    <t>MSN</t>
  </si>
  <si>
    <t>2246.25</t>
  </si>
  <si>
    <t>26</t>
  </si>
  <si>
    <t>MWG</t>
  </si>
  <si>
    <t>2246.26</t>
  </si>
  <si>
    <t>27</t>
  </si>
  <si>
    <t>PC1</t>
  </si>
  <si>
    <t>2246.27</t>
  </si>
  <si>
    <t>28</t>
  </si>
  <si>
    <t>QNS</t>
  </si>
  <si>
    <t>2246.28</t>
  </si>
  <si>
    <t>29</t>
  </si>
  <si>
    <t>REE</t>
  </si>
  <si>
    <t>2246.29</t>
  </si>
  <si>
    <t>30</t>
  </si>
  <si>
    <t>STB</t>
  </si>
  <si>
    <t>2246.30</t>
  </si>
  <si>
    <t>31</t>
  </si>
  <si>
    <t>SZC</t>
  </si>
  <si>
    <t>2246.31</t>
  </si>
  <si>
    <t>32</t>
  </si>
  <si>
    <t>TCB</t>
  </si>
  <si>
    <t>2246.32</t>
  </si>
  <si>
    <t>33</t>
  </si>
  <si>
    <t>TCH</t>
  </si>
  <si>
    <t>2246.33</t>
  </si>
  <si>
    <t>34</t>
  </si>
  <si>
    <t>TLG</t>
  </si>
  <si>
    <t>2246.34</t>
  </si>
  <si>
    <t>35</t>
  </si>
  <si>
    <t>TV2</t>
  </si>
  <si>
    <t>2246.35</t>
  </si>
  <si>
    <t>36</t>
  </si>
  <si>
    <t>VCG</t>
  </si>
  <si>
    <t>2246.36</t>
  </si>
  <si>
    <t>37</t>
  </si>
  <si>
    <t>VEA</t>
  </si>
  <si>
    <t>2246.37</t>
  </si>
  <si>
    <t>38</t>
  </si>
  <si>
    <t>VHC</t>
  </si>
  <si>
    <t>2246.38</t>
  </si>
  <si>
    <t>39</t>
  </si>
  <si>
    <t>VHM</t>
  </si>
  <si>
    <t>2246.39</t>
  </si>
  <si>
    <t>40</t>
  </si>
  <si>
    <t>VIB</t>
  </si>
  <si>
    <t>2246.40</t>
  </si>
  <si>
    <t>41</t>
  </si>
  <si>
    <t>VIX</t>
  </si>
  <si>
    <t>2246.41</t>
  </si>
  <si>
    <t>42</t>
  </si>
  <si>
    <t>VND</t>
  </si>
  <si>
    <t>2246.42</t>
  </si>
  <si>
    <t>43</t>
  </si>
  <si>
    <t>VNM</t>
  </si>
  <si>
    <t>2246.43</t>
  </si>
  <si>
    <t>44</t>
  </si>
  <si>
    <t>VPB</t>
  </si>
  <si>
    <t>2246.44</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</si>
  <si>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</si>
  <si>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</si>
  <si>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</si>
  <si>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</si>
  <si>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</si>
  <si>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</si>
  <si>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</si>
  <si>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</si>
  <si>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</si>
  <si>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</si>
  <si>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</si>
  <si>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</si>
  <si>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</si>
  <si>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</si>
  <si>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</si>
  <si>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</si>
  <si>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</si>
  <si>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</si>
  <si>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</si>
  <si>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</si>
  <si>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</si>
  <si>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</si>
  <si>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</si>
  <si>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</si>
  <si>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</si>
  <si>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</si>
  <si>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</si>
  <si>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</si>
  <si>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</si>
  <si>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</si>
  <si>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</si>
  <si>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</si>
  <si>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</si>
  <si>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</si>
  <si>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</si>
  <si>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</si>
  <si>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</si>
  <si>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</si>
  <si>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</si>
  <si>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</si>
  <si>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</si>
  <si>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</si>
  <si>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</si>
  <si>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</si>
  <si>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</si>
  <si>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</si>
  <si>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</si>
  <si>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</si>
  <si>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</si>
  <si>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</si>
  <si>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</si>
  <si>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</si>
  <si>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</si>
  <si>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</si>
  <si>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</si>
  <si>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</si>
  <si>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</si>
  <si>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</si>
  <si>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</si>
  <si>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</si>
  <si>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</si>
  <si>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</si>
  <si>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</si>
  <si>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</si>
  <si>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</si>
  <si>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</si>
  <si>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</si>
  <si>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</si>
  <si>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</si>
  <si>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</si>
  <si>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</si>
  <si>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</si>
  <si>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</si>
  <si>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</si>
  <si>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</si>
  <si>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</si>
  <si>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</si>
  <si>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</si>
  <si>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</si>
  <si>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</si>
  <si>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</si>
  <si>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</si>
  <si>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</si>
  <si>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</si>
  <si>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</si>
  <si>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</si>
  <si>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</si>
  <si>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</si>
  <si>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</si>
  <si>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</si>
  <si>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</si>
  <si>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</si>
  <si>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</si>
  <si>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</si>
  <si>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</si>
  <si>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</si>
  <si>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</si>
  <si>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</si>
  <si>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</si>
  <si>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</si>
  <si>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</si>
  <si>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</si>
  <si>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</si>
  <si>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</si>
  <si>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</si>
  <si>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</si>
  <si>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</si>
  <si>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</si>
  <si>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</si>
  <si>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</si>
  <si>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</si>
  <si>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</si>
  <si>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</si>
  <si>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</si>
  <si>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</si>
  <si>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</si>
  <si>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</si>
  <si>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</si>
  <si>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</si>
  <si>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</si>
  <si>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</si>
  <si>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</si>
  <si>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</si>
  <si>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</si>
  <si>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</si>
  <si>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</si>
  <si>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</si>
  <si>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</si>
  <si>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</si>
  <si>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</si>
  <si>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</si>
  <si>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</si>
  <si>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</si>
  <si>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</si>
  <si>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</si>
  <si>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</si>
  <si>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</si>
  <si>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</si>
  <si>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</si>
  <si>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</si>
  <si>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</si>
  <si>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</si>
  <si>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</si>
  <si>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</si>
  <si>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</si>
  <si>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</si>
  <si>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</si>
  <si>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</si>
  <si>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</si>
  <si>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</si>
  <si>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</si>
  <si>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</si>
  <si>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</si>
  <si>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</si>
  <si>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</si>
  <si>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</si>
  <si>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</si>
  <si>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</si>
  <si>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</si>
  <si>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</si>
  <si>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</si>
  <si>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</si>
  <si>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</si>
  <si>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</si>
  <si>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</si>
  <si>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</si>
  <si>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</si>
  <si>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</si>
  <si>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</si>
  <si>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</si>
  <si>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</si>
  <si>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</si>
  <si>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</si>
  <si>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</si>
  <si>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</si>
  <si>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</si>
  <si>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</si>
  <si>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</si>
  <si>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</si>
  <si>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</si>
  <si>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</si>
  <si>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</si>
  <si>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</si>
  <si>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</si>
  <si>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</si>
  <si>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</si>
  <si>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</si>
  <si>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</si>
  <si>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</si>
  <si>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</si>
  <si>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</si>
  <si>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</si>
  <si>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</si>
  <si>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</si>
  <si>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</si>
  <si>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</si>
  <si>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</si>
  <si>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</si>
  <si>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</si>
  <si>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</si>
  <si>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</si>
  <si>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</si>
  <si>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</si>
  <si>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</si>
  <si>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</si>
  <si>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</si>
  <si>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</si>
  <si>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</si>
  <si>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</si>
  <si>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</si>
  <si>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</si>
  <si>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</si>
  <si>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</si>
  <si>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</si>
  <si>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</si>
  <si>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</si>
  <si>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</si>
  <si>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</si>
  <si>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</si>
  <si>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</si>
  <si>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</si>
  <si>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</si>
  <si>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</si>
  <si>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</si>
  <si>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</si>
  <si>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</si>
  <si>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</si>
  <si>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</si>
  <si>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</si>
  <si>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</si>
  <si>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</si>
  <si>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</si>
  <si>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</si>
  <si>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</si>
  <si>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</si>
  <si>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</si>
  <si>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</si>
  <si>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</si>
  <si>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</si>
  <si>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</si>
  <si>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</si>
  <si>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</si>
  <si>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</si>
  <si>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</si>
  <si>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</si>
  <si>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</si>
  <si>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</si>
  <si>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</si>
  <si>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</si>
  <si>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</si>
  <si>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</si>
  <si>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</si>
  <si>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</si>
  <si>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</si>
  <si>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</si>
  <si>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</si>
  <si>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</si>
  <si>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</si>
  <si>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</si>
  <si>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</si>
  <si>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</si>
  <si>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</si>
  <si>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</si>
  <si>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</si>
  <si>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</si>
  <si>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</si>
  <si>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</si>
  <si>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</si>
  <si>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</si>
  <si>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</si>
  <si>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</si>
  <si>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</si>
  <si>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</si>
  <si>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</si>
  <si>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</si>
  <si>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</si>
  <si>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</si>
  <si>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</si>
  <si>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</si>
  <si>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</si>
  <si>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</si>
  <si>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</si>
  <si>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</si>
  <si>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</si>
  <si>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</si>
  <si>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</si>
  <si>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</si>
  <si>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</si>
  <si>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</si>
  <si>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</si>
  <si>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</si>
  <si>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</si>
  <si>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</si>
  <si>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</si>
  <si>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</si>
  <si>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</si>
  <si>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</si>
  <si>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</si>
  <si>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</si>
  <si>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</si>
  <si>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</si>
  <si>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</si>
  <si>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</si>
  <si>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</si>
  <si>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</si>
  <si>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</si>
  <si>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</si>
  <si>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</si>
  <si>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</si>
  <si>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</si>
  <si>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</si>
  <si>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</si>
  <si>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</si>
  <si>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</si>
  <si>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</si>
  <si>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</si>
  <si>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</si>
  <si>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</si>
  <si>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</si>
  <si>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</si>
  <si>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</si>
  <si>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</si>
  <si>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</si>
  <si>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</si>
  <si>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</si>
  <si>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</si>
  <si>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</si>
  <si>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</si>
  <si>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</si>
  <si>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</si>
  <si>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</si>
  <si>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</si>
  <si>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</si>
  <si>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</si>
  <si>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</si>
  <si>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</si>
  <si>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</si>
  <si>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</si>
  <si>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</si>
  <si>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</si>
  <si>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</si>
  <si>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</si>
  <si>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</si>
  <si>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</si>
  <si>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</si>
  <si>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</si>
  <si>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</si>
  <si>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</si>
  <si>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</si>
  <si>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</si>
  <si>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</si>
  <si>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</si>
  <si>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</si>
  <si>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</si>
  <si>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</si>
  <si>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</si>
  <si>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</si>
  <si>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</si>
  <si>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</si>
  <si>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</si>
  <si>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</si>
  <si>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</si>
  <si>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</si>
  <si>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</si>
  <si>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</si>
  <si>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</si>
  <si>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</si>
  <si>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</si>
  <si>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</si>
  <si>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</si>
  <si>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</si>
  <si>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</si>
  <si>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</si>
  <si>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</si>
  <si>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</si>
  <si>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</si>
  <si>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</si>
  <si>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</si>
  <si>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</si>
  <si>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</si>
  <si>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</si>
  <si>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</si>
  <si>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</si>
  <si>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</si>
  <si>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</si>
  <si>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</si>
  <si>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</si>
  <si>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</si>
  <si>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</si>
  <si>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</si>
  <si>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</si>
  <si>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</si>
  <si>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</si>
  <si>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</si>
  <si>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</si>
  <si>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</si>
  <si>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</si>
  <si>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</si>
  <si>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</si>
  <si>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</si>
  <si>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</si>
  <si>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</si>
  <si>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</si>
  <si>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</si>
  <si>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</si>
  <si>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</si>
  <si>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</si>
  <si>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</si>
  <si>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</si>
  <si>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</si>
  <si>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</si>
  <si>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</si>
  <si>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</si>
  <si>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</si>
  <si>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</si>
  <si>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</si>
  <si>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</si>
  <si>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</si>
  <si>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</si>
  <si>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</si>
  <si>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</si>
  <si>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</si>
  <si>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</si>
  <si>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</si>
  <si>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</si>
  <si>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</si>
  <si>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</si>
  <si>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</si>
  <si>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</si>
  <si>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</si>
  <si>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</si>
  <si>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</si>
  <si>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</si>
  <si>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</si>
  <si>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</si>
  <si>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</si>
  <si>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</si>
  <si>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</si>
  <si>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</si>
  <si>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</si>
  <si>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</si>
  <si>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</si>
  <si>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</si>
  <si>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</si>
  <si>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</si>
  <si>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</si>
  <si>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</si>
  <si>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</si>
  <si>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</si>
  <si>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2025
/ As at 31 May 2025</t>
  </si>
  <si>
    <t>Tháng 05 năm 2025
/ May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</si>
  <si>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</si>
  <si>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</si>
  <si>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</si>
  <si>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</si>
  <si>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</si>
  <si>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02 tháng 06 năm 2025</t>
  </si>
  <si>
    <t>02 Jun 2025</t>
  </si>
  <si>
    <t>Lê Hoàng Anh</t>
  </si>
  <si>
    <t>Trưởng phòng Nghiệp vụ và Dịch vụ Quỹ</t>
  </si>
  <si>
    <t>Quyền Giám đốc nghiệp vụ hỗ trợ đầu tư</t>
  </si>
  <si>
    <t>Ngày 31 tháng 05 năm 2025
 As at 31 May 2025</t>
  </si>
  <si>
    <t>Ngày 30 tháng 04 năm 2025
 As at 30 Apr 2025</t>
  </si>
  <si>
    <t>Tháng 05 năm 2025
May 2025</t>
  </si>
  <si>
    <t>Tháng 04 năm 2025
Apr 2025</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</si>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</sst>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9">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8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4" fontId="15" fillId="8" borderId="15" xfId="0" applyNumberFormat="1" applyFont="1" applyFill="1" applyBorder="1" applyAlignment="1" applyProtection="1">
      <alignment horizontal="left" vertical="center" wrapText="1"/>
      <protection locked="0"/>
    </xf>
    <xf numFmtId="4" fontId="16" fillId="9" borderId="16" xfId="0" applyNumberFormat="1" applyFont="1" applyFill="1" applyBorder="1" applyAlignment="1" applyProtection="1">
      <alignment horizontal="center" vertical="center" wrapText="1"/>
      <protection locked="0"/>
    </xf>
    <xf numFmtId="0" fontId="17" fillId="10" borderId="17" xfId="0" applyNumberFormat="1" applyFont="1" applyFill="1" applyBorder="1" applyAlignment="1" applyProtection="1">
      <alignment horizontal="center" vertical="center" wrapText="1"/>
      <protection locked="0"/>
    </xf>
    <xf numFmtId="10" fontId="18" fillId="11" borderId="18" xfId="0" applyNumberFormat="1" applyFont="1" applyFill="1" applyBorder="1" applyAlignment="1" applyProtection="1">
      <alignment horizontal="right" vertical="center" wrapText="1"/>
      <protection locked="0"/>
    </xf>
    <xf numFmtId="165" fontId="19" fillId="12" borderId="19" xfId="0" applyNumberFormat="1" applyFont="1" applyFill="1" applyBorder="1" applyAlignment="1" applyProtection="1">
      <alignment horizontal="right" vertical="center" wrapText="1"/>
      <protection locked="0"/>
    </xf>
    <xf numFmtId="0" fontId="20" fillId="13" borderId="20" xfId="0" applyNumberFormat="1" applyFont="1" applyFill="1" applyBorder="1" applyAlignment="1" applyProtection="1">
      <alignment horizontal="left" vertical="center" wrapText="1"/>
      <protection locked="0"/>
    </xf>
    <xf numFmtId="0" fontId="21" fillId="14" borderId="21" xfId="0" applyNumberFormat="1" applyFont="1" applyFill="1" applyBorder="1" applyAlignment="1" applyProtection="1">
      <alignment horizontal="center" vertical="center" wrapText="1"/>
      <protection locked="0"/>
    </xf>
    <xf numFmtId="10" fontId="22" fillId="15" borderId="22" xfId="0" applyNumberFormat="1" applyFont="1" applyFill="1" applyBorder="1" applyAlignment="1" applyProtection="1">
      <alignment horizontal="right" vertical="center" wrapText="1"/>
      <protection locked="0"/>
    </xf>
    <xf numFmtId="165" fontId="23" fillId="16" borderId="23" xfId="0" applyNumberFormat="1" applyFont="1" applyFill="1" applyBorder="1" applyAlignment="1" applyProtection="1">
      <alignment horizontal="right" vertical="center" wrapText="1"/>
      <protection locked="0"/>
    </xf>
    <xf numFmtId="43" fontId="24" fillId="17" borderId="24" xfId="0" applyNumberFormat="1" applyFont="1" applyFill="1" applyBorder="1" applyAlignment="1" applyProtection="1">
      <alignment horizontal="right" vertical="center" wrapText="1"/>
      <protection locked="0"/>
    </xf>
    <xf numFmtId="37" fontId="25" fillId="18" borderId="25" xfId="0" applyNumberFormat="1" applyFont="1" applyFill="1" applyBorder="1" applyAlignment="1" applyProtection="1">
      <alignment horizontal="right" vertical="center" wrapText="1"/>
      <protection locked="0"/>
    </xf>
    <xf numFmtId="0" fontId="27" fillId="4" borderId="0" xfId="12" applyFont="1" applyFill="1" applyAlignment="1">
      <alignment vertical="center"/>
    </xf>
    <xf numFmtId="0" fontId="27" fillId="4" borderId="0" xfId="12" applyFont="1" applyFill="1"/>
    <xf numFmtId="0" fontId="30" fillId="3" borderId="0" xfId="11" applyFont="1" applyFill="1" applyAlignment="1">
      <alignment horizontal="center" vertical="center"/>
    </xf>
    <xf numFmtId="0" fontId="31" fillId="3" borderId="0" xfId="11" applyFont="1" applyFill="1"/>
    <xf numFmtId="0" fontId="27"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3" fillId="3" borderId="0" xfId="11" applyFont="1" applyFill="1" applyAlignment="1">
      <alignment horizontal="left" vertical="top"/>
    </xf>
    <xf numFmtId="0" fontId="31" fillId="3" borderId="0" xfId="11" applyFont="1" applyFill="1" applyAlignment="1">
      <alignment horizontal="left" vertical="top"/>
    </xf>
    <xf numFmtId="0" fontId="35" fillId="3" borderId="0" xfId="11" applyFont="1" applyFill="1" applyAlignment="1">
      <alignment horizontal="left" vertical="top"/>
    </xf>
    <xf numFmtId="0" fontId="35" fillId="3" borderId="0" xfId="12" applyFont="1" applyFill="1"/>
    <xf numFmtId="0" fontId="37" fillId="3" borderId="0" xfId="16" applyFont="1" applyFill="1" applyAlignment="1">
      <alignment horizontal="center" vertical="center"/>
    </xf>
    <xf numFmtId="0" fontId="37" fillId="3" borderId="0" xfId="16" applyFont="1" applyFill="1" applyAlignment="1">
      <alignment vertical="center"/>
    </xf>
    <xf numFmtId="37" fontId="31" fillId="3" borderId="0" xfId="11" applyNumberFormat="1" applyFont="1" applyFill="1" applyAlignment="1">
      <alignment horizontal="left"/>
    </xf>
    <xf numFmtId="0" fontId="37" fillId="3" borderId="0" xfId="12" applyFont="1" applyFill="1" applyAlignment="1">
      <alignment horizontal="center"/>
    </xf>
    <xf numFmtId="0" fontId="37" fillId="3" borderId="0" xfId="12" applyFont="1" applyFill="1"/>
    <xf numFmtId="0" fontId="35" fillId="4" borderId="0" xfId="12" applyFont="1" applyFill="1"/>
    <xf numFmtId="0" fontId="29" fillId="6" borderId="13" xfId="0" applyFont="1" applyFill="1" applyBorder="1" applyAlignment="1">
      <alignment horizontal="center" vertical="center" wrapText="1"/>
    </xf>
    <xf numFmtId="4" fontId="31" fillId="9" borderId="16" xfId="0" applyNumberFormat="1" applyFont="1" applyFill="1" applyBorder="1" applyAlignment="1" applyProtection="1">
      <alignment horizontal="center" vertical="center" wrapText="1"/>
      <protection locked="0"/>
    </xf>
    <xf numFmtId="165" fontId="31" fillId="12" borderId="19" xfId="0" applyNumberFormat="1" applyFont="1" applyFill="1" applyBorder="1" applyAlignment="1" applyProtection="1">
      <alignment horizontal="right" vertical="center" wrapText="1"/>
      <protection locked="0"/>
    </xf>
    <xf numFmtId="10" fontId="31" fillId="11" borderId="18" xfId="0" applyNumberFormat="1" applyFont="1" applyFill="1" applyBorder="1" applyAlignment="1" applyProtection="1">
      <alignment horizontal="right" vertical="center" wrapText="1"/>
      <protection locked="0"/>
    </xf>
    <xf numFmtId="0" fontId="29" fillId="14" borderId="21" xfId="0" applyNumberFormat="1" applyFont="1" applyFill="1" applyBorder="1" applyAlignment="1" applyProtection="1">
      <alignment horizontal="center" vertical="center" wrapText="1"/>
      <protection locked="0"/>
    </xf>
    <xf numFmtId="165" fontId="29" fillId="16" borderId="23" xfId="0" applyNumberFormat="1" applyFont="1" applyFill="1" applyBorder="1" applyAlignment="1" applyProtection="1">
      <alignment horizontal="right" vertical="center" wrapText="1"/>
      <protection locked="0"/>
    </xf>
    <xf numFmtId="10" fontId="29" fillId="15" borderId="22" xfId="0" applyNumberFormat="1" applyFont="1" applyFill="1" applyBorder="1" applyAlignment="1" applyProtection="1">
      <alignment horizontal="right" vertical="center" wrapText="1"/>
      <protection locked="0"/>
    </xf>
    <xf numFmtId="0" fontId="37" fillId="3" borderId="0" xfId="11" applyFont="1" applyFill="1"/>
    <xf numFmtId="0" fontId="35" fillId="3" borderId="0" xfId="11" applyFont="1" applyFill="1"/>
    <xf numFmtId="165" fontId="35" fillId="3" borderId="0" xfId="13" applyNumberFormat="1" applyFont="1" applyFill="1">
      <protection locked="0"/>
    </xf>
    <xf numFmtId="165" fontId="37" fillId="3" borderId="0" xfId="13" applyNumberFormat="1" applyFont="1" applyFill="1">
      <protection locked="0"/>
    </xf>
    <xf numFmtId="0" fontId="27" fillId="0" borderId="0" xfId="0" applyFont="1"/>
    <xf numFmtId="0" fontId="38" fillId="3" borderId="0" xfId="11" applyFont="1" applyFill="1"/>
    <xf numFmtId="165" fontId="38" fillId="3" borderId="0" xfId="13" applyNumberFormat="1" applyFont="1" applyFill="1">
      <protection locked="0"/>
    </xf>
    <xf numFmtId="0" fontId="27" fillId="3" borderId="0" xfId="12" applyFont="1" applyFill="1" applyAlignment="1">
      <alignment horizontal="center"/>
    </xf>
    <xf numFmtId="0" fontId="27" fillId="3" borderId="8" xfId="12" applyFont="1" applyFill="1" applyBorder="1"/>
    <xf numFmtId="0" fontId="37" fillId="3" borderId="5" xfId="17" applyFont="1" applyFill="1" applyBorder="1" applyAlignment="1">
      <alignment vertical="center"/>
    </xf>
    <xf numFmtId="0" fontId="37" fillId="3" borderId="5" xfId="12" applyFont="1" applyFill="1" applyBorder="1"/>
    <xf numFmtId="0" fontId="35" fillId="3" borderId="5" xfId="12" applyFont="1" applyFill="1" applyBorder="1"/>
    <xf numFmtId="0" fontId="35" fillId="3" borderId="0" xfId="12" applyFont="1" applyFill="1" applyAlignment="1">
      <alignment horizontal="center"/>
    </xf>
    <xf numFmtId="0" fontId="27" fillId="4" borderId="0" xfId="12" applyFont="1" applyFill="1" applyAlignment="1">
      <alignment horizontal="center"/>
    </xf>
    <xf numFmtId="165" fontId="35" fillId="3" borderId="8" xfId="13" applyNumberFormat="1" applyFont="1" applyFill="1" applyBorder="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26" fillId="0" borderId="0" xfId="11" applyFont="1" applyAlignment="1">
      <alignment horizontal="right" vertical="center" wrapText="1"/>
    </xf>
    <xf numFmtId="0" fontId="28" fillId="3" borderId="0" xfId="11" applyFont="1" applyFill="1" applyAlignment="1">
      <alignment horizontal="right" vertical="center" wrapText="1"/>
    </xf>
    <xf numFmtId="0" fontId="29" fillId="0" borderId="0" xfId="11" applyFont="1" applyAlignment="1">
      <alignment horizontal="center" vertical="center" wrapText="1"/>
    </xf>
    <xf numFmtId="0" fontId="30" fillId="3" borderId="0" xfId="11" applyFont="1" applyFill="1" applyAlignment="1">
      <alignment horizontal="center" vertical="center"/>
    </xf>
    <xf numFmtId="0" fontId="32" fillId="3" borderId="0" xfId="11" applyFont="1" applyFill="1" applyAlignment="1">
      <alignment horizontal="left" vertical="center" wrapText="1"/>
    </xf>
    <xf numFmtId="0" fontId="29" fillId="3" borderId="0" xfId="11" applyFont="1" applyFill="1" applyAlignment="1">
      <alignment horizontal="left" vertical="center"/>
    </xf>
    <xf numFmtId="0" fontId="33" fillId="3" borderId="0" xfId="11" applyFont="1" applyFill="1" applyAlignment="1">
      <alignment horizontal="left" vertical="center" wrapText="1"/>
    </xf>
    <xf numFmtId="0" fontId="31" fillId="3" borderId="0" xfId="11" applyFont="1" applyFill="1" applyAlignment="1">
      <alignment horizontal="left" vertical="center" wrapText="1"/>
    </xf>
    <xf numFmtId="0" fontId="34" fillId="3" borderId="0" xfId="11" applyFont="1" applyFill="1" applyAlignment="1">
      <alignment horizontal="left" vertical="center" wrapText="1"/>
    </xf>
    <xf numFmtId="0" fontId="32" fillId="3" borderId="0" xfId="11" applyFont="1" applyFill="1" applyAlignment="1">
      <alignment horizontal="left" vertical="top" wrapText="1"/>
    </xf>
    <xf numFmtId="0" fontId="35" fillId="3" borderId="0" xfId="11" applyFont="1" applyFill="1" applyAlignment="1">
      <alignment horizontal="left" vertical="top" wrapText="1"/>
    </xf>
    <xf numFmtId="0" fontId="33" fillId="3" borderId="0" xfId="11" applyFont="1" applyFill="1" applyAlignment="1">
      <alignment horizontal="left" vertical="top" wrapText="1"/>
    </xf>
    <xf numFmtId="0" fontId="36" fillId="3" borderId="0" xfId="11" applyFont="1" applyFill="1" applyAlignment="1">
      <alignment horizontal="left" vertical="top" wrapText="1"/>
    </xf>
    <xf numFmtId="37" fontId="31" fillId="3" borderId="0" xfId="11" applyNumberFormat="1" applyFont="1" applyFill="1" applyAlignment="1">
      <alignment horizontal="left"/>
    </xf>
    <xf numFmtId="0" fontId="29" fillId="6" borderId="13" xfId="0" applyFont="1" applyFill="1" applyBorder="1" applyAlignment="1">
      <alignment horizontal="center" vertical="center" wrapText="1"/>
    </xf>
    <xf numFmtId="0" fontId="29" fillId="6" borderId="13" xfId="0" applyFont="1" applyFill="1" applyBorder="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1096282</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2656974</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rcRect/>
        <a:stretch>
          <a:fillRect/>
        </a:stretch>
      </xdr:blipFill>
      <xdr:spPr bwMode="auto">
        <a:xfrm>
          <a:off x="0" y="0"/>
          <a:ext cx="3269562" cy="701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0" sqref="D10:I10"/>
    </sheetView>
  </sheetViews>
  <sheetFormatPr defaultColWidth="9.1796875" defaultRowHeight="12.5"/>
  <cols>
    <col min="1" max="2" width="9.1796875" style="64"/>
    <col min="3" max="3" width="30.1796875" style="64" customWidth="1"/>
    <col min="4" max="4" width="30.81640625" style="64" customWidth="1"/>
    <col min="5" max="5" width="21.1796875" style="64" customWidth="1"/>
    <col min="6" max="9" width="9.1796875" style="64"/>
    <col min="10" max="10" width="11.81640625" style="64" customWidth="1"/>
    <col min="11" max="11" width="15" style="64" customWidth="1"/>
    <col min="12" max="16384" width="9.1796875" style="64"/>
  </cols>
  <sheetData>
    <row r="1" spans="1:11">
      <c r="A1" s="63" t="s">
        <v>0</v>
      </c>
      <c r="C1" s="152" t="s">
        <v>834</v>
      </c>
      <c r="D1" s="153"/>
    </row>
    <row r="2" spans="1:11">
      <c r="C2" s="65" t="s">
        <v>835</v>
      </c>
      <c r="D2" s="66"/>
    </row>
    <row r="3" spans="1:11">
      <c r="D3" s="67"/>
    </row>
    <row r="4" spans="1:11">
      <c r="A4" s="63" t="s">
        <v>1</v>
      </c>
      <c r="D4" s="67"/>
    </row>
    <row r="5" spans="1:11" ht="15" customHeight="1">
      <c r="C5" s="68" t="s">
        <v>2</v>
      </c>
      <c r="D5" s="155" t="s">
        <v>836</v>
      </c>
      <c r="E5" s="155"/>
      <c r="F5" s="155"/>
      <c r="G5" s="155"/>
      <c r="H5" s="155"/>
      <c r="I5" s="155"/>
    </row>
    <row r="6" spans="1:11">
      <c r="C6" s="59" t="s">
        <v>15</v>
      </c>
      <c r="D6" s="154" t="s">
        <v>837</v>
      </c>
      <c r="E6" s="154"/>
      <c r="F6" s="154"/>
      <c r="G6" s="154"/>
      <c r="H6" s="154"/>
      <c r="I6" s="154"/>
    </row>
    <row r="7" spans="1:11">
      <c r="C7" s="69" t="s">
        <v>3</v>
      </c>
      <c r="D7" s="155" t="s">
        <v>838</v>
      </c>
      <c r="E7" s="155"/>
      <c r="F7" s="155"/>
      <c r="G7" s="155"/>
      <c r="H7" s="155"/>
      <c r="I7" s="155"/>
    </row>
    <row r="8" spans="1:11" ht="15" customHeight="1">
      <c r="C8" s="28" t="s">
        <v>4</v>
      </c>
      <c r="D8" s="154" t="s">
        <v>839</v>
      </c>
      <c r="E8" s="154"/>
      <c r="F8" s="154"/>
      <c r="G8" s="154"/>
      <c r="H8" s="154"/>
      <c r="I8" s="154"/>
    </row>
    <row r="9" spans="1:11" ht="15" customHeight="1">
      <c r="C9" s="69" t="s">
        <v>5</v>
      </c>
      <c r="D9" s="155" t="s">
        <v>840</v>
      </c>
      <c r="E9" s="155"/>
      <c r="F9" s="155"/>
      <c r="G9" s="155"/>
      <c r="H9" s="155"/>
      <c r="I9" s="155"/>
    </row>
    <row r="10" spans="1:11" ht="15" customHeight="1">
      <c r="C10" s="70" t="s">
        <v>6</v>
      </c>
      <c r="D10" s="154" t="s">
        <v>850</v>
      </c>
      <c r="E10" s="154"/>
      <c r="F10" s="154"/>
      <c r="G10" s="154"/>
      <c r="H10" s="154"/>
      <c r="I10" s="154"/>
    </row>
    <row r="11" spans="1:11">
      <c r="C11" s="71" t="s">
        <v>7</v>
      </c>
      <c r="D11" s="155" t="s">
        <v>841</v>
      </c>
      <c r="E11" s="155"/>
      <c r="F11" s="155"/>
      <c r="G11" s="155"/>
      <c r="H11" s="155"/>
      <c r="I11" s="155"/>
    </row>
    <row r="12" spans="1:11">
      <c r="C12" s="2" t="s">
        <v>8</v>
      </c>
      <c r="D12" s="154" t="s">
        <v>842</v>
      </c>
      <c r="E12" s="154"/>
      <c r="F12" s="154"/>
      <c r="G12" s="154"/>
      <c r="H12" s="154"/>
      <c r="I12" s="154"/>
    </row>
    <row r="13" spans="1:11">
      <c r="D13" s="67"/>
    </row>
    <row r="14" spans="1:11">
      <c r="A14" s="63" t="s">
        <v>9</v>
      </c>
      <c r="D14" s="67"/>
    </row>
    <row r="15" spans="1:11">
      <c r="D15" s="67"/>
    </row>
    <row r="16" spans="1:11">
      <c r="C16" s="72" t="s">
        <v>10</v>
      </c>
      <c r="D16" s="73"/>
      <c r="F16" s="72" t="s">
        <v>11</v>
      </c>
      <c r="G16" s="74"/>
      <c r="H16" s="74"/>
      <c r="I16" s="74"/>
      <c r="J16" s="74"/>
      <c r="K16" s="75"/>
    </row>
    <row r="17" spans="3:11">
      <c r="C17" s="76" t="s">
        <v>12</v>
      </c>
      <c r="D17" s="77"/>
      <c r="F17" s="76" t="s">
        <v>13</v>
      </c>
      <c r="G17" s="1"/>
      <c r="H17" s="1"/>
      <c r="I17" s="1"/>
      <c r="J17" s="1"/>
      <c r="K17" s="78"/>
    </row>
    <row r="18" spans="3:11">
      <c r="C18" s="79"/>
      <c r="D18" s="77"/>
      <c r="F18" s="79"/>
      <c r="G18" s="1"/>
      <c r="H18" s="1"/>
      <c r="I18" s="1"/>
      <c r="J18" s="1"/>
      <c r="K18" s="78"/>
    </row>
    <row r="19" spans="3:11">
      <c r="C19" s="80" t="s">
        <v>14</v>
      </c>
      <c r="D19" s="77"/>
      <c r="F19" s="80" t="str">
        <f>D5</f>
        <v>Công ty Cổ phần Quản lý Quỹ Đầu tư Dragon Capital Việt Nam</v>
      </c>
      <c r="G19" s="1"/>
      <c r="H19" s="1"/>
      <c r="I19" s="1"/>
      <c r="J19" s="1"/>
      <c r="K19" s="78"/>
    </row>
    <row r="20" spans="3:11">
      <c r="C20" s="80" t="s">
        <v>187</v>
      </c>
      <c r="D20" s="77"/>
      <c r="F20" s="80" t="s">
        <v>843</v>
      </c>
      <c r="G20" s="1"/>
      <c r="H20" s="1"/>
      <c r="I20" s="1"/>
      <c r="J20" s="1"/>
      <c r="K20" s="78"/>
    </row>
    <row r="21" spans="3:11">
      <c r="C21" s="81" t="s">
        <v>844</v>
      </c>
      <c r="D21" s="66"/>
      <c r="F21" s="81" t="s">
        <v>845</v>
      </c>
      <c r="G21" s="82"/>
      <c r="H21" s="82"/>
      <c r="I21" s="82"/>
      <c r="J21" s="82"/>
      <c r="K21" s="83"/>
    </row>
    <row r="22" spans="3:11">
      <c r="D22" s="67"/>
    </row>
    <row r="23" spans="3:11">
      <c r="D23" s="67"/>
    </row>
    <row r="24" spans="3:11">
      <c r="D24" s="67"/>
    </row>
    <row r="25" spans="3:11">
      <c r="D25" s="67"/>
    </row>
    <row r="26" spans="3:11">
      <c r="D26" s="67"/>
    </row>
    <row r="27" spans="3:11">
      <c r="D27" s="67"/>
    </row>
    <row r="28" spans="3:11">
      <c r="D28" s="67"/>
    </row>
    <row r="29" spans="3:11">
      <c r="D29" s="67"/>
    </row>
    <row r="30" spans="3:11">
      <c r="D30" s="67"/>
    </row>
    <row r="31" spans="3:11">
      <c r="D31" s="67"/>
    </row>
    <row r="32" spans="3:11">
      <c r="D32" s="67"/>
    </row>
    <row r="33" spans="4:4">
      <c r="D33" s="67"/>
    </row>
    <row r="34" spans="4:4">
      <c r="D34" s="8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5" zoomScale="85" zoomScaleNormal="100" zoomScaleSheetLayoutView="85" workbookViewId="0">
      <selection activeCell="A105" sqref="A105"/>
    </sheetView>
  </sheetViews>
  <sheetFormatPr defaultColWidth="8.7265625" defaultRowHeight="12.5"/>
  <cols>
    <col min="1" max="1" width="8.7265625" style="1"/>
    <col min="2" max="2" width="44.26953125" style="1" customWidth="1"/>
    <col min="3" max="3" width="10.26953125" style="1" customWidth="1"/>
    <col min="4" max="4" width="34.6328125" style="1" customWidth="1"/>
    <col min="5" max="5" width="33.453125" style="1" customWidth="1"/>
    <col min="6" max="6" width="29.26953125" style="1" customWidth="1"/>
    <col min="7" max="16384" width="8.7265625" style="1"/>
  </cols>
  <sheetData>
    <row r="1" spans="1:6" s="2" customFormat="1" ht="54.75" customHeight="1">
      <c r="A1" s="156" t="s">
        <v>233</v>
      </c>
      <c r="B1" s="156"/>
      <c r="C1" s="156"/>
      <c r="D1" s="156"/>
      <c r="E1" s="156"/>
      <c r="F1" s="156"/>
    </row>
    <row r="2" spans="1:6" s="2" customFormat="1" ht="50.5" customHeight="1">
      <c r="A2" s="157" t="s">
        <v>234</v>
      </c>
      <c r="B2" s="157"/>
      <c r="C2" s="157"/>
      <c r="D2" s="157"/>
      <c r="E2" s="157"/>
      <c r="F2" s="157"/>
    </row>
    <row r="3" spans="1:6" s="2" customFormat="1">
      <c r="A3" s="158" t="s">
        <v>183</v>
      </c>
      <c r="B3" s="158"/>
      <c r="C3" s="158"/>
      <c r="D3" s="158"/>
      <c r="E3" s="158"/>
      <c r="F3" s="158"/>
    </row>
    <row r="4" spans="1:6" s="2" customFormat="1" ht="32.65" customHeight="1">
      <c r="A4" s="158"/>
      <c r="B4" s="158"/>
      <c r="C4" s="158"/>
      <c r="D4" s="158"/>
      <c r="E4" s="158"/>
      <c r="F4" s="158"/>
    </row>
    <row r="5" spans="1:6" s="2" customFormat="1" ht="16.899999999999999" customHeight="1">
      <c r="A5" s="159" t="s">
        <v>834</v>
      </c>
      <c r="B5" s="159"/>
      <c r="C5" s="159"/>
      <c r="D5" s="159"/>
      <c r="E5" s="159"/>
      <c r="F5" s="159"/>
    </row>
    <row r="6" spans="1:6">
      <c r="A6" s="9"/>
      <c r="B6" s="9"/>
      <c r="C6" s="9"/>
      <c r="D6" s="9"/>
      <c r="E6" s="9"/>
      <c r="F6" s="9"/>
    </row>
    <row r="7" spans="1:6" ht="16.899999999999999" customHeight="1">
      <c r="A7" s="155" t="s">
        <v>2</v>
      </c>
      <c r="B7" s="155"/>
      <c r="C7" s="155" t="s">
        <v>836</v>
      </c>
      <c r="D7" s="155"/>
      <c r="E7" s="155"/>
      <c r="F7" s="155"/>
    </row>
    <row r="8" spans="1:6" s="2" customFormat="1" ht="16.899999999999999" customHeight="1">
      <c r="A8" s="154" t="s">
        <v>15</v>
      </c>
      <c r="B8" s="154"/>
      <c r="C8" s="154" t="s">
        <v>837</v>
      </c>
      <c r="D8" s="154"/>
      <c r="E8" s="154"/>
      <c r="F8" s="154"/>
    </row>
    <row r="9" spans="1:6" ht="16.899999999999999" customHeight="1">
      <c r="A9" s="155" t="s">
        <v>3</v>
      </c>
      <c r="B9" s="155"/>
      <c r="C9" s="155" t="s">
        <v>838</v>
      </c>
      <c r="D9" s="155"/>
      <c r="E9" s="155"/>
      <c r="F9" s="155"/>
    </row>
    <row r="10" spans="1:6" s="2" customFormat="1" ht="16.899999999999999" customHeight="1">
      <c r="A10" s="154" t="s">
        <v>4</v>
      </c>
      <c r="B10" s="154"/>
      <c r="C10" s="154" t="s">
        <v>839</v>
      </c>
      <c r="D10" s="154"/>
      <c r="E10" s="154"/>
      <c r="F10" s="154"/>
    </row>
    <row r="11" spans="1:6" ht="16.899999999999999" customHeight="1">
      <c r="A11" s="155" t="s">
        <v>5</v>
      </c>
      <c r="B11" s="155"/>
      <c r="C11" s="155" t="s">
        <v>840</v>
      </c>
      <c r="D11" s="155"/>
      <c r="E11" s="155"/>
      <c r="F11" s="155"/>
    </row>
    <row r="12" spans="1:6" s="2" customFormat="1" ht="16.899999999999999" customHeight="1">
      <c r="A12" s="154" t="s">
        <v>6</v>
      </c>
      <c r="B12" s="154"/>
      <c r="C12" s="154" t="s">
        <v>850</v>
      </c>
      <c r="D12" s="154"/>
      <c r="E12" s="154"/>
      <c r="F12" s="154"/>
    </row>
    <row r="13" spans="1:6" ht="16.899999999999999" customHeight="1">
      <c r="A13" s="155" t="s">
        <v>7</v>
      </c>
      <c r="B13" s="155"/>
      <c r="C13" s="155" t="s">
        <v>841</v>
      </c>
      <c r="D13" s="155"/>
      <c r="E13" s="155"/>
      <c r="F13" s="155"/>
    </row>
    <row r="14" spans="1:6" s="2" customFormat="1" ht="16.899999999999999" customHeight="1">
      <c r="A14" s="154" t="s">
        <v>8</v>
      </c>
      <c r="B14" s="154"/>
      <c r="C14" s="154" t="s">
        <v>842</v>
      </c>
      <c r="D14" s="154"/>
      <c r="E14" s="154"/>
      <c r="F14" s="154"/>
    </row>
    <row r="15" spans="1:6" s="2" customFormat="1" ht="7.5" customHeight="1">
      <c r="A15" s="8"/>
      <c r="B15" s="8"/>
      <c r="C15" s="8"/>
      <c r="D15" s="8"/>
      <c r="E15" s="8"/>
      <c r="F15" s="8"/>
    </row>
    <row r="16" spans="1:6" s="2" customFormat="1" ht="16.899999999999999" customHeight="1">
      <c r="A16" s="54" t="s">
        <v>231</v>
      </c>
      <c r="B16" s="55" t="s">
        <v>232</v>
      </c>
      <c r="C16" s="8"/>
      <c r="D16" s="8"/>
      <c r="E16" s="8"/>
      <c r="F16" s="8"/>
    </row>
    <row r="17" spans="1:6" s="2" customFormat="1" ht="16.899999999999999" customHeight="1">
      <c r="A17" s="56" t="s">
        <v>16</v>
      </c>
      <c r="B17" s="57" t="s">
        <v>184</v>
      </c>
      <c r="C17" s="8"/>
      <c r="D17" s="8"/>
      <c r="E17" s="8"/>
      <c r="F17" s="8"/>
    </row>
    <row r="18" spans="1:6" s="2" customFormat="1" ht="50.65" customHeight="1">
      <c r="A18" s="6" t="s">
        <v>17</v>
      </c>
      <c r="B18" s="6" t="s">
        <v>18</v>
      </c>
      <c r="C18" s="6" t="s">
        <v>19</v>
      </c>
      <c r="D18" s="7" t="s">
        <v>846</v>
      </c>
      <c r="E18" s="7" t="s">
        <v>847</v>
      </c>
      <c r="F18" s="30" t="s">
        <v>20</v>
      </c>
    </row>
    <row r="19" spans="1:6" ht="39" customHeight="1">
      <c r="A19" s="108" t="s">
        <v>525</v>
      </c>
      <c r="B19" s="107" t="s">
        <v>526</v>
      </c>
      <c r="C19" s="108" t="s">
        <v>527</v>
      </c>
      <c r="D19" s="110"/>
      <c r="E19" s="110"/>
      <c r="F19" s="109"/>
    </row>
    <row r="20" spans="1:6" ht="39" customHeight="1">
      <c r="A20" s="103" t="s">
        <v>528</v>
      </c>
      <c r="B20" s="102" t="s">
        <v>529</v>
      </c>
      <c r="C20" s="103" t="s">
        <v>530</v>
      </c>
      <c r="D20" s="106">
        <v>57568652563</v>
      </c>
      <c r="E20" s="106">
        <v>52026473121</v>
      </c>
      <c r="F20" s="105">
        <v>1.0075990778396899</v>
      </c>
    </row>
    <row r="21" spans="1:6" ht="39" customHeight="1">
      <c r="A21" s="103" t="s">
        <v>531</v>
      </c>
      <c r="B21" s="102" t="s">
        <v>532</v>
      </c>
      <c r="C21" s="103" t="s">
        <v>533</v>
      </c>
      <c r="D21" s="106"/>
      <c r="E21" s="106"/>
      <c r="F21" s="105"/>
    </row>
    <row r="22" spans="1:6" ht="39" customHeight="1">
      <c r="A22" s="103" t="s">
        <v>534</v>
      </c>
      <c r="B22" s="102" t="s">
        <v>535</v>
      </c>
      <c r="C22" s="103" t="s">
        <v>536</v>
      </c>
      <c r="D22" s="106" t="s">
        <v>537</v>
      </c>
      <c r="E22" s="106" t="s">
        <v>538</v>
      </c>
      <c r="F22" s="105" t="s">
        <v>539</v>
      </c>
    </row>
    <row r="23" spans="1:6" ht="39" customHeight="1">
      <c r="A23" s="103" t="s">
        <v>540</v>
      </c>
      <c r="B23" s="102" t="s">
        <v>541</v>
      </c>
      <c r="C23" s="103" t="s">
        <v>542</v>
      </c>
      <c r="D23" s="106">
        <v>57568652563</v>
      </c>
      <c r="E23" s="106">
        <v>52026473121</v>
      </c>
      <c r="F23" s="105">
        <v>1.0075990778396899</v>
      </c>
    </row>
    <row r="24" spans="1:6" ht="39" customHeight="1">
      <c r="A24" s="103" t="s">
        <v>543</v>
      </c>
      <c r="B24" s="102" t="s">
        <v>544</v>
      </c>
      <c r="C24" s="103" t="s">
        <v>545</v>
      </c>
      <c r="D24" s="106" t="s">
        <v>546</v>
      </c>
      <c r="E24" s="106" t="s">
        <v>547</v>
      </c>
      <c r="F24" s="105" t="s">
        <v>548</v>
      </c>
    </row>
    <row r="25" spans="1:6" ht="53" customHeight="1">
      <c r="A25" s="103" t="s">
        <v>549</v>
      </c>
      <c r="B25" s="102" t="s">
        <v>550</v>
      </c>
      <c r="C25" s="103" t="s">
        <v>551</v>
      </c>
      <c r="D25" s="106">
        <v>773878109</v>
      </c>
      <c r="E25" s="106">
        <v>1837024646</v>
      </c>
      <c r="F25" s="105">
        <v>0.126479604193353</v>
      </c>
    </row>
    <row r="26" spans="1:6" ht="65.5" customHeight="1">
      <c r="A26" s="103" t="s">
        <v>552</v>
      </c>
      <c r="B26" s="102" t="s">
        <v>553</v>
      </c>
      <c r="C26" s="103" t="s">
        <v>554</v>
      </c>
      <c r="D26" s="106">
        <v>1672158265</v>
      </c>
      <c r="E26" s="106">
        <v>1673964550</v>
      </c>
      <c r="F26" s="105">
        <v>1203.1482264956801</v>
      </c>
    </row>
    <row r="27" spans="1:6" ht="42" customHeight="1">
      <c r="A27" s="103" t="s">
        <v>555</v>
      </c>
      <c r="B27" s="102" t="s">
        <v>556</v>
      </c>
      <c r="C27" s="103" t="s">
        <v>557</v>
      </c>
      <c r="D27" s="106">
        <v>25122616189</v>
      </c>
      <c r="E27" s="106">
        <v>48515483925</v>
      </c>
      <c r="F27" s="105">
        <v>0.49246036852783898</v>
      </c>
    </row>
    <row r="28" spans="1:6" ht="54.5" customHeight="1">
      <c r="A28" s="103" t="s">
        <v>558</v>
      </c>
      <c r="B28" s="102" t="s">
        <v>559</v>
      </c>
      <c r="C28" s="103" t="s">
        <v>560</v>
      </c>
      <c r="D28" s="106">
        <v>0</v>
      </c>
      <c r="E28" s="106">
        <v>0</v>
      </c>
      <c r="F28" s="105"/>
    </row>
    <row r="29" spans="1:6" ht="39" customHeight="1">
      <c r="A29" s="103" t="s">
        <v>561</v>
      </c>
      <c r="B29" s="102" t="s">
        <v>562</v>
      </c>
      <c r="C29" s="103" t="s">
        <v>563</v>
      </c>
      <c r="D29" s="106">
        <v>30000000000</v>
      </c>
      <c r="E29" s="106">
        <v>0</v>
      </c>
      <c r="F29" s="105"/>
    </row>
    <row r="30" spans="1:6" ht="39" customHeight="1">
      <c r="A30" s="103" t="s">
        <v>564</v>
      </c>
      <c r="B30" s="102" t="s">
        <v>565</v>
      </c>
      <c r="C30" s="103" t="s">
        <v>566</v>
      </c>
      <c r="D30" s="106">
        <v>543285352500</v>
      </c>
      <c r="E30" s="106">
        <v>500002479000</v>
      </c>
      <c r="F30" s="105">
        <v>1.1067904555792301</v>
      </c>
    </row>
    <row r="31" spans="1:6" ht="39" customHeight="1">
      <c r="A31" s="103" t="s">
        <v>567</v>
      </c>
      <c r="B31" s="102" t="s">
        <v>568</v>
      </c>
      <c r="C31" s="103" t="s">
        <v>569</v>
      </c>
      <c r="D31" s="106" t="s">
        <v>570</v>
      </c>
      <c r="E31" s="106" t="s">
        <v>571</v>
      </c>
      <c r="F31" s="105" t="s">
        <v>572</v>
      </c>
    </row>
    <row r="32" spans="1:6" ht="39" customHeight="1">
      <c r="A32" s="103" t="s">
        <v>573</v>
      </c>
      <c r="B32" s="102" t="s">
        <v>574</v>
      </c>
      <c r="C32" s="103" t="s">
        <v>575</v>
      </c>
      <c r="D32" s="106">
        <v>543285352500</v>
      </c>
      <c r="E32" s="106">
        <v>500002479000</v>
      </c>
      <c r="F32" s="105">
        <v>1.10803813499774</v>
      </c>
    </row>
    <row r="33" spans="1:6" ht="39" customHeight="1">
      <c r="A33" s="103" t="s">
        <v>576</v>
      </c>
      <c r="B33" s="102" t="s">
        <v>577</v>
      </c>
      <c r="C33" s="103" t="s">
        <v>578</v>
      </c>
      <c r="D33" s="106">
        <v>0</v>
      </c>
      <c r="E33" s="106">
        <v>0</v>
      </c>
      <c r="F33" s="105"/>
    </row>
    <row r="34" spans="1:6" ht="39" customHeight="1">
      <c r="A34" s="103" t="s">
        <v>579</v>
      </c>
      <c r="B34" s="102" t="s">
        <v>580</v>
      </c>
      <c r="C34" s="103" t="s">
        <v>581</v>
      </c>
      <c r="D34" s="106">
        <v>0</v>
      </c>
      <c r="E34" s="106">
        <v>0</v>
      </c>
      <c r="F34" s="105"/>
    </row>
    <row r="35" spans="1:6" ht="39" customHeight="1">
      <c r="A35" s="103" t="s">
        <v>582</v>
      </c>
      <c r="B35" s="102" t="s">
        <v>583</v>
      </c>
      <c r="C35" s="103" t="s">
        <v>584</v>
      </c>
      <c r="D35" s="106">
        <v>0</v>
      </c>
      <c r="E35" s="106">
        <v>0</v>
      </c>
      <c r="F35" s="105"/>
    </row>
    <row r="36" spans="1:6" ht="39" customHeight="1">
      <c r="A36" s="103" t="s">
        <v>585</v>
      </c>
      <c r="B36" s="102" t="s">
        <v>586</v>
      </c>
      <c r="C36" s="103" t="s">
        <v>587</v>
      </c>
      <c r="D36" s="106">
        <v>0</v>
      </c>
      <c r="E36" s="106">
        <v>0</v>
      </c>
      <c r="F36" s="105"/>
    </row>
    <row r="37" spans="1:6" ht="39" customHeight="1">
      <c r="A37" s="103" t="s">
        <v>588</v>
      </c>
      <c r="B37" s="102" t="s">
        <v>589</v>
      </c>
      <c r="C37" s="103" t="s">
        <v>590</v>
      </c>
      <c r="D37" s="106">
        <v>0</v>
      </c>
      <c r="E37" s="106">
        <v>0</v>
      </c>
      <c r="F37" s="105">
        <v>0</v>
      </c>
    </row>
    <row r="38" spans="1:6" ht="39" customHeight="1">
      <c r="A38" s="103" t="s">
        <v>591</v>
      </c>
      <c r="B38" s="102" t="s">
        <v>592</v>
      </c>
      <c r="C38" s="103" t="s">
        <v>593</v>
      </c>
      <c r="D38" s="106">
        <v>0</v>
      </c>
      <c r="E38" s="106">
        <v>0</v>
      </c>
      <c r="F38" s="105"/>
    </row>
    <row r="39" spans="1:6" ht="39" customHeight="1">
      <c r="A39" s="103" t="s">
        <v>594</v>
      </c>
      <c r="B39" s="102" t="s">
        <v>595</v>
      </c>
      <c r="C39" s="103" t="s">
        <v>596</v>
      </c>
      <c r="D39" s="106">
        <v>0</v>
      </c>
      <c r="E39" s="106">
        <v>0</v>
      </c>
      <c r="F39" s="105"/>
    </row>
    <row r="40" spans="1:6" ht="39" customHeight="1">
      <c r="A40" s="103" t="s">
        <v>597</v>
      </c>
      <c r="B40" s="102" t="s">
        <v>598</v>
      </c>
      <c r="C40" s="103" t="s">
        <v>599</v>
      </c>
      <c r="D40" s="106">
        <v>0</v>
      </c>
      <c r="E40" s="106">
        <v>0</v>
      </c>
      <c r="F40" s="105"/>
    </row>
    <row r="41" spans="1:6" ht="75" customHeight="1">
      <c r="A41" s="103" t="s">
        <v>600</v>
      </c>
      <c r="B41" s="102" t="s">
        <v>601</v>
      </c>
      <c r="C41" s="103" t="s">
        <v>602</v>
      </c>
      <c r="D41" s="106">
        <v>0</v>
      </c>
      <c r="E41" s="106">
        <v>0</v>
      </c>
      <c r="F41" s="105"/>
    </row>
    <row r="42" spans="1:6" ht="39" customHeight="1">
      <c r="A42" s="103" t="s">
        <v>603</v>
      </c>
      <c r="B42" s="102" t="s">
        <v>604</v>
      </c>
      <c r="C42" s="103" t="s">
        <v>605</v>
      </c>
      <c r="D42" s="106" t="s">
        <v>606</v>
      </c>
      <c r="E42" s="106" t="s">
        <v>607</v>
      </c>
      <c r="F42" s="105" t="s">
        <v>608</v>
      </c>
    </row>
    <row r="43" spans="1:6" ht="44" customHeight="1">
      <c r="A43" s="103" t="s">
        <v>609</v>
      </c>
      <c r="B43" s="102" t="s">
        <v>610</v>
      </c>
      <c r="C43" s="103" t="s">
        <v>611</v>
      </c>
      <c r="D43" s="106">
        <v>1725000000</v>
      </c>
      <c r="E43" s="106">
        <v>940000000</v>
      </c>
      <c r="F43" s="105">
        <v>0.81954751475185506</v>
      </c>
    </row>
    <row r="44" spans="1:6" ht="39" customHeight="1">
      <c r="A44" s="103" t="s">
        <v>612</v>
      </c>
      <c r="B44" s="102" t="s">
        <v>613</v>
      </c>
      <c r="C44" s="103" t="s">
        <v>614</v>
      </c>
      <c r="D44" s="106" t="s">
        <v>615</v>
      </c>
      <c r="E44" s="106" t="s">
        <v>616</v>
      </c>
      <c r="F44" s="105" t="s">
        <v>617</v>
      </c>
    </row>
    <row r="45" spans="1:6" ht="39" customHeight="1">
      <c r="A45" s="103" t="s">
        <v>618</v>
      </c>
      <c r="B45" s="102" t="s">
        <v>619</v>
      </c>
      <c r="C45" s="103" t="s">
        <v>620</v>
      </c>
      <c r="D45" s="106">
        <v>1725000000</v>
      </c>
      <c r="E45" s="106">
        <v>940000000</v>
      </c>
      <c r="F45" s="105">
        <v>0.81954751475185506</v>
      </c>
    </row>
    <row r="46" spans="1:6" ht="39" customHeight="1">
      <c r="A46" s="103" t="s">
        <v>621</v>
      </c>
      <c r="B46" s="102" t="s">
        <v>622</v>
      </c>
      <c r="C46" s="103" t="s">
        <v>623</v>
      </c>
      <c r="D46" s="106">
        <v>0</v>
      </c>
      <c r="E46" s="106">
        <v>0</v>
      </c>
      <c r="F46" s="105"/>
    </row>
    <row r="47" spans="1:6" ht="39" customHeight="1">
      <c r="A47" s="103" t="s">
        <v>624</v>
      </c>
      <c r="B47" s="102" t="s">
        <v>625</v>
      </c>
      <c r="C47" s="103" t="s">
        <v>626</v>
      </c>
      <c r="D47" s="106">
        <v>5342465</v>
      </c>
      <c r="E47" s="106">
        <v>0</v>
      </c>
      <c r="F47" s="105"/>
    </row>
    <row r="48" spans="1:6" ht="39" customHeight="1">
      <c r="A48" s="103" t="s">
        <v>627</v>
      </c>
      <c r="B48" s="102" t="s">
        <v>628</v>
      </c>
      <c r="C48" s="103" t="s">
        <v>629</v>
      </c>
      <c r="D48" s="106" t="s">
        <v>630</v>
      </c>
      <c r="E48" s="106" t="s">
        <v>631</v>
      </c>
      <c r="F48" s="105" t="s">
        <v>632</v>
      </c>
    </row>
    <row r="49" spans="1:6" ht="39" customHeight="1">
      <c r="A49" s="103" t="s">
        <v>633</v>
      </c>
      <c r="B49" s="102" t="s">
        <v>634</v>
      </c>
      <c r="C49" s="103" t="s">
        <v>635</v>
      </c>
      <c r="D49" s="106">
        <v>5342465</v>
      </c>
      <c r="E49" s="106">
        <v>0</v>
      </c>
      <c r="F49" s="105"/>
    </row>
    <row r="50" spans="1:6" ht="39" customHeight="1">
      <c r="A50" s="103" t="s">
        <v>636</v>
      </c>
      <c r="B50" s="102" t="s">
        <v>637</v>
      </c>
      <c r="C50" s="103" t="s">
        <v>638</v>
      </c>
      <c r="D50" s="106">
        <v>0</v>
      </c>
      <c r="E50" s="106">
        <v>0</v>
      </c>
      <c r="F50" s="105"/>
    </row>
    <row r="51" spans="1:6" ht="39" customHeight="1">
      <c r="A51" s="103" t="s">
        <v>639</v>
      </c>
      <c r="B51" s="102" t="s">
        <v>640</v>
      </c>
      <c r="C51" s="103" t="s">
        <v>641</v>
      </c>
      <c r="D51" s="106">
        <v>0</v>
      </c>
      <c r="E51" s="106">
        <v>0</v>
      </c>
      <c r="F51" s="105"/>
    </row>
    <row r="52" spans="1:6" ht="39" customHeight="1">
      <c r="A52" s="103" t="s">
        <v>642</v>
      </c>
      <c r="B52" s="102" t="s">
        <v>643</v>
      </c>
      <c r="C52" s="103" t="s">
        <v>644</v>
      </c>
      <c r="D52" s="106">
        <v>0</v>
      </c>
      <c r="E52" s="106">
        <v>0</v>
      </c>
      <c r="F52" s="105"/>
    </row>
    <row r="53" spans="1:6" ht="39" customHeight="1">
      <c r="A53" s="103" t="s">
        <v>645</v>
      </c>
      <c r="B53" s="102" t="s">
        <v>646</v>
      </c>
      <c r="C53" s="103" t="s">
        <v>647</v>
      </c>
      <c r="D53" s="106" t="s">
        <v>648</v>
      </c>
      <c r="E53" s="106" t="s">
        <v>649</v>
      </c>
      <c r="F53" s="105" t="s">
        <v>650</v>
      </c>
    </row>
    <row r="54" spans="1:6" ht="39" customHeight="1">
      <c r="A54" s="103" t="s">
        <v>651</v>
      </c>
      <c r="B54" s="102" t="s">
        <v>652</v>
      </c>
      <c r="C54" s="103" t="s">
        <v>653</v>
      </c>
      <c r="D54" s="106">
        <v>25540145000</v>
      </c>
      <c r="E54" s="106">
        <v>28842370000</v>
      </c>
      <c r="F54" s="105">
        <v>15.3856295180723</v>
      </c>
    </row>
    <row r="55" spans="1:6" ht="39" customHeight="1">
      <c r="A55" s="103" t="s">
        <v>654</v>
      </c>
      <c r="B55" s="102" t="s">
        <v>655</v>
      </c>
      <c r="C55" s="103" t="s">
        <v>656</v>
      </c>
      <c r="D55" s="106" t="s">
        <v>657</v>
      </c>
      <c r="E55" s="106" t="s">
        <v>658</v>
      </c>
      <c r="F55" s="105" t="s">
        <v>659</v>
      </c>
    </row>
    <row r="56" spans="1:6" ht="39" customHeight="1">
      <c r="A56" s="103" t="s">
        <v>660</v>
      </c>
      <c r="B56" s="102" t="s">
        <v>661</v>
      </c>
      <c r="C56" s="103" t="s">
        <v>662</v>
      </c>
      <c r="D56" s="106">
        <v>0</v>
      </c>
      <c r="E56" s="106">
        <v>0</v>
      </c>
      <c r="F56" s="105"/>
    </row>
    <row r="57" spans="1:6" ht="39" customHeight="1">
      <c r="A57" s="103" t="s">
        <v>663</v>
      </c>
      <c r="B57" s="102" t="s">
        <v>664</v>
      </c>
      <c r="C57" s="103" t="s">
        <v>665</v>
      </c>
      <c r="D57" s="106" t="s">
        <v>666</v>
      </c>
      <c r="E57" s="106" t="s">
        <v>667</v>
      </c>
      <c r="F57" s="105" t="s">
        <v>668</v>
      </c>
    </row>
    <row r="58" spans="1:6" ht="39" customHeight="1">
      <c r="A58" s="103" t="s">
        <v>669</v>
      </c>
      <c r="B58" s="102" t="s">
        <v>670</v>
      </c>
      <c r="C58" s="103" t="s">
        <v>671</v>
      </c>
      <c r="D58" s="106">
        <v>0</v>
      </c>
      <c r="E58" s="106">
        <v>0</v>
      </c>
      <c r="F58" s="105"/>
    </row>
    <row r="59" spans="1:6" ht="39" customHeight="1">
      <c r="A59" s="103" t="s">
        <v>672</v>
      </c>
      <c r="B59" s="102" t="s">
        <v>673</v>
      </c>
      <c r="C59" s="103" t="s">
        <v>674</v>
      </c>
      <c r="D59" s="106">
        <v>0</v>
      </c>
      <c r="E59" s="106">
        <v>0</v>
      </c>
      <c r="F59" s="105"/>
    </row>
    <row r="60" spans="1:6" ht="39" customHeight="1">
      <c r="A60" s="103" t="s">
        <v>675</v>
      </c>
      <c r="B60" s="102" t="s">
        <v>676</v>
      </c>
      <c r="C60" s="103" t="s">
        <v>677</v>
      </c>
      <c r="D60" s="106">
        <v>0</v>
      </c>
      <c r="E60" s="106">
        <v>0</v>
      </c>
      <c r="F60" s="105"/>
    </row>
    <row r="61" spans="1:6" ht="39" customHeight="1">
      <c r="A61" s="103" t="s">
        <v>678</v>
      </c>
      <c r="B61" s="102" t="s">
        <v>679</v>
      </c>
      <c r="C61" s="103" t="s">
        <v>680</v>
      </c>
      <c r="D61" s="106">
        <v>40533666</v>
      </c>
      <c r="E61" s="106">
        <v>46405366</v>
      </c>
      <c r="F61" s="105">
        <v>0.79821698431634702</v>
      </c>
    </row>
    <row r="62" spans="1:6" ht="39" customHeight="1">
      <c r="A62" s="103" t="s">
        <v>681</v>
      </c>
      <c r="B62" s="102" t="s">
        <v>682</v>
      </c>
      <c r="C62" s="103" t="s">
        <v>683</v>
      </c>
      <c r="D62" s="106" t="s">
        <v>684</v>
      </c>
      <c r="E62" s="106" t="s">
        <v>685</v>
      </c>
      <c r="F62" s="105" t="s">
        <v>686</v>
      </c>
    </row>
    <row r="63" spans="1:6" ht="42" customHeight="1">
      <c r="A63" s="108" t="s">
        <v>687</v>
      </c>
      <c r="B63" s="107" t="s">
        <v>688</v>
      </c>
      <c r="C63" s="108" t="s">
        <v>689</v>
      </c>
      <c r="D63" s="110">
        <v>628165026194</v>
      </c>
      <c r="E63" s="110">
        <v>581857727487</v>
      </c>
      <c r="F63" s="109">
        <v>1.1383602420946599</v>
      </c>
    </row>
    <row r="64" spans="1:6" ht="41.5" customHeight="1">
      <c r="A64" s="108" t="s">
        <v>690</v>
      </c>
      <c r="B64" s="107" t="s">
        <v>691</v>
      </c>
      <c r="C64" s="108" t="s">
        <v>692</v>
      </c>
      <c r="D64" s="110"/>
      <c r="E64" s="110"/>
      <c r="F64" s="109"/>
    </row>
    <row r="65" spans="1:6" ht="57" customHeight="1">
      <c r="A65" s="103" t="s">
        <v>693</v>
      </c>
      <c r="B65" s="102" t="s">
        <v>694</v>
      </c>
      <c r="C65" s="103" t="s">
        <v>695</v>
      </c>
      <c r="D65" s="106">
        <v>0</v>
      </c>
      <c r="E65" s="106">
        <v>0</v>
      </c>
      <c r="F65" s="105"/>
    </row>
    <row r="66" spans="1:6" ht="39" customHeight="1">
      <c r="A66" s="103" t="s">
        <v>696</v>
      </c>
      <c r="B66" s="102" t="s">
        <v>697</v>
      </c>
      <c r="C66" s="103" t="s">
        <v>698</v>
      </c>
      <c r="D66" s="106" t="s">
        <v>699</v>
      </c>
      <c r="E66" s="106" t="s">
        <v>700</v>
      </c>
      <c r="F66" s="105" t="s">
        <v>701</v>
      </c>
    </row>
    <row r="67" spans="1:6" ht="51" customHeight="1">
      <c r="A67" s="103" t="s">
        <v>702</v>
      </c>
      <c r="B67" s="102" t="s">
        <v>703</v>
      </c>
      <c r="C67" s="103" t="s">
        <v>704</v>
      </c>
      <c r="D67" s="106">
        <v>19943000000</v>
      </c>
      <c r="E67" s="106">
        <v>28888550000</v>
      </c>
      <c r="F67" s="105">
        <v>2.06542069625484</v>
      </c>
    </row>
    <row r="68" spans="1:6" ht="39" customHeight="1">
      <c r="A68" s="103" t="s">
        <v>705</v>
      </c>
      <c r="B68" s="102" t="s">
        <v>706</v>
      </c>
      <c r="C68" s="103" t="s">
        <v>707</v>
      </c>
      <c r="D68" s="106" t="s">
        <v>708</v>
      </c>
      <c r="E68" s="106" t="s">
        <v>709</v>
      </c>
      <c r="F68" s="105" t="s">
        <v>710</v>
      </c>
    </row>
    <row r="69" spans="1:6" ht="39" customHeight="1">
      <c r="A69" s="103" t="s">
        <v>711</v>
      </c>
      <c r="B69" s="102" t="s">
        <v>712</v>
      </c>
      <c r="C69" s="103" t="s">
        <v>713</v>
      </c>
      <c r="D69" s="106">
        <v>35444073851</v>
      </c>
      <c r="E69" s="106">
        <v>5239556996</v>
      </c>
      <c r="F69" s="105">
        <v>2.9881764147063699</v>
      </c>
    </row>
    <row r="70" spans="1:6" ht="39" customHeight="1">
      <c r="A70" s="103" t="s">
        <v>714</v>
      </c>
      <c r="B70" s="102" t="s">
        <v>715</v>
      </c>
      <c r="C70" s="103" t="s">
        <v>716</v>
      </c>
      <c r="D70" s="106" t="s">
        <v>717</v>
      </c>
      <c r="E70" s="106" t="s">
        <v>718</v>
      </c>
      <c r="F70" s="105" t="s">
        <v>719</v>
      </c>
    </row>
    <row r="71" spans="1:6" ht="44.5" customHeight="1">
      <c r="A71" s="103" t="s">
        <v>720</v>
      </c>
      <c r="B71" s="102" t="s">
        <v>721</v>
      </c>
      <c r="C71" s="103" t="s">
        <v>722</v>
      </c>
      <c r="D71" s="106">
        <v>2596957263</v>
      </c>
      <c r="E71" s="106">
        <v>2298816377</v>
      </c>
      <c r="F71" s="105">
        <v>0.244683786943722</v>
      </c>
    </row>
    <row r="72" spans="1:6" ht="39" customHeight="1">
      <c r="A72" s="103" t="s">
        <v>723</v>
      </c>
      <c r="B72" s="102" t="s">
        <v>724</v>
      </c>
      <c r="C72" s="103" t="s">
        <v>725</v>
      </c>
      <c r="D72" s="106">
        <v>773878109</v>
      </c>
      <c r="E72" s="106">
        <v>1837024646</v>
      </c>
      <c r="F72" s="105">
        <v>0.126479604193353</v>
      </c>
    </row>
    <row r="73" spans="1:6" ht="50.5" customHeight="1">
      <c r="A73" s="103" t="s">
        <v>726</v>
      </c>
      <c r="B73" s="102" t="s">
        <v>727</v>
      </c>
      <c r="C73" s="103" t="s">
        <v>728</v>
      </c>
      <c r="D73" s="106">
        <v>0</v>
      </c>
      <c r="E73" s="106">
        <v>0</v>
      </c>
      <c r="F73" s="105"/>
    </row>
    <row r="74" spans="1:6" ht="44.5" customHeight="1">
      <c r="A74" s="103" t="s">
        <v>729</v>
      </c>
      <c r="B74" s="102" t="s">
        <v>730</v>
      </c>
      <c r="C74" s="103" t="s">
        <v>731</v>
      </c>
      <c r="D74" s="106">
        <v>0</v>
      </c>
      <c r="E74" s="106">
        <v>0</v>
      </c>
      <c r="F74" s="105"/>
    </row>
    <row r="75" spans="1:6" ht="44.5" customHeight="1">
      <c r="A75" s="103" t="s">
        <v>732</v>
      </c>
      <c r="B75" s="102" t="s">
        <v>733</v>
      </c>
      <c r="C75" s="103" t="s">
        <v>734</v>
      </c>
      <c r="D75" s="106">
        <v>1823079154</v>
      </c>
      <c r="E75" s="106">
        <v>461791731</v>
      </c>
      <c r="F75" s="105">
        <v>0.40558619752305097</v>
      </c>
    </row>
    <row r="76" spans="1:6" ht="44.5" customHeight="1">
      <c r="A76" s="103" t="s">
        <v>735</v>
      </c>
      <c r="B76" s="102" t="s">
        <v>736</v>
      </c>
      <c r="C76" s="103" t="s">
        <v>737</v>
      </c>
      <c r="D76" s="106">
        <v>1669479093</v>
      </c>
      <c r="E76" s="106">
        <v>106812770</v>
      </c>
      <c r="F76" s="105">
        <v>70.278821318268697</v>
      </c>
    </row>
    <row r="77" spans="1:6" ht="61" customHeight="1">
      <c r="A77" s="103" t="s">
        <v>738</v>
      </c>
      <c r="B77" s="102" t="s">
        <v>739</v>
      </c>
      <c r="C77" s="103" t="s">
        <v>740</v>
      </c>
      <c r="D77" s="106">
        <v>105235980</v>
      </c>
      <c r="E77" s="106">
        <v>77065063</v>
      </c>
      <c r="F77" s="105">
        <v>0.99672333156759596</v>
      </c>
    </row>
    <row r="78" spans="1:6" ht="48.5" customHeight="1">
      <c r="A78" s="103" t="s">
        <v>741</v>
      </c>
      <c r="B78" s="102" t="s">
        <v>742</v>
      </c>
      <c r="C78" s="103" t="s">
        <v>743</v>
      </c>
      <c r="D78" s="106">
        <v>29878766565</v>
      </c>
      <c r="E78" s="106">
        <v>1662674482</v>
      </c>
      <c r="F78" s="105">
        <v>409.298172123288</v>
      </c>
    </row>
    <row r="79" spans="1:6" ht="51.5" customHeight="1">
      <c r="A79" s="103" t="s">
        <v>744</v>
      </c>
      <c r="B79" s="102" t="s">
        <v>745</v>
      </c>
      <c r="C79" s="103" t="s">
        <v>746</v>
      </c>
      <c r="D79" s="106">
        <v>11309589</v>
      </c>
      <c r="E79" s="106">
        <v>10630137</v>
      </c>
      <c r="F79" s="105">
        <v>0.998868173225403</v>
      </c>
    </row>
    <row r="80" spans="1:6" ht="39" customHeight="1">
      <c r="A80" s="103" t="s">
        <v>747</v>
      </c>
      <c r="B80" s="102" t="s">
        <v>748</v>
      </c>
      <c r="C80" s="103" t="s">
        <v>749</v>
      </c>
      <c r="D80" s="106">
        <v>930562323</v>
      </c>
      <c r="E80" s="106">
        <v>841492343</v>
      </c>
      <c r="F80" s="105">
        <v>1.1302687308133299</v>
      </c>
    </row>
    <row r="81" spans="1:6" ht="39" customHeight="1">
      <c r="A81" s="103" t="s">
        <v>750</v>
      </c>
      <c r="B81" s="102" t="s">
        <v>751</v>
      </c>
      <c r="C81" s="103" t="s">
        <v>752</v>
      </c>
      <c r="D81" s="106">
        <v>15911168</v>
      </c>
      <c r="E81" s="106">
        <v>14388212</v>
      </c>
      <c r="F81" s="105">
        <v>1.13026871853274</v>
      </c>
    </row>
    <row r="82" spans="1:6" ht="39" customHeight="1">
      <c r="A82" s="103" t="s">
        <v>753</v>
      </c>
      <c r="B82" s="102" t="s">
        <v>754</v>
      </c>
      <c r="C82" s="103" t="s">
        <v>755</v>
      </c>
      <c r="D82" s="106">
        <v>25300000</v>
      </c>
      <c r="E82" s="106">
        <v>25300000</v>
      </c>
      <c r="F82" s="105">
        <v>1</v>
      </c>
    </row>
    <row r="83" spans="1:6" ht="39" customHeight="1">
      <c r="A83" s="103" t="s">
        <v>756</v>
      </c>
      <c r="B83" s="102" t="s">
        <v>757</v>
      </c>
      <c r="C83" s="103" t="s">
        <v>758</v>
      </c>
      <c r="D83" s="106">
        <v>45256833</v>
      </c>
      <c r="E83" s="106">
        <v>41861270</v>
      </c>
      <c r="F83" s="105">
        <v>2.6663245449227002</v>
      </c>
    </row>
    <row r="84" spans="1:6" ht="39" customHeight="1">
      <c r="A84" s="103" t="s">
        <v>759</v>
      </c>
      <c r="B84" s="102" t="s">
        <v>760</v>
      </c>
      <c r="C84" s="103" t="s">
        <v>761</v>
      </c>
      <c r="D84" s="106">
        <v>45256833</v>
      </c>
      <c r="E84" s="106">
        <v>41861270</v>
      </c>
      <c r="F84" s="105">
        <v>2.6663245449227002</v>
      </c>
    </row>
    <row r="85" spans="1:6" ht="46" customHeight="1">
      <c r="A85" s="103" t="s">
        <v>762</v>
      </c>
      <c r="B85" s="102" t="s">
        <v>763</v>
      </c>
      <c r="C85" s="103" t="s">
        <v>764</v>
      </c>
      <c r="D85" s="106">
        <v>0</v>
      </c>
      <c r="E85" s="106">
        <v>0</v>
      </c>
      <c r="F85" s="105"/>
    </row>
    <row r="86" spans="1:6" ht="39" customHeight="1">
      <c r="A86" s="103" t="s">
        <v>765</v>
      </c>
      <c r="B86" s="102" t="s">
        <v>766</v>
      </c>
      <c r="C86" s="103" t="s">
        <v>767</v>
      </c>
      <c r="D86" s="106">
        <v>43800000</v>
      </c>
      <c r="E86" s="106">
        <v>43700000</v>
      </c>
      <c r="F86" s="105">
        <v>1.01860465116279</v>
      </c>
    </row>
    <row r="87" spans="1:6" ht="39" customHeight="1">
      <c r="A87" s="103" t="s">
        <v>768</v>
      </c>
      <c r="B87" s="102" t="s">
        <v>769</v>
      </c>
      <c r="C87" s="103" t="s">
        <v>770</v>
      </c>
      <c r="D87" s="106">
        <v>22000000</v>
      </c>
      <c r="E87" s="106">
        <v>22000000</v>
      </c>
      <c r="F87" s="105">
        <v>1</v>
      </c>
    </row>
    <row r="88" spans="1:6" ht="39" customHeight="1">
      <c r="A88" s="103" t="s">
        <v>771</v>
      </c>
      <c r="B88" s="102" t="s">
        <v>772</v>
      </c>
      <c r="C88" s="103" t="s">
        <v>773</v>
      </c>
      <c r="D88" s="106">
        <v>18300000</v>
      </c>
      <c r="E88" s="106">
        <v>18200000</v>
      </c>
      <c r="F88" s="105">
        <v>1.04571428571429</v>
      </c>
    </row>
    <row r="89" spans="1:6" ht="68.5" customHeight="1">
      <c r="A89" s="103" t="s">
        <v>774</v>
      </c>
      <c r="B89" s="102" t="s">
        <v>775</v>
      </c>
      <c r="C89" s="103" t="s">
        <v>776</v>
      </c>
      <c r="D89" s="106">
        <v>3500000</v>
      </c>
      <c r="E89" s="106">
        <v>3500000</v>
      </c>
      <c r="F89" s="105">
        <v>1</v>
      </c>
    </row>
    <row r="90" spans="1:6" ht="39" customHeight="1">
      <c r="A90" s="103" t="s">
        <v>777</v>
      </c>
      <c r="B90" s="102" t="s">
        <v>778</v>
      </c>
      <c r="C90" s="103" t="s">
        <v>779</v>
      </c>
      <c r="D90" s="106">
        <v>71445753</v>
      </c>
      <c r="E90" s="106">
        <v>56778082</v>
      </c>
      <c r="F90" s="105">
        <v>0.89881845209733102</v>
      </c>
    </row>
    <row r="91" spans="1:6" ht="39" customHeight="1">
      <c r="A91" s="103" t="s">
        <v>780</v>
      </c>
      <c r="B91" s="102" t="s">
        <v>781</v>
      </c>
      <c r="C91" s="103" t="s">
        <v>782</v>
      </c>
      <c r="D91" s="106">
        <v>26046544</v>
      </c>
      <c r="E91" s="106">
        <v>36672507</v>
      </c>
      <c r="F91" s="105"/>
    </row>
    <row r="92" spans="1:6" ht="39" customHeight="1">
      <c r="A92" s="103" t="s">
        <v>783</v>
      </c>
      <c r="B92" s="102" t="s">
        <v>784</v>
      </c>
      <c r="C92" s="103" t="s">
        <v>785</v>
      </c>
      <c r="D92" s="106">
        <v>0</v>
      </c>
      <c r="E92" s="106">
        <v>0</v>
      </c>
      <c r="F92" s="105"/>
    </row>
    <row r="93" spans="1:6" ht="39" customHeight="1">
      <c r="A93" s="103" t="s">
        <v>786</v>
      </c>
      <c r="B93" s="102" t="s">
        <v>787</v>
      </c>
      <c r="C93" s="103" t="s">
        <v>788</v>
      </c>
      <c r="D93" s="106">
        <v>13200000</v>
      </c>
      <c r="E93" s="106">
        <v>13200000</v>
      </c>
      <c r="F93" s="105">
        <v>1</v>
      </c>
    </row>
    <row r="94" spans="1:6" ht="48" customHeight="1">
      <c r="A94" s="103" t="s">
        <v>789</v>
      </c>
      <c r="B94" s="102" t="s">
        <v>790</v>
      </c>
      <c r="C94" s="103" t="s">
        <v>791</v>
      </c>
      <c r="D94" s="106">
        <v>0</v>
      </c>
      <c r="E94" s="106">
        <v>0</v>
      </c>
      <c r="F94" s="105"/>
    </row>
    <row r="95" spans="1:6" ht="47" customHeight="1">
      <c r="A95" s="103" t="s">
        <v>792</v>
      </c>
      <c r="B95" s="102" t="s">
        <v>793</v>
      </c>
      <c r="C95" s="103" t="s">
        <v>794</v>
      </c>
      <c r="D95" s="106">
        <v>0</v>
      </c>
      <c r="E95" s="106">
        <v>0</v>
      </c>
      <c r="F95" s="105"/>
    </row>
    <row r="96" spans="1:6" ht="44.5" customHeight="1">
      <c r="A96" s="103" t="s">
        <v>795</v>
      </c>
      <c r="B96" s="102" t="s">
        <v>796</v>
      </c>
      <c r="C96" s="103" t="s">
        <v>797</v>
      </c>
      <c r="D96" s="106">
        <v>10802740</v>
      </c>
      <c r="E96" s="106">
        <v>10165753</v>
      </c>
      <c r="F96" s="105">
        <v>0.57139202974885706</v>
      </c>
    </row>
    <row r="97" spans="1:6" ht="45.5" customHeight="1">
      <c r="A97" s="103" t="s">
        <v>798</v>
      </c>
      <c r="B97" s="102" t="s">
        <v>799</v>
      </c>
      <c r="C97" s="103" t="s">
        <v>800</v>
      </c>
      <c r="D97" s="106">
        <v>0</v>
      </c>
      <c r="E97" s="106">
        <v>0</v>
      </c>
      <c r="F97" s="105"/>
    </row>
    <row r="98" spans="1:6" ht="57.5" customHeight="1">
      <c r="A98" s="103" t="s">
        <v>801</v>
      </c>
      <c r="B98" s="102" t="s">
        <v>802</v>
      </c>
      <c r="C98" s="103" t="s">
        <v>803</v>
      </c>
      <c r="D98" s="106">
        <v>0</v>
      </c>
      <c r="E98" s="106">
        <v>0</v>
      </c>
      <c r="F98" s="105"/>
    </row>
    <row r="99" spans="1:6" ht="60" customHeight="1">
      <c r="A99" s="103" t="s">
        <v>804</v>
      </c>
      <c r="B99" s="102" t="s">
        <v>805</v>
      </c>
      <c r="C99" s="103" t="s">
        <v>806</v>
      </c>
      <c r="D99" s="106">
        <v>3102740</v>
      </c>
      <c r="E99" s="106">
        <v>2465753</v>
      </c>
      <c r="F99" s="105">
        <v>0.292304466029076</v>
      </c>
    </row>
    <row r="100" spans="1:6" ht="39" customHeight="1">
      <c r="A100" s="103" t="s">
        <v>807</v>
      </c>
      <c r="B100" s="102" t="s">
        <v>808</v>
      </c>
      <c r="C100" s="103" t="s">
        <v>809</v>
      </c>
      <c r="D100" s="106">
        <v>7700000</v>
      </c>
      <c r="E100" s="106">
        <v>7700000</v>
      </c>
      <c r="F100" s="105">
        <v>0.92868988391376495</v>
      </c>
    </row>
    <row r="101" spans="1:6" ht="39" customHeight="1">
      <c r="A101" s="103" t="s">
        <v>810</v>
      </c>
      <c r="B101" s="102" t="s">
        <v>811</v>
      </c>
      <c r="C101" s="103" t="s">
        <v>812</v>
      </c>
      <c r="D101" s="106">
        <v>0</v>
      </c>
      <c r="E101" s="106">
        <v>0</v>
      </c>
      <c r="F101" s="105"/>
    </row>
    <row r="102" spans="1:6" ht="39" customHeight="1">
      <c r="A102" s="103" t="s">
        <v>813</v>
      </c>
      <c r="B102" s="102" t="s">
        <v>814</v>
      </c>
      <c r="C102" s="103" t="s">
        <v>815</v>
      </c>
      <c r="D102" s="106">
        <v>0</v>
      </c>
      <c r="E102" s="106">
        <v>0</v>
      </c>
      <c r="F102" s="105"/>
    </row>
    <row r="103" spans="1:6" ht="39" customHeight="1">
      <c r="A103" s="103" t="s">
        <v>816</v>
      </c>
      <c r="B103" s="102" t="s">
        <v>817</v>
      </c>
      <c r="C103" s="103" t="s">
        <v>818</v>
      </c>
      <c r="D103" s="106">
        <v>0</v>
      </c>
      <c r="E103" s="106">
        <v>0</v>
      </c>
      <c r="F103" s="105"/>
    </row>
    <row r="104" spans="1:6" ht="39" customHeight="1">
      <c r="A104" s="103" t="s">
        <v>819</v>
      </c>
      <c r="B104" s="102" t="s">
        <v>820</v>
      </c>
      <c r="C104" s="103" t="s">
        <v>821</v>
      </c>
      <c r="D104" s="106">
        <v>0</v>
      </c>
      <c r="E104" s="106">
        <v>0</v>
      </c>
      <c r="F104" s="105"/>
    </row>
    <row r="105" spans="1:6" ht="39" customHeight="1">
      <c r="A105" s="108" t="s">
        <v>822</v>
      </c>
      <c r="B105" s="107" t="s">
        <v>823</v>
      </c>
      <c r="C105" s="108" t="s">
        <v>824</v>
      </c>
      <c r="D105" s="110">
        <v>55387073851</v>
      </c>
      <c r="E105" s="110">
        <v>34128106996</v>
      </c>
      <c r="F105" s="109">
        <v>2.5740957219258598</v>
      </c>
    </row>
    <row r="106" spans="1:6" ht="39" customHeight="1">
      <c r="A106" s="103" t="s">
        <v>825</v>
      </c>
      <c r="B106" s="102" t="s">
        <v>826</v>
      </c>
      <c r="C106" s="103" t="s">
        <v>827</v>
      </c>
      <c r="D106" s="106">
        <v>572777952343</v>
      </c>
      <c r="E106" s="106">
        <v>547729620491</v>
      </c>
      <c r="F106" s="105">
        <v>1.0801046392939599</v>
      </c>
    </row>
    <row r="107" spans="1:6" ht="39" customHeight="1">
      <c r="A107" s="103" t="s">
        <v>828</v>
      </c>
      <c r="B107" s="102" t="s">
        <v>829</v>
      </c>
      <c r="C107" s="103" t="s">
        <v>830</v>
      </c>
      <c r="D107" s="111">
        <v>21144822.190000001</v>
      </c>
      <c r="E107" s="111">
        <v>20668238.859999999</v>
      </c>
      <c r="F107" s="105">
        <v>1.1641040877506199</v>
      </c>
    </row>
    <row r="108" spans="1:6" ht="39" customHeight="1">
      <c r="A108" s="103" t="s">
        <v>831</v>
      </c>
      <c r="B108" s="102" t="s">
        <v>832</v>
      </c>
      <c r="C108" s="103" t="s">
        <v>833</v>
      </c>
      <c r="D108" s="111">
        <v>27088.33</v>
      </c>
      <c r="E108" s="111">
        <v>26501.03</v>
      </c>
      <c r="F108" s="105">
        <v>0.92784204681763804</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34"/>
      <c r="B118" s="34"/>
      <c r="C118" s="3"/>
      <c r="D118" s="3"/>
      <c r="E118" s="34"/>
      <c r="F118" s="34"/>
    </row>
    <row r="119" spans="1:6" s="2" customFormat="1" ht="16.899999999999999" customHeight="1">
      <c r="A119" s="11" t="s">
        <v>14</v>
      </c>
      <c r="B119" s="33"/>
      <c r="C119" s="3"/>
      <c r="E119" s="11" t="s">
        <v>836</v>
      </c>
      <c r="F119" s="33"/>
    </row>
    <row r="120" spans="1:6" s="2" customFormat="1" ht="16.899999999999999" customHeight="1">
      <c r="A120" s="32" t="s">
        <v>187</v>
      </c>
      <c r="B120" s="3"/>
      <c r="C120" s="3"/>
      <c r="E120" s="32" t="s">
        <v>843</v>
      </c>
      <c r="F120" s="3"/>
    </row>
    <row r="121" spans="1:6" s="2" customFormat="1" ht="16.899999999999999" customHeight="1">
      <c r="A121" s="3" t="s">
        <v>844</v>
      </c>
      <c r="B121" s="3"/>
      <c r="C121" s="3"/>
      <c r="E121" s="3" t="s">
        <v>845</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0" fitToHeight="5" orientation="portrait" r:id="rId1"/>
  <headerFooter>
    <oddHeader>&amp;L&amp;"Arial"&amp;9&amp;KA80000CONFIDENTIAL&amp;1#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9"/>
  <sheetViews>
    <sheetView view="pageBreakPreview" topLeftCell="A94" zoomScale="85" zoomScaleNormal="100" zoomScaleSheetLayoutView="85" workbookViewId="0">
      <selection activeCell="B103" sqref="A103:XFD103"/>
    </sheetView>
  </sheetViews>
  <sheetFormatPr defaultColWidth="8.7265625" defaultRowHeight="12.5"/>
  <cols>
    <col min="1" max="1" width="8.7265625" style="9"/>
    <col min="2" max="2" width="46.26953125" style="9" customWidth="1"/>
    <col min="3" max="3" width="10.7265625" style="9" bestFit="1" customWidth="1"/>
    <col min="4" max="4" width="30.90625" style="9" customWidth="1"/>
    <col min="5" max="5" width="32.90625" style="9" customWidth="1"/>
    <col min="6" max="6" width="27.54296875" style="9" customWidth="1"/>
    <col min="7" max="16384" width="8.7265625" style="16"/>
  </cols>
  <sheetData>
    <row r="1" spans="1:6" ht="54.75" customHeight="1">
      <c r="A1" s="161" t="s">
        <v>233</v>
      </c>
      <c r="B1" s="161"/>
      <c r="C1" s="161"/>
      <c r="D1" s="161"/>
      <c r="E1" s="161"/>
      <c r="F1" s="161"/>
    </row>
    <row r="2" spans="1:6" ht="54.75" customHeight="1">
      <c r="A2" s="162" t="s">
        <v>234</v>
      </c>
      <c r="B2" s="162"/>
      <c r="C2" s="162"/>
      <c r="D2" s="162"/>
      <c r="E2" s="162"/>
      <c r="F2" s="162"/>
    </row>
    <row r="3" spans="1:6" ht="22.5" customHeight="1">
      <c r="A3" s="163" t="s">
        <v>183</v>
      </c>
      <c r="B3" s="163"/>
      <c r="C3" s="163"/>
      <c r="D3" s="163"/>
      <c r="E3" s="163"/>
      <c r="F3" s="163"/>
    </row>
    <row r="4" spans="1:6" ht="21" customHeight="1">
      <c r="A4" s="163"/>
      <c r="B4" s="163"/>
      <c r="C4" s="163"/>
      <c r="D4" s="163"/>
      <c r="E4" s="163"/>
      <c r="F4" s="163"/>
    </row>
    <row r="5" spans="1:6" ht="16.149999999999999" customHeight="1">
      <c r="A5" s="164" t="s">
        <v>835</v>
      </c>
      <c r="B5" s="164"/>
      <c r="C5" s="164"/>
      <c r="D5" s="164"/>
      <c r="E5" s="164"/>
      <c r="F5" s="164"/>
    </row>
    <row r="7" spans="1:6" ht="16.899999999999999" customHeight="1">
      <c r="A7" s="60" t="s">
        <v>2</v>
      </c>
      <c r="C7" s="165" t="s">
        <v>836</v>
      </c>
      <c r="D7" s="165"/>
      <c r="E7" s="165"/>
      <c r="F7" s="165"/>
    </row>
    <row r="8" spans="1:6" ht="16.899999999999999" customHeight="1">
      <c r="A8" s="9" t="s">
        <v>15</v>
      </c>
      <c r="C8" s="160" t="s">
        <v>837</v>
      </c>
      <c r="D8" s="160"/>
      <c r="E8" s="160"/>
      <c r="F8" s="160"/>
    </row>
    <row r="9" spans="1:6" ht="16.899999999999999" customHeight="1">
      <c r="A9" s="60" t="s">
        <v>3</v>
      </c>
      <c r="C9" s="165" t="s">
        <v>838</v>
      </c>
      <c r="D9" s="165"/>
      <c r="E9" s="165"/>
      <c r="F9" s="165"/>
    </row>
    <row r="10" spans="1:6" ht="16.899999999999999" customHeight="1">
      <c r="A10" s="9" t="s">
        <v>4</v>
      </c>
      <c r="C10" s="160" t="s">
        <v>839</v>
      </c>
      <c r="D10" s="160"/>
      <c r="E10" s="160"/>
      <c r="F10" s="160"/>
    </row>
    <row r="11" spans="1:6" ht="16.899999999999999" customHeight="1">
      <c r="A11" s="60" t="s">
        <v>5</v>
      </c>
      <c r="C11" s="165" t="s">
        <v>840</v>
      </c>
      <c r="D11" s="165"/>
      <c r="E11" s="165"/>
      <c r="F11" s="165"/>
    </row>
    <row r="12" spans="1:6" ht="16.899999999999999" customHeight="1">
      <c r="A12" s="9" t="s">
        <v>6</v>
      </c>
      <c r="C12" s="160" t="s">
        <v>850</v>
      </c>
      <c r="D12" s="160"/>
      <c r="E12" s="160"/>
      <c r="F12" s="160"/>
    </row>
    <row r="13" spans="1:6" ht="16.899999999999999" customHeight="1">
      <c r="A13" s="60" t="s">
        <v>7</v>
      </c>
      <c r="C13" s="165" t="s">
        <v>841</v>
      </c>
      <c r="D13" s="165"/>
      <c r="E13" s="165"/>
      <c r="F13" s="165"/>
    </row>
    <row r="14" spans="1:6" ht="16.899999999999999" customHeight="1">
      <c r="A14" s="9" t="s">
        <v>8</v>
      </c>
      <c r="C14" s="160" t="s">
        <v>842</v>
      </c>
      <c r="D14" s="160"/>
      <c r="E14" s="160"/>
      <c r="F14" s="160"/>
    </row>
    <row r="15" spans="1:6" ht="16.899999999999999" customHeight="1"/>
    <row r="16" spans="1:6" ht="16.899999999999999" customHeight="1">
      <c r="A16" s="54" t="s">
        <v>231</v>
      </c>
      <c r="B16" s="55" t="s">
        <v>232</v>
      </c>
    </row>
    <row r="17" spans="1:6" ht="16.899999999999999" customHeight="1">
      <c r="A17" s="14" t="s">
        <v>21</v>
      </c>
      <c r="B17" s="15" t="s">
        <v>22</v>
      </c>
    </row>
    <row r="18" spans="1:6" ht="37.5">
      <c r="A18" s="92" t="s">
        <v>17</v>
      </c>
      <c r="B18" s="92" t="s">
        <v>18</v>
      </c>
      <c r="C18" s="92" t="s">
        <v>19</v>
      </c>
      <c r="D18" s="93" t="s">
        <v>848</v>
      </c>
      <c r="E18" s="93" t="s">
        <v>849</v>
      </c>
      <c r="F18" s="93" t="s">
        <v>237</v>
      </c>
    </row>
    <row r="19" spans="1:6" s="17" customFormat="1" ht="33" customHeight="1">
      <c r="A19" s="94" t="s">
        <v>16</v>
      </c>
      <c r="B19" s="95" t="s">
        <v>30</v>
      </c>
      <c r="C19" s="96" t="s">
        <v>44</v>
      </c>
      <c r="D19" s="97">
        <v>2538476238</v>
      </c>
      <c r="E19" s="97">
        <v>968848527</v>
      </c>
      <c r="F19" s="97">
        <v>4432680078</v>
      </c>
    </row>
    <row r="20" spans="1:6" ht="32.5" customHeight="1">
      <c r="A20" s="35">
        <v>1</v>
      </c>
      <c r="B20" s="36" t="s">
        <v>188</v>
      </c>
      <c r="C20" s="37" t="s">
        <v>51</v>
      </c>
      <c r="D20" s="98">
        <v>0</v>
      </c>
      <c r="E20" s="98">
        <v>0</v>
      </c>
      <c r="F20" s="98">
        <v>0</v>
      </c>
    </row>
    <row r="21" spans="1:6">
      <c r="A21" s="58" t="s">
        <v>189</v>
      </c>
      <c r="B21" s="58" t="s">
        <v>189</v>
      </c>
      <c r="C21" s="58" t="s">
        <v>189</v>
      </c>
      <c r="D21" s="99" t="s">
        <v>189</v>
      </c>
      <c r="E21" s="99" t="s">
        <v>190</v>
      </c>
      <c r="F21" s="99" t="s">
        <v>190</v>
      </c>
    </row>
    <row r="22" spans="1:6" ht="33" customHeight="1">
      <c r="A22" s="35">
        <v>2</v>
      </c>
      <c r="B22" s="36" t="s">
        <v>146</v>
      </c>
      <c r="C22" s="37" t="s">
        <v>45</v>
      </c>
      <c r="D22" s="98">
        <v>2525000000</v>
      </c>
      <c r="E22" s="98">
        <v>950000000</v>
      </c>
      <c r="F22" s="98">
        <v>4378500000</v>
      </c>
    </row>
    <row r="23" spans="1:6">
      <c r="A23" s="58" t="s">
        <v>189</v>
      </c>
      <c r="B23" s="58" t="s">
        <v>189</v>
      </c>
      <c r="C23" s="58" t="s">
        <v>189</v>
      </c>
      <c r="D23" s="99" t="s">
        <v>189</v>
      </c>
      <c r="E23" s="99" t="s">
        <v>190</v>
      </c>
      <c r="F23" s="99" t="s">
        <v>190</v>
      </c>
    </row>
    <row r="24" spans="1:6" ht="36" customHeight="1">
      <c r="A24" s="38"/>
      <c r="B24" s="39" t="s">
        <v>147</v>
      </c>
      <c r="C24" s="40" t="s">
        <v>46</v>
      </c>
      <c r="D24" s="98">
        <v>2525000000</v>
      </c>
      <c r="E24" s="98">
        <v>950000000</v>
      </c>
      <c r="F24" s="98">
        <v>4378500000</v>
      </c>
    </row>
    <row r="25" spans="1:6" ht="36" customHeight="1">
      <c r="A25" s="38"/>
      <c r="B25" s="39" t="s">
        <v>148</v>
      </c>
      <c r="C25" s="40" t="s">
        <v>47</v>
      </c>
      <c r="D25" s="98">
        <v>0</v>
      </c>
      <c r="E25" s="98">
        <v>0</v>
      </c>
      <c r="F25" s="98">
        <v>0</v>
      </c>
    </row>
    <row r="26" spans="1:6" ht="36" customHeight="1">
      <c r="A26" s="35">
        <v>3</v>
      </c>
      <c r="B26" s="36" t="s">
        <v>149</v>
      </c>
      <c r="C26" s="37" t="s">
        <v>48</v>
      </c>
      <c r="D26" s="98">
        <v>13476238</v>
      </c>
      <c r="E26" s="98">
        <v>18848527</v>
      </c>
      <c r="F26" s="98">
        <v>54180078</v>
      </c>
    </row>
    <row r="27" spans="1:6">
      <c r="A27" s="58" t="s">
        <v>189</v>
      </c>
      <c r="B27" s="58" t="s">
        <v>189</v>
      </c>
      <c r="C27" s="58" t="s">
        <v>189</v>
      </c>
      <c r="D27" s="99" t="s">
        <v>189</v>
      </c>
      <c r="E27" s="99" t="s">
        <v>189</v>
      </c>
      <c r="F27" s="99" t="s">
        <v>189</v>
      </c>
    </row>
    <row r="28" spans="1:6" ht="31.5" customHeight="1">
      <c r="A28" s="38"/>
      <c r="B28" s="39" t="s">
        <v>145</v>
      </c>
      <c r="C28" s="40" t="s">
        <v>49</v>
      </c>
      <c r="D28" s="98">
        <v>13476238</v>
      </c>
      <c r="E28" s="98">
        <v>18848527</v>
      </c>
      <c r="F28" s="98">
        <v>54180078</v>
      </c>
    </row>
    <row r="29" spans="1:6" ht="31.5" customHeight="1">
      <c r="A29" s="38"/>
      <c r="B29" s="39" t="s">
        <v>242</v>
      </c>
      <c r="C29" s="40" t="s">
        <v>50</v>
      </c>
      <c r="D29" s="98">
        <v>0</v>
      </c>
      <c r="E29" s="98">
        <v>0</v>
      </c>
      <c r="F29" s="98">
        <v>0</v>
      </c>
    </row>
    <row r="30" spans="1:6" ht="31.5" customHeight="1">
      <c r="A30" s="38"/>
      <c r="B30" s="39" t="s">
        <v>164</v>
      </c>
      <c r="C30" s="40" t="s">
        <v>144</v>
      </c>
      <c r="D30" s="98">
        <v>0</v>
      </c>
      <c r="E30" s="98">
        <v>0</v>
      </c>
      <c r="F30" s="98">
        <v>0</v>
      </c>
    </row>
    <row r="31" spans="1:6" s="17" customFormat="1" ht="31.5" customHeight="1">
      <c r="A31" s="35">
        <v>4</v>
      </c>
      <c r="B31" s="36" t="s">
        <v>150</v>
      </c>
      <c r="C31" s="37" t="s">
        <v>51</v>
      </c>
      <c r="D31" s="98">
        <v>0</v>
      </c>
      <c r="E31" s="98">
        <v>0</v>
      </c>
      <c r="F31" s="98">
        <v>0</v>
      </c>
    </row>
    <row r="32" spans="1:6">
      <c r="A32" s="58" t="s">
        <v>189</v>
      </c>
      <c r="B32" s="58" t="s">
        <v>189</v>
      </c>
      <c r="C32" s="58" t="s">
        <v>189</v>
      </c>
      <c r="D32" s="99" t="s">
        <v>189</v>
      </c>
      <c r="E32" s="99" t="s">
        <v>189</v>
      </c>
      <c r="F32" s="99" t="s">
        <v>189</v>
      </c>
    </row>
    <row r="33" spans="1:6" ht="31" customHeight="1">
      <c r="A33" s="41"/>
      <c r="B33" s="42" t="s">
        <v>151</v>
      </c>
      <c r="C33" s="43" t="s">
        <v>52</v>
      </c>
      <c r="D33" s="98">
        <v>0</v>
      </c>
      <c r="E33" s="98">
        <v>0</v>
      </c>
      <c r="F33" s="98">
        <v>0</v>
      </c>
    </row>
    <row r="34" spans="1:6" ht="31" customHeight="1">
      <c r="A34" s="41"/>
      <c r="B34" s="42" t="s">
        <v>152</v>
      </c>
      <c r="C34" s="43" t="s">
        <v>53</v>
      </c>
      <c r="D34" s="98">
        <v>0</v>
      </c>
      <c r="E34" s="98">
        <v>0</v>
      </c>
      <c r="F34" s="98">
        <v>0</v>
      </c>
    </row>
    <row r="35" spans="1:6" ht="75">
      <c r="A35" s="41"/>
      <c r="B35" s="42" t="s">
        <v>31</v>
      </c>
      <c r="C35" s="43" t="s">
        <v>54</v>
      </c>
      <c r="D35" s="98">
        <v>0</v>
      </c>
      <c r="E35" s="98">
        <v>0</v>
      </c>
      <c r="F35" s="98">
        <v>0</v>
      </c>
    </row>
    <row r="36" spans="1:6" ht="34.5" customHeight="1">
      <c r="A36" s="94" t="s">
        <v>21</v>
      </c>
      <c r="B36" s="95" t="s">
        <v>153</v>
      </c>
      <c r="C36" s="96" t="s">
        <v>55</v>
      </c>
      <c r="D36" s="101">
        <v>1542587292</v>
      </c>
      <c r="E36" s="101">
        <v>1365297617</v>
      </c>
      <c r="F36" s="101">
        <v>6688541809</v>
      </c>
    </row>
    <row r="37" spans="1:6" ht="34.5" customHeight="1">
      <c r="A37" s="35">
        <v>1</v>
      </c>
      <c r="B37" s="36" t="s">
        <v>191</v>
      </c>
      <c r="C37" s="37" t="s">
        <v>56</v>
      </c>
      <c r="D37" s="98">
        <v>930562323</v>
      </c>
      <c r="E37" s="98">
        <v>841492343</v>
      </c>
      <c r="F37" s="98">
        <v>4422107625</v>
      </c>
    </row>
    <row r="38" spans="1:6">
      <c r="A38" s="58" t="s">
        <v>189</v>
      </c>
      <c r="B38" s="58" t="s">
        <v>189</v>
      </c>
      <c r="C38" s="58" t="s">
        <v>189</v>
      </c>
      <c r="D38" s="99" t="s">
        <v>189</v>
      </c>
      <c r="E38" s="99" t="s">
        <v>189</v>
      </c>
      <c r="F38" s="99" t="s">
        <v>189</v>
      </c>
    </row>
    <row r="39" spans="1:6" ht="61.5" customHeight="1">
      <c r="A39" s="35">
        <v>2</v>
      </c>
      <c r="B39" s="36" t="s">
        <v>244</v>
      </c>
      <c r="C39" s="37" t="s">
        <v>57</v>
      </c>
      <c r="D39" s="98">
        <v>67596990</v>
      </c>
      <c r="E39" s="98">
        <v>67448784</v>
      </c>
      <c r="F39" s="98">
        <v>318697892</v>
      </c>
    </row>
    <row r="40" spans="1:6">
      <c r="A40" s="58" t="s">
        <v>189</v>
      </c>
      <c r="B40" s="58" t="s">
        <v>189</v>
      </c>
      <c r="C40" s="58" t="s">
        <v>189</v>
      </c>
      <c r="D40" s="99" t="s">
        <v>189</v>
      </c>
      <c r="E40" s="99" t="s">
        <v>189</v>
      </c>
      <c r="F40" s="99" t="s">
        <v>189</v>
      </c>
    </row>
    <row r="41" spans="1:6" ht="30.5" customHeight="1">
      <c r="A41" s="44"/>
      <c r="B41" s="39" t="s">
        <v>192</v>
      </c>
      <c r="C41" s="40" t="s">
        <v>58</v>
      </c>
      <c r="D41" s="98">
        <v>22000000</v>
      </c>
      <c r="E41" s="98">
        <v>22000000</v>
      </c>
      <c r="F41" s="98">
        <v>110000000</v>
      </c>
    </row>
    <row r="42" spans="1:6" ht="30.5" customHeight="1">
      <c r="A42" s="44"/>
      <c r="B42" s="39" t="s">
        <v>193</v>
      </c>
      <c r="C42" s="40" t="s">
        <v>59</v>
      </c>
      <c r="D42" s="98">
        <v>16500000</v>
      </c>
      <c r="E42" s="98">
        <v>16815000</v>
      </c>
      <c r="F42" s="98">
        <v>64915000</v>
      </c>
    </row>
    <row r="43" spans="1:6" ht="57" customHeight="1">
      <c r="A43" s="44"/>
      <c r="B43" s="39" t="s">
        <v>245</v>
      </c>
      <c r="C43" s="40" t="s">
        <v>60</v>
      </c>
      <c r="D43" s="98">
        <v>3796990</v>
      </c>
      <c r="E43" s="98">
        <v>3333784</v>
      </c>
      <c r="F43" s="98">
        <v>17282892</v>
      </c>
    </row>
    <row r="44" spans="1:6" ht="34" customHeight="1">
      <c r="A44" s="44"/>
      <c r="B44" s="39" t="s">
        <v>194</v>
      </c>
      <c r="C44" s="40" t="s">
        <v>61</v>
      </c>
      <c r="D44" s="98">
        <v>25300000</v>
      </c>
      <c r="E44" s="98">
        <v>25300000</v>
      </c>
      <c r="F44" s="98">
        <v>126500000</v>
      </c>
    </row>
    <row r="45" spans="1:6" ht="72" customHeight="1">
      <c r="A45" s="35">
        <v>3</v>
      </c>
      <c r="B45" s="45" t="s">
        <v>195</v>
      </c>
      <c r="C45" s="37" t="s">
        <v>62</v>
      </c>
      <c r="D45" s="98">
        <v>29111168</v>
      </c>
      <c r="E45" s="98">
        <v>27588212</v>
      </c>
      <c r="F45" s="98">
        <v>141611167</v>
      </c>
    </row>
    <row r="46" spans="1:6">
      <c r="A46" s="58" t="s">
        <v>189</v>
      </c>
      <c r="B46" s="58" t="s">
        <v>189</v>
      </c>
      <c r="C46" s="58" t="s">
        <v>189</v>
      </c>
      <c r="D46" s="99" t="s">
        <v>189</v>
      </c>
      <c r="E46" s="99" t="s">
        <v>189</v>
      </c>
      <c r="F46" s="99" t="s">
        <v>189</v>
      </c>
    </row>
    <row r="47" spans="1:6" ht="33" customHeight="1">
      <c r="A47" s="44"/>
      <c r="B47" s="46" t="s">
        <v>165</v>
      </c>
      <c r="C47" s="40" t="s">
        <v>63</v>
      </c>
      <c r="D47" s="98">
        <v>15911168</v>
      </c>
      <c r="E47" s="98">
        <v>14388212</v>
      </c>
      <c r="F47" s="98">
        <v>75611167</v>
      </c>
    </row>
    <row r="48" spans="1:6" ht="33" customHeight="1">
      <c r="A48" s="44"/>
      <c r="B48" s="46" t="s">
        <v>32</v>
      </c>
      <c r="C48" s="40" t="s">
        <v>64</v>
      </c>
      <c r="D48" s="98">
        <v>13200000</v>
      </c>
      <c r="E48" s="98">
        <v>13200000</v>
      </c>
      <c r="F48" s="98">
        <v>66000000</v>
      </c>
    </row>
    <row r="49" spans="1:6" ht="33" customHeight="1">
      <c r="A49" s="44">
        <v>4</v>
      </c>
      <c r="B49" s="46" t="s">
        <v>196</v>
      </c>
      <c r="C49" s="40"/>
      <c r="D49" s="98">
        <v>0</v>
      </c>
      <c r="E49" s="98">
        <v>0</v>
      </c>
      <c r="F49" s="98">
        <v>0</v>
      </c>
    </row>
    <row r="50" spans="1:6">
      <c r="A50" s="58" t="s">
        <v>189</v>
      </c>
      <c r="B50" s="58" t="s">
        <v>189</v>
      </c>
      <c r="C50" s="58" t="s">
        <v>189</v>
      </c>
      <c r="D50" s="99" t="s">
        <v>189</v>
      </c>
      <c r="E50" s="99" t="s">
        <v>189</v>
      </c>
      <c r="F50" s="99" t="s">
        <v>189</v>
      </c>
    </row>
    <row r="51" spans="1:6" ht="33" customHeight="1">
      <c r="A51" s="44">
        <v>5</v>
      </c>
      <c r="B51" s="46" t="s">
        <v>197</v>
      </c>
      <c r="C51" s="40"/>
      <c r="D51" s="98">
        <v>0</v>
      </c>
      <c r="E51" s="98">
        <v>0</v>
      </c>
      <c r="F51" s="98">
        <v>0</v>
      </c>
    </row>
    <row r="52" spans="1:6">
      <c r="A52" s="58" t="s">
        <v>189</v>
      </c>
      <c r="B52" s="58" t="s">
        <v>189</v>
      </c>
      <c r="C52" s="58" t="s">
        <v>189</v>
      </c>
      <c r="D52" s="99" t="s">
        <v>189</v>
      </c>
      <c r="E52" s="99" t="s">
        <v>189</v>
      </c>
      <c r="F52" s="99" t="s">
        <v>189</v>
      </c>
    </row>
    <row r="53" spans="1:6" ht="31.5" customHeight="1">
      <c r="A53" s="35">
        <v>6</v>
      </c>
      <c r="B53" s="36" t="s">
        <v>33</v>
      </c>
      <c r="C53" s="37" t="s">
        <v>65</v>
      </c>
      <c r="D53" s="98">
        <v>14667671</v>
      </c>
      <c r="E53" s="98">
        <v>14194520</v>
      </c>
      <c r="F53" s="98">
        <v>70872921</v>
      </c>
    </row>
    <row r="54" spans="1:6">
      <c r="A54" s="58" t="s">
        <v>189</v>
      </c>
      <c r="B54" s="58" t="s">
        <v>189</v>
      </c>
      <c r="C54" s="58" t="s">
        <v>189</v>
      </c>
      <c r="D54" s="99" t="s">
        <v>189</v>
      </c>
      <c r="E54" s="99" t="s">
        <v>189</v>
      </c>
      <c r="F54" s="99" t="s">
        <v>189</v>
      </c>
    </row>
    <row r="55" spans="1:6" ht="70.5" customHeight="1">
      <c r="A55" s="35">
        <v>7</v>
      </c>
      <c r="B55" s="36" t="s">
        <v>166</v>
      </c>
      <c r="C55" s="37" t="s">
        <v>66</v>
      </c>
      <c r="D55" s="98">
        <v>14551152</v>
      </c>
      <c r="E55" s="98">
        <v>11688088</v>
      </c>
      <c r="F55" s="98">
        <v>52211843</v>
      </c>
    </row>
    <row r="56" spans="1:6">
      <c r="A56" s="58" t="s">
        <v>189</v>
      </c>
      <c r="B56" s="58" t="s">
        <v>189</v>
      </c>
      <c r="C56" s="58" t="s">
        <v>189</v>
      </c>
      <c r="D56" s="99" t="s">
        <v>189</v>
      </c>
      <c r="E56" s="99" t="s">
        <v>189</v>
      </c>
      <c r="F56" s="99" t="s">
        <v>189</v>
      </c>
    </row>
    <row r="57" spans="1:6" ht="31" customHeight="1">
      <c r="A57" s="44"/>
      <c r="B57" s="10" t="s">
        <v>167</v>
      </c>
      <c r="C57" s="40" t="s">
        <v>67</v>
      </c>
      <c r="D57" s="98">
        <v>8679452</v>
      </c>
      <c r="E57" s="98">
        <v>8657534</v>
      </c>
      <c r="F57" s="98">
        <v>43309589</v>
      </c>
    </row>
    <row r="58" spans="1:6" ht="31" customHeight="1">
      <c r="A58" s="44"/>
      <c r="B58" s="10" t="s">
        <v>154</v>
      </c>
      <c r="C58" s="40" t="s">
        <v>68</v>
      </c>
      <c r="D58" s="98">
        <v>0</v>
      </c>
      <c r="E58" s="98">
        <v>0</v>
      </c>
      <c r="F58" s="98">
        <v>0</v>
      </c>
    </row>
    <row r="59" spans="1:6" ht="31" customHeight="1">
      <c r="A59" s="44"/>
      <c r="B59" s="10" t="s">
        <v>34</v>
      </c>
      <c r="C59" s="40" t="s">
        <v>69</v>
      </c>
      <c r="D59" s="98">
        <v>5871700</v>
      </c>
      <c r="E59" s="98">
        <v>3030554</v>
      </c>
      <c r="F59" s="98">
        <v>8902254</v>
      </c>
    </row>
    <row r="60" spans="1:6" ht="147" customHeight="1">
      <c r="A60" s="35">
        <v>8</v>
      </c>
      <c r="B60" s="45" t="s">
        <v>168</v>
      </c>
      <c r="C60" s="37" t="s">
        <v>70</v>
      </c>
      <c r="D60" s="98">
        <v>3549037</v>
      </c>
      <c r="E60" s="98">
        <v>3434552</v>
      </c>
      <c r="F60" s="98">
        <v>17287245</v>
      </c>
    </row>
    <row r="61" spans="1:6">
      <c r="A61" s="58" t="s">
        <v>189</v>
      </c>
      <c r="B61" s="58" t="s">
        <v>189</v>
      </c>
      <c r="C61" s="58" t="s">
        <v>189</v>
      </c>
      <c r="D61" s="99" t="s">
        <v>189</v>
      </c>
      <c r="E61" s="99" t="s">
        <v>189</v>
      </c>
      <c r="F61" s="99" t="s">
        <v>189</v>
      </c>
    </row>
    <row r="62" spans="1:6" ht="30" customHeight="1">
      <c r="A62" s="44"/>
      <c r="B62" s="46" t="s">
        <v>155</v>
      </c>
      <c r="C62" s="40" t="s">
        <v>71</v>
      </c>
      <c r="D62" s="98">
        <v>3549037</v>
      </c>
      <c r="E62" s="98">
        <v>3434552</v>
      </c>
      <c r="F62" s="98">
        <v>17287245</v>
      </c>
    </row>
    <row r="63" spans="1:6" ht="30" customHeight="1">
      <c r="A63" s="44"/>
      <c r="B63" s="46" t="s">
        <v>142</v>
      </c>
      <c r="C63" s="40" t="s">
        <v>72</v>
      </c>
      <c r="D63" s="98">
        <v>0</v>
      </c>
      <c r="E63" s="98">
        <v>0</v>
      </c>
      <c r="F63" s="98">
        <v>0</v>
      </c>
    </row>
    <row r="64" spans="1:6" s="17" customFormat="1" ht="48" customHeight="1">
      <c r="A64" s="44"/>
      <c r="B64" s="46" t="s">
        <v>169</v>
      </c>
      <c r="C64" s="40" t="s">
        <v>73</v>
      </c>
      <c r="D64" s="98">
        <v>0</v>
      </c>
      <c r="E64" s="98">
        <v>0</v>
      </c>
      <c r="F64" s="98">
        <v>0</v>
      </c>
    </row>
    <row r="65" spans="1:6" s="17" customFormat="1" ht="32.5" customHeight="1">
      <c r="A65" s="44"/>
      <c r="B65" s="10" t="s">
        <v>156</v>
      </c>
      <c r="C65" s="40" t="s">
        <v>74</v>
      </c>
      <c r="D65" s="98">
        <v>0</v>
      </c>
      <c r="E65" s="98">
        <v>0</v>
      </c>
      <c r="F65" s="98">
        <v>0</v>
      </c>
    </row>
    <row r="66" spans="1:6" ht="35" customHeight="1">
      <c r="A66" s="44"/>
      <c r="B66" s="10" t="s">
        <v>198</v>
      </c>
      <c r="C66" s="40" t="s">
        <v>75</v>
      </c>
      <c r="D66" s="98">
        <v>0</v>
      </c>
      <c r="E66" s="98">
        <v>0</v>
      </c>
      <c r="F66" s="98">
        <v>0</v>
      </c>
    </row>
    <row r="67" spans="1:6" ht="57.5" customHeight="1">
      <c r="A67" s="35">
        <v>9</v>
      </c>
      <c r="B67" s="36" t="s">
        <v>170</v>
      </c>
      <c r="C67" s="37" t="s">
        <v>76</v>
      </c>
      <c r="D67" s="98">
        <v>474138264</v>
      </c>
      <c r="E67" s="98">
        <v>389952180</v>
      </c>
      <c r="F67" s="98">
        <v>1622024076</v>
      </c>
    </row>
    <row r="68" spans="1:6" s="17" customFormat="1">
      <c r="A68" s="58" t="s">
        <v>189</v>
      </c>
      <c r="B68" s="58" t="s">
        <v>189</v>
      </c>
      <c r="C68" s="58" t="s">
        <v>189</v>
      </c>
      <c r="D68" s="99" t="s">
        <v>189</v>
      </c>
      <c r="E68" s="99" t="s">
        <v>189</v>
      </c>
      <c r="F68" s="99" t="s">
        <v>189</v>
      </c>
    </row>
    <row r="69" spans="1:6" s="17" customFormat="1" ht="30.5" customHeight="1">
      <c r="A69" s="44"/>
      <c r="B69" s="39" t="s">
        <v>35</v>
      </c>
      <c r="C69" s="40" t="s">
        <v>77</v>
      </c>
      <c r="D69" s="98">
        <v>472938119</v>
      </c>
      <c r="E69" s="98">
        <v>388977736</v>
      </c>
      <c r="F69" s="98">
        <v>1618146166</v>
      </c>
    </row>
    <row r="70" spans="1:6" s="17" customFormat="1" ht="30.5" customHeight="1">
      <c r="A70" s="44"/>
      <c r="B70" s="39" t="s">
        <v>36</v>
      </c>
      <c r="C70" s="40" t="s">
        <v>78</v>
      </c>
      <c r="D70" s="98">
        <v>1200145</v>
      </c>
      <c r="E70" s="98">
        <v>974444</v>
      </c>
      <c r="F70" s="98">
        <v>3877910</v>
      </c>
    </row>
    <row r="71" spans="1:6" ht="30.5" customHeight="1">
      <c r="A71" s="44"/>
      <c r="B71" s="39" t="s">
        <v>37</v>
      </c>
      <c r="C71" s="40" t="s">
        <v>79</v>
      </c>
      <c r="D71" s="98">
        <v>0</v>
      </c>
      <c r="E71" s="98">
        <v>0</v>
      </c>
      <c r="F71" s="98">
        <v>0</v>
      </c>
    </row>
    <row r="72" spans="1:6" ht="30.5" customHeight="1">
      <c r="A72" s="35">
        <v>10</v>
      </c>
      <c r="B72" s="36" t="s">
        <v>199</v>
      </c>
      <c r="C72" s="37" t="s">
        <v>80</v>
      </c>
      <c r="D72" s="98">
        <v>8410687</v>
      </c>
      <c r="E72" s="98">
        <v>9498938</v>
      </c>
      <c r="F72" s="98">
        <v>43729040</v>
      </c>
    </row>
    <row r="73" spans="1:6">
      <c r="A73" s="58" t="s">
        <v>189</v>
      </c>
      <c r="B73" s="58" t="s">
        <v>189</v>
      </c>
      <c r="C73" s="58" t="s">
        <v>189</v>
      </c>
      <c r="D73" s="99" t="s">
        <v>189</v>
      </c>
      <c r="E73" s="99" t="s">
        <v>189</v>
      </c>
      <c r="F73" s="99" t="s">
        <v>189</v>
      </c>
    </row>
    <row r="74" spans="1:6" ht="31" customHeight="1">
      <c r="A74" s="35"/>
      <c r="B74" s="39" t="s">
        <v>38</v>
      </c>
      <c r="C74" s="40" t="s">
        <v>81</v>
      </c>
      <c r="D74" s="98">
        <v>0</v>
      </c>
      <c r="E74" s="98">
        <v>0</v>
      </c>
      <c r="F74" s="98">
        <v>0</v>
      </c>
    </row>
    <row r="75" spans="1:6" ht="31" customHeight="1">
      <c r="A75" s="35"/>
      <c r="B75" s="39" t="s">
        <v>171</v>
      </c>
      <c r="C75" s="40" t="s">
        <v>82</v>
      </c>
      <c r="D75" s="98">
        <v>0</v>
      </c>
      <c r="E75" s="98">
        <v>0</v>
      </c>
      <c r="F75" s="98">
        <v>0</v>
      </c>
    </row>
    <row r="76" spans="1:6" ht="31" customHeight="1">
      <c r="A76" s="35"/>
      <c r="B76" s="39" t="s">
        <v>39</v>
      </c>
      <c r="C76" s="40" t="s">
        <v>83</v>
      </c>
      <c r="D76" s="98">
        <v>636987</v>
      </c>
      <c r="E76" s="98">
        <v>616438</v>
      </c>
      <c r="F76" s="98">
        <v>3102740</v>
      </c>
    </row>
    <row r="77" spans="1:6" ht="31" customHeight="1">
      <c r="A77" s="35"/>
      <c r="B77" s="39" t="s">
        <v>40</v>
      </c>
      <c r="C77" s="40" t="s">
        <v>84</v>
      </c>
      <c r="D77" s="98">
        <v>7773700</v>
      </c>
      <c r="E77" s="98">
        <v>7782500</v>
      </c>
      <c r="F77" s="98">
        <v>39526300</v>
      </c>
    </row>
    <row r="78" spans="1:6" ht="31" customHeight="1">
      <c r="A78" s="35"/>
      <c r="B78" s="39" t="s">
        <v>172</v>
      </c>
      <c r="C78" s="40" t="s">
        <v>85</v>
      </c>
      <c r="D78" s="98">
        <v>0</v>
      </c>
      <c r="E78" s="98">
        <v>0</v>
      </c>
      <c r="F78" s="98">
        <v>0</v>
      </c>
    </row>
    <row r="79" spans="1:6" ht="31" customHeight="1">
      <c r="A79" s="35"/>
      <c r="B79" s="39" t="s">
        <v>37</v>
      </c>
      <c r="C79" s="40" t="s">
        <v>86</v>
      </c>
      <c r="D79" s="98">
        <v>0</v>
      </c>
      <c r="E79" s="98">
        <v>0</v>
      </c>
      <c r="F79" s="98">
        <v>0</v>
      </c>
    </row>
    <row r="80" spans="1:6" ht="35.5" customHeight="1">
      <c r="A80" s="35"/>
      <c r="B80" s="39" t="s">
        <v>243</v>
      </c>
      <c r="C80" s="40" t="s">
        <v>87</v>
      </c>
      <c r="D80" s="98">
        <v>0</v>
      </c>
      <c r="E80" s="98">
        <v>1100000</v>
      </c>
      <c r="F80" s="98">
        <v>1100000</v>
      </c>
    </row>
    <row r="81" spans="1:6" ht="37.5">
      <c r="A81" s="100" t="s">
        <v>23</v>
      </c>
      <c r="B81" s="95" t="s">
        <v>173</v>
      </c>
      <c r="C81" s="96" t="s">
        <v>88</v>
      </c>
      <c r="D81" s="101">
        <v>995888946</v>
      </c>
      <c r="E81" s="101">
        <v>-396449090</v>
      </c>
      <c r="F81" s="101">
        <v>-2255861731</v>
      </c>
    </row>
    <row r="82" spans="1:6" ht="35" customHeight="1">
      <c r="A82" s="100" t="s">
        <v>24</v>
      </c>
      <c r="B82" s="95" t="s">
        <v>157</v>
      </c>
      <c r="C82" s="96" t="s">
        <v>89</v>
      </c>
      <c r="D82" s="101">
        <v>40634363300</v>
      </c>
      <c r="E82" s="101">
        <v>-20465952000</v>
      </c>
      <c r="F82" s="101">
        <v>8269866300</v>
      </c>
    </row>
    <row r="83" spans="1:6" ht="60.5" customHeight="1">
      <c r="A83" s="35">
        <v>1</v>
      </c>
      <c r="B83" s="36" t="s">
        <v>200</v>
      </c>
      <c r="C83" s="37" t="s">
        <v>90</v>
      </c>
      <c r="D83" s="98">
        <v>6408633412</v>
      </c>
      <c r="E83" s="98">
        <v>-5634664410</v>
      </c>
      <c r="F83" s="98">
        <v>13633611657</v>
      </c>
    </row>
    <row r="84" spans="1:6" ht="38" customHeight="1">
      <c r="A84" s="35">
        <v>2</v>
      </c>
      <c r="B84" s="36" t="s">
        <v>41</v>
      </c>
      <c r="C84" s="37" t="s">
        <v>91</v>
      </c>
      <c r="D84" s="98">
        <v>34225729888</v>
      </c>
      <c r="E84" s="98">
        <v>-14831287590</v>
      </c>
      <c r="F84" s="98">
        <v>-5363745357</v>
      </c>
    </row>
    <row r="85" spans="1:6" ht="71" customHeight="1">
      <c r="A85" s="100" t="s">
        <v>25</v>
      </c>
      <c r="B85" s="95" t="s">
        <v>174</v>
      </c>
      <c r="C85" s="96" t="s">
        <v>92</v>
      </c>
      <c r="D85" s="101">
        <v>41630252246</v>
      </c>
      <c r="E85" s="101">
        <v>-20862401090</v>
      </c>
      <c r="F85" s="101">
        <v>6014004569</v>
      </c>
    </row>
    <row r="86" spans="1:6" ht="37.5" customHeight="1">
      <c r="A86" s="100" t="s">
        <v>26</v>
      </c>
      <c r="B86" s="95" t="s">
        <v>42</v>
      </c>
      <c r="C86" s="96" t="s">
        <v>93</v>
      </c>
      <c r="D86" s="101">
        <v>547729620491</v>
      </c>
      <c r="E86" s="101">
        <v>536528442962</v>
      </c>
      <c r="F86" s="101">
        <v>560458313564</v>
      </c>
    </row>
    <row r="87" spans="1:6" ht="62.25" customHeight="1">
      <c r="A87" s="100" t="s">
        <v>27</v>
      </c>
      <c r="B87" s="95" t="s">
        <v>238</v>
      </c>
      <c r="C87" s="96" t="s">
        <v>94</v>
      </c>
      <c r="D87" s="101">
        <v>25048331852</v>
      </c>
      <c r="E87" s="101">
        <v>11201177529</v>
      </c>
      <c r="F87" s="101">
        <v>12319638779</v>
      </c>
    </row>
    <row r="88" spans="1:6" s="17" customFormat="1" ht="61" customHeight="1">
      <c r="A88" s="35">
        <v>1</v>
      </c>
      <c r="B88" s="36" t="s">
        <v>201</v>
      </c>
      <c r="C88" s="37" t="s">
        <v>95</v>
      </c>
      <c r="D88" s="98">
        <v>41630252246</v>
      </c>
      <c r="E88" s="98">
        <v>-20862401090</v>
      </c>
      <c r="F88" s="98">
        <v>6014004569</v>
      </c>
    </row>
    <row r="89" spans="1:6" ht="63.5" customHeight="1">
      <c r="A89" s="35">
        <v>2</v>
      </c>
      <c r="B89" s="36" t="s">
        <v>202</v>
      </c>
      <c r="C89" s="37" t="s">
        <v>96</v>
      </c>
      <c r="D89" s="98">
        <v>-29779370348</v>
      </c>
      <c r="E89" s="98">
        <v>0</v>
      </c>
      <c r="F89" s="98">
        <v>-29779370348</v>
      </c>
    </row>
    <row r="90" spans="1:6" ht="66" customHeight="1">
      <c r="A90" s="35">
        <v>3</v>
      </c>
      <c r="B90" s="36" t="s">
        <v>203</v>
      </c>
      <c r="C90" s="37" t="s">
        <v>97</v>
      </c>
      <c r="D90" s="98">
        <v>13197449954</v>
      </c>
      <c r="E90" s="98">
        <v>32063578619</v>
      </c>
      <c r="F90" s="98">
        <v>36085004558</v>
      </c>
    </row>
    <row r="91" spans="1:6" ht="59.5" customHeight="1">
      <c r="A91" s="35"/>
      <c r="B91" s="36" t="s">
        <v>175</v>
      </c>
      <c r="C91" s="37" t="s">
        <v>204</v>
      </c>
      <c r="D91" s="98">
        <v>37567372542</v>
      </c>
      <c r="E91" s="98">
        <v>55227329860</v>
      </c>
      <c r="F91" s="98">
        <v>150729680522</v>
      </c>
    </row>
    <row r="92" spans="1:6" ht="50.5" customHeight="1">
      <c r="A92" s="35"/>
      <c r="B92" s="36" t="s">
        <v>176</v>
      </c>
      <c r="C92" s="37" t="s">
        <v>205</v>
      </c>
      <c r="D92" s="98">
        <v>-24369922588</v>
      </c>
      <c r="E92" s="98">
        <v>-23163751241</v>
      </c>
      <c r="F92" s="98">
        <v>-114644675964</v>
      </c>
    </row>
    <row r="93" spans="1:6" s="20" customFormat="1" ht="38" customHeight="1">
      <c r="A93" s="94" t="s">
        <v>28</v>
      </c>
      <c r="B93" s="95" t="s">
        <v>43</v>
      </c>
      <c r="C93" s="96" t="s">
        <v>98</v>
      </c>
      <c r="D93" s="101">
        <v>572777952343</v>
      </c>
      <c r="E93" s="101">
        <v>547729620491</v>
      </c>
      <c r="F93" s="101">
        <v>572777952343</v>
      </c>
    </row>
    <row r="94" spans="1:6" ht="61" customHeight="1">
      <c r="A94" s="94" t="s">
        <v>29</v>
      </c>
      <c r="B94" s="95" t="s">
        <v>158</v>
      </c>
      <c r="C94" s="96" t="s">
        <v>99</v>
      </c>
      <c r="D94" s="101">
        <v>0</v>
      </c>
      <c r="E94" s="101">
        <v>0</v>
      </c>
      <c r="F94" s="101">
        <v>0</v>
      </c>
    </row>
    <row r="95" spans="1:6" ht="72" customHeight="1">
      <c r="A95" s="47"/>
      <c r="B95" s="36" t="s">
        <v>159</v>
      </c>
      <c r="C95" s="37" t="s">
        <v>100</v>
      </c>
      <c r="D95" s="105">
        <v>0</v>
      </c>
      <c r="E95" s="105">
        <v>0</v>
      </c>
      <c r="F95" s="105">
        <v>0</v>
      </c>
    </row>
    <row r="96" spans="1:6" ht="16.899999999999999" customHeight="1"/>
    <row r="97" spans="1:6" ht="16.899999999999999" customHeight="1">
      <c r="A97" s="12" t="s">
        <v>10</v>
      </c>
      <c r="E97" s="12" t="s">
        <v>11</v>
      </c>
    </row>
    <row r="98" spans="1:6" ht="16.899999999999999" customHeight="1">
      <c r="A98" s="13" t="s">
        <v>12</v>
      </c>
      <c r="E98" s="13" t="s">
        <v>13</v>
      </c>
    </row>
    <row r="99" spans="1:6" ht="16.899999999999999" customHeight="1">
      <c r="A99" s="13"/>
      <c r="E99" s="13"/>
    </row>
    <row r="100" spans="1:6" ht="16.899999999999999" customHeight="1">
      <c r="A100" s="13"/>
      <c r="E100" s="13"/>
    </row>
    <row r="101" spans="1:6" ht="16.899999999999999" customHeight="1">
      <c r="A101" s="13"/>
      <c r="E101" s="13"/>
    </row>
    <row r="102" spans="1:6" ht="16.899999999999999" customHeight="1">
      <c r="A102" s="13"/>
      <c r="E102" s="13"/>
    </row>
    <row r="103" spans="1:6" ht="16.899999999999999" customHeight="1">
      <c r="A103" s="13"/>
      <c r="E103" s="13"/>
    </row>
    <row r="104" spans="1:6" ht="16.899999999999999" customHeight="1">
      <c r="A104" s="13"/>
      <c r="E104" s="13"/>
    </row>
    <row r="105" spans="1:6" ht="16.899999999999999" customHeight="1"/>
    <row r="106" spans="1:6" ht="16.899999999999999" customHeight="1"/>
    <row r="107" spans="1:6" ht="16.899999999999999" customHeight="1">
      <c r="A107" s="21" t="s">
        <v>14</v>
      </c>
      <c r="B107" s="22"/>
      <c r="E107" s="21" t="s">
        <v>836</v>
      </c>
      <c r="F107" s="22"/>
    </row>
    <row r="108" spans="1:6" ht="16.899999999999999" customHeight="1">
      <c r="A108" s="18" t="s">
        <v>187</v>
      </c>
      <c r="E108" s="18" t="s">
        <v>843</v>
      </c>
    </row>
    <row r="109" spans="1:6" ht="16.899999999999999" customHeight="1">
      <c r="A109" s="9" t="s">
        <v>844</v>
      </c>
      <c r="E109" s="9" t="s">
        <v>845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2" fitToHeight="0" orientation="portrait" r:id="rId1"/>
  <headerFooter>
    <oddHeader>&amp;L&amp;"Arial"&amp;9&amp;KA80000CONFIDENTIAL&amp;1#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6"/>
  <sheetViews>
    <sheetView view="pageBreakPreview" zoomScale="95" zoomScaleNormal="100" zoomScaleSheetLayoutView="95" workbookViewId="0">
      <selection activeCell="A3" sqref="A3:G4"/>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85"/>
  </cols>
  <sheetData>
    <row r="1" spans="1:7" ht="44.25" customHeight="1">
      <c r="A1" s="161" t="s">
        <v>233</v>
      </c>
      <c r="B1" s="161"/>
      <c r="C1" s="161"/>
      <c r="D1" s="161"/>
      <c r="E1" s="161"/>
      <c r="F1" s="161"/>
      <c r="G1" s="161"/>
    </row>
    <row r="2" spans="1:7" ht="59.25" customHeight="1">
      <c r="A2" s="162" t="s">
        <v>234</v>
      </c>
      <c r="B2" s="162"/>
      <c r="C2" s="162"/>
      <c r="D2" s="162"/>
      <c r="E2" s="162"/>
      <c r="F2" s="162"/>
      <c r="G2" s="162"/>
    </row>
    <row r="3" spans="1:7" ht="15" customHeight="1">
      <c r="A3" s="163" t="s">
        <v>183</v>
      </c>
      <c r="B3" s="163"/>
      <c r="C3" s="163"/>
      <c r="D3" s="163"/>
      <c r="E3" s="163"/>
      <c r="F3" s="163"/>
      <c r="G3" s="163"/>
    </row>
    <row r="4" spans="1:7" ht="27.4" customHeight="1">
      <c r="A4" s="163"/>
      <c r="B4" s="163"/>
      <c r="C4" s="163"/>
      <c r="D4" s="163"/>
      <c r="E4" s="163"/>
      <c r="F4" s="163"/>
      <c r="G4" s="163"/>
    </row>
    <row r="5" spans="1:7" ht="16.899999999999999" customHeight="1">
      <c r="A5" s="164" t="s">
        <v>834</v>
      </c>
      <c r="B5" s="164"/>
      <c r="C5" s="164"/>
      <c r="D5" s="164"/>
      <c r="E5" s="164"/>
      <c r="F5" s="164"/>
      <c r="G5" s="164"/>
    </row>
    <row r="6" spans="1:7" ht="16.899999999999999" customHeight="1"/>
    <row r="7" spans="1:7" ht="16.899999999999999" customHeight="1">
      <c r="A7" s="60" t="s">
        <v>2</v>
      </c>
      <c r="C7" s="165" t="s">
        <v>836</v>
      </c>
      <c r="D7" s="165"/>
      <c r="E7" s="165"/>
      <c r="F7" s="165"/>
      <c r="G7" s="165"/>
    </row>
    <row r="8" spans="1:7" ht="16.899999999999999" customHeight="1">
      <c r="A8" s="9" t="s">
        <v>15</v>
      </c>
      <c r="C8" s="160" t="s">
        <v>837</v>
      </c>
      <c r="D8" s="160"/>
      <c r="E8" s="160"/>
      <c r="F8" s="160"/>
      <c r="G8" s="160"/>
    </row>
    <row r="9" spans="1:7" ht="16.899999999999999" customHeight="1">
      <c r="A9" s="60" t="s">
        <v>3</v>
      </c>
      <c r="C9" s="165" t="s">
        <v>838</v>
      </c>
      <c r="D9" s="165"/>
      <c r="E9" s="165"/>
      <c r="F9" s="165"/>
      <c r="G9" s="165"/>
    </row>
    <row r="10" spans="1:7" ht="16.899999999999999" customHeight="1">
      <c r="A10" s="9" t="s">
        <v>4</v>
      </c>
      <c r="C10" s="160" t="s">
        <v>839</v>
      </c>
      <c r="D10" s="160"/>
      <c r="E10" s="160"/>
      <c r="F10" s="160"/>
      <c r="G10" s="160"/>
    </row>
    <row r="11" spans="1:7" ht="16.899999999999999" customHeight="1">
      <c r="A11" s="60" t="s">
        <v>5</v>
      </c>
      <c r="C11" s="165" t="s">
        <v>840</v>
      </c>
      <c r="D11" s="165"/>
      <c r="E11" s="165"/>
      <c r="F11" s="165"/>
      <c r="G11" s="165"/>
    </row>
    <row r="12" spans="1:7" ht="16.899999999999999" customHeight="1">
      <c r="A12" s="9" t="s">
        <v>6</v>
      </c>
      <c r="C12" s="160" t="s">
        <v>850</v>
      </c>
      <c r="D12" s="160"/>
      <c r="E12" s="160"/>
      <c r="F12" s="160"/>
      <c r="G12" s="160"/>
    </row>
    <row r="13" spans="1:7" ht="16.899999999999999" customHeight="1">
      <c r="A13" s="60" t="s">
        <v>7</v>
      </c>
      <c r="C13" s="165" t="s">
        <v>841</v>
      </c>
      <c r="D13" s="165"/>
      <c r="E13" s="165"/>
      <c r="F13" s="165"/>
      <c r="G13" s="165"/>
    </row>
    <row r="14" spans="1:7" ht="16.899999999999999" customHeight="1">
      <c r="A14" s="9" t="s">
        <v>8</v>
      </c>
      <c r="C14" s="160" t="s">
        <v>842</v>
      </c>
      <c r="D14" s="160"/>
      <c r="E14" s="160"/>
      <c r="F14" s="160"/>
      <c r="G14" s="160"/>
    </row>
    <row r="15" spans="1:7" ht="18" hidden="1" customHeight="1"/>
    <row r="16" spans="1:7" ht="16.899999999999999" customHeight="1">
      <c r="A16" s="54" t="s">
        <v>231</v>
      </c>
      <c r="B16" s="55" t="s">
        <v>232</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80" customHeight="1">
      <c r="A19" s="108" t="s">
        <v>246</v>
      </c>
      <c r="B19" s="107" t="s">
        <v>247</v>
      </c>
      <c r="C19" s="108"/>
      <c r="D19" s="110"/>
      <c r="E19" s="110"/>
      <c r="F19" s="110"/>
      <c r="G19" s="109"/>
    </row>
    <row r="20" spans="1:7" ht="39" customHeight="1">
      <c r="A20" s="103"/>
      <c r="B20" s="102"/>
      <c r="C20" s="104"/>
      <c r="D20" s="106"/>
      <c r="E20" s="112"/>
      <c r="F20" s="106"/>
      <c r="G20" s="105"/>
    </row>
    <row r="21" spans="1:7" ht="39" customHeight="1">
      <c r="A21" s="108"/>
      <c r="B21" s="107" t="s">
        <v>248</v>
      </c>
      <c r="C21" s="108" t="s">
        <v>249</v>
      </c>
      <c r="D21" s="110"/>
      <c r="E21" s="110"/>
      <c r="F21" s="110"/>
      <c r="G21" s="109"/>
    </row>
    <row r="22" spans="1:7" ht="90" customHeight="1">
      <c r="A22" s="108" t="s">
        <v>250</v>
      </c>
      <c r="B22" s="107" t="s">
        <v>251</v>
      </c>
      <c r="C22" s="108" t="s">
        <v>252</v>
      </c>
      <c r="D22" s="110"/>
      <c r="E22" s="110"/>
      <c r="F22" s="110"/>
      <c r="G22" s="109"/>
    </row>
    <row r="23" spans="1:7" ht="39" customHeight="1">
      <c r="A23" s="103"/>
      <c r="B23" s="102"/>
      <c r="C23" s="104"/>
      <c r="D23" s="106"/>
      <c r="E23" s="112"/>
      <c r="F23" s="106"/>
      <c r="G23" s="105"/>
    </row>
    <row r="24" spans="1:7" ht="34" customHeight="1">
      <c r="A24" s="103" t="s">
        <v>253</v>
      </c>
      <c r="B24" s="102" t="s">
        <v>254</v>
      </c>
      <c r="C24" s="104" t="s">
        <v>255</v>
      </c>
      <c r="D24" s="106">
        <v>650000</v>
      </c>
      <c r="E24" s="112">
        <v>21100</v>
      </c>
      <c r="F24" s="106">
        <v>13715000000</v>
      </c>
      <c r="G24" s="105">
        <v>2.1833434572278002E-2</v>
      </c>
    </row>
    <row r="25" spans="1:7" ht="34" customHeight="1">
      <c r="A25" s="103" t="s">
        <v>256</v>
      </c>
      <c r="B25" s="102" t="s">
        <v>257</v>
      </c>
      <c r="C25" s="104" t="s">
        <v>258</v>
      </c>
      <c r="D25" s="106">
        <v>50000</v>
      </c>
      <c r="E25" s="112">
        <v>97800</v>
      </c>
      <c r="F25" s="106">
        <v>4890000000</v>
      </c>
      <c r="G25" s="105">
        <v>7.7845785678774702E-3</v>
      </c>
    </row>
    <row r="26" spans="1:7" ht="34" customHeight="1">
      <c r="A26" s="103" t="s">
        <v>259</v>
      </c>
      <c r="B26" s="102" t="s">
        <v>260</v>
      </c>
      <c r="C26" s="104" t="s">
        <v>261</v>
      </c>
      <c r="D26" s="106">
        <v>150000</v>
      </c>
      <c r="E26" s="112">
        <v>35600</v>
      </c>
      <c r="F26" s="106">
        <v>5340000000</v>
      </c>
      <c r="G26" s="105">
        <v>8.5009508287250905E-3</v>
      </c>
    </row>
    <row r="27" spans="1:7" ht="34" customHeight="1">
      <c r="A27" s="103" t="s">
        <v>262</v>
      </c>
      <c r="B27" s="102" t="s">
        <v>263</v>
      </c>
      <c r="C27" s="104" t="s">
        <v>264</v>
      </c>
      <c r="D27" s="106">
        <v>250000</v>
      </c>
      <c r="E27" s="112">
        <v>36000</v>
      </c>
      <c r="F27" s="106">
        <v>9000000000</v>
      </c>
      <c r="G27" s="105">
        <v>1.43274452169524E-2</v>
      </c>
    </row>
    <row r="28" spans="1:7" ht="34" customHeight="1">
      <c r="A28" s="103" t="s">
        <v>265</v>
      </c>
      <c r="B28" s="102" t="s">
        <v>266</v>
      </c>
      <c r="C28" s="104" t="s">
        <v>267</v>
      </c>
      <c r="D28" s="106">
        <v>40000</v>
      </c>
      <c r="E28" s="112">
        <v>137000</v>
      </c>
      <c r="F28" s="106">
        <v>5480000000</v>
      </c>
      <c r="G28" s="105">
        <v>8.72382219876657E-3</v>
      </c>
    </row>
    <row r="29" spans="1:7" ht="34" customHeight="1">
      <c r="A29" s="103" t="s">
        <v>268</v>
      </c>
      <c r="B29" s="102" t="s">
        <v>269</v>
      </c>
      <c r="C29" s="104" t="s">
        <v>270</v>
      </c>
      <c r="D29" s="106">
        <v>120000</v>
      </c>
      <c r="E29" s="112">
        <v>50500</v>
      </c>
      <c r="F29" s="106">
        <v>6060000000</v>
      </c>
      <c r="G29" s="105">
        <v>9.6471464460812801E-3</v>
      </c>
    </row>
    <row r="30" spans="1:7" ht="34" customHeight="1">
      <c r="A30" s="103" t="s">
        <v>271</v>
      </c>
      <c r="B30" s="102" t="s">
        <v>272</v>
      </c>
      <c r="C30" s="104" t="s">
        <v>273</v>
      </c>
      <c r="D30" s="106">
        <v>100000</v>
      </c>
      <c r="E30" s="112">
        <v>15400</v>
      </c>
      <c r="F30" s="106">
        <v>1540000000</v>
      </c>
      <c r="G30" s="105">
        <v>2.4515850704563001E-3</v>
      </c>
    </row>
    <row r="31" spans="1:7" ht="34" customHeight="1">
      <c r="A31" s="103" t="s">
        <v>274</v>
      </c>
      <c r="B31" s="102" t="s">
        <v>275</v>
      </c>
      <c r="C31" s="104" t="s">
        <v>276</v>
      </c>
      <c r="D31" s="106">
        <v>630000</v>
      </c>
      <c r="E31" s="112">
        <v>38300</v>
      </c>
      <c r="F31" s="106">
        <v>24129000000</v>
      </c>
      <c r="G31" s="105">
        <v>3.8411880626649401E-2</v>
      </c>
    </row>
    <row r="32" spans="1:7" ht="34" customHeight="1">
      <c r="A32" s="103" t="s">
        <v>277</v>
      </c>
      <c r="B32" s="102" t="s">
        <v>278</v>
      </c>
      <c r="C32" s="104" t="s">
        <v>279</v>
      </c>
      <c r="D32" s="106">
        <v>230000</v>
      </c>
      <c r="E32" s="112">
        <v>33100</v>
      </c>
      <c r="F32" s="106">
        <v>7613000000</v>
      </c>
      <c r="G32" s="105">
        <v>1.21194267151843E-2</v>
      </c>
    </row>
    <row r="33" spans="1:7" ht="34" customHeight="1">
      <c r="A33" s="103" t="s">
        <v>280</v>
      </c>
      <c r="B33" s="102" t="s">
        <v>281</v>
      </c>
      <c r="C33" s="104" t="s">
        <v>282</v>
      </c>
      <c r="D33" s="106">
        <v>138600</v>
      </c>
      <c r="E33" s="112">
        <v>68700</v>
      </c>
      <c r="F33" s="106">
        <v>9521820000</v>
      </c>
      <c r="G33" s="105">
        <v>1.51581504906313E-2</v>
      </c>
    </row>
    <row r="34" spans="1:7" ht="34" customHeight="1">
      <c r="A34" s="103" t="s">
        <v>283</v>
      </c>
      <c r="B34" s="102" t="s">
        <v>284</v>
      </c>
      <c r="C34" s="104" t="s">
        <v>285</v>
      </c>
      <c r="D34" s="106">
        <v>708000</v>
      </c>
      <c r="E34" s="112">
        <v>18100</v>
      </c>
      <c r="F34" s="106">
        <v>12814800000</v>
      </c>
      <c r="G34" s="105">
        <v>2.0400371662911299E-2</v>
      </c>
    </row>
    <row r="35" spans="1:7" ht="34" customHeight="1">
      <c r="A35" s="103" t="s">
        <v>286</v>
      </c>
      <c r="B35" s="102" t="s">
        <v>287</v>
      </c>
      <c r="C35" s="104" t="s">
        <v>288</v>
      </c>
      <c r="D35" s="106">
        <v>380000</v>
      </c>
      <c r="E35" s="112">
        <v>22700</v>
      </c>
      <c r="F35" s="106">
        <v>8626000000</v>
      </c>
      <c r="G35" s="105">
        <v>1.3732060271270099E-2</v>
      </c>
    </row>
    <row r="36" spans="1:7" ht="34" customHeight="1">
      <c r="A36" s="103" t="s">
        <v>289</v>
      </c>
      <c r="B36" s="102" t="s">
        <v>290</v>
      </c>
      <c r="C36" s="104" t="s">
        <v>291</v>
      </c>
      <c r="D36" s="106">
        <v>20000</v>
      </c>
      <c r="E36" s="112">
        <v>92100</v>
      </c>
      <c r="F36" s="106">
        <v>1842000000</v>
      </c>
      <c r="G36" s="105">
        <v>2.93235045440292E-3</v>
      </c>
    </row>
    <row r="37" spans="1:7" ht="34" customHeight="1">
      <c r="A37" s="103" t="s">
        <v>292</v>
      </c>
      <c r="B37" s="102" t="s">
        <v>293</v>
      </c>
      <c r="C37" s="104" t="s">
        <v>294</v>
      </c>
      <c r="D37" s="106">
        <v>200000</v>
      </c>
      <c r="E37" s="112">
        <v>116500</v>
      </c>
      <c r="F37" s="106">
        <v>23300000000</v>
      </c>
      <c r="G37" s="105">
        <v>3.7092163728332302E-2</v>
      </c>
    </row>
    <row r="38" spans="1:7" ht="34" customHeight="1">
      <c r="A38" s="103" t="s">
        <v>295</v>
      </c>
      <c r="B38" s="102" t="s">
        <v>296</v>
      </c>
      <c r="C38" s="104" t="s">
        <v>297</v>
      </c>
      <c r="D38" s="106">
        <v>70000</v>
      </c>
      <c r="E38" s="112">
        <v>168000</v>
      </c>
      <c r="F38" s="106">
        <v>11760000000</v>
      </c>
      <c r="G38" s="105">
        <v>1.87211950834845E-2</v>
      </c>
    </row>
    <row r="39" spans="1:7" ht="34" customHeight="1">
      <c r="A39" s="103" t="s">
        <v>298</v>
      </c>
      <c r="B39" s="102" t="s">
        <v>299</v>
      </c>
      <c r="C39" s="104" t="s">
        <v>300</v>
      </c>
      <c r="D39" s="106">
        <v>130800</v>
      </c>
      <c r="E39" s="112">
        <v>59800</v>
      </c>
      <c r="F39" s="106">
        <v>7821840000</v>
      </c>
      <c r="G39" s="105">
        <v>1.24518871217519E-2</v>
      </c>
    </row>
    <row r="40" spans="1:7" ht="34" customHeight="1">
      <c r="A40" s="103" t="s">
        <v>301</v>
      </c>
      <c r="B40" s="102" t="s">
        <v>302</v>
      </c>
      <c r="C40" s="104" t="s">
        <v>303</v>
      </c>
      <c r="D40" s="106">
        <v>640000</v>
      </c>
      <c r="E40" s="112">
        <v>26200</v>
      </c>
      <c r="F40" s="106">
        <v>16768000000</v>
      </c>
      <c r="G40" s="105">
        <v>2.6693622377539701E-2</v>
      </c>
    </row>
    <row r="41" spans="1:7" ht="34" customHeight="1">
      <c r="A41" s="103" t="s">
        <v>304</v>
      </c>
      <c r="B41" s="102" t="s">
        <v>305</v>
      </c>
      <c r="C41" s="104" t="s">
        <v>306</v>
      </c>
      <c r="D41" s="106">
        <v>1040000</v>
      </c>
      <c r="E41" s="112">
        <v>14700</v>
      </c>
      <c r="F41" s="106">
        <v>15288000000</v>
      </c>
      <c r="G41" s="105">
        <v>2.4337553608529801E-2</v>
      </c>
    </row>
    <row r="42" spans="1:7" ht="34" customHeight="1">
      <c r="A42" s="103" t="s">
        <v>307</v>
      </c>
      <c r="B42" s="102" t="s">
        <v>308</v>
      </c>
      <c r="C42" s="104" t="s">
        <v>309</v>
      </c>
      <c r="D42" s="106">
        <v>1000000</v>
      </c>
      <c r="E42" s="112">
        <v>25750</v>
      </c>
      <c r="F42" s="106">
        <v>25750000000</v>
      </c>
      <c r="G42" s="105">
        <v>4.09924127040582E-2</v>
      </c>
    </row>
    <row r="43" spans="1:7" ht="34" customHeight="1">
      <c r="A43" s="103" t="s">
        <v>310</v>
      </c>
      <c r="B43" s="102" t="s">
        <v>311</v>
      </c>
      <c r="C43" s="104" t="s">
        <v>312</v>
      </c>
      <c r="D43" s="106">
        <v>550000</v>
      </c>
      <c r="E43" s="112">
        <v>16300</v>
      </c>
      <c r="F43" s="106">
        <v>8965000000</v>
      </c>
      <c r="G43" s="105">
        <v>1.4271727374442E-2</v>
      </c>
    </row>
    <row r="44" spans="1:7" ht="34" customHeight="1">
      <c r="A44" s="103" t="s">
        <v>313</v>
      </c>
      <c r="B44" s="102" t="s">
        <v>314</v>
      </c>
      <c r="C44" s="104" t="s">
        <v>315</v>
      </c>
      <c r="D44" s="106">
        <v>100000</v>
      </c>
      <c r="E44" s="112">
        <v>43600</v>
      </c>
      <c r="F44" s="106">
        <v>4360000000</v>
      </c>
      <c r="G44" s="105">
        <v>6.9408512384347204E-3</v>
      </c>
    </row>
    <row r="45" spans="1:7" ht="34" customHeight="1">
      <c r="A45" s="103" t="s">
        <v>316</v>
      </c>
      <c r="B45" s="102" t="s">
        <v>317</v>
      </c>
      <c r="C45" s="104" t="s">
        <v>318</v>
      </c>
      <c r="D45" s="106">
        <v>120000</v>
      </c>
      <c r="E45" s="112">
        <v>31800</v>
      </c>
      <c r="F45" s="106">
        <v>3816000000</v>
      </c>
      <c r="G45" s="105">
        <v>6.0748367719878097E-3</v>
      </c>
    </row>
    <row r="46" spans="1:7" ht="34" customHeight="1">
      <c r="A46" s="103" t="s">
        <v>319</v>
      </c>
      <c r="B46" s="102" t="s">
        <v>320</v>
      </c>
      <c r="C46" s="104" t="s">
        <v>321</v>
      </c>
      <c r="D46" s="106">
        <v>1000000</v>
      </c>
      <c r="E46" s="112">
        <v>24350</v>
      </c>
      <c r="F46" s="106">
        <v>24350000000</v>
      </c>
      <c r="G46" s="105">
        <v>3.8763699003643397E-2</v>
      </c>
    </row>
    <row r="47" spans="1:7" ht="34" customHeight="1">
      <c r="A47" s="103" t="s">
        <v>322</v>
      </c>
      <c r="B47" s="102" t="s">
        <v>323</v>
      </c>
      <c r="C47" s="104" t="s">
        <v>324</v>
      </c>
      <c r="D47" s="106">
        <v>80015</v>
      </c>
      <c r="E47" s="112">
        <v>127500</v>
      </c>
      <c r="F47" s="106">
        <v>10201912500</v>
      </c>
      <c r="G47" s="105">
        <v>1.6240815827988E-2</v>
      </c>
    </row>
    <row r="48" spans="1:7" ht="34" customHeight="1">
      <c r="A48" s="103" t="s">
        <v>325</v>
      </c>
      <c r="B48" s="102" t="s">
        <v>326</v>
      </c>
      <c r="C48" s="104" t="s">
        <v>327</v>
      </c>
      <c r="D48" s="106">
        <v>180000</v>
      </c>
      <c r="E48" s="112">
        <v>62000</v>
      </c>
      <c r="F48" s="106">
        <v>11160000000</v>
      </c>
      <c r="G48" s="105">
        <v>1.7766032069020998E-2</v>
      </c>
    </row>
    <row r="49" spans="1:7" ht="34" customHeight="1">
      <c r="A49" s="103" t="s">
        <v>328</v>
      </c>
      <c r="B49" s="102" t="s">
        <v>329</v>
      </c>
      <c r="C49" s="104" t="s">
        <v>330</v>
      </c>
      <c r="D49" s="106">
        <v>708800</v>
      </c>
      <c r="E49" s="112">
        <v>62100</v>
      </c>
      <c r="F49" s="106">
        <v>44016480000</v>
      </c>
      <c r="G49" s="105">
        <v>7.0071522871453407E-2</v>
      </c>
    </row>
    <row r="50" spans="1:7" ht="34" customHeight="1">
      <c r="A50" s="103" t="s">
        <v>331</v>
      </c>
      <c r="B50" s="102" t="s">
        <v>332</v>
      </c>
      <c r="C50" s="104" t="s">
        <v>333</v>
      </c>
      <c r="D50" s="106">
        <v>150000</v>
      </c>
      <c r="E50" s="112">
        <v>22050</v>
      </c>
      <c r="F50" s="106">
        <v>3307500000</v>
      </c>
      <c r="G50" s="105">
        <v>5.2653361172299998E-3</v>
      </c>
    </row>
    <row r="51" spans="1:7" ht="34" customHeight="1">
      <c r="A51" s="103" t="s">
        <v>334</v>
      </c>
      <c r="B51" s="102" t="s">
        <v>335</v>
      </c>
      <c r="C51" s="104" t="s">
        <v>336</v>
      </c>
      <c r="D51" s="106">
        <v>120000</v>
      </c>
      <c r="E51" s="112">
        <v>47600</v>
      </c>
      <c r="F51" s="106">
        <v>5712000000</v>
      </c>
      <c r="G51" s="105">
        <v>9.0931518976924506E-3</v>
      </c>
    </row>
    <row r="52" spans="1:7" ht="34" customHeight="1">
      <c r="A52" s="103" t="s">
        <v>337</v>
      </c>
      <c r="B52" s="102" t="s">
        <v>338</v>
      </c>
      <c r="C52" s="104" t="s">
        <v>339</v>
      </c>
      <c r="D52" s="106">
        <v>150000</v>
      </c>
      <c r="E52" s="112">
        <v>71700</v>
      </c>
      <c r="F52" s="106">
        <v>10755000000</v>
      </c>
      <c r="G52" s="105">
        <v>1.71212970342581E-2</v>
      </c>
    </row>
    <row r="53" spans="1:7" ht="34" customHeight="1">
      <c r="A53" s="103" t="s">
        <v>340</v>
      </c>
      <c r="B53" s="102" t="s">
        <v>341</v>
      </c>
      <c r="C53" s="104" t="s">
        <v>342</v>
      </c>
      <c r="D53" s="106">
        <v>900000</v>
      </c>
      <c r="E53" s="112">
        <v>40700</v>
      </c>
      <c r="F53" s="106">
        <v>36630000000</v>
      </c>
      <c r="G53" s="105">
        <v>5.8312702032996197E-2</v>
      </c>
    </row>
    <row r="54" spans="1:7" ht="34" customHeight="1">
      <c r="A54" s="103" t="s">
        <v>343</v>
      </c>
      <c r="B54" s="102" t="s">
        <v>344</v>
      </c>
      <c r="C54" s="104" t="s">
        <v>345</v>
      </c>
      <c r="D54" s="106">
        <v>240000</v>
      </c>
      <c r="E54" s="112">
        <v>35000</v>
      </c>
      <c r="F54" s="106">
        <v>8400000000</v>
      </c>
      <c r="G54" s="105">
        <v>1.33722822024889E-2</v>
      </c>
    </row>
    <row r="55" spans="1:7" ht="34" customHeight="1">
      <c r="A55" s="103" t="s">
        <v>346</v>
      </c>
      <c r="B55" s="102" t="s">
        <v>347</v>
      </c>
      <c r="C55" s="104" t="s">
        <v>348</v>
      </c>
      <c r="D55" s="106">
        <v>1500000</v>
      </c>
      <c r="E55" s="112">
        <v>30450</v>
      </c>
      <c r="F55" s="106">
        <v>45675000000</v>
      </c>
      <c r="G55" s="105">
        <v>7.2711784476033395E-2</v>
      </c>
    </row>
    <row r="56" spans="1:7" ht="34" customHeight="1">
      <c r="A56" s="103" t="s">
        <v>349</v>
      </c>
      <c r="B56" s="102" t="s">
        <v>350</v>
      </c>
      <c r="C56" s="104" t="s">
        <v>351</v>
      </c>
      <c r="D56" s="106">
        <v>180000</v>
      </c>
      <c r="E56" s="112">
        <v>19800</v>
      </c>
      <c r="F56" s="106">
        <v>3564000000</v>
      </c>
      <c r="G56" s="105">
        <v>5.6736683059131496E-3</v>
      </c>
    </row>
    <row r="57" spans="1:7" ht="34" customHeight="1">
      <c r="A57" s="103" t="s">
        <v>352</v>
      </c>
      <c r="B57" s="102" t="s">
        <v>353</v>
      </c>
      <c r="C57" s="104" t="s">
        <v>354</v>
      </c>
      <c r="D57" s="106">
        <v>100000</v>
      </c>
      <c r="E57" s="112">
        <v>53000</v>
      </c>
      <c r="F57" s="106">
        <v>5300000000</v>
      </c>
      <c r="G57" s="105">
        <v>8.4372732944275192E-3</v>
      </c>
    </row>
    <row r="58" spans="1:7" ht="34" customHeight="1">
      <c r="A58" s="103" t="s">
        <v>355</v>
      </c>
      <c r="B58" s="102" t="s">
        <v>356</v>
      </c>
      <c r="C58" s="104" t="s">
        <v>357</v>
      </c>
      <c r="D58" s="106">
        <v>100000</v>
      </c>
      <c r="E58" s="112">
        <v>38750</v>
      </c>
      <c r="F58" s="106">
        <v>3875000000</v>
      </c>
      <c r="G58" s="105">
        <v>6.1687611350767302E-3</v>
      </c>
    </row>
    <row r="59" spans="1:7" ht="34" customHeight="1">
      <c r="A59" s="103" t="s">
        <v>358</v>
      </c>
      <c r="B59" s="102" t="s">
        <v>359</v>
      </c>
      <c r="C59" s="104" t="s">
        <v>360</v>
      </c>
      <c r="D59" s="106">
        <v>200000</v>
      </c>
      <c r="E59" s="112">
        <v>21800</v>
      </c>
      <c r="F59" s="106">
        <v>4360000000</v>
      </c>
      <c r="G59" s="105">
        <v>6.9408512384347204E-3</v>
      </c>
    </row>
    <row r="60" spans="1:7" ht="34" customHeight="1">
      <c r="A60" s="103" t="s">
        <v>361</v>
      </c>
      <c r="B60" s="102" t="s">
        <v>362</v>
      </c>
      <c r="C60" s="104" t="s">
        <v>363</v>
      </c>
      <c r="D60" s="106">
        <v>120000</v>
      </c>
      <c r="E60" s="112">
        <v>39200</v>
      </c>
      <c r="F60" s="106">
        <v>4704000000</v>
      </c>
      <c r="G60" s="105">
        <v>7.4884780333937797E-3</v>
      </c>
    </row>
    <row r="61" spans="1:7" ht="34" customHeight="1">
      <c r="A61" s="103" t="s">
        <v>364</v>
      </c>
      <c r="B61" s="102" t="s">
        <v>365</v>
      </c>
      <c r="C61" s="104" t="s">
        <v>366</v>
      </c>
      <c r="D61" s="106">
        <v>80000</v>
      </c>
      <c r="E61" s="112">
        <v>55500</v>
      </c>
      <c r="F61" s="106">
        <v>4440000000</v>
      </c>
      <c r="G61" s="105">
        <v>7.0682063070298499E-3</v>
      </c>
    </row>
    <row r="62" spans="1:7" ht="34" customHeight="1">
      <c r="A62" s="103" t="s">
        <v>367</v>
      </c>
      <c r="B62" s="102" t="s">
        <v>368</v>
      </c>
      <c r="C62" s="104" t="s">
        <v>369</v>
      </c>
      <c r="D62" s="106">
        <v>640000</v>
      </c>
      <c r="E62" s="112">
        <v>77600</v>
      </c>
      <c r="F62" s="106">
        <v>49664000000</v>
      </c>
      <c r="G62" s="105">
        <v>7.9062026583858205E-2</v>
      </c>
    </row>
    <row r="63" spans="1:7" ht="34" customHeight="1">
      <c r="A63" s="103" t="s">
        <v>370</v>
      </c>
      <c r="B63" s="102" t="s">
        <v>371</v>
      </c>
      <c r="C63" s="104" t="s">
        <v>372</v>
      </c>
      <c r="D63" s="106">
        <v>400000</v>
      </c>
      <c r="E63" s="112">
        <v>17900</v>
      </c>
      <c r="F63" s="106">
        <v>7160000000</v>
      </c>
      <c r="G63" s="105">
        <v>1.1398278639264301E-2</v>
      </c>
    </row>
    <row r="64" spans="1:7" ht="34" customHeight="1">
      <c r="A64" s="103" t="s">
        <v>373</v>
      </c>
      <c r="B64" s="102" t="s">
        <v>374</v>
      </c>
      <c r="C64" s="104" t="s">
        <v>375</v>
      </c>
      <c r="D64" s="106">
        <v>500000</v>
      </c>
      <c r="E64" s="112">
        <v>13650</v>
      </c>
      <c r="F64" s="106">
        <v>6825000000</v>
      </c>
      <c r="G64" s="105">
        <v>1.08649792895222E-2</v>
      </c>
    </row>
    <row r="65" spans="1:7" ht="34" customHeight="1">
      <c r="A65" s="103" t="s">
        <v>376</v>
      </c>
      <c r="B65" s="102" t="s">
        <v>377</v>
      </c>
      <c r="C65" s="104" t="s">
        <v>378</v>
      </c>
      <c r="D65" s="106">
        <v>200000</v>
      </c>
      <c r="E65" s="112">
        <v>15700</v>
      </c>
      <c r="F65" s="106">
        <v>3140000000</v>
      </c>
      <c r="G65" s="105">
        <v>4.9986864423589503E-3</v>
      </c>
    </row>
    <row r="66" spans="1:7" ht="34" customHeight="1">
      <c r="A66" s="103" t="s">
        <v>379</v>
      </c>
      <c r="B66" s="102" t="s">
        <v>380</v>
      </c>
      <c r="C66" s="104" t="s">
        <v>381</v>
      </c>
      <c r="D66" s="106">
        <v>100000</v>
      </c>
      <c r="E66" s="112">
        <v>54900</v>
      </c>
      <c r="F66" s="106">
        <v>5490000000</v>
      </c>
      <c r="G66" s="105">
        <v>8.7397415823409607E-3</v>
      </c>
    </row>
    <row r="67" spans="1:7" ht="34" customHeight="1">
      <c r="A67" s="103" t="s">
        <v>382</v>
      </c>
      <c r="B67" s="102" t="s">
        <v>383</v>
      </c>
      <c r="C67" s="104" t="s">
        <v>384</v>
      </c>
      <c r="D67" s="106">
        <v>900000</v>
      </c>
      <c r="E67" s="112">
        <v>17950</v>
      </c>
      <c r="F67" s="106">
        <v>16155000000</v>
      </c>
      <c r="G67" s="105">
        <v>2.5717764164429498E-2</v>
      </c>
    </row>
    <row r="68" spans="1:7" ht="39" customHeight="1">
      <c r="A68" s="108"/>
      <c r="B68" s="107" t="s">
        <v>385</v>
      </c>
      <c r="C68" s="108" t="s">
        <v>386</v>
      </c>
      <c r="D68" s="110"/>
      <c r="E68" s="110"/>
      <c r="F68" s="110">
        <v>543285352500</v>
      </c>
      <c r="G68" s="109">
        <v>0.86487679167960196</v>
      </c>
    </row>
    <row r="69" spans="1:7" ht="96.5" customHeight="1">
      <c r="A69" s="108" t="s">
        <v>387</v>
      </c>
      <c r="B69" s="107" t="s">
        <v>388</v>
      </c>
      <c r="C69" s="108" t="s">
        <v>389</v>
      </c>
      <c r="D69" s="110"/>
      <c r="E69" s="110"/>
      <c r="F69" s="110"/>
      <c r="G69" s="109"/>
    </row>
    <row r="70" spans="1:7" ht="39" customHeight="1">
      <c r="A70" s="103"/>
      <c r="B70" s="102"/>
      <c r="C70" s="104"/>
      <c r="D70" s="106"/>
      <c r="E70" s="112"/>
      <c r="F70" s="106"/>
      <c r="G70" s="105"/>
    </row>
    <row r="71" spans="1:7" ht="39" customHeight="1">
      <c r="A71" s="108"/>
      <c r="B71" s="107" t="s">
        <v>390</v>
      </c>
      <c r="C71" s="108" t="s">
        <v>391</v>
      </c>
      <c r="D71" s="110"/>
      <c r="E71" s="110"/>
      <c r="F71" s="110">
        <v>0</v>
      </c>
      <c r="G71" s="109">
        <v>0</v>
      </c>
    </row>
    <row r="72" spans="1:7" ht="39" customHeight="1">
      <c r="A72" s="108" t="s">
        <v>392</v>
      </c>
      <c r="B72" s="107" t="s">
        <v>393</v>
      </c>
      <c r="C72" s="108" t="s">
        <v>394</v>
      </c>
      <c r="D72" s="110"/>
      <c r="E72" s="110"/>
      <c r="F72" s="110"/>
      <c r="G72" s="109"/>
    </row>
    <row r="73" spans="1:7" ht="39" customHeight="1">
      <c r="A73" s="103"/>
      <c r="B73" s="102"/>
      <c r="C73" s="104"/>
      <c r="D73" s="106"/>
      <c r="E73" s="112"/>
      <c r="F73" s="106"/>
      <c r="G73" s="105"/>
    </row>
    <row r="74" spans="1:7" ht="39" customHeight="1">
      <c r="A74" s="103" t="s">
        <v>395</v>
      </c>
      <c r="B74" s="102" t="s">
        <v>396</v>
      </c>
      <c r="C74" s="104" t="s">
        <v>397</v>
      </c>
      <c r="D74" s="106"/>
      <c r="E74" s="112"/>
      <c r="F74" s="106">
        <v>0</v>
      </c>
      <c r="G74" s="105">
        <v>0</v>
      </c>
    </row>
    <row r="75" spans="1:7" ht="39" customHeight="1">
      <c r="A75" s="103" t="s">
        <v>398</v>
      </c>
      <c r="B75" s="102" t="s">
        <v>399</v>
      </c>
      <c r="C75" s="104" t="s">
        <v>400</v>
      </c>
      <c r="D75" s="106"/>
      <c r="E75" s="112"/>
      <c r="F75" s="106">
        <v>0</v>
      </c>
      <c r="G75" s="105">
        <v>0</v>
      </c>
    </row>
    <row r="76" spans="1:7" ht="39" customHeight="1">
      <c r="A76" s="108"/>
      <c r="B76" s="107" t="s">
        <v>401</v>
      </c>
      <c r="C76" s="108" t="s">
        <v>402</v>
      </c>
      <c r="D76" s="110"/>
      <c r="E76" s="110"/>
      <c r="F76" s="110">
        <v>0</v>
      </c>
      <c r="G76" s="109">
        <v>0</v>
      </c>
    </row>
    <row r="77" spans="1:7" ht="39" customHeight="1">
      <c r="A77" s="108" t="s">
        <v>403</v>
      </c>
      <c r="B77" s="107" t="s">
        <v>404</v>
      </c>
      <c r="C77" s="108" t="s">
        <v>405</v>
      </c>
      <c r="D77" s="110"/>
      <c r="E77" s="110"/>
      <c r="F77" s="110"/>
      <c r="G77" s="109"/>
    </row>
    <row r="78" spans="1:7" ht="39" customHeight="1">
      <c r="A78" s="103"/>
      <c r="B78" s="102"/>
      <c r="C78" s="104"/>
      <c r="D78" s="106"/>
      <c r="E78" s="112"/>
      <c r="F78" s="106"/>
      <c r="G78" s="105"/>
    </row>
    <row r="79" spans="1:7" ht="39" customHeight="1">
      <c r="A79" s="103" t="s">
        <v>406</v>
      </c>
      <c r="B79" s="102" t="s">
        <v>407</v>
      </c>
      <c r="C79" s="104" t="s">
        <v>408</v>
      </c>
      <c r="D79" s="106"/>
      <c r="E79" s="112"/>
      <c r="F79" s="106">
        <v>0</v>
      </c>
      <c r="G79" s="105">
        <v>0</v>
      </c>
    </row>
    <row r="80" spans="1:7" ht="39" customHeight="1">
      <c r="A80" s="103" t="s">
        <v>409</v>
      </c>
      <c r="B80" s="102" t="s">
        <v>410</v>
      </c>
      <c r="C80" s="104" t="s">
        <v>411</v>
      </c>
      <c r="D80" s="106"/>
      <c r="E80" s="112"/>
      <c r="F80" s="106">
        <v>0</v>
      </c>
      <c r="G80" s="105">
        <v>0</v>
      </c>
    </row>
    <row r="81" spans="1:7" ht="34" customHeight="1">
      <c r="A81" s="108"/>
      <c r="B81" s="107" t="s">
        <v>412</v>
      </c>
      <c r="C81" s="108" t="s">
        <v>413</v>
      </c>
      <c r="D81" s="110"/>
      <c r="E81" s="110"/>
      <c r="F81" s="110">
        <v>0</v>
      </c>
      <c r="G81" s="109">
        <v>0</v>
      </c>
    </row>
    <row r="82" spans="1:7" ht="39" customHeight="1">
      <c r="A82" s="108"/>
      <c r="B82" s="107" t="s">
        <v>414</v>
      </c>
      <c r="C82" s="108" t="s">
        <v>415</v>
      </c>
      <c r="D82" s="110"/>
      <c r="E82" s="110"/>
      <c r="F82" s="110">
        <v>543285352500</v>
      </c>
      <c r="G82" s="109">
        <v>0.86487679167960196</v>
      </c>
    </row>
    <row r="83" spans="1:7" ht="39" customHeight="1">
      <c r="A83" s="108" t="s">
        <v>416</v>
      </c>
      <c r="B83" s="107" t="s">
        <v>417</v>
      </c>
      <c r="C83" s="108" t="s">
        <v>418</v>
      </c>
      <c r="D83" s="110"/>
      <c r="E83" s="110"/>
      <c r="F83" s="110"/>
      <c r="G83" s="109"/>
    </row>
    <row r="84" spans="1:7" ht="39" customHeight="1">
      <c r="A84" s="103"/>
      <c r="B84" s="102"/>
      <c r="C84" s="104"/>
      <c r="D84" s="106"/>
      <c r="E84" s="112"/>
      <c r="F84" s="106"/>
      <c r="G84" s="105"/>
    </row>
    <row r="85" spans="1:7" ht="39" customHeight="1">
      <c r="A85" s="103" t="s">
        <v>419</v>
      </c>
      <c r="B85" s="102" t="s">
        <v>420</v>
      </c>
      <c r="C85" s="104" t="s">
        <v>421</v>
      </c>
      <c r="D85" s="106"/>
      <c r="E85" s="112"/>
      <c r="F85" s="106">
        <v>1725000000</v>
      </c>
      <c r="G85" s="105">
        <v>2.7460936665825398E-3</v>
      </c>
    </row>
    <row r="86" spans="1:7" ht="39" customHeight="1">
      <c r="A86" s="103" t="s">
        <v>422</v>
      </c>
      <c r="B86" s="102" t="s">
        <v>423</v>
      </c>
      <c r="C86" s="104" t="s">
        <v>424</v>
      </c>
      <c r="D86" s="106"/>
      <c r="E86" s="112"/>
      <c r="F86" s="106">
        <v>0</v>
      </c>
      <c r="G86" s="105">
        <v>0</v>
      </c>
    </row>
    <row r="87" spans="1:7" ht="76.5" customHeight="1">
      <c r="A87" s="103" t="s">
        <v>425</v>
      </c>
      <c r="B87" s="102" t="s">
        <v>426</v>
      </c>
      <c r="C87" s="104" t="s">
        <v>427</v>
      </c>
      <c r="D87" s="106"/>
      <c r="E87" s="112"/>
      <c r="F87" s="106">
        <v>5342465</v>
      </c>
      <c r="G87" s="105">
        <v>8.50487495677617E-6</v>
      </c>
    </row>
    <row r="88" spans="1:7" ht="45" customHeight="1">
      <c r="A88" s="103" t="s">
        <v>428</v>
      </c>
      <c r="B88" s="102" t="s">
        <v>429</v>
      </c>
      <c r="C88" s="104" t="s">
        <v>430</v>
      </c>
      <c r="D88" s="106"/>
      <c r="E88" s="112"/>
      <c r="F88" s="106">
        <v>25540145000</v>
      </c>
      <c r="G88" s="105">
        <v>4.0658336480057802E-2</v>
      </c>
    </row>
    <row r="89" spans="1:7" ht="57" customHeight="1">
      <c r="A89" s="103" t="s">
        <v>431</v>
      </c>
      <c r="B89" s="102" t="s">
        <v>432</v>
      </c>
      <c r="C89" s="104" t="s">
        <v>433</v>
      </c>
      <c r="D89" s="106"/>
      <c r="E89" s="112"/>
      <c r="F89" s="106">
        <v>0</v>
      </c>
      <c r="G89" s="105">
        <v>0</v>
      </c>
    </row>
    <row r="90" spans="1:7" ht="39" customHeight="1">
      <c r="A90" s="103" t="s">
        <v>434</v>
      </c>
      <c r="B90" s="102" t="s">
        <v>435</v>
      </c>
      <c r="C90" s="104" t="s">
        <v>436</v>
      </c>
      <c r="D90" s="106"/>
      <c r="E90" s="112"/>
      <c r="F90" s="106">
        <v>0</v>
      </c>
      <c r="G90" s="105">
        <v>0</v>
      </c>
    </row>
    <row r="91" spans="1:7" ht="39" customHeight="1">
      <c r="A91" s="103" t="s">
        <v>437</v>
      </c>
      <c r="B91" s="102" t="s">
        <v>438</v>
      </c>
      <c r="C91" s="104" t="s">
        <v>439</v>
      </c>
      <c r="D91" s="106"/>
      <c r="E91" s="112"/>
      <c r="F91" s="106">
        <v>40533666</v>
      </c>
      <c r="G91" s="105">
        <v>6.45270976730273E-5</v>
      </c>
    </row>
    <row r="92" spans="1:7" ht="39" customHeight="1">
      <c r="A92" s="108"/>
      <c r="B92" s="107" t="s">
        <v>440</v>
      </c>
      <c r="C92" s="108" t="s">
        <v>441</v>
      </c>
      <c r="D92" s="110"/>
      <c r="E92" s="110"/>
      <c r="F92" s="110">
        <v>27311021131</v>
      </c>
      <c r="G92" s="109">
        <v>4.3477462119270199E-2</v>
      </c>
    </row>
    <row r="93" spans="1:7" ht="39" customHeight="1">
      <c r="A93" s="108" t="s">
        <v>442</v>
      </c>
      <c r="B93" s="107" t="s">
        <v>443</v>
      </c>
      <c r="C93" s="108" t="s">
        <v>444</v>
      </c>
      <c r="D93" s="110"/>
      <c r="E93" s="110"/>
      <c r="F93" s="110"/>
      <c r="G93" s="109"/>
    </row>
    <row r="94" spans="1:7" ht="39" customHeight="1">
      <c r="A94" s="103" t="s">
        <v>445</v>
      </c>
      <c r="B94" s="102" t="s">
        <v>446</v>
      </c>
      <c r="C94" s="104" t="s">
        <v>447</v>
      </c>
      <c r="D94" s="106"/>
      <c r="E94" s="112"/>
      <c r="F94" s="106">
        <v>57568652563</v>
      </c>
      <c r="G94" s="105">
        <v>9.1645746201127601E-2</v>
      </c>
    </row>
    <row r="95" spans="1:7" ht="39" customHeight="1">
      <c r="A95" s="103"/>
      <c r="B95" s="102"/>
      <c r="C95" s="104"/>
      <c r="D95" s="106"/>
      <c r="E95" s="112"/>
      <c r="F95" s="106"/>
      <c r="G95" s="105"/>
    </row>
    <row r="96" spans="1:7" ht="39" customHeight="1">
      <c r="A96" s="103" t="s">
        <v>448</v>
      </c>
      <c r="B96" s="102" t="s">
        <v>449</v>
      </c>
      <c r="C96" s="104" t="s">
        <v>450</v>
      </c>
      <c r="D96" s="106"/>
      <c r="E96" s="112"/>
      <c r="F96" s="106">
        <v>27568652563</v>
      </c>
      <c r="G96" s="105">
        <v>4.3887595477952998E-2</v>
      </c>
    </row>
    <row r="97" spans="1:7" ht="39" customHeight="1">
      <c r="A97" s="103" t="s">
        <v>451</v>
      </c>
      <c r="B97" s="102" t="s">
        <v>452</v>
      </c>
      <c r="C97" s="104" t="s">
        <v>453</v>
      </c>
      <c r="D97" s="106"/>
      <c r="E97" s="112"/>
      <c r="F97" s="106">
        <v>30000000000</v>
      </c>
      <c r="G97" s="105">
        <v>4.7758150723174603E-2</v>
      </c>
    </row>
    <row r="98" spans="1:7" ht="39" customHeight="1">
      <c r="A98" s="103" t="s">
        <v>454</v>
      </c>
      <c r="B98" s="102" t="s">
        <v>455</v>
      </c>
      <c r="C98" s="104" t="s">
        <v>456</v>
      </c>
      <c r="D98" s="106"/>
      <c r="E98" s="112"/>
      <c r="F98" s="106">
        <v>0</v>
      </c>
      <c r="G98" s="105">
        <v>0</v>
      </c>
    </row>
    <row r="99" spans="1:7" ht="39" customHeight="1">
      <c r="A99" s="103"/>
      <c r="B99" s="102"/>
      <c r="C99" s="104"/>
      <c r="D99" s="106"/>
      <c r="E99" s="112"/>
      <c r="F99" s="106"/>
      <c r="G99" s="105"/>
    </row>
    <row r="100" spans="1:7" ht="39" customHeight="1">
      <c r="A100" s="103" t="s">
        <v>457</v>
      </c>
      <c r="B100" s="102" t="s">
        <v>458</v>
      </c>
      <c r="C100" s="104" t="s">
        <v>459</v>
      </c>
      <c r="D100" s="106"/>
      <c r="E100" s="112"/>
      <c r="F100" s="106">
        <v>0</v>
      </c>
      <c r="G100" s="105">
        <v>0</v>
      </c>
    </row>
    <row r="101" spans="1:7" ht="39" customHeight="1">
      <c r="A101" s="108"/>
      <c r="B101" s="107" t="s">
        <v>460</v>
      </c>
      <c r="C101" s="108" t="s">
        <v>461</v>
      </c>
      <c r="D101" s="110"/>
      <c r="E101" s="110"/>
      <c r="F101" s="110">
        <v>57568652563</v>
      </c>
      <c r="G101" s="109">
        <v>9.1645746201127601E-2</v>
      </c>
    </row>
    <row r="102" spans="1:7" ht="39" customHeight="1">
      <c r="A102" s="108" t="s">
        <v>462</v>
      </c>
      <c r="B102" s="107" t="s">
        <v>463</v>
      </c>
      <c r="C102" s="108" t="s">
        <v>464</v>
      </c>
      <c r="D102" s="110"/>
      <c r="E102" s="110"/>
      <c r="F102" s="110">
        <v>628165026194</v>
      </c>
      <c r="G102" s="109">
        <v>1</v>
      </c>
    </row>
    <row r="103" spans="1:7" ht="16.899999999999999" customHeight="1">
      <c r="A103" s="31"/>
      <c r="E103" s="12"/>
    </row>
    <row r="104" spans="1:7" ht="16.899999999999999" customHeight="1">
      <c r="A104" s="12" t="s">
        <v>10</v>
      </c>
      <c r="F104" s="12" t="s">
        <v>11</v>
      </c>
    </row>
    <row r="105" spans="1:7" ht="16.899999999999999" customHeight="1">
      <c r="A105" s="13" t="s">
        <v>12</v>
      </c>
      <c r="F105" s="13" t="s">
        <v>13</v>
      </c>
    </row>
    <row r="106" spans="1:7" ht="16.899999999999999" customHeight="1"/>
    <row r="107" spans="1:7" ht="16.899999999999999" customHeight="1">
      <c r="A107" s="18"/>
      <c r="F107" s="18"/>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24" t="s">
        <v>14</v>
      </c>
      <c r="B114" s="22"/>
      <c r="C114" s="22"/>
      <c r="F114" s="24" t="s">
        <v>836</v>
      </c>
      <c r="G114" s="22"/>
    </row>
    <row r="115" spans="1:7" ht="16.899999999999999" customHeight="1">
      <c r="A115" s="25" t="s">
        <v>187</v>
      </c>
      <c r="F115" s="25" t="s">
        <v>843</v>
      </c>
    </row>
    <row r="116" spans="1:7" ht="16.899999999999999" customHeight="1">
      <c r="A116" s="26" t="s">
        <v>844</v>
      </c>
      <c r="F116" s="26" t="s">
        <v>845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zoomScale="70" zoomScaleNormal="85" zoomScaleSheetLayoutView="70" workbookViewId="0">
      <selection activeCell="A7" sqref="A7:B7"/>
    </sheetView>
  </sheetViews>
  <sheetFormatPr defaultColWidth="9.1796875" defaultRowHeight="15.5"/>
  <cols>
    <col min="1" max="1" width="7.81640625" style="150" customWidth="1"/>
    <col min="2" max="2" width="34.453125" style="114" customWidth="1"/>
    <col min="3" max="3" width="16" style="114" customWidth="1"/>
    <col min="4" max="4" width="14" style="114" customWidth="1"/>
    <col min="5" max="5" width="12.26953125" style="114" customWidth="1"/>
    <col min="6" max="6" width="12.54296875" style="114" customWidth="1"/>
    <col min="7" max="7" width="16.453125" style="114" customWidth="1"/>
    <col min="8" max="8" width="22.08984375" style="114" customWidth="1"/>
    <col min="9" max="9" width="14.36328125" style="114" customWidth="1"/>
    <col min="10" max="10" width="23.90625" style="114" customWidth="1"/>
    <col min="11" max="16384" width="9.1796875" style="114"/>
  </cols>
  <sheetData>
    <row r="1" spans="1:10" s="113" customFormat="1" ht="46.5" customHeight="1">
      <c r="A1" s="166" t="s">
        <v>233</v>
      </c>
      <c r="B1" s="166"/>
      <c r="C1" s="166"/>
      <c r="D1" s="166"/>
      <c r="E1" s="166"/>
      <c r="F1" s="166"/>
      <c r="G1" s="166"/>
      <c r="H1" s="166"/>
      <c r="I1" s="166"/>
      <c r="J1" s="166"/>
    </row>
    <row r="2" spans="1:10" ht="49" customHeight="1">
      <c r="A2" s="167" t="s">
        <v>235</v>
      </c>
      <c r="B2" s="167"/>
      <c r="C2" s="167"/>
      <c r="D2" s="167"/>
      <c r="E2" s="167"/>
      <c r="F2" s="167"/>
      <c r="G2" s="167"/>
      <c r="H2" s="167"/>
      <c r="I2" s="167"/>
      <c r="J2" s="167"/>
    </row>
    <row r="3" spans="1:10" ht="19.149999999999999" customHeight="1">
      <c r="A3" s="168" t="s">
        <v>183</v>
      </c>
      <c r="B3" s="168"/>
      <c r="C3" s="168"/>
      <c r="D3" s="168"/>
      <c r="E3" s="168"/>
      <c r="F3" s="168"/>
      <c r="G3" s="168"/>
      <c r="H3" s="168"/>
      <c r="I3" s="168"/>
      <c r="J3" s="168"/>
    </row>
    <row r="4" spans="1:10" ht="21.65" customHeight="1">
      <c r="A4" s="168"/>
      <c r="B4" s="168"/>
      <c r="C4" s="168"/>
      <c r="D4" s="168"/>
      <c r="E4" s="168"/>
      <c r="F4" s="168"/>
      <c r="G4" s="168"/>
      <c r="H4" s="168"/>
      <c r="I4" s="168"/>
      <c r="J4" s="168"/>
    </row>
    <row r="5" spans="1:10">
      <c r="A5" s="169" t="s">
        <v>835</v>
      </c>
      <c r="B5" s="169"/>
      <c r="C5" s="169"/>
      <c r="D5" s="169"/>
      <c r="E5" s="169"/>
      <c r="F5" s="169"/>
      <c r="G5" s="169"/>
      <c r="H5" s="169"/>
      <c r="I5" s="169"/>
      <c r="J5" s="169"/>
    </row>
    <row r="6" spans="1:10">
      <c r="A6" s="115"/>
      <c r="B6" s="115"/>
      <c r="C6" s="115"/>
      <c r="D6" s="115"/>
      <c r="E6" s="115"/>
      <c r="F6" s="116"/>
      <c r="G6" s="117"/>
      <c r="H6" s="117"/>
      <c r="I6" s="117"/>
      <c r="J6" s="117"/>
    </row>
    <row r="7" spans="1:10">
      <c r="A7" s="170" t="s">
        <v>2</v>
      </c>
      <c r="B7" s="171"/>
      <c r="C7" s="117"/>
      <c r="D7" s="117"/>
      <c r="E7" s="117"/>
      <c r="F7" s="117"/>
      <c r="G7" s="172" t="s">
        <v>836</v>
      </c>
      <c r="H7" s="172"/>
      <c r="I7" s="172"/>
      <c r="J7" s="172"/>
    </row>
    <row r="8" spans="1:10" ht="15" customHeight="1">
      <c r="A8" s="173" t="s">
        <v>15</v>
      </c>
      <c r="B8" s="173"/>
      <c r="C8" s="117"/>
      <c r="D8" s="117"/>
      <c r="E8" s="117"/>
      <c r="F8" s="117"/>
      <c r="G8" s="174" t="s">
        <v>837</v>
      </c>
      <c r="H8" s="174"/>
      <c r="I8" s="174"/>
      <c r="J8" s="174"/>
    </row>
    <row r="9" spans="1:10">
      <c r="A9" s="175" t="s">
        <v>3</v>
      </c>
      <c r="B9" s="176"/>
      <c r="C9" s="117"/>
      <c r="D9" s="117"/>
      <c r="E9" s="117"/>
      <c r="F9" s="117"/>
      <c r="G9" s="177" t="s">
        <v>838</v>
      </c>
      <c r="H9" s="177"/>
      <c r="I9" s="177"/>
      <c r="J9" s="177"/>
    </row>
    <row r="10" spans="1:10" ht="15" customHeight="1">
      <c r="A10" s="176" t="s">
        <v>4</v>
      </c>
      <c r="B10" s="176"/>
      <c r="C10" s="117"/>
      <c r="D10" s="117"/>
      <c r="E10" s="117"/>
      <c r="F10" s="117"/>
      <c r="G10" s="174" t="s">
        <v>839</v>
      </c>
      <c r="H10" s="174"/>
      <c r="I10" s="174"/>
      <c r="J10" s="174"/>
    </row>
    <row r="11" spans="1:10" ht="15" customHeight="1">
      <c r="A11" s="175" t="s">
        <v>5</v>
      </c>
      <c r="B11" s="178"/>
      <c r="C11" s="117"/>
      <c r="D11" s="117"/>
      <c r="E11" s="117"/>
      <c r="F11" s="117"/>
      <c r="G11" s="172" t="s">
        <v>840</v>
      </c>
      <c r="H11" s="172"/>
      <c r="I11" s="172"/>
      <c r="J11" s="172"/>
    </row>
    <row r="12" spans="1:10" ht="15" customHeight="1">
      <c r="A12" s="118" t="s">
        <v>180</v>
      </c>
      <c r="B12" s="119"/>
      <c r="C12" s="117"/>
      <c r="D12" s="117"/>
      <c r="E12" s="117"/>
      <c r="F12" s="117"/>
      <c r="G12" s="174" t="s">
        <v>850</v>
      </c>
      <c r="H12" s="174"/>
      <c r="I12" s="174"/>
      <c r="J12" s="174"/>
    </row>
    <row r="13" spans="1:10" ht="15" customHeight="1">
      <c r="A13" s="120" t="s">
        <v>7</v>
      </c>
      <c r="B13" s="121"/>
      <c r="C13" s="117"/>
      <c r="D13" s="117"/>
      <c r="E13" s="117"/>
      <c r="F13" s="117"/>
      <c r="G13" s="172" t="s">
        <v>841</v>
      </c>
      <c r="H13" s="172"/>
      <c r="I13" s="172"/>
      <c r="J13" s="172"/>
    </row>
    <row r="14" spans="1:10">
      <c r="A14" s="122" t="s">
        <v>8</v>
      </c>
      <c r="B14" s="122"/>
      <c r="C14" s="123"/>
      <c r="D14" s="123"/>
      <c r="E14" s="123"/>
      <c r="F14" s="123"/>
      <c r="G14" s="179" t="s">
        <v>842</v>
      </c>
      <c r="H14" s="179"/>
      <c r="I14" s="179"/>
      <c r="J14" s="179"/>
    </row>
    <row r="15" spans="1:10">
      <c r="A15" s="124" t="s">
        <v>231</v>
      </c>
      <c r="B15" s="125" t="s">
        <v>232</v>
      </c>
      <c r="C15" s="123"/>
      <c r="D15" s="123"/>
      <c r="E15" s="123"/>
      <c r="F15" s="123"/>
      <c r="G15" s="126"/>
      <c r="H15" s="126"/>
      <c r="I15" s="126"/>
      <c r="J15" s="126"/>
    </row>
    <row r="16" spans="1:10">
      <c r="A16" s="127" t="s">
        <v>24</v>
      </c>
      <c r="B16" s="128" t="s">
        <v>186</v>
      </c>
      <c r="C16" s="123"/>
      <c r="D16" s="123"/>
      <c r="E16" s="123"/>
      <c r="F16" s="123"/>
      <c r="G16" s="123"/>
      <c r="H16" s="123"/>
      <c r="I16" s="123"/>
      <c r="J16" s="123"/>
    </row>
    <row r="17" spans="1:10" s="129" customFormat="1" ht="54.5" customHeight="1">
      <c r="A17" s="180" t="s">
        <v>143</v>
      </c>
      <c r="B17" s="180" t="s">
        <v>222</v>
      </c>
      <c r="C17" s="180" t="s">
        <v>223</v>
      </c>
      <c r="D17" s="180" t="s">
        <v>224</v>
      </c>
      <c r="E17" s="180" t="s">
        <v>225</v>
      </c>
      <c r="F17" s="180" t="s">
        <v>226</v>
      </c>
      <c r="G17" s="180" t="s">
        <v>227</v>
      </c>
      <c r="H17" s="181"/>
      <c r="I17" s="180" t="s">
        <v>236</v>
      </c>
      <c r="J17" s="181"/>
    </row>
    <row r="18" spans="1:10" s="129" customFormat="1" ht="120" customHeight="1">
      <c r="A18" s="181"/>
      <c r="B18" s="181"/>
      <c r="C18" s="181"/>
      <c r="D18" s="181"/>
      <c r="E18" s="181"/>
      <c r="F18" s="181"/>
      <c r="G18" s="130" t="s">
        <v>228</v>
      </c>
      <c r="H18" s="130" t="s">
        <v>229</v>
      </c>
      <c r="I18" s="130" t="s">
        <v>228</v>
      </c>
      <c r="J18" s="130" t="s">
        <v>230</v>
      </c>
    </row>
    <row r="19" spans="1:10" s="129" customFormat="1" ht="45.75" customHeight="1">
      <c r="A19" s="131" t="s">
        <v>465</v>
      </c>
      <c r="B19" s="131" t="s">
        <v>466</v>
      </c>
      <c r="C19" s="131"/>
      <c r="D19" s="131"/>
      <c r="E19" s="131"/>
      <c r="F19" s="132"/>
      <c r="G19" s="131"/>
      <c r="H19" s="133"/>
      <c r="I19" s="131"/>
      <c r="J19" s="133"/>
    </row>
    <row r="20" spans="1:10">
      <c r="A20" s="131" t="s">
        <v>467</v>
      </c>
      <c r="B20" s="131" t="s">
        <v>468</v>
      </c>
      <c r="C20" s="131" t="s">
        <v>469</v>
      </c>
      <c r="D20" s="131" t="s">
        <v>470</v>
      </c>
      <c r="E20" s="131" t="s">
        <v>471</v>
      </c>
      <c r="F20" s="132" t="s">
        <v>472</v>
      </c>
      <c r="G20" s="131" t="s">
        <v>473</v>
      </c>
      <c r="H20" s="133" t="s">
        <v>474</v>
      </c>
      <c r="I20" s="131" t="s">
        <v>475</v>
      </c>
      <c r="J20" s="133" t="s">
        <v>476</v>
      </c>
    </row>
    <row r="21" spans="1:10" ht="41.5" customHeight="1">
      <c r="A21" s="134" t="s">
        <v>477</v>
      </c>
      <c r="B21" s="134" t="s">
        <v>478</v>
      </c>
      <c r="C21" s="134"/>
      <c r="D21" s="134"/>
      <c r="E21" s="134"/>
      <c r="F21" s="135">
        <v>0</v>
      </c>
      <c r="G21" s="134"/>
      <c r="H21" s="136">
        <v>0</v>
      </c>
      <c r="I21" s="134"/>
      <c r="J21" s="136">
        <v>0</v>
      </c>
    </row>
    <row r="22" spans="1:10" ht="45.5" customHeight="1">
      <c r="A22" s="131" t="s">
        <v>479</v>
      </c>
      <c r="B22" s="131" t="s">
        <v>480</v>
      </c>
      <c r="C22" s="131"/>
      <c r="D22" s="131"/>
      <c r="E22" s="131"/>
      <c r="F22" s="132"/>
      <c r="G22" s="131"/>
      <c r="H22" s="133"/>
      <c r="I22" s="131"/>
      <c r="J22" s="133"/>
    </row>
    <row r="23" spans="1:10">
      <c r="A23" s="131" t="s">
        <v>481</v>
      </c>
      <c r="B23" s="131" t="s">
        <v>482</v>
      </c>
      <c r="C23" s="131" t="s">
        <v>483</v>
      </c>
      <c r="D23" s="131" t="s">
        <v>484</v>
      </c>
      <c r="E23" s="131" t="s">
        <v>485</v>
      </c>
      <c r="F23" s="132" t="s">
        <v>486</v>
      </c>
      <c r="G23" s="131" t="s">
        <v>487</v>
      </c>
      <c r="H23" s="133" t="s">
        <v>488</v>
      </c>
      <c r="I23" s="131" t="s">
        <v>489</v>
      </c>
      <c r="J23" s="133" t="s">
        <v>490</v>
      </c>
    </row>
    <row r="24" spans="1:10" ht="37" customHeight="1">
      <c r="A24" s="134" t="s">
        <v>491</v>
      </c>
      <c r="B24" s="134" t="s">
        <v>492</v>
      </c>
      <c r="C24" s="134"/>
      <c r="D24" s="134"/>
      <c r="E24" s="134"/>
      <c r="F24" s="135">
        <v>0</v>
      </c>
      <c r="G24" s="134"/>
      <c r="H24" s="136">
        <v>0</v>
      </c>
      <c r="I24" s="134"/>
      <c r="J24" s="136">
        <v>0</v>
      </c>
    </row>
    <row r="25" spans="1:10" ht="51.5" customHeight="1">
      <c r="A25" s="134" t="s">
        <v>493</v>
      </c>
      <c r="B25" s="134" t="s">
        <v>494</v>
      </c>
      <c r="C25" s="134"/>
      <c r="D25" s="134"/>
      <c r="E25" s="134"/>
      <c r="F25" s="135">
        <v>0</v>
      </c>
      <c r="G25" s="134"/>
      <c r="H25" s="136">
        <v>0</v>
      </c>
      <c r="I25" s="134"/>
      <c r="J25" s="136">
        <v>0</v>
      </c>
    </row>
    <row r="26" spans="1:10" ht="43" customHeight="1">
      <c r="A26" s="131" t="s">
        <v>495</v>
      </c>
      <c r="B26" s="131" t="s">
        <v>496</v>
      </c>
      <c r="C26" s="131"/>
      <c r="D26" s="131"/>
      <c r="E26" s="131"/>
      <c r="F26" s="132"/>
      <c r="G26" s="131"/>
      <c r="H26" s="133"/>
      <c r="I26" s="131"/>
      <c r="J26" s="133"/>
    </row>
    <row r="27" spans="1:10">
      <c r="A27" s="131" t="s">
        <v>497</v>
      </c>
      <c r="B27" s="131" t="s">
        <v>498</v>
      </c>
      <c r="C27" s="131" t="s">
        <v>499</v>
      </c>
      <c r="D27" s="131" t="s">
        <v>500</v>
      </c>
      <c r="E27" s="131" t="s">
        <v>501</v>
      </c>
      <c r="F27" s="132" t="s">
        <v>502</v>
      </c>
      <c r="G27" s="131" t="s">
        <v>503</v>
      </c>
      <c r="H27" s="133" t="s">
        <v>504</v>
      </c>
      <c r="I27" s="131" t="s">
        <v>505</v>
      </c>
      <c r="J27" s="133" t="s">
        <v>506</v>
      </c>
    </row>
    <row r="28" spans="1:10" ht="46.5" customHeight="1">
      <c r="A28" s="134" t="s">
        <v>507</v>
      </c>
      <c r="B28" s="134" t="s">
        <v>508</v>
      </c>
      <c r="C28" s="134"/>
      <c r="D28" s="134"/>
      <c r="E28" s="134"/>
      <c r="F28" s="135">
        <v>0</v>
      </c>
      <c r="G28" s="134"/>
      <c r="H28" s="136">
        <v>0</v>
      </c>
      <c r="I28" s="134"/>
      <c r="J28" s="136">
        <v>0</v>
      </c>
    </row>
    <row r="29" spans="1:10" ht="49.5" customHeight="1">
      <c r="A29" s="131" t="s">
        <v>509</v>
      </c>
      <c r="B29" s="131" t="s">
        <v>510</v>
      </c>
      <c r="C29" s="131"/>
      <c r="D29" s="131"/>
      <c r="E29" s="131"/>
      <c r="F29" s="132"/>
      <c r="G29" s="131"/>
      <c r="H29" s="133"/>
      <c r="I29" s="131"/>
      <c r="J29" s="133"/>
    </row>
    <row r="30" spans="1:10">
      <c r="A30" s="131" t="s">
        <v>511</v>
      </c>
      <c r="B30" s="131" t="s">
        <v>512</v>
      </c>
      <c r="C30" s="131" t="s">
        <v>513</v>
      </c>
      <c r="D30" s="131" t="s">
        <v>514</v>
      </c>
      <c r="E30" s="131" t="s">
        <v>515</v>
      </c>
      <c r="F30" s="132" t="s">
        <v>516</v>
      </c>
      <c r="G30" s="131" t="s">
        <v>517</v>
      </c>
      <c r="H30" s="133" t="s">
        <v>518</v>
      </c>
      <c r="I30" s="131" t="s">
        <v>519</v>
      </c>
      <c r="J30" s="133" t="s">
        <v>520</v>
      </c>
    </row>
    <row r="31" spans="1:10" ht="42" customHeight="1">
      <c r="A31" s="134" t="s">
        <v>521</v>
      </c>
      <c r="B31" s="134" t="s">
        <v>522</v>
      </c>
      <c r="C31" s="134"/>
      <c r="D31" s="134"/>
      <c r="E31" s="134"/>
      <c r="F31" s="135">
        <v>0</v>
      </c>
      <c r="G31" s="134"/>
      <c r="H31" s="136">
        <v>0</v>
      </c>
      <c r="I31" s="134"/>
      <c r="J31" s="136">
        <v>0</v>
      </c>
    </row>
    <row r="32" spans="1:10" ht="60.5" customHeight="1">
      <c r="A32" s="134" t="s">
        <v>523</v>
      </c>
      <c r="B32" s="134" t="s">
        <v>524</v>
      </c>
      <c r="C32" s="134"/>
      <c r="D32" s="134"/>
      <c r="E32" s="134"/>
      <c r="F32" s="135">
        <v>0</v>
      </c>
      <c r="G32" s="134"/>
      <c r="H32" s="136">
        <v>0</v>
      </c>
      <c r="I32" s="134"/>
      <c r="J32" s="136">
        <v>0</v>
      </c>
    </row>
    <row r="33" spans="1:10" s="141" customFormat="1" ht="45.75" customHeight="1">
      <c r="A33" s="137" t="s">
        <v>10</v>
      </c>
      <c r="B33" s="138"/>
      <c r="C33" s="139"/>
      <c r="D33" s="123"/>
      <c r="E33" s="123"/>
      <c r="F33" s="123"/>
      <c r="G33" s="140" t="s">
        <v>11</v>
      </c>
      <c r="J33" s="123"/>
    </row>
    <row r="34" spans="1:10">
      <c r="A34" s="142" t="s">
        <v>12</v>
      </c>
      <c r="B34" s="138"/>
      <c r="C34" s="139"/>
      <c r="D34" s="123"/>
      <c r="E34" s="123"/>
      <c r="F34" s="123"/>
      <c r="G34" s="143" t="s">
        <v>13</v>
      </c>
      <c r="H34" s="117"/>
      <c r="I34" s="139"/>
      <c r="J34" s="123"/>
    </row>
    <row r="35" spans="1:10">
      <c r="A35" s="138"/>
      <c r="B35" s="138"/>
      <c r="C35" s="139"/>
      <c r="D35" s="117"/>
      <c r="E35" s="117"/>
      <c r="F35" s="117"/>
      <c r="G35" s="139"/>
      <c r="H35" s="117"/>
      <c r="I35" s="139"/>
      <c r="J35" s="117"/>
    </row>
    <row r="36" spans="1:10">
      <c r="A36" s="144"/>
      <c r="B36" s="117"/>
      <c r="C36" s="117"/>
      <c r="D36" s="117"/>
      <c r="E36" s="117"/>
      <c r="F36" s="117"/>
      <c r="G36" s="117"/>
      <c r="H36" s="117"/>
      <c r="I36" s="139"/>
      <c r="J36" s="117"/>
    </row>
    <row r="37" spans="1:10">
      <c r="A37" s="144"/>
      <c r="B37" s="117"/>
      <c r="C37" s="117"/>
      <c r="D37" s="117"/>
      <c r="E37" s="117"/>
      <c r="F37" s="117"/>
      <c r="G37" s="117"/>
      <c r="H37" s="117"/>
      <c r="I37" s="139"/>
      <c r="J37" s="117"/>
    </row>
    <row r="38" spans="1:10">
      <c r="A38" s="144"/>
      <c r="B38" s="117"/>
      <c r="C38" s="117"/>
      <c r="D38" s="117"/>
      <c r="E38" s="117"/>
      <c r="F38" s="117"/>
      <c r="G38" s="117"/>
      <c r="H38" s="117"/>
      <c r="I38" s="139"/>
      <c r="J38" s="117"/>
    </row>
    <row r="39" spans="1:10">
      <c r="A39" s="144"/>
      <c r="B39" s="117"/>
      <c r="C39" s="117"/>
      <c r="D39" s="117"/>
      <c r="E39" s="117"/>
      <c r="F39" s="117"/>
      <c r="G39" s="117"/>
      <c r="H39" s="117"/>
      <c r="I39" s="139"/>
      <c r="J39" s="117"/>
    </row>
    <row r="40" spans="1:10">
      <c r="A40" s="144"/>
      <c r="B40" s="117"/>
      <c r="C40" s="117"/>
      <c r="D40" s="117"/>
      <c r="E40" s="117"/>
      <c r="F40" s="117"/>
      <c r="G40" s="117"/>
      <c r="H40" s="117"/>
      <c r="I40" s="139"/>
      <c r="J40" s="117"/>
    </row>
    <row r="41" spans="1:10">
      <c r="A41" s="144"/>
      <c r="B41" s="117"/>
      <c r="C41" s="117"/>
      <c r="D41" s="117"/>
      <c r="E41" s="117"/>
      <c r="F41" s="117"/>
      <c r="G41" s="117"/>
      <c r="H41" s="117"/>
      <c r="I41" s="139"/>
      <c r="J41" s="117"/>
    </row>
    <row r="42" spans="1:10">
      <c r="A42" s="144"/>
      <c r="B42" s="117"/>
      <c r="C42" s="145"/>
      <c r="D42" s="117"/>
      <c r="E42" s="117"/>
      <c r="F42" s="117"/>
      <c r="G42" s="117"/>
      <c r="H42" s="145"/>
      <c r="I42" s="151"/>
      <c r="J42" s="117"/>
    </row>
    <row r="43" spans="1:10" s="129" customFormat="1">
      <c r="A43" s="146" t="s">
        <v>14</v>
      </c>
      <c r="B43" s="146"/>
      <c r="C43" s="123"/>
      <c r="D43" s="123"/>
      <c r="E43" s="123"/>
      <c r="F43" s="123"/>
      <c r="G43" s="147" t="s">
        <v>836</v>
      </c>
      <c r="H43" s="117"/>
      <c r="I43" s="139"/>
      <c r="J43" s="148"/>
    </row>
    <row r="44" spans="1:10" s="129" customFormat="1">
      <c r="A44" s="128" t="s">
        <v>187</v>
      </c>
      <c r="B44" s="123"/>
      <c r="C44" s="123"/>
      <c r="D44" s="123"/>
      <c r="E44" s="123"/>
      <c r="F44" s="123"/>
      <c r="G44" s="128" t="s">
        <v>843</v>
      </c>
      <c r="H44" s="117"/>
      <c r="I44" s="139"/>
      <c r="J44" s="123"/>
    </row>
    <row r="45" spans="1:10" s="129" customFormat="1">
      <c r="A45" s="123" t="s">
        <v>844</v>
      </c>
      <c r="B45" s="123"/>
      <c r="C45" s="123"/>
      <c r="D45" s="123"/>
      <c r="E45" s="123"/>
      <c r="F45" s="123"/>
      <c r="G45" s="123" t="s">
        <v>845</v>
      </c>
      <c r="H45" s="117"/>
      <c r="I45" s="139"/>
      <c r="J45" s="123"/>
    </row>
    <row r="46" spans="1:10" s="129" customFormat="1" ht="15">
      <c r="A46" s="149"/>
      <c r="B46" s="123"/>
      <c r="C46" s="123"/>
      <c r="D46" s="123"/>
      <c r="E46" s="123"/>
      <c r="F46" s="123"/>
      <c r="G46" s="123"/>
      <c r="H46" s="123"/>
      <c r="I46" s="123"/>
      <c r="J46" s="123"/>
    </row>
    <row r="47" spans="1:10" s="129" customFormat="1" ht="15">
      <c r="A47" s="149"/>
      <c r="B47" s="123"/>
      <c r="C47" s="123"/>
      <c r="D47" s="123"/>
      <c r="E47" s="123"/>
      <c r="F47" s="123"/>
      <c r="G47" s="123"/>
      <c r="H47" s="123"/>
      <c r="I47" s="123"/>
      <c r="J47" s="123"/>
    </row>
    <row r="48" spans="1:10">
      <c r="A48" s="144"/>
      <c r="B48" s="117"/>
      <c r="C48" s="117"/>
      <c r="D48" s="117"/>
      <c r="E48" s="117"/>
      <c r="F48" s="117"/>
      <c r="G48" s="117"/>
      <c r="H48" s="117"/>
      <c r="I48" s="117"/>
      <c r="J48" s="117"/>
    </row>
    <row r="49" spans="1:10">
      <c r="A49" s="144"/>
      <c r="B49" s="117"/>
      <c r="C49" s="117"/>
      <c r="D49" s="117"/>
      <c r="E49" s="117"/>
      <c r="F49" s="117"/>
      <c r="G49" s="117"/>
      <c r="H49" s="117"/>
      <c r="I49" s="117"/>
      <c r="J49" s="117"/>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6" fitToHeight="0" orientation="portrait"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85" zoomScaleNormal="100" zoomScaleSheetLayoutView="85" workbookViewId="0">
      <selection activeCell="A2" sqref="A2:E2"/>
    </sheetView>
  </sheetViews>
  <sheetFormatPr defaultColWidth="8.7265625" defaultRowHeight="53.25" customHeight="1"/>
  <cols>
    <col min="1" max="1" width="8.7265625" style="9"/>
    <col min="2" max="2" width="59.81640625" style="9" customWidth="1"/>
    <col min="3" max="3" width="10.7265625" style="9" bestFit="1" customWidth="1"/>
    <col min="4" max="4" width="32.453125" style="9" customWidth="1"/>
    <col min="5" max="5" width="34.36328125" style="9" customWidth="1"/>
    <col min="6" max="6" width="8.453125" style="85" customWidth="1"/>
    <col min="7" max="16384" width="8.7265625" style="85"/>
  </cols>
  <sheetData>
    <row r="1" spans="1:6" ht="53.25" customHeight="1">
      <c r="A1" s="161" t="s">
        <v>233</v>
      </c>
      <c r="B1" s="161"/>
      <c r="C1" s="161"/>
      <c r="D1" s="161"/>
      <c r="E1" s="161"/>
      <c r="F1" s="86"/>
    </row>
    <row r="2" spans="1:6" ht="66" customHeight="1">
      <c r="A2" s="162" t="s">
        <v>234</v>
      </c>
      <c r="B2" s="162"/>
      <c r="C2" s="162"/>
      <c r="D2" s="162"/>
      <c r="E2" s="162"/>
      <c r="F2" s="87"/>
    </row>
    <row r="3" spans="1:6" ht="40.5" customHeight="1">
      <c r="A3" s="163" t="s">
        <v>183</v>
      </c>
      <c r="B3" s="163"/>
      <c r="C3" s="163"/>
      <c r="D3" s="163"/>
      <c r="E3" s="163"/>
      <c r="F3" s="86"/>
    </row>
    <row r="4" spans="1:6" ht="12.5" hidden="1">
      <c r="A4" s="163"/>
      <c r="B4" s="163"/>
      <c r="C4" s="163"/>
      <c r="D4" s="163"/>
      <c r="E4" s="163"/>
      <c r="F4" s="86"/>
    </row>
    <row r="5" spans="1:6" ht="12.5">
      <c r="A5" s="164" t="s">
        <v>835</v>
      </c>
      <c r="B5" s="164"/>
      <c r="C5" s="164"/>
      <c r="D5" s="164"/>
      <c r="E5" s="164"/>
      <c r="F5" s="88"/>
    </row>
    <row r="6" spans="1:6" ht="12.5"/>
    <row r="7" spans="1:6" ht="12.5">
      <c r="A7" s="60" t="s">
        <v>2</v>
      </c>
      <c r="C7" s="165" t="s">
        <v>836</v>
      </c>
      <c r="D7" s="165"/>
      <c r="E7" s="165"/>
    </row>
    <row r="8" spans="1:6" ht="12.5">
      <c r="A8" s="9" t="s">
        <v>15</v>
      </c>
      <c r="C8" s="160" t="s">
        <v>837</v>
      </c>
      <c r="D8" s="160"/>
      <c r="E8" s="160"/>
    </row>
    <row r="9" spans="1:6" ht="12.5">
      <c r="A9" s="60" t="s">
        <v>3</v>
      </c>
      <c r="C9" s="165" t="s">
        <v>838</v>
      </c>
      <c r="D9" s="165"/>
      <c r="E9" s="165"/>
    </row>
    <row r="10" spans="1:6" ht="12.5">
      <c r="A10" s="9" t="s">
        <v>4</v>
      </c>
      <c r="C10" s="160" t="s">
        <v>839</v>
      </c>
      <c r="D10" s="160"/>
      <c r="E10" s="160"/>
    </row>
    <row r="11" spans="1:6" ht="12.5">
      <c r="A11" s="60" t="s">
        <v>5</v>
      </c>
      <c r="C11" s="165" t="s">
        <v>840</v>
      </c>
      <c r="D11" s="165"/>
      <c r="E11" s="165"/>
    </row>
    <row r="12" spans="1:6" ht="12.5">
      <c r="A12" s="9" t="s">
        <v>6</v>
      </c>
      <c r="C12" s="160" t="s">
        <v>850</v>
      </c>
      <c r="D12" s="160"/>
      <c r="E12" s="160"/>
    </row>
    <row r="13" spans="1:6" ht="12.5">
      <c r="A13" s="60" t="s">
        <v>7</v>
      </c>
      <c r="C13" s="165" t="s">
        <v>841</v>
      </c>
      <c r="D13" s="165"/>
      <c r="E13" s="165"/>
    </row>
    <row r="14" spans="1:6" ht="12.5">
      <c r="A14" s="9" t="s">
        <v>8</v>
      </c>
      <c r="C14" s="160" t="s">
        <v>842</v>
      </c>
      <c r="D14" s="160"/>
      <c r="E14" s="160"/>
    </row>
    <row r="15" spans="1:6" ht="12.5"/>
    <row r="16" spans="1:6" ht="12.5">
      <c r="A16" s="54" t="s">
        <v>231</v>
      </c>
      <c r="B16" s="55" t="s">
        <v>232</v>
      </c>
    </row>
    <row r="17" spans="1:5" ht="12.5">
      <c r="A17" s="14" t="s">
        <v>25</v>
      </c>
      <c r="B17" s="15" t="s">
        <v>177</v>
      </c>
    </row>
    <row r="18" spans="1:5" ht="37.5">
      <c r="A18" s="90" t="s">
        <v>17</v>
      </c>
      <c r="B18" s="90" t="s">
        <v>221</v>
      </c>
      <c r="C18" s="90" t="s">
        <v>19</v>
      </c>
      <c r="D18" s="91" t="s">
        <v>848</v>
      </c>
      <c r="E18" s="91" t="s">
        <v>849</v>
      </c>
    </row>
    <row r="19" spans="1:5" s="89" customFormat="1" ht="37" customHeight="1">
      <c r="A19" s="29" t="s">
        <v>16</v>
      </c>
      <c r="B19" s="48" t="s">
        <v>106</v>
      </c>
      <c r="C19" s="49" t="s">
        <v>107</v>
      </c>
      <c r="D19" s="105"/>
      <c r="E19" s="105"/>
    </row>
    <row r="20" spans="1:5" ht="57" customHeight="1">
      <c r="A20" s="61">
        <v>1</v>
      </c>
      <c r="B20" s="50" t="s">
        <v>206</v>
      </c>
      <c r="C20" s="51" t="s">
        <v>108</v>
      </c>
      <c r="D20" s="105">
        <v>1.9672385723705998E-2</v>
      </c>
      <c r="E20" s="105">
        <v>1.9037845764665402E-2</v>
      </c>
    </row>
    <row r="21" spans="1:5" ht="59.5" customHeight="1">
      <c r="A21" s="61">
        <v>2</v>
      </c>
      <c r="B21" s="50" t="s">
        <v>207</v>
      </c>
      <c r="C21" s="51" t="s">
        <v>109</v>
      </c>
      <c r="D21" s="105">
        <v>1.3487524458611099E-3</v>
      </c>
      <c r="E21" s="105">
        <v>1.45053189295809E-3</v>
      </c>
    </row>
    <row r="22" spans="1:5" ht="70" customHeight="1">
      <c r="A22" s="61">
        <v>3</v>
      </c>
      <c r="B22" s="50" t="s">
        <v>208</v>
      </c>
      <c r="C22" s="51" t="s">
        <v>110</v>
      </c>
      <c r="D22" s="105">
        <v>6.95689006132974E-4</v>
      </c>
      <c r="E22" s="105">
        <v>6.9957640789085796E-4</v>
      </c>
    </row>
    <row r="23" spans="1:5" ht="45" customHeight="1">
      <c r="A23" s="61">
        <v>4</v>
      </c>
      <c r="B23" s="50" t="s">
        <v>178</v>
      </c>
      <c r="C23" s="51" t="s">
        <v>111</v>
      </c>
      <c r="D23" s="105">
        <v>3.1007926545981201E-4</v>
      </c>
      <c r="E23" s="105">
        <v>3.2113552156642602E-4</v>
      </c>
    </row>
    <row r="24" spans="1:5" ht="59" customHeight="1">
      <c r="A24" s="61">
        <v>5</v>
      </c>
      <c r="B24" s="50" t="s">
        <v>209</v>
      </c>
      <c r="C24" s="51" t="s">
        <v>210</v>
      </c>
      <c r="D24" s="53"/>
      <c r="E24" s="53"/>
    </row>
    <row r="25" spans="1:5" ht="75">
      <c r="A25" s="61">
        <v>6</v>
      </c>
      <c r="B25" s="50" t="s">
        <v>211</v>
      </c>
      <c r="C25" s="51"/>
      <c r="D25" s="53"/>
      <c r="E25" s="53"/>
    </row>
    <row r="26" spans="1:5" ht="69.5" customHeight="1">
      <c r="A26" s="61">
        <v>7</v>
      </c>
      <c r="B26" s="50" t="s">
        <v>179</v>
      </c>
      <c r="C26" s="51" t="s">
        <v>112</v>
      </c>
      <c r="D26" s="105">
        <v>3.0761601645919602E-4</v>
      </c>
      <c r="E26" s="105">
        <v>2.6443023335725899E-4</v>
      </c>
    </row>
    <row r="27" spans="1:5" ht="37.5" customHeight="1">
      <c r="A27" s="61">
        <v>8</v>
      </c>
      <c r="B27" s="50" t="s">
        <v>212</v>
      </c>
      <c r="C27" s="51" t="s">
        <v>113</v>
      </c>
      <c r="D27" s="105">
        <v>2.21623239847481E-2</v>
      </c>
      <c r="E27" s="105">
        <v>2.2372599885716202E-2</v>
      </c>
    </row>
    <row r="28" spans="1:5" ht="33" customHeight="1">
      <c r="A28" s="61">
        <v>9</v>
      </c>
      <c r="B28" s="50" t="s">
        <v>241</v>
      </c>
      <c r="C28" s="51" t="s">
        <v>114</v>
      </c>
      <c r="D28" s="105">
        <v>2.8887240818244102</v>
      </c>
      <c r="E28" s="105">
        <v>2.6703066265538098</v>
      </c>
    </row>
    <row r="29" spans="1:5" ht="60.5" customHeight="1">
      <c r="A29" s="61">
        <v>10</v>
      </c>
      <c r="B29" s="50" t="s">
        <v>213</v>
      </c>
      <c r="C29" s="51" t="s">
        <v>181</v>
      </c>
      <c r="D29" s="53"/>
      <c r="E29" s="53"/>
    </row>
    <row r="30" spans="1:5" s="89" customFormat="1" ht="33" customHeight="1">
      <c r="A30" s="29" t="s">
        <v>21</v>
      </c>
      <c r="B30" s="48" t="s">
        <v>115</v>
      </c>
      <c r="C30" s="49" t="s">
        <v>116</v>
      </c>
      <c r="D30" s="52"/>
      <c r="E30" s="52"/>
    </row>
    <row r="31" spans="1:5" ht="47" customHeight="1">
      <c r="A31" s="184">
        <v>1</v>
      </c>
      <c r="B31" s="50" t="s">
        <v>117</v>
      </c>
      <c r="C31" s="51" t="s">
        <v>118</v>
      </c>
      <c r="D31" s="62">
        <v>206682388600</v>
      </c>
      <c r="E31" s="62">
        <v>194020735100</v>
      </c>
    </row>
    <row r="32" spans="1:5" ht="36" customHeight="1">
      <c r="A32" s="185"/>
      <c r="B32" s="50" t="s">
        <v>119</v>
      </c>
      <c r="C32" s="51" t="s">
        <v>120</v>
      </c>
      <c r="D32" s="62">
        <v>206682388600</v>
      </c>
      <c r="E32" s="62">
        <v>194020735100</v>
      </c>
    </row>
    <row r="33" spans="1:5" ht="36" customHeight="1">
      <c r="A33" s="186"/>
      <c r="B33" s="50" t="s">
        <v>214</v>
      </c>
      <c r="C33" s="51" t="s">
        <v>121</v>
      </c>
      <c r="D33" s="53">
        <v>20668238.859999999</v>
      </c>
      <c r="E33" s="53">
        <v>19402073.510000002</v>
      </c>
    </row>
    <row r="34" spans="1:5" ht="44" customHeight="1">
      <c r="A34" s="183">
        <v>2</v>
      </c>
      <c r="B34" s="50" t="s">
        <v>122</v>
      </c>
      <c r="C34" s="51" t="s">
        <v>123</v>
      </c>
      <c r="D34" s="62">
        <v>4765833300</v>
      </c>
      <c r="E34" s="62">
        <v>12661653500</v>
      </c>
    </row>
    <row r="35" spans="1:5" ht="31.5" customHeight="1">
      <c r="A35" s="183"/>
      <c r="B35" s="50" t="s">
        <v>124</v>
      </c>
      <c r="C35" s="51" t="s">
        <v>215</v>
      </c>
      <c r="D35" s="53">
        <v>476583.33</v>
      </c>
      <c r="E35" s="53">
        <v>1266165.3500000001</v>
      </c>
    </row>
    <row r="36" spans="1:5" ht="31.5" customHeight="1">
      <c r="A36" s="183"/>
      <c r="B36" s="50" t="s">
        <v>125</v>
      </c>
      <c r="C36" s="51" t="s">
        <v>216</v>
      </c>
      <c r="D36" s="62">
        <v>4765833300</v>
      </c>
      <c r="E36" s="62">
        <v>12661653500</v>
      </c>
    </row>
    <row r="37" spans="1:5" ht="31.5" customHeight="1">
      <c r="A37" s="183"/>
      <c r="B37" s="50" t="s">
        <v>217</v>
      </c>
      <c r="C37" s="51" t="s">
        <v>126</v>
      </c>
      <c r="D37" s="53">
        <v>1374773.97</v>
      </c>
      <c r="E37" s="53">
        <v>2157947.5099999998</v>
      </c>
    </row>
    <row r="38" spans="1:5" ht="31.5" customHeight="1">
      <c r="A38" s="183"/>
      <c r="B38" s="50" t="s">
        <v>160</v>
      </c>
      <c r="C38" s="51" t="s">
        <v>127</v>
      </c>
      <c r="D38" s="62">
        <v>13747739700</v>
      </c>
      <c r="E38" s="62">
        <v>21579475100</v>
      </c>
    </row>
    <row r="39" spans="1:5" ht="31.5" customHeight="1">
      <c r="A39" s="183"/>
      <c r="B39" s="50" t="s">
        <v>239</v>
      </c>
      <c r="C39" s="51" t="s">
        <v>128</v>
      </c>
      <c r="D39" s="53">
        <v>-898190.64</v>
      </c>
      <c r="E39" s="53">
        <v>-891782.16</v>
      </c>
    </row>
    <row r="40" spans="1:5" ht="43.5" customHeight="1">
      <c r="A40" s="183"/>
      <c r="B40" s="50" t="s">
        <v>161</v>
      </c>
      <c r="C40" s="51" t="s">
        <v>129</v>
      </c>
      <c r="D40" s="62">
        <v>-8981906400</v>
      </c>
      <c r="E40" s="62">
        <v>-8917821600</v>
      </c>
    </row>
    <row r="41" spans="1:5" ht="31" customHeight="1">
      <c r="A41" s="183">
        <v>3</v>
      </c>
      <c r="B41" s="50" t="s">
        <v>162</v>
      </c>
      <c r="C41" s="51" t="s">
        <v>130</v>
      </c>
      <c r="D41" s="62">
        <v>211448221900</v>
      </c>
      <c r="E41" s="62">
        <v>206682388600</v>
      </c>
    </row>
    <row r="42" spans="1:5" ht="48.5" customHeight="1">
      <c r="A42" s="183"/>
      <c r="B42" s="50" t="s">
        <v>218</v>
      </c>
      <c r="C42" s="51" t="s">
        <v>131</v>
      </c>
      <c r="D42" s="62">
        <v>211448221900</v>
      </c>
      <c r="E42" s="62">
        <v>206682388600</v>
      </c>
    </row>
    <row r="43" spans="1:5" ht="37.5" customHeight="1">
      <c r="A43" s="183"/>
      <c r="B43" s="50" t="s">
        <v>219</v>
      </c>
      <c r="C43" s="51" t="s">
        <v>132</v>
      </c>
      <c r="D43" s="53">
        <v>21144822.190000001</v>
      </c>
      <c r="E43" s="53">
        <v>20668238.859999999</v>
      </c>
    </row>
    <row r="44" spans="1:5" ht="57" customHeight="1">
      <c r="A44" s="61">
        <v>4</v>
      </c>
      <c r="B44" s="50" t="s">
        <v>133</v>
      </c>
      <c r="C44" s="51" t="s">
        <v>134</v>
      </c>
      <c r="D44" s="105">
        <v>1.8156974627176999E-4</v>
      </c>
      <c r="E44" s="105">
        <v>1.8575651394421699E-4</v>
      </c>
    </row>
    <row r="45" spans="1:5" ht="33.5" customHeight="1">
      <c r="A45" s="61">
        <v>5</v>
      </c>
      <c r="B45" s="50" t="s">
        <v>135</v>
      </c>
      <c r="C45" s="51" t="s">
        <v>136</v>
      </c>
      <c r="D45" s="105">
        <v>0.11550000000000001</v>
      </c>
      <c r="E45" s="105">
        <v>0.1241</v>
      </c>
    </row>
    <row r="46" spans="1:5" ht="33.5" customHeight="1">
      <c r="A46" s="61">
        <v>6</v>
      </c>
      <c r="B46" s="50" t="s">
        <v>137</v>
      </c>
      <c r="C46" s="51" t="s">
        <v>138</v>
      </c>
      <c r="D46" s="105">
        <v>0.13639999999999999</v>
      </c>
      <c r="E46" s="105">
        <v>0.1482</v>
      </c>
    </row>
    <row r="47" spans="1:5" ht="33.5" customHeight="1">
      <c r="A47" s="61">
        <v>7</v>
      </c>
      <c r="B47" s="50" t="s">
        <v>139</v>
      </c>
      <c r="C47" s="51" t="s">
        <v>140</v>
      </c>
      <c r="D47" s="62">
        <v>18122</v>
      </c>
      <c r="E47" s="62">
        <v>17709</v>
      </c>
    </row>
    <row r="48" spans="1:5" ht="33.5" customHeight="1">
      <c r="A48" s="61">
        <v>8</v>
      </c>
      <c r="B48" s="50" t="s">
        <v>163</v>
      </c>
      <c r="C48" s="51" t="s">
        <v>141</v>
      </c>
      <c r="D48" s="53">
        <v>27088.33</v>
      </c>
      <c r="E48" s="53">
        <v>26501.03</v>
      </c>
    </row>
    <row r="49" spans="1:5" ht="41" customHeight="1">
      <c r="A49" s="61">
        <v>9</v>
      </c>
      <c r="B49" s="50" t="s">
        <v>220</v>
      </c>
      <c r="C49" s="51" t="s">
        <v>182</v>
      </c>
      <c r="D49" s="53"/>
      <c r="E49" s="53"/>
    </row>
    <row r="50" spans="1:5" ht="31.5" customHeight="1">
      <c r="A50" s="182" t="s">
        <v>240</v>
      </c>
      <c r="B50" s="160"/>
      <c r="C50" s="160"/>
      <c r="D50" s="160"/>
      <c r="E50" s="160"/>
    </row>
    <row r="51" spans="1:5" ht="95.25" customHeight="1">
      <c r="A51" s="182" t="s">
        <v>851</v>
      </c>
      <c r="B51" s="160"/>
      <c r="C51" s="160"/>
      <c r="D51" s="160"/>
      <c r="E51" s="160"/>
    </row>
    <row r="52" spans="1:5" ht="12.5">
      <c r="A52" s="18" t="s">
        <v>10</v>
      </c>
      <c r="D52" s="18" t="s">
        <v>11</v>
      </c>
    </row>
    <row r="53" spans="1:5" s="88"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836</v>
      </c>
    </row>
    <row r="64" spans="1:5" ht="12.5">
      <c r="A64" s="18" t="s">
        <v>187</v>
      </c>
      <c r="D64" s="18" t="s">
        <v>843</v>
      </c>
    </row>
    <row r="65" spans="1:4" ht="12.5">
      <c r="A65" s="9" t="s">
        <v>844</v>
      </c>
      <c r="D65" s="9" t="s">
        <v>845</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6" fitToHeight="3" orientation="portrait" r:id="rId1"/>
  <headerFooter>
    <oddHeader>&amp;L&amp;"Arial"&amp;9&amp;KA80000CONFIDENTIAL&amp;1#</oddHeader>
  </headerFooter>
  <rowBreaks count="1" manualBreakCount="1">
    <brk id="28"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LPDgsLqi1woglMeEK349ZGb3oj7idh7UslZyw4uJm+s=</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PjBkfaJ6MMjU3tLaRWA/RoA8TmzAyTQ0CcxnQsYNvKk=</DigestValue>
    </Reference>
  </SignedInfo>
  <SignatureValue>E0FSqlQJS3PVRA/kx4VRVSXmJEFYqx4SgrnXMBBvuYInr6YM3YJWxw8PHm4byLDkfm1WbE8HZv1H
04RliSzqS7bXff3r6sxuDFCwCc/YYjquTDsSsNCJdeB0grDC/lvzLT1nTSMOieQtdrZmaNfdZB7K
58B+FHTm8EHLvyNvxqIUdRK636Zcnpyw7lKrT7liVw3Mfx594pHnmRtfITg5PbOlR5YXRt1LAQY1
Clc21+OQM5rnAjr9jU0YHAVvwQxNSjfJJUT5Q5rY+4f6+oZmzEhTSP4Pep4vbmtnZe6MSdSvMbft
Ad450VluRwwTN4kkDpRSBCfzVw9xqi/J8BN1aA==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drawing1.xml?ContentType=application/vnd.openxmlformats-officedocument.drawing+xml">
        <DigestMethod Algorithm="http://www.w3.org/2001/04/xmlenc#sha256"/>
        <DigestValue>nPPcV5sBWqE+FpZ/8RGR2QvTIA8G4xT73CncOeYEPQw=</DigestValue>
      </Reference>
      <Reference URI="/xl/drawings/drawing2.xml?ContentType=application/vnd.openxmlformats-officedocument.drawing+xml">
        <DigestMethod Algorithm="http://www.w3.org/2001/04/xmlenc#sha256"/>
        <DigestValue>C6R/eGZXwdDgrxpx8/bMdrJc8hpiH0Uu30uNq2JsNjM=</DigestValue>
      </Reference>
      <Reference URI="/xl/drawings/drawing3.xml?ContentType=application/vnd.openxmlformats-officedocument.drawing+xml">
        <DigestMethod Algorithm="http://www.w3.org/2001/04/xmlenc#sha256"/>
        <DigestValue>1uS6HU8RI+5KmxVEv+pCJilRezpGYUdfq1tl5KWVAPw=</DigestValue>
      </Reference>
      <Reference URI="/xl/drawings/drawing4.xml?ContentType=application/vnd.openxmlformats-officedocument.drawing+xml">
        <DigestMethod Algorithm="http://www.w3.org/2001/04/xmlenc#sha256"/>
        <DigestValue>pbIkO3gn8SPL+DloNczOrriE8InymIh55fXn4x/jcaU=</DigestValue>
      </Reference>
      <Reference URI="/xl/drawings/drawing5.xml?ContentType=application/vnd.openxmlformats-officedocument.drawing+xml">
        <DigestMethod Algorithm="http://www.w3.org/2001/04/xmlenc#sha256"/>
        <DigestValue>oHdw2TSIlemiFBKz1nAVKBUxAT1GHdjZ5hQMuVpDDQU=</DigestValue>
      </Reference>
      <Reference URI="/xl/media/image1.emf?ContentType=image/x-emf">
        <DigestMethod Algorithm="http://www.w3.org/2001/04/xmlenc#sha256"/>
        <DigestValue>/+6UnfE2CTE/Ui/7fzByQZeMBEOVFyVjByk+7BJUp/Y=</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tq7iScP0SM/WThZS4BsLbqzwbLZA9WUzzaZcB+RUzeY=</DigestValue>
      </Reference>
      <Reference URI="/xl/styles.xml?ContentType=application/vnd.openxmlformats-officedocument.spreadsheetml.styles+xml">
        <DigestMethod Algorithm="http://www.w3.org/2001/04/xmlenc#sha256"/>
        <DigestValue>NIoc+KtGv+z5cd5Gw0qSmDwt9F1M12BiqeWaD8NkaEQ=</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BqFhmXPPYbfKRUJPp3/lCIBIStcCN0iGbN42LgdwksM=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yb3VL78ZvTMbmcofxWeSSaGli1M2x3rUsWKvy+10RB4=</DigestValue>
      </Reference>
      <Reference URI="/xl/worksheets/sheet2.xml?ContentType=application/vnd.openxmlformats-officedocument.spreadsheetml.worksheet+xml">
        <DigestMethod Algorithm="http://www.w3.org/2001/04/xmlenc#sha256"/>
        <DigestValue>AbIjzZOJfbP/U2PyPZCGQbQs88h4Recx16scNHzRYlE=</DigestValue>
      </Reference>
      <Reference URI="/xl/worksheets/sheet3.xml?ContentType=application/vnd.openxmlformats-officedocument.spreadsheetml.worksheet+xml">
        <DigestMethod Algorithm="http://www.w3.org/2001/04/xmlenc#sha256"/>
        <DigestValue>NOI6zeQioNno4VKuens09chWAc5OohmIEx6Mg7byMJA=</DigestValue>
      </Reference>
      <Reference URI="/xl/worksheets/sheet4.xml?ContentType=application/vnd.openxmlformats-officedocument.spreadsheetml.worksheet+xml">
        <DigestMethod Algorithm="http://www.w3.org/2001/04/xmlenc#sha256"/>
        <DigestValue>DfWwRMvzm+CJ0H6q/jyes5jSeGqJsPgU8ON5oyhMHPw=</DigestValue>
      </Reference>
      <Reference URI="/xl/worksheets/sheet5.xml?ContentType=application/vnd.openxmlformats-officedocument.spreadsheetml.worksheet+xml">
        <DigestMethod Algorithm="http://www.w3.org/2001/04/xmlenc#sha256"/>
        <DigestValue>kf0b8k40PgjHbs7sTK1OO7vavo9v8ZasOq2d4kajgfw=</DigestValue>
      </Reference>
      <Reference URI="/xl/worksheets/sheet6.xml?ContentType=application/vnd.openxmlformats-officedocument.spreadsheetml.worksheet+xml">
        <DigestMethod Algorithm="http://www.w3.org/2001/04/xmlenc#sha256"/>
        <DigestValue>N++D99Cv84zaxl3+mayT8Jj72+TWZYXCLtXdFCZhuks=</DigestValue>
      </Reference>
    </Manifest>
    <SignatureProperties>
      <SignatureProperty Id="idSignatureTime" Target="#idPackageSignature">
        <mdssi:SignatureTime xmlns:mdssi="http://schemas.openxmlformats.org/package/2006/digital-signature">
          <mdssi:Format>YYYY-MM-DDThh:mm:ssTZD</mdssi:Format>
          <mdssi:Value>2025-06-04T10:08:19Z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2025-06-04T10:08:19Z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TONGQUAN</vt:lpstr>
      <vt:lpstr>BCTaiSan_06027</vt:lpstr>
      <vt:lpstr>BCKetQuaHoatDong_06028</vt:lpstr>
      <vt:lpstr>BCDanhMucDauTu_06029</vt:lpstr>
      <vt:lpstr>BCHoatDongVay_06026</vt:lpstr>
      <vt:lpstr>Khac_06030</vt:lpstr>
      <vt:lpstr>BCHoatDongVay_06026!Print_Area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2025-06-04T03:27:06Z</cp:lastPrinted>
  <dcterms:created xsi:type="dcterms:W3CDTF">2019-03-13T13:30:00Z</dcterms:created>
  <dcterms:modified xsi:type="dcterms:W3CDTF">2025-06-04T10:07:23Z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