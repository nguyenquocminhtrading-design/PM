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docMetadata/LabelInfo.xml" ContentType="application/vnd.ms-office.classificationlabel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vnnasp102.vn.standardchartered.com\Depts$\GTO_SSO_FSVN_Financial Reports\BAU\2025\10. Oct\Quarterly report\Digital signed file\Not signed\"/>
    </mc:Choice>
  </mc:AlternateContent>
  <xr:revisionPtr revIDLastSave="0" documentId="13_ncr:1_{87704D6B-CEC9-4E13-88AF-1C3496DDDA13}" xr6:coauthVersionLast="47" xr6:coauthVersionMax="47" xr10:uidLastSave="{00000000-0000-0000-0000-000000000000}"/>
  <bookViews>
    <workbookView xWindow="-110" yWindow="-110" windowWidth="19420" windowHeight="10300" tabRatio="999" activeTab="2"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 name="BCTinhHinhTaiChinh_06105" sheetId="42" r:id="rId7"/>
    <sheet name="BCThuNhap_06203" sheetId="34" r:id="rId8"/>
    <sheet name="BCLCGT_06262" sheetId="38" r:id="rId9"/>
  </sheets>
  <definedNames>
    <definedName name="_xlnm._FilterDatabase" localSheetId="4" hidden="1">BCDanhMucDauTu_06029!$A$18:$J$18</definedName>
    <definedName name="_xlnm._FilterDatabase" localSheetId="3" hidden="1">BCKetQuaHoatDong_06028!$A$18:$H$89</definedName>
    <definedName name="_xlnm._FilterDatabase" localSheetId="8" hidden="1">BCLCGT_06262!$A$17:$F$61</definedName>
    <definedName name="_xlnm._FilterDatabase" localSheetId="2" hidden="1">BCTaiSan_06027!$A$18:$F$18</definedName>
    <definedName name="_xlnm._FilterDatabase" localSheetId="7" hidden="1">BCThuNhap_06203!$A$16:$J$77</definedName>
    <definedName name="_xlnm._FilterDatabase" localSheetId="6" hidden="1">BCTinhHinhTaiChinh_06105!$A$16:$H$120</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8">BCLCGT_06262!$17:$17</definedName>
    <definedName name="_xlnm.Print_Titles" localSheetId="2">BCTaiSan_06027!$18:$18</definedName>
    <definedName name="_xlnm.Print_Titles" localSheetId="7">BCThuNhap_06203!$16:$17</definedName>
    <definedName name="_xlnm.Print_Titles" localSheetId="6">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43" l="1"/>
  <c r="C13" i="43"/>
  <c r="C11" i="43"/>
  <c r="C10" i="43"/>
  <c r="C9" i="43"/>
  <c r="C8" i="43"/>
  <c r="C7" i="43"/>
  <c r="A5" i="43"/>
</calcChain>
</file>

<file path=xl/sharedStrings.xml><?xml version="1.0" encoding="utf-8"?>
<sst xmlns="http://schemas.openxmlformats.org/spreadsheetml/2006/main" count="1777" uniqueCount="1324">
  <si>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</si>
  <si>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</si>
  <si>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</si>
  <si>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</si>
  <si>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</si>
  <si>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</si>
  <si>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</si>
  <si>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</si>
  <si>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</si>
  <si>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</si>
  <si>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</si>
  <si>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</si>
  <si>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</si>
  <si>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</si>
  <si>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</si>
  <si>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</si>
  <si>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</si>
  <si>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</si>
  <si>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</si>
  <si>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</si>
  <si>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</si>
  <si>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</si>
  <si>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</si>
  <si>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</si>
  <si>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</si>
  <si>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</si>
  <si>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</si>
  <si>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</si>
  <si>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</si>
  <si>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</si>
  <si>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</si>
  <si>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</si>
  <si>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</si>
  <si>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</si>
  <si>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</si>
  <si>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</si>
  <si>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</si>
  <si>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</si>
  <si>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</si>
  <si>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</si>
  <si>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</si>
  <si>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</si>
  <si>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</si>
  <si>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</si>
  <si>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</si>
  <si>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</si>
  <si>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</si>
  <si>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</si>
  <si>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</si>
  <si>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</si>
  <si>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</si>
  <si>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</si>
  <si>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</si>
  <si>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</si>
  <si>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</si>
  <si>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</si>
  <si>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</si>
  <si>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</si>
  <si>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</si>
  <si>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</si>
  <si>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</si>
  <si>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</si>
  <si>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</si>
  <si>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</si>
  <si>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</si>
  <si>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</si>
  <si>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</si>
  <si>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</si>
  <si>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</si>
  <si>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</si>
  <si>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</si>
  <si>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</si>
  <si>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</si>
  <si>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</si>
  <si>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</si>
  <si>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</si>
  <si>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</si>
  <si>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</si>
  <si>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</si>
  <si>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</si>
  <si>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</si>
  <si>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</si>
  <si>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</si>
  <si>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</si>
  <si>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</si>
  <si>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</si>
  <si>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</si>
  <si>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</si>
  <si>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</si>
  <si>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</si>
  <si>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</si>
  <si>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</si>
  <si>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</si>
  <si>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</si>
  <si>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</si>
  <si>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</si>
  <si>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</si>
  <si>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</si>
  <si>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</si>
  <si>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</si>
  <si>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</si>
  <si>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</si>
  <si>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</si>
  <si>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</si>
  <si>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</si>
  <si>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</si>
  <si>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</si>
  <si>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</si>
  <si>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</si>
  <si>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</si>
  <si>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</si>
  <si>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</si>
  <si>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</si>
  <si>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</si>
  <si>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</si>
  <si>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</si>
  <si>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</si>
  <si>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</si>
  <si>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</si>
  <si>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</si>
  <si>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</si>
  <si>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</si>
  <si>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</si>
  <si>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</si>
  <si>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</si>
  <si>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</si>
  <si>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</si>
  <si>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</si>
  <si>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</si>
  <si>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</si>
  <si>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</si>
  <si>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</si>
  <si>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</si>
  <si>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</si>
  <si>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</si>
  <si>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</si>
  <si>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</si>
  <si>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</si>
  <si>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</si>
  <si>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</si>
  <si>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</si>
  <si>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</si>
  <si>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</si>
  <si>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</si>
  <si>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</si>
  <si>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</si>
  <si>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</si>
  <si>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</si>
  <si>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</si>
  <si>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</si>
  <si>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</si>
  <si>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</si>
  <si>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</si>
  <si>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</si>
  <si>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</si>
  <si>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</si>
  <si>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</si>
  <si>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</si>
  <si>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</si>
  <si>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</si>
  <si>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</si>
  <si>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</si>
  <si>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</si>
  <si>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</si>
  <si>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</si>
  <si>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</si>
  <si>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</si>
  <si>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</si>
  <si>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</si>
  <si>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</si>
  <si>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</si>
  <si>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</si>
  <si>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</si>
  <si>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</si>
  <si>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</si>
  <si>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</si>
  <si>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</si>
  <si>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</si>
  <si>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</si>
  <si>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</si>
  <si>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</si>
  <si>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</si>
  <si>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</si>
  <si>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</si>
  <si>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</si>
  <si>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</si>
  <si>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</si>
  <si>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</si>
  <si>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</si>
  <si>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</si>
  <si>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</si>
  <si>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</si>
  <si>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</si>
  <si>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</si>
  <si>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</si>
  <si>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</si>
  <si>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</si>
  <si>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</si>
  <si>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</si>
  <si>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</si>
  <si>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</si>
  <si>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</si>
  <si>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</si>
  <si>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</si>
  <si>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</si>
  <si>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</si>
  <si>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</si>
  <si>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</si>
  <si>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</si>
  <si>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</si>
  <si>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</si>
  <si>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</si>
  <si>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</si>
  <si>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</si>
  <si>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</si>
  <si>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</si>
  <si>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</si>
  <si>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</si>
  <si>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</si>
  <si>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</si>
  <si>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</si>
  <si>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</si>
  <si>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</si>
  <si>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</si>
  <si>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</si>
  <si>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</si>
  <si>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</si>
  <si>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</si>
  <si>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</si>
  <si>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</si>
  <si>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</si>
  <si>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</si>
  <si>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</si>
  <si>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</si>
  <si>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</si>
  <si>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</si>
  <si>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</si>
  <si>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</si>
  <si>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</si>
  <si>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</si>
  <si>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</si>
  <si>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</si>
  <si>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</si>
  <si>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</si>
  <si>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</si>
  <si>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</si>
  <si>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</si>
  <si>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</si>
  <si>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</si>
  <si>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</si>
  <si>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</si>
  <si>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</si>
  <si>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</si>
  <si>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</si>
  <si>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</si>
  <si>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</si>
  <si>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</si>
  <si>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</si>
  <si>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</si>
  <si>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</si>
  <si>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</si>
  <si>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</si>
  <si>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</si>
  <si>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</si>
  <si>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</si>
  <si>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</si>
  <si>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</si>
  <si>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</si>
  <si>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</si>
  <si>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</si>
  <si>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</si>
  <si>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</si>
  <si>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</si>
  <si>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</si>
  <si>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</si>
  <si>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</si>
  <si>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</si>
  <si>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</si>
  <si>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</si>
  <si>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</si>
  <si>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</si>
  <si>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</si>
  <si>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</si>
  <si>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</si>
  <si>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</si>
  <si>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</si>
  <si>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</si>
  <si>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</si>
  <si>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</si>
  <si>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</si>
  <si>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</si>
  <si>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</si>
  <si>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</si>
  <si>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</si>
  <si>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</si>
  <si>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</si>
  <si>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</si>
  <si>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</si>
  <si>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</si>
  <si>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</si>
  <si>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</si>
  <si>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</si>
  <si>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</si>
  <si>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</si>
  <si>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</si>
  <si>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</si>
  <si>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</si>
  <si>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</si>
  <si>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</si>
  <si>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</si>
  <si>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</si>
  <si>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</si>
  <si>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</si>
  <si>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</si>
  <si>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</si>
  <si>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</si>
  <si>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</si>
  <si>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</si>
  <si>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</si>
  <si>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</si>
  <si>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</si>
  <si>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</si>
  <si>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</si>
  <si>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</si>
  <si>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</si>
  <si>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</si>
  <si>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</si>
  <si>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</si>
  <si>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</si>
  <si>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</si>
  <si>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</si>
  <si>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</si>
  <si>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</si>
  <si>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</si>
  <si>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</si>
  <si>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</si>
  <si>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</si>
  <si>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</si>
  <si>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</si>
  <si>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</si>
  <si>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</si>
  <si>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</si>
  <si>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</si>
  <si>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</si>
  <si>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</si>
  <si>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</si>
  <si>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</si>
  <si>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</si>
  <si>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</si>
  <si>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</si>
  <si>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</si>
  <si>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</si>
  <si>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</si>
  <si>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</si>
  <si>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</si>
  <si>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</si>
  <si>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</si>
  <si>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</si>
  <si>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</si>
  <si>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</si>
  <si>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</si>
  <si>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</si>
  <si>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Tiền gửi ngân hàng cuối kỳ: 
Cash at bank of the end of period:</t>
  </si>
  <si>
    <t>1</t>
  </si>
  <si>
    <t>110</t>
  </si>
  <si>
    <t>1.1</t>
  </si>
  <si>
    <t>111</t>
  </si>
  <si>
    <t/>
  </si>
  <si>
    <t>111.1</t>
  </si>
  <si>
    <t>111.2</t>
  </si>
  <si>
    <t>111.3</t>
  </si>
  <si>
    <t>111.4</t>
  </si>
  <si>
    <t>1.2</t>
  </si>
  <si>
    <t>112</t>
  </si>
  <si>
    <t>2</t>
  </si>
  <si>
    <t>120</t>
  </si>
  <si>
    <t>2.1</t>
  </si>
  <si>
    <t>121</t>
  </si>
  <si>
    <t>121.1</t>
  </si>
  <si>
    <t>121.2</t>
  </si>
  <si>
    <t>121.3</t>
  </si>
  <si>
    <t>121.4</t>
  </si>
  <si>
    <t>121.5</t>
  </si>
  <si>
    <t>121.6</t>
  </si>
  <si>
    <t>121.7</t>
  </si>
  <si>
    <t>121.8</t>
  </si>
  <si>
    <t>121.9</t>
  </si>
  <si>
    <t>121.10</t>
  </si>
  <si>
    <t>2.2</t>
  </si>
  <si>
    <t>122</t>
  </si>
  <si>
    <t>3</t>
  </si>
  <si>
    <t>130</t>
  </si>
  <si>
    <t>3.1</t>
  </si>
  <si>
    <t>131</t>
  </si>
  <si>
    <t>132</t>
  </si>
  <si>
    <t>3.2</t>
  </si>
  <si>
    <t>133</t>
  </si>
  <si>
    <t>3.2.1</t>
  </si>
  <si>
    <t>134</t>
  </si>
  <si>
    <t>134.1</t>
  </si>
  <si>
    <t>134.2</t>
  </si>
  <si>
    <t>134.3</t>
  </si>
  <si>
    <t>134.4</t>
  </si>
  <si>
    <t>134.5</t>
  </si>
  <si>
    <t>135</t>
  </si>
  <si>
    <t>3.2.2</t>
  </si>
  <si>
    <t>136</t>
  </si>
  <si>
    <t>136.1</t>
  </si>
  <si>
    <t>136.2</t>
  </si>
  <si>
    <t>136.3</t>
  </si>
  <si>
    <t>136.4</t>
  </si>
  <si>
    <t>136.5</t>
  </si>
  <si>
    <t>136.6</t>
  </si>
  <si>
    <t>3.3</t>
  </si>
  <si>
    <t>137</t>
  </si>
  <si>
    <t>137.1</t>
  </si>
  <si>
    <t>137.2</t>
  </si>
  <si>
    <t>137.3</t>
  </si>
  <si>
    <t>3.4</t>
  </si>
  <si>
    <t>138</t>
  </si>
  <si>
    <t>100</t>
  </si>
  <si>
    <t>311</t>
  </si>
  <si>
    <t>311.1</t>
  </si>
  <si>
    <t>311.2</t>
  </si>
  <si>
    <t>312</t>
  </si>
  <si>
    <t>313</t>
  </si>
  <si>
    <t>313.1</t>
  </si>
  <si>
    <t>313.2</t>
  </si>
  <si>
    <t>4</t>
  </si>
  <si>
    <t>314</t>
  </si>
  <si>
    <t>5</t>
  </si>
  <si>
    <t>315</t>
  </si>
  <si>
    <t>6</t>
  </si>
  <si>
    <t>316</t>
  </si>
  <si>
    <t>316.1</t>
  </si>
  <si>
    <t>316.1.1</t>
  </si>
  <si>
    <t>316.1.2</t>
  </si>
  <si>
    <t>316.2</t>
  </si>
  <si>
    <t>316.3</t>
  </si>
  <si>
    <t>316.4</t>
  </si>
  <si>
    <t>316.5</t>
  </si>
  <si>
    <t>316.6</t>
  </si>
  <si>
    <t>316.7</t>
  </si>
  <si>
    <t>7</t>
  </si>
  <si>
    <t>317</t>
  </si>
  <si>
    <t>317.1</t>
  </si>
  <si>
    <t>317.2</t>
  </si>
  <si>
    <t>8</t>
  </si>
  <si>
    <t>318</t>
  </si>
  <si>
    <t>9</t>
  </si>
  <si>
    <t>319</t>
  </si>
  <si>
    <t>319.1</t>
  </si>
  <si>
    <t>319.2</t>
  </si>
  <si>
    <t>319.2.1</t>
  </si>
  <si>
    <t>319.2.2</t>
  </si>
  <si>
    <t>319.2.3</t>
  </si>
  <si>
    <t>319.3</t>
  </si>
  <si>
    <t>319.4</t>
  </si>
  <si>
    <t>319.5</t>
  </si>
  <si>
    <t>319.6</t>
  </si>
  <si>
    <t>319.7</t>
  </si>
  <si>
    <t>320</t>
  </si>
  <si>
    <t>320.1</t>
  </si>
  <si>
    <t>320.2</t>
  </si>
  <si>
    <t>320.3</t>
  </si>
  <si>
    <t>320.4</t>
  </si>
  <si>
    <t>320.5</t>
  </si>
  <si>
    <t>300</t>
  </si>
  <si>
    <t>400</t>
  </si>
  <si>
    <t>411</t>
  </si>
  <si>
    <t>412</t>
  </si>
  <si>
    <t>413</t>
  </si>
  <si>
    <t>414</t>
  </si>
  <si>
    <t>420</t>
  </si>
  <si>
    <t>420.1</t>
  </si>
  <si>
    <t>420.2</t>
  </si>
  <si>
    <t>430</t>
  </si>
  <si>
    <t>440</t>
  </si>
  <si>
    <t>441</t>
  </si>
  <si>
    <t>442</t>
  </si>
  <si>
    <t>001</t>
  </si>
  <si>
    <t>002</t>
  </si>
  <si>
    <t>003</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</si>
  <si>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</si>
  <si>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</si>
  <si>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</si>
  <si>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</si>
  <si>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</si>
  <si>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</si>
  <si>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</si>
  <si>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</si>
  <si>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</si>
  <si>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</si>
  <si>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</si>
  <si>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</si>
  <si>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</si>
  <si>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</si>
  <si>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</si>
  <si>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</si>
  <si>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</si>
  <si>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</si>
  <si>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</si>
  <si>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</si>
  <si>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</si>
  <si>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</si>
  <si>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</si>
  <si>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</si>
  <si>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</si>
  <si>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</si>
  <si>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</si>
  <si>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</si>
  <si>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</si>
  <si>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</si>
  <si>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</si>
  <si>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</si>
  <si>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</si>
  <si>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</si>
  <si>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</si>
  <si>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</si>
  <si>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</si>
  <si>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</si>
  <si>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</si>
  <si>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</si>
  <si>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</si>
  <si>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</si>
  <si>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</si>
  <si>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</si>
  <si>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</si>
  <si>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</si>
  <si>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</si>
  <si>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</si>
  <si>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</si>
  <si>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</si>
  <si>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</si>
  <si>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</si>
  <si>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</si>
  <si>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</si>
  <si>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</si>
  <si>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</si>
  <si>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</si>
  <si>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</si>
  <si>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</si>
  <si>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</si>
  <si>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</si>
  <si>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</si>
  <si>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</si>
  <si>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</si>
  <si>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</si>
  <si>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</si>
  <si>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</si>
  <si>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</si>
  <si>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</si>
  <si>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</si>
  <si>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</si>
  <si>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</si>
  <si>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</si>
  <si>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Mẫu số B05 - QM. Báo cáo lưu chuyển tiền tệ
Template B05 - QM. Cash flow statement</t>
  </si>
  <si>
    <t>Lãi công cụ thị trường tiền tệ
Interest income from Money market instruments</t>
  </si>
  <si>
    <t>Phí môi giới, chuyển nhượng
Brokerage &amp; transfer fee</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</si>
  <si>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</si>
  <si>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</si>
  <si>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</si>
  <si>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</si>
  <si>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</si>
  <si>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 Lưu chuyển tiền từ hoạt động đầu tư 
Cash flow from investing activities</t>
  </si>
  <si>
    <t>Tiền gửi có kỳ hạn không quá ba (03) tháng
Deposit with term up to three (03) months</t>
  </si>
  <si>
    <t xml:space="preserve">- Tiền gửi của nhà đầu tư về phải trả cổ tức và mua bán chứng chỉ quỹ
Cash at bank for Fund's dividend payable and subscription/redemption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</si>
  <si>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</si>
  <si>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</si>
  <si>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</si>
  <si>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</si>
  <si>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</si>
  <si>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</si>
  <si>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</si>
  <si>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</si>
  <si>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</si>
  <si>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</si>
  <si>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</si>
  <si>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</si>
  <si>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ACV</t>
  </si>
  <si>
    <t>2246.2</t>
  </si>
  <si>
    <t>3</t>
  </si>
  <si>
    <t>ANV</t>
  </si>
  <si>
    <t>2246.3</t>
  </si>
  <si>
    <t>4</t>
  </si>
  <si>
    <t>BID</t>
  </si>
  <si>
    <t>2246.4</t>
  </si>
  <si>
    <t>5</t>
  </si>
  <si>
    <t>CEO</t>
  </si>
  <si>
    <t>2246.5</t>
  </si>
  <si>
    <t>6</t>
  </si>
  <si>
    <t>CII</t>
  </si>
  <si>
    <t>2246.6</t>
  </si>
  <si>
    <t>7</t>
  </si>
  <si>
    <t>CTG</t>
  </si>
  <si>
    <t>2246.7</t>
  </si>
  <si>
    <t>8</t>
  </si>
  <si>
    <t>CTI</t>
  </si>
  <si>
    <t>2246.8</t>
  </si>
  <si>
    <t>9</t>
  </si>
  <si>
    <t>CTS</t>
  </si>
  <si>
    <t>2246.9</t>
  </si>
  <si>
    <t>10</t>
  </si>
  <si>
    <t>DHC</t>
  </si>
  <si>
    <t>2246.10</t>
  </si>
  <si>
    <t>11</t>
  </si>
  <si>
    <t>DIG</t>
  </si>
  <si>
    <t>2246.11</t>
  </si>
  <si>
    <t>12</t>
  </si>
  <si>
    <t>DPM</t>
  </si>
  <si>
    <t>2246.12</t>
  </si>
  <si>
    <t>13</t>
  </si>
  <si>
    <t>DXG</t>
  </si>
  <si>
    <t>2246.13</t>
  </si>
  <si>
    <t>14</t>
  </si>
  <si>
    <t>DXS</t>
  </si>
  <si>
    <t>2246.14</t>
  </si>
  <si>
    <t>15</t>
  </si>
  <si>
    <t>EIB</t>
  </si>
  <si>
    <t>2246.15</t>
  </si>
  <si>
    <t>16</t>
  </si>
  <si>
    <t>ELC</t>
  </si>
  <si>
    <t>2246.16</t>
  </si>
  <si>
    <t>17</t>
  </si>
  <si>
    <t>FPT</t>
  </si>
  <si>
    <t>2246.17</t>
  </si>
  <si>
    <t>18</t>
  </si>
  <si>
    <t>GEX</t>
  </si>
  <si>
    <t>2246.18</t>
  </si>
  <si>
    <t>19</t>
  </si>
  <si>
    <t>GMD</t>
  </si>
  <si>
    <t>2246.19</t>
  </si>
  <si>
    <t>20</t>
  </si>
  <si>
    <t>HBC</t>
  </si>
  <si>
    <t>2246.20</t>
  </si>
  <si>
    <t>21</t>
  </si>
  <si>
    <t>HDB</t>
  </si>
  <si>
    <t>2246.21</t>
  </si>
  <si>
    <t>22</t>
  </si>
  <si>
    <t>HDC</t>
  </si>
  <si>
    <t>2246.22</t>
  </si>
  <si>
    <t>23</t>
  </si>
  <si>
    <t>HDG</t>
  </si>
  <si>
    <t>2246.23</t>
  </si>
  <si>
    <t>24</t>
  </si>
  <si>
    <t>HHS</t>
  </si>
  <si>
    <t>2246.24</t>
  </si>
  <si>
    <t>25</t>
  </si>
  <si>
    <t>HPG</t>
  </si>
  <si>
    <t>2246.25</t>
  </si>
  <si>
    <t>26</t>
  </si>
  <si>
    <t>HVN</t>
  </si>
  <si>
    <t>2246.26</t>
  </si>
  <si>
    <t>27</t>
  </si>
  <si>
    <t>KDH</t>
  </si>
  <si>
    <t>2246.27</t>
  </si>
  <si>
    <t>28</t>
  </si>
  <si>
    <t>MBB</t>
  </si>
  <si>
    <t>2246.28</t>
  </si>
  <si>
    <t>29</t>
  </si>
  <si>
    <t>MBS</t>
  </si>
  <si>
    <t>2246.29</t>
  </si>
  <si>
    <t>30</t>
  </si>
  <si>
    <t>MSN</t>
  </si>
  <si>
    <t>2246.30</t>
  </si>
  <si>
    <t>31</t>
  </si>
  <si>
    <t>MWG</t>
  </si>
  <si>
    <t>2246.31</t>
  </si>
  <si>
    <t>32</t>
  </si>
  <si>
    <t>NVL</t>
  </si>
  <si>
    <t>2246.32</t>
  </si>
  <si>
    <t>33</t>
  </si>
  <si>
    <t>PDR</t>
  </si>
  <si>
    <t>2246.33</t>
  </si>
  <si>
    <t>34</t>
  </si>
  <si>
    <t>PNJ</t>
  </si>
  <si>
    <t>2246.34</t>
  </si>
  <si>
    <t>35</t>
  </si>
  <si>
    <t>PVD</t>
  </si>
  <si>
    <t>2246.35</t>
  </si>
  <si>
    <t>36</t>
  </si>
  <si>
    <t>PVS</t>
  </si>
  <si>
    <t>2246.36</t>
  </si>
  <si>
    <t>37</t>
  </si>
  <si>
    <t>SHB</t>
  </si>
  <si>
    <t>2246.37</t>
  </si>
  <si>
    <t>38</t>
  </si>
  <si>
    <t>SHS</t>
  </si>
  <si>
    <t>2246.38</t>
  </si>
  <si>
    <t>39</t>
  </si>
  <si>
    <t>SSI</t>
  </si>
  <si>
    <t>2246.39</t>
  </si>
  <si>
    <t>40</t>
  </si>
  <si>
    <t>STB</t>
  </si>
  <si>
    <t>2246.40</t>
  </si>
  <si>
    <t>41</t>
  </si>
  <si>
    <t>TAL</t>
  </si>
  <si>
    <t>2246.41</t>
  </si>
  <si>
    <t>42</t>
  </si>
  <si>
    <t>TCB</t>
  </si>
  <si>
    <t>2246.42</t>
  </si>
  <si>
    <t>43</t>
  </si>
  <si>
    <t>TCH</t>
  </si>
  <si>
    <t>2246.43</t>
  </si>
  <si>
    <t>44</t>
  </si>
  <si>
    <t>VCB</t>
  </si>
  <si>
    <t>2246.44</t>
  </si>
  <si>
    <t>45</t>
  </si>
  <si>
    <t>VCG</t>
  </si>
  <si>
    <t>2246.45</t>
  </si>
  <si>
    <t>46</t>
  </si>
  <si>
    <t>VCI</t>
  </si>
  <si>
    <t>2246.46</t>
  </si>
  <si>
    <t>47</t>
  </si>
  <si>
    <t>VGS</t>
  </si>
  <si>
    <t>2246.47</t>
  </si>
  <si>
    <t>48</t>
  </si>
  <si>
    <t>VHM</t>
  </si>
  <si>
    <t>2246.48</t>
  </si>
  <si>
    <t>49</t>
  </si>
  <si>
    <t>VIB</t>
  </si>
  <si>
    <t>2246.49</t>
  </si>
  <si>
    <t>50</t>
  </si>
  <si>
    <t>VIC</t>
  </si>
  <si>
    <t>2246.50</t>
  </si>
  <si>
    <t>51</t>
  </si>
  <si>
    <t>VIX</t>
  </si>
  <si>
    <t>2246.51</t>
  </si>
  <si>
    <t>52</t>
  </si>
  <si>
    <t>VND</t>
  </si>
  <si>
    <t>2246.52</t>
  </si>
  <si>
    <t>53</t>
  </si>
  <si>
    <t>VPB</t>
  </si>
  <si>
    <t>2246.53</t>
  </si>
  <si>
    <t>54</t>
  </si>
  <si>
    <t>VRE</t>
  </si>
  <si>
    <t>2246.54</t>
  </si>
  <si>
    <t>55</t>
  </si>
  <si>
    <t>VSC</t>
  </si>
  <si>
    <t>2246.55</t>
  </si>
  <si>
    <t>TỔNG
	TOTAL</t>
  </si>
  <si>
    <t>2247</t>
  </si>
  <si>
    <t>III</t>
  </si>
  <si>
    <t>CỔ PHIẾU CHƯA NIÊM YẾT, ĐĂNG KÝ GIAO DỊCH, CHỨNG CHỈ QUỸ KHÔNG NIÊM YẾT
SHARES UNLISTED, UNREGISTERED FOR TRADING, UNLISTED FUND CERTIFICATES</t>
  </si>
  <si>
    <t>2248</t>
  </si>
  <si>
    <t>1</t>
  </si>
  <si>
    <t>TECHCOM SECURITIES JOINT STOCK COMPANY</t>
  </si>
  <si>
    <t>2248.1</t>
  </si>
  <si>
    <t>TỔNG
	TOTAL</t>
  </si>
  <si>
    <t>2249</t>
  </si>
  <si>
    <t>IV</t>
  </si>
  <si>
    <t>TRÁI PHIẾU
	BONDS</t>
  </si>
  <si>
    <t>2251</t>
  </si>
  <si>
    <t>1</t>
  </si>
  <si>
    <t>Trái phiếu niêm yết
Listed bonds</t>
  </si>
  <si>
    <t>2251.1</t>
  </si>
  <si>
    <t>2</t>
  </si>
  <si>
    <t>Trái phiếu chưa niêm yết, trái phiếu phát hành riêng lẻ 
Unlisted Bonds, Private placement bonds</t>
  </si>
  <si>
    <t>2251.2</t>
  </si>
  <si>
    <t>TỔNG
	TOTAL</t>
  </si>
  <si>
    <t>2252</t>
  </si>
  <si>
    <t>V</t>
  </si>
  <si>
    <t>CÁC LOẠI CHỨNG KHOÁN KHÁC
	OTHER SECURITIES</t>
  </si>
  <si>
    <t>2253</t>
  </si>
  <si>
    <t>1</t>
  </si>
  <si>
    <t>Quyền mua chứng khoán
Investment - Rights</t>
  </si>
  <si>
    <t>2253.1</t>
  </si>
  <si>
    <t>1.1</t>
  </si>
  <si>
    <t>BECAMEX INFRASTRUCTUR-RIGHTS</t>
  </si>
  <si>
    <t>2253.1.1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</si>
  <si>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</si>
  <si>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</si>
  <si>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</si>
  <si>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</si>
  <si>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</si>
  <si>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</si>
  <si>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</si>
  <si>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</si>
  <si>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</si>
  <si>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</si>
  <si>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</si>
  <si>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</si>
  <si>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</si>
  <si>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</si>
  <si>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</si>
  <si>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</si>
  <si>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</si>
  <si>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</si>
  <si>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</si>
  <si>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</si>
  <si>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</si>
  <si>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</si>
  <si>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</si>
  <si>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</si>
  <si>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</si>
  <si>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</si>
  <si>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</si>
  <si>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</si>
  <si>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</si>
  <si>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</si>
  <si>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</si>
  <si>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</si>
  <si>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</si>
  <si>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</si>
  <si>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</si>
  <si>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</si>
  <si>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</si>
  <si>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</si>
  <si>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</si>
  <si>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</si>
  <si>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</si>
  <si>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</si>
  <si>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</si>
  <si>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</si>
  <si>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</si>
  <si>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</si>
  <si>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</si>
  <si>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</si>
  <si>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</si>
  <si>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</si>
  <si>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</si>
  <si>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</si>
  <si>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</si>
  <si>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</si>
  <si>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</si>
  <si>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</si>
  <si>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</si>
  <si>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</si>
  <si>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</si>
  <si>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</si>
  <si>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</si>
  <si>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</si>
  <si>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</si>
  <si>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</si>
  <si>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</si>
  <si>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</si>
  <si>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</si>
  <si>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</si>
  <si>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</si>
  <si>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</si>
  <si>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</si>
  <si>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</si>
  <si>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</si>
  <si>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</si>
  <si>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</si>
  <si>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</si>
  <si>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</si>
  <si>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</si>
  <si>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</si>
  <si>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</si>
  <si>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</si>
  <si>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</si>
  <si>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</si>
  <si>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</si>
  <si>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</si>
  <si>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</si>
  <si>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</si>
  <si>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</si>
  <si>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</si>
  <si>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</si>
  <si>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</si>
  <si>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</si>
  <si>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</si>
  <si>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</si>
  <si>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</si>
  <si>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</si>
  <si>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</si>
  <si>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</si>
  <si>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</si>
  <si>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</si>
  <si>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</si>
  <si>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</si>
  <si>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</si>
  <si>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</si>
  <si>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</si>
  <si>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</si>
  <si>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</si>
  <si>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</si>
  <si>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</si>
  <si>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</si>
  <si>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</si>
  <si>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</si>
  <si>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</si>
  <si>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</si>
  <si>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</si>
  <si>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</si>
  <si>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</si>
  <si>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</si>
  <si>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</si>
  <si>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</si>
  <si>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</si>
  <si>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</si>
  <si>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</si>
  <si>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</si>
  <si>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</si>
  <si>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</si>
  <si>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</si>
  <si>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</si>
  <si>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</si>
  <si>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</si>
  <si>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</si>
  <si>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</si>
  <si>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</si>
  <si>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</si>
  <si>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</si>
  <si>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</si>
  <si>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</si>
  <si>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</si>
  <si>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</si>
  <si>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</si>
  <si>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</si>
  <si>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</si>
  <si>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</si>
  <si>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</si>
  <si>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</si>
  <si>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</si>
  <si>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</si>
  <si>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</si>
  <si>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</si>
  <si>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</si>
  <si>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</si>
  <si>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</si>
  <si>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</si>
  <si>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</si>
  <si>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</si>
  <si>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</si>
  <si>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</si>
  <si>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</si>
  <si>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</si>
  <si>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</si>
  <si>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</si>
  <si>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</si>
  <si>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</si>
  <si>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</si>
  <si>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</si>
  <si>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</si>
  <si>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</si>
  <si>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</si>
  <si>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</si>
  <si>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</si>
  <si>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</si>
  <si>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</si>
  <si>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</si>
  <si>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</si>
  <si>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</si>
  <si>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</si>
  <si>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</si>
  <si>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</si>
  <si>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</si>
  <si>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</si>
  <si>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</si>
  <si>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</si>
  <si>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</si>
  <si>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</si>
  <si>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</si>
  <si>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</si>
  <si>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</si>
  <si>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</si>
  <si>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</si>
  <si>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</si>
  <si>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</si>
  <si>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</si>
  <si>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</si>
  <si>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</si>
  <si>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</si>
  <si>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</si>
  <si>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</si>
  <si>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</si>
  <si>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</si>
  <si>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</si>
  <si>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</si>
  <si>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</si>
  <si>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</si>
  <si>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</si>
  <si>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</si>
  <si>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</si>
  <si>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</si>
  <si>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</si>
  <si>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</si>
  <si>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</si>
  <si>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</si>
  <si>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</si>
  <si>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</si>
  <si>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</si>
  <si>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</si>
  <si>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</si>
  <si>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</si>
  <si>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</si>
  <si>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</si>
  <si>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</si>
  <si>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</si>
  <si>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</si>
  <si>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</si>
  <si>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</si>
  <si>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</si>
  <si>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</si>
  <si>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</si>
  <si>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</si>
  <si>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</si>
  <si>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</si>
  <si>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</si>
  <si>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</si>
  <si>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</si>
  <si>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</si>
  <si>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</si>
  <si>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</si>
  <si>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</si>
  <si>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</si>
  <si>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</si>
  <si>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</si>
  <si>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</si>
  <si>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</si>
  <si>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</si>
  <si>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</si>
  <si>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</si>
  <si>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</si>
  <si>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</si>
  <si>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</si>
  <si>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</si>
  <si>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</si>
  <si>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</si>
  <si>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</si>
  <si>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</si>
  <si>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</si>
  <si>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</si>
  <si>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</si>
  <si>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</si>
  <si>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</si>
  <si>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</si>
  <si>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</si>
  <si>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</si>
  <si>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</si>
  <si>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</si>
  <si>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</si>
  <si>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</si>
  <si>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</si>
  <si>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</si>
  <si>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</si>
  <si>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</si>
  <si>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</si>
  <si>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</si>
  <si>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</si>
  <si>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</si>
  <si>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</si>
  <si>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</si>
  <si>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</si>
  <si>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</si>
  <si>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</si>
  <si>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</si>
  <si>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</si>
  <si>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</si>
  <si>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</si>
  <si>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</si>
  <si>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</si>
  <si>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</si>
  <si>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</si>
  <si>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</si>
  <si>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</si>
  <si>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</si>
  <si>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</si>
  <si>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</si>
  <si>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</si>
  <si>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</si>
  <si>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</si>
  <si>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</si>
  <si>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</si>
  <si>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</si>
  <si>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</si>
  <si>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</si>
  <si>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</si>
  <si>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</si>
  <si>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</si>
  <si>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</si>
  <si>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</si>
  <si>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</si>
  <si>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</si>
  <si>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</si>
  <si>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</si>
  <si>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</si>
  <si>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</si>
  <si>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</si>
  <si>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</si>
  <si>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</si>
  <si>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</si>
  <si>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</si>
  <si>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</si>
  <si>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</si>
  <si>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</si>
  <si>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</si>
  <si>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</si>
  <si>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</si>
  <si>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</si>
  <si>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</si>
  <si>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</si>
  <si>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</si>
  <si>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</si>
  <si>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</si>
  <si>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</si>
  <si>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</si>
  <si>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</si>
  <si>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</si>
  <si>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</si>
  <si>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</si>
  <si>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</si>
  <si>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</si>
  <si>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</si>
  <si>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</si>
  <si>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</si>
  <si>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</si>
  <si>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</si>
  <si>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</si>
  <si>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</si>
  <si>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</si>
  <si>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</si>
  <si>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</si>
  <si>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</si>
  <si>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</si>
  <si>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</si>
  <si>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</si>
  <si>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</si>
  <si>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</si>
  <si>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</si>
  <si>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</si>
  <si>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</si>
  <si>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</si>
  <si>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</si>
  <si>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</si>
  <si>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</si>
  <si>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</si>
  <si>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</si>
  <si>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</si>
  <si>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</si>
  <si>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</si>
  <si>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</si>
  <si>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</si>
  <si>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</si>
  <si>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</si>
  <si>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</si>
  <si>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</si>
  <si>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</si>
  <si>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</si>
  <si>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</si>
  <si>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</si>
  <si>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</si>
  <si>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</si>
  <si>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</si>
  <si>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</si>
  <si>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</si>
  <si>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</si>
  <si>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</si>
  <si>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</si>
  <si>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</si>
  <si>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</si>
  <si>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</si>
  <si>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</si>
  <si>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</si>
  <si>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</si>
  <si>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</si>
  <si>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</si>
  <si>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</si>
  <si>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</si>
  <si>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</si>
  <si>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</si>
  <si>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</si>
  <si>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</si>
  <si>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</si>
  <si>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</si>
  <si>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</si>
  <si>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</si>
  <si>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</si>
  <si>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</si>
  <si>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</si>
  <si>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</si>
  <si>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</si>
  <si>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</si>
  <si>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</si>
  <si>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</si>
  <si>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</si>
  <si>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</si>
  <si>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</si>
  <si>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</si>
  <si>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</si>
  <si>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</si>
  <si>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</si>
  <si>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</si>
  <si>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</si>
  <si>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</si>
  <si>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</si>
  <si>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</si>
  <si>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</si>
  <si>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</si>
  <si>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</si>
  <si>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</si>
  <si>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</si>
  <si>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</si>
  <si>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I. TÀI SẢN 
ASSETS</t>
  </si>
  <si>
    <t>1.Tiền gửi ngân hàng và tương đương tiền 
Cash at bank and cash equivalent</t>
  </si>
  <si>
    <t>1.1. Tiền gửi ngân hàng  
Cash at bank</t>
  </si>
  <si>
    <t>Tiền gửi của nhà đầu tư cho hoạt động mua chứng chỉ quỹ  
Cash at bank for Fund's subscription</t>
  </si>
  <si>
    <t>Tiền phải trả cho Nhà đầu tư về cổ tức và mua lại chứng chỉ quỹ 
Cash at bank for Fund's dividend payment and redemption</t>
  </si>
  <si>
    <t>Tiền gửi ngân hàng cho hoạt động của Quỹ 
Cash at bank for Fund's operation</t>
  </si>
  <si>
    <t>Tiền gửi ký quỹ cho hoạt động đầu tư chứng khoán phái sinh 
Margin account for trading derivatives</t>
  </si>
  <si>
    <t>1.2. Tiền gửi có kỳ hạn không quá ba (03) tháng 
Deposit with term up to three (03) months</t>
  </si>
  <si>
    <t>2. Các khoản đầu tư thuần 
Net Investments</t>
  </si>
  <si>
    <t>2.1. Các khoản đầu tư 
Investments</t>
  </si>
  <si>
    <t>Cổ phiếu, chứng chỉ quỹ niêm yết
Listed Shares, fund certificates</t>
  </si>
  <si>
    <t>Cổ phiếu, chứng chỉ quỹ chưa niêm yết
Unlisted Shares, fund certifictes</t>
  </si>
  <si>
    <t>Trái phiếu niêm yết 
Listed Bonds</t>
  </si>
  <si>
    <t>Trái phiếu chưa niêm yết, trái phiếu phát hành riêng lẻ 
Unlisted Bonds, Private placement bonds</t>
  </si>
  <si>
    <t>Công cụ thị trường tiền tệ 
Money market instruments</t>
  </si>
  <si>
    <t>Hợp đồng tiền gửi có kỳ hạn trên ba (03) tháng 
Deposits with term over three (03) months</t>
  </si>
  <si>
    <t>Quyền mua chứng khoán 
Investment - Rights</t>
  </si>
  <si>
    <t>Hợp đồng tương lai chỉ số 
Index future contracts</t>
  </si>
  <si>
    <t>Đầu tư khác 
Other Investments</t>
  </si>
  <si>
    <t>Hợp đồng mua lại đảo ngược 
Reverse repo contracts</t>
  </si>
  <si>
    <t>2.2. Dự phòng giảm giá tài sản nhận thế chấp  
Impairment of devaluation of pledged assets</t>
  </si>
  <si>
    <t>3. Các khoản phải thu 
Receivables</t>
  </si>
  <si>
    <t>3.1 Phải thu về bán các khoản đầu tư 
Receivables from investments sold but not yet settled</t>
  </si>
  <si>
    <t>Trong đó: Phải thu khó đòi về bán các khoản đầu tư 
In which: Overdue receivables from selling investments</t>
  </si>
  <si>
    <t>3.2. Phải thu và dự thu cổ tức, tiền lãi các khoản đầu tư 
Dividend and interest receivables</t>
  </si>
  <si>
    <t>3.2.1. Phải thu cổ tức, tiền lãi đến ngày nhận 
Dividend and interest receivables on or after payment date</t>
  </si>
  <si>
    <t>Phải thu cổ tức 
Dividend receivables</t>
  </si>
  <si>
    <t>Phải thu trái tức 
Coupon receivables</t>
  </si>
  <si>
    <t>Phải thu lãi tiền gửi có kỳ hạn không quá ba (03) tháng 
Interest receivables from deposit with term up to three (03) months</t>
  </si>
  <si>
    <t>Phải thu lãi tiền gửi có kỳ hạn trên 3 tháng 
Interest receivables from deposit with term more than three (03) months</t>
  </si>
  <si>
    <t>Phải thu lãi Công cụ thị trường tiền tệ 
Interest receivables from Money market instruments</t>
  </si>
  <si>
    <t>Trong đó: Phải thu khó đòi về cổ tức, tiền lãi đến ngày nhận  nhưng chưa nhận được 
In which: Overdue receivables from dividend, interest income</t>
  </si>
  <si>
    <t>3.2.2.Dự thu cổ tức, tiền lãi chưa đến ngày nhận  
Dividend and interest receivables before payment date</t>
  </si>
  <si>
    <t>Dự thu cổ tức 
Dividend receivables</t>
  </si>
  <si>
    <t>Dự thu lãi trái phiếu 
Interest accrual from bonds</t>
  </si>
  <si>
    <t>Dự thu lãi tiền gửi có kỳ hạn không quá ba (03) tháng 
Interest accrual from deposits with term up to three (03) months</t>
  </si>
  <si>
    <t>Dự thu lãi tiền gửi có kỳ hạn trên 3 tháng 
Interest accrual from deposit with term more than three (03) months</t>
  </si>
  <si>
    <t>Dự thu lãi Công cụ thị trường tiền tệ 
Interest accrual from Money market instruments</t>
  </si>
  <si>
    <t>Dự thu lãi hợp đồng mua lại đảo ngược 
Interest receivables from reverse repo contracts</t>
  </si>
  <si>
    <t>3.3. Các khoản phải thu khác 
Other receivables</t>
  </si>
  <si>
    <t>Phải thu cho khoản cổ phiếu hạn chế chờ mua 
Receivable from AP/Investors on securities on hold of buying</t>
  </si>
  <si>
    <t>Các tài sản khác 
Other assets</t>
  </si>
  <si>
    <t>Các khoản khác 
Others</t>
  </si>
  <si>
    <t>3.4. Dự phòng nợ phải thu khó đòi 
Provision for doubtful debt</t>
  </si>
  <si>
    <t>TỔNG TÀI SẢN 
TOTAL ASSETS</t>
  </si>
  <si>
    <t>II. NỢ PHẢI TRẢ 
TOTAL LIABILITIES</t>
  </si>
  <si>
    <t>1. Vay ngắn hạn  
Short-term loans</t>
  </si>
  <si>
    <t>Gốc hợp đồng 
repo Repo contracts - Principal</t>
  </si>
  <si>
    <t>Vay ngắn hạn 
Short-term loans</t>
  </si>
  <si>
    <t>2. Phải trả về mua các khoản đầu tư 
Payables for securities bought but not yet settled</t>
  </si>
  <si>
    <t>3. Phải trả phí cho các Đại lý phân phối, Công ty quản lý quỹ về mua bán Chứng chỉ quỹ 
Subscription and Redemption fee payable to distributors and fund management company</t>
  </si>
  <si>
    <t>Phải trả phí cho các Đại lý phân phối về mua bán Chứng chỉ quỹ 
Subscription and Redemption fee payable to distributors</t>
  </si>
  <si>
    <t>Phải trả phí cho Công ty quản lý quỹ về mua bán Chứng chỉ quỹ 
Subscription and Redemption fee payable to fund management company</t>
  </si>
  <si>
    <t>4. Thuế và các khoản phải nộp Nhà nước 
Tax payables and obligations to the State Budget</t>
  </si>
  <si>
    <t>5.Phải trả thu nhập cho Nhà đầu tư 
Profit distribution payables</t>
  </si>
  <si>
    <t>6. Chi phí phải trả 
Expense Accruals</t>
  </si>
  <si>
    <t>Phí giao dịch 
Transaction fee</t>
  </si>
  <si>
    <t>Phải trả phí môi giới 
Brokerage fee payables</t>
  </si>
  <si>
    <t>Phải trả phí giao dịch thanh toán bù trừ chứng khoán 
Clearing Settlement Fee payables</t>
  </si>
  <si>
    <t>Trích trước phí kiểm toán 
Accrued expense for audit fee</t>
  </si>
  <si>
    <t>Trích trước phí họp đại hội thường niên 
Accrued expense for Annual General meeting</t>
  </si>
  <si>
    <t>Trích trước phí báo cáo thường niên 
Accrued expense for Annual report</t>
  </si>
  <si>
    <t>Trích trước thù lao ban đại diện quỹ 
Accrued expense for Remuneration Payable to Fund's Board of Representatives</t>
  </si>
  <si>
    <t>Trích trước phí quản lý niêm yết hàng năm tại SGDCK  
Accrued expense for annual listing fee at HOSE</t>
  </si>
  <si>
    <t>Trích trước lãi vay ngắn hạn của hợp đồng vay và hợp đồng repo 
Accrued Interest Expense of short-term loan contracts and repo contracts</t>
  </si>
  <si>
    <t>7. Phải trả cho Nhà đầu tư về mua Chứng chỉ quỹ 
Subscription payables to investors</t>
  </si>
  <si>
    <t>Phải trả cho nhà đầu tư chờ mua chứng chỉ quỹ 
Subscription Pending allotment</t>
  </si>
  <si>
    <t>Phải trả nhà đầu tư trên tài sản giữ hộ 
Payables to investors for investment bought on behalf</t>
  </si>
  <si>
    <t>8. Phải trả cho Nhà đầu tư về mua lại Chứng chỉ quỹ 
Redemption payables to investors</t>
  </si>
  <si>
    <t>9. Phải trả dịch vụ quản lý Quỹ mở 
Fund management related service expense payable</t>
  </si>
  <si>
    <t>Trích trước phải trả phí quản lý 
Accrued expense for Management fee</t>
  </si>
  <si>
    <t>Trích trước phí lưu ký tài sản Quỹ mở 
Accrued expense for Custodian fee</t>
  </si>
  <si>
    <t>Phí dịch vụ lưu ký - bảo quản tài sản 
Custodian service - Safe Custody Fee</t>
  </si>
  <si>
    <t>Phí dịch vụ lưu ký - giao dịch chứng khoán 
Custodian service - Transaction fee</t>
  </si>
  <si>
    <t>Phí dịch vụ lưu ký cho chứng khoán cơ sở, phí quản lý vị thế và tài sản phái sinh trả cho VSDC 
Custodian service -  Depository fee, Position and Margin management fee paid to VSDC</t>
  </si>
  <si>
    <t>Trích trước phí quản trị quỹ 
Accrued expense for Fund administration fee</t>
  </si>
  <si>
    <t>Trích trước phí giám sát 
Accrued expense for Supervising fee</t>
  </si>
  <si>
    <t>Trích trước phí dịch vụ đại lý chuyển nhượng 
Accrued expense for Tranfer agency fee</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</si>
  <si>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</si>
  <si>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</si>
  <si>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10. Phải trả, phải nộp khác 
Other payables</t>
  </si>
  <si>
    <t>Phải trả phí báo giá 
Price feed fee payable</t>
  </si>
  <si>
    <t>Trích trước phí công tác, họp của ban đại diện 
Accrued expense for Fund's Board of Representatives travelling, meeting</t>
  </si>
  <si>
    <t>Trích trước phí quản lý thường niên trả cho UBCKNN 
Accrued expense for Annual Fee paid to SSC</t>
  </si>
  <si>
    <t>Phí Ngân hàng S2B 
S2B Bank charge</t>
  </si>
  <si>
    <t>Phải trả khác 
Other payables</t>
  </si>
  <si>
    <t>TỔNG NỢ PHẢI TRẢ 
TOTAL LIABILITIES</t>
  </si>
  <si>
    <t>III.  GIÁ TRỊ TÀI SẢN RÒNG CÓ THỂ PHÂN PHỐI CHO NHÀ ĐẦU TƯ NẮM GIỮ CHỨNG CHỈ QUỸ MỞ (I-II) 
DISTRIBUTABLE NET ASSET VALUE (I-II)</t>
  </si>
  <si>
    <t>1. Vốn góp của Nhà đầu tư 
Contributed capital</t>
  </si>
  <si>
    <t>1.1 Vốn góp phát hành 
Capital from subscription</t>
  </si>
  <si>
    <t>1.2 Vốn góp mua lại 
Capital from redemption</t>
  </si>
  <si>
    <t>2. Thặng dư vốn góp của Nhà đầu tư 
Share premium</t>
  </si>
  <si>
    <t>3. Lợi nhuận chưa phân phối  
Undistributed earnings</t>
  </si>
  <si>
    <t>3.1 Lợi nhuận chưa phân phối  đầu kỳ 
Undistributed earnings at the beginning of the period</t>
  </si>
  <si>
    <t>3.2 Lợi nhuận chưa phân phối  trong kỳ 
Undistributed earnings during the period</t>
  </si>
  <si>
    <t>IV. GIÁ TRỊ TÀI SẢN RÒNG QUỸ MỞ TRÊN 1 ĐƠN VỊ CHỨNG CHỈ QUỸ (IV=(I-II)/III) 
NET ASSET VALUE  PER FUND CERTIFICATE</t>
  </si>
  <si>
    <t>V. LỢI NHUẬN ĐÃ PHÂN PHỐI CHO NHÀ ĐẦU TƯ 
DISTRIBUTED EARNINGS</t>
  </si>
  <si>
    <t>1. Lợi nhuận/Tài sản đã phân phối cho Nhà đầu tư trong kỳ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</si>
  <si>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</si>
  <si>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</si>
  <si>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</si>
  <si>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</si>
  <si>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</si>
  <si>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4. Số lượng Chứng chỉ quỹ đang lưu hành 
Number of outstanding fund certificates</t>
  </si>
  <si>
    <t>Tại ngày 30 tháng 09 năm 2025
/ As at 30 Sep 2025</t>
  </si>
  <si>
    <t>Quý III năm 2025
/ Quarter III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</si>
  <si>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</si>
  <si>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</si>
  <si>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</si>
  <si>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</si>
  <si>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Chứng khoán Năng động DC (DCDS)</t>
  </si>
  <si>
    <t>DC Dynamic Securities Fund (DCDS)</t>
  </si>
  <si>
    <t>Ngày 07 tháng 10 năm 2025</t>
  </si>
  <si>
    <t>07 Oct 2025</t>
  </si>
  <si>
    <t>Phó phòng Dịch vụ nghiệp vụ giám sát Quỹ</t>
  </si>
  <si>
    <t>Ngày 30 tháng 09 năm 2025
 As at 30 Sep 2025</t>
  </si>
  <si>
    <t>Ngày 30 tháng 06 năm 2025
 As at 30 Jun 2025</t>
  </si>
  <si>
    <t>Quý III năm 2025
Quarter III 2025</t>
  </si>
  <si>
    <t>Quý II năm 2025
Quarter II 2025</t>
  </si>
  <si>
    <t>Năm 2025
Year 2025</t>
  </si>
  <si>
    <t>Năm 2024
Year 2024</t>
  </si>
  <si>
    <t>Quý III năm  2024
Quarter III  2024</t>
  </si>
  <si>
    <t>Vương Thị Trâm Anh</t>
  </si>
  <si>
    <t>Kế toán Quỹ</t>
  </si>
  <si>
    <t>Ninh Thị Tuệ Minh</t>
  </si>
  <si>
    <t>Trưởng phòng Kế toán Quỹ</t>
  </si>
  <si>
    <t xml:space="preserve">Chuyên viên Kế toán Quỹ </t>
  </si>
  <si>
    <t>Nguyễn Thu Ngọc</t>
  </si>
  <si>
    <t xml:space="preserve">Nguyễn Thùy Linh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</si>
</sst>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4">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1"/>
      <name val="Times New Roman"/>
      <family val="1"/>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10"/>
      <name val="Tahoma"/>
      <family val="2"/>
    </font>
  </fonts>
  <fills count="20">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5">
    <xf numFmtId="0" fontId="0" fillId="0" borderId="0"/>
    <xf numFmtId="0" fontId="3" fillId="0" borderId="0"/>
    <xf numFmtId="0" fontId="2" fillId="0" borderId="0"/>
    <xf numFmtId="0" fontId="4" fillId="0" borderId="0"/>
    <xf numFmtId="0" fontId="4" fillId="0" borderId="0"/>
    <xf numFmtId="43" fontId="4" fillId="0" borderId="0" applyFont="0" applyFill="0" applyBorder="0" applyAlignment="0" applyProtection="0"/>
    <xf numFmtId="0" fontId="4" fillId="0" borderId="0"/>
    <xf numFmtId="43" fontId="2"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2" fillId="0" borderId="0" applyFont="0" applyFill="0" applyBorder="0" applyAlignment="0" applyProtection="0"/>
    <xf numFmtId="0" fontId="4" fillId="0" borderId="0"/>
    <xf numFmtId="0" fontId="2" fillId="0" borderId="0"/>
    <xf numFmtId="164"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0" fontId="4" fillId="5" borderId="0" quotePrefix="1" applyFont="0" applyFill="0" applyBorder="0" applyAlignment="0">
      <protection locked="0"/>
    </xf>
    <xf numFmtId="43" fontId="4" fillId="5" borderId="0" quotePrefix="1" applyFont="0" applyFill="0" applyBorder="0" applyAlignment="0">
      <protection locked="0"/>
    </xf>
    <xf numFmtId="43" fontId="4" fillId="5" borderId="0" applyFont="0" applyFill="0" applyBorder="0" applyAlignment="0" applyProtection="0"/>
    <xf numFmtId="0" fontId="2" fillId="5" borderId="0"/>
    <xf numFmtId="0" fontId="2" fillId="5" borderId="0"/>
    <xf numFmtId="43" fontId="4" fillId="5" borderId="0" quotePrefix="1" applyFont="0" applyFill="0" applyBorder="0" applyAlignment="0">
      <protection locked="0"/>
    </xf>
    <xf numFmtId="43" fontId="4" fillId="5" borderId="0" applyFont="0" applyFill="0" applyBorder="0" applyAlignment="0" applyProtection="0"/>
    <xf numFmtId="0" fontId="4" fillId="5" borderId="0"/>
    <xf numFmtId="10" fontId="2" fillId="5" borderId="0" applyFont="0" applyFill="0" applyBorder="0" applyAlignment="0" applyProtection="0"/>
    <xf numFmtId="43" fontId="2" fillId="5" borderId="0" applyFont="0" applyFill="0" applyBorder="0" applyAlignment="0" applyProtection="0"/>
    <xf numFmtId="0" fontId="1" fillId="5" borderId="0"/>
    <xf numFmtId="0" fontId="1" fillId="5" borderId="0"/>
    <xf numFmtId="0" fontId="2" fillId="5" borderId="0"/>
    <xf numFmtId="43" fontId="21" fillId="5" borderId="0" applyFont="0" applyFill="0" applyBorder="0" applyAlignment="0" applyProtection="0"/>
    <xf numFmtId="0" fontId="4" fillId="5" borderId="0"/>
  </cellStyleXfs>
  <cellXfs count="238">
    <xf numFmtId="0" fontId="0" fillId="0" borderId="0" xfId="0"/>
    <xf numFmtId="0" fontId="5" fillId="3" borderId="0" xfId="0" applyFont="1" applyFill="1"/>
    <xf numFmtId="0" fontId="6" fillId="3" borderId="0" xfId="0" applyFont="1" applyFill="1"/>
    <xf numFmtId="0" fontId="6" fillId="0" borderId="0" xfId="0" applyFont="1"/>
    <xf numFmtId="0" fontId="7" fillId="3" borderId="0" xfId="0" applyFont="1" applyFill="1"/>
    <xf numFmtId="0" fontId="8" fillId="3" borderId="0" xfId="0" applyFont="1" applyFill="1"/>
    <xf numFmtId="0" fontId="8" fillId="3" borderId="0" xfId="0" applyFont="1" applyFill="1" applyAlignment="1">
      <alignment horizontal="left" vertical="center"/>
    </xf>
    <xf numFmtId="0" fontId="10" fillId="3" borderId="0" xfId="0" applyFont="1" applyFill="1"/>
    <xf numFmtId="0" fontId="10" fillId="3" borderId="0" xfId="0" applyFont="1" applyFill="1" applyAlignment="1">
      <alignment horizontal="left" vertical="center"/>
    </xf>
    <xf numFmtId="0" fontId="9" fillId="2" borderId="9" xfId="6" applyFont="1" applyFill="1" applyBorder="1" applyAlignment="1">
      <alignment horizontal="center" vertical="center" wrapText="1"/>
    </xf>
    <xf numFmtId="165" fontId="9" fillId="2" borderId="9" xfId="7" applyNumberFormat="1" applyFont="1" applyFill="1" applyBorder="1" applyAlignment="1" applyProtection="1">
      <alignment horizontal="center" vertical="center" wrapText="1"/>
      <protection locked="0"/>
    </xf>
    <xf numFmtId="0" fontId="8" fillId="3" borderId="0" xfId="0" applyFont="1" applyFill="1" applyAlignment="1">
      <alignment vertical="center"/>
    </xf>
    <xf numFmtId="0" fontId="7" fillId="3" borderId="0" xfId="0" applyFont="1" applyFill="1" applyAlignment="1">
      <alignment vertical="center"/>
    </xf>
    <xf numFmtId="0" fontId="9" fillId="2" borderId="9" xfId="0" applyFont="1" applyFill="1" applyBorder="1" applyAlignment="1">
      <alignment horizontal="center" vertical="center"/>
    </xf>
    <xf numFmtId="0" fontId="10" fillId="0" borderId="9" xfId="6" applyFont="1" applyBorder="1" applyAlignment="1">
      <alignment horizontal="left" vertical="center" wrapText="1"/>
    </xf>
    <xf numFmtId="0" fontId="10" fillId="0" borderId="9" xfId="4" applyFont="1" applyBorder="1" applyAlignment="1">
      <alignment horizontal="left" vertical="center" wrapText="1"/>
    </xf>
    <xf numFmtId="0" fontId="9" fillId="3" borderId="5" xfId="0" applyFont="1" applyFill="1" applyBorder="1" applyAlignment="1">
      <alignment horizontal="left" vertical="center"/>
    </xf>
    <xf numFmtId="0" fontId="12" fillId="3" borderId="0" xfId="0" applyFont="1" applyFill="1" applyAlignment="1">
      <alignment vertical="center"/>
    </xf>
    <xf numFmtId="0" fontId="10" fillId="3" borderId="0" xfId="1" applyFont="1" applyFill="1" applyAlignment="1">
      <alignment vertical="center"/>
    </xf>
    <xf numFmtId="0" fontId="14" fillId="3" borderId="0" xfId="2" applyFont="1" applyFill="1" applyAlignment="1">
      <alignment horizontal="center" vertical="center"/>
    </xf>
    <xf numFmtId="0" fontId="14" fillId="3" borderId="0" xfId="2" applyFont="1" applyFill="1" applyAlignment="1">
      <alignment vertical="center"/>
    </xf>
    <xf numFmtId="0" fontId="7" fillId="0" borderId="0" xfId="0" applyFont="1" applyAlignment="1">
      <alignment vertical="center"/>
    </xf>
    <xf numFmtId="165" fontId="9" fillId="2" borderId="9" xfId="7" applyNumberFormat="1" applyFont="1" applyFill="1" applyBorder="1" applyAlignment="1" applyProtection="1">
      <alignment horizontal="right" vertical="center" wrapText="1"/>
      <protection locked="0"/>
    </xf>
    <xf numFmtId="0" fontId="14" fillId="0" borderId="0" xfId="0" applyFont="1" applyAlignment="1">
      <alignment vertical="center"/>
    </xf>
    <xf numFmtId="165" fontId="8" fillId="3" borderId="9" xfId="7" applyNumberFormat="1" applyFont="1" applyFill="1" applyBorder="1" applyAlignment="1" applyProtection="1">
      <alignment horizontal="right" vertical="center" wrapText="1"/>
      <protection locked="0"/>
    </xf>
    <xf numFmtId="0" fontId="14" fillId="3" borderId="0" xfId="0" applyFont="1" applyFill="1" applyAlignment="1">
      <alignment vertical="center"/>
    </xf>
    <xf numFmtId="0" fontId="13" fillId="3" borderId="0" xfId="0" applyFont="1" applyFill="1" applyAlignment="1">
      <alignment vertical="center"/>
    </xf>
    <xf numFmtId="0" fontId="13" fillId="0" borderId="0" xfId="0" applyFont="1" applyAlignment="1">
      <alignment vertical="center"/>
    </xf>
    <xf numFmtId="0" fontId="14" fillId="3" borderId="5" xfId="0" applyFont="1" applyFill="1" applyBorder="1" applyAlignment="1">
      <alignment vertical="center"/>
    </xf>
    <xf numFmtId="0" fontId="7" fillId="3" borderId="5" xfId="0" applyFont="1" applyFill="1" applyBorder="1" applyAlignment="1">
      <alignment vertical="center"/>
    </xf>
    <xf numFmtId="0" fontId="5" fillId="0" borderId="0" xfId="0" applyFont="1"/>
    <xf numFmtId="0" fontId="14" fillId="2" borderId="9" xfId="0" applyFont="1" applyFill="1" applyBorder="1" applyAlignment="1">
      <alignment horizontal="center" vertical="center" wrapText="1"/>
    </xf>
    <xf numFmtId="0" fontId="9" fillId="3" borderId="5" xfId="1" applyFont="1" applyFill="1" applyBorder="1" applyAlignment="1">
      <alignment vertical="center"/>
    </xf>
    <xf numFmtId="0" fontId="9" fillId="3" borderId="0" xfId="1" applyFont="1" applyFill="1" applyAlignment="1">
      <alignment vertical="center"/>
    </xf>
    <xf numFmtId="0" fontId="8" fillId="3" borderId="0" xfId="1" applyFont="1" applyFill="1" applyAlignment="1">
      <alignment vertical="center"/>
    </xf>
    <xf numFmtId="41" fontId="7" fillId="3" borderId="9" xfId="0" applyNumberFormat="1" applyFont="1" applyFill="1" applyBorder="1" applyAlignment="1">
      <alignment horizontal="right" vertical="center" wrapText="1"/>
    </xf>
    <xf numFmtId="0" fontId="7" fillId="3" borderId="8" xfId="0" applyFont="1" applyFill="1" applyBorder="1" applyAlignment="1">
      <alignment vertical="center"/>
    </xf>
    <xf numFmtId="0" fontId="7" fillId="3" borderId="0" xfId="0" applyFont="1" applyFill="1" applyAlignment="1">
      <alignment vertical="center" wrapText="1"/>
    </xf>
    <xf numFmtId="0" fontId="9" fillId="2" borderId="9" xfId="0" applyFont="1" applyFill="1" applyBorder="1" applyAlignment="1">
      <alignment horizontal="center" vertical="center" wrapText="1"/>
    </xf>
    <xf numFmtId="49" fontId="9" fillId="2" borderId="9" xfId="0" applyNumberFormat="1" applyFont="1" applyFill="1" applyBorder="1" applyAlignment="1">
      <alignment horizontal="center" vertical="center" wrapText="1"/>
    </xf>
    <xf numFmtId="0" fontId="9" fillId="2" borderId="9" xfId="4" applyFont="1" applyFill="1" applyBorder="1" applyAlignment="1">
      <alignment horizontal="left" vertical="center" wrapText="1"/>
    </xf>
    <xf numFmtId="49" fontId="9" fillId="2" borderId="9" xfId="4" applyNumberFormat="1" applyFont="1" applyFill="1" applyBorder="1" applyAlignment="1">
      <alignment horizontal="center" vertical="center" wrapText="1"/>
    </xf>
    <xf numFmtId="0" fontId="8" fillId="2" borderId="9" xfId="4" applyFont="1" applyFill="1" applyBorder="1" applyAlignment="1">
      <alignment horizontal="center" vertical="center" wrapText="1"/>
    </xf>
    <xf numFmtId="0" fontId="8" fillId="3" borderId="9" xfId="4" applyFont="1" applyFill="1" applyBorder="1" applyAlignment="1">
      <alignment horizontal="left" vertical="center" wrapText="1"/>
    </xf>
    <xf numFmtId="49" fontId="8" fillId="0" borderId="9" xfId="4" applyNumberFormat="1" applyFont="1" applyBorder="1" applyAlignment="1">
      <alignment horizontal="center" vertical="center" wrapText="1"/>
    </xf>
    <xf numFmtId="0" fontId="8" fillId="0" borderId="9" xfId="4" applyFont="1" applyBorder="1" applyAlignment="1">
      <alignment horizontal="center" vertical="center" wrapText="1"/>
    </xf>
    <xf numFmtId="0" fontId="8" fillId="3" borderId="9" xfId="4" applyFont="1" applyFill="1" applyBorder="1" applyAlignment="1">
      <alignment horizontal="center" vertical="center" wrapText="1"/>
    </xf>
    <xf numFmtId="49" fontId="8" fillId="3" borderId="9" xfId="4" applyNumberFormat="1" applyFont="1" applyFill="1" applyBorder="1" applyAlignment="1">
      <alignment horizontal="center" vertical="center" wrapText="1"/>
    </xf>
    <xf numFmtId="0" fontId="8" fillId="0" borderId="9" xfId="4" applyFont="1" applyBorder="1" applyAlignment="1">
      <alignment horizontal="left" vertical="center" wrapText="1"/>
    </xf>
    <xf numFmtId="49" fontId="10" fillId="0" borderId="9" xfId="4" applyNumberFormat="1" applyFont="1" applyBorder="1" applyAlignment="1">
      <alignment horizontal="center" vertical="center" wrapText="1"/>
    </xf>
    <xf numFmtId="49" fontId="8" fillId="0" borderId="9" xfId="4" quotePrefix="1" applyNumberFormat="1" applyFont="1" applyBorder="1" applyAlignment="1">
      <alignment horizontal="center" vertical="center" wrapText="1"/>
    </xf>
    <xf numFmtId="49" fontId="10" fillId="0" borderId="9" xfId="4" quotePrefix="1" applyNumberFormat="1" applyFont="1" applyBorder="1" applyAlignment="1">
      <alignment horizontal="center" vertical="center" wrapText="1"/>
    </xf>
    <xf numFmtId="0" fontId="14" fillId="3" borderId="9" xfId="0" applyFont="1" applyFill="1" applyBorder="1" applyAlignment="1">
      <alignment vertical="center" wrapText="1"/>
    </xf>
    <xf numFmtId="49" fontId="14" fillId="3" borderId="9" xfId="0" applyNumberFormat="1" applyFont="1" applyFill="1" applyBorder="1" applyAlignment="1">
      <alignment horizontal="center" vertical="center"/>
    </xf>
    <xf numFmtId="0" fontId="14" fillId="3" borderId="9" xfId="0" applyFont="1" applyFill="1" applyBorder="1" applyAlignment="1">
      <alignment vertical="center"/>
    </xf>
    <xf numFmtId="0" fontId="7" fillId="3" borderId="9" xfId="0" applyFont="1" applyFill="1" applyBorder="1" applyAlignment="1">
      <alignment vertical="center" wrapText="1"/>
    </xf>
    <xf numFmtId="0" fontId="7" fillId="3" borderId="9" xfId="0" applyFont="1" applyFill="1" applyBorder="1" applyAlignment="1">
      <alignment vertical="center"/>
    </xf>
    <xf numFmtId="0" fontId="7" fillId="3" borderId="9" xfId="0" applyFont="1" applyFill="1" applyBorder="1" applyAlignment="1">
      <alignment horizontal="left" vertical="center" wrapText="1"/>
    </xf>
    <xf numFmtId="0" fontId="7" fillId="3" borderId="9" xfId="0" quotePrefix="1" applyFont="1" applyFill="1" applyBorder="1" applyAlignment="1">
      <alignment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0" fillId="3" borderId="9" xfId="0" applyFont="1" applyFill="1" applyBorder="1" applyAlignment="1">
      <alignment vertical="center" wrapText="1"/>
    </xf>
    <xf numFmtId="0" fontId="4" fillId="3" borderId="0" xfId="0" applyFont="1" applyFill="1"/>
    <xf numFmtId="0" fontId="4" fillId="0" borderId="0" xfId="0" applyFont="1"/>
    <xf numFmtId="166" fontId="9" fillId="2" borderId="9" xfId="7" applyNumberFormat="1" applyFont="1" applyFill="1" applyBorder="1" applyAlignment="1" applyProtection="1">
      <alignment horizontal="right" vertical="center" wrapText="1"/>
      <protection locked="0"/>
    </xf>
    <xf numFmtId="165" fontId="9" fillId="2" borderId="9" xfId="10" applyNumberFormat="1" applyFont="1" applyFill="1" applyBorder="1" applyAlignment="1" applyProtection="1">
      <alignment horizontal="center" vertical="center" wrapText="1"/>
    </xf>
    <xf numFmtId="0" fontId="15" fillId="3" borderId="0" xfId="0" applyFont="1" applyFill="1" applyAlignment="1">
      <alignment vertical="center"/>
    </xf>
    <xf numFmtId="0" fontId="8" fillId="3" borderId="0" xfId="11" applyFont="1" applyFill="1"/>
    <xf numFmtId="0" fontId="15" fillId="3" borderId="0" xfId="11" applyFont="1" applyFill="1" applyAlignment="1">
      <alignment horizontal="left" vertical="top"/>
    </xf>
    <xf numFmtId="0" fontId="16" fillId="3" borderId="0" xfId="11" applyFont="1" applyFill="1" applyAlignment="1">
      <alignment horizontal="left" vertical="top"/>
    </xf>
    <xf numFmtId="0" fontId="8" fillId="3" borderId="0" xfId="11" applyFont="1" applyFill="1" applyAlignment="1">
      <alignment horizontal="left" vertical="top"/>
    </xf>
    <xf numFmtId="0" fontId="7" fillId="3" borderId="0" xfId="11" applyFont="1" applyFill="1" applyAlignment="1">
      <alignment horizontal="left" vertical="top"/>
    </xf>
    <xf numFmtId="0" fontId="7" fillId="4" borderId="0" xfId="12" applyFont="1" applyFill="1"/>
    <xf numFmtId="0" fontId="7" fillId="3" borderId="0" xfId="12" applyFont="1" applyFill="1"/>
    <xf numFmtId="0" fontId="14" fillId="3" borderId="0" xfId="11" applyFont="1" applyFill="1"/>
    <xf numFmtId="0" fontId="7" fillId="3" borderId="0" xfId="11" applyFont="1" applyFill="1"/>
    <xf numFmtId="165" fontId="7" fillId="3" borderId="0" xfId="13" applyNumberFormat="1" applyFont="1" applyFill="1">
      <protection locked="0"/>
    </xf>
    <xf numFmtId="165" fontId="14" fillId="3" borderId="0" xfId="13" applyNumberFormat="1" applyFont="1" applyFill="1">
      <protection locked="0"/>
    </xf>
    <xf numFmtId="0" fontId="13" fillId="3" borderId="0" xfId="11" applyFont="1" applyFill="1"/>
    <xf numFmtId="165" fontId="13" fillId="3" borderId="0" xfId="13" applyNumberFormat="1" applyFont="1" applyFill="1">
      <protection locked="0"/>
    </xf>
    <xf numFmtId="0" fontId="9" fillId="3" borderId="0" xfId="0" applyFont="1" applyFill="1" applyAlignment="1">
      <alignment horizontal="left" vertical="center"/>
    </xf>
    <xf numFmtId="0" fontId="8" fillId="3" borderId="5" xfId="0" applyFont="1" applyFill="1" applyBorder="1" applyAlignment="1">
      <alignment horizontal="left" vertical="center"/>
    </xf>
    <xf numFmtId="0" fontId="8" fillId="3" borderId="8" xfId="0" applyFont="1" applyFill="1" applyBorder="1" applyAlignment="1">
      <alignment horizontal="left" vertical="center"/>
    </xf>
    <xf numFmtId="0" fontId="14" fillId="3" borderId="0" xfId="12" applyFont="1" applyFill="1" applyAlignment="1">
      <alignment horizontal="center"/>
    </xf>
    <xf numFmtId="0" fontId="14" fillId="3" borderId="0" xfId="12" applyFont="1" applyFill="1"/>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10" fillId="5" borderId="9" xfId="15" applyFont="1" applyBorder="1" applyAlignment="1">
      <alignment horizontal="center" vertical="center"/>
    </xf>
    <xf numFmtId="49" fontId="10" fillId="5" borderId="9" xfId="14" applyNumberFormat="1" applyFont="1" applyBorder="1" applyAlignment="1">
      <alignment horizontal="left" vertical="center" wrapText="1"/>
    </xf>
    <xf numFmtId="49" fontId="10" fillId="5" borderId="9" xfId="14" applyNumberFormat="1" applyFont="1" applyBorder="1" applyAlignment="1">
      <alignment horizontal="center" vertical="center" wrapText="1"/>
    </xf>
    <xf numFmtId="0" fontId="10" fillId="3" borderId="9" xfId="15" applyFont="1" applyFill="1" applyBorder="1" applyAlignment="1">
      <alignment horizontal="center" vertical="center"/>
    </xf>
    <xf numFmtId="49" fontId="10" fillId="3" borderId="9" xfId="14" applyNumberFormat="1" applyFont="1" applyFill="1" applyBorder="1" applyAlignment="1">
      <alignment horizontal="left" vertical="center" wrapText="1"/>
    </xf>
    <xf numFmtId="49" fontId="10" fillId="3" borderId="9" xfId="14" applyNumberFormat="1" applyFont="1" applyFill="1" applyBorder="1" applyAlignment="1">
      <alignment horizontal="center" vertical="center" wrapText="1"/>
    </xf>
    <xf numFmtId="0" fontId="8" fillId="3" borderId="9" xfId="15" applyFont="1" applyFill="1" applyBorder="1" applyAlignment="1">
      <alignment horizontal="center" vertical="center"/>
    </xf>
    <xf numFmtId="0" fontId="8" fillId="5" borderId="9" xfId="14" applyFont="1" applyBorder="1" applyAlignment="1">
      <alignment horizontal="left" vertical="center" wrapText="1"/>
    </xf>
    <xf numFmtId="0" fontId="10" fillId="5" borderId="9" xfId="14" applyFont="1" applyBorder="1" applyAlignment="1">
      <alignment horizontal="left" vertical="center" wrapText="1"/>
    </xf>
    <xf numFmtId="0" fontId="8" fillId="0" borderId="9" xfId="0" applyFont="1" applyBorder="1" applyAlignment="1">
      <alignment horizontal="center" vertical="center"/>
    </xf>
    <xf numFmtId="49" fontId="14" fillId="3" borderId="9" xfId="0" applyNumberFormat="1" applyFont="1" applyFill="1" applyBorder="1" applyAlignment="1">
      <alignment horizontal="left" vertical="center" wrapText="1"/>
    </xf>
    <xf numFmtId="49" fontId="14" fillId="3" borderId="9" xfId="15" applyNumberFormat="1" applyFont="1" applyFill="1" applyBorder="1" applyAlignment="1">
      <alignment horizontal="center" vertical="center" wrapText="1"/>
    </xf>
    <xf numFmtId="49" fontId="7" fillId="3" borderId="9" xfId="0" applyNumberFormat="1" applyFont="1" applyFill="1" applyBorder="1" applyAlignment="1">
      <alignment horizontal="left" vertical="center" wrapText="1"/>
    </xf>
    <xf numFmtId="49" fontId="7" fillId="3" borderId="9" xfId="15" applyNumberFormat="1" applyFont="1" applyFill="1" applyBorder="1" applyAlignment="1">
      <alignment horizontal="center" vertical="center" wrapText="1"/>
    </xf>
    <xf numFmtId="43" fontId="9" fillId="3" borderId="14" xfId="7" applyFont="1" applyFill="1" applyBorder="1" applyAlignment="1" applyProtection="1">
      <alignment horizontal="right" vertical="center" wrapText="1"/>
      <protection locked="0"/>
    </xf>
    <xf numFmtId="43" fontId="8" fillId="3" borderId="14" xfId="7" applyFont="1" applyFill="1" applyBorder="1" applyAlignment="1" applyProtection="1">
      <alignment horizontal="right" vertical="center" wrapText="1"/>
      <protection locked="0"/>
    </xf>
    <xf numFmtId="0" fontId="14" fillId="3" borderId="0" xfId="16" applyFont="1" applyFill="1" applyAlignment="1">
      <alignment horizontal="center" vertical="center"/>
    </xf>
    <xf numFmtId="0" fontId="14" fillId="3" borderId="0" xfId="16" applyFont="1" applyFill="1" applyAlignment="1">
      <alignment vertical="center"/>
    </xf>
    <xf numFmtId="0" fontId="9" fillId="3" borderId="0" xfId="16" applyFont="1" applyFill="1" applyAlignment="1">
      <alignment horizontal="center" vertical="center"/>
    </xf>
    <xf numFmtId="0" fontId="9" fillId="3" borderId="0" xfId="16" applyFont="1" applyFill="1" applyAlignment="1">
      <alignment vertical="center"/>
    </xf>
    <xf numFmtId="0" fontId="8" fillId="0" borderId="9" xfId="0" applyFont="1" applyBorder="1" applyAlignment="1">
      <alignment horizontal="left"/>
    </xf>
    <xf numFmtId="0" fontId="8" fillId="3" borderId="0" xfId="0" applyFont="1" applyFill="1" applyAlignment="1">
      <alignment horizontal="left" vertical="center" wrapText="1"/>
    </xf>
    <xf numFmtId="0" fontId="11" fillId="3" borderId="0" xfId="0" applyFont="1" applyFill="1" applyAlignment="1">
      <alignment horizontal="left" vertical="center"/>
    </xf>
    <xf numFmtId="49" fontId="7" fillId="3" borderId="9" xfId="0" applyNumberFormat="1" applyFont="1" applyFill="1" applyBorder="1" applyAlignment="1">
      <alignment horizontal="center" vertical="center"/>
    </xf>
    <xf numFmtId="41" fontId="8" fillId="3" borderId="14" xfId="7" applyNumberFormat="1" applyFont="1" applyFill="1" applyBorder="1" applyAlignment="1" applyProtection="1">
      <alignment horizontal="right" vertical="center" wrapText="1"/>
      <protection locked="0"/>
    </xf>
    <xf numFmtId="0" fontId="14" fillId="2" borderId="0" xfId="0" applyFont="1" applyFill="1"/>
    <xf numFmtId="0" fontId="7" fillId="2" borderId="0" xfId="0" applyFont="1" applyFill="1"/>
    <xf numFmtId="0" fontId="7" fillId="3" borderId="3" xfId="0" applyFont="1" applyFill="1" applyBorder="1"/>
    <xf numFmtId="0" fontId="13" fillId="3" borderId="4" xfId="0" applyFont="1" applyFill="1" applyBorder="1"/>
    <xf numFmtId="0" fontId="13" fillId="2" borderId="0" xfId="0" applyFont="1" applyFill="1"/>
    <xf numFmtId="0" fontId="11" fillId="3" borderId="0" xfId="0" applyFont="1" applyFill="1" applyAlignment="1">
      <alignment horizontal="left" vertical="center" wrapText="1"/>
    </xf>
    <xf numFmtId="0" fontId="11" fillId="3" borderId="0" xfId="0" applyFont="1" applyFill="1" applyAlignment="1">
      <alignment vertical="center" wrapText="1"/>
    </xf>
    <xf numFmtId="0" fontId="15" fillId="3" borderId="0" xfId="0" applyFont="1" applyFill="1" applyAlignment="1">
      <alignment vertical="center" wrapText="1"/>
    </xf>
    <xf numFmtId="0" fontId="16" fillId="3" borderId="0" xfId="0" applyFont="1" applyFill="1" applyAlignment="1">
      <alignment vertical="center" wrapText="1"/>
    </xf>
    <xf numFmtId="0" fontId="12" fillId="3" borderId="1" xfId="0" applyFont="1" applyFill="1" applyBorder="1" applyAlignment="1">
      <alignment vertical="center"/>
    </xf>
    <xf numFmtId="0" fontId="13" fillId="3" borderId="2" xfId="0" applyFont="1" applyFill="1" applyBorder="1"/>
    <xf numFmtId="0" fontId="7" fillId="3" borderId="5" xfId="0" applyFont="1" applyFill="1" applyBorder="1"/>
    <xf numFmtId="0" fontId="7" fillId="3" borderId="2" xfId="0" applyFont="1" applyFill="1" applyBorder="1"/>
    <xf numFmtId="0" fontId="10" fillId="3" borderId="6" xfId="1" applyFont="1" applyFill="1" applyBorder="1" applyAlignment="1">
      <alignment vertical="center"/>
    </xf>
    <xf numFmtId="0" fontId="13" fillId="3" borderId="7" xfId="0" applyFont="1" applyFill="1" applyBorder="1"/>
    <xf numFmtId="0" fontId="7" fillId="3" borderId="7" xfId="0" applyFont="1" applyFill="1" applyBorder="1"/>
    <xf numFmtId="0" fontId="7" fillId="3" borderId="6" xfId="0" applyFont="1" applyFill="1" applyBorder="1"/>
    <xf numFmtId="0" fontId="9" fillId="3" borderId="6" xfId="1" applyFont="1" applyFill="1" applyBorder="1" applyAlignment="1">
      <alignment vertical="center"/>
    </xf>
    <xf numFmtId="0" fontId="8" fillId="3" borderId="3" xfId="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horizontal="center" vertical="center"/>
    </xf>
    <xf numFmtId="0" fontId="7" fillId="0" borderId="0" xfId="0" applyFont="1"/>
    <xf numFmtId="0" fontId="14" fillId="0" borderId="0" xfId="0" applyFont="1" applyAlignment="1">
      <alignment wrapText="1"/>
    </xf>
    <xf numFmtId="0" fontId="13" fillId="0" borderId="0" xfId="0" applyFont="1" applyAlignment="1">
      <alignment wrapText="1"/>
    </xf>
    <xf numFmtId="0" fontId="13" fillId="0" borderId="0" xfId="0" applyFont="1"/>
    <xf numFmtId="0" fontId="14" fillId="0" borderId="0" xfId="0" applyFont="1"/>
    <xf numFmtId="0" fontId="14" fillId="3" borderId="0" xfId="0" applyFont="1" applyFill="1" applyAlignment="1">
      <alignment horizontal="center" vertical="center"/>
    </xf>
    <xf numFmtId="0" fontId="7" fillId="3" borderId="0" xfId="0" applyFont="1" applyFill="1" applyAlignment="1">
      <alignment horizontal="center" vertical="center"/>
    </xf>
    <xf numFmtId="0" fontId="10" fillId="3" borderId="0" xfId="11" applyFont="1" applyFill="1" applyAlignment="1">
      <alignment horizontal="center" vertical="center"/>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9" fillId="6" borderId="15" xfId="0" applyFont="1" applyFill="1" applyBorder="1" applyAlignment="1">
      <alignment horizontal="center" vertical="center" wrapText="1"/>
    </xf>
    <xf numFmtId="0" fontId="20" fillId="4" borderId="0" xfId="12" applyFont="1" applyFill="1" applyAlignment="1">
      <alignment vertical="center"/>
    </xf>
    <xf numFmtId="0" fontId="20" fillId="4" borderId="0" xfId="12" applyFont="1" applyFill="1"/>
    <xf numFmtId="0" fontId="20" fillId="3" borderId="0" xfId="12" applyFont="1" applyFill="1"/>
    <xf numFmtId="0" fontId="20" fillId="0" borderId="0" xfId="0" applyFont="1"/>
    <xf numFmtId="0" fontId="20" fillId="4" borderId="0" xfId="12" applyFont="1" applyFill="1" applyAlignment="1">
      <alignment horizontal="center"/>
    </xf>
    <xf numFmtId="0" fontId="20" fillId="3" borderId="0" xfId="12" applyFont="1" applyFill="1" applyAlignment="1">
      <alignment horizontal="center"/>
    </xf>
    <xf numFmtId="0" fontId="14" fillId="7" borderId="9" xfId="0" applyFont="1" applyFill="1" applyBorder="1" applyAlignment="1">
      <alignment horizontal="center" vertical="center" wrapText="1"/>
    </xf>
    <xf numFmtId="165" fontId="9" fillId="7" borderId="15" xfId="0" applyNumberFormat="1" applyFont="1" applyFill="1" applyBorder="1" applyAlignment="1">
      <alignment horizontal="center" vertical="center" wrapText="1"/>
    </xf>
    <xf numFmtId="0" fontId="9" fillId="7" borderId="9" xfId="14"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9" xfId="0" applyFont="1" applyFill="1" applyBorder="1" applyAlignment="1">
      <alignment horizontal="center" vertical="center"/>
    </xf>
    <xf numFmtId="49" fontId="9" fillId="7" borderId="9" xfId="14" applyNumberFormat="1" applyFont="1" applyFill="1" applyBorder="1" applyAlignment="1">
      <alignment horizontal="left" vertical="center" wrapText="1"/>
    </xf>
    <xf numFmtId="49" fontId="9" fillId="7" borderId="9" xfId="14" applyNumberFormat="1" applyFont="1" applyFill="1" applyBorder="1" applyAlignment="1">
      <alignment horizontal="center" vertical="center" wrapText="1"/>
    </xf>
    <xf numFmtId="41" fontId="9" fillId="7" borderId="9" xfId="22" applyNumberFormat="1" applyFont="1" applyFill="1" applyBorder="1" applyAlignment="1">
      <alignment horizontal="left"/>
    </xf>
    <xf numFmtId="41" fontId="8" fillId="5" borderId="9" xfId="22" applyNumberFormat="1" applyFont="1" applyBorder="1"/>
    <xf numFmtId="41" fontId="8" fillId="0" borderId="9" xfId="0" applyNumberFormat="1" applyFont="1" applyBorder="1" applyAlignment="1">
      <alignment horizontal="left"/>
    </xf>
    <xf numFmtId="0" fontId="9" fillId="7" borderId="9" xfId="15" applyFont="1" applyFill="1" applyBorder="1" applyAlignment="1">
      <alignment horizontal="center" vertical="center"/>
    </xf>
    <xf numFmtId="41" fontId="9" fillId="7" borderId="9" xfId="22" applyNumberFormat="1" applyFont="1" applyFill="1" applyBorder="1"/>
    <xf numFmtId="0" fontId="7" fillId="3" borderId="0" xfId="12" applyFont="1" applyFill="1" applyAlignment="1">
      <alignment horizontal="center"/>
    </xf>
    <xf numFmtId="0" fontId="14" fillId="3" borderId="5" xfId="12" applyFont="1" applyFill="1" applyBorder="1"/>
    <xf numFmtId="0" fontId="7" fillId="3" borderId="5" xfId="12" applyFont="1" applyFill="1" applyBorder="1"/>
    <xf numFmtId="0" fontId="9" fillId="2" borderId="9" xfId="14" applyFont="1" applyFill="1" applyBorder="1" applyAlignment="1">
      <alignment horizontal="left" vertical="center" wrapText="1"/>
    </xf>
    <xf numFmtId="0" fontId="9" fillId="2" borderId="9" xfId="14" applyFont="1" applyFill="1" applyBorder="1" applyAlignment="1">
      <alignment horizontal="center" vertical="center" wrapText="1"/>
    </xf>
    <xf numFmtId="4" fontId="8" fillId="3" borderId="14" xfId="0" applyNumberFormat="1" applyFont="1" applyFill="1" applyBorder="1" applyAlignment="1" applyProtection="1">
      <alignment horizontal="center" vertical="center" wrapText="1"/>
      <protection locked="0"/>
    </xf>
    <xf numFmtId="4" fontId="8" fillId="3" borderId="14" xfId="0" applyNumberFormat="1" applyFont="1" applyFill="1" applyBorder="1" applyAlignment="1" applyProtection="1">
      <alignment horizontal="left" vertical="center" wrapText="1"/>
      <protection locked="0"/>
    </xf>
    <xf numFmtId="49" fontId="8" fillId="3" borderId="14" xfId="0" applyNumberFormat="1" applyFont="1" applyFill="1" applyBorder="1" applyAlignment="1" applyProtection="1">
      <alignment horizontal="center" vertical="center" wrapText="1"/>
      <protection locked="0"/>
    </xf>
    <xf numFmtId="165" fontId="8" fillId="0" borderId="14" xfId="0" applyNumberFormat="1" applyFont="1" applyBorder="1" applyAlignment="1" applyProtection="1">
      <alignment horizontal="right" vertical="center" wrapText="1"/>
      <protection locked="0"/>
    </xf>
    <xf numFmtId="4" fontId="10" fillId="3" borderId="14" xfId="0" applyNumberFormat="1" applyFont="1" applyFill="1" applyBorder="1" applyAlignment="1" applyProtection="1">
      <alignment horizontal="left" vertical="center" wrapText="1"/>
      <protection locked="0"/>
    </xf>
    <xf numFmtId="49" fontId="10" fillId="3" borderId="14" xfId="0" applyNumberFormat="1" applyFont="1" applyFill="1" applyBorder="1" applyAlignment="1" applyProtection="1">
      <alignment horizontal="center" vertical="center" wrapText="1"/>
      <protection locked="0"/>
    </xf>
    <xf numFmtId="0" fontId="8" fillId="3" borderId="14" xfId="0" applyFont="1" applyFill="1" applyBorder="1" applyAlignment="1" applyProtection="1">
      <alignment horizontal="center" vertical="center" wrapText="1"/>
      <protection locked="0"/>
    </xf>
    <xf numFmtId="0" fontId="8" fillId="3" borderId="14" xfId="0" applyFont="1" applyFill="1" applyBorder="1" applyAlignment="1" applyProtection="1">
      <alignment horizontal="left" vertical="center" wrapText="1"/>
      <protection locked="0"/>
    </xf>
    <xf numFmtId="166" fontId="8" fillId="3" borderId="14" xfId="0" applyNumberFormat="1" applyFont="1" applyFill="1" applyBorder="1" applyAlignment="1" applyProtection="1">
      <alignment horizontal="right" vertical="center" wrapText="1"/>
      <protection locked="0"/>
    </xf>
    <xf numFmtId="0" fontId="7" fillId="3" borderId="0" xfId="24" applyFont="1" applyFill="1" applyAlignment="1">
      <alignment vertical="center" wrapText="1"/>
    </xf>
    <xf numFmtId="0" fontId="14" fillId="3" borderId="0" xfId="24" applyFont="1" applyFill="1" applyAlignment="1">
      <alignment horizontal="center" vertical="center"/>
    </xf>
    <xf numFmtId="4" fontId="22" fillId="8" borderId="17" xfId="0" applyNumberFormat="1" applyFont="1" applyFill="1" applyBorder="1" applyAlignment="1" applyProtection="1">
      <alignment horizontal="left" vertical="center" wrapText="1"/>
      <protection locked="0"/>
    </xf>
    <xf numFmtId="4" fontId="23" fillId="9" borderId="18" xfId="0" applyNumberFormat="1" applyFont="1" applyFill="1" applyBorder="1" applyAlignment="1" applyProtection="1">
      <alignment horizontal="center" vertical="center" wrapText="1"/>
      <protection locked="0"/>
    </xf>
    <xf numFmtId="0" fontId="24" fillId="10" borderId="19" xfId="0" applyNumberFormat="1" applyFont="1" applyFill="1" applyBorder="1" applyAlignment="1" applyProtection="1">
      <alignment horizontal="center" vertical="center" wrapText="1"/>
      <protection locked="0"/>
    </xf>
    <xf numFmtId="10" fontId="25" fillId="11" borderId="20" xfId="0" applyNumberFormat="1" applyFont="1" applyFill="1" applyBorder="1" applyAlignment="1" applyProtection="1">
      <alignment horizontal="right" vertical="center" wrapText="1"/>
      <protection locked="0"/>
    </xf>
    <xf numFmtId="165" fontId="26" fillId="12" borderId="21" xfId="0" applyNumberFormat="1" applyFont="1" applyFill="1" applyBorder="1" applyAlignment="1" applyProtection="1">
      <alignment horizontal="right" vertical="center" wrapText="1"/>
      <protection locked="0"/>
    </xf>
    <xf numFmtId="0" fontId="27" fillId="13" borderId="22" xfId="0" applyNumberFormat="1" applyFont="1" applyFill="1" applyBorder="1" applyAlignment="1" applyProtection="1">
      <alignment horizontal="left" vertical="center" wrapText="1"/>
      <protection locked="0"/>
    </xf>
    <xf numFmtId="0" fontId="28" fillId="14" borderId="23" xfId="0" applyNumberFormat="1" applyFont="1" applyFill="1" applyBorder="1" applyAlignment="1" applyProtection="1">
      <alignment horizontal="center" vertical="center" wrapText="1"/>
      <protection locked="0"/>
    </xf>
    <xf numFmtId="10" fontId="29" fillId="15" borderId="24" xfId="0" applyNumberFormat="1" applyFont="1" applyFill="1" applyBorder="1" applyAlignment="1" applyProtection="1">
      <alignment horizontal="right" vertical="center" wrapText="1"/>
      <protection locked="0"/>
    </xf>
    <xf numFmtId="165" fontId="30" fillId="16" borderId="25" xfId="0" applyNumberFormat="1" applyFont="1" applyFill="1" applyBorder="1" applyAlignment="1" applyProtection="1">
      <alignment horizontal="right" vertical="center" wrapText="1"/>
      <protection locked="0"/>
    </xf>
    <xf numFmtId="43" fontId="31" fillId="17" borderId="26" xfId="0" applyNumberFormat="1" applyFont="1" applyFill="1" applyBorder="1" applyAlignment="1" applyProtection="1">
      <alignment horizontal="right" vertical="center" wrapText="1"/>
      <protection locked="0"/>
    </xf>
    <xf numFmtId="37" fontId="32" fillId="18" borderId="27" xfId="0" applyNumberFormat="1" applyFont="1" applyFill="1" applyBorder="1" applyAlignment="1" applyProtection="1">
      <alignment horizontal="right" vertical="center" wrapText="1"/>
      <protection locked="0"/>
    </xf>
    <xf numFmtId="4" fontId="33" fillId="19" borderId="28" xfId="0" applyNumberFormat="1" applyFont="1" applyFill="1" applyBorder="1" applyAlignment="1" applyProtection="1">
      <alignment horizontal="right" vertical="center" wrapText="1"/>
      <protection locked="0"/>
    </xf>
    <xf numFmtId="0" fontId="7" fillId="3" borderId="1" xfId="0" applyFont="1" applyFill="1" applyBorder="1"/>
    <xf numFmtId="0" fontId="7" fillId="3" borderId="2" xfId="0" applyFont="1" applyFill="1" applyBorder="1"/>
    <xf numFmtId="0" fontId="8" fillId="3" borderId="0" xfId="0" applyFont="1" applyFill="1" applyAlignment="1">
      <alignment horizontal="left" vertical="center" wrapText="1"/>
    </xf>
    <xf numFmtId="0" fontId="11" fillId="3" borderId="0" xfId="0" applyFont="1" applyFill="1" applyAlignment="1">
      <alignment horizontal="left" vertical="center" wrapText="1"/>
    </xf>
    <xf numFmtId="0" fontId="14" fillId="3" borderId="5" xfId="17" applyFont="1" applyFill="1" applyBorder="1" applyAlignment="1">
      <alignment horizontal="left" vertical="center"/>
    </xf>
    <xf numFmtId="0" fontId="9" fillId="6" borderId="15" xfId="0" applyFont="1" applyFill="1" applyBorder="1" applyAlignment="1">
      <alignment horizontal="center" vertical="center" wrapText="1"/>
    </xf>
    <xf numFmtId="0" fontId="9" fillId="6" borderId="15" xfId="0" applyFont="1" applyFill="1" applyBorder="1" applyAlignment="1">
      <alignment horizontal="center" vertical="center"/>
    </xf>
    <xf numFmtId="0" fontId="11" fillId="3" borderId="0" xfId="11" applyFont="1" applyFill="1" applyAlignment="1">
      <alignment horizontal="left" vertical="top" wrapText="1"/>
    </xf>
    <xf numFmtId="0" fontId="15" fillId="3" borderId="0" xfId="11" applyFont="1" applyFill="1" applyAlignment="1">
      <alignment horizontal="left" vertical="top" wrapText="1"/>
    </xf>
    <xf numFmtId="0" fontId="16" fillId="3" borderId="0" xfId="11" applyFont="1" applyFill="1" applyAlignment="1">
      <alignment horizontal="left" vertical="center" wrapText="1"/>
    </xf>
    <xf numFmtId="0" fontId="17" fillId="3" borderId="0" xfId="11" applyFont="1" applyFill="1" applyAlignment="1">
      <alignment horizontal="left" vertical="center" wrapText="1"/>
    </xf>
    <xf numFmtId="37" fontId="8" fillId="3" borderId="0" xfId="11" applyNumberFormat="1" applyFont="1" applyFill="1" applyAlignment="1">
      <alignment horizontal="left"/>
    </xf>
    <xf numFmtId="0" fontId="8" fillId="3" borderId="0" xfId="11" applyFont="1" applyFill="1" applyAlignment="1">
      <alignment horizontal="left" vertical="center" wrapText="1"/>
    </xf>
    <xf numFmtId="0" fontId="7" fillId="3" borderId="0" xfId="11" applyFont="1" applyFill="1" applyAlignment="1">
      <alignment horizontal="left" vertical="top" wrapText="1"/>
    </xf>
    <xf numFmtId="0" fontId="16" fillId="3" borderId="0" xfId="11" applyFont="1" applyFill="1" applyAlignment="1">
      <alignment horizontal="left" vertical="top" wrapText="1"/>
    </xf>
    <xf numFmtId="0" fontId="19" fillId="0" borderId="0" xfId="11" applyFont="1" applyAlignment="1">
      <alignment horizontal="right" vertical="center" wrapText="1"/>
    </xf>
    <xf numFmtId="0" fontId="18" fillId="3" borderId="0" xfId="11" applyFont="1" applyFill="1" applyAlignment="1">
      <alignment horizontal="right" vertical="center" wrapText="1"/>
    </xf>
    <xf numFmtId="0" fontId="9" fillId="0" borderId="0" xfId="11" applyFont="1" applyAlignment="1">
      <alignment horizontal="center" vertical="center" wrapText="1"/>
    </xf>
    <xf numFmtId="0" fontId="10" fillId="3" borderId="0" xfId="11" applyFont="1" applyFill="1" applyAlignment="1">
      <alignment horizontal="center" vertical="center"/>
    </xf>
    <xf numFmtId="0" fontId="11" fillId="3" borderId="0" xfId="11" applyFont="1" applyFill="1" applyAlignment="1">
      <alignment horizontal="left" vertical="center" wrapText="1"/>
    </xf>
    <xf numFmtId="0" fontId="9" fillId="3" borderId="0" xfId="11" applyFont="1" applyFill="1" applyAlignment="1">
      <alignment horizontal="left" vertical="center"/>
    </xf>
    <xf numFmtId="0" fontId="9" fillId="3" borderId="0" xfId="0" applyFont="1" applyFill="1" applyAlignment="1">
      <alignment horizontal="right" vertical="center" wrapText="1"/>
    </xf>
    <xf numFmtId="0" fontId="10" fillId="3" borderId="0" xfId="0" applyFont="1" applyFill="1" applyAlignment="1">
      <alignment horizontal="right" vertical="center" wrapText="1"/>
    </xf>
    <xf numFmtId="0" fontId="9" fillId="3" borderId="0" xfId="0" applyFont="1" applyFill="1" applyAlignment="1">
      <alignment horizontal="center" vertical="center" wrapText="1"/>
    </xf>
    <xf numFmtId="0" fontId="10" fillId="3" borderId="0" xfId="0" applyFont="1" applyFill="1" applyAlignment="1">
      <alignment horizontal="center" vertical="center"/>
    </xf>
    <xf numFmtId="0" fontId="7" fillId="3" borderId="0" xfId="0" applyFont="1" applyFill="1" applyAlignment="1">
      <alignment horizontal="left" vertical="center"/>
    </xf>
    <xf numFmtId="0" fontId="14" fillId="3" borderId="0" xfId="0" applyFont="1" applyFill="1" applyAlignment="1">
      <alignment horizontal="right" vertical="center" wrapText="1"/>
    </xf>
    <xf numFmtId="0" fontId="13" fillId="3" borderId="0" xfId="0" applyFont="1" applyFill="1" applyAlignment="1">
      <alignment horizontal="right" vertical="center" wrapText="1"/>
    </xf>
    <xf numFmtId="0" fontId="14" fillId="3" borderId="0" xfId="0" applyFont="1" applyFill="1" applyAlignment="1">
      <alignment horizontal="center" vertical="center" wrapText="1"/>
    </xf>
    <xf numFmtId="0" fontId="13" fillId="3" borderId="0" xfId="0" applyFont="1" applyFill="1" applyAlignment="1">
      <alignment horizontal="center" vertical="center"/>
    </xf>
    <xf numFmtId="0" fontId="11" fillId="3" borderId="0" xfId="0" applyFont="1" applyFill="1" applyAlignment="1">
      <alignment horizontal="left" vertical="center"/>
    </xf>
    <xf numFmtId="0" fontId="7" fillId="3" borderId="0" xfId="0" applyFont="1" applyFill="1" applyAlignment="1">
      <alignment horizontal="left" vertical="center" wrapText="1"/>
    </xf>
    <xf numFmtId="49" fontId="7" fillId="3" borderId="9" xfId="0" applyNumberFormat="1" applyFont="1" applyFill="1" applyBorder="1" applyAlignment="1">
      <alignment horizontal="center" vertical="center"/>
    </xf>
    <xf numFmtId="49" fontId="7" fillId="3" borderId="12" xfId="0" applyNumberFormat="1" applyFont="1" applyFill="1" applyBorder="1" applyAlignment="1">
      <alignment horizontal="center" vertical="center"/>
    </xf>
    <xf numFmtId="49" fontId="7" fillId="3" borderId="16" xfId="0" applyNumberFormat="1" applyFont="1" applyFill="1" applyBorder="1" applyAlignment="1">
      <alignment horizontal="center" vertical="center"/>
    </xf>
    <xf numFmtId="49" fontId="7" fillId="3" borderId="13" xfId="0" applyNumberFormat="1" applyFont="1" applyFill="1" applyBorder="1" applyAlignment="1">
      <alignment horizontal="center" vertical="center"/>
    </xf>
    <xf numFmtId="0" fontId="7" fillId="3" borderId="0" xfId="0" applyFont="1" applyFill="1" applyAlignment="1">
      <alignment horizontal="center" vertical="center"/>
    </xf>
    <xf numFmtId="0" fontId="14" fillId="3" borderId="0" xfId="0" applyFont="1" applyFill="1" applyAlignment="1">
      <alignment horizontal="center" vertical="center"/>
    </xf>
    <xf numFmtId="0" fontId="9" fillId="2" borderId="12" xfId="0" applyFont="1" applyFill="1" applyBorder="1" applyAlignment="1">
      <alignment horizontal="center" vertical="center" wrapText="1"/>
    </xf>
    <xf numFmtId="0" fontId="9" fillId="2" borderId="13" xfId="0" applyFont="1" applyFill="1" applyBorder="1" applyAlignment="1">
      <alignment horizontal="center" vertical="center" wrapText="1"/>
    </xf>
    <xf numFmtId="49" fontId="9" fillId="2" borderId="12" xfId="0" applyNumberFormat="1" applyFont="1" applyFill="1" applyBorder="1" applyAlignment="1">
      <alignment horizontal="center" vertical="center" wrapText="1"/>
    </xf>
    <xf numFmtId="49" fontId="9" fillId="2" borderId="13" xfId="0" applyNumberFormat="1" applyFont="1" applyFill="1" applyBorder="1" applyAlignment="1">
      <alignment horizontal="center" vertical="center" wrapText="1"/>
    </xf>
    <xf numFmtId="0" fontId="4" fillId="2" borderId="13" xfId="0" applyFont="1" applyFill="1" applyBorder="1" applyAlignment="1">
      <alignment vertical="center"/>
    </xf>
    <xf numFmtId="165" fontId="9" fillId="2" borderId="10" xfId="7" applyNumberFormat="1" applyFont="1" applyFill="1" applyBorder="1" applyAlignment="1" applyProtection="1">
      <alignment horizontal="center" vertical="center" wrapText="1"/>
      <protection locked="0"/>
    </xf>
    <xf numFmtId="165" fontId="9" fillId="2" borderId="11" xfId="7" applyNumberFormat="1" applyFont="1" applyFill="1" applyBorder="1" applyAlignment="1" applyProtection="1">
      <alignment horizontal="center" vertical="center" wrapText="1"/>
      <protection locked="0"/>
    </xf>
    <xf numFmtId="0" fontId="14" fillId="3" borderId="0" xfId="24" applyFont="1" applyFill="1" applyAlignment="1">
      <alignment horizontal="center" vertical="center"/>
    </xf>
  </cellXfs>
  <cellStyles count="35">
    <cellStyle name="Comma" xfId="7" builtinId="3"/>
    <cellStyle name="Comma 13" xfId="25" xr:uid="{F4961EB6-2FF9-4CB6-AD29-6244853B549B}"/>
    <cellStyle name="Comma 2" xfId="5" xr:uid="{00000000-0005-0000-0000-000001000000}"/>
    <cellStyle name="Comma 2 2" xfId="26" xr:uid="{A93111C7-E38B-49BE-8BFB-AB4F178409F1}"/>
    <cellStyle name="Comma 3" xfId="8" xr:uid="{00000000-0005-0000-0000-000002000000}"/>
    <cellStyle name="Comma 4" xfId="13" xr:uid="{00000000-0005-0000-0000-000003000000}"/>
    <cellStyle name="Comma 4 2" xfId="22" xr:uid="{00000000-0005-0000-0000-000004000000}"/>
    <cellStyle name="Comma 4 3" xfId="33" xr:uid="{C4821390-B2B9-4D99-AE7E-027320374D6C}"/>
    <cellStyle name="Comma 5" xfId="21" xr:uid="{00000000-0005-0000-0000-000005000000}"/>
    <cellStyle name="Comma 6" xfId="29" xr:uid="{AC71260F-AE3C-4C42-9496-3A5337F25940}"/>
    <cellStyle name="Currency [0] 2" xfId="4" xr:uid="{00000000-0005-0000-0000-000006000000}"/>
    <cellStyle name="Currency [0] 2 2" xfId="27" xr:uid="{9D6EACB3-A7CD-40AA-ACB7-534E37E2AB8D}"/>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213" xfId="34" xr:uid="{6BEEF802-479E-4CD0-871F-9A4A29C8285A}"/>
    <cellStyle name="Normal 3" xfId="2" xr:uid="{00000000-0005-0000-0000-00000C000000}"/>
    <cellStyle name="Normal 3 2" xfId="12" xr:uid="{00000000-0005-0000-0000-00000D000000}"/>
    <cellStyle name="Normal 3 2 2" xfId="16" xr:uid="{00000000-0005-0000-0000-00000E000000}"/>
    <cellStyle name="Normal 3 2 2 2" xfId="31" xr:uid="{2299FC14-C837-4448-8317-99505838E07D}"/>
    <cellStyle name="Normal 3 2 25" xfId="15" xr:uid="{00000000-0005-0000-0000-00000F000000}"/>
    <cellStyle name="Normal 3 2 3" xfId="32" xr:uid="{97E8F196-A846-41EB-9233-A7F783EFC5CA}"/>
    <cellStyle name="Normal 3 2 4" xfId="30" xr:uid="{E0E2B908-8B34-4992-9122-63D015719DAD}"/>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 6" xfId="24" xr:uid="{02DFF1B8-85E6-45E3-930E-120DDB39AA19}"/>
    <cellStyle name="Normal_Bao cao tai chinh 280405" xfId="1" xr:uid="{00000000-0005-0000-0000-000014000000}"/>
    <cellStyle name="Percent 2" xfId="9" xr:uid="{00000000-0005-0000-0000-000016000000}"/>
    <cellStyle name="Percent 2 2" xfId="28" xr:uid="{CA6CFCDD-7CCB-4E19-B90E-F16AAD265D77}"/>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6"/>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6"/>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2"/>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6"/>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5"/>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27"/>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41"/>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63"/>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topLeftCell="A12" zoomScaleSheetLayoutView="100" workbookViewId="0">
      <selection activeCell="C21" sqref="C21"/>
    </sheetView>
  </sheetViews>
  <sheetFormatPr defaultColWidth="9.1796875" defaultRowHeight="12.5"/>
  <cols>
    <col min="1" max="2" width="9.1796875" style="114"/>
    <col min="3" max="3" width="30.1796875" style="114" customWidth="1"/>
    <col min="4" max="4" width="30.81640625" style="114" customWidth="1"/>
    <col min="5" max="5" width="21.1796875" style="114" customWidth="1"/>
    <col min="6" max="9" width="9.1796875" style="114"/>
    <col min="10" max="10" width="11.81640625" style="114" customWidth="1"/>
    <col min="11" max="11" width="15" style="114" customWidth="1"/>
    <col min="12" max="16384" width="9.1796875" style="114"/>
  </cols>
  <sheetData>
    <row r="1" spans="1:11">
      <c r="A1" s="113" t="s">
        <v>0</v>
      </c>
      <c r="C1" s="192" t="s">
        <v>1299</v>
      </c>
      <c r="D1" s="193"/>
    </row>
    <row r="2" spans="1:11">
      <c r="C2" s="115" t="s">
        <v>1300</v>
      </c>
      <c r="D2" s="116"/>
    </row>
    <row r="3" spans="1:11">
      <c r="D3" s="117"/>
    </row>
    <row r="4" spans="1:11">
      <c r="A4" s="113" t="s">
        <v>1</v>
      </c>
      <c r="D4" s="117"/>
    </row>
    <row r="5" spans="1:11" ht="15" customHeight="1">
      <c r="C5" s="118" t="s">
        <v>2</v>
      </c>
      <c r="D5" s="195" t="s">
        <v>1301</v>
      </c>
      <c r="E5" s="195"/>
      <c r="F5" s="195"/>
      <c r="G5" s="195"/>
      <c r="H5" s="195"/>
      <c r="I5" s="195"/>
    </row>
    <row r="6" spans="1:11">
      <c r="C6" s="109" t="s">
        <v>15</v>
      </c>
      <c r="D6" s="194" t="s">
        <v>1302</v>
      </c>
      <c r="E6" s="194"/>
      <c r="F6" s="194"/>
      <c r="G6" s="194"/>
      <c r="H6" s="194"/>
      <c r="I6" s="194"/>
    </row>
    <row r="7" spans="1:11">
      <c r="C7" s="119" t="s">
        <v>3</v>
      </c>
      <c r="D7" s="195" t="s">
        <v>1303</v>
      </c>
      <c r="E7" s="195"/>
      <c r="F7" s="195"/>
      <c r="G7" s="195"/>
      <c r="H7" s="195"/>
      <c r="I7" s="195"/>
    </row>
    <row r="8" spans="1:11" ht="15" customHeight="1">
      <c r="C8" s="37" t="s">
        <v>4</v>
      </c>
      <c r="D8" s="194" t="s">
        <v>1304</v>
      </c>
      <c r="E8" s="194"/>
      <c r="F8" s="194"/>
      <c r="G8" s="194"/>
      <c r="H8" s="194"/>
      <c r="I8" s="194"/>
    </row>
    <row r="9" spans="1:11" ht="15" customHeight="1">
      <c r="C9" s="119" t="s">
        <v>5</v>
      </c>
      <c r="D9" s="195" t="s">
        <v>1305</v>
      </c>
      <c r="E9" s="195"/>
      <c r="F9" s="195"/>
      <c r="G9" s="195"/>
      <c r="H9" s="195"/>
      <c r="I9" s="195"/>
    </row>
    <row r="10" spans="1:11" ht="15" customHeight="1">
      <c r="C10" s="120" t="s">
        <v>6</v>
      </c>
      <c r="D10" s="194" t="s">
        <v>1306</v>
      </c>
      <c r="E10" s="194"/>
      <c r="F10" s="194"/>
      <c r="G10" s="194"/>
      <c r="H10" s="194"/>
      <c r="I10" s="194"/>
    </row>
    <row r="11" spans="1:11">
      <c r="C11" s="121" t="s">
        <v>7</v>
      </c>
      <c r="D11" s="195" t="s">
        <v>1307</v>
      </c>
      <c r="E11" s="195"/>
      <c r="F11" s="195"/>
      <c r="G11" s="195"/>
      <c r="H11" s="195"/>
      <c r="I11" s="195"/>
    </row>
    <row r="12" spans="1:11">
      <c r="C12" s="5" t="s">
        <v>8</v>
      </c>
      <c r="D12" s="194" t="s">
        <v>1308</v>
      </c>
      <c r="E12" s="194"/>
      <c r="F12" s="194"/>
      <c r="G12" s="194"/>
      <c r="H12" s="194"/>
      <c r="I12" s="194"/>
    </row>
    <row r="13" spans="1:11">
      <c r="D13" s="117"/>
    </row>
    <row r="14" spans="1:11">
      <c r="A14" s="113" t="s">
        <v>9</v>
      </c>
      <c r="D14" s="117"/>
    </row>
    <row r="15" spans="1:11">
      <c r="D15" s="117"/>
    </row>
    <row r="16" spans="1:11">
      <c r="C16" s="122" t="s">
        <v>10</v>
      </c>
      <c r="D16" s="123"/>
      <c r="F16" s="122" t="s">
        <v>11</v>
      </c>
      <c r="G16" s="124"/>
      <c r="H16" s="124"/>
      <c r="I16" s="124"/>
      <c r="J16" s="124"/>
      <c r="K16" s="125"/>
    </row>
    <row r="17" spans="3:11">
      <c r="C17" s="126" t="s">
        <v>12</v>
      </c>
      <c r="D17" s="127"/>
      <c r="F17" s="126" t="s">
        <v>13</v>
      </c>
      <c r="G17" s="4"/>
      <c r="H17" s="4"/>
      <c r="I17" s="4"/>
      <c r="J17" s="4"/>
      <c r="K17" s="128"/>
    </row>
    <row r="18" spans="3:11">
      <c r="C18" s="129"/>
      <c r="D18" s="127"/>
      <c r="F18" s="129"/>
      <c r="G18" s="4"/>
      <c r="H18" s="4"/>
      <c r="I18" s="4"/>
      <c r="J18" s="4"/>
      <c r="K18" s="128"/>
    </row>
    <row r="19" spans="3:11">
      <c r="C19" s="130" t="s">
        <v>14</v>
      </c>
      <c r="D19" s="127"/>
      <c r="F19" s="130" t="s">
        <v>1301</v>
      </c>
      <c r="G19" s="4"/>
      <c r="H19" s="4"/>
      <c r="I19" s="4"/>
      <c r="J19" s="4"/>
      <c r="K19" s="128"/>
    </row>
    <row r="20" spans="3:11">
      <c r="C20" s="130" t="s">
        <v>1323</v>
      </c>
      <c r="D20" s="127"/>
      <c r="F20" s="130" t="s">
        <v>1319</v>
      </c>
      <c r="G20" s="4"/>
      <c r="H20" s="4"/>
      <c r="I20" s="4"/>
      <c r="J20" s="4"/>
      <c r="K20" s="128"/>
    </row>
    <row r="21" spans="3:11">
      <c r="C21" s="131" t="s">
        <v>1309</v>
      </c>
      <c r="D21" s="116"/>
      <c r="F21" s="131" t="s">
        <v>1320</v>
      </c>
      <c r="G21" s="132"/>
      <c r="H21" s="132"/>
      <c r="I21" s="132"/>
      <c r="J21" s="132"/>
      <c r="K21" s="133"/>
    </row>
    <row r="22" spans="3:11">
      <c r="D22" s="117"/>
    </row>
    <row r="23" spans="3:11">
      <c r="D23" s="117"/>
    </row>
    <row r="24" spans="3:11">
      <c r="D24" s="117"/>
    </row>
    <row r="25" spans="3:11">
      <c r="D25" s="117"/>
    </row>
    <row r="26" spans="3:11">
      <c r="D26" s="117"/>
    </row>
    <row r="27" spans="3:11">
      <c r="D27" s="117"/>
    </row>
    <row r="28" spans="3:11">
      <c r="D28" s="117"/>
    </row>
    <row r="29" spans="3:11">
      <c r="D29" s="117"/>
    </row>
    <row r="30" spans="3:11">
      <c r="D30" s="117"/>
    </row>
    <row r="31" spans="3:11">
      <c r="D31" s="117"/>
    </row>
    <row r="32" spans="3:11">
      <c r="D32" s="117"/>
    </row>
    <row r="33" spans="4:4">
      <c r="D33" s="117"/>
    </row>
    <row r="34" spans="4:4">
      <c r="D34" s="134"/>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30" zoomScaleNormal="85" zoomScaleSheetLayoutView="100" workbookViewId="0">
      <selection activeCell="A42" sqref="A42"/>
    </sheetView>
  </sheetViews>
  <sheetFormatPr defaultColWidth="9.1796875" defaultRowHeight="13"/>
  <cols>
    <col min="1" max="1" width="4.81640625" style="150" customWidth="1"/>
    <col min="2" max="2" width="34.453125" style="147" customWidth="1"/>
    <col min="3" max="3" width="14.453125" style="147" customWidth="1"/>
    <col min="4" max="4" width="11.81640625" style="147" customWidth="1"/>
    <col min="5" max="5" width="12.26953125" style="147" customWidth="1"/>
    <col min="6" max="6" width="12.54296875" style="147" customWidth="1"/>
    <col min="7" max="7" width="16.453125" style="147" customWidth="1"/>
    <col min="8" max="9" width="19" style="147" customWidth="1"/>
    <col min="10" max="10" width="43.54296875" style="147" customWidth="1"/>
    <col min="11" max="16384" width="9.1796875" style="147"/>
  </cols>
  <sheetData>
    <row r="1" spans="1:10" s="146" customFormat="1" ht="46.5" customHeight="1">
      <c r="A1" s="207" t="s">
        <v>543</v>
      </c>
      <c r="B1" s="207"/>
      <c r="C1" s="207"/>
      <c r="D1" s="207"/>
      <c r="E1" s="207"/>
      <c r="F1" s="207"/>
      <c r="G1" s="207"/>
      <c r="H1" s="207"/>
      <c r="I1" s="207"/>
      <c r="J1" s="207"/>
    </row>
    <row r="2" spans="1:10" ht="49" customHeight="1">
      <c r="A2" s="208" t="s">
        <v>545</v>
      </c>
      <c r="B2" s="208"/>
      <c r="C2" s="208"/>
      <c r="D2" s="208"/>
      <c r="E2" s="208"/>
      <c r="F2" s="208"/>
      <c r="G2" s="208"/>
      <c r="H2" s="208"/>
      <c r="I2" s="208"/>
      <c r="J2" s="208"/>
    </row>
    <row r="3" spans="1:10" ht="19.149999999999999" customHeight="1">
      <c r="A3" s="209" t="s">
        <v>494</v>
      </c>
      <c r="B3" s="209"/>
      <c r="C3" s="209"/>
      <c r="D3" s="209"/>
      <c r="E3" s="209"/>
      <c r="F3" s="209"/>
      <c r="G3" s="209"/>
      <c r="H3" s="209"/>
      <c r="I3" s="209"/>
      <c r="J3" s="209"/>
    </row>
    <row r="4" spans="1:10" ht="21.65" customHeight="1">
      <c r="A4" s="209"/>
      <c r="B4" s="209"/>
      <c r="C4" s="209"/>
      <c r="D4" s="209"/>
      <c r="E4" s="209"/>
      <c r="F4" s="209"/>
      <c r="G4" s="209"/>
      <c r="H4" s="209"/>
      <c r="I4" s="209"/>
      <c r="J4" s="209"/>
    </row>
    <row r="5" spans="1:10">
      <c r="A5" s="210" t="s">
        <v>1300</v>
      </c>
      <c r="B5" s="210"/>
      <c r="C5" s="210"/>
      <c r="D5" s="210"/>
      <c r="E5" s="210"/>
      <c r="F5" s="210"/>
      <c r="G5" s="210"/>
      <c r="H5" s="210"/>
      <c r="I5" s="210"/>
      <c r="J5" s="210"/>
    </row>
    <row r="6" spans="1:10">
      <c r="A6" s="142"/>
      <c r="B6" s="142"/>
      <c r="C6" s="142"/>
      <c r="D6" s="142"/>
      <c r="E6" s="142"/>
      <c r="F6" s="67"/>
      <c r="G6" s="148"/>
      <c r="H6" s="148"/>
      <c r="I6" s="148"/>
      <c r="J6" s="148"/>
    </row>
    <row r="7" spans="1:10">
      <c r="A7" s="211" t="s">
        <v>2</v>
      </c>
      <c r="B7" s="212"/>
      <c r="C7" s="148"/>
      <c r="D7" s="148"/>
      <c r="E7" s="148"/>
      <c r="F7" s="148"/>
      <c r="G7" s="201" t="s">
        <v>1301</v>
      </c>
      <c r="H7" s="201"/>
      <c r="I7" s="201"/>
      <c r="J7" s="201"/>
    </row>
    <row r="8" spans="1:10" ht="15" customHeight="1">
      <c r="A8" s="204" t="s">
        <v>15</v>
      </c>
      <c r="B8" s="204"/>
      <c r="C8" s="148"/>
      <c r="D8" s="148"/>
      <c r="E8" s="148"/>
      <c r="F8" s="148"/>
      <c r="G8" s="202" t="s">
        <v>1302</v>
      </c>
      <c r="H8" s="202"/>
      <c r="I8" s="202"/>
      <c r="J8" s="202"/>
    </row>
    <row r="9" spans="1:10">
      <c r="A9" s="199" t="s">
        <v>3</v>
      </c>
      <c r="B9" s="205"/>
      <c r="C9" s="148"/>
      <c r="D9" s="148"/>
      <c r="E9" s="148"/>
      <c r="F9" s="148"/>
      <c r="G9" s="206" t="s">
        <v>1303</v>
      </c>
      <c r="H9" s="206"/>
      <c r="I9" s="206"/>
      <c r="J9" s="206"/>
    </row>
    <row r="10" spans="1:10" ht="15" customHeight="1">
      <c r="A10" s="205" t="s">
        <v>4</v>
      </c>
      <c r="B10" s="205"/>
      <c r="C10" s="148"/>
      <c r="D10" s="148"/>
      <c r="E10" s="148"/>
      <c r="F10" s="148"/>
      <c r="G10" s="202" t="s">
        <v>1304</v>
      </c>
      <c r="H10" s="202"/>
      <c r="I10" s="202"/>
      <c r="J10" s="202"/>
    </row>
    <row r="11" spans="1:10" ht="15" customHeight="1">
      <c r="A11" s="199" t="s">
        <v>5</v>
      </c>
      <c r="B11" s="200"/>
      <c r="C11" s="148"/>
      <c r="D11" s="148"/>
      <c r="E11" s="148"/>
      <c r="F11" s="148"/>
      <c r="G11" s="201" t="s">
        <v>1305</v>
      </c>
      <c r="H11" s="201"/>
      <c r="I11" s="201"/>
      <c r="J11" s="201"/>
    </row>
    <row r="12" spans="1:10" ht="15" customHeight="1">
      <c r="A12" s="68" t="s">
        <v>484</v>
      </c>
      <c r="B12" s="143"/>
      <c r="C12" s="148"/>
      <c r="D12" s="148"/>
      <c r="E12" s="148"/>
      <c r="F12" s="148"/>
      <c r="G12" s="202" t="s">
        <v>1306</v>
      </c>
      <c r="H12" s="202"/>
      <c r="I12" s="202"/>
      <c r="J12" s="202"/>
    </row>
    <row r="13" spans="1:10" ht="15" customHeight="1">
      <c r="A13" s="69" t="s">
        <v>7</v>
      </c>
      <c r="B13" s="70"/>
      <c r="C13" s="148"/>
      <c r="D13" s="148"/>
      <c r="E13" s="148"/>
      <c r="F13" s="148"/>
      <c r="G13" s="201" t="s">
        <v>1307</v>
      </c>
      <c r="H13" s="201"/>
      <c r="I13" s="201"/>
      <c r="J13" s="201"/>
    </row>
    <row r="14" spans="1:10">
      <c r="A14" s="71" t="s">
        <v>8</v>
      </c>
      <c r="B14" s="71"/>
      <c r="C14" s="73"/>
      <c r="D14" s="73"/>
      <c r="E14" s="73"/>
      <c r="F14" s="73"/>
      <c r="G14" s="203" t="s">
        <v>1308</v>
      </c>
      <c r="H14" s="203"/>
      <c r="I14" s="203"/>
      <c r="J14" s="203"/>
    </row>
    <row r="15" spans="1:10">
      <c r="A15" s="104" t="s">
        <v>541</v>
      </c>
      <c r="B15" s="105" t="s">
        <v>542</v>
      </c>
      <c r="C15" s="73"/>
      <c r="D15" s="73"/>
      <c r="E15" s="73"/>
      <c r="F15" s="73"/>
      <c r="G15" s="144"/>
      <c r="H15" s="144"/>
      <c r="I15" s="144"/>
      <c r="J15" s="144"/>
    </row>
    <row r="16" spans="1:10">
      <c r="A16" s="83" t="s">
        <v>27</v>
      </c>
      <c r="B16" s="84" t="s">
        <v>497</v>
      </c>
      <c r="C16" s="73"/>
      <c r="D16" s="73"/>
      <c r="E16" s="73"/>
      <c r="F16" s="73"/>
      <c r="G16" s="73"/>
      <c r="H16" s="73"/>
      <c r="I16" s="73"/>
      <c r="J16" s="73"/>
    </row>
    <row r="17" spans="1:10" s="72" customFormat="1" ht="36" customHeight="1">
      <c r="A17" s="197" t="s">
        <v>234</v>
      </c>
      <c r="B17" s="197" t="s">
        <v>532</v>
      </c>
      <c r="C17" s="197" t="s">
        <v>533</v>
      </c>
      <c r="D17" s="197" t="s">
        <v>534</v>
      </c>
      <c r="E17" s="197" t="s">
        <v>535</v>
      </c>
      <c r="F17" s="197" t="s">
        <v>536</v>
      </c>
      <c r="G17" s="197" t="s">
        <v>537</v>
      </c>
      <c r="H17" s="198"/>
      <c r="I17" s="197" t="s">
        <v>546</v>
      </c>
      <c r="J17" s="198"/>
    </row>
    <row r="18" spans="1:10" s="72" customFormat="1" ht="87" customHeight="1">
      <c r="A18" s="198"/>
      <c r="B18" s="198"/>
      <c r="C18" s="198"/>
      <c r="D18" s="198"/>
      <c r="E18" s="198"/>
      <c r="F18" s="198"/>
      <c r="G18" s="145" t="s">
        <v>538</v>
      </c>
      <c r="H18" s="145" t="s">
        <v>539</v>
      </c>
      <c r="I18" s="145" t="s">
        <v>538</v>
      </c>
      <c r="J18" s="145" t="s">
        <v>540</v>
      </c>
    </row>
    <row r="19" spans="1:10" s="72" customFormat="1" ht="45.75" customHeight="1">
      <c r="A19" s="181" t="s">
        <v>826</v>
      </c>
      <c r="B19" s="181" t="s">
        <v>827</v>
      </c>
      <c r="C19" s="181"/>
      <c r="D19" s="181"/>
      <c r="E19" s="181"/>
      <c r="F19" s="184"/>
      <c r="G19" s="181"/>
      <c r="H19" s="183"/>
      <c r="I19" s="181"/>
      <c r="J19" s="183"/>
    </row>
    <row r="20" spans="1:10">
      <c r="A20" s="181" t="s">
        <v>828</v>
      </c>
      <c r="B20" s="181" t="s">
        <v>829</v>
      </c>
      <c r="C20" s="181" t="s">
        <v>830</v>
      </c>
      <c r="D20" s="181" t="s">
        <v>831</v>
      </c>
      <c r="E20" s="181" t="s">
        <v>832</v>
      </c>
      <c r="F20" s="184" t="s">
        <v>833</v>
      </c>
      <c r="G20" s="181" t="s">
        <v>834</v>
      </c>
      <c r="H20" s="183" t="s">
        <v>835</v>
      </c>
      <c r="I20" s="181" t="s">
        <v>836</v>
      </c>
      <c r="J20" s="183" t="s">
        <v>837</v>
      </c>
    </row>
    <row r="21" spans="1:10" ht="25">
      <c r="A21" s="186" t="s">
        <v>838</v>
      </c>
      <c r="B21" s="186" t="s">
        <v>839</v>
      </c>
      <c r="C21" s="186"/>
      <c r="D21" s="186"/>
      <c r="E21" s="186"/>
      <c r="F21" s="188">
        <v>0</v>
      </c>
      <c r="G21" s="186"/>
      <c r="H21" s="187">
        <v>0</v>
      </c>
      <c r="I21" s="186"/>
      <c r="J21" s="187">
        <v>0</v>
      </c>
    </row>
    <row r="22" spans="1:10" ht="25">
      <c r="A22" s="181" t="s">
        <v>840</v>
      </c>
      <c r="B22" s="181" t="s">
        <v>841</v>
      </c>
      <c r="C22" s="181"/>
      <c r="D22" s="181"/>
      <c r="E22" s="181"/>
      <c r="F22" s="184"/>
      <c r="G22" s="181"/>
      <c r="H22" s="183"/>
      <c r="I22" s="181"/>
      <c r="J22" s="183"/>
    </row>
    <row r="23" spans="1:10">
      <c r="A23" s="181" t="s">
        <v>842</v>
      </c>
      <c r="B23" s="181" t="s">
        <v>843</v>
      </c>
      <c r="C23" s="181" t="s">
        <v>844</v>
      </c>
      <c r="D23" s="181" t="s">
        <v>845</v>
      </c>
      <c r="E23" s="181" t="s">
        <v>846</v>
      </c>
      <c r="F23" s="184" t="s">
        <v>847</v>
      </c>
      <c r="G23" s="181" t="s">
        <v>848</v>
      </c>
      <c r="H23" s="183" t="s">
        <v>849</v>
      </c>
      <c r="I23" s="181" t="s">
        <v>850</v>
      </c>
      <c r="J23" s="183" t="s">
        <v>851</v>
      </c>
    </row>
    <row r="24" spans="1:10" ht="25">
      <c r="A24" s="186" t="s">
        <v>852</v>
      </c>
      <c r="B24" s="186" t="s">
        <v>853</v>
      </c>
      <c r="C24" s="186"/>
      <c r="D24" s="186"/>
      <c r="E24" s="186"/>
      <c r="F24" s="188">
        <v>0</v>
      </c>
      <c r="G24" s="186"/>
      <c r="H24" s="187">
        <v>0</v>
      </c>
      <c r="I24" s="186"/>
      <c r="J24" s="187">
        <v>0</v>
      </c>
    </row>
    <row r="25" spans="1:10" ht="25">
      <c r="A25" s="186" t="s">
        <v>854</v>
      </c>
      <c r="B25" s="186" t="s">
        <v>855</v>
      </c>
      <c r="C25" s="186"/>
      <c r="D25" s="186"/>
      <c r="E25" s="186"/>
      <c r="F25" s="188">
        <v>0</v>
      </c>
      <c r="G25" s="186"/>
      <c r="H25" s="187">
        <v>0</v>
      </c>
      <c r="I25" s="186"/>
      <c r="J25" s="187">
        <v>0</v>
      </c>
    </row>
    <row r="26" spans="1:10" ht="25">
      <c r="A26" s="181" t="s">
        <v>856</v>
      </c>
      <c r="B26" s="181" t="s">
        <v>857</v>
      </c>
      <c r="C26" s="181"/>
      <c r="D26" s="181"/>
      <c r="E26" s="181"/>
      <c r="F26" s="184"/>
      <c r="G26" s="181"/>
      <c r="H26" s="183"/>
      <c r="I26" s="181"/>
      <c r="J26" s="183"/>
    </row>
    <row r="27" spans="1:10">
      <c r="A27" s="181" t="s">
        <v>858</v>
      </c>
      <c r="B27" s="181" t="s">
        <v>859</v>
      </c>
      <c r="C27" s="181" t="s">
        <v>860</v>
      </c>
      <c r="D27" s="181" t="s">
        <v>861</v>
      </c>
      <c r="E27" s="181" t="s">
        <v>862</v>
      </c>
      <c r="F27" s="184" t="s">
        <v>863</v>
      </c>
      <c r="G27" s="181" t="s">
        <v>864</v>
      </c>
      <c r="H27" s="183" t="s">
        <v>865</v>
      </c>
      <c r="I27" s="181" t="s">
        <v>866</v>
      </c>
      <c r="J27" s="183" t="s">
        <v>867</v>
      </c>
    </row>
    <row r="28" spans="1:10" ht="25">
      <c r="A28" s="186" t="s">
        <v>868</v>
      </c>
      <c r="B28" s="186" t="s">
        <v>869</v>
      </c>
      <c r="C28" s="186"/>
      <c r="D28" s="186"/>
      <c r="E28" s="186"/>
      <c r="F28" s="188">
        <v>0</v>
      </c>
      <c r="G28" s="186"/>
      <c r="H28" s="187">
        <v>0</v>
      </c>
      <c r="I28" s="186"/>
      <c r="J28" s="187">
        <v>0</v>
      </c>
    </row>
    <row r="29" spans="1:10" ht="25">
      <c r="A29" s="181" t="s">
        <v>870</v>
      </c>
      <c r="B29" s="181" t="s">
        <v>871</v>
      </c>
      <c r="C29" s="181"/>
      <c r="D29" s="181"/>
      <c r="E29" s="181"/>
      <c r="F29" s="184"/>
      <c r="G29" s="181"/>
      <c r="H29" s="183"/>
      <c r="I29" s="181"/>
      <c r="J29" s="183"/>
    </row>
    <row r="30" spans="1:10">
      <c r="A30" s="181" t="s">
        <v>872</v>
      </c>
      <c r="B30" s="181" t="s">
        <v>873</v>
      </c>
      <c r="C30" s="181" t="s">
        <v>874</v>
      </c>
      <c r="D30" s="181" t="s">
        <v>875</v>
      </c>
      <c r="E30" s="181" t="s">
        <v>876</v>
      </c>
      <c r="F30" s="184" t="s">
        <v>877</v>
      </c>
      <c r="G30" s="181" t="s">
        <v>878</v>
      </c>
      <c r="H30" s="183" t="s">
        <v>879</v>
      </c>
      <c r="I30" s="181" t="s">
        <v>880</v>
      </c>
      <c r="J30" s="183" t="s">
        <v>881</v>
      </c>
    </row>
    <row r="31" spans="1:10" ht="25">
      <c r="A31" s="186" t="s">
        <v>882</v>
      </c>
      <c r="B31" s="186" t="s">
        <v>883</v>
      </c>
      <c r="C31" s="186"/>
      <c r="D31" s="186"/>
      <c r="E31" s="186"/>
      <c r="F31" s="188">
        <v>0</v>
      </c>
      <c r="G31" s="186"/>
      <c r="H31" s="187">
        <v>0</v>
      </c>
      <c r="I31" s="186"/>
      <c r="J31" s="187">
        <v>0</v>
      </c>
    </row>
    <row r="32" spans="1:10" ht="25">
      <c r="A32" s="186" t="s">
        <v>884</v>
      </c>
      <c r="B32" s="186" t="s">
        <v>885</v>
      </c>
      <c r="C32" s="186"/>
      <c r="D32" s="186"/>
      <c r="E32" s="186"/>
      <c r="F32" s="188">
        <v>0</v>
      </c>
      <c r="G32" s="186"/>
      <c r="H32" s="187">
        <v>0</v>
      </c>
      <c r="I32" s="186"/>
      <c r="J32" s="187">
        <v>0</v>
      </c>
    </row>
    <row r="33" spans="1:10" s="149" customFormat="1" ht="45.75" customHeight="1">
      <c r="A33" s="74" t="s">
        <v>10</v>
      </c>
      <c r="B33" s="75"/>
      <c r="C33" s="76"/>
      <c r="D33" s="73"/>
      <c r="E33" s="73"/>
      <c r="F33" s="73"/>
      <c r="G33" s="73"/>
      <c r="H33" s="73"/>
      <c r="I33" s="77" t="s">
        <v>11</v>
      </c>
      <c r="J33" s="73"/>
    </row>
    <row r="34" spans="1:10">
      <c r="A34" s="78" t="s">
        <v>12</v>
      </c>
      <c r="B34" s="75"/>
      <c r="C34" s="76"/>
      <c r="D34" s="73"/>
      <c r="E34" s="73"/>
      <c r="F34" s="73"/>
      <c r="G34" s="73"/>
      <c r="H34" s="73"/>
      <c r="I34" s="79" t="s">
        <v>13</v>
      </c>
      <c r="J34" s="73"/>
    </row>
    <row r="35" spans="1:10">
      <c r="A35" s="75"/>
      <c r="B35" s="75"/>
      <c r="C35" s="76"/>
      <c r="D35" s="148"/>
      <c r="E35" s="148"/>
      <c r="F35" s="148"/>
      <c r="G35" s="148"/>
      <c r="H35" s="148"/>
      <c r="I35" s="76"/>
      <c r="J35" s="148"/>
    </row>
    <row r="36" spans="1:10">
      <c r="A36" s="151"/>
      <c r="B36" s="148"/>
      <c r="C36" s="148"/>
      <c r="D36" s="148"/>
      <c r="E36" s="148"/>
      <c r="F36" s="148"/>
      <c r="G36" s="73"/>
      <c r="H36" s="148"/>
      <c r="I36" s="148"/>
      <c r="J36" s="148"/>
    </row>
    <row r="37" spans="1:10">
      <c r="A37" s="151"/>
      <c r="B37" s="148"/>
      <c r="C37" s="148"/>
      <c r="D37" s="148"/>
      <c r="E37" s="148"/>
      <c r="F37" s="148"/>
      <c r="G37" s="148"/>
      <c r="H37" s="148"/>
      <c r="I37" s="148"/>
      <c r="J37" s="148"/>
    </row>
    <row r="38" spans="1:10">
      <c r="A38" s="151"/>
      <c r="B38" s="148"/>
      <c r="C38" s="148"/>
      <c r="D38" s="148"/>
      <c r="E38" s="148"/>
      <c r="F38" s="148"/>
      <c r="G38" s="148"/>
      <c r="H38" s="148"/>
      <c r="I38" s="148"/>
      <c r="J38" s="148"/>
    </row>
    <row r="39" spans="1:10">
      <c r="A39" s="151"/>
      <c r="B39" s="148"/>
      <c r="C39" s="148"/>
      <c r="D39" s="148"/>
      <c r="E39" s="148"/>
      <c r="F39" s="148"/>
      <c r="G39" s="148"/>
      <c r="H39" s="148"/>
      <c r="I39" s="148"/>
      <c r="J39" s="148"/>
    </row>
    <row r="40" spans="1:10" s="72" customFormat="1" ht="12.5">
      <c r="A40" s="196" t="s">
        <v>14</v>
      </c>
      <c r="B40" s="196"/>
      <c r="C40" s="73"/>
      <c r="D40" s="73"/>
      <c r="E40" s="73"/>
      <c r="F40" s="73"/>
      <c r="G40" s="73"/>
      <c r="H40" s="73"/>
      <c r="I40" s="165" t="s">
        <v>1301</v>
      </c>
      <c r="J40" s="166"/>
    </row>
    <row r="41" spans="1:10" s="72" customFormat="1" ht="12.5">
      <c r="A41" s="84" t="s">
        <v>1323</v>
      </c>
      <c r="B41" s="73"/>
      <c r="C41" s="73"/>
      <c r="D41" s="73"/>
      <c r="E41" s="73"/>
      <c r="F41" s="73"/>
      <c r="G41" s="73"/>
      <c r="H41" s="73"/>
      <c r="I41" s="84" t="s">
        <v>1319</v>
      </c>
      <c r="J41" s="73"/>
    </row>
    <row r="42" spans="1:10" s="72" customFormat="1" ht="12.5">
      <c r="A42" s="73" t="s">
        <v>1309</v>
      </c>
      <c r="B42" s="73"/>
      <c r="C42" s="73"/>
      <c r="D42" s="73"/>
      <c r="E42" s="73"/>
      <c r="F42" s="73"/>
      <c r="G42" s="73"/>
      <c r="H42" s="73"/>
      <c r="I42" s="73" t="s">
        <v>1320</v>
      </c>
      <c r="J42" s="73"/>
    </row>
    <row r="43" spans="1:10" s="72" customFormat="1" ht="12.5">
      <c r="A43" s="164"/>
      <c r="B43" s="73"/>
      <c r="C43" s="73"/>
      <c r="D43" s="73"/>
      <c r="E43" s="73"/>
      <c r="F43" s="73"/>
      <c r="G43" s="73"/>
      <c r="H43" s="73"/>
      <c r="I43" s="73"/>
      <c r="J43" s="73"/>
    </row>
    <row r="44" spans="1:10" s="72" customFormat="1" ht="12.5">
      <c r="A44" s="164"/>
      <c r="B44" s="73"/>
      <c r="C44" s="73"/>
      <c r="D44" s="73"/>
      <c r="E44" s="73"/>
      <c r="F44" s="73"/>
      <c r="G44" s="73"/>
      <c r="H44" s="73"/>
      <c r="I44" s="73"/>
      <c r="J44" s="73"/>
    </row>
    <row r="45" spans="1:10">
      <c r="A45" s="151"/>
      <c r="B45" s="148"/>
      <c r="C45" s="148"/>
      <c r="D45" s="148"/>
      <c r="E45" s="148"/>
      <c r="F45" s="148"/>
      <c r="G45" s="148"/>
      <c r="H45" s="148"/>
      <c r="I45" s="148"/>
      <c r="J45" s="148"/>
    </row>
    <row r="46" spans="1:10">
      <c r="A46" s="151"/>
      <c r="B46" s="148"/>
      <c r="C46" s="148"/>
      <c r="D46" s="148"/>
      <c r="E46" s="148"/>
      <c r="F46" s="148"/>
      <c r="G46" s="148"/>
      <c r="H46" s="148"/>
      <c r="I46" s="148"/>
      <c r="J46" s="148"/>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tabSelected="1" view="pageBreakPreview" topLeftCell="A107" zoomScaleNormal="100" zoomScaleSheetLayoutView="100" workbookViewId="0">
      <selection activeCell="A121" sqref="A121"/>
    </sheetView>
  </sheetViews>
  <sheetFormatPr defaultColWidth="8.7265625" defaultRowHeight="12.5"/>
  <cols>
    <col min="1" max="1" width="8.7265625" style="4"/>
    <col min="2" max="2" width="44.26953125" style="4" customWidth="1"/>
    <col min="3" max="3" width="10.26953125" style="4" customWidth="1"/>
    <col min="4" max="5" width="41.1796875" style="4" customWidth="1"/>
    <col min="6" max="6" width="37.54296875" style="4" customWidth="1"/>
    <col min="7" max="16384" width="8.7265625" style="4"/>
  </cols>
  <sheetData>
    <row r="1" spans="1:6" s="5" customFormat="1" ht="54.75" customHeight="1">
      <c r="A1" s="213" t="s">
        <v>543</v>
      </c>
      <c r="B1" s="213"/>
      <c r="C1" s="213"/>
      <c r="D1" s="213"/>
      <c r="E1" s="213"/>
      <c r="F1" s="213"/>
    </row>
    <row r="2" spans="1:6" s="5" customFormat="1" ht="50.5" customHeight="1">
      <c r="A2" s="214" t="s">
        <v>544</v>
      </c>
      <c r="B2" s="214"/>
      <c r="C2" s="214"/>
      <c r="D2" s="214"/>
      <c r="E2" s="214"/>
      <c r="F2" s="214"/>
    </row>
    <row r="3" spans="1:6" s="5" customFormat="1">
      <c r="A3" s="215" t="s">
        <v>494</v>
      </c>
      <c r="B3" s="215"/>
      <c r="C3" s="215"/>
      <c r="D3" s="215"/>
      <c r="E3" s="215"/>
      <c r="F3" s="215"/>
    </row>
    <row r="4" spans="1:6" s="5" customFormat="1" ht="32.65" customHeight="1">
      <c r="A4" s="215"/>
      <c r="B4" s="215"/>
      <c r="C4" s="215"/>
      <c r="D4" s="215"/>
      <c r="E4" s="215"/>
      <c r="F4" s="215"/>
    </row>
    <row r="5" spans="1:6" s="5" customFormat="1" ht="16.899999999999999" customHeight="1">
      <c r="A5" s="216" t="str">
        <f>TONGQUAN!C1</f>
        <v>Tại ngày 30 tháng 09 năm 2025
/ As at 30 Sep 2025</v>
      </c>
      <c r="B5" s="216"/>
      <c r="C5" s="216"/>
      <c r="D5" s="216"/>
      <c r="E5" s="216"/>
      <c r="F5" s="216"/>
    </row>
    <row r="6" spans="1:6">
      <c r="A6" s="12"/>
      <c r="B6" s="12"/>
      <c r="C6" s="12"/>
      <c r="D6" s="12"/>
      <c r="E6" s="12"/>
      <c r="F6" s="12"/>
    </row>
    <row r="7" spans="1:6" ht="16.899999999999999" customHeight="1">
      <c r="A7" s="195" t="s">
        <v>2</v>
      </c>
      <c r="B7" s="195"/>
      <c r="C7" s="195" t="str">
        <f>TONGQUAN!D5</f>
        <v>Công ty Cổ phần Quản lý Quỹ Đầu tư Dragon Capital Việt Nam</v>
      </c>
      <c r="D7" s="195"/>
      <c r="E7" s="195"/>
      <c r="F7" s="195"/>
    </row>
    <row r="8" spans="1:6" s="5" customFormat="1" ht="16.899999999999999" customHeight="1">
      <c r="A8" s="194" t="s">
        <v>15</v>
      </c>
      <c r="B8" s="194"/>
      <c r="C8" s="194" t="str">
        <f>TONGQUAN!D6</f>
        <v>Dragon Capital Vietfund Management Joint Stock Company</v>
      </c>
      <c r="D8" s="194"/>
      <c r="E8" s="194"/>
      <c r="F8" s="194"/>
    </row>
    <row r="9" spans="1:6" ht="16.899999999999999" customHeight="1">
      <c r="A9" s="195" t="s">
        <v>3</v>
      </c>
      <c r="B9" s="195"/>
      <c r="C9" s="195" t="str">
        <f>TONGQUAN!D7</f>
        <v>Ngân hàng TNHH Một thành viên Standard Chartered (Việt Nam)</v>
      </c>
      <c r="D9" s="195"/>
      <c r="E9" s="195"/>
      <c r="F9" s="195"/>
    </row>
    <row r="10" spans="1:6" s="5" customFormat="1" ht="16.899999999999999" customHeight="1">
      <c r="A10" s="194" t="s">
        <v>4</v>
      </c>
      <c r="B10" s="194"/>
      <c r="C10" s="194" t="str">
        <f>TONGQUAN!D8</f>
        <v>Standard Chartered Bank (Vietnam) Limited</v>
      </c>
      <c r="D10" s="194"/>
      <c r="E10" s="194"/>
      <c r="F10" s="194"/>
    </row>
    <row r="11" spans="1:6" ht="16.899999999999999" customHeight="1">
      <c r="A11" s="195" t="s">
        <v>5</v>
      </c>
      <c r="B11" s="195"/>
      <c r="C11" s="195" t="str">
        <f>TONGQUAN!D9</f>
        <v>Quỹ Đầu tư Chứng khoán Năng động DC (DCDS)</v>
      </c>
      <c r="D11" s="195"/>
      <c r="E11" s="195"/>
      <c r="F11" s="195"/>
    </row>
    <row r="12" spans="1:6" s="5" customFormat="1" ht="16.899999999999999" customHeight="1">
      <c r="A12" s="194" t="s">
        <v>6</v>
      </c>
      <c r="B12" s="194"/>
      <c r="C12" s="194" t="s">
        <v>1306</v>
      </c>
      <c r="D12" s="194"/>
      <c r="E12" s="194"/>
      <c r="F12" s="194"/>
    </row>
    <row r="13" spans="1:6" ht="16.899999999999999" customHeight="1">
      <c r="A13" s="195" t="s">
        <v>7</v>
      </c>
      <c r="B13" s="195"/>
      <c r="C13" s="195" t="str">
        <f>TONGQUAN!D11</f>
        <v>Ngày 07 tháng 10 năm 2025</v>
      </c>
      <c r="D13" s="195"/>
      <c r="E13" s="195"/>
      <c r="F13" s="195"/>
    </row>
    <row r="14" spans="1:6" s="5" customFormat="1" ht="16.899999999999999" customHeight="1">
      <c r="A14" s="194" t="s">
        <v>8</v>
      </c>
      <c r="B14" s="194"/>
      <c r="C14" s="194" t="str">
        <f>TONGQUAN!D12</f>
        <v>07 Oct 2025</v>
      </c>
      <c r="D14" s="194"/>
      <c r="E14" s="194"/>
      <c r="F14" s="194"/>
    </row>
    <row r="15" spans="1:6" s="5" customFormat="1" ht="7.5" customHeight="1">
      <c r="A15" s="11"/>
      <c r="B15" s="11"/>
      <c r="C15" s="11"/>
      <c r="D15" s="11"/>
      <c r="E15" s="11"/>
      <c r="F15" s="11"/>
    </row>
    <row r="16" spans="1:6" s="5" customFormat="1" ht="16.899999999999999" customHeight="1">
      <c r="A16" s="104" t="s">
        <v>541</v>
      </c>
      <c r="B16" s="105" t="s">
        <v>542</v>
      </c>
      <c r="C16" s="11"/>
      <c r="D16" s="11"/>
      <c r="E16" s="11"/>
      <c r="F16" s="11"/>
    </row>
    <row r="17" spans="1:6" s="5" customFormat="1" ht="16.899999999999999" customHeight="1">
      <c r="A17" s="106" t="s">
        <v>16</v>
      </c>
      <c r="B17" s="107" t="s">
        <v>495</v>
      </c>
      <c r="C17" s="11"/>
      <c r="D17" s="11"/>
      <c r="E17" s="11"/>
      <c r="F17" s="11"/>
    </row>
    <row r="18" spans="1:6" s="5" customFormat="1" ht="50.65" customHeight="1">
      <c r="A18" s="9" t="s">
        <v>17</v>
      </c>
      <c r="B18" s="9" t="s">
        <v>18</v>
      </c>
      <c r="C18" s="9" t="s">
        <v>19</v>
      </c>
      <c r="D18" s="10" t="s">
        <v>1310</v>
      </c>
      <c r="E18" s="10" t="s">
        <v>1311</v>
      </c>
      <c r="F18" s="65" t="s">
        <v>20</v>
      </c>
    </row>
    <row r="19" spans="1:6" ht="39" customHeight="1">
      <c r="A19" s="186" t="s">
        <v>886</v>
      </c>
      <c r="B19" s="185" t="s">
        <v>887</v>
      </c>
      <c r="C19" s="186" t="s">
        <v>888</v>
      </c>
      <c r="D19" s="188"/>
      <c r="E19" s="188"/>
      <c r="F19" s="187"/>
    </row>
    <row r="20" spans="1:6" ht="39" customHeight="1">
      <c r="A20" s="181" t="s">
        <v>889</v>
      </c>
      <c r="B20" s="180" t="s">
        <v>890</v>
      </c>
      <c r="C20" s="181" t="s">
        <v>891</v>
      </c>
      <c r="D20" s="184">
        <v>328212527630</v>
      </c>
      <c r="E20" s="184">
        <v>108184025369</v>
      </c>
      <c r="F20" s="183">
        <v>5.5660600216552201</v>
      </c>
    </row>
    <row r="21" spans="1:6" ht="39" customHeight="1">
      <c r="A21" s="181" t="s">
        <v>892</v>
      </c>
      <c r="B21" s="180" t="s">
        <v>893</v>
      </c>
      <c r="C21" s="181" t="s">
        <v>894</v>
      </c>
      <c r="D21" s="184"/>
      <c r="E21" s="184"/>
      <c r="F21" s="183"/>
    </row>
    <row r="22" spans="1:6" ht="39" customHeight="1">
      <c r="A22" s="181" t="s">
        <v>895</v>
      </c>
      <c r="B22" s="180" t="s">
        <v>896</v>
      </c>
      <c r="C22" s="181" t="s">
        <v>897</v>
      </c>
      <c r="D22" s="184" t="s">
        <v>898</v>
      </c>
      <c r="E22" s="184" t="s">
        <v>899</v>
      </c>
      <c r="F22" s="183" t="s">
        <v>900</v>
      </c>
    </row>
    <row r="23" spans="1:6" ht="39" customHeight="1">
      <c r="A23" s="181" t="s">
        <v>901</v>
      </c>
      <c r="B23" s="180" t="s">
        <v>902</v>
      </c>
      <c r="C23" s="181" t="s">
        <v>903</v>
      </c>
      <c r="D23" s="184">
        <v>328212527630</v>
      </c>
      <c r="E23" s="184">
        <v>108184025369</v>
      </c>
      <c r="F23" s="183">
        <v>5.5660600216552201</v>
      </c>
    </row>
    <row r="24" spans="1:6" ht="39" customHeight="1">
      <c r="A24" s="181" t="s">
        <v>904</v>
      </c>
      <c r="B24" s="180" t="s">
        <v>905</v>
      </c>
      <c r="C24" s="181" t="s">
        <v>906</v>
      </c>
      <c r="D24" s="184" t="s">
        <v>907</v>
      </c>
      <c r="E24" s="184" t="s">
        <v>908</v>
      </c>
      <c r="F24" s="183" t="s">
        <v>909</v>
      </c>
    </row>
    <row r="25" spans="1:6" ht="48" customHeight="1">
      <c r="A25" s="181" t="s">
        <v>910</v>
      </c>
      <c r="B25" s="180" t="s">
        <v>911</v>
      </c>
      <c r="C25" s="181" t="s">
        <v>912</v>
      </c>
      <c r="D25" s="184">
        <v>24571225704</v>
      </c>
      <c r="E25" s="184">
        <v>14687984967</v>
      </c>
      <c r="F25" s="183">
        <v>2.9770520833365</v>
      </c>
    </row>
    <row r="26" spans="1:6" ht="45" customHeight="1">
      <c r="A26" s="181" t="s">
        <v>913</v>
      </c>
      <c r="B26" s="180" t="s">
        <v>914</v>
      </c>
      <c r="C26" s="181" t="s">
        <v>915</v>
      </c>
      <c r="D26" s="184">
        <v>1570348825</v>
      </c>
      <c r="E26" s="184">
        <v>1492730217</v>
      </c>
      <c r="F26" s="183">
        <v>10.3325930523457</v>
      </c>
    </row>
    <row r="27" spans="1:6" ht="42" customHeight="1">
      <c r="A27" s="181" t="s">
        <v>916</v>
      </c>
      <c r="B27" s="180" t="s">
        <v>917</v>
      </c>
      <c r="C27" s="181" t="s">
        <v>918</v>
      </c>
      <c r="D27" s="184">
        <v>302070953101</v>
      </c>
      <c r="E27" s="184">
        <v>92003310185</v>
      </c>
      <c r="F27" s="183">
        <v>5.9743583440063199</v>
      </c>
    </row>
    <row r="28" spans="1:6" ht="48" customHeight="1">
      <c r="A28" s="181" t="s">
        <v>919</v>
      </c>
      <c r="B28" s="180" t="s">
        <v>920</v>
      </c>
      <c r="C28" s="181" t="s">
        <v>921</v>
      </c>
      <c r="D28" s="184">
        <v>0</v>
      </c>
      <c r="E28" s="184">
        <v>0</v>
      </c>
      <c r="F28" s="183"/>
    </row>
    <row r="29" spans="1:6" ht="39" customHeight="1">
      <c r="A29" s="181" t="s">
        <v>922</v>
      </c>
      <c r="B29" s="180" t="s">
        <v>923</v>
      </c>
      <c r="C29" s="181" t="s">
        <v>924</v>
      </c>
      <c r="D29" s="184">
        <v>0</v>
      </c>
      <c r="E29" s="184">
        <v>0</v>
      </c>
      <c r="F29" s="183"/>
    </row>
    <row r="30" spans="1:6" ht="39" customHeight="1">
      <c r="A30" s="181" t="s">
        <v>925</v>
      </c>
      <c r="B30" s="180" t="s">
        <v>926</v>
      </c>
      <c r="C30" s="181" t="s">
        <v>927</v>
      </c>
      <c r="D30" s="184">
        <v>4041996094000</v>
      </c>
      <c r="E30" s="184">
        <v>3001657096300</v>
      </c>
      <c r="F30" s="183">
        <v>1.59375285674845</v>
      </c>
    </row>
    <row r="31" spans="1:6" ht="39" customHeight="1">
      <c r="A31" s="181" t="s">
        <v>928</v>
      </c>
      <c r="B31" s="180" t="s">
        <v>929</v>
      </c>
      <c r="C31" s="181" t="s">
        <v>930</v>
      </c>
      <c r="D31" s="184" t="s">
        <v>931</v>
      </c>
      <c r="E31" s="184" t="s">
        <v>932</v>
      </c>
      <c r="F31" s="183" t="s">
        <v>933</v>
      </c>
    </row>
    <row r="32" spans="1:6" ht="39" customHeight="1">
      <c r="A32" s="181" t="s">
        <v>934</v>
      </c>
      <c r="B32" s="180" t="s">
        <v>935</v>
      </c>
      <c r="C32" s="181" t="s">
        <v>936</v>
      </c>
      <c r="D32" s="184">
        <v>4013441399600</v>
      </c>
      <c r="E32" s="184">
        <v>3001657096300</v>
      </c>
      <c r="F32" s="183">
        <v>1.58311124386625</v>
      </c>
    </row>
    <row r="33" spans="1:6" ht="39" customHeight="1">
      <c r="A33" s="181" t="s">
        <v>937</v>
      </c>
      <c r="B33" s="180" t="s">
        <v>938</v>
      </c>
      <c r="C33" s="181" t="s">
        <v>939</v>
      </c>
      <c r="D33" s="184">
        <v>28212210000</v>
      </c>
      <c r="E33" s="184">
        <v>0</v>
      </c>
      <c r="F33" s="183"/>
    </row>
    <row r="34" spans="1:6" ht="39" customHeight="1">
      <c r="A34" s="181" t="s">
        <v>940</v>
      </c>
      <c r="B34" s="180" t="s">
        <v>941</v>
      </c>
      <c r="C34" s="181" t="s">
        <v>942</v>
      </c>
      <c r="D34" s="184">
        <v>0</v>
      </c>
      <c r="E34" s="184">
        <v>0</v>
      </c>
      <c r="F34" s="183"/>
    </row>
    <row r="35" spans="1:6" ht="39" customHeight="1">
      <c r="A35" s="181" t="s">
        <v>943</v>
      </c>
      <c r="B35" s="180" t="s">
        <v>944</v>
      </c>
      <c r="C35" s="181" t="s">
        <v>945</v>
      </c>
      <c r="D35" s="184">
        <v>0</v>
      </c>
      <c r="E35" s="184">
        <v>0</v>
      </c>
      <c r="F35" s="183"/>
    </row>
    <row r="36" spans="1:6" ht="39" customHeight="1">
      <c r="A36" s="181" t="s">
        <v>946</v>
      </c>
      <c r="B36" s="180" t="s">
        <v>947</v>
      </c>
      <c r="C36" s="181" t="s">
        <v>948</v>
      </c>
      <c r="D36" s="184">
        <v>0</v>
      </c>
      <c r="E36" s="184">
        <v>0</v>
      </c>
      <c r="F36" s="183"/>
    </row>
    <row r="37" spans="1:6" ht="39" customHeight="1">
      <c r="A37" s="181" t="s">
        <v>949</v>
      </c>
      <c r="B37" s="180" t="s">
        <v>950</v>
      </c>
      <c r="C37" s="181" t="s">
        <v>951</v>
      </c>
      <c r="D37" s="184">
        <v>342484400</v>
      </c>
      <c r="E37" s="184">
        <v>0</v>
      </c>
      <c r="F37" s="183">
        <v>0.34623341542219099</v>
      </c>
    </row>
    <row r="38" spans="1:6" ht="39" customHeight="1">
      <c r="A38" s="181" t="s">
        <v>952</v>
      </c>
      <c r="B38" s="180" t="s">
        <v>953</v>
      </c>
      <c r="C38" s="181" t="s">
        <v>954</v>
      </c>
      <c r="D38" s="184">
        <v>0</v>
      </c>
      <c r="E38" s="184">
        <v>0</v>
      </c>
      <c r="F38" s="183"/>
    </row>
    <row r="39" spans="1:6" ht="39" customHeight="1">
      <c r="A39" s="181" t="s">
        <v>955</v>
      </c>
      <c r="B39" s="180" t="s">
        <v>956</v>
      </c>
      <c r="C39" s="181" t="s">
        <v>957</v>
      </c>
      <c r="D39" s="184">
        <v>0</v>
      </c>
      <c r="E39" s="184">
        <v>0</v>
      </c>
      <c r="F39" s="183"/>
    </row>
    <row r="40" spans="1:6" ht="39" customHeight="1">
      <c r="A40" s="181" t="s">
        <v>958</v>
      </c>
      <c r="B40" s="180" t="s">
        <v>959</v>
      </c>
      <c r="C40" s="181" t="s">
        <v>960</v>
      </c>
      <c r="D40" s="184">
        <v>0</v>
      </c>
      <c r="E40" s="184">
        <v>0</v>
      </c>
      <c r="F40" s="183"/>
    </row>
    <row r="41" spans="1:6" ht="39" customHeight="1">
      <c r="A41" s="181" t="s">
        <v>961</v>
      </c>
      <c r="B41" s="180" t="s">
        <v>962</v>
      </c>
      <c r="C41" s="181" t="s">
        <v>963</v>
      </c>
      <c r="D41" s="184">
        <v>0</v>
      </c>
      <c r="E41" s="184">
        <v>0</v>
      </c>
      <c r="F41" s="183"/>
    </row>
    <row r="42" spans="1:6" ht="39" customHeight="1">
      <c r="A42" s="181" t="s">
        <v>964</v>
      </c>
      <c r="B42" s="180" t="s">
        <v>965</v>
      </c>
      <c r="C42" s="181" t="s">
        <v>966</v>
      </c>
      <c r="D42" s="184" t="s">
        <v>967</v>
      </c>
      <c r="E42" s="184" t="s">
        <v>968</v>
      </c>
      <c r="F42" s="183" t="s">
        <v>969</v>
      </c>
    </row>
    <row r="43" spans="1:6" ht="39" customHeight="1">
      <c r="A43" s="181" t="s">
        <v>970</v>
      </c>
      <c r="B43" s="180" t="s">
        <v>971</v>
      </c>
      <c r="C43" s="181" t="s">
        <v>972</v>
      </c>
      <c r="D43" s="184">
        <v>10655788000</v>
      </c>
      <c r="E43" s="184">
        <v>4874500000</v>
      </c>
      <c r="F43" s="183">
        <v>2.0508835565368799</v>
      </c>
    </row>
    <row r="44" spans="1:6" ht="39" customHeight="1">
      <c r="A44" s="181" t="s">
        <v>973</v>
      </c>
      <c r="B44" s="180" t="s">
        <v>974</v>
      </c>
      <c r="C44" s="181" t="s">
        <v>975</v>
      </c>
      <c r="D44" s="184" t="s">
        <v>976</v>
      </c>
      <c r="E44" s="184" t="s">
        <v>977</v>
      </c>
      <c r="F44" s="183" t="s">
        <v>978</v>
      </c>
    </row>
    <row r="45" spans="1:6" ht="39" customHeight="1">
      <c r="A45" s="181" t="s">
        <v>979</v>
      </c>
      <c r="B45" s="180" t="s">
        <v>980</v>
      </c>
      <c r="C45" s="181" t="s">
        <v>981</v>
      </c>
      <c r="D45" s="184">
        <v>10655788000</v>
      </c>
      <c r="E45" s="184">
        <v>4874500000</v>
      </c>
      <c r="F45" s="183">
        <v>2.0508835565368799</v>
      </c>
    </row>
    <row r="46" spans="1:6" ht="39" customHeight="1">
      <c r="A46" s="181" t="s">
        <v>982</v>
      </c>
      <c r="B46" s="180" t="s">
        <v>983</v>
      </c>
      <c r="C46" s="181" t="s">
        <v>984</v>
      </c>
      <c r="D46" s="184">
        <v>0</v>
      </c>
      <c r="E46" s="184">
        <v>0</v>
      </c>
      <c r="F46" s="183"/>
    </row>
    <row r="47" spans="1:6" ht="39" customHeight="1">
      <c r="A47" s="181" t="s">
        <v>985</v>
      </c>
      <c r="B47" s="180" t="s">
        <v>986</v>
      </c>
      <c r="C47" s="181" t="s">
        <v>987</v>
      </c>
      <c r="D47" s="184">
        <v>0</v>
      </c>
      <c r="E47" s="184">
        <v>0</v>
      </c>
      <c r="F47" s="183"/>
    </row>
    <row r="48" spans="1:6" ht="39" customHeight="1">
      <c r="A48" s="181" t="s">
        <v>988</v>
      </c>
      <c r="B48" s="180" t="s">
        <v>989</v>
      </c>
      <c r="C48" s="181" t="s">
        <v>990</v>
      </c>
      <c r="D48" s="184" t="s">
        <v>991</v>
      </c>
      <c r="E48" s="184" t="s">
        <v>992</v>
      </c>
      <c r="F48" s="183" t="s">
        <v>993</v>
      </c>
    </row>
    <row r="49" spans="1:6" ht="39" customHeight="1">
      <c r="A49" s="181" t="s">
        <v>994</v>
      </c>
      <c r="B49" s="180" t="s">
        <v>995</v>
      </c>
      <c r="C49" s="181" t="s">
        <v>996</v>
      </c>
      <c r="D49" s="184">
        <v>0</v>
      </c>
      <c r="E49" s="184">
        <v>0</v>
      </c>
      <c r="F49" s="183"/>
    </row>
    <row r="50" spans="1:6" ht="39" customHeight="1">
      <c r="A50" s="181" t="s">
        <v>997</v>
      </c>
      <c r="B50" s="180" t="s">
        <v>998</v>
      </c>
      <c r="C50" s="181" t="s">
        <v>999</v>
      </c>
      <c r="D50" s="184">
        <v>0</v>
      </c>
      <c r="E50" s="184">
        <v>0</v>
      </c>
      <c r="F50" s="183"/>
    </row>
    <row r="51" spans="1:6" ht="39" customHeight="1">
      <c r="A51" s="181" t="s">
        <v>1000</v>
      </c>
      <c r="B51" s="180" t="s">
        <v>1001</v>
      </c>
      <c r="C51" s="181" t="s">
        <v>1002</v>
      </c>
      <c r="D51" s="184">
        <v>0</v>
      </c>
      <c r="E51" s="184">
        <v>0</v>
      </c>
      <c r="F51" s="183"/>
    </row>
    <row r="52" spans="1:6" ht="39" customHeight="1">
      <c r="A52" s="181" t="s">
        <v>1003</v>
      </c>
      <c r="B52" s="180" t="s">
        <v>1004</v>
      </c>
      <c r="C52" s="181" t="s">
        <v>1005</v>
      </c>
      <c r="D52" s="184">
        <v>0</v>
      </c>
      <c r="E52" s="184">
        <v>0</v>
      </c>
      <c r="F52" s="183"/>
    </row>
    <row r="53" spans="1:6" ht="39" customHeight="1">
      <c r="A53" s="181" t="s">
        <v>1006</v>
      </c>
      <c r="B53" s="180" t="s">
        <v>1007</v>
      </c>
      <c r="C53" s="181" t="s">
        <v>1008</v>
      </c>
      <c r="D53" s="184" t="s">
        <v>1009</v>
      </c>
      <c r="E53" s="184" t="s">
        <v>1010</v>
      </c>
      <c r="F53" s="183" t="s">
        <v>1011</v>
      </c>
    </row>
    <row r="54" spans="1:6" ht="39" customHeight="1">
      <c r="A54" s="181" t="s">
        <v>1012</v>
      </c>
      <c r="B54" s="180" t="s">
        <v>1013</v>
      </c>
      <c r="C54" s="181" t="s">
        <v>1014</v>
      </c>
      <c r="D54" s="184">
        <v>261977077800</v>
      </c>
      <c r="E54" s="184">
        <v>139607486000</v>
      </c>
      <c r="F54" s="183">
        <v>5.3984452118907296</v>
      </c>
    </row>
    <row r="55" spans="1:6" ht="39" customHeight="1">
      <c r="A55" s="181" t="s">
        <v>1015</v>
      </c>
      <c r="B55" s="180" t="s">
        <v>1016</v>
      </c>
      <c r="C55" s="181" t="s">
        <v>1017</v>
      </c>
      <c r="D55" s="184" t="s">
        <v>1018</v>
      </c>
      <c r="E55" s="184" t="s">
        <v>1019</v>
      </c>
      <c r="F55" s="183" t="s">
        <v>1020</v>
      </c>
    </row>
    <row r="56" spans="1:6" ht="39" customHeight="1">
      <c r="A56" s="181" t="s">
        <v>1021</v>
      </c>
      <c r="B56" s="180" t="s">
        <v>1022</v>
      </c>
      <c r="C56" s="181" t="s">
        <v>1023</v>
      </c>
      <c r="D56" s="184">
        <v>-866400000</v>
      </c>
      <c r="E56" s="184">
        <v>-866400000</v>
      </c>
      <c r="F56" s="183">
        <v>1</v>
      </c>
    </row>
    <row r="57" spans="1:6" ht="39" customHeight="1">
      <c r="A57" s="181" t="s">
        <v>1024</v>
      </c>
      <c r="B57" s="180" t="s">
        <v>1025</v>
      </c>
      <c r="C57" s="181" t="s">
        <v>1026</v>
      </c>
      <c r="D57" s="184" t="s">
        <v>1027</v>
      </c>
      <c r="E57" s="184" t="s">
        <v>1028</v>
      </c>
      <c r="F57" s="183" t="s">
        <v>1029</v>
      </c>
    </row>
    <row r="58" spans="1:6" ht="39" customHeight="1">
      <c r="A58" s="181" t="s">
        <v>1030</v>
      </c>
      <c r="B58" s="180" t="s">
        <v>1031</v>
      </c>
      <c r="C58" s="181" t="s">
        <v>1032</v>
      </c>
      <c r="D58" s="184">
        <v>0</v>
      </c>
      <c r="E58" s="184">
        <v>0</v>
      </c>
      <c r="F58" s="183"/>
    </row>
    <row r="59" spans="1:6" ht="39" customHeight="1">
      <c r="A59" s="181" t="s">
        <v>1033</v>
      </c>
      <c r="B59" s="180" t="s">
        <v>1034</v>
      </c>
      <c r="C59" s="181" t="s">
        <v>1035</v>
      </c>
      <c r="D59" s="184">
        <v>-866400000</v>
      </c>
      <c r="E59" s="184">
        <v>-866400000</v>
      </c>
      <c r="F59" s="183">
        <v>1</v>
      </c>
    </row>
    <row r="60" spans="1:6" ht="39" customHeight="1">
      <c r="A60" s="181" t="s">
        <v>1036</v>
      </c>
      <c r="B60" s="180" t="s">
        <v>1037</v>
      </c>
      <c r="C60" s="181" t="s">
        <v>1038</v>
      </c>
      <c r="D60" s="184">
        <v>0</v>
      </c>
      <c r="E60" s="184">
        <v>0</v>
      </c>
      <c r="F60" s="183"/>
    </row>
    <row r="61" spans="1:6" ht="39" customHeight="1">
      <c r="A61" s="181" t="s">
        <v>1039</v>
      </c>
      <c r="B61" s="180" t="s">
        <v>1040</v>
      </c>
      <c r="C61" s="181" t="s">
        <v>1041</v>
      </c>
      <c r="D61" s="184">
        <v>17359178</v>
      </c>
      <c r="E61" s="184">
        <v>34718356</v>
      </c>
      <c r="F61" s="183">
        <v>0.47618659399393298</v>
      </c>
    </row>
    <row r="62" spans="1:6" ht="39" customHeight="1">
      <c r="A62" s="181" t="s">
        <v>1042</v>
      </c>
      <c r="B62" s="180" t="s">
        <v>1043</v>
      </c>
      <c r="C62" s="181" t="s">
        <v>1044</v>
      </c>
      <c r="D62" s="184" t="s">
        <v>1045</v>
      </c>
      <c r="E62" s="184" t="s">
        <v>1046</v>
      </c>
      <c r="F62" s="183" t="s">
        <v>1047</v>
      </c>
    </row>
    <row r="63" spans="1:6" ht="39" customHeight="1">
      <c r="A63" s="186" t="s">
        <v>1048</v>
      </c>
      <c r="B63" s="185" t="s">
        <v>1049</v>
      </c>
      <c r="C63" s="186" t="s">
        <v>1050</v>
      </c>
      <c r="D63" s="188">
        <v>4641992446608</v>
      </c>
      <c r="E63" s="188">
        <v>3253491426025</v>
      </c>
      <c r="F63" s="187">
        <v>1.75301125634999</v>
      </c>
    </row>
    <row r="64" spans="1:6" ht="39" customHeight="1">
      <c r="A64" s="186" t="s">
        <v>1051</v>
      </c>
      <c r="B64" s="185" t="s">
        <v>1052</v>
      </c>
      <c r="C64" s="186" t="s">
        <v>1053</v>
      </c>
      <c r="D64" s="188"/>
      <c r="E64" s="188"/>
      <c r="F64" s="187"/>
    </row>
    <row r="65" spans="1:6" ht="39" customHeight="1">
      <c r="A65" s="181" t="s">
        <v>1054</v>
      </c>
      <c r="B65" s="180" t="s">
        <v>1055</v>
      </c>
      <c r="C65" s="181" t="s">
        <v>1056</v>
      </c>
      <c r="D65" s="184">
        <v>0</v>
      </c>
      <c r="E65" s="184">
        <v>0</v>
      </c>
      <c r="F65" s="183"/>
    </row>
    <row r="66" spans="1:6" ht="39" customHeight="1">
      <c r="A66" s="181" t="s">
        <v>1057</v>
      </c>
      <c r="B66" s="180" t="s">
        <v>1058</v>
      </c>
      <c r="C66" s="181" t="s">
        <v>1059</v>
      </c>
      <c r="D66" s="184" t="s">
        <v>1060</v>
      </c>
      <c r="E66" s="184" t="s">
        <v>1061</v>
      </c>
      <c r="F66" s="183" t="s">
        <v>1062</v>
      </c>
    </row>
    <row r="67" spans="1:6" ht="39" customHeight="1">
      <c r="A67" s="181" t="s">
        <v>1063</v>
      </c>
      <c r="B67" s="180" t="s">
        <v>1064</v>
      </c>
      <c r="C67" s="181" t="s">
        <v>1065</v>
      </c>
      <c r="D67" s="184">
        <v>174939055000</v>
      </c>
      <c r="E67" s="184">
        <v>81013595000</v>
      </c>
      <c r="F67" s="183">
        <v>3.71849191318229</v>
      </c>
    </row>
    <row r="68" spans="1:6" ht="39" customHeight="1">
      <c r="A68" s="181" t="s">
        <v>1066</v>
      </c>
      <c r="B68" s="180" t="s">
        <v>1067</v>
      </c>
      <c r="C68" s="181" t="s">
        <v>1068</v>
      </c>
      <c r="D68" s="184" t="s">
        <v>1069</v>
      </c>
      <c r="E68" s="184" t="s">
        <v>1070</v>
      </c>
      <c r="F68" s="183" t="s">
        <v>1071</v>
      </c>
    </row>
    <row r="69" spans="1:6" ht="39" customHeight="1">
      <c r="A69" s="181" t="s">
        <v>1072</v>
      </c>
      <c r="B69" s="180" t="s">
        <v>1073</v>
      </c>
      <c r="C69" s="181" t="s">
        <v>1074</v>
      </c>
      <c r="D69" s="184">
        <v>78840801983</v>
      </c>
      <c r="E69" s="184">
        <v>56672747638</v>
      </c>
      <c r="F69" s="183">
        <v>0.97166368897218502</v>
      </c>
    </row>
    <row r="70" spans="1:6" ht="39" customHeight="1">
      <c r="A70" s="181" t="s">
        <v>1075</v>
      </c>
      <c r="B70" s="180" t="s">
        <v>1076</v>
      </c>
      <c r="C70" s="181" t="s">
        <v>1077</v>
      </c>
      <c r="D70" s="184" t="s">
        <v>1078</v>
      </c>
      <c r="E70" s="184" t="s">
        <v>1079</v>
      </c>
      <c r="F70" s="183" t="s">
        <v>1080</v>
      </c>
    </row>
    <row r="71" spans="1:6" ht="39" customHeight="1">
      <c r="A71" s="181" t="s">
        <v>1081</v>
      </c>
      <c r="B71" s="180" t="s">
        <v>1082</v>
      </c>
      <c r="C71" s="181" t="s">
        <v>1083</v>
      </c>
      <c r="D71" s="184">
        <v>69319696744</v>
      </c>
      <c r="E71" s="184">
        <v>49908827279</v>
      </c>
      <c r="F71" s="183">
        <v>0.91274264687692497</v>
      </c>
    </row>
    <row r="72" spans="1:6" ht="39" customHeight="1">
      <c r="A72" s="181" t="s">
        <v>1084</v>
      </c>
      <c r="B72" s="180" t="s">
        <v>1085</v>
      </c>
      <c r="C72" s="181" t="s">
        <v>1086</v>
      </c>
      <c r="D72" s="184">
        <v>24571225704</v>
      </c>
      <c r="E72" s="184">
        <v>14687984967</v>
      </c>
      <c r="F72" s="183">
        <v>2.9770520833365</v>
      </c>
    </row>
    <row r="73" spans="1:6" ht="48" customHeight="1">
      <c r="A73" s="181" t="s">
        <v>1087</v>
      </c>
      <c r="B73" s="180" t="s">
        <v>1088</v>
      </c>
      <c r="C73" s="181" t="s">
        <v>1089</v>
      </c>
      <c r="D73" s="184">
        <v>0</v>
      </c>
      <c r="E73" s="184">
        <v>0</v>
      </c>
      <c r="F73" s="183"/>
    </row>
    <row r="74" spans="1:6" ht="39" customHeight="1">
      <c r="A74" s="181" t="s">
        <v>1090</v>
      </c>
      <c r="B74" s="180" t="s">
        <v>1091</v>
      </c>
      <c r="C74" s="181" t="s">
        <v>1092</v>
      </c>
      <c r="D74" s="184">
        <v>0</v>
      </c>
      <c r="E74" s="184">
        <v>0</v>
      </c>
      <c r="F74" s="183"/>
    </row>
    <row r="75" spans="1:6" ht="39" customHeight="1">
      <c r="A75" s="181" t="s">
        <v>1093</v>
      </c>
      <c r="B75" s="180" t="s">
        <v>1094</v>
      </c>
      <c r="C75" s="181" t="s">
        <v>1095</v>
      </c>
      <c r="D75" s="184">
        <v>44748471040</v>
      </c>
      <c r="E75" s="184">
        <v>35220842312</v>
      </c>
      <c r="F75" s="183">
        <v>0.66104967805078696</v>
      </c>
    </row>
    <row r="76" spans="1:6" ht="39" customHeight="1">
      <c r="A76" s="181" t="s">
        <v>1096</v>
      </c>
      <c r="B76" s="180" t="s">
        <v>1097</v>
      </c>
      <c r="C76" s="181" t="s">
        <v>1098</v>
      </c>
      <c r="D76" s="184">
        <v>260998729</v>
      </c>
      <c r="E76" s="184">
        <v>197330859</v>
      </c>
      <c r="F76" s="183">
        <v>2.0763305714157201</v>
      </c>
    </row>
    <row r="77" spans="1:6" ht="61" customHeight="1">
      <c r="A77" s="181" t="s">
        <v>1099</v>
      </c>
      <c r="B77" s="180" t="s">
        <v>1100</v>
      </c>
      <c r="C77" s="181" t="s">
        <v>1101</v>
      </c>
      <c r="D77" s="184">
        <v>1100825677</v>
      </c>
      <c r="E77" s="184">
        <v>677384221</v>
      </c>
      <c r="F77" s="183">
        <v>3.3865155547694301</v>
      </c>
    </row>
    <row r="78" spans="1:6" ht="39" customHeight="1">
      <c r="A78" s="181" t="s">
        <v>1102</v>
      </c>
      <c r="B78" s="180" t="s">
        <v>1103</v>
      </c>
      <c r="C78" s="181" t="s">
        <v>1104</v>
      </c>
      <c r="D78" s="184">
        <v>39925000</v>
      </c>
      <c r="E78" s="184">
        <v>39925000</v>
      </c>
      <c r="F78" s="183">
        <v>1</v>
      </c>
    </row>
    <row r="79" spans="1:6" ht="39" customHeight="1">
      <c r="A79" s="181" t="s">
        <v>1105</v>
      </c>
      <c r="B79" s="180" t="s">
        <v>1106</v>
      </c>
      <c r="C79" s="181" t="s">
        <v>1107</v>
      </c>
      <c r="D79" s="184">
        <v>20975342</v>
      </c>
      <c r="E79" s="184">
        <v>17950685</v>
      </c>
      <c r="F79" s="183">
        <v>1.08970548247735</v>
      </c>
    </row>
    <row r="80" spans="1:6" ht="39" customHeight="1">
      <c r="A80" s="181" t="s">
        <v>1108</v>
      </c>
      <c r="B80" s="180" t="s">
        <v>1109</v>
      </c>
      <c r="C80" s="181" t="s">
        <v>1110</v>
      </c>
      <c r="D80" s="184">
        <v>6722674792</v>
      </c>
      <c r="E80" s="184">
        <v>4863834021</v>
      </c>
      <c r="F80" s="183">
        <v>1.7119189629390701</v>
      </c>
    </row>
    <row r="81" spans="1:6" ht="39" customHeight="1">
      <c r="A81" s="181" t="s">
        <v>1111</v>
      </c>
      <c r="B81" s="180" t="s">
        <v>1112</v>
      </c>
      <c r="C81" s="181" t="s">
        <v>1113</v>
      </c>
      <c r="D81" s="184">
        <v>94806950</v>
      </c>
      <c r="E81" s="184">
        <v>68592530</v>
      </c>
      <c r="F81" s="183">
        <v>1.7119189560414501</v>
      </c>
    </row>
    <row r="82" spans="1:6" ht="39" customHeight="1">
      <c r="A82" s="181" t="s">
        <v>1114</v>
      </c>
      <c r="B82" s="180" t="s">
        <v>1115</v>
      </c>
      <c r="C82" s="181" t="s">
        <v>1116</v>
      </c>
      <c r="D82" s="184">
        <v>151691123</v>
      </c>
      <c r="E82" s="184">
        <v>109748048</v>
      </c>
      <c r="F82" s="183">
        <v>1.71191894739421</v>
      </c>
    </row>
    <row r="83" spans="1:6" ht="39" customHeight="1">
      <c r="A83" s="181" t="s">
        <v>1117</v>
      </c>
      <c r="B83" s="180" t="s">
        <v>1118</v>
      </c>
      <c r="C83" s="181" t="s">
        <v>1119</v>
      </c>
      <c r="D83" s="184">
        <v>593126498</v>
      </c>
      <c r="E83" s="184">
        <v>287484483</v>
      </c>
      <c r="F83" s="183">
        <v>3.9203538786523402</v>
      </c>
    </row>
    <row r="84" spans="1:6" ht="39" customHeight="1">
      <c r="A84" s="181" t="s">
        <v>1120</v>
      </c>
      <c r="B84" s="180" t="s">
        <v>1121</v>
      </c>
      <c r="C84" s="181" t="s">
        <v>1122</v>
      </c>
      <c r="D84" s="184">
        <v>593126498</v>
      </c>
      <c r="E84" s="184">
        <v>287484483</v>
      </c>
      <c r="F84" s="183">
        <v>3.9203538786523402</v>
      </c>
    </row>
    <row r="85" spans="1:6" ht="46" customHeight="1">
      <c r="A85" s="181" t="s">
        <v>1123</v>
      </c>
      <c r="B85" s="180" t="s">
        <v>1124</v>
      </c>
      <c r="C85" s="181" t="s">
        <v>1125</v>
      </c>
      <c r="D85" s="184">
        <v>0</v>
      </c>
      <c r="E85" s="184">
        <v>0</v>
      </c>
      <c r="F85" s="183"/>
    </row>
    <row r="86" spans="1:6" ht="39" customHeight="1">
      <c r="A86" s="181" t="s">
        <v>1126</v>
      </c>
      <c r="B86" s="180" t="s">
        <v>1127</v>
      </c>
      <c r="C86" s="181" t="s">
        <v>1128</v>
      </c>
      <c r="D86" s="184">
        <v>229801019</v>
      </c>
      <c r="E86" s="184">
        <v>174810954</v>
      </c>
      <c r="F86" s="183">
        <v>1.4594852161884599</v>
      </c>
    </row>
    <row r="87" spans="1:6" ht="39" customHeight="1">
      <c r="A87" s="181" t="s">
        <v>1129</v>
      </c>
      <c r="B87" s="180" t="s">
        <v>1130</v>
      </c>
      <c r="C87" s="181" t="s">
        <v>1131</v>
      </c>
      <c r="D87" s="184">
        <v>137901019</v>
      </c>
      <c r="E87" s="184">
        <v>99770954</v>
      </c>
      <c r="F87" s="183">
        <v>1.7119189333545199</v>
      </c>
    </row>
    <row r="88" spans="1:6" ht="39" customHeight="1">
      <c r="A88" s="181" t="s">
        <v>1132</v>
      </c>
      <c r="B88" s="180" t="s">
        <v>1133</v>
      </c>
      <c r="C88" s="181" t="s">
        <v>1134</v>
      </c>
      <c r="D88" s="184">
        <v>80900000</v>
      </c>
      <c r="E88" s="184">
        <v>64040000</v>
      </c>
      <c r="F88" s="183">
        <v>1.22761760242792</v>
      </c>
    </row>
    <row r="89" spans="1:6" ht="60" customHeight="1">
      <c r="A89" s="181" t="s">
        <v>1135</v>
      </c>
      <c r="B89" s="180" t="s">
        <v>1136</v>
      </c>
      <c r="C89" s="181" t="s">
        <v>1137</v>
      </c>
      <c r="D89" s="184">
        <v>11000000</v>
      </c>
      <c r="E89" s="184">
        <v>11000000</v>
      </c>
      <c r="F89" s="183">
        <v>1</v>
      </c>
    </row>
    <row r="90" spans="1:6" ht="39" customHeight="1">
      <c r="A90" s="181" t="s">
        <v>1138</v>
      </c>
      <c r="B90" s="180" t="s">
        <v>1139</v>
      </c>
      <c r="C90" s="181" t="s">
        <v>1140</v>
      </c>
      <c r="D90" s="184">
        <v>52012784</v>
      </c>
      <c r="E90" s="184">
        <v>100185567</v>
      </c>
      <c r="F90" s="183">
        <v>1.0025594448727799</v>
      </c>
    </row>
    <row r="91" spans="1:6" ht="39" customHeight="1">
      <c r="A91" s="181" t="s">
        <v>1141</v>
      </c>
      <c r="B91" s="180" t="s">
        <v>1142</v>
      </c>
      <c r="C91" s="181" t="s">
        <v>1143</v>
      </c>
      <c r="D91" s="184">
        <v>51274770</v>
      </c>
      <c r="E91" s="184">
        <v>25571847</v>
      </c>
      <c r="F91" s="183">
        <v>2.0201762436845798</v>
      </c>
    </row>
    <row r="92" spans="1:6" ht="39" customHeight="1">
      <c r="A92" s="181" t="s">
        <v>1144</v>
      </c>
      <c r="B92" s="180" t="s">
        <v>1145</v>
      </c>
      <c r="C92" s="181" t="s">
        <v>1146</v>
      </c>
      <c r="D92" s="184">
        <v>0</v>
      </c>
      <c r="E92" s="184">
        <v>0</v>
      </c>
      <c r="F92" s="183"/>
    </row>
    <row r="93" spans="1:6" ht="39" customHeight="1">
      <c r="A93" s="181" t="s">
        <v>1147</v>
      </c>
      <c r="B93" s="180" t="s">
        <v>1148</v>
      </c>
      <c r="C93" s="181" t="s">
        <v>1149</v>
      </c>
      <c r="D93" s="184">
        <v>13200000</v>
      </c>
      <c r="E93" s="184">
        <v>13200000</v>
      </c>
      <c r="F93" s="183">
        <v>1</v>
      </c>
    </row>
    <row r="94" spans="1:6" ht="48" customHeight="1">
      <c r="A94" s="181" t="s">
        <v>1150</v>
      </c>
      <c r="B94" s="180" t="s">
        <v>1151</v>
      </c>
      <c r="C94" s="181" t="s">
        <v>1152</v>
      </c>
      <c r="D94" s="184">
        <v>0</v>
      </c>
      <c r="E94" s="184">
        <v>0</v>
      </c>
      <c r="F94" s="183"/>
    </row>
    <row r="95" spans="1:6" ht="39" customHeight="1">
      <c r="A95" s="181" t="s">
        <v>1153</v>
      </c>
      <c r="B95" s="180" t="s">
        <v>1154</v>
      </c>
      <c r="C95" s="181" t="s">
        <v>1155</v>
      </c>
      <c r="D95" s="184">
        <v>0</v>
      </c>
      <c r="E95" s="184">
        <v>0</v>
      </c>
      <c r="F95" s="183"/>
    </row>
    <row r="96" spans="1:6" ht="39" customHeight="1">
      <c r="A96" s="181" t="s">
        <v>1156</v>
      </c>
      <c r="B96" s="180" t="s">
        <v>1157</v>
      </c>
      <c r="C96" s="181" t="s">
        <v>1158</v>
      </c>
      <c r="D96" s="184">
        <v>189792555</v>
      </c>
      <c r="E96" s="184">
        <v>187902144</v>
      </c>
      <c r="F96" s="183">
        <v>0.88980114274076605</v>
      </c>
    </row>
    <row r="97" spans="1:6" ht="39" customHeight="1">
      <c r="A97" s="181" t="s">
        <v>1159</v>
      </c>
      <c r="B97" s="180" t="s">
        <v>1160</v>
      </c>
      <c r="C97" s="181" t="s">
        <v>1161</v>
      </c>
      <c r="D97" s="184">
        <v>0</v>
      </c>
      <c r="E97" s="184">
        <v>0</v>
      </c>
      <c r="F97" s="183">
        <v>0</v>
      </c>
    </row>
    <row r="98" spans="1:6" ht="48" customHeight="1">
      <c r="A98" s="181" t="s">
        <v>1162</v>
      </c>
      <c r="B98" s="180" t="s">
        <v>1163</v>
      </c>
      <c r="C98" s="181" t="s">
        <v>1164</v>
      </c>
      <c r="D98" s="184">
        <v>0</v>
      </c>
      <c r="E98" s="184">
        <v>0</v>
      </c>
      <c r="F98" s="183"/>
    </row>
    <row r="99" spans="1:6" ht="45" customHeight="1">
      <c r="A99" s="181" t="s">
        <v>1165</v>
      </c>
      <c r="B99" s="180" t="s">
        <v>1166</v>
      </c>
      <c r="C99" s="181" t="s">
        <v>1167</v>
      </c>
      <c r="D99" s="184">
        <v>5609589</v>
      </c>
      <c r="E99" s="184">
        <v>3719178</v>
      </c>
      <c r="F99" s="183">
        <v>0.99908010217366605</v>
      </c>
    </row>
    <row r="100" spans="1:6" ht="39" customHeight="1">
      <c r="A100" s="181" t="s">
        <v>1168</v>
      </c>
      <c r="B100" s="180" t="s">
        <v>1169</v>
      </c>
      <c r="C100" s="181" t="s">
        <v>1170</v>
      </c>
      <c r="D100" s="184">
        <v>184182966</v>
      </c>
      <c r="E100" s="184">
        <v>184182966</v>
      </c>
      <c r="F100" s="183">
        <v>1</v>
      </c>
    </row>
    <row r="101" spans="1:6" ht="39" customHeight="1">
      <c r="A101" s="181" t="s">
        <v>1171</v>
      </c>
      <c r="B101" s="180" t="s">
        <v>1172</v>
      </c>
      <c r="C101" s="181" t="s">
        <v>1173</v>
      </c>
      <c r="D101" s="184">
        <v>0</v>
      </c>
      <c r="E101" s="184">
        <v>0</v>
      </c>
      <c r="F101" s="183"/>
    </row>
    <row r="102" spans="1:6" ht="39" customHeight="1">
      <c r="A102" s="181" t="s">
        <v>1174</v>
      </c>
      <c r="B102" s="180" t="s">
        <v>1175</v>
      </c>
      <c r="C102" s="181" t="s">
        <v>1176</v>
      </c>
      <c r="D102" s="184">
        <v>0</v>
      </c>
      <c r="E102" s="184">
        <v>0</v>
      </c>
      <c r="F102" s="183"/>
    </row>
    <row r="103" spans="1:6" ht="39" customHeight="1">
      <c r="A103" s="181" t="s">
        <v>1177</v>
      </c>
      <c r="B103" s="180" t="s">
        <v>1178</v>
      </c>
      <c r="C103" s="181" t="s">
        <v>1179</v>
      </c>
      <c r="D103" s="184">
        <v>0</v>
      </c>
      <c r="E103" s="184">
        <v>0</v>
      </c>
      <c r="F103" s="183"/>
    </row>
    <row r="104" spans="1:6" ht="39" customHeight="1">
      <c r="A104" s="181" t="s">
        <v>1180</v>
      </c>
      <c r="B104" s="180" t="s">
        <v>1181</v>
      </c>
      <c r="C104" s="181" t="s">
        <v>1182</v>
      </c>
      <c r="D104" s="184">
        <v>0</v>
      </c>
      <c r="E104" s="184">
        <v>0</v>
      </c>
      <c r="F104" s="183"/>
    </row>
    <row r="105" spans="1:6" ht="39" customHeight="1">
      <c r="A105" s="186" t="s">
        <v>1183</v>
      </c>
      <c r="B105" s="185" t="s">
        <v>1184</v>
      </c>
      <c r="C105" s="186" t="s">
        <v>1185</v>
      </c>
      <c r="D105" s="188">
        <v>253779856983</v>
      </c>
      <c r="E105" s="188">
        <v>137686342638</v>
      </c>
      <c r="F105" s="187">
        <v>1.97978273768817</v>
      </c>
    </row>
    <row r="106" spans="1:6" ht="39" customHeight="1">
      <c r="A106" s="181" t="s">
        <v>1186</v>
      </c>
      <c r="B106" s="180" t="s">
        <v>1187</v>
      </c>
      <c r="C106" s="181" t="s">
        <v>1188</v>
      </c>
      <c r="D106" s="184">
        <v>4388212589625</v>
      </c>
      <c r="E106" s="184">
        <v>3115805083387</v>
      </c>
      <c r="F106" s="183">
        <v>1.74147519159771</v>
      </c>
    </row>
    <row r="107" spans="1:6" ht="39" customHeight="1">
      <c r="A107" s="181" t="s">
        <v>1189</v>
      </c>
      <c r="B107" s="180" t="s">
        <v>1190</v>
      </c>
      <c r="C107" s="181" t="s">
        <v>1191</v>
      </c>
      <c r="D107" s="189">
        <v>40958493.210000001</v>
      </c>
      <c r="E107" s="189">
        <v>35136062.130000003</v>
      </c>
      <c r="F107" s="183">
        <v>1.3176288609978599</v>
      </c>
    </row>
    <row r="108" spans="1:6" ht="39" customHeight="1">
      <c r="A108" s="181" t="s">
        <v>1192</v>
      </c>
      <c r="B108" s="180" t="s">
        <v>1193</v>
      </c>
      <c r="C108" s="181" t="s">
        <v>1194</v>
      </c>
      <c r="D108" s="189">
        <v>107138.03</v>
      </c>
      <c r="E108" s="189">
        <v>88678.26</v>
      </c>
      <c r="F108" s="183">
        <v>1.32167355025264</v>
      </c>
    </row>
    <row r="109" spans="1:6" s="5" customFormat="1" ht="16.899999999999999" customHeight="1"/>
    <row r="110" spans="1:6" s="5" customFormat="1" ht="16.899999999999999" customHeight="1">
      <c r="A110" s="17" t="s">
        <v>10</v>
      </c>
      <c r="B110" s="6"/>
      <c r="C110" s="6"/>
      <c r="E110" s="17" t="s">
        <v>11</v>
      </c>
      <c r="F110" s="6"/>
    </row>
    <row r="111" spans="1:6" s="7" customFormat="1" ht="16.899999999999999" customHeight="1">
      <c r="A111" s="18" t="s">
        <v>12</v>
      </c>
      <c r="B111" s="8"/>
      <c r="C111" s="8"/>
      <c r="E111" s="18" t="s">
        <v>13</v>
      </c>
      <c r="F111" s="8"/>
    </row>
    <row r="112" spans="1:6" s="5" customFormat="1" ht="16.899999999999999" customHeight="1">
      <c r="A112" s="6"/>
      <c r="B112" s="6"/>
      <c r="C112" s="6"/>
      <c r="D112" s="6"/>
      <c r="E112" s="6"/>
      <c r="F112" s="6"/>
    </row>
    <row r="113" spans="1:6" s="5" customFormat="1" ht="16.899999999999999" customHeight="1">
      <c r="A113" s="6"/>
      <c r="B113" s="6"/>
      <c r="C113" s="6"/>
      <c r="D113" s="6"/>
      <c r="E113" s="6"/>
      <c r="F113" s="6"/>
    </row>
    <row r="114" spans="1:6" s="5" customFormat="1" ht="16.899999999999999" customHeight="1">
      <c r="A114" s="6"/>
      <c r="B114" s="6"/>
      <c r="C114" s="6"/>
      <c r="D114" s="6"/>
      <c r="E114" s="6"/>
      <c r="F114" s="6"/>
    </row>
    <row r="115" spans="1:6" s="5" customFormat="1" ht="16.899999999999999" customHeight="1">
      <c r="A115" s="6"/>
      <c r="B115" s="6"/>
      <c r="C115" s="6"/>
      <c r="D115" s="6"/>
      <c r="E115" s="6"/>
      <c r="F115" s="6"/>
    </row>
    <row r="116" spans="1:6" s="5" customFormat="1" ht="16.899999999999999" customHeight="1">
      <c r="A116" s="6"/>
      <c r="B116" s="6"/>
      <c r="C116" s="6"/>
      <c r="D116" s="6"/>
      <c r="E116" s="6"/>
      <c r="F116" s="6"/>
    </row>
    <row r="117" spans="1:6" s="5" customFormat="1" ht="16.899999999999999" customHeight="1">
      <c r="A117" s="6"/>
      <c r="B117" s="6"/>
      <c r="C117" s="6"/>
      <c r="D117" s="6"/>
      <c r="E117" s="6"/>
      <c r="F117" s="6"/>
    </row>
    <row r="118" spans="1:6" s="5" customFormat="1" ht="16.899999999999999" customHeight="1">
      <c r="A118" s="82"/>
      <c r="B118" s="82"/>
      <c r="C118" s="6"/>
      <c r="D118" s="6"/>
      <c r="E118" s="82"/>
      <c r="F118" s="82"/>
    </row>
    <row r="119" spans="1:6" s="5" customFormat="1" ht="16.899999999999999" customHeight="1">
      <c r="A119" s="16" t="s">
        <v>14</v>
      </c>
      <c r="B119" s="81"/>
      <c r="C119" s="6"/>
      <c r="E119" s="16" t="s">
        <v>1301</v>
      </c>
      <c r="F119" s="81"/>
    </row>
    <row r="120" spans="1:6" s="5" customFormat="1" ht="16.899999999999999" customHeight="1">
      <c r="A120" s="80" t="s">
        <v>1323</v>
      </c>
      <c r="B120" s="6"/>
      <c r="C120" s="6"/>
      <c r="E120" s="80" t="s">
        <v>1319</v>
      </c>
      <c r="F120" s="6"/>
    </row>
    <row r="121" spans="1:6" s="5" customFormat="1" ht="16.899999999999999" customHeight="1">
      <c r="A121" s="6" t="s">
        <v>1309</v>
      </c>
      <c r="B121" s="6"/>
      <c r="C121" s="6"/>
      <c r="E121" s="6" t="s">
        <v>1320</v>
      </c>
      <c r="F121" s="6"/>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4" zoomScaleNormal="100" zoomScaleSheetLayoutView="100" workbookViewId="0">
      <selection activeCell="A107" sqref="A107"/>
    </sheetView>
  </sheetViews>
  <sheetFormatPr defaultColWidth="8.7265625" defaultRowHeight="12.5"/>
  <cols>
    <col min="1" max="1" width="8.7265625" style="12"/>
    <col min="2" max="2" width="46.26953125" style="12" customWidth="1"/>
    <col min="3" max="3" width="10.7265625" style="12" bestFit="1" customWidth="1"/>
    <col min="4" max="6" width="36.81640625" style="12" customWidth="1"/>
    <col min="7" max="16384" width="8.7265625" style="21"/>
  </cols>
  <sheetData>
    <row r="1" spans="1:6" ht="54.75" customHeight="1">
      <c r="A1" s="218" t="s">
        <v>543</v>
      </c>
      <c r="B1" s="218"/>
      <c r="C1" s="218"/>
      <c r="D1" s="218"/>
      <c r="E1" s="218"/>
      <c r="F1" s="218"/>
    </row>
    <row r="2" spans="1:6" ht="54.75" customHeight="1">
      <c r="A2" s="219" t="s">
        <v>544</v>
      </c>
      <c r="B2" s="219"/>
      <c r="C2" s="219"/>
      <c r="D2" s="219"/>
      <c r="E2" s="219"/>
      <c r="F2" s="219"/>
    </row>
    <row r="3" spans="1:6" ht="22.5" customHeight="1">
      <c r="A3" s="220" t="s">
        <v>494</v>
      </c>
      <c r="B3" s="220"/>
      <c r="C3" s="220"/>
      <c r="D3" s="220"/>
      <c r="E3" s="220"/>
      <c r="F3" s="220"/>
    </row>
    <row r="4" spans="1:6" ht="21" customHeight="1">
      <c r="A4" s="220"/>
      <c r="B4" s="220"/>
      <c r="C4" s="220"/>
      <c r="D4" s="220"/>
      <c r="E4" s="220"/>
      <c r="F4" s="220"/>
    </row>
    <row r="5" spans="1:6" ht="16.149999999999999" customHeight="1">
      <c r="A5" s="221" t="s">
        <v>1300</v>
      </c>
      <c r="B5" s="221"/>
      <c r="C5" s="221"/>
      <c r="D5" s="221"/>
      <c r="E5" s="221"/>
      <c r="F5" s="221"/>
    </row>
    <row r="7" spans="1:6" ht="16.899999999999999" customHeight="1">
      <c r="A7" s="110" t="s">
        <v>2</v>
      </c>
      <c r="C7" s="222" t="s">
        <v>1301</v>
      </c>
      <c r="D7" s="222"/>
      <c r="E7" s="222"/>
      <c r="F7" s="222"/>
    </row>
    <row r="8" spans="1:6" ht="16.899999999999999" customHeight="1">
      <c r="A8" s="12" t="s">
        <v>15</v>
      </c>
      <c r="C8" s="217" t="s">
        <v>1302</v>
      </c>
      <c r="D8" s="217"/>
      <c r="E8" s="217"/>
      <c r="F8" s="217"/>
    </row>
    <row r="9" spans="1:6" ht="16.899999999999999" customHeight="1">
      <c r="A9" s="110" t="s">
        <v>3</v>
      </c>
      <c r="C9" s="222" t="s">
        <v>1303</v>
      </c>
      <c r="D9" s="222"/>
      <c r="E9" s="222"/>
      <c r="F9" s="222"/>
    </row>
    <row r="10" spans="1:6" ht="16.899999999999999" customHeight="1">
      <c r="A10" s="12" t="s">
        <v>4</v>
      </c>
      <c r="C10" s="217" t="s">
        <v>1304</v>
      </c>
      <c r="D10" s="217"/>
      <c r="E10" s="217"/>
      <c r="F10" s="217"/>
    </row>
    <row r="11" spans="1:6" ht="16.899999999999999" customHeight="1">
      <c r="A11" s="110" t="s">
        <v>5</v>
      </c>
      <c r="C11" s="222" t="s">
        <v>1305</v>
      </c>
      <c r="D11" s="222"/>
      <c r="E11" s="222"/>
      <c r="F11" s="222"/>
    </row>
    <row r="12" spans="1:6" ht="16.899999999999999" customHeight="1">
      <c r="A12" s="12" t="s">
        <v>6</v>
      </c>
      <c r="C12" s="217" t="s">
        <v>1306</v>
      </c>
      <c r="D12" s="217"/>
      <c r="E12" s="217"/>
      <c r="F12" s="217"/>
    </row>
    <row r="13" spans="1:6" ht="16.899999999999999" customHeight="1">
      <c r="A13" s="110" t="s">
        <v>7</v>
      </c>
      <c r="C13" s="222" t="s">
        <v>1307</v>
      </c>
      <c r="D13" s="222"/>
      <c r="E13" s="222"/>
      <c r="F13" s="222"/>
    </row>
    <row r="14" spans="1:6" ht="16.899999999999999" customHeight="1">
      <c r="A14" s="12" t="s">
        <v>8</v>
      </c>
      <c r="C14" s="217" t="s">
        <v>1308</v>
      </c>
      <c r="D14" s="217"/>
      <c r="E14" s="217"/>
      <c r="F14" s="217"/>
    </row>
    <row r="15" spans="1:6" ht="16.899999999999999" customHeight="1"/>
    <row r="16" spans="1:6" ht="16.899999999999999" customHeight="1">
      <c r="A16" s="104" t="s">
        <v>541</v>
      </c>
      <c r="B16" s="105" t="s">
        <v>542</v>
      </c>
    </row>
    <row r="17" spans="1:6" ht="16.899999999999999" customHeight="1">
      <c r="A17" s="19" t="s">
        <v>22</v>
      </c>
      <c r="B17" s="20" t="s">
        <v>25</v>
      </c>
    </row>
    <row r="18" spans="1:6" ht="37.5">
      <c r="A18" s="154" t="s">
        <v>17</v>
      </c>
      <c r="B18" s="154" t="s">
        <v>18</v>
      </c>
      <c r="C18" s="154" t="s">
        <v>19</v>
      </c>
      <c r="D18" s="155" t="s">
        <v>1312</v>
      </c>
      <c r="E18" s="155" t="s">
        <v>1313</v>
      </c>
      <c r="F18" s="155" t="s">
        <v>547</v>
      </c>
    </row>
    <row r="19" spans="1:6" s="23" customFormat="1" ht="25">
      <c r="A19" s="156" t="s">
        <v>16</v>
      </c>
      <c r="B19" s="157" t="s">
        <v>33</v>
      </c>
      <c r="C19" s="158" t="s">
        <v>49</v>
      </c>
      <c r="D19" s="159">
        <v>18210816942</v>
      </c>
      <c r="E19" s="159">
        <v>9381934912</v>
      </c>
      <c r="F19" s="159">
        <v>29557919135</v>
      </c>
    </row>
    <row r="20" spans="1:6" ht="25">
      <c r="A20" s="85">
        <v>1</v>
      </c>
      <c r="B20" s="86" t="s">
        <v>498</v>
      </c>
      <c r="C20" s="87" t="s">
        <v>56</v>
      </c>
      <c r="D20" s="160">
        <v>0</v>
      </c>
      <c r="E20" s="160">
        <v>0</v>
      </c>
      <c r="F20" s="160">
        <v>0</v>
      </c>
    </row>
    <row r="21" spans="1:6">
      <c r="A21" s="108" t="s">
        <v>499</v>
      </c>
      <c r="B21" s="108" t="s">
        <v>499</v>
      </c>
      <c r="C21" s="108" t="s">
        <v>499</v>
      </c>
      <c r="D21" s="161" t="s">
        <v>499</v>
      </c>
      <c r="E21" s="161" t="s">
        <v>500</v>
      </c>
      <c r="F21" s="161" t="s">
        <v>500</v>
      </c>
    </row>
    <row r="22" spans="1:6" ht="25">
      <c r="A22" s="85">
        <v>2</v>
      </c>
      <c r="B22" s="86" t="s">
        <v>276</v>
      </c>
      <c r="C22" s="87" t="s">
        <v>50</v>
      </c>
      <c r="D22" s="160">
        <v>18053337500</v>
      </c>
      <c r="E22" s="160">
        <v>9215711000</v>
      </c>
      <c r="F22" s="160">
        <v>29135838500</v>
      </c>
    </row>
    <row r="23" spans="1:6">
      <c r="A23" s="108" t="s">
        <v>499</v>
      </c>
      <c r="B23" s="108" t="s">
        <v>499</v>
      </c>
      <c r="C23" s="108" t="s">
        <v>499</v>
      </c>
      <c r="D23" s="161" t="s">
        <v>499</v>
      </c>
      <c r="E23" s="161" t="s">
        <v>500</v>
      </c>
      <c r="F23" s="161" t="s">
        <v>500</v>
      </c>
    </row>
    <row r="24" spans="1:6" ht="25">
      <c r="A24" s="88"/>
      <c r="B24" s="89" t="s">
        <v>277</v>
      </c>
      <c r="C24" s="90" t="s">
        <v>51</v>
      </c>
      <c r="D24" s="160">
        <v>18053337500</v>
      </c>
      <c r="E24" s="160">
        <v>9215711000</v>
      </c>
      <c r="F24" s="160">
        <v>29135838500</v>
      </c>
    </row>
    <row r="25" spans="1:6" ht="25">
      <c r="A25" s="88"/>
      <c r="B25" s="89" t="s">
        <v>278</v>
      </c>
      <c r="C25" s="90" t="s">
        <v>52</v>
      </c>
      <c r="D25" s="160">
        <v>0</v>
      </c>
      <c r="E25" s="160">
        <v>0</v>
      </c>
      <c r="F25" s="160">
        <v>0</v>
      </c>
    </row>
    <row r="26" spans="1:6" ht="25">
      <c r="A26" s="85">
        <v>3</v>
      </c>
      <c r="B26" s="86" t="s">
        <v>279</v>
      </c>
      <c r="C26" s="87" t="s">
        <v>53</v>
      </c>
      <c r="D26" s="160">
        <v>157479442</v>
      </c>
      <c r="E26" s="160">
        <v>166223912</v>
      </c>
      <c r="F26" s="160">
        <v>422080635</v>
      </c>
    </row>
    <row r="27" spans="1:6">
      <c r="A27" s="108" t="s">
        <v>499</v>
      </c>
      <c r="B27" s="108" t="s">
        <v>499</v>
      </c>
      <c r="C27" s="108" t="s">
        <v>499</v>
      </c>
      <c r="D27" s="161" t="s">
        <v>499</v>
      </c>
      <c r="E27" s="161" t="s">
        <v>499</v>
      </c>
      <c r="F27" s="161" t="s">
        <v>499</v>
      </c>
    </row>
    <row r="28" spans="1:6" ht="25">
      <c r="A28" s="88"/>
      <c r="B28" s="89" t="s">
        <v>272</v>
      </c>
      <c r="C28" s="90" t="s">
        <v>54</v>
      </c>
      <c r="D28" s="160">
        <v>157479442</v>
      </c>
      <c r="E28" s="160">
        <v>166223912</v>
      </c>
      <c r="F28" s="160">
        <v>422080635</v>
      </c>
    </row>
    <row r="29" spans="1:6" ht="25">
      <c r="A29" s="88"/>
      <c r="B29" s="89" t="s">
        <v>557</v>
      </c>
      <c r="C29" s="90" t="s">
        <v>55</v>
      </c>
      <c r="D29" s="160">
        <v>0</v>
      </c>
      <c r="E29" s="160">
        <v>0</v>
      </c>
      <c r="F29" s="160">
        <v>0</v>
      </c>
    </row>
    <row r="30" spans="1:6" ht="25">
      <c r="A30" s="88"/>
      <c r="B30" s="89" t="s">
        <v>318</v>
      </c>
      <c r="C30" s="90" t="s">
        <v>269</v>
      </c>
      <c r="D30" s="160">
        <v>0</v>
      </c>
      <c r="E30" s="160">
        <v>0</v>
      </c>
      <c r="F30" s="160">
        <v>0</v>
      </c>
    </row>
    <row r="31" spans="1:6" s="23" customFormat="1" ht="25">
      <c r="A31" s="85">
        <v>4</v>
      </c>
      <c r="B31" s="86" t="s">
        <v>280</v>
      </c>
      <c r="C31" s="87" t="s">
        <v>56</v>
      </c>
      <c r="D31" s="160">
        <v>0</v>
      </c>
      <c r="E31" s="160">
        <v>0</v>
      </c>
      <c r="F31" s="160">
        <v>0</v>
      </c>
    </row>
    <row r="32" spans="1:6">
      <c r="A32" s="108" t="s">
        <v>499</v>
      </c>
      <c r="B32" s="108" t="s">
        <v>499</v>
      </c>
      <c r="C32" s="108" t="s">
        <v>499</v>
      </c>
      <c r="D32" s="161" t="s">
        <v>499</v>
      </c>
      <c r="E32" s="161" t="s">
        <v>499</v>
      </c>
      <c r="F32" s="161" t="s">
        <v>499</v>
      </c>
    </row>
    <row r="33" spans="1:6" ht="25">
      <c r="A33" s="91"/>
      <c r="B33" s="92" t="s">
        <v>281</v>
      </c>
      <c r="C33" s="93" t="s">
        <v>57</v>
      </c>
      <c r="D33" s="160">
        <v>0</v>
      </c>
      <c r="E33" s="160">
        <v>0</v>
      </c>
      <c r="F33" s="160">
        <v>0</v>
      </c>
    </row>
    <row r="34" spans="1:6" ht="25">
      <c r="A34" s="91"/>
      <c r="B34" s="92" t="s">
        <v>282</v>
      </c>
      <c r="C34" s="93" t="s">
        <v>58</v>
      </c>
      <c r="D34" s="160">
        <v>0</v>
      </c>
      <c r="E34" s="160">
        <v>0</v>
      </c>
      <c r="F34" s="160">
        <v>0</v>
      </c>
    </row>
    <row r="35" spans="1:6" ht="75">
      <c r="A35" s="91"/>
      <c r="B35" s="92" t="s">
        <v>34</v>
      </c>
      <c r="C35" s="93" t="s">
        <v>59</v>
      </c>
      <c r="D35" s="160">
        <v>0</v>
      </c>
      <c r="E35" s="160">
        <v>0</v>
      </c>
      <c r="F35" s="160">
        <v>0</v>
      </c>
    </row>
    <row r="36" spans="1:6" ht="25">
      <c r="A36" s="156" t="s">
        <v>22</v>
      </c>
      <c r="B36" s="157" t="s">
        <v>283</v>
      </c>
      <c r="C36" s="158" t="s">
        <v>60</v>
      </c>
      <c r="D36" s="163">
        <v>32890499057</v>
      </c>
      <c r="E36" s="163">
        <v>25367851693</v>
      </c>
      <c r="F36" s="163">
        <v>78574340355</v>
      </c>
    </row>
    <row r="37" spans="1:6" ht="25">
      <c r="A37" s="85">
        <v>1</v>
      </c>
      <c r="B37" s="86" t="s">
        <v>501</v>
      </c>
      <c r="C37" s="87" t="s">
        <v>61</v>
      </c>
      <c r="D37" s="160">
        <v>18468082930</v>
      </c>
      <c r="E37" s="160">
        <v>14209203252</v>
      </c>
      <c r="F37" s="160">
        <v>46428505161</v>
      </c>
    </row>
    <row r="38" spans="1:6">
      <c r="A38" s="108" t="s">
        <v>499</v>
      </c>
      <c r="B38" s="108" t="s">
        <v>499</v>
      </c>
      <c r="C38" s="108" t="s">
        <v>499</v>
      </c>
      <c r="D38" s="161" t="s">
        <v>499</v>
      </c>
      <c r="E38" s="161" t="s">
        <v>499</v>
      </c>
      <c r="F38" s="161" t="s">
        <v>499</v>
      </c>
    </row>
    <row r="39" spans="1:6" ht="50">
      <c r="A39" s="85">
        <v>2</v>
      </c>
      <c r="B39" s="86" t="s">
        <v>562</v>
      </c>
      <c r="C39" s="87" t="s">
        <v>62</v>
      </c>
      <c r="D39" s="160">
        <v>1103573608</v>
      </c>
      <c r="E39" s="160">
        <v>834310000</v>
      </c>
      <c r="F39" s="160">
        <v>2718610436</v>
      </c>
    </row>
    <row r="40" spans="1:6">
      <c r="A40" s="108" t="s">
        <v>499</v>
      </c>
      <c r="B40" s="108" t="s">
        <v>499</v>
      </c>
      <c r="C40" s="108" t="s">
        <v>499</v>
      </c>
      <c r="D40" s="161" t="s">
        <v>499</v>
      </c>
      <c r="E40" s="161" t="s">
        <v>499</v>
      </c>
      <c r="F40" s="161" t="s">
        <v>499</v>
      </c>
    </row>
    <row r="41" spans="1:6" ht="25">
      <c r="A41" s="94"/>
      <c r="B41" s="89" t="s">
        <v>502</v>
      </c>
      <c r="C41" s="90" t="s">
        <v>63</v>
      </c>
      <c r="D41" s="160">
        <v>389392948</v>
      </c>
      <c r="E41" s="160">
        <v>291470835</v>
      </c>
      <c r="F41" s="160">
        <v>962940075</v>
      </c>
    </row>
    <row r="42" spans="1:6" ht="25">
      <c r="A42" s="94"/>
      <c r="B42" s="89" t="s">
        <v>503</v>
      </c>
      <c r="C42" s="90" t="s">
        <v>64</v>
      </c>
      <c r="D42" s="160">
        <v>223965000</v>
      </c>
      <c r="E42" s="160">
        <v>160955000</v>
      </c>
      <c r="F42" s="160">
        <v>517120000</v>
      </c>
    </row>
    <row r="43" spans="1:6" ht="50">
      <c r="A43" s="94"/>
      <c r="B43" s="89" t="s">
        <v>563</v>
      </c>
      <c r="C43" s="90" t="s">
        <v>65</v>
      </c>
      <c r="D43" s="160">
        <v>73499944</v>
      </c>
      <c r="E43" s="160">
        <v>61266249</v>
      </c>
      <c r="F43" s="160">
        <v>190932811</v>
      </c>
    </row>
    <row r="44" spans="1:6" ht="25">
      <c r="A44" s="94"/>
      <c r="B44" s="89" t="s">
        <v>504</v>
      </c>
      <c r="C44" s="90" t="s">
        <v>66</v>
      </c>
      <c r="D44" s="160">
        <v>416715716</v>
      </c>
      <c r="E44" s="160">
        <v>320617916</v>
      </c>
      <c r="F44" s="160">
        <v>1047617550</v>
      </c>
    </row>
    <row r="45" spans="1:6" ht="62.5">
      <c r="A45" s="85">
        <v>3</v>
      </c>
      <c r="B45" s="95" t="s">
        <v>505</v>
      </c>
      <c r="C45" s="87" t="s">
        <v>67</v>
      </c>
      <c r="D45" s="160">
        <v>300047322</v>
      </c>
      <c r="E45" s="160">
        <v>239986198</v>
      </c>
      <c r="F45" s="160">
        <v>773560960</v>
      </c>
    </row>
    <row r="46" spans="1:6">
      <c r="A46" s="108" t="s">
        <v>499</v>
      </c>
      <c r="B46" s="108" t="s">
        <v>499</v>
      </c>
      <c r="C46" s="108" t="s">
        <v>499</v>
      </c>
      <c r="D46" s="161" t="s">
        <v>499</v>
      </c>
      <c r="E46" s="161" t="s">
        <v>499</v>
      </c>
      <c r="F46" s="161" t="s">
        <v>499</v>
      </c>
    </row>
    <row r="47" spans="1:6" ht="25">
      <c r="A47" s="94"/>
      <c r="B47" s="96" t="s">
        <v>319</v>
      </c>
      <c r="C47" s="90" t="s">
        <v>68</v>
      </c>
      <c r="D47" s="160">
        <v>260447322</v>
      </c>
      <c r="E47" s="160">
        <v>200386198</v>
      </c>
      <c r="F47" s="160">
        <v>654760960</v>
      </c>
    </row>
    <row r="48" spans="1:6" ht="25">
      <c r="A48" s="94"/>
      <c r="B48" s="96" t="s">
        <v>35</v>
      </c>
      <c r="C48" s="90" t="s">
        <v>69</v>
      </c>
      <c r="D48" s="160">
        <v>39600000</v>
      </c>
      <c r="E48" s="160">
        <v>39600000</v>
      </c>
      <c r="F48" s="160">
        <v>118800000</v>
      </c>
    </row>
    <row r="49" spans="1:6" ht="25">
      <c r="A49" s="94">
        <v>4</v>
      </c>
      <c r="B49" s="96" t="s">
        <v>506</v>
      </c>
      <c r="C49" s="90"/>
      <c r="D49" s="160">
        <v>0</v>
      </c>
      <c r="E49" s="160">
        <v>0</v>
      </c>
      <c r="F49" s="160">
        <v>0</v>
      </c>
    </row>
    <row r="50" spans="1:6">
      <c r="A50" s="108" t="s">
        <v>499</v>
      </c>
      <c r="B50" s="108" t="s">
        <v>499</v>
      </c>
      <c r="C50" s="108" t="s">
        <v>499</v>
      </c>
      <c r="D50" s="161" t="s">
        <v>499</v>
      </c>
      <c r="E50" s="161" t="s">
        <v>499</v>
      </c>
      <c r="F50" s="161" t="s">
        <v>499</v>
      </c>
    </row>
    <row r="51" spans="1:6" ht="25">
      <c r="A51" s="94">
        <v>5</v>
      </c>
      <c r="B51" s="96" t="s">
        <v>507</v>
      </c>
      <c r="C51" s="90"/>
      <c r="D51" s="160">
        <v>0</v>
      </c>
      <c r="E51" s="160">
        <v>0</v>
      </c>
      <c r="F51" s="160">
        <v>0</v>
      </c>
    </row>
    <row r="52" spans="1:6">
      <c r="A52" s="108" t="s">
        <v>499</v>
      </c>
      <c r="B52" s="108" t="s">
        <v>499</v>
      </c>
      <c r="C52" s="108" t="s">
        <v>499</v>
      </c>
      <c r="D52" s="161" t="s">
        <v>499</v>
      </c>
      <c r="E52" s="161" t="s">
        <v>499</v>
      </c>
      <c r="F52" s="161" t="s">
        <v>499</v>
      </c>
    </row>
    <row r="53" spans="1:6" ht="25">
      <c r="A53" s="85">
        <v>6</v>
      </c>
      <c r="B53" s="86" t="s">
        <v>36</v>
      </c>
      <c r="C53" s="87" t="s">
        <v>70</v>
      </c>
      <c r="D53" s="160">
        <v>55507217</v>
      </c>
      <c r="E53" s="160">
        <v>50549951</v>
      </c>
      <c r="F53" s="160">
        <v>154531558</v>
      </c>
    </row>
    <row r="54" spans="1:6">
      <c r="A54" s="108" t="s">
        <v>499</v>
      </c>
      <c r="B54" s="108" t="s">
        <v>499</v>
      </c>
      <c r="C54" s="108" t="s">
        <v>499</v>
      </c>
      <c r="D54" s="161" t="s">
        <v>499</v>
      </c>
      <c r="E54" s="161" t="s">
        <v>499</v>
      </c>
      <c r="F54" s="161" t="s">
        <v>499</v>
      </c>
    </row>
    <row r="55" spans="1:6" ht="62.5">
      <c r="A55" s="85">
        <v>7</v>
      </c>
      <c r="B55" s="86" t="s">
        <v>320</v>
      </c>
      <c r="C55" s="87" t="s">
        <v>71</v>
      </c>
      <c r="D55" s="160">
        <v>56383835</v>
      </c>
      <c r="E55" s="160">
        <v>53709345</v>
      </c>
      <c r="F55" s="160">
        <v>149052084</v>
      </c>
    </row>
    <row r="56" spans="1:6">
      <c r="A56" s="108" t="s">
        <v>499</v>
      </c>
      <c r="B56" s="108" t="s">
        <v>499</v>
      </c>
      <c r="C56" s="108" t="s">
        <v>499</v>
      </c>
      <c r="D56" s="161" t="s">
        <v>499</v>
      </c>
      <c r="E56" s="161" t="s">
        <v>499</v>
      </c>
      <c r="F56" s="161" t="s">
        <v>499</v>
      </c>
    </row>
    <row r="57" spans="1:6" ht="25">
      <c r="A57" s="94"/>
      <c r="B57" s="15" t="s">
        <v>321</v>
      </c>
      <c r="C57" s="90" t="s">
        <v>72</v>
      </c>
      <c r="D57" s="160">
        <v>39024657</v>
      </c>
      <c r="E57" s="160">
        <v>38991781</v>
      </c>
      <c r="F57" s="160">
        <v>116975342</v>
      </c>
    </row>
    <row r="58" spans="1:6" ht="25">
      <c r="A58" s="94"/>
      <c r="B58" s="15" t="s">
        <v>284</v>
      </c>
      <c r="C58" s="90" t="s">
        <v>73</v>
      </c>
      <c r="D58" s="160">
        <v>0</v>
      </c>
      <c r="E58" s="160">
        <v>0</v>
      </c>
      <c r="F58" s="160">
        <v>0</v>
      </c>
    </row>
    <row r="59" spans="1:6" ht="25">
      <c r="A59" s="94"/>
      <c r="B59" s="15" t="s">
        <v>38</v>
      </c>
      <c r="C59" s="90" t="s">
        <v>74</v>
      </c>
      <c r="D59" s="160">
        <v>17359178</v>
      </c>
      <c r="E59" s="160">
        <v>14717564</v>
      </c>
      <c r="F59" s="160">
        <v>32076742</v>
      </c>
    </row>
    <row r="60" spans="1:6" ht="137.5">
      <c r="A60" s="85">
        <v>8</v>
      </c>
      <c r="B60" s="95" t="s">
        <v>322</v>
      </c>
      <c r="C60" s="87" t="s">
        <v>75</v>
      </c>
      <c r="D60" s="160">
        <v>35962923</v>
      </c>
      <c r="E60" s="160">
        <v>24955742</v>
      </c>
      <c r="F60" s="160">
        <v>72015512</v>
      </c>
    </row>
    <row r="61" spans="1:6">
      <c r="A61" s="108" t="s">
        <v>499</v>
      </c>
      <c r="B61" s="108" t="s">
        <v>499</v>
      </c>
      <c r="C61" s="108" t="s">
        <v>499</v>
      </c>
      <c r="D61" s="161" t="s">
        <v>499</v>
      </c>
      <c r="E61" s="161" t="s">
        <v>499</v>
      </c>
      <c r="F61" s="161" t="s">
        <v>499</v>
      </c>
    </row>
    <row r="62" spans="1:6" ht="25">
      <c r="A62" s="94"/>
      <c r="B62" s="96" t="s">
        <v>285</v>
      </c>
      <c r="C62" s="90" t="s">
        <v>76</v>
      </c>
      <c r="D62" s="160">
        <v>35962923</v>
      </c>
      <c r="E62" s="160">
        <v>24955742</v>
      </c>
      <c r="F62" s="160">
        <v>72015512</v>
      </c>
    </row>
    <row r="63" spans="1:6" ht="25">
      <c r="A63" s="94"/>
      <c r="B63" s="96" t="s">
        <v>201</v>
      </c>
      <c r="C63" s="90" t="s">
        <v>77</v>
      </c>
      <c r="D63" s="160">
        <v>0</v>
      </c>
      <c r="E63" s="160">
        <v>0</v>
      </c>
      <c r="F63" s="160">
        <v>0</v>
      </c>
    </row>
    <row r="64" spans="1:6" s="23" customFormat="1" ht="37.5">
      <c r="A64" s="94"/>
      <c r="B64" s="96" t="s">
        <v>323</v>
      </c>
      <c r="C64" s="90" t="s">
        <v>78</v>
      </c>
      <c r="D64" s="160">
        <v>0</v>
      </c>
      <c r="E64" s="160">
        <v>0</v>
      </c>
      <c r="F64" s="160">
        <v>0</v>
      </c>
    </row>
    <row r="65" spans="1:6" s="23" customFormat="1" ht="25">
      <c r="A65" s="94"/>
      <c r="B65" s="15" t="s">
        <v>286</v>
      </c>
      <c r="C65" s="90" t="s">
        <v>79</v>
      </c>
      <c r="D65" s="160">
        <v>0</v>
      </c>
      <c r="E65" s="160">
        <v>0</v>
      </c>
      <c r="F65" s="160">
        <v>0</v>
      </c>
    </row>
    <row r="66" spans="1:6" ht="25">
      <c r="A66" s="94"/>
      <c r="B66" s="15" t="s">
        <v>508</v>
      </c>
      <c r="C66" s="90" t="s">
        <v>80</v>
      </c>
      <c r="D66" s="160">
        <v>0</v>
      </c>
      <c r="E66" s="160">
        <v>0</v>
      </c>
      <c r="F66" s="160">
        <v>0</v>
      </c>
    </row>
    <row r="67" spans="1:6" ht="50">
      <c r="A67" s="85">
        <v>9</v>
      </c>
      <c r="B67" s="86" t="s">
        <v>324</v>
      </c>
      <c r="C67" s="87" t="s">
        <v>81</v>
      </c>
      <c r="D67" s="160">
        <v>12844719361</v>
      </c>
      <c r="E67" s="160">
        <v>9928792892</v>
      </c>
      <c r="F67" s="160">
        <v>28199591605</v>
      </c>
    </row>
    <row r="68" spans="1:6" s="23" customFormat="1">
      <c r="A68" s="108" t="s">
        <v>499</v>
      </c>
      <c r="B68" s="108" t="s">
        <v>499</v>
      </c>
      <c r="C68" s="108" t="s">
        <v>499</v>
      </c>
      <c r="D68" s="161" t="s">
        <v>499</v>
      </c>
      <c r="E68" s="161" t="s">
        <v>499</v>
      </c>
      <c r="F68" s="161" t="s">
        <v>499</v>
      </c>
    </row>
    <row r="69" spans="1:6" s="23" customFormat="1" ht="25">
      <c r="A69" s="94"/>
      <c r="B69" s="89" t="s">
        <v>40</v>
      </c>
      <c r="C69" s="90" t="s">
        <v>82</v>
      </c>
      <c r="D69" s="160">
        <v>12818551290</v>
      </c>
      <c r="E69" s="160">
        <v>9896812280</v>
      </c>
      <c r="F69" s="160">
        <v>28123968171</v>
      </c>
    </row>
    <row r="70" spans="1:6" s="23" customFormat="1" ht="25">
      <c r="A70" s="94"/>
      <c r="B70" s="89" t="s">
        <v>41</v>
      </c>
      <c r="C70" s="90" t="s">
        <v>83</v>
      </c>
      <c r="D70" s="160">
        <v>26168071</v>
      </c>
      <c r="E70" s="160">
        <v>31980612</v>
      </c>
      <c r="F70" s="160">
        <v>75623434</v>
      </c>
    </row>
    <row r="71" spans="1:6" ht="25">
      <c r="A71" s="94"/>
      <c r="B71" s="89" t="s">
        <v>42</v>
      </c>
      <c r="C71" s="90" t="s">
        <v>84</v>
      </c>
      <c r="D71" s="160">
        <v>0</v>
      </c>
      <c r="E71" s="160">
        <v>0</v>
      </c>
      <c r="F71" s="160">
        <v>0</v>
      </c>
    </row>
    <row r="72" spans="1:6" ht="25">
      <c r="A72" s="85">
        <v>10</v>
      </c>
      <c r="B72" s="86" t="s">
        <v>509</v>
      </c>
      <c r="C72" s="87" t="s">
        <v>85</v>
      </c>
      <c r="D72" s="160">
        <v>26221861</v>
      </c>
      <c r="E72" s="160">
        <v>26344313</v>
      </c>
      <c r="F72" s="160">
        <v>78473039</v>
      </c>
    </row>
    <row r="73" spans="1:6">
      <c r="A73" s="108" t="s">
        <v>499</v>
      </c>
      <c r="B73" s="108" t="s">
        <v>499</v>
      </c>
      <c r="C73" s="108" t="s">
        <v>499</v>
      </c>
      <c r="D73" s="161" t="s">
        <v>499</v>
      </c>
      <c r="E73" s="161" t="s">
        <v>499</v>
      </c>
      <c r="F73" s="161" t="s">
        <v>499</v>
      </c>
    </row>
    <row r="74" spans="1:6" ht="25">
      <c r="A74" s="85"/>
      <c r="B74" s="89" t="s">
        <v>43</v>
      </c>
      <c r="C74" s="90" t="s">
        <v>86</v>
      </c>
      <c r="D74" s="160">
        <v>0</v>
      </c>
      <c r="E74" s="160">
        <v>0</v>
      </c>
      <c r="F74" s="160">
        <v>0</v>
      </c>
    </row>
    <row r="75" spans="1:6" ht="25">
      <c r="A75" s="85"/>
      <c r="B75" s="89" t="s">
        <v>325</v>
      </c>
      <c r="C75" s="90" t="s">
        <v>87</v>
      </c>
      <c r="D75" s="160">
        <v>0</v>
      </c>
      <c r="E75" s="160">
        <v>0</v>
      </c>
      <c r="F75" s="160">
        <v>0</v>
      </c>
    </row>
    <row r="76" spans="1:6" ht="25">
      <c r="A76" s="85"/>
      <c r="B76" s="89" t="s">
        <v>44</v>
      </c>
      <c r="C76" s="90" t="s">
        <v>88</v>
      </c>
      <c r="D76" s="160">
        <v>1890411</v>
      </c>
      <c r="E76" s="160">
        <v>1869863</v>
      </c>
      <c r="F76" s="160">
        <v>5609589</v>
      </c>
    </row>
    <row r="77" spans="1:6" ht="25">
      <c r="A77" s="85"/>
      <c r="B77" s="89" t="s">
        <v>45</v>
      </c>
      <c r="C77" s="90" t="s">
        <v>89</v>
      </c>
      <c r="D77" s="160">
        <v>24331450</v>
      </c>
      <c r="E77" s="160">
        <v>23374450</v>
      </c>
      <c r="F77" s="160">
        <v>71763450</v>
      </c>
    </row>
    <row r="78" spans="1:6" ht="25">
      <c r="A78" s="85"/>
      <c r="B78" s="89" t="s">
        <v>326</v>
      </c>
      <c r="C78" s="90" t="s">
        <v>90</v>
      </c>
      <c r="D78" s="160">
        <v>0</v>
      </c>
      <c r="E78" s="160">
        <v>0</v>
      </c>
      <c r="F78" s="160">
        <v>0</v>
      </c>
    </row>
    <row r="79" spans="1:6" ht="25">
      <c r="A79" s="85"/>
      <c r="B79" s="89" t="s">
        <v>42</v>
      </c>
      <c r="C79" s="90" t="s">
        <v>91</v>
      </c>
      <c r="D79" s="160">
        <v>0</v>
      </c>
      <c r="E79" s="160">
        <v>0</v>
      </c>
      <c r="F79" s="160">
        <v>0</v>
      </c>
    </row>
    <row r="80" spans="1:6" ht="25">
      <c r="A80" s="85"/>
      <c r="B80" s="89" t="s">
        <v>560</v>
      </c>
      <c r="C80" s="90" t="s">
        <v>92</v>
      </c>
      <c r="D80" s="160">
        <v>0</v>
      </c>
      <c r="E80" s="160">
        <v>1100000</v>
      </c>
      <c r="F80" s="160">
        <v>1100000</v>
      </c>
    </row>
    <row r="81" spans="1:6" ht="37.5">
      <c r="A81" s="162" t="s">
        <v>26</v>
      </c>
      <c r="B81" s="157" t="s">
        <v>327</v>
      </c>
      <c r="C81" s="158" t="s">
        <v>93</v>
      </c>
      <c r="D81" s="163">
        <v>-14679682115</v>
      </c>
      <c r="E81" s="163">
        <v>-15985916781</v>
      </c>
      <c r="F81" s="163">
        <v>-49016421220</v>
      </c>
    </row>
    <row r="82" spans="1:6" ht="25">
      <c r="A82" s="162" t="s">
        <v>27</v>
      </c>
      <c r="B82" s="157" t="s">
        <v>288</v>
      </c>
      <c r="C82" s="158" t="s">
        <v>94</v>
      </c>
      <c r="D82" s="163">
        <v>671387558900</v>
      </c>
      <c r="E82" s="163">
        <v>371534355100</v>
      </c>
      <c r="F82" s="163">
        <v>992700149500</v>
      </c>
    </row>
    <row r="83" spans="1:6" ht="50">
      <c r="A83" s="85">
        <v>1</v>
      </c>
      <c r="B83" s="86" t="s">
        <v>510</v>
      </c>
      <c r="C83" s="87" t="s">
        <v>95</v>
      </c>
      <c r="D83" s="160">
        <v>500702801192</v>
      </c>
      <c r="E83" s="160">
        <v>143798426817</v>
      </c>
      <c r="F83" s="160">
        <v>712266172986</v>
      </c>
    </row>
    <row r="84" spans="1:6" ht="25">
      <c r="A84" s="85">
        <v>2</v>
      </c>
      <c r="B84" s="86" t="s">
        <v>46</v>
      </c>
      <c r="C84" s="87" t="s">
        <v>96</v>
      </c>
      <c r="D84" s="160">
        <v>170684757708</v>
      </c>
      <c r="E84" s="160">
        <v>227735928283</v>
      </c>
      <c r="F84" s="160">
        <v>280433976514</v>
      </c>
    </row>
    <row r="85" spans="1:6" ht="62.5">
      <c r="A85" s="162" t="s">
        <v>28</v>
      </c>
      <c r="B85" s="157" t="s">
        <v>328</v>
      </c>
      <c r="C85" s="158" t="s">
        <v>97</v>
      </c>
      <c r="D85" s="163">
        <v>656707876785</v>
      </c>
      <c r="E85" s="163">
        <v>355548438319</v>
      </c>
      <c r="F85" s="163">
        <v>943683728280</v>
      </c>
    </row>
    <row r="86" spans="1:6" ht="25">
      <c r="A86" s="162" t="s">
        <v>29</v>
      </c>
      <c r="B86" s="157" t="s">
        <v>47</v>
      </c>
      <c r="C86" s="158" t="s">
        <v>98</v>
      </c>
      <c r="D86" s="163">
        <v>3115805083387</v>
      </c>
      <c r="E86" s="163">
        <v>2788780000060</v>
      </c>
      <c r="F86" s="163">
        <v>2864542092297</v>
      </c>
    </row>
    <row r="87" spans="1:6" ht="62.25" customHeight="1">
      <c r="A87" s="162" t="s">
        <v>30</v>
      </c>
      <c r="B87" s="157" t="s">
        <v>548</v>
      </c>
      <c r="C87" s="158" t="s">
        <v>99</v>
      </c>
      <c r="D87" s="163">
        <v>1272407506238</v>
      </c>
      <c r="E87" s="163">
        <v>327025083327</v>
      </c>
      <c r="F87" s="163">
        <v>1523670497328</v>
      </c>
    </row>
    <row r="88" spans="1:6" s="23" customFormat="1" ht="50">
      <c r="A88" s="85">
        <v>1</v>
      </c>
      <c r="B88" s="86" t="s">
        <v>511</v>
      </c>
      <c r="C88" s="87" t="s">
        <v>100</v>
      </c>
      <c r="D88" s="160">
        <v>656707876785</v>
      </c>
      <c r="E88" s="160">
        <v>355548438319</v>
      </c>
      <c r="F88" s="160">
        <v>943683728280</v>
      </c>
    </row>
    <row r="89" spans="1:6" ht="50">
      <c r="A89" s="85">
        <v>2</v>
      </c>
      <c r="B89" s="86" t="s">
        <v>512</v>
      </c>
      <c r="C89" s="87" t="s">
        <v>101</v>
      </c>
      <c r="D89" s="160">
        <v>0</v>
      </c>
      <c r="E89" s="160">
        <v>0</v>
      </c>
      <c r="F89" s="160">
        <v>0</v>
      </c>
    </row>
    <row r="90" spans="1:6" ht="50">
      <c r="A90" s="85">
        <v>3</v>
      </c>
      <c r="B90" s="86" t="s">
        <v>513</v>
      </c>
      <c r="C90" s="87" t="s">
        <v>102</v>
      </c>
      <c r="D90" s="160">
        <v>615699629453</v>
      </c>
      <c r="E90" s="160">
        <v>-28523354992</v>
      </c>
      <c r="F90" s="160">
        <v>579986769048</v>
      </c>
    </row>
    <row r="91" spans="1:6" ht="50">
      <c r="A91" s="85"/>
      <c r="B91" s="86" t="s">
        <v>329</v>
      </c>
      <c r="C91" s="87" t="s">
        <v>514</v>
      </c>
      <c r="D91" s="160">
        <v>1784603302266</v>
      </c>
      <c r="E91" s="160">
        <v>676181071065</v>
      </c>
      <c r="F91" s="160">
        <v>2878623458501</v>
      </c>
    </row>
    <row r="92" spans="1:6" ht="37.5">
      <c r="A92" s="85"/>
      <c r="B92" s="86" t="s">
        <v>330</v>
      </c>
      <c r="C92" s="87" t="s">
        <v>515</v>
      </c>
      <c r="D92" s="160">
        <v>-1168903672813</v>
      </c>
      <c r="E92" s="160">
        <v>-704704426057</v>
      </c>
      <c r="F92" s="160">
        <v>-2298636689453</v>
      </c>
    </row>
    <row r="93" spans="1:6" s="27" customFormat="1" ht="25">
      <c r="A93" s="156" t="s">
        <v>31</v>
      </c>
      <c r="B93" s="157" t="s">
        <v>48</v>
      </c>
      <c r="C93" s="158" t="s">
        <v>103</v>
      </c>
      <c r="D93" s="163">
        <v>4388212589625</v>
      </c>
      <c r="E93" s="163">
        <v>3115805083387</v>
      </c>
      <c r="F93" s="163">
        <v>4388212589625</v>
      </c>
    </row>
    <row r="94" spans="1:6" ht="50">
      <c r="A94" s="156" t="s">
        <v>32</v>
      </c>
      <c r="B94" s="157" t="s">
        <v>289</v>
      </c>
      <c r="C94" s="158" t="s">
        <v>104</v>
      </c>
      <c r="D94" s="163">
        <v>0</v>
      </c>
      <c r="E94" s="163">
        <v>0</v>
      </c>
      <c r="F94" s="163">
        <v>0</v>
      </c>
    </row>
    <row r="95" spans="1:6" ht="50">
      <c r="A95" s="97"/>
      <c r="B95" s="86" t="s">
        <v>290</v>
      </c>
      <c r="C95" s="87" t="s">
        <v>105</v>
      </c>
      <c r="D95" s="183">
        <v>0</v>
      </c>
      <c r="E95" s="183">
        <v>0</v>
      </c>
      <c r="F95" s="183">
        <v>0</v>
      </c>
    </row>
    <row r="96" spans="1:6" ht="16.899999999999999" customHeight="1"/>
    <row r="97" spans="1:6" ht="16.899999999999999" customHeight="1">
      <c r="A97" s="17" t="s">
        <v>10</v>
      </c>
      <c r="D97" s="17" t="s">
        <v>11</v>
      </c>
    </row>
    <row r="98" spans="1:6" ht="16.899999999999999" customHeight="1">
      <c r="A98" s="18" t="s">
        <v>12</v>
      </c>
      <c r="D98" s="18" t="s">
        <v>13</v>
      </c>
    </row>
    <row r="99" spans="1:6" ht="16.899999999999999" customHeight="1">
      <c r="A99" s="18"/>
      <c r="D99" s="18"/>
    </row>
    <row r="100" spans="1:6" ht="16.899999999999999" customHeight="1">
      <c r="A100" s="18"/>
      <c r="D100" s="18"/>
    </row>
    <row r="101" spans="1:6" ht="16.899999999999999" customHeight="1">
      <c r="A101" s="18"/>
      <c r="D101" s="18"/>
    </row>
    <row r="102" spans="1:6" ht="16.899999999999999" customHeight="1">
      <c r="A102" s="18"/>
      <c r="D102" s="18"/>
    </row>
    <row r="103" spans="1:6" ht="16.899999999999999" customHeight="1"/>
    <row r="104" spans="1:6" ht="16.899999999999999" customHeight="1"/>
    <row r="105" spans="1:6" ht="16.899999999999999" customHeight="1">
      <c r="A105" s="28" t="s">
        <v>14</v>
      </c>
      <c r="B105" s="29"/>
      <c r="D105" s="28" t="s">
        <v>1301</v>
      </c>
      <c r="E105" s="29"/>
      <c r="F105" s="29"/>
    </row>
    <row r="106" spans="1:6" ht="16.899999999999999" customHeight="1">
      <c r="A106" s="25" t="s">
        <v>1323</v>
      </c>
      <c r="D106" s="25" t="s">
        <v>1319</v>
      </c>
    </row>
    <row r="107" spans="1:6" ht="16.899999999999999" customHeight="1">
      <c r="A107" s="12" t="s">
        <v>1309</v>
      </c>
      <c r="D107" s="12" t="s">
        <v>1320</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9"/>
  <sheetViews>
    <sheetView view="pageBreakPreview" topLeftCell="A117" zoomScale="70" zoomScaleNormal="100" zoomScaleSheetLayoutView="70" workbookViewId="0">
      <selection activeCell="A128" sqref="A128"/>
    </sheetView>
  </sheetViews>
  <sheetFormatPr defaultColWidth="8.7265625" defaultRowHeight="12.5"/>
  <cols>
    <col min="1" max="1" width="9" style="12" customWidth="1"/>
    <col min="2" max="2" width="39.81640625" style="12" customWidth="1"/>
    <col min="3" max="3" width="9.26953125" style="12" customWidth="1"/>
    <col min="4" max="4" width="28" style="12" customWidth="1"/>
    <col min="5" max="5" width="33.81640625" style="12" customWidth="1"/>
    <col min="6" max="6" width="32.1796875" style="12" customWidth="1"/>
    <col min="7" max="7" width="28.54296875" style="12" customWidth="1"/>
    <col min="8" max="16384" width="8.7265625" style="135"/>
  </cols>
  <sheetData>
    <row r="1" spans="1:7" ht="44.25" customHeight="1">
      <c r="A1" s="218" t="s">
        <v>543</v>
      </c>
      <c r="B1" s="218"/>
      <c r="C1" s="218"/>
      <c r="D1" s="218"/>
      <c r="E1" s="218"/>
      <c r="F1" s="218"/>
      <c r="G1" s="218"/>
    </row>
    <row r="2" spans="1:7" ht="59.25" customHeight="1">
      <c r="A2" s="219" t="s">
        <v>544</v>
      </c>
      <c r="B2" s="219"/>
      <c r="C2" s="219"/>
      <c r="D2" s="219"/>
      <c r="E2" s="219"/>
      <c r="F2" s="219"/>
      <c r="G2" s="219"/>
    </row>
    <row r="3" spans="1:7" ht="15" customHeight="1">
      <c r="A3" s="220" t="s">
        <v>494</v>
      </c>
      <c r="B3" s="220"/>
      <c r="C3" s="220"/>
      <c r="D3" s="220"/>
      <c r="E3" s="220"/>
      <c r="F3" s="220"/>
      <c r="G3" s="220"/>
    </row>
    <row r="4" spans="1:7" ht="27.4" customHeight="1">
      <c r="A4" s="220"/>
      <c r="B4" s="220"/>
      <c r="C4" s="220"/>
      <c r="D4" s="220"/>
      <c r="E4" s="220"/>
      <c r="F4" s="220"/>
      <c r="G4" s="220"/>
    </row>
    <row r="5" spans="1:7" ht="16.899999999999999" customHeight="1">
      <c r="A5" s="221" t="s">
        <v>1299</v>
      </c>
      <c r="B5" s="221"/>
      <c r="C5" s="221"/>
      <c r="D5" s="221"/>
      <c r="E5" s="221"/>
      <c r="F5" s="221"/>
      <c r="G5" s="221"/>
    </row>
    <row r="6" spans="1:7" ht="16.899999999999999" customHeight="1"/>
    <row r="7" spans="1:7" ht="16.899999999999999" customHeight="1">
      <c r="A7" s="110" t="s">
        <v>2</v>
      </c>
      <c r="C7" s="222" t="s">
        <v>1301</v>
      </c>
      <c r="D7" s="222"/>
      <c r="E7" s="222"/>
      <c r="F7" s="222"/>
      <c r="G7" s="222"/>
    </row>
    <row r="8" spans="1:7" ht="16.899999999999999" customHeight="1">
      <c r="A8" s="12" t="s">
        <v>15</v>
      </c>
      <c r="C8" s="217" t="s">
        <v>1302</v>
      </c>
      <c r="D8" s="217"/>
      <c r="E8" s="217"/>
      <c r="F8" s="217"/>
      <c r="G8" s="217"/>
    </row>
    <row r="9" spans="1:7" ht="16.899999999999999" customHeight="1">
      <c r="A9" s="110" t="s">
        <v>3</v>
      </c>
      <c r="C9" s="222" t="s">
        <v>1303</v>
      </c>
      <c r="D9" s="222"/>
      <c r="E9" s="222"/>
      <c r="F9" s="222"/>
      <c r="G9" s="222"/>
    </row>
    <row r="10" spans="1:7" ht="16.899999999999999" customHeight="1">
      <c r="A10" s="12" t="s">
        <v>4</v>
      </c>
      <c r="C10" s="217" t="s">
        <v>1304</v>
      </c>
      <c r="D10" s="217"/>
      <c r="E10" s="217"/>
      <c r="F10" s="217"/>
      <c r="G10" s="217"/>
    </row>
    <row r="11" spans="1:7" ht="16.899999999999999" customHeight="1">
      <c r="A11" s="110" t="s">
        <v>5</v>
      </c>
      <c r="C11" s="222" t="s">
        <v>1305</v>
      </c>
      <c r="D11" s="222"/>
      <c r="E11" s="222"/>
      <c r="F11" s="222"/>
      <c r="G11" s="222"/>
    </row>
    <row r="12" spans="1:7" ht="16.899999999999999" customHeight="1">
      <c r="A12" s="12" t="s">
        <v>6</v>
      </c>
      <c r="C12" s="217" t="s">
        <v>1306</v>
      </c>
      <c r="D12" s="217"/>
      <c r="E12" s="217"/>
      <c r="F12" s="217"/>
      <c r="G12" s="217"/>
    </row>
    <row r="13" spans="1:7" ht="16.899999999999999" customHeight="1">
      <c r="A13" s="110" t="s">
        <v>7</v>
      </c>
      <c r="C13" s="222" t="s">
        <v>1307</v>
      </c>
      <c r="D13" s="222"/>
      <c r="E13" s="222"/>
      <c r="F13" s="222"/>
      <c r="G13" s="222"/>
    </row>
    <row r="14" spans="1:7" ht="16.899999999999999" customHeight="1">
      <c r="A14" s="12" t="s">
        <v>8</v>
      </c>
      <c r="C14" s="217" t="s">
        <v>1308</v>
      </c>
      <c r="D14" s="217"/>
      <c r="E14" s="217"/>
      <c r="F14" s="217"/>
      <c r="G14" s="217"/>
    </row>
    <row r="15" spans="1:7" ht="18" hidden="1" customHeight="1"/>
    <row r="16" spans="1:7" ht="16.899999999999999" customHeight="1">
      <c r="A16" s="104" t="s">
        <v>541</v>
      </c>
      <c r="B16" s="105" t="s">
        <v>542</v>
      </c>
    </row>
    <row r="17" spans="1:7" ht="16.899999999999999" customHeight="1">
      <c r="A17" s="19" t="s">
        <v>26</v>
      </c>
      <c r="B17" s="20" t="s">
        <v>496</v>
      </c>
    </row>
    <row r="18" spans="1:7" ht="75.400000000000006" customHeight="1">
      <c r="A18" s="31" t="s">
        <v>234</v>
      </c>
      <c r="B18" s="31" t="s">
        <v>106</v>
      </c>
      <c r="C18" s="31" t="s">
        <v>19</v>
      </c>
      <c r="D18" s="31" t="s">
        <v>107</v>
      </c>
      <c r="E18" s="31" t="s">
        <v>108</v>
      </c>
      <c r="F18" s="31" t="s">
        <v>109</v>
      </c>
      <c r="G18" s="31" t="s">
        <v>110</v>
      </c>
    </row>
    <row r="19" spans="1:7" ht="39" customHeight="1">
      <c r="A19" s="186" t="s">
        <v>568</v>
      </c>
      <c r="B19" s="185" t="s">
        <v>569</v>
      </c>
      <c r="C19" s="186"/>
      <c r="D19" s="188"/>
      <c r="E19" s="188"/>
      <c r="F19" s="188"/>
      <c r="G19" s="187"/>
    </row>
    <row r="20" spans="1:7" ht="39" customHeight="1">
      <c r="A20" s="181"/>
      <c r="B20" s="180"/>
      <c r="C20" s="182"/>
      <c r="D20" s="184"/>
      <c r="E20" s="190"/>
      <c r="F20" s="184"/>
      <c r="G20" s="183"/>
    </row>
    <row r="21" spans="1:7" ht="39" customHeight="1">
      <c r="A21" s="186"/>
      <c r="B21" s="185" t="s">
        <v>570</v>
      </c>
      <c r="C21" s="186" t="s">
        <v>571</v>
      </c>
      <c r="D21" s="188"/>
      <c r="E21" s="188"/>
      <c r="F21" s="188"/>
      <c r="G21" s="187"/>
    </row>
    <row r="22" spans="1:7" ht="39" customHeight="1">
      <c r="A22" s="186" t="s">
        <v>572</v>
      </c>
      <c r="B22" s="185" t="s">
        <v>573</v>
      </c>
      <c r="C22" s="186" t="s">
        <v>574</v>
      </c>
      <c r="D22" s="188"/>
      <c r="E22" s="188"/>
      <c r="F22" s="188"/>
      <c r="G22" s="187"/>
    </row>
    <row r="23" spans="1:7" ht="39" customHeight="1">
      <c r="A23" s="181"/>
      <c r="B23" s="180"/>
      <c r="C23" s="182"/>
      <c r="D23" s="184"/>
      <c r="E23" s="190"/>
      <c r="F23" s="184"/>
      <c r="G23" s="183"/>
    </row>
    <row r="24" spans="1:7" ht="34" customHeight="1">
      <c r="A24" s="181" t="s">
        <v>575</v>
      </c>
      <c r="B24" s="180" t="s">
        <v>576</v>
      </c>
      <c r="C24" s="182" t="s">
        <v>577</v>
      </c>
      <c r="D24" s="184">
        <v>1712400</v>
      </c>
      <c r="E24" s="190">
        <v>25500</v>
      </c>
      <c r="F24" s="184">
        <v>43666200000</v>
      </c>
      <c r="G24" s="183">
        <v>9.4067796322908296E-3</v>
      </c>
    </row>
    <row r="25" spans="1:7" ht="34" customHeight="1">
      <c r="A25" s="181" t="s">
        <v>578</v>
      </c>
      <c r="B25" s="180" t="s">
        <v>579</v>
      </c>
      <c r="C25" s="182" t="s">
        <v>580</v>
      </c>
      <c r="D25" s="184">
        <v>56055</v>
      </c>
      <c r="E25" s="190">
        <v>55900</v>
      </c>
      <c r="F25" s="184">
        <v>3133474500</v>
      </c>
      <c r="G25" s="183">
        <v>6.7502791873125397E-4</v>
      </c>
    </row>
    <row r="26" spans="1:7" ht="34" customHeight="1">
      <c r="A26" s="181" t="s">
        <v>581</v>
      </c>
      <c r="B26" s="180" t="s">
        <v>582</v>
      </c>
      <c r="C26" s="182" t="s">
        <v>583</v>
      </c>
      <c r="D26" s="184">
        <v>1270300</v>
      </c>
      <c r="E26" s="190">
        <v>28850</v>
      </c>
      <c r="F26" s="184">
        <v>36648155000</v>
      </c>
      <c r="G26" s="183">
        <v>7.8949191368847607E-3</v>
      </c>
    </row>
    <row r="27" spans="1:7" ht="34" customHeight="1">
      <c r="A27" s="181" t="s">
        <v>584</v>
      </c>
      <c r="B27" s="180" t="s">
        <v>585</v>
      </c>
      <c r="C27" s="182" t="s">
        <v>586</v>
      </c>
      <c r="D27" s="184">
        <v>319140</v>
      </c>
      <c r="E27" s="190">
        <v>40000</v>
      </c>
      <c r="F27" s="184">
        <v>12765600000</v>
      </c>
      <c r="G27" s="183">
        <v>2.75002601723923E-3</v>
      </c>
    </row>
    <row r="28" spans="1:7" ht="34" customHeight="1">
      <c r="A28" s="181" t="s">
        <v>587</v>
      </c>
      <c r="B28" s="180" t="s">
        <v>588</v>
      </c>
      <c r="C28" s="182" t="s">
        <v>589</v>
      </c>
      <c r="D28" s="184">
        <v>2113980</v>
      </c>
      <c r="E28" s="190">
        <v>25500</v>
      </c>
      <c r="F28" s="184">
        <v>53906490000</v>
      </c>
      <c r="G28" s="183">
        <v>1.16127914080064E-2</v>
      </c>
    </row>
    <row r="29" spans="1:7" ht="34" customHeight="1">
      <c r="A29" s="181" t="s">
        <v>590</v>
      </c>
      <c r="B29" s="180" t="s">
        <v>591</v>
      </c>
      <c r="C29" s="182" t="s">
        <v>592</v>
      </c>
      <c r="D29" s="184">
        <v>1368832</v>
      </c>
      <c r="E29" s="190">
        <v>25500</v>
      </c>
      <c r="F29" s="184">
        <v>34905216000</v>
      </c>
      <c r="G29" s="183">
        <v>7.5194469619410901E-3</v>
      </c>
    </row>
    <row r="30" spans="1:7" ht="34" customHeight="1">
      <c r="A30" s="181" t="s">
        <v>593</v>
      </c>
      <c r="B30" s="180" t="s">
        <v>594</v>
      </c>
      <c r="C30" s="182" t="s">
        <v>595</v>
      </c>
      <c r="D30" s="184">
        <v>5166526</v>
      </c>
      <c r="E30" s="190">
        <v>50800</v>
      </c>
      <c r="F30" s="184">
        <v>262459520800</v>
      </c>
      <c r="G30" s="183">
        <v>5.6540273130298697E-2</v>
      </c>
    </row>
    <row r="31" spans="1:7" ht="34" customHeight="1">
      <c r="A31" s="181" t="s">
        <v>596</v>
      </c>
      <c r="B31" s="180" t="s">
        <v>597</v>
      </c>
      <c r="C31" s="182" t="s">
        <v>598</v>
      </c>
      <c r="D31" s="184">
        <v>755400</v>
      </c>
      <c r="E31" s="190">
        <v>25150</v>
      </c>
      <c r="F31" s="184">
        <v>18998310000</v>
      </c>
      <c r="G31" s="183">
        <v>4.0927059271460998E-3</v>
      </c>
    </row>
    <row r="32" spans="1:7" ht="34" customHeight="1">
      <c r="A32" s="181" t="s">
        <v>599</v>
      </c>
      <c r="B32" s="180" t="s">
        <v>600</v>
      </c>
      <c r="C32" s="182" t="s">
        <v>601</v>
      </c>
      <c r="D32" s="184">
        <v>618800</v>
      </c>
      <c r="E32" s="190">
        <v>41500</v>
      </c>
      <c r="F32" s="184">
        <v>25680200000</v>
      </c>
      <c r="G32" s="183">
        <v>5.5321503202283399E-3</v>
      </c>
    </row>
    <row r="33" spans="1:7" ht="34" customHeight="1">
      <c r="A33" s="181" t="s">
        <v>602</v>
      </c>
      <c r="B33" s="180" t="s">
        <v>603</v>
      </c>
      <c r="C33" s="182" t="s">
        <v>604</v>
      </c>
      <c r="D33" s="184">
        <v>106800</v>
      </c>
      <c r="E33" s="190">
        <v>34900</v>
      </c>
      <c r="F33" s="184">
        <v>3727320000</v>
      </c>
      <c r="G33" s="183">
        <v>8.0295692913581295E-4</v>
      </c>
    </row>
    <row r="34" spans="1:7" ht="34" customHeight="1">
      <c r="A34" s="181" t="s">
        <v>605</v>
      </c>
      <c r="B34" s="180" t="s">
        <v>606</v>
      </c>
      <c r="C34" s="182" t="s">
        <v>607</v>
      </c>
      <c r="D34" s="184">
        <v>696600</v>
      </c>
      <c r="E34" s="190">
        <v>23300</v>
      </c>
      <c r="F34" s="184">
        <v>16230780000</v>
      </c>
      <c r="G34" s="183">
        <v>3.4965115059289202E-3</v>
      </c>
    </row>
    <row r="35" spans="1:7" ht="34" customHeight="1">
      <c r="A35" s="181" t="s">
        <v>608</v>
      </c>
      <c r="B35" s="180" t="s">
        <v>609</v>
      </c>
      <c r="C35" s="182" t="s">
        <v>610</v>
      </c>
      <c r="D35" s="184">
        <v>798701</v>
      </c>
      <c r="E35" s="190">
        <v>25100</v>
      </c>
      <c r="F35" s="184">
        <v>20047395100</v>
      </c>
      <c r="G35" s="183">
        <v>4.31870480845979E-3</v>
      </c>
    </row>
    <row r="36" spans="1:7" ht="34" customHeight="1">
      <c r="A36" s="181" t="s">
        <v>611</v>
      </c>
      <c r="B36" s="180" t="s">
        <v>612</v>
      </c>
      <c r="C36" s="182" t="s">
        <v>613</v>
      </c>
      <c r="D36" s="184">
        <v>5274397</v>
      </c>
      <c r="E36" s="190">
        <v>20700</v>
      </c>
      <c r="F36" s="184">
        <v>109180017900</v>
      </c>
      <c r="G36" s="183">
        <v>2.3520076595510201E-2</v>
      </c>
    </row>
    <row r="37" spans="1:7" ht="34" customHeight="1">
      <c r="A37" s="181" t="s">
        <v>614</v>
      </c>
      <c r="B37" s="180" t="s">
        <v>615</v>
      </c>
      <c r="C37" s="182" t="s">
        <v>616</v>
      </c>
      <c r="D37" s="184">
        <v>2343400</v>
      </c>
      <c r="E37" s="190">
        <v>12250</v>
      </c>
      <c r="F37" s="184">
        <v>28706650000</v>
      </c>
      <c r="G37" s="183">
        <v>6.1841225142398801E-3</v>
      </c>
    </row>
    <row r="38" spans="1:7" ht="34" customHeight="1">
      <c r="A38" s="181" t="s">
        <v>617</v>
      </c>
      <c r="B38" s="180" t="s">
        <v>618</v>
      </c>
      <c r="C38" s="182" t="s">
        <v>619</v>
      </c>
      <c r="D38" s="184">
        <v>910000</v>
      </c>
      <c r="E38" s="190">
        <v>26000</v>
      </c>
      <c r="F38" s="184">
        <v>23660000000</v>
      </c>
      <c r="G38" s="183">
        <v>5.0969492673967696E-3</v>
      </c>
    </row>
    <row r="39" spans="1:7" ht="34" customHeight="1">
      <c r="A39" s="181" t="s">
        <v>620</v>
      </c>
      <c r="B39" s="180" t="s">
        <v>621</v>
      </c>
      <c r="C39" s="182" t="s">
        <v>622</v>
      </c>
      <c r="D39" s="184">
        <v>268000</v>
      </c>
      <c r="E39" s="190">
        <v>22900</v>
      </c>
      <c r="F39" s="184">
        <v>6137200000</v>
      </c>
      <c r="G39" s="183">
        <v>1.32210469331646E-3</v>
      </c>
    </row>
    <row r="40" spans="1:7" ht="34" customHeight="1">
      <c r="A40" s="181" t="s">
        <v>623</v>
      </c>
      <c r="B40" s="180" t="s">
        <v>624</v>
      </c>
      <c r="C40" s="182" t="s">
        <v>625</v>
      </c>
      <c r="D40" s="184">
        <v>66200</v>
      </c>
      <c r="E40" s="190">
        <v>93000</v>
      </c>
      <c r="F40" s="184">
        <v>6156600000</v>
      </c>
      <c r="G40" s="183">
        <v>1.3262839332060399E-3</v>
      </c>
    </row>
    <row r="41" spans="1:7" ht="34" customHeight="1">
      <c r="A41" s="181" t="s">
        <v>626</v>
      </c>
      <c r="B41" s="180" t="s">
        <v>627</v>
      </c>
      <c r="C41" s="182" t="s">
        <v>628</v>
      </c>
      <c r="D41" s="184">
        <v>1928215</v>
      </c>
      <c r="E41" s="190">
        <v>55500</v>
      </c>
      <c r="F41" s="184">
        <v>107015932500</v>
      </c>
      <c r="G41" s="183">
        <v>2.3053879068286501E-2</v>
      </c>
    </row>
    <row r="42" spans="1:7" ht="34" customHeight="1">
      <c r="A42" s="181" t="s">
        <v>629</v>
      </c>
      <c r="B42" s="180" t="s">
        <v>630</v>
      </c>
      <c r="C42" s="182" t="s">
        <v>631</v>
      </c>
      <c r="D42" s="184">
        <v>1637900</v>
      </c>
      <c r="E42" s="190">
        <v>67900</v>
      </c>
      <c r="F42" s="184">
        <v>111213410000</v>
      </c>
      <c r="G42" s="183">
        <v>2.3958119553009201E-2</v>
      </c>
    </row>
    <row r="43" spans="1:7" ht="34" customHeight="1">
      <c r="A43" s="181" t="s">
        <v>632</v>
      </c>
      <c r="B43" s="180" t="s">
        <v>633</v>
      </c>
      <c r="C43" s="182" t="s">
        <v>634</v>
      </c>
      <c r="D43" s="184">
        <v>401100</v>
      </c>
      <c r="E43" s="190">
        <v>7400</v>
      </c>
      <c r="F43" s="184">
        <v>2968140000</v>
      </c>
      <c r="G43" s="183">
        <v>6.3941077762176904E-4</v>
      </c>
    </row>
    <row r="44" spans="1:7" ht="34" customHeight="1">
      <c r="A44" s="181" t="s">
        <v>635</v>
      </c>
      <c r="B44" s="180" t="s">
        <v>636</v>
      </c>
      <c r="C44" s="182" t="s">
        <v>637</v>
      </c>
      <c r="D44" s="184">
        <v>2033000</v>
      </c>
      <c r="E44" s="190">
        <v>31000</v>
      </c>
      <c r="F44" s="184">
        <v>63023000000</v>
      </c>
      <c r="G44" s="183">
        <v>1.35767131732522E-2</v>
      </c>
    </row>
    <row r="45" spans="1:7" ht="34" customHeight="1">
      <c r="A45" s="181" t="s">
        <v>638</v>
      </c>
      <c r="B45" s="180" t="s">
        <v>639</v>
      </c>
      <c r="C45" s="182" t="s">
        <v>640</v>
      </c>
      <c r="D45" s="184">
        <v>1770900</v>
      </c>
      <c r="E45" s="190">
        <v>36350</v>
      </c>
      <c r="F45" s="184">
        <v>64372215000</v>
      </c>
      <c r="G45" s="183">
        <v>1.3867367459212099E-2</v>
      </c>
    </row>
    <row r="46" spans="1:7" ht="34" customHeight="1">
      <c r="A46" s="181" t="s">
        <v>641</v>
      </c>
      <c r="B46" s="180" t="s">
        <v>642</v>
      </c>
      <c r="C46" s="182" t="s">
        <v>643</v>
      </c>
      <c r="D46" s="184">
        <v>2359400</v>
      </c>
      <c r="E46" s="190">
        <v>32300</v>
      </c>
      <c r="F46" s="184">
        <v>76208620000</v>
      </c>
      <c r="G46" s="183">
        <v>1.64172218883482E-2</v>
      </c>
    </row>
    <row r="47" spans="1:7" ht="34" customHeight="1">
      <c r="A47" s="181" t="s">
        <v>644</v>
      </c>
      <c r="B47" s="180" t="s">
        <v>645</v>
      </c>
      <c r="C47" s="182" t="s">
        <v>646</v>
      </c>
      <c r="D47" s="184">
        <v>2098600</v>
      </c>
      <c r="E47" s="190">
        <v>17850</v>
      </c>
      <c r="F47" s="184">
        <v>37460010000</v>
      </c>
      <c r="G47" s="183">
        <v>8.0698127863979598E-3</v>
      </c>
    </row>
    <row r="48" spans="1:7" ht="34" customHeight="1">
      <c r="A48" s="181" t="s">
        <v>647</v>
      </c>
      <c r="B48" s="180" t="s">
        <v>648</v>
      </c>
      <c r="C48" s="182" t="s">
        <v>649</v>
      </c>
      <c r="D48" s="184">
        <v>8800360</v>
      </c>
      <c r="E48" s="190">
        <v>28150</v>
      </c>
      <c r="F48" s="184">
        <v>247730134000</v>
      </c>
      <c r="G48" s="183">
        <v>5.3367198858977401E-2</v>
      </c>
    </row>
    <row r="49" spans="1:7" ht="34" customHeight="1">
      <c r="A49" s="181" t="s">
        <v>650</v>
      </c>
      <c r="B49" s="180" t="s">
        <v>651</v>
      </c>
      <c r="C49" s="182" t="s">
        <v>652</v>
      </c>
      <c r="D49" s="184">
        <v>761731</v>
      </c>
      <c r="E49" s="190">
        <v>35000</v>
      </c>
      <c r="F49" s="184">
        <v>26660585000</v>
      </c>
      <c r="G49" s="183">
        <v>5.7433495005967602E-3</v>
      </c>
    </row>
    <row r="50" spans="1:7" ht="34" customHeight="1">
      <c r="A50" s="181" t="s">
        <v>653</v>
      </c>
      <c r="B50" s="180" t="s">
        <v>654</v>
      </c>
      <c r="C50" s="182" t="s">
        <v>655</v>
      </c>
      <c r="D50" s="184">
        <v>689800</v>
      </c>
      <c r="E50" s="190">
        <v>33800</v>
      </c>
      <c r="F50" s="184">
        <v>23315240000</v>
      </c>
      <c r="G50" s="183">
        <v>5.0226794352146997E-3</v>
      </c>
    </row>
    <row r="51" spans="1:7" ht="34" customHeight="1">
      <c r="A51" s="181" t="s">
        <v>656</v>
      </c>
      <c r="B51" s="180" t="s">
        <v>657</v>
      </c>
      <c r="C51" s="182" t="s">
        <v>658</v>
      </c>
      <c r="D51" s="184">
        <v>3418257</v>
      </c>
      <c r="E51" s="190">
        <v>26200</v>
      </c>
      <c r="F51" s="184">
        <v>89558333400</v>
      </c>
      <c r="G51" s="183">
        <v>1.9293080380913201E-2</v>
      </c>
    </row>
    <row r="52" spans="1:7" ht="34" customHeight="1">
      <c r="A52" s="181" t="s">
        <v>659</v>
      </c>
      <c r="B52" s="180" t="s">
        <v>660</v>
      </c>
      <c r="C52" s="182" t="s">
        <v>661</v>
      </c>
      <c r="D52" s="184">
        <v>1068000</v>
      </c>
      <c r="E52" s="190">
        <v>34200</v>
      </c>
      <c r="F52" s="184">
        <v>36525600000</v>
      </c>
      <c r="G52" s="183">
        <v>7.8685177582936399E-3</v>
      </c>
    </row>
    <row r="53" spans="1:7" ht="34" customHeight="1">
      <c r="A53" s="181" t="s">
        <v>662</v>
      </c>
      <c r="B53" s="180" t="s">
        <v>663</v>
      </c>
      <c r="C53" s="182" t="s">
        <v>664</v>
      </c>
      <c r="D53" s="184">
        <v>750000</v>
      </c>
      <c r="E53" s="190">
        <v>81000</v>
      </c>
      <c r="F53" s="184">
        <v>60750000000</v>
      </c>
      <c r="G53" s="183">
        <v>1.30870527470141E-2</v>
      </c>
    </row>
    <row r="54" spans="1:7" ht="34" customHeight="1">
      <c r="A54" s="181" t="s">
        <v>665</v>
      </c>
      <c r="B54" s="180" t="s">
        <v>666</v>
      </c>
      <c r="C54" s="182" t="s">
        <v>667</v>
      </c>
      <c r="D54" s="184">
        <v>3643500</v>
      </c>
      <c r="E54" s="190">
        <v>77700</v>
      </c>
      <c r="F54" s="184">
        <v>283099950000</v>
      </c>
      <c r="G54" s="183">
        <v>6.09867321535318E-2</v>
      </c>
    </row>
    <row r="55" spans="1:7" ht="34" customHeight="1">
      <c r="A55" s="181" t="s">
        <v>668</v>
      </c>
      <c r="B55" s="180" t="s">
        <v>669</v>
      </c>
      <c r="C55" s="182" t="s">
        <v>670</v>
      </c>
      <c r="D55" s="184">
        <v>1644800</v>
      </c>
      <c r="E55" s="190">
        <v>15250</v>
      </c>
      <c r="F55" s="184">
        <v>25083200000</v>
      </c>
      <c r="G55" s="183">
        <v>5.4035417524922504E-3</v>
      </c>
    </row>
    <row r="56" spans="1:7" ht="34" customHeight="1">
      <c r="A56" s="181" t="s">
        <v>671</v>
      </c>
      <c r="B56" s="180" t="s">
        <v>672</v>
      </c>
      <c r="C56" s="182" t="s">
        <v>673</v>
      </c>
      <c r="D56" s="184">
        <v>2033800</v>
      </c>
      <c r="E56" s="190">
        <v>23450</v>
      </c>
      <c r="F56" s="184">
        <v>47692610000</v>
      </c>
      <c r="G56" s="183">
        <v>1.02741679458893E-2</v>
      </c>
    </row>
    <row r="57" spans="1:7" ht="34" customHeight="1">
      <c r="A57" s="181" t="s">
        <v>674</v>
      </c>
      <c r="B57" s="180" t="s">
        <v>675</v>
      </c>
      <c r="C57" s="182" t="s">
        <v>676</v>
      </c>
      <c r="D57" s="184">
        <v>26800</v>
      </c>
      <c r="E57" s="190">
        <v>83100</v>
      </c>
      <c r="F57" s="184">
        <v>2227080000</v>
      </c>
      <c r="G57" s="183">
        <v>4.7976812233448899E-4</v>
      </c>
    </row>
    <row r="58" spans="1:7" ht="34" customHeight="1">
      <c r="A58" s="181" t="s">
        <v>677</v>
      </c>
      <c r="B58" s="180" t="s">
        <v>678</v>
      </c>
      <c r="C58" s="182" t="s">
        <v>679</v>
      </c>
      <c r="D58" s="184">
        <v>368800</v>
      </c>
      <c r="E58" s="190">
        <v>22050</v>
      </c>
      <c r="F58" s="184">
        <v>8132040000</v>
      </c>
      <c r="G58" s="183">
        <v>1.75184257482846E-3</v>
      </c>
    </row>
    <row r="59" spans="1:7" ht="34" customHeight="1">
      <c r="A59" s="181" t="s">
        <v>680</v>
      </c>
      <c r="B59" s="180" t="s">
        <v>681</v>
      </c>
      <c r="C59" s="182" t="s">
        <v>682</v>
      </c>
      <c r="D59" s="184">
        <v>741900</v>
      </c>
      <c r="E59" s="190">
        <v>32800</v>
      </c>
      <c r="F59" s="184">
        <v>24334320000</v>
      </c>
      <c r="G59" s="183">
        <v>5.2422144757649503E-3</v>
      </c>
    </row>
    <row r="60" spans="1:7" ht="34" customHeight="1">
      <c r="A60" s="181" t="s">
        <v>683</v>
      </c>
      <c r="B60" s="180" t="s">
        <v>684</v>
      </c>
      <c r="C60" s="182" t="s">
        <v>685</v>
      </c>
      <c r="D60" s="184">
        <v>466666</v>
      </c>
      <c r="E60" s="190">
        <v>16900</v>
      </c>
      <c r="F60" s="184">
        <v>7886655400</v>
      </c>
      <c r="G60" s="183">
        <v>1.69898066201356E-3</v>
      </c>
    </row>
    <row r="61" spans="1:7" ht="34" customHeight="1">
      <c r="A61" s="181" t="s">
        <v>686</v>
      </c>
      <c r="B61" s="180" t="s">
        <v>687</v>
      </c>
      <c r="C61" s="182" t="s">
        <v>688</v>
      </c>
      <c r="D61" s="184">
        <v>3056500</v>
      </c>
      <c r="E61" s="190">
        <v>25700</v>
      </c>
      <c r="F61" s="184">
        <v>78552050000</v>
      </c>
      <c r="G61" s="183">
        <v>1.69220546787834E-2</v>
      </c>
    </row>
    <row r="62" spans="1:7" ht="34" customHeight="1">
      <c r="A62" s="181" t="s">
        <v>689</v>
      </c>
      <c r="B62" s="180" t="s">
        <v>690</v>
      </c>
      <c r="C62" s="182" t="s">
        <v>691</v>
      </c>
      <c r="D62" s="184">
        <v>2107300</v>
      </c>
      <c r="E62" s="190">
        <v>38550</v>
      </c>
      <c r="F62" s="184">
        <v>81236415000</v>
      </c>
      <c r="G62" s="183">
        <v>1.7500333301783199E-2</v>
      </c>
    </row>
    <row r="63" spans="1:7" ht="34" customHeight="1">
      <c r="A63" s="181" t="s">
        <v>692</v>
      </c>
      <c r="B63" s="180" t="s">
        <v>693</v>
      </c>
      <c r="C63" s="182" t="s">
        <v>694</v>
      </c>
      <c r="D63" s="184">
        <v>3686000</v>
      </c>
      <c r="E63" s="190">
        <v>56900</v>
      </c>
      <c r="F63" s="184">
        <v>209733400000</v>
      </c>
      <c r="G63" s="183">
        <v>4.5181762446265199E-2</v>
      </c>
    </row>
    <row r="64" spans="1:7" ht="34" customHeight="1">
      <c r="A64" s="181" t="s">
        <v>695</v>
      </c>
      <c r="B64" s="180" t="s">
        <v>696</v>
      </c>
      <c r="C64" s="182" t="s">
        <v>697</v>
      </c>
      <c r="D64" s="184">
        <v>1237000</v>
      </c>
      <c r="E64" s="190">
        <v>48600</v>
      </c>
      <c r="F64" s="184">
        <v>60118200000</v>
      </c>
      <c r="G64" s="183">
        <v>1.29509473984452E-2</v>
      </c>
    </row>
    <row r="65" spans="1:7" ht="34" customHeight="1">
      <c r="A65" s="181" t="s">
        <v>698</v>
      </c>
      <c r="B65" s="180" t="s">
        <v>699</v>
      </c>
      <c r="C65" s="182" t="s">
        <v>700</v>
      </c>
      <c r="D65" s="184">
        <v>5792500</v>
      </c>
      <c r="E65" s="190">
        <v>37850</v>
      </c>
      <c r="F65" s="184">
        <v>219246125000</v>
      </c>
      <c r="G65" s="183">
        <v>4.7231038723513599E-2</v>
      </c>
    </row>
    <row r="66" spans="1:7" ht="34" customHeight="1">
      <c r="A66" s="181" t="s">
        <v>701</v>
      </c>
      <c r="B66" s="180" t="s">
        <v>702</v>
      </c>
      <c r="C66" s="182" t="s">
        <v>703</v>
      </c>
      <c r="D66" s="184">
        <v>3738840</v>
      </c>
      <c r="E66" s="190">
        <v>22150</v>
      </c>
      <c r="F66" s="184">
        <v>82815306000</v>
      </c>
      <c r="G66" s="183">
        <v>1.7840465479541E-2</v>
      </c>
    </row>
    <row r="67" spans="1:7" ht="34" customHeight="1">
      <c r="A67" s="181" t="s">
        <v>704</v>
      </c>
      <c r="B67" s="180" t="s">
        <v>705</v>
      </c>
      <c r="C67" s="182" t="s">
        <v>706</v>
      </c>
      <c r="D67" s="184">
        <v>1298500</v>
      </c>
      <c r="E67" s="190">
        <v>62000</v>
      </c>
      <c r="F67" s="184">
        <v>80507000000</v>
      </c>
      <c r="G67" s="183">
        <v>1.7343199267553299E-2</v>
      </c>
    </row>
    <row r="68" spans="1:7" ht="34" customHeight="1">
      <c r="A68" s="181" t="s">
        <v>707</v>
      </c>
      <c r="B68" s="180" t="s">
        <v>708</v>
      </c>
      <c r="C68" s="182" t="s">
        <v>709</v>
      </c>
      <c r="D68" s="184">
        <v>2534840</v>
      </c>
      <c r="E68" s="190">
        <v>27700</v>
      </c>
      <c r="F68" s="184">
        <v>70215068000</v>
      </c>
      <c r="G68" s="183">
        <v>1.5126062527591499E-2</v>
      </c>
    </row>
    <row r="69" spans="1:7" ht="34" customHeight="1">
      <c r="A69" s="181" t="s">
        <v>710</v>
      </c>
      <c r="B69" s="180" t="s">
        <v>711</v>
      </c>
      <c r="C69" s="182" t="s">
        <v>712</v>
      </c>
      <c r="D69" s="184">
        <v>326900</v>
      </c>
      <c r="E69" s="190">
        <v>43450</v>
      </c>
      <c r="F69" s="184">
        <v>14203805000</v>
      </c>
      <c r="G69" s="183">
        <v>3.0598509505070401E-3</v>
      </c>
    </row>
    <row r="70" spans="1:7" ht="34" customHeight="1">
      <c r="A70" s="181" t="s">
        <v>713</v>
      </c>
      <c r="B70" s="180" t="s">
        <v>714</v>
      </c>
      <c r="C70" s="182" t="s">
        <v>715</v>
      </c>
      <c r="D70" s="184">
        <v>649680</v>
      </c>
      <c r="E70" s="190">
        <v>30200</v>
      </c>
      <c r="F70" s="184">
        <v>19620336000</v>
      </c>
      <c r="G70" s="183">
        <v>4.2267057143397504E-3</v>
      </c>
    </row>
    <row r="71" spans="1:7" ht="34" customHeight="1">
      <c r="A71" s="181" t="s">
        <v>716</v>
      </c>
      <c r="B71" s="180" t="s">
        <v>717</v>
      </c>
      <c r="C71" s="182" t="s">
        <v>718</v>
      </c>
      <c r="D71" s="184">
        <v>2127000</v>
      </c>
      <c r="E71" s="190">
        <v>103000</v>
      </c>
      <c r="F71" s="184">
        <v>219081000000</v>
      </c>
      <c r="G71" s="183">
        <v>4.71954667138864E-2</v>
      </c>
    </row>
    <row r="72" spans="1:7" ht="34" customHeight="1">
      <c r="A72" s="181" t="s">
        <v>719</v>
      </c>
      <c r="B72" s="180" t="s">
        <v>720</v>
      </c>
      <c r="C72" s="182" t="s">
        <v>721</v>
      </c>
      <c r="D72" s="184">
        <v>1598000</v>
      </c>
      <c r="E72" s="190">
        <v>19900</v>
      </c>
      <c r="F72" s="184">
        <v>31800200000</v>
      </c>
      <c r="G72" s="183">
        <v>6.8505497080756901E-3</v>
      </c>
    </row>
    <row r="73" spans="1:7" ht="34" customHeight="1">
      <c r="A73" s="181" t="s">
        <v>722</v>
      </c>
      <c r="B73" s="180" t="s">
        <v>723</v>
      </c>
      <c r="C73" s="182" t="s">
        <v>724</v>
      </c>
      <c r="D73" s="184">
        <v>1485100</v>
      </c>
      <c r="E73" s="190">
        <v>174900</v>
      </c>
      <c r="F73" s="184">
        <v>259743990000</v>
      </c>
      <c r="G73" s="183">
        <v>5.5955280623043703E-2</v>
      </c>
    </row>
    <row r="74" spans="1:7" ht="34" customHeight="1">
      <c r="A74" s="181" t="s">
        <v>725</v>
      </c>
      <c r="B74" s="180" t="s">
        <v>726</v>
      </c>
      <c r="C74" s="182" t="s">
        <v>727</v>
      </c>
      <c r="D74" s="184">
        <v>3377100</v>
      </c>
      <c r="E74" s="190">
        <v>36100</v>
      </c>
      <c r="F74" s="184">
        <v>121913310000</v>
      </c>
      <c r="G74" s="183">
        <v>2.6263142691902601E-2</v>
      </c>
    </row>
    <row r="75" spans="1:7" ht="34" customHeight="1">
      <c r="A75" s="181" t="s">
        <v>728</v>
      </c>
      <c r="B75" s="180" t="s">
        <v>729</v>
      </c>
      <c r="C75" s="182" t="s">
        <v>730</v>
      </c>
      <c r="D75" s="184">
        <v>1898000</v>
      </c>
      <c r="E75" s="190">
        <v>22450</v>
      </c>
      <c r="F75" s="184">
        <v>42610100000</v>
      </c>
      <c r="G75" s="183">
        <v>9.1792695679925301E-3</v>
      </c>
    </row>
    <row r="76" spans="1:7" ht="34" customHeight="1">
      <c r="A76" s="181" t="s">
        <v>731</v>
      </c>
      <c r="B76" s="180" t="s">
        <v>732</v>
      </c>
      <c r="C76" s="182" t="s">
        <v>733</v>
      </c>
      <c r="D76" s="184">
        <v>8158600</v>
      </c>
      <c r="E76" s="190">
        <v>31100</v>
      </c>
      <c r="F76" s="184">
        <v>253732460000</v>
      </c>
      <c r="G76" s="183">
        <v>5.4660248356372801E-2</v>
      </c>
    </row>
    <row r="77" spans="1:7" ht="34" customHeight="1">
      <c r="A77" s="181" t="s">
        <v>734</v>
      </c>
      <c r="B77" s="180" t="s">
        <v>735</v>
      </c>
      <c r="C77" s="182" t="s">
        <v>736</v>
      </c>
      <c r="D77" s="184">
        <v>2103300</v>
      </c>
      <c r="E77" s="190">
        <v>32100</v>
      </c>
      <c r="F77" s="184">
        <v>67515930000</v>
      </c>
      <c r="G77" s="183">
        <v>1.45446014349582E-2</v>
      </c>
    </row>
    <row r="78" spans="1:7" ht="34" customHeight="1">
      <c r="A78" s="181" t="s">
        <v>737</v>
      </c>
      <c r="B78" s="180" t="s">
        <v>738</v>
      </c>
      <c r="C78" s="182" t="s">
        <v>739</v>
      </c>
      <c r="D78" s="184">
        <v>1679000</v>
      </c>
      <c r="E78" s="190">
        <v>29500</v>
      </c>
      <c r="F78" s="184">
        <v>49530500000</v>
      </c>
      <c r="G78" s="183">
        <v>1.06700949149956E-2</v>
      </c>
    </row>
    <row r="79" spans="1:7" ht="39" customHeight="1">
      <c r="A79" s="186"/>
      <c r="B79" s="185" t="s">
        <v>740</v>
      </c>
      <c r="C79" s="186" t="s">
        <v>741</v>
      </c>
      <c r="D79" s="188"/>
      <c r="E79" s="188"/>
      <c r="F79" s="188">
        <v>4013441399600</v>
      </c>
      <c r="G79" s="187">
        <v>0.86459455627350401</v>
      </c>
    </row>
    <row r="80" spans="1:7" ht="39" customHeight="1">
      <c r="A80" s="186" t="s">
        <v>742</v>
      </c>
      <c r="B80" s="185" t="s">
        <v>743</v>
      </c>
      <c r="C80" s="186" t="s">
        <v>744</v>
      </c>
      <c r="D80" s="188"/>
      <c r="E80" s="188"/>
      <c r="F80" s="188"/>
      <c r="G80" s="187"/>
    </row>
    <row r="81" spans="1:7" ht="39" customHeight="1">
      <c r="A81" s="181"/>
      <c r="B81" s="180"/>
      <c r="C81" s="182"/>
      <c r="D81" s="184"/>
      <c r="E81" s="190"/>
      <c r="F81" s="184"/>
      <c r="G81" s="183"/>
    </row>
    <row r="82" spans="1:7" ht="34" customHeight="1">
      <c r="A82" s="181" t="s">
        <v>745</v>
      </c>
      <c r="B82" s="180" t="s">
        <v>746</v>
      </c>
      <c r="C82" s="184" t="s">
        <v>747</v>
      </c>
      <c r="D82" s="191">
        <v>602825</v>
      </c>
      <c r="E82" s="184">
        <v>46800</v>
      </c>
      <c r="F82" s="184">
        <v>28212210000</v>
      </c>
      <c r="G82" s="183">
        <v>6.07760790748706E-3</v>
      </c>
    </row>
    <row r="83" spans="1:7" ht="39" customHeight="1">
      <c r="A83" s="186"/>
      <c r="B83" s="185" t="s">
        <v>748</v>
      </c>
      <c r="C83" s="186" t="s">
        <v>749</v>
      </c>
      <c r="D83" s="188"/>
      <c r="E83" s="188"/>
      <c r="F83" s="188">
        <v>28212210000</v>
      </c>
      <c r="G83" s="187">
        <v>6.07760790748706E-3</v>
      </c>
    </row>
    <row r="84" spans="1:7" ht="39" customHeight="1">
      <c r="A84" s="186" t="s">
        <v>750</v>
      </c>
      <c r="B84" s="185" t="s">
        <v>751</v>
      </c>
      <c r="C84" s="186" t="s">
        <v>752</v>
      </c>
      <c r="D84" s="188"/>
      <c r="E84" s="188"/>
      <c r="F84" s="188"/>
      <c r="G84" s="187"/>
    </row>
    <row r="85" spans="1:7" ht="39" customHeight="1">
      <c r="A85" s="181"/>
      <c r="B85" s="180"/>
      <c r="C85" s="182"/>
      <c r="D85" s="184"/>
      <c r="E85" s="190"/>
      <c r="F85" s="184"/>
      <c r="G85" s="183"/>
    </row>
    <row r="86" spans="1:7" ht="39" customHeight="1">
      <c r="A86" s="181" t="s">
        <v>753</v>
      </c>
      <c r="B86" s="180" t="s">
        <v>754</v>
      </c>
      <c r="C86" s="182" t="s">
        <v>755</v>
      </c>
      <c r="D86" s="184"/>
      <c r="E86" s="190"/>
      <c r="F86" s="184">
        <v>0</v>
      </c>
      <c r="G86" s="183">
        <v>0</v>
      </c>
    </row>
    <row r="87" spans="1:7" ht="39" customHeight="1">
      <c r="A87" s="181" t="s">
        <v>756</v>
      </c>
      <c r="B87" s="180" t="s">
        <v>757</v>
      </c>
      <c r="C87" s="182" t="s">
        <v>758</v>
      </c>
      <c r="D87" s="184"/>
      <c r="E87" s="190"/>
      <c r="F87" s="184">
        <v>0</v>
      </c>
      <c r="G87" s="183">
        <v>0</v>
      </c>
    </row>
    <row r="88" spans="1:7" ht="39" customHeight="1">
      <c r="A88" s="186"/>
      <c r="B88" s="185" t="s">
        <v>759</v>
      </c>
      <c r="C88" s="186" t="s">
        <v>760</v>
      </c>
      <c r="D88" s="188"/>
      <c r="E88" s="188"/>
      <c r="F88" s="188">
        <v>0</v>
      </c>
      <c r="G88" s="187">
        <v>0</v>
      </c>
    </row>
    <row r="89" spans="1:7" ht="39" customHeight="1">
      <c r="A89" s="186" t="s">
        <v>761</v>
      </c>
      <c r="B89" s="185" t="s">
        <v>762</v>
      </c>
      <c r="C89" s="186" t="s">
        <v>763</v>
      </c>
      <c r="D89" s="188"/>
      <c r="E89" s="188"/>
      <c r="F89" s="188"/>
      <c r="G89" s="187"/>
    </row>
    <row r="90" spans="1:7" ht="39" customHeight="1">
      <c r="A90" s="181"/>
      <c r="B90" s="180"/>
      <c r="C90" s="182"/>
      <c r="D90" s="184"/>
      <c r="E90" s="190"/>
      <c r="F90" s="184"/>
      <c r="G90" s="183"/>
    </row>
    <row r="91" spans="1:7" ht="39" customHeight="1">
      <c r="A91" s="181" t="s">
        <v>764</v>
      </c>
      <c r="B91" s="180" t="s">
        <v>765</v>
      </c>
      <c r="C91" s="182" t="s">
        <v>766</v>
      </c>
      <c r="D91" s="184"/>
      <c r="E91" s="190"/>
      <c r="F91" s="184">
        <v>342484400</v>
      </c>
      <c r="G91" s="183">
        <v>7.3779611651514105E-5</v>
      </c>
    </row>
    <row r="92" spans="1:7" ht="34" customHeight="1">
      <c r="A92" s="181" t="s">
        <v>767</v>
      </c>
      <c r="B92" s="180" t="s">
        <v>768</v>
      </c>
      <c r="C92" s="182" t="s">
        <v>769</v>
      </c>
      <c r="D92" s="184">
        <v>146800</v>
      </c>
      <c r="E92" s="190">
        <v>2333</v>
      </c>
      <c r="F92" s="184">
        <v>342484400</v>
      </c>
      <c r="G92" s="183">
        <v>7.3779611651514105E-5</v>
      </c>
    </row>
    <row r="93" spans="1:7" ht="39" customHeight="1">
      <c r="A93" s="181" t="s">
        <v>770</v>
      </c>
      <c r="B93" s="180" t="s">
        <v>771</v>
      </c>
      <c r="C93" s="182" t="s">
        <v>772</v>
      </c>
      <c r="D93" s="184"/>
      <c r="E93" s="190"/>
      <c r="F93" s="184">
        <v>0</v>
      </c>
      <c r="G93" s="183">
        <v>0</v>
      </c>
    </row>
    <row r="94" spans="1:7" ht="34" customHeight="1">
      <c r="A94" s="186"/>
      <c r="B94" s="185" t="s">
        <v>773</v>
      </c>
      <c r="C94" s="186" t="s">
        <v>774</v>
      </c>
      <c r="D94" s="188"/>
      <c r="E94" s="188"/>
      <c r="F94" s="188">
        <v>342484400</v>
      </c>
      <c r="G94" s="187">
        <v>7.3779611651514105E-5</v>
      </c>
    </row>
    <row r="95" spans="1:7" ht="39" customHeight="1">
      <c r="A95" s="186"/>
      <c r="B95" s="185" t="s">
        <v>775</v>
      </c>
      <c r="C95" s="186" t="s">
        <v>776</v>
      </c>
      <c r="D95" s="188"/>
      <c r="E95" s="188"/>
      <c r="F95" s="188">
        <v>4041996094000</v>
      </c>
      <c r="G95" s="187">
        <v>0.87074594379264203</v>
      </c>
    </row>
    <row r="96" spans="1:7" ht="39" customHeight="1">
      <c r="A96" s="186" t="s">
        <v>777</v>
      </c>
      <c r="B96" s="185" t="s">
        <v>778</v>
      </c>
      <c r="C96" s="186" t="s">
        <v>779</v>
      </c>
      <c r="D96" s="188"/>
      <c r="E96" s="188"/>
      <c r="F96" s="188"/>
      <c r="G96" s="187"/>
    </row>
    <row r="97" spans="1:7" ht="39" customHeight="1">
      <c r="A97" s="181"/>
      <c r="B97" s="180"/>
      <c r="C97" s="182"/>
      <c r="D97" s="184"/>
      <c r="E97" s="190"/>
      <c r="F97" s="184"/>
      <c r="G97" s="183"/>
    </row>
    <row r="98" spans="1:7" ht="39" customHeight="1">
      <c r="A98" s="181" t="s">
        <v>780</v>
      </c>
      <c r="B98" s="180" t="s">
        <v>781</v>
      </c>
      <c r="C98" s="182" t="s">
        <v>782</v>
      </c>
      <c r="D98" s="184"/>
      <c r="E98" s="190"/>
      <c r="F98" s="184">
        <v>10655788000</v>
      </c>
      <c r="G98" s="183">
        <v>2.2955203229135801E-3</v>
      </c>
    </row>
    <row r="99" spans="1:7" ht="39" customHeight="1">
      <c r="A99" s="181" t="s">
        <v>783</v>
      </c>
      <c r="B99" s="180" t="s">
        <v>784</v>
      </c>
      <c r="C99" s="182" t="s">
        <v>785</v>
      </c>
      <c r="D99" s="184"/>
      <c r="E99" s="190"/>
      <c r="F99" s="184">
        <v>0</v>
      </c>
      <c r="G99" s="183">
        <v>0</v>
      </c>
    </row>
    <row r="100" spans="1:7" ht="47" customHeight="1">
      <c r="A100" s="181" t="s">
        <v>786</v>
      </c>
      <c r="B100" s="180" t="s">
        <v>787</v>
      </c>
      <c r="C100" s="182" t="s">
        <v>788</v>
      </c>
      <c r="D100" s="184"/>
      <c r="E100" s="190"/>
      <c r="F100" s="184">
        <v>0</v>
      </c>
      <c r="G100" s="183">
        <v>0</v>
      </c>
    </row>
    <row r="101" spans="1:7" ht="45" customHeight="1">
      <c r="A101" s="181" t="s">
        <v>789</v>
      </c>
      <c r="B101" s="180" t="s">
        <v>790</v>
      </c>
      <c r="C101" s="182" t="s">
        <v>791</v>
      </c>
      <c r="D101" s="184"/>
      <c r="E101" s="190"/>
      <c r="F101" s="184">
        <v>261977077800</v>
      </c>
      <c r="G101" s="183">
        <v>5.6436342974110598E-2</v>
      </c>
    </row>
    <row r="102" spans="1:7" ht="57" customHeight="1">
      <c r="A102" s="181" t="s">
        <v>792</v>
      </c>
      <c r="B102" s="180" t="s">
        <v>793</v>
      </c>
      <c r="C102" s="182" t="s">
        <v>794</v>
      </c>
      <c r="D102" s="184"/>
      <c r="E102" s="190"/>
      <c r="F102" s="184">
        <v>0</v>
      </c>
      <c r="G102" s="183">
        <v>0</v>
      </c>
    </row>
    <row r="103" spans="1:7" ht="39" customHeight="1">
      <c r="A103" s="181" t="s">
        <v>795</v>
      </c>
      <c r="B103" s="180" t="s">
        <v>796</v>
      </c>
      <c r="C103" s="182" t="s">
        <v>797</v>
      </c>
      <c r="D103" s="184"/>
      <c r="E103" s="190"/>
      <c r="F103" s="184">
        <v>-866400000</v>
      </c>
      <c r="G103" s="183">
        <v>-1.86643991769762E-4</v>
      </c>
    </row>
    <row r="104" spans="1:7" ht="39" customHeight="1">
      <c r="A104" s="181" t="s">
        <v>798</v>
      </c>
      <c r="B104" s="180" t="s">
        <v>799</v>
      </c>
      <c r="C104" s="182" t="s">
        <v>800</v>
      </c>
      <c r="D104" s="184"/>
      <c r="E104" s="190"/>
      <c r="F104" s="184">
        <v>17359178</v>
      </c>
      <c r="G104" s="183">
        <v>3.73959634783221E-6</v>
      </c>
    </row>
    <row r="105" spans="1:7" ht="39" customHeight="1">
      <c r="A105" s="186"/>
      <c r="B105" s="185" t="s">
        <v>801</v>
      </c>
      <c r="C105" s="186" t="s">
        <v>802</v>
      </c>
      <c r="D105" s="188"/>
      <c r="E105" s="188"/>
      <c r="F105" s="188">
        <v>271783824978</v>
      </c>
      <c r="G105" s="187">
        <v>5.8548958901602298E-2</v>
      </c>
    </row>
    <row r="106" spans="1:7" ht="39" customHeight="1">
      <c r="A106" s="186" t="s">
        <v>803</v>
      </c>
      <c r="B106" s="185" t="s">
        <v>804</v>
      </c>
      <c r="C106" s="186" t="s">
        <v>805</v>
      </c>
      <c r="D106" s="188"/>
      <c r="E106" s="188"/>
      <c r="F106" s="188"/>
      <c r="G106" s="187"/>
    </row>
    <row r="107" spans="1:7" ht="39" customHeight="1">
      <c r="A107" s="181" t="s">
        <v>806</v>
      </c>
      <c r="B107" s="180" t="s">
        <v>807</v>
      </c>
      <c r="C107" s="182" t="s">
        <v>808</v>
      </c>
      <c r="D107" s="184"/>
      <c r="E107" s="190"/>
      <c r="F107" s="184">
        <v>328212527630</v>
      </c>
      <c r="G107" s="183">
        <v>7.0705097305755304E-2</v>
      </c>
    </row>
    <row r="108" spans="1:7" ht="39" customHeight="1">
      <c r="A108" s="181"/>
      <c r="B108" s="180"/>
      <c r="C108" s="182"/>
      <c r="D108" s="184"/>
      <c r="E108" s="190"/>
      <c r="F108" s="184"/>
      <c r="G108" s="183"/>
    </row>
    <row r="109" spans="1:7" ht="39" customHeight="1">
      <c r="A109" s="181" t="s">
        <v>809</v>
      </c>
      <c r="B109" s="180" t="s">
        <v>810</v>
      </c>
      <c r="C109" s="182" t="s">
        <v>811</v>
      </c>
      <c r="D109" s="184"/>
      <c r="E109" s="190"/>
      <c r="F109" s="184">
        <v>328212527630</v>
      </c>
      <c r="G109" s="183">
        <v>7.0705097305755304E-2</v>
      </c>
    </row>
    <row r="110" spans="1:7" ht="39" customHeight="1">
      <c r="A110" s="181" t="s">
        <v>812</v>
      </c>
      <c r="B110" s="180" t="s">
        <v>813</v>
      </c>
      <c r="C110" s="182" t="s">
        <v>814</v>
      </c>
      <c r="D110" s="184"/>
      <c r="E110" s="190"/>
      <c r="F110" s="184">
        <v>0</v>
      </c>
      <c r="G110" s="183">
        <v>0</v>
      </c>
    </row>
    <row r="111" spans="1:7" ht="39" customHeight="1">
      <c r="A111" s="181" t="s">
        <v>815</v>
      </c>
      <c r="B111" s="180" t="s">
        <v>816</v>
      </c>
      <c r="C111" s="182" t="s">
        <v>817</v>
      </c>
      <c r="D111" s="184"/>
      <c r="E111" s="190"/>
      <c r="F111" s="184">
        <v>0</v>
      </c>
      <c r="G111" s="183">
        <v>0</v>
      </c>
    </row>
    <row r="112" spans="1:7" ht="39" customHeight="1">
      <c r="A112" s="181"/>
      <c r="B112" s="180"/>
      <c r="C112" s="182"/>
      <c r="D112" s="184"/>
      <c r="E112" s="190"/>
      <c r="F112" s="184"/>
      <c r="G112" s="183"/>
    </row>
    <row r="113" spans="1:7" ht="39" customHeight="1">
      <c r="A113" s="181" t="s">
        <v>818</v>
      </c>
      <c r="B113" s="180" t="s">
        <v>819</v>
      </c>
      <c r="C113" s="182" t="s">
        <v>820</v>
      </c>
      <c r="D113" s="184"/>
      <c r="E113" s="190"/>
      <c r="F113" s="184">
        <v>0</v>
      </c>
      <c r="G113" s="183">
        <v>0</v>
      </c>
    </row>
    <row r="114" spans="1:7" ht="39" customHeight="1">
      <c r="A114" s="186"/>
      <c r="B114" s="185" t="s">
        <v>821</v>
      </c>
      <c r="C114" s="186" t="s">
        <v>822</v>
      </c>
      <c r="D114" s="188"/>
      <c r="E114" s="188"/>
      <c r="F114" s="188">
        <v>328212527630</v>
      </c>
      <c r="G114" s="187">
        <v>7.0705097305755304E-2</v>
      </c>
    </row>
    <row r="115" spans="1:7" ht="39" customHeight="1">
      <c r="A115" s="186" t="s">
        <v>823</v>
      </c>
      <c r="B115" s="185" t="s">
        <v>824</v>
      </c>
      <c r="C115" s="186" t="s">
        <v>825</v>
      </c>
      <c r="D115" s="188"/>
      <c r="E115" s="188"/>
      <c r="F115" s="188">
        <v>4641992446608</v>
      </c>
      <c r="G115" s="187">
        <v>1</v>
      </c>
    </row>
    <row r="116" spans="1:7" ht="16.899999999999999" customHeight="1">
      <c r="A116" s="66"/>
      <c r="E116" s="17"/>
    </row>
    <row r="117" spans="1:7" ht="16.899999999999999" customHeight="1">
      <c r="A117" s="17" t="s">
        <v>10</v>
      </c>
      <c r="E117" s="17" t="s">
        <v>11</v>
      </c>
    </row>
    <row r="118" spans="1:7" ht="16.899999999999999" customHeight="1">
      <c r="A118" s="18" t="s">
        <v>12</v>
      </c>
      <c r="E118" s="18" t="s">
        <v>13</v>
      </c>
    </row>
    <row r="119" spans="1:7" ht="16.899999999999999" customHeight="1"/>
    <row r="120" spans="1:7" ht="16.899999999999999" customHeight="1">
      <c r="A120" s="25"/>
      <c r="E120" s="25"/>
    </row>
    <row r="121" spans="1:7" ht="16.899999999999999" customHeight="1"/>
    <row r="122" spans="1:7" ht="16.899999999999999" customHeight="1"/>
    <row r="123" spans="1:7" ht="16.899999999999999" customHeight="1"/>
    <row r="124" spans="1:7" ht="16.899999999999999" customHeight="1"/>
    <row r="125" spans="1:7" ht="16.899999999999999" customHeight="1"/>
    <row r="126" spans="1:7" ht="16.899999999999999" customHeight="1"/>
    <row r="127" spans="1:7" ht="16.899999999999999" customHeight="1">
      <c r="A127" s="32" t="s">
        <v>14</v>
      </c>
      <c r="B127" s="29"/>
      <c r="C127" s="29"/>
      <c r="E127" s="32" t="s">
        <v>1301</v>
      </c>
      <c r="F127" s="29"/>
      <c r="G127" s="29"/>
    </row>
    <row r="128" spans="1:7" ht="16.899999999999999" customHeight="1">
      <c r="A128" s="33" t="s">
        <v>1323</v>
      </c>
      <c r="E128" s="33" t="s">
        <v>1319</v>
      </c>
    </row>
    <row r="129" spans="1:5" ht="16.899999999999999" customHeight="1">
      <c r="A129" s="34" t="s">
        <v>1309</v>
      </c>
      <c r="E129" s="34" t="s">
        <v>1320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51" zoomScaleNormal="100" zoomScaleSheetLayoutView="100" workbookViewId="0">
      <selection activeCell="A65" sqref="A65"/>
    </sheetView>
  </sheetViews>
  <sheetFormatPr defaultColWidth="8.7265625" defaultRowHeight="53.25" customHeight="1"/>
  <cols>
    <col min="1" max="1" width="8.7265625" style="12"/>
    <col min="2" max="2" width="59.81640625" style="12" customWidth="1"/>
    <col min="3" max="3" width="10.7265625" style="12" bestFit="1" customWidth="1"/>
    <col min="4" max="4" width="41.7265625" style="12" customWidth="1"/>
    <col min="5" max="5" width="39.54296875" style="12" customWidth="1"/>
    <col min="6" max="6" width="8.453125" style="135" customWidth="1"/>
    <col min="7" max="16384" width="8.7265625" style="135"/>
  </cols>
  <sheetData>
    <row r="1" spans="1:6" ht="53.25" customHeight="1">
      <c r="A1" s="218" t="s">
        <v>543</v>
      </c>
      <c r="B1" s="218"/>
      <c r="C1" s="218"/>
      <c r="D1" s="218"/>
      <c r="E1" s="218"/>
      <c r="F1" s="136"/>
    </row>
    <row r="2" spans="1:6" ht="66" customHeight="1">
      <c r="A2" s="219" t="s">
        <v>544</v>
      </c>
      <c r="B2" s="219"/>
      <c r="C2" s="219"/>
      <c r="D2" s="219"/>
      <c r="E2" s="219"/>
      <c r="F2" s="137"/>
    </row>
    <row r="3" spans="1:6" ht="40.5" customHeight="1">
      <c r="A3" s="220" t="s">
        <v>494</v>
      </c>
      <c r="B3" s="220"/>
      <c r="C3" s="220"/>
      <c r="D3" s="220"/>
      <c r="E3" s="220"/>
      <c r="F3" s="136"/>
    </row>
    <row r="4" spans="1:6" ht="12.5" hidden="1">
      <c r="A4" s="220"/>
      <c r="B4" s="220"/>
      <c r="C4" s="220"/>
      <c r="D4" s="220"/>
      <c r="E4" s="220"/>
      <c r="F4" s="136"/>
    </row>
    <row r="5" spans="1:6" ht="12.5">
      <c r="A5" s="221" t="s">
        <v>1300</v>
      </c>
      <c r="B5" s="221"/>
      <c r="C5" s="221"/>
      <c r="D5" s="221"/>
      <c r="E5" s="221"/>
      <c r="F5" s="138"/>
    </row>
    <row r="6" spans="1:6" ht="12.5"/>
    <row r="7" spans="1:6" ht="12.5">
      <c r="A7" s="110" t="s">
        <v>2</v>
      </c>
      <c r="C7" s="222" t="s">
        <v>1301</v>
      </c>
      <c r="D7" s="222"/>
      <c r="E7" s="222"/>
    </row>
    <row r="8" spans="1:6" ht="12.5">
      <c r="A8" s="12" t="s">
        <v>15</v>
      </c>
      <c r="C8" s="217" t="s">
        <v>1302</v>
      </c>
      <c r="D8" s="217"/>
      <c r="E8" s="217"/>
    </row>
    <row r="9" spans="1:6" ht="12.5">
      <c r="A9" s="110" t="s">
        <v>3</v>
      </c>
      <c r="C9" s="222" t="s">
        <v>1303</v>
      </c>
      <c r="D9" s="222"/>
      <c r="E9" s="222"/>
    </row>
    <row r="10" spans="1:6" ht="12.5">
      <c r="A10" s="12" t="s">
        <v>4</v>
      </c>
      <c r="C10" s="217" t="s">
        <v>1304</v>
      </c>
      <c r="D10" s="217"/>
      <c r="E10" s="217"/>
    </row>
    <row r="11" spans="1:6" ht="12.5">
      <c r="A11" s="110" t="s">
        <v>5</v>
      </c>
      <c r="C11" s="222" t="s">
        <v>1305</v>
      </c>
      <c r="D11" s="222"/>
      <c r="E11" s="222"/>
    </row>
    <row r="12" spans="1:6" ht="12.5">
      <c r="A12" s="12" t="s">
        <v>6</v>
      </c>
      <c r="C12" s="217" t="s">
        <v>1306</v>
      </c>
      <c r="D12" s="217"/>
      <c r="E12" s="217"/>
    </row>
    <row r="13" spans="1:6" ht="12.5">
      <c r="A13" s="110" t="s">
        <v>7</v>
      </c>
      <c r="C13" s="222" t="s">
        <v>1307</v>
      </c>
      <c r="D13" s="222"/>
      <c r="E13" s="222"/>
    </row>
    <row r="14" spans="1:6" ht="12.5">
      <c r="A14" s="12" t="s">
        <v>8</v>
      </c>
      <c r="C14" s="217" t="s">
        <v>1308</v>
      </c>
      <c r="D14" s="217"/>
      <c r="E14" s="217"/>
    </row>
    <row r="15" spans="1:6" ht="12.5"/>
    <row r="16" spans="1:6" ht="12.5">
      <c r="A16" s="104" t="s">
        <v>541</v>
      </c>
      <c r="B16" s="105" t="s">
        <v>542</v>
      </c>
    </row>
    <row r="17" spans="1:5" ht="12.5">
      <c r="A17" s="19" t="s">
        <v>28</v>
      </c>
      <c r="B17" s="20" t="s">
        <v>331</v>
      </c>
    </row>
    <row r="18" spans="1:5" ht="37.5">
      <c r="A18" s="152" t="s">
        <v>17</v>
      </c>
      <c r="B18" s="152" t="s">
        <v>531</v>
      </c>
      <c r="C18" s="152" t="s">
        <v>19</v>
      </c>
      <c r="D18" s="153" t="s">
        <v>1312</v>
      </c>
      <c r="E18" s="153" t="s">
        <v>1313</v>
      </c>
    </row>
    <row r="19" spans="1:5" s="139" customFormat="1" ht="25">
      <c r="A19" s="53" t="s">
        <v>16</v>
      </c>
      <c r="B19" s="98" t="s">
        <v>111</v>
      </c>
      <c r="C19" s="99" t="s">
        <v>112</v>
      </c>
      <c r="D19" s="183"/>
      <c r="E19" s="183"/>
    </row>
    <row r="20" spans="1:5" ht="50">
      <c r="A20" s="111">
        <v>1</v>
      </c>
      <c r="B20" s="100" t="s">
        <v>516</v>
      </c>
      <c r="C20" s="101" t="s">
        <v>113</v>
      </c>
      <c r="D20" s="183">
        <v>1.9662354063110201E-2</v>
      </c>
      <c r="E20" s="183">
        <v>1.9448725549665799E-2</v>
      </c>
    </row>
    <row r="21" spans="1:5" ht="50">
      <c r="A21" s="111">
        <v>2</v>
      </c>
      <c r="B21" s="100" t="s">
        <v>517</v>
      </c>
      <c r="C21" s="101" t="s">
        <v>114</v>
      </c>
      <c r="D21" s="183">
        <v>1.0966851930122501E-3</v>
      </c>
      <c r="E21" s="183">
        <v>1.0580970294000801E-3</v>
      </c>
    </row>
    <row r="22" spans="1:5" ht="62.5">
      <c r="A22" s="111">
        <v>3</v>
      </c>
      <c r="B22" s="100" t="s">
        <v>518</v>
      </c>
      <c r="C22" s="101" t="s">
        <v>115</v>
      </c>
      <c r="D22" s="183">
        <v>3.9770335834196001E-4</v>
      </c>
      <c r="E22" s="183">
        <v>4.1233671297112199E-4</v>
      </c>
    </row>
    <row r="23" spans="1:5" ht="37.5">
      <c r="A23" s="111">
        <v>4</v>
      </c>
      <c r="B23" s="100" t="s">
        <v>332</v>
      </c>
      <c r="C23" s="101" t="s">
        <v>116</v>
      </c>
      <c r="D23" s="183">
        <v>5.9096689020114399E-5</v>
      </c>
      <c r="E23" s="183">
        <v>6.9189813539311294E-5</v>
      </c>
    </row>
    <row r="24" spans="1:5" ht="50">
      <c r="A24" s="111">
        <v>5</v>
      </c>
      <c r="B24" s="100" t="s">
        <v>519</v>
      </c>
      <c r="C24" s="101" t="s">
        <v>520</v>
      </c>
      <c r="D24" s="103"/>
      <c r="E24" s="103"/>
    </row>
    <row r="25" spans="1:5" ht="75">
      <c r="A25" s="111">
        <v>6</v>
      </c>
      <c r="B25" s="100" t="s">
        <v>521</v>
      </c>
      <c r="C25" s="101"/>
      <c r="D25" s="103"/>
      <c r="E25" s="103"/>
    </row>
    <row r="26" spans="1:5" ht="62.5">
      <c r="A26" s="111">
        <v>7</v>
      </c>
      <c r="B26" s="100" t="s">
        <v>333</v>
      </c>
      <c r="C26" s="101" t="s">
        <v>117</v>
      </c>
      <c r="D26" s="183">
        <v>6.0029995068144701E-5</v>
      </c>
      <c r="E26" s="183">
        <v>7.3514207083376706E-5</v>
      </c>
    </row>
    <row r="27" spans="1:5" ht="25">
      <c r="A27" s="111">
        <v>8</v>
      </c>
      <c r="B27" s="100" t="s">
        <v>522</v>
      </c>
      <c r="C27" s="101" t="s">
        <v>118</v>
      </c>
      <c r="D27" s="183">
        <v>2.11680910611209E-2</v>
      </c>
      <c r="E27" s="183">
        <v>2.1190134988993699E-2</v>
      </c>
    </row>
    <row r="28" spans="1:5" ht="12.5">
      <c r="A28" s="111">
        <v>9</v>
      </c>
      <c r="B28" s="100" t="s">
        <v>555</v>
      </c>
      <c r="C28" s="101" t="s">
        <v>119</v>
      </c>
      <c r="D28" s="183">
        <v>4.7510543228808997</v>
      </c>
      <c r="E28" s="183">
        <v>4.3875401907054901</v>
      </c>
    </row>
    <row r="29" spans="1:5" ht="50">
      <c r="A29" s="111">
        <v>10</v>
      </c>
      <c r="B29" s="100" t="s">
        <v>523</v>
      </c>
      <c r="C29" s="101" t="s">
        <v>485</v>
      </c>
      <c r="D29" s="103"/>
      <c r="E29" s="103"/>
    </row>
    <row r="30" spans="1:5" s="139" customFormat="1" ht="25">
      <c r="A30" s="53" t="s">
        <v>22</v>
      </c>
      <c r="B30" s="98" t="s">
        <v>120</v>
      </c>
      <c r="C30" s="99" t="s">
        <v>121</v>
      </c>
      <c r="D30" s="102"/>
      <c r="E30" s="102"/>
    </row>
    <row r="31" spans="1:5" ht="37.5">
      <c r="A31" s="225">
        <v>1</v>
      </c>
      <c r="B31" s="100" t="s">
        <v>122</v>
      </c>
      <c r="C31" s="101" t="s">
        <v>123</v>
      </c>
      <c r="D31" s="112">
        <v>351360621300</v>
      </c>
      <c r="E31" s="112">
        <v>351533203900</v>
      </c>
    </row>
    <row r="32" spans="1:5" ht="25">
      <c r="A32" s="226"/>
      <c r="B32" s="100" t="s">
        <v>124</v>
      </c>
      <c r="C32" s="101" t="s">
        <v>125</v>
      </c>
      <c r="D32" s="112">
        <v>351360621300</v>
      </c>
      <c r="E32" s="112">
        <v>351533203900</v>
      </c>
    </row>
    <row r="33" spans="1:5" ht="25">
      <c r="A33" s="227"/>
      <c r="B33" s="100" t="s">
        <v>524</v>
      </c>
      <c r="C33" s="101" t="s">
        <v>126</v>
      </c>
      <c r="D33" s="103">
        <v>35136062.130000003</v>
      </c>
      <c r="E33" s="103">
        <v>35153320.390000001</v>
      </c>
    </row>
    <row r="34" spans="1:5" ht="37.5">
      <c r="A34" s="224">
        <v>2</v>
      </c>
      <c r="B34" s="100" t="s">
        <v>127</v>
      </c>
      <c r="C34" s="101" t="s">
        <v>128</v>
      </c>
      <c r="D34" s="112">
        <v>58224310800</v>
      </c>
      <c r="E34" s="112">
        <v>-172582599.999998</v>
      </c>
    </row>
    <row r="35" spans="1:5" ht="25">
      <c r="A35" s="224"/>
      <c r="B35" s="100" t="s">
        <v>129</v>
      </c>
      <c r="C35" s="101" t="s">
        <v>525</v>
      </c>
      <c r="D35" s="103">
        <v>5822431.0800000001</v>
      </c>
      <c r="E35" s="103">
        <v>-17258.259999999798</v>
      </c>
    </row>
    <row r="36" spans="1:5" ht="25">
      <c r="A36" s="224"/>
      <c r="B36" s="100" t="s">
        <v>130</v>
      </c>
      <c r="C36" s="101" t="s">
        <v>526</v>
      </c>
      <c r="D36" s="112">
        <v>58224310800</v>
      </c>
      <c r="E36" s="112">
        <v>-172582599.999998</v>
      </c>
    </row>
    <row r="37" spans="1:5" ht="25">
      <c r="A37" s="224"/>
      <c r="B37" s="100" t="s">
        <v>527</v>
      </c>
      <c r="C37" s="101" t="s">
        <v>131</v>
      </c>
      <c r="D37" s="103">
        <v>17320939.109999999</v>
      </c>
      <c r="E37" s="103">
        <v>8646149.5800000001</v>
      </c>
    </row>
    <row r="38" spans="1:5" ht="25">
      <c r="A38" s="224"/>
      <c r="B38" s="100" t="s">
        <v>291</v>
      </c>
      <c r="C38" s="101" t="s">
        <v>132</v>
      </c>
      <c r="D38" s="112">
        <v>173209391100</v>
      </c>
      <c r="E38" s="112">
        <v>86461495800</v>
      </c>
    </row>
    <row r="39" spans="1:5" ht="25">
      <c r="A39" s="224"/>
      <c r="B39" s="100" t="s">
        <v>549</v>
      </c>
      <c r="C39" s="101" t="s">
        <v>133</v>
      </c>
      <c r="D39" s="103">
        <v>-11498508.029999999</v>
      </c>
      <c r="E39" s="103">
        <v>-8663407.8399999999</v>
      </c>
    </row>
    <row r="40" spans="1:5" ht="37.5">
      <c r="A40" s="224"/>
      <c r="B40" s="100" t="s">
        <v>292</v>
      </c>
      <c r="C40" s="101" t="s">
        <v>134</v>
      </c>
      <c r="D40" s="112">
        <v>-114985080300</v>
      </c>
      <c r="E40" s="112">
        <v>-86634078400</v>
      </c>
    </row>
    <row r="41" spans="1:5" ht="25">
      <c r="A41" s="224">
        <v>3</v>
      </c>
      <c r="B41" s="100" t="s">
        <v>293</v>
      </c>
      <c r="C41" s="101" t="s">
        <v>135</v>
      </c>
      <c r="D41" s="112">
        <v>409584932100</v>
      </c>
      <c r="E41" s="112">
        <v>351360621300</v>
      </c>
    </row>
    <row r="42" spans="1:5" ht="37.5">
      <c r="A42" s="224"/>
      <c r="B42" s="100" t="s">
        <v>528</v>
      </c>
      <c r="C42" s="101" t="s">
        <v>136</v>
      </c>
      <c r="D42" s="112">
        <v>409584932100</v>
      </c>
      <c r="E42" s="112">
        <v>351360621300</v>
      </c>
    </row>
    <row r="43" spans="1:5" ht="25">
      <c r="A43" s="224"/>
      <c r="B43" s="100" t="s">
        <v>529</v>
      </c>
      <c r="C43" s="101" t="s">
        <v>137</v>
      </c>
      <c r="D43" s="103">
        <v>40958493.210000001</v>
      </c>
      <c r="E43" s="103">
        <v>35136062.130000003</v>
      </c>
    </row>
    <row r="44" spans="1:5" ht="50">
      <c r="A44" s="111">
        <v>4</v>
      </c>
      <c r="B44" s="100" t="s">
        <v>138</v>
      </c>
      <c r="C44" s="101" t="s">
        <v>139</v>
      </c>
      <c r="D44" s="183">
        <v>6.9608684708741E-2</v>
      </c>
      <c r="E44" s="183">
        <v>8.3278166721524993E-2</v>
      </c>
    </row>
    <row r="45" spans="1:5" ht="25">
      <c r="A45" s="111">
        <v>5</v>
      </c>
      <c r="B45" s="100" t="s">
        <v>140</v>
      </c>
      <c r="C45" s="101" t="s">
        <v>141</v>
      </c>
      <c r="D45" s="183">
        <v>0.1978</v>
      </c>
      <c r="E45" s="183">
        <v>0.22140000000000001</v>
      </c>
    </row>
    <row r="46" spans="1:5" ht="25">
      <c r="A46" s="111">
        <v>6</v>
      </c>
      <c r="B46" s="100" t="s">
        <v>142</v>
      </c>
      <c r="C46" s="101" t="s">
        <v>143</v>
      </c>
      <c r="D46" s="183">
        <v>0.18759999999999999</v>
      </c>
      <c r="E46" s="183">
        <v>0.19670000000000001</v>
      </c>
    </row>
    <row r="47" spans="1:5" ht="25">
      <c r="A47" s="111">
        <v>7</v>
      </c>
      <c r="B47" s="100" t="s">
        <v>144</v>
      </c>
      <c r="C47" s="101" t="s">
        <v>145</v>
      </c>
      <c r="D47" s="112">
        <v>46099</v>
      </c>
      <c r="E47" s="112">
        <v>34941</v>
      </c>
    </row>
    <row r="48" spans="1:5" ht="25">
      <c r="A48" s="111">
        <v>8</v>
      </c>
      <c r="B48" s="100" t="s">
        <v>294</v>
      </c>
      <c r="C48" s="101" t="s">
        <v>146</v>
      </c>
      <c r="D48" s="103">
        <v>107138.03</v>
      </c>
      <c r="E48" s="103">
        <v>88678.26</v>
      </c>
    </row>
    <row r="49" spans="1:5" ht="37.5">
      <c r="A49" s="111">
        <v>9</v>
      </c>
      <c r="B49" s="100" t="s">
        <v>530</v>
      </c>
      <c r="C49" s="101" t="s">
        <v>486</v>
      </c>
      <c r="D49" s="103"/>
      <c r="E49" s="103"/>
    </row>
    <row r="50" spans="1:5" ht="31.5" customHeight="1">
      <c r="A50" s="223" t="s">
        <v>550</v>
      </c>
      <c r="B50" s="217"/>
      <c r="C50" s="217"/>
      <c r="D50" s="217"/>
      <c r="E50" s="217"/>
    </row>
    <row r="51" spans="1:5" ht="95.25" customHeight="1">
      <c r="A51" s="223" t="s">
        <v>567</v>
      </c>
      <c r="B51" s="217"/>
      <c r="C51" s="217"/>
      <c r="D51" s="217"/>
      <c r="E51" s="217"/>
    </row>
    <row r="52" spans="1:5" ht="12.5">
      <c r="A52" s="25" t="s">
        <v>10</v>
      </c>
      <c r="D52" s="25" t="s">
        <v>11</v>
      </c>
    </row>
    <row r="53" spans="1:5" s="138" customFormat="1" ht="12.5">
      <c r="A53" s="26" t="s">
        <v>12</v>
      </c>
      <c r="B53" s="26"/>
      <c r="C53" s="26"/>
      <c r="D53" s="26" t="s">
        <v>13</v>
      </c>
      <c r="E53" s="26"/>
    </row>
    <row r="54" spans="1:5" ht="12.5"/>
    <row r="55" spans="1:5" ht="12.5"/>
    <row r="56" spans="1:5" ht="12.5"/>
    <row r="57" spans="1:5" ht="12.5"/>
    <row r="58" spans="1:5" ht="12.5"/>
    <row r="59" spans="1:5" ht="12.5"/>
    <row r="60" spans="1:5" ht="12.5"/>
    <row r="61" spans="1:5" ht="12.5"/>
    <row r="62" spans="1:5" ht="12.5">
      <c r="A62" s="36"/>
      <c r="B62" s="36"/>
      <c r="D62" s="36"/>
      <c r="E62" s="36"/>
    </row>
    <row r="63" spans="1:5" ht="12.5">
      <c r="A63" s="25" t="s">
        <v>14</v>
      </c>
      <c r="D63" s="25" t="s">
        <v>1301</v>
      </c>
    </row>
    <row r="64" spans="1:5" ht="12.5">
      <c r="A64" s="25" t="s">
        <v>1323</v>
      </c>
      <c r="D64" s="25" t="s">
        <v>1319</v>
      </c>
    </row>
    <row r="65" spans="1:4" ht="12.5">
      <c r="A65" s="12" t="s">
        <v>1309</v>
      </c>
      <c r="D65" s="12" t="s">
        <v>1320</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122" zoomScaleNormal="100" zoomScaleSheetLayoutView="100" workbookViewId="0">
      <selection activeCell="A138" sqref="A138:B138"/>
    </sheetView>
  </sheetViews>
  <sheetFormatPr defaultColWidth="8.7265625" defaultRowHeight="12.5"/>
  <cols>
    <col min="1" max="1" width="7.1796875" style="12" customWidth="1"/>
    <col min="2" max="2" width="84" style="12" customWidth="1"/>
    <col min="3" max="3" width="10.54296875" style="12" customWidth="1"/>
    <col min="4" max="4" width="15.1796875" style="12" customWidth="1"/>
    <col min="5" max="5" width="28.7265625" style="12" customWidth="1"/>
    <col min="6" max="6" width="28" style="12" bestFit="1" customWidth="1"/>
    <col min="7" max="7" width="8.7265625" style="1"/>
    <col min="8" max="16384" width="8.7265625" style="30"/>
  </cols>
  <sheetData>
    <row r="1" spans="1:6" ht="65.25" customHeight="1">
      <c r="A1" s="218" t="s">
        <v>551</v>
      </c>
      <c r="B1" s="218"/>
      <c r="C1" s="218"/>
      <c r="D1" s="218"/>
      <c r="E1" s="218"/>
      <c r="F1" s="218"/>
    </row>
    <row r="2" spans="1:6" ht="64.5" customHeight="1">
      <c r="A2" s="219" t="s">
        <v>552</v>
      </c>
      <c r="B2" s="219"/>
      <c r="C2" s="219"/>
      <c r="D2" s="219"/>
      <c r="E2" s="219"/>
      <c r="F2" s="219"/>
    </row>
    <row r="3" spans="1:6" ht="31.15" customHeight="1">
      <c r="A3" s="220" t="s">
        <v>233</v>
      </c>
      <c r="B3" s="220"/>
      <c r="C3" s="220"/>
      <c r="D3" s="220"/>
      <c r="E3" s="220"/>
      <c r="F3" s="220"/>
    </row>
    <row r="4" spans="1:6" ht="6" customHeight="1"/>
    <row r="5" spans="1:6" ht="16.899999999999999" customHeight="1">
      <c r="A5" s="221" t="s">
        <v>1299</v>
      </c>
      <c r="B5" s="221"/>
      <c r="C5" s="221"/>
      <c r="D5" s="221"/>
      <c r="E5" s="221"/>
      <c r="F5" s="221"/>
    </row>
    <row r="6" spans="1:6" ht="16.899999999999999" customHeight="1"/>
    <row r="7" spans="1:6" ht="16.899999999999999" customHeight="1">
      <c r="A7" s="110" t="s">
        <v>2</v>
      </c>
      <c r="C7" s="195" t="s">
        <v>1301</v>
      </c>
      <c r="D7" s="195"/>
      <c r="E7" s="195"/>
      <c r="F7" s="195"/>
    </row>
    <row r="8" spans="1:6" ht="16.899999999999999" customHeight="1">
      <c r="A8" s="12" t="s">
        <v>15</v>
      </c>
      <c r="C8" s="223" t="s">
        <v>1302</v>
      </c>
      <c r="D8" s="223"/>
      <c r="E8" s="223"/>
      <c r="F8" s="223"/>
    </row>
    <row r="9" spans="1:6" ht="16.899999999999999" customHeight="1">
      <c r="A9" s="110" t="s">
        <v>3</v>
      </c>
      <c r="C9" s="195" t="s">
        <v>1303</v>
      </c>
      <c r="D9" s="195"/>
      <c r="E9" s="195"/>
      <c r="F9" s="195"/>
    </row>
    <row r="10" spans="1:6" ht="16.899999999999999" customHeight="1">
      <c r="A10" s="12" t="s">
        <v>4</v>
      </c>
      <c r="C10" s="223" t="s">
        <v>1304</v>
      </c>
      <c r="D10" s="223"/>
      <c r="E10" s="223"/>
      <c r="F10" s="223"/>
    </row>
    <row r="11" spans="1:6" ht="16.899999999999999" customHeight="1">
      <c r="A11" s="110" t="s">
        <v>5</v>
      </c>
      <c r="C11" s="195" t="s">
        <v>1305</v>
      </c>
      <c r="D11" s="195"/>
      <c r="E11" s="195"/>
      <c r="F11" s="195"/>
    </row>
    <row r="12" spans="1:6" ht="16.899999999999999" customHeight="1">
      <c r="A12" s="12" t="s">
        <v>6</v>
      </c>
      <c r="C12" s="223" t="s">
        <v>1306</v>
      </c>
      <c r="D12" s="223"/>
      <c r="E12" s="223"/>
      <c r="F12" s="223"/>
    </row>
    <row r="13" spans="1:6" ht="16.899999999999999" customHeight="1">
      <c r="A13" s="110" t="s">
        <v>7</v>
      </c>
      <c r="C13" s="195" t="s">
        <v>1307</v>
      </c>
      <c r="D13" s="195"/>
      <c r="E13" s="195"/>
      <c r="F13" s="195"/>
    </row>
    <row r="14" spans="1:6" ht="16.899999999999999" customHeight="1">
      <c r="A14" s="12" t="s">
        <v>8</v>
      </c>
      <c r="C14" s="223" t="s">
        <v>1308</v>
      </c>
      <c r="D14" s="223"/>
      <c r="E14" s="223"/>
      <c r="F14" s="223"/>
    </row>
    <row r="15" spans="1:6" ht="16.899999999999999" customHeight="1"/>
    <row r="16" spans="1:6" ht="46.9" customHeight="1">
      <c r="A16" s="31" t="s">
        <v>234</v>
      </c>
      <c r="B16" s="31" t="s">
        <v>148</v>
      </c>
      <c r="C16" s="31" t="s">
        <v>149</v>
      </c>
      <c r="D16" s="31" t="s">
        <v>150</v>
      </c>
      <c r="E16" s="31" t="s">
        <v>1310</v>
      </c>
      <c r="F16" s="31" t="s">
        <v>1311</v>
      </c>
    </row>
    <row r="17" spans="1:7" ht="25">
      <c r="A17" s="13" t="s">
        <v>16</v>
      </c>
      <c r="B17" s="167" t="s">
        <v>1195</v>
      </c>
      <c r="C17" s="168" t="s">
        <v>16</v>
      </c>
      <c r="D17" s="22"/>
      <c r="E17" s="22"/>
      <c r="F17" s="22"/>
    </row>
    <row r="18" spans="1:7" ht="25">
      <c r="A18" s="169" t="s">
        <v>363</v>
      </c>
      <c r="B18" s="170" t="s">
        <v>1196</v>
      </c>
      <c r="C18" s="171" t="s">
        <v>364</v>
      </c>
      <c r="D18" s="169"/>
      <c r="E18" s="172">
        <v>328212527630</v>
      </c>
      <c r="F18" s="172">
        <v>108184025369</v>
      </c>
    </row>
    <row r="19" spans="1:7" ht="25">
      <c r="A19" s="169" t="s">
        <v>365</v>
      </c>
      <c r="B19" s="170" t="s">
        <v>1197</v>
      </c>
      <c r="C19" s="171" t="s">
        <v>366</v>
      </c>
      <c r="D19" s="169"/>
      <c r="E19" s="172">
        <v>328212527630</v>
      </c>
      <c r="F19" s="172">
        <v>108184025369</v>
      </c>
    </row>
    <row r="20" spans="1:7" s="63" customFormat="1" ht="25">
      <c r="A20" s="169" t="s">
        <v>367</v>
      </c>
      <c r="B20" s="173" t="s">
        <v>1198</v>
      </c>
      <c r="C20" s="174" t="s">
        <v>368</v>
      </c>
      <c r="D20" s="169"/>
      <c r="E20" s="172">
        <v>24571225704</v>
      </c>
      <c r="F20" s="172">
        <v>14687984967</v>
      </c>
      <c r="G20" s="62"/>
    </row>
    <row r="21" spans="1:7" s="63" customFormat="1" ht="25">
      <c r="A21" s="169" t="s">
        <v>367</v>
      </c>
      <c r="B21" s="173" t="s">
        <v>1199</v>
      </c>
      <c r="C21" s="174" t="s">
        <v>369</v>
      </c>
      <c r="D21" s="169"/>
      <c r="E21" s="172">
        <v>1570348825</v>
      </c>
      <c r="F21" s="172">
        <v>1492730217</v>
      </c>
      <c r="G21" s="62"/>
    </row>
    <row r="22" spans="1:7" s="63" customFormat="1" ht="25">
      <c r="A22" s="169" t="s">
        <v>367</v>
      </c>
      <c r="B22" s="173" t="s">
        <v>1200</v>
      </c>
      <c r="C22" s="174" t="s">
        <v>370</v>
      </c>
      <c r="D22" s="169"/>
      <c r="E22" s="172">
        <v>302070953101</v>
      </c>
      <c r="F22" s="172">
        <v>92003310185</v>
      </c>
      <c r="G22" s="62"/>
    </row>
    <row r="23" spans="1:7" ht="25">
      <c r="A23" s="169" t="s">
        <v>367</v>
      </c>
      <c r="B23" s="173" t="s">
        <v>1201</v>
      </c>
      <c r="C23" s="174" t="s">
        <v>371</v>
      </c>
      <c r="D23" s="169"/>
      <c r="E23" s="172">
        <v>0</v>
      </c>
      <c r="F23" s="172">
        <v>0</v>
      </c>
    </row>
    <row r="24" spans="1:7" ht="25">
      <c r="A24" s="169" t="s">
        <v>372</v>
      </c>
      <c r="B24" s="170" t="s">
        <v>1202</v>
      </c>
      <c r="C24" s="171" t="s">
        <v>373</v>
      </c>
      <c r="D24" s="169"/>
      <c r="E24" s="172">
        <v>0</v>
      </c>
      <c r="F24" s="172">
        <v>0</v>
      </c>
    </row>
    <row r="25" spans="1:7" ht="25">
      <c r="A25" s="169" t="s">
        <v>374</v>
      </c>
      <c r="B25" s="170" t="s">
        <v>1203</v>
      </c>
      <c r="C25" s="171" t="s">
        <v>375</v>
      </c>
      <c r="D25" s="169"/>
      <c r="E25" s="172">
        <v>4041996094000</v>
      </c>
      <c r="F25" s="172">
        <v>3001657096300</v>
      </c>
    </row>
    <row r="26" spans="1:7" ht="25">
      <c r="A26" s="169" t="s">
        <v>376</v>
      </c>
      <c r="B26" s="170" t="s">
        <v>1204</v>
      </c>
      <c r="C26" s="171" t="s">
        <v>377</v>
      </c>
      <c r="D26" s="169"/>
      <c r="E26" s="172">
        <v>4041996094000</v>
      </c>
      <c r="F26" s="172">
        <v>3001657096300</v>
      </c>
    </row>
    <row r="27" spans="1:7" ht="25">
      <c r="A27" s="169" t="s">
        <v>367</v>
      </c>
      <c r="B27" s="173" t="s">
        <v>1205</v>
      </c>
      <c r="C27" s="174" t="s">
        <v>378</v>
      </c>
      <c r="D27" s="169"/>
      <c r="E27" s="172">
        <v>4013441399600</v>
      </c>
      <c r="F27" s="172">
        <v>3001657096300</v>
      </c>
    </row>
    <row r="28" spans="1:7" ht="25">
      <c r="A28" s="169" t="s">
        <v>367</v>
      </c>
      <c r="B28" s="173" t="s">
        <v>1206</v>
      </c>
      <c r="C28" s="174" t="s">
        <v>379</v>
      </c>
      <c r="D28" s="169"/>
      <c r="E28" s="172">
        <v>28212210000</v>
      </c>
      <c r="F28" s="172">
        <v>0</v>
      </c>
    </row>
    <row r="29" spans="1:7" ht="25">
      <c r="A29" s="169" t="s">
        <v>367</v>
      </c>
      <c r="B29" s="173" t="s">
        <v>1207</v>
      </c>
      <c r="C29" s="174" t="s">
        <v>380</v>
      </c>
      <c r="D29" s="169"/>
      <c r="E29" s="172">
        <v>0</v>
      </c>
      <c r="F29" s="172">
        <v>0</v>
      </c>
    </row>
    <row r="30" spans="1:7" ht="25">
      <c r="A30" s="169" t="s">
        <v>367</v>
      </c>
      <c r="B30" s="173" t="s">
        <v>1208</v>
      </c>
      <c r="C30" s="174" t="s">
        <v>381</v>
      </c>
      <c r="D30" s="169"/>
      <c r="E30" s="172">
        <v>0</v>
      </c>
      <c r="F30" s="172">
        <v>0</v>
      </c>
    </row>
    <row r="31" spans="1:7" ht="25">
      <c r="A31" s="169" t="s">
        <v>367</v>
      </c>
      <c r="B31" s="173" t="s">
        <v>1209</v>
      </c>
      <c r="C31" s="174" t="s">
        <v>382</v>
      </c>
      <c r="D31" s="169"/>
      <c r="E31" s="172">
        <v>0</v>
      </c>
      <c r="F31" s="172">
        <v>0</v>
      </c>
    </row>
    <row r="32" spans="1:7" ht="25">
      <c r="A32" s="169" t="s">
        <v>367</v>
      </c>
      <c r="B32" s="173" t="s">
        <v>1210</v>
      </c>
      <c r="C32" s="174" t="s">
        <v>383</v>
      </c>
      <c r="D32" s="169"/>
      <c r="E32" s="172">
        <v>0</v>
      </c>
      <c r="F32" s="172">
        <v>0</v>
      </c>
    </row>
    <row r="33" spans="1:6" ht="25">
      <c r="A33" s="169" t="s">
        <v>367</v>
      </c>
      <c r="B33" s="173" t="s">
        <v>1211</v>
      </c>
      <c r="C33" s="174" t="s">
        <v>384</v>
      </c>
      <c r="D33" s="169"/>
      <c r="E33" s="172">
        <v>342484400</v>
      </c>
      <c r="F33" s="172">
        <v>0</v>
      </c>
    </row>
    <row r="34" spans="1:6" ht="25">
      <c r="A34" s="169" t="s">
        <v>367</v>
      </c>
      <c r="B34" s="173" t="s">
        <v>1212</v>
      </c>
      <c r="C34" s="174" t="s">
        <v>385</v>
      </c>
      <c r="D34" s="169"/>
      <c r="E34" s="172">
        <v>0</v>
      </c>
      <c r="F34" s="172">
        <v>0</v>
      </c>
    </row>
    <row r="35" spans="1:6" ht="25">
      <c r="A35" s="169" t="s">
        <v>367</v>
      </c>
      <c r="B35" s="173" t="s">
        <v>1213</v>
      </c>
      <c r="C35" s="174" t="s">
        <v>386</v>
      </c>
      <c r="D35" s="169"/>
      <c r="E35" s="172">
        <v>0</v>
      </c>
      <c r="F35" s="172">
        <v>0</v>
      </c>
    </row>
    <row r="36" spans="1:6" ht="25">
      <c r="A36" s="169" t="s">
        <v>367</v>
      </c>
      <c r="B36" s="173" t="s">
        <v>1214</v>
      </c>
      <c r="C36" s="174" t="s">
        <v>387</v>
      </c>
      <c r="D36" s="169"/>
      <c r="E36" s="172">
        <v>0</v>
      </c>
      <c r="F36" s="172">
        <v>0</v>
      </c>
    </row>
    <row r="37" spans="1:6" ht="25">
      <c r="A37" s="169" t="s">
        <v>388</v>
      </c>
      <c r="B37" s="170" t="s">
        <v>1215</v>
      </c>
      <c r="C37" s="171" t="s">
        <v>389</v>
      </c>
      <c r="D37" s="169"/>
      <c r="E37" s="172">
        <v>0</v>
      </c>
      <c r="F37" s="172">
        <v>0</v>
      </c>
    </row>
    <row r="38" spans="1:6" ht="25">
      <c r="A38" s="169" t="s">
        <v>390</v>
      </c>
      <c r="B38" s="170" t="s">
        <v>1216</v>
      </c>
      <c r="C38" s="171" t="s">
        <v>391</v>
      </c>
      <c r="D38" s="169"/>
      <c r="E38" s="172">
        <v>271783824978</v>
      </c>
      <c r="F38" s="172">
        <v>143650304356</v>
      </c>
    </row>
    <row r="39" spans="1:6" ht="25">
      <c r="A39" s="169" t="s">
        <v>392</v>
      </c>
      <c r="B39" s="170" t="s">
        <v>1217</v>
      </c>
      <c r="C39" s="171" t="s">
        <v>393</v>
      </c>
      <c r="D39" s="169"/>
      <c r="E39" s="172">
        <v>261977077800</v>
      </c>
      <c r="F39" s="172">
        <v>139607486000</v>
      </c>
    </row>
    <row r="40" spans="1:6" ht="25">
      <c r="A40" s="169" t="s">
        <v>367</v>
      </c>
      <c r="B40" s="173" t="s">
        <v>1218</v>
      </c>
      <c r="C40" s="174" t="s">
        <v>394</v>
      </c>
      <c r="D40" s="169"/>
      <c r="E40" s="172">
        <v>0</v>
      </c>
      <c r="F40" s="172">
        <v>0</v>
      </c>
    </row>
    <row r="41" spans="1:6" ht="25">
      <c r="A41" s="169" t="s">
        <v>395</v>
      </c>
      <c r="B41" s="170" t="s">
        <v>1219</v>
      </c>
      <c r="C41" s="171" t="s">
        <v>396</v>
      </c>
      <c r="D41" s="169"/>
      <c r="E41" s="172">
        <v>10655788000</v>
      </c>
      <c r="F41" s="172">
        <v>4874500000</v>
      </c>
    </row>
    <row r="42" spans="1:6" ht="25">
      <c r="A42" s="169" t="s">
        <v>397</v>
      </c>
      <c r="B42" s="170" t="s">
        <v>1220</v>
      </c>
      <c r="C42" s="171" t="s">
        <v>398</v>
      </c>
      <c r="D42" s="169"/>
      <c r="E42" s="172">
        <v>866400000</v>
      </c>
      <c r="F42" s="172">
        <v>866400000</v>
      </c>
    </row>
    <row r="43" spans="1:6" ht="25">
      <c r="A43" s="169" t="s">
        <v>367</v>
      </c>
      <c r="B43" s="173" t="s">
        <v>1221</v>
      </c>
      <c r="C43" s="174" t="s">
        <v>399</v>
      </c>
      <c r="D43" s="169"/>
      <c r="E43" s="172">
        <v>866400000</v>
      </c>
      <c r="F43" s="172">
        <v>866400000</v>
      </c>
    </row>
    <row r="44" spans="1:6" ht="25">
      <c r="A44" s="169" t="s">
        <v>367</v>
      </c>
      <c r="B44" s="173" t="s">
        <v>1222</v>
      </c>
      <c r="C44" s="174" t="s">
        <v>400</v>
      </c>
      <c r="D44" s="169"/>
      <c r="E44" s="172">
        <v>0</v>
      </c>
      <c r="F44" s="172">
        <v>0</v>
      </c>
    </row>
    <row r="45" spans="1:6" ht="25">
      <c r="A45" s="169" t="s">
        <v>367</v>
      </c>
      <c r="B45" s="173" t="s">
        <v>1223</v>
      </c>
      <c r="C45" s="174" t="s">
        <v>401</v>
      </c>
      <c r="D45" s="169"/>
      <c r="E45" s="172">
        <v>0</v>
      </c>
      <c r="F45" s="172">
        <v>0</v>
      </c>
    </row>
    <row r="46" spans="1:6" ht="25">
      <c r="A46" s="169" t="s">
        <v>367</v>
      </c>
      <c r="B46" s="173" t="s">
        <v>1224</v>
      </c>
      <c r="C46" s="174" t="s">
        <v>402</v>
      </c>
      <c r="D46" s="169"/>
      <c r="E46" s="172">
        <v>0</v>
      </c>
      <c r="F46" s="172">
        <v>0</v>
      </c>
    </row>
    <row r="47" spans="1:6" ht="25">
      <c r="A47" s="169" t="s">
        <v>367</v>
      </c>
      <c r="B47" s="173" t="s">
        <v>1225</v>
      </c>
      <c r="C47" s="174" t="s">
        <v>403</v>
      </c>
      <c r="D47" s="169"/>
      <c r="E47" s="172">
        <v>0</v>
      </c>
      <c r="F47" s="172">
        <v>0</v>
      </c>
    </row>
    <row r="48" spans="1:6" ht="25">
      <c r="A48" s="169" t="s">
        <v>367</v>
      </c>
      <c r="B48" s="170" t="s">
        <v>1226</v>
      </c>
      <c r="C48" s="171" t="s">
        <v>404</v>
      </c>
      <c r="D48" s="169"/>
      <c r="E48" s="172">
        <v>866400000</v>
      </c>
      <c r="F48" s="172">
        <v>866400000</v>
      </c>
    </row>
    <row r="49" spans="1:7" ht="25">
      <c r="A49" s="169" t="s">
        <v>405</v>
      </c>
      <c r="B49" s="170" t="s">
        <v>1227</v>
      </c>
      <c r="C49" s="171" t="s">
        <v>406</v>
      </c>
      <c r="D49" s="169"/>
      <c r="E49" s="172">
        <v>9789388000</v>
      </c>
      <c r="F49" s="172">
        <v>4008100000</v>
      </c>
    </row>
    <row r="50" spans="1:7" ht="25">
      <c r="A50" s="169" t="s">
        <v>367</v>
      </c>
      <c r="B50" s="173" t="s">
        <v>1228</v>
      </c>
      <c r="C50" s="174" t="s">
        <v>407</v>
      </c>
      <c r="D50" s="169"/>
      <c r="E50" s="172">
        <v>9789388000</v>
      </c>
      <c r="F50" s="172">
        <v>4008100000</v>
      </c>
    </row>
    <row r="51" spans="1:7" ht="25">
      <c r="A51" s="169" t="s">
        <v>367</v>
      </c>
      <c r="B51" s="173" t="s">
        <v>1229</v>
      </c>
      <c r="C51" s="174" t="s">
        <v>408</v>
      </c>
      <c r="D51" s="169"/>
      <c r="E51" s="172">
        <v>0</v>
      </c>
      <c r="F51" s="172">
        <v>0</v>
      </c>
    </row>
    <row r="52" spans="1:7" ht="25">
      <c r="A52" s="169" t="s">
        <v>367</v>
      </c>
      <c r="B52" s="173" t="s">
        <v>1230</v>
      </c>
      <c r="C52" s="174" t="s">
        <v>409</v>
      </c>
      <c r="D52" s="169"/>
      <c r="E52" s="172">
        <v>0</v>
      </c>
      <c r="F52" s="172">
        <v>0</v>
      </c>
    </row>
    <row r="53" spans="1:7" ht="25">
      <c r="A53" s="169" t="s">
        <v>367</v>
      </c>
      <c r="B53" s="173" t="s">
        <v>1231</v>
      </c>
      <c r="C53" s="174" t="s">
        <v>410</v>
      </c>
      <c r="D53" s="169"/>
      <c r="E53" s="172">
        <v>0</v>
      </c>
      <c r="F53" s="172">
        <v>0</v>
      </c>
    </row>
    <row r="54" spans="1:7" ht="25">
      <c r="A54" s="169" t="s">
        <v>367</v>
      </c>
      <c r="B54" s="173" t="s">
        <v>1232</v>
      </c>
      <c r="C54" s="174" t="s">
        <v>411</v>
      </c>
      <c r="D54" s="169"/>
      <c r="E54" s="172">
        <v>0</v>
      </c>
      <c r="F54" s="172">
        <v>0</v>
      </c>
    </row>
    <row r="55" spans="1:7" ht="25">
      <c r="A55" s="169" t="s">
        <v>367</v>
      </c>
      <c r="B55" s="173" t="s">
        <v>1233</v>
      </c>
      <c r="C55" s="174" t="s">
        <v>412</v>
      </c>
      <c r="D55" s="169"/>
      <c r="E55" s="172">
        <v>0</v>
      </c>
      <c r="F55" s="172">
        <v>0</v>
      </c>
    </row>
    <row r="56" spans="1:7" ht="25">
      <c r="A56" s="169" t="s">
        <v>413</v>
      </c>
      <c r="B56" s="170" t="s">
        <v>1234</v>
      </c>
      <c r="C56" s="171" t="s">
        <v>414</v>
      </c>
      <c r="D56" s="169"/>
      <c r="E56" s="172">
        <v>17359178</v>
      </c>
      <c r="F56" s="172">
        <v>34718356</v>
      </c>
    </row>
    <row r="57" spans="1:7" s="63" customFormat="1" ht="25">
      <c r="A57" s="169" t="s">
        <v>367</v>
      </c>
      <c r="B57" s="173" t="s">
        <v>1235</v>
      </c>
      <c r="C57" s="174" t="s">
        <v>415</v>
      </c>
      <c r="D57" s="169"/>
      <c r="E57" s="172">
        <v>0</v>
      </c>
      <c r="F57" s="172">
        <v>0</v>
      </c>
      <c r="G57" s="62"/>
    </row>
    <row r="58" spans="1:7" ht="25">
      <c r="A58" s="169" t="s">
        <v>367</v>
      </c>
      <c r="B58" s="173" t="s">
        <v>1236</v>
      </c>
      <c r="C58" s="174" t="s">
        <v>416</v>
      </c>
      <c r="D58" s="169"/>
      <c r="E58" s="172">
        <v>17359178</v>
      </c>
      <c r="F58" s="172">
        <v>34718356</v>
      </c>
    </row>
    <row r="59" spans="1:7" ht="25">
      <c r="A59" s="169" t="s">
        <v>367</v>
      </c>
      <c r="B59" s="173" t="s">
        <v>1237</v>
      </c>
      <c r="C59" s="174" t="s">
        <v>417</v>
      </c>
      <c r="D59" s="169"/>
      <c r="E59" s="172">
        <v>0</v>
      </c>
      <c r="F59" s="172">
        <v>0</v>
      </c>
    </row>
    <row r="60" spans="1:7" ht="25">
      <c r="A60" s="169" t="s">
        <v>418</v>
      </c>
      <c r="B60" s="170" t="s">
        <v>1238</v>
      </c>
      <c r="C60" s="171" t="s">
        <v>419</v>
      </c>
      <c r="D60" s="169"/>
      <c r="E60" s="172">
        <v>-866400000</v>
      </c>
      <c r="F60" s="172">
        <v>-866400000</v>
      </c>
    </row>
    <row r="61" spans="1:7" ht="25">
      <c r="A61" s="13" t="s">
        <v>367</v>
      </c>
      <c r="B61" s="167" t="s">
        <v>1239</v>
      </c>
      <c r="C61" s="168" t="s">
        <v>420</v>
      </c>
      <c r="D61" s="22"/>
      <c r="E61" s="22">
        <v>4641992446608</v>
      </c>
      <c r="F61" s="22">
        <v>3253491426025</v>
      </c>
    </row>
    <row r="62" spans="1:7" ht="25">
      <c r="A62" s="13" t="s">
        <v>22</v>
      </c>
      <c r="B62" s="167" t="s">
        <v>1240</v>
      </c>
      <c r="C62" s="168" t="s">
        <v>22</v>
      </c>
      <c r="D62" s="22"/>
      <c r="E62" s="22"/>
      <c r="F62" s="22"/>
    </row>
    <row r="63" spans="1:7" ht="25">
      <c r="A63" s="169" t="s">
        <v>363</v>
      </c>
      <c r="B63" s="170" t="s">
        <v>1241</v>
      </c>
      <c r="C63" s="171" t="s">
        <v>421</v>
      </c>
      <c r="D63" s="169"/>
      <c r="E63" s="172">
        <v>0</v>
      </c>
      <c r="F63" s="172">
        <v>0</v>
      </c>
    </row>
    <row r="64" spans="1:7" ht="25">
      <c r="A64" s="169" t="s">
        <v>367</v>
      </c>
      <c r="B64" s="173" t="s">
        <v>1242</v>
      </c>
      <c r="C64" s="174" t="s">
        <v>422</v>
      </c>
      <c r="D64" s="169"/>
      <c r="E64" s="172">
        <v>0</v>
      </c>
      <c r="F64" s="172">
        <v>0</v>
      </c>
    </row>
    <row r="65" spans="1:6" ht="25">
      <c r="A65" s="169" t="s">
        <v>367</v>
      </c>
      <c r="B65" s="173" t="s">
        <v>1243</v>
      </c>
      <c r="C65" s="174" t="s">
        <v>423</v>
      </c>
      <c r="D65" s="169"/>
      <c r="E65" s="172">
        <v>0</v>
      </c>
      <c r="F65" s="172">
        <v>0</v>
      </c>
    </row>
    <row r="66" spans="1:6" ht="25">
      <c r="A66" s="169" t="s">
        <v>374</v>
      </c>
      <c r="B66" s="170" t="s">
        <v>1244</v>
      </c>
      <c r="C66" s="171" t="s">
        <v>424</v>
      </c>
      <c r="D66" s="169"/>
      <c r="E66" s="172">
        <v>174939055000</v>
      </c>
      <c r="F66" s="172">
        <v>81013595000</v>
      </c>
    </row>
    <row r="67" spans="1:6" ht="25">
      <c r="A67" s="169" t="s">
        <v>390</v>
      </c>
      <c r="B67" s="170" t="s">
        <v>1245</v>
      </c>
      <c r="C67" s="171" t="s">
        <v>425</v>
      </c>
      <c r="D67" s="169"/>
      <c r="E67" s="172">
        <v>1100825677</v>
      </c>
      <c r="F67" s="172">
        <v>677384221</v>
      </c>
    </row>
    <row r="68" spans="1:6" ht="25">
      <c r="A68" s="169" t="s">
        <v>367</v>
      </c>
      <c r="B68" s="173" t="s">
        <v>1246</v>
      </c>
      <c r="C68" s="174" t="s">
        <v>426</v>
      </c>
      <c r="D68" s="169"/>
      <c r="E68" s="172">
        <v>6835448</v>
      </c>
      <c r="F68" s="172">
        <v>6835448</v>
      </c>
    </row>
    <row r="69" spans="1:6" ht="25">
      <c r="A69" s="169" t="s">
        <v>367</v>
      </c>
      <c r="B69" s="173" t="s">
        <v>1247</v>
      </c>
      <c r="C69" s="174" t="s">
        <v>427</v>
      </c>
      <c r="D69" s="169"/>
      <c r="E69" s="172">
        <v>1093990229</v>
      </c>
      <c r="F69" s="172">
        <v>670548773</v>
      </c>
    </row>
    <row r="70" spans="1:6" ht="25">
      <c r="A70" s="169" t="s">
        <v>428</v>
      </c>
      <c r="B70" s="170" t="s">
        <v>1248</v>
      </c>
      <c r="C70" s="171" t="s">
        <v>429</v>
      </c>
      <c r="D70" s="169"/>
      <c r="E70" s="172">
        <v>260998729</v>
      </c>
      <c r="F70" s="172">
        <v>197330859</v>
      </c>
    </row>
    <row r="71" spans="1:6" ht="25">
      <c r="A71" s="169" t="s">
        <v>430</v>
      </c>
      <c r="B71" s="170" t="s">
        <v>1249</v>
      </c>
      <c r="C71" s="171" t="s">
        <v>431</v>
      </c>
      <c r="D71" s="169"/>
      <c r="E71" s="172">
        <v>39925000</v>
      </c>
      <c r="F71" s="172">
        <v>39925000</v>
      </c>
    </row>
    <row r="72" spans="1:6" ht="25">
      <c r="A72" s="169" t="s">
        <v>432</v>
      </c>
      <c r="B72" s="170" t="s">
        <v>1250</v>
      </c>
      <c r="C72" s="171" t="s">
        <v>433</v>
      </c>
      <c r="D72" s="169"/>
      <c r="E72" s="172">
        <v>717389394</v>
      </c>
      <c r="F72" s="172">
        <v>431192582</v>
      </c>
    </row>
    <row r="73" spans="1:6" ht="25">
      <c r="A73" s="169" t="s">
        <v>367</v>
      </c>
      <c r="B73" s="173" t="s">
        <v>1251</v>
      </c>
      <c r="C73" s="174" t="s">
        <v>434</v>
      </c>
      <c r="D73" s="169"/>
      <c r="E73" s="172">
        <v>593126498</v>
      </c>
      <c r="F73" s="172">
        <v>287484483</v>
      </c>
    </row>
    <row r="74" spans="1:6" ht="25">
      <c r="A74" s="169" t="s">
        <v>367</v>
      </c>
      <c r="B74" s="173" t="s">
        <v>1252</v>
      </c>
      <c r="C74" s="174" t="s">
        <v>435</v>
      </c>
      <c r="D74" s="169"/>
      <c r="E74" s="172">
        <v>593126498</v>
      </c>
      <c r="F74" s="172">
        <v>287484483</v>
      </c>
    </row>
    <row r="75" spans="1:6" ht="25">
      <c r="A75" s="169" t="s">
        <v>367</v>
      </c>
      <c r="B75" s="173" t="s">
        <v>1253</v>
      </c>
      <c r="C75" s="174" t="s">
        <v>436</v>
      </c>
      <c r="D75" s="169"/>
      <c r="E75" s="172">
        <v>0</v>
      </c>
      <c r="F75" s="172">
        <v>0</v>
      </c>
    </row>
    <row r="76" spans="1:6" ht="25">
      <c r="A76" s="169" t="s">
        <v>367</v>
      </c>
      <c r="B76" s="173" t="s">
        <v>1254</v>
      </c>
      <c r="C76" s="174" t="s">
        <v>437</v>
      </c>
      <c r="D76" s="169"/>
      <c r="E76" s="172">
        <v>52012784</v>
      </c>
      <c r="F76" s="172">
        <v>100185567</v>
      </c>
    </row>
    <row r="77" spans="1:6" ht="25">
      <c r="A77" s="169" t="s">
        <v>367</v>
      </c>
      <c r="B77" s="173" t="s">
        <v>1255</v>
      </c>
      <c r="C77" s="174" t="s">
        <v>438</v>
      </c>
      <c r="D77" s="169"/>
      <c r="E77" s="172">
        <v>51274770</v>
      </c>
      <c r="F77" s="172">
        <v>25571847</v>
      </c>
    </row>
    <row r="78" spans="1:6" ht="25">
      <c r="A78" s="169" t="s">
        <v>367</v>
      </c>
      <c r="B78" s="173" t="s">
        <v>1256</v>
      </c>
      <c r="C78" s="174" t="s">
        <v>439</v>
      </c>
      <c r="D78" s="169"/>
      <c r="E78" s="172">
        <v>0</v>
      </c>
      <c r="F78" s="172">
        <v>0</v>
      </c>
    </row>
    <row r="79" spans="1:6" ht="25">
      <c r="A79" s="169" t="s">
        <v>367</v>
      </c>
      <c r="B79" s="173" t="s">
        <v>1257</v>
      </c>
      <c r="C79" s="174" t="s">
        <v>440</v>
      </c>
      <c r="D79" s="169"/>
      <c r="E79" s="172">
        <v>20975342</v>
      </c>
      <c r="F79" s="172">
        <v>17950685</v>
      </c>
    </row>
    <row r="80" spans="1:6" ht="25">
      <c r="A80" s="169" t="s">
        <v>367</v>
      </c>
      <c r="B80" s="173" t="s">
        <v>1258</v>
      </c>
      <c r="C80" s="174" t="s">
        <v>441</v>
      </c>
      <c r="D80" s="169"/>
      <c r="E80" s="172">
        <v>0</v>
      </c>
      <c r="F80" s="172">
        <v>0</v>
      </c>
    </row>
    <row r="81" spans="1:6" ht="25">
      <c r="A81" s="169" t="s">
        <v>367</v>
      </c>
      <c r="B81" s="173" t="s">
        <v>1259</v>
      </c>
      <c r="C81" s="174" t="s">
        <v>442</v>
      </c>
      <c r="D81" s="169"/>
      <c r="E81" s="172">
        <v>0</v>
      </c>
      <c r="F81" s="172">
        <v>0</v>
      </c>
    </row>
    <row r="82" spans="1:6" ht="25">
      <c r="A82" s="169" t="s">
        <v>443</v>
      </c>
      <c r="B82" s="170" t="s">
        <v>1260</v>
      </c>
      <c r="C82" s="171" t="s">
        <v>444</v>
      </c>
      <c r="D82" s="169"/>
      <c r="E82" s="172">
        <v>24571225704</v>
      </c>
      <c r="F82" s="172">
        <v>14687984967</v>
      </c>
    </row>
    <row r="83" spans="1:6" ht="25">
      <c r="A83" s="169" t="s">
        <v>367</v>
      </c>
      <c r="B83" s="173" t="s">
        <v>1261</v>
      </c>
      <c r="C83" s="174" t="s">
        <v>445</v>
      </c>
      <c r="D83" s="169"/>
      <c r="E83" s="172">
        <v>24571225704</v>
      </c>
      <c r="F83" s="172">
        <v>14687984967</v>
      </c>
    </row>
    <row r="84" spans="1:6" ht="25">
      <c r="A84" s="169" t="s">
        <v>367</v>
      </c>
      <c r="B84" s="173" t="s">
        <v>1262</v>
      </c>
      <c r="C84" s="174" t="s">
        <v>446</v>
      </c>
      <c r="D84" s="169"/>
      <c r="E84" s="172">
        <v>0</v>
      </c>
      <c r="F84" s="172">
        <v>0</v>
      </c>
    </row>
    <row r="85" spans="1:6" ht="25">
      <c r="A85" s="169" t="s">
        <v>447</v>
      </c>
      <c r="B85" s="170" t="s">
        <v>1263</v>
      </c>
      <c r="C85" s="171" t="s">
        <v>448</v>
      </c>
      <c r="D85" s="169"/>
      <c r="E85" s="172">
        <v>44748471040</v>
      </c>
      <c r="F85" s="172">
        <v>35220842312</v>
      </c>
    </row>
    <row r="86" spans="1:6" ht="25">
      <c r="A86" s="169" t="s">
        <v>449</v>
      </c>
      <c r="B86" s="170" t="s">
        <v>1264</v>
      </c>
      <c r="C86" s="171" t="s">
        <v>450</v>
      </c>
      <c r="D86" s="169"/>
      <c r="E86" s="172">
        <v>7212173884</v>
      </c>
      <c r="F86" s="172">
        <v>5230185553</v>
      </c>
    </row>
    <row r="87" spans="1:6" ht="25">
      <c r="A87" s="169" t="s">
        <v>367</v>
      </c>
      <c r="B87" s="173" t="s">
        <v>1265</v>
      </c>
      <c r="C87" s="174" t="s">
        <v>451</v>
      </c>
      <c r="D87" s="169"/>
      <c r="E87" s="172">
        <v>6722674792</v>
      </c>
      <c r="F87" s="172">
        <v>4863834021</v>
      </c>
    </row>
    <row r="88" spans="1:6" ht="25">
      <c r="A88" s="169" t="s">
        <v>367</v>
      </c>
      <c r="B88" s="173" t="s">
        <v>1266</v>
      </c>
      <c r="C88" s="174" t="s">
        <v>452</v>
      </c>
      <c r="D88" s="169"/>
      <c r="E88" s="172">
        <v>229801019</v>
      </c>
      <c r="F88" s="172">
        <v>174810954</v>
      </c>
    </row>
    <row r="89" spans="1:6" ht="25">
      <c r="A89" s="169" t="s">
        <v>367</v>
      </c>
      <c r="B89" s="173" t="s">
        <v>1267</v>
      </c>
      <c r="C89" s="174" t="s">
        <v>453</v>
      </c>
      <c r="D89" s="169"/>
      <c r="E89" s="172">
        <v>137901019</v>
      </c>
      <c r="F89" s="172">
        <v>99770954</v>
      </c>
    </row>
    <row r="90" spans="1:6" ht="25">
      <c r="A90" s="169" t="s">
        <v>367</v>
      </c>
      <c r="B90" s="173" t="s">
        <v>1268</v>
      </c>
      <c r="C90" s="174" t="s">
        <v>454</v>
      </c>
      <c r="D90" s="169"/>
      <c r="E90" s="172">
        <v>80900000</v>
      </c>
      <c r="F90" s="172">
        <v>64040000</v>
      </c>
    </row>
    <row r="91" spans="1:6" ht="25">
      <c r="A91" s="169" t="s">
        <v>367</v>
      </c>
      <c r="B91" s="173" t="s">
        <v>1269</v>
      </c>
      <c r="C91" s="174" t="s">
        <v>455</v>
      </c>
      <c r="D91" s="169"/>
      <c r="E91" s="172">
        <v>11000000</v>
      </c>
      <c r="F91" s="172">
        <v>11000000</v>
      </c>
    </row>
    <row r="92" spans="1:6" ht="25">
      <c r="A92" s="169" t="s">
        <v>367</v>
      </c>
      <c r="B92" s="173" t="s">
        <v>1270</v>
      </c>
      <c r="C92" s="174" t="s">
        <v>456</v>
      </c>
      <c r="D92" s="169"/>
      <c r="E92" s="172">
        <v>94806950</v>
      </c>
      <c r="F92" s="172">
        <v>68592530</v>
      </c>
    </row>
    <row r="93" spans="1:6" ht="25">
      <c r="A93" s="169" t="s">
        <v>367</v>
      </c>
      <c r="B93" s="173" t="s">
        <v>1271</v>
      </c>
      <c r="C93" s="174" t="s">
        <v>457</v>
      </c>
      <c r="D93" s="169"/>
      <c r="E93" s="172">
        <v>151691123</v>
      </c>
      <c r="F93" s="172">
        <v>109748048</v>
      </c>
    </row>
    <row r="94" spans="1:6" ht="25">
      <c r="A94" s="169" t="s">
        <v>367</v>
      </c>
      <c r="B94" s="173" t="s">
        <v>1272</v>
      </c>
      <c r="C94" s="174" t="s">
        <v>458</v>
      </c>
      <c r="D94" s="169"/>
      <c r="E94" s="172">
        <v>13200000</v>
      </c>
      <c r="F94" s="172">
        <v>13200000</v>
      </c>
    </row>
    <row r="95" spans="1:6" ht="25">
      <c r="A95" s="169" t="s">
        <v>367</v>
      </c>
      <c r="B95" s="173" t="s">
        <v>1273</v>
      </c>
      <c r="C95" s="174" t="s">
        <v>459</v>
      </c>
      <c r="D95" s="169"/>
      <c r="E95" s="172">
        <v>0</v>
      </c>
      <c r="F95" s="172">
        <v>0</v>
      </c>
    </row>
    <row r="96" spans="1:6" ht="25">
      <c r="A96" s="169" t="s">
        <v>367</v>
      </c>
      <c r="B96" s="173" t="s">
        <v>1274</v>
      </c>
      <c r="C96" s="174" t="s">
        <v>460</v>
      </c>
      <c r="D96" s="169"/>
      <c r="E96" s="172">
        <v>0</v>
      </c>
      <c r="F96" s="172">
        <v>0</v>
      </c>
    </row>
    <row r="97" spans="1:6" ht="25">
      <c r="A97" s="169" t="s">
        <v>163</v>
      </c>
      <c r="B97" s="170" t="s">
        <v>1275</v>
      </c>
      <c r="C97" s="171" t="s">
        <v>461</v>
      </c>
      <c r="D97" s="169"/>
      <c r="E97" s="172">
        <v>189792555</v>
      </c>
      <c r="F97" s="172">
        <v>187902144</v>
      </c>
    </row>
    <row r="98" spans="1:6" ht="25">
      <c r="A98" s="169" t="s">
        <v>367</v>
      </c>
      <c r="B98" s="173" t="s">
        <v>1276</v>
      </c>
      <c r="C98" s="174" t="s">
        <v>462</v>
      </c>
      <c r="D98" s="169"/>
      <c r="E98" s="172">
        <v>0</v>
      </c>
      <c r="F98" s="172">
        <v>0</v>
      </c>
    </row>
    <row r="99" spans="1:6" ht="25">
      <c r="A99" s="169" t="s">
        <v>367</v>
      </c>
      <c r="B99" s="173" t="s">
        <v>1277</v>
      </c>
      <c r="C99" s="174" t="s">
        <v>463</v>
      </c>
      <c r="D99" s="169"/>
      <c r="E99" s="172">
        <v>0</v>
      </c>
      <c r="F99" s="172">
        <v>0</v>
      </c>
    </row>
    <row r="100" spans="1:6" ht="25">
      <c r="A100" s="169" t="s">
        <v>367</v>
      </c>
      <c r="B100" s="173" t="s">
        <v>1278</v>
      </c>
      <c r="C100" s="174" t="s">
        <v>464</v>
      </c>
      <c r="D100" s="169"/>
      <c r="E100" s="172">
        <v>5609589</v>
      </c>
      <c r="F100" s="172">
        <v>3719178</v>
      </c>
    </row>
    <row r="101" spans="1:6" ht="25">
      <c r="A101" s="169" t="s">
        <v>367</v>
      </c>
      <c r="B101" s="173" t="s">
        <v>1279</v>
      </c>
      <c r="C101" s="174" t="s">
        <v>465</v>
      </c>
      <c r="D101" s="169"/>
      <c r="E101" s="172">
        <v>7700000</v>
      </c>
      <c r="F101" s="172">
        <v>7700000</v>
      </c>
    </row>
    <row r="102" spans="1:6" ht="25">
      <c r="A102" s="169" t="s">
        <v>367</v>
      </c>
      <c r="B102" s="173" t="s">
        <v>1280</v>
      </c>
      <c r="C102" s="174" t="s">
        <v>466</v>
      </c>
      <c r="D102" s="169"/>
      <c r="E102" s="172">
        <v>176482966</v>
      </c>
      <c r="F102" s="172">
        <v>176482966</v>
      </c>
    </row>
    <row r="103" spans="1:6" ht="25">
      <c r="A103" s="13" t="s">
        <v>367</v>
      </c>
      <c r="B103" s="167" t="s">
        <v>1281</v>
      </c>
      <c r="C103" s="168" t="s">
        <v>467</v>
      </c>
      <c r="D103" s="22"/>
      <c r="E103" s="22">
        <v>253779856983</v>
      </c>
      <c r="F103" s="22">
        <v>137686342638</v>
      </c>
    </row>
    <row r="104" spans="1:6" ht="37.5">
      <c r="A104" s="13" t="s">
        <v>26</v>
      </c>
      <c r="B104" s="167" t="s">
        <v>1282</v>
      </c>
      <c r="C104" s="168" t="s">
        <v>468</v>
      </c>
      <c r="D104" s="22"/>
      <c r="E104" s="22">
        <v>4388212589625</v>
      </c>
      <c r="F104" s="22">
        <v>3115805083387</v>
      </c>
    </row>
    <row r="105" spans="1:6" ht="25">
      <c r="A105" s="169" t="s">
        <v>363</v>
      </c>
      <c r="B105" s="170" t="s">
        <v>1283</v>
      </c>
      <c r="C105" s="171" t="s">
        <v>469</v>
      </c>
      <c r="D105" s="169"/>
      <c r="E105" s="172">
        <v>409584932100</v>
      </c>
      <c r="F105" s="172">
        <v>351360621300</v>
      </c>
    </row>
    <row r="106" spans="1:6" ht="25">
      <c r="A106" s="169" t="s">
        <v>365</v>
      </c>
      <c r="B106" s="170" t="s">
        <v>1284</v>
      </c>
      <c r="C106" s="171" t="s">
        <v>470</v>
      </c>
      <c r="D106" s="169"/>
      <c r="E106" s="172">
        <v>2532501196300</v>
      </c>
      <c r="F106" s="172">
        <v>2359291805200</v>
      </c>
    </row>
    <row r="107" spans="1:6" ht="25">
      <c r="A107" s="169" t="s">
        <v>372</v>
      </c>
      <c r="B107" s="170" t="s">
        <v>1285</v>
      </c>
      <c r="C107" s="171" t="s">
        <v>471</v>
      </c>
      <c r="D107" s="169"/>
      <c r="E107" s="172">
        <v>-2122916264200</v>
      </c>
      <c r="F107" s="172">
        <v>-2007931183900</v>
      </c>
    </row>
    <row r="108" spans="1:6" ht="25">
      <c r="A108" s="169" t="s">
        <v>374</v>
      </c>
      <c r="B108" s="170" t="s">
        <v>1286</v>
      </c>
      <c r="C108" s="171" t="s">
        <v>472</v>
      </c>
      <c r="D108" s="169"/>
      <c r="E108" s="172">
        <v>2278719292842</v>
      </c>
      <c r="F108" s="172">
        <v>1721243974189</v>
      </c>
    </row>
    <row r="109" spans="1:6" ht="25">
      <c r="A109" s="169" t="s">
        <v>390</v>
      </c>
      <c r="B109" s="170" t="s">
        <v>1287</v>
      </c>
      <c r="C109" s="171" t="s">
        <v>473</v>
      </c>
      <c r="D109" s="169"/>
      <c r="E109" s="172">
        <v>1699908364683</v>
      </c>
      <c r="F109" s="172">
        <v>1043200487898</v>
      </c>
    </row>
    <row r="110" spans="1:6" ht="25">
      <c r="A110" s="169" t="s">
        <v>392</v>
      </c>
      <c r="B110" s="170" t="s">
        <v>1288</v>
      </c>
      <c r="C110" s="171" t="s">
        <v>474</v>
      </c>
      <c r="D110" s="169"/>
      <c r="E110" s="172">
        <v>1043200487898</v>
      </c>
      <c r="F110" s="172">
        <v>687652049579</v>
      </c>
    </row>
    <row r="111" spans="1:6" ht="25">
      <c r="A111" s="169" t="s">
        <v>395</v>
      </c>
      <c r="B111" s="170" t="s">
        <v>1289</v>
      </c>
      <c r="C111" s="171" t="s">
        <v>475</v>
      </c>
      <c r="D111" s="169"/>
      <c r="E111" s="172">
        <v>656707876785</v>
      </c>
      <c r="F111" s="172">
        <v>355548438319</v>
      </c>
    </row>
    <row r="112" spans="1:6" ht="25">
      <c r="A112" s="13" t="s">
        <v>27</v>
      </c>
      <c r="B112" s="167" t="s">
        <v>1290</v>
      </c>
      <c r="C112" s="168" t="s">
        <v>476</v>
      </c>
      <c r="D112" s="22"/>
      <c r="E112" s="64">
        <v>107138.03</v>
      </c>
      <c r="F112" s="64">
        <v>88678.26</v>
      </c>
    </row>
    <row r="113" spans="1:7" ht="25">
      <c r="A113" s="13" t="s">
        <v>28</v>
      </c>
      <c r="B113" s="167" t="s">
        <v>1291</v>
      </c>
      <c r="C113" s="168" t="s">
        <v>477</v>
      </c>
      <c r="D113" s="22"/>
      <c r="E113" s="22">
        <v>0</v>
      </c>
      <c r="F113" s="22">
        <v>0</v>
      </c>
    </row>
    <row r="114" spans="1:7" ht="25">
      <c r="A114" s="169" t="s">
        <v>363</v>
      </c>
      <c r="B114" s="170" t="s">
        <v>1292</v>
      </c>
      <c r="C114" s="171" t="s">
        <v>478</v>
      </c>
      <c r="D114" s="169"/>
      <c r="E114" s="172">
        <v>0</v>
      </c>
      <c r="F114" s="172">
        <v>0</v>
      </c>
    </row>
    <row r="115" spans="1:7" ht="25">
      <c r="A115" s="169" t="s">
        <v>374</v>
      </c>
      <c r="B115" s="170" t="s">
        <v>1293</v>
      </c>
      <c r="C115" s="171" t="s">
        <v>479</v>
      </c>
      <c r="D115" s="169"/>
      <c r="E115" s="172">
        <v>0</v>
      </c>
      <c r="F115" s="172">
        <v>0</v>
      </c>
    </row>
    <row r="116" spans="1:7" ht="25">
      <c r="A116" s="13" t="s">
        <v>29</v>
      </c>
      <c r="B116" s="167" t="s">
        <v>1294</v>
      </c>
      <c r="C116" s="168" t="s">
        <v>29</v>
      </c>
      <c r="D116" s="22"/>
      <c r="E116" s="22"/>
      <c r="F116" s="22"/>
    </row>
    <row r="117" spans="1:7" ht="25">
      <c r="A117" s="169" t="s">
        <v>363</v>
      </c>
      <c r="B117" s="170" t="s">
        <v>1295</v>
      </c>
      <c r="C117" s="171" t="s">
        <v>480</v>
      </c>
      <c r="D117" s="169"/>
      <c r="E117" s="172">
        <v>0</v>
      </c>
      <c r="F117" s="172">
        <v>0</v>
      </c>
    </row>
    <row r="118" spans="1:7" ht="25">
      <c r="A118" s="169" t="s">
        <v>374</v>
      </c>
      <c r="B118" s="170" t="s">
        <v>1296</v>
      </c>
      <c r="C118" s="171" t="s">
        <v>481</v>
      </c>
      <c r="D118" s="169"/>
      <c r="E118" s="172">
        <v>0</v>
      </c>
      <c r="F118" s="172">
        <v>0</v>
      </c>
    </row>
    <row r="119" spans="1:7" ht="25">
      <c r="A119" s="169" t="s">
        <v>390</v>
      </c>
      <c r="B119" s="170" t="s">
        <v>1297</v>
      </c>
      <c r="C119" s="171" t="s">
        <v>482</v>
      </c>
      <c r="D119" s="169"/>
      <c r="E119" s="172">
        <v>0</v>
      </c>
      <c r="F119" s="172">
        <v>0</v>
      </c>
    </row>
    <row r="120" spans="1:7" ht="25">
      <c r="A120" s="175" t="s">
        <v>428</v>
      </c>
      <c r="B120" s="176" t="s">
        <v>1298</v>
      </c>
      <c r="C120" s="171" t="s">
        <v>483</v>
      </c>
      <c r="D120" s="175"/>
      <c r="E120" s="177">
        <v>40958493.210000001</v>
      </c>
      <c r="F120" s="177">
        <v>35136062.130000003</v>
      </c>
    </row>
    <row r="121" spans="1:7" s="3" customFormat="1" ht="13">
      <c r="A121" s="12"/>
      <c r="B121" s="12"/>
      <c r="C121" s="12"/>
      <c r="D121" s="12"/>
      <c r="E121" s="12"/>
      <c r="F121" s="12"/>
      <c r="G121" s="2"/>
    </row>
    <row r="123" spans="1:7" ht="16.899999999999999" customHeight="1">
      <c r="A123" s="229" t="s">
        <v>231</v>
      </c>
      <c r="B123" s="229"/>
      <c r="C123" s="229" t="s">
        <v>232</v>
      </c>
      <c r="D123" s="229"/>
      <c r="E123" s="229"/>
      <c r="F123" s="229"/>
    </row>
    <row r="136" spans="1:6">
      <c r="A136" s="228" t="s">
        <v>489</v>
      </c>
      <c r="B136" s="228"/>
      <c r="C136" s="228" t="s">
        <v>490</v>
      </c>
      <c r="D136" s="228"/>
      <c r="E136" s="228"/>
      <c r="F136" s="12" t="s">
        <v>491</v>
      </c>
    </row>
    <row r="137" spans="1:6" ht="16.899999999999999" customHeight="1">
      <c r="A137" s="229" t="s">
        <v>1322</v>
      </c>
      <c r="B137" s="229"/>
      <c r="C137" s="229" t="s">
        <v>1317</v>
      </c>
      <c r="D137" s="229"/>
      <c r="E137" s="229"/>
      <c r="F137" s="140" t="s">
        <v>1319</v>
      </c>
    </row>
    <row r="138" spans="1:6" ht="16.899999999999999" customHeight="1">
      <c r="A138" s="228" t="s">
        <v>1318</v>
      </c>
      <c r="B138" s="228"/>
      <c r="C138" s="228" t="s">
        <v>1321</v>
      </c>
      <c r="D138" s="228"/>
      <c r="E138" s="228"/>
      <c r="F138" s="141" t="s">
        <v>1320</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3" fitToHeight="0" orientation="portrait" r:id="rId1"/>
  <headerFooter>
    <oddHeader>&amp;L&amp;"Arial"&amp;9&amp;KA80000CONFIDENTIAL&amp;1#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76" zoomScale="85" zoomScaleNormal="100" zoomScaleSheetLayoutView="85" workbookViewId="0">
      <selection activeCell="A94" sqref="A94"/>
    </sheetView>
  </sheetViews>
  <sheetFormatPr defaultColWidth="8.7265625" defaultRowHeight="12.5"/>
  <cols>
    <col min="1" max="1" width="69.81640625" style="12" customWidth="1"/>
    <col min="2" max="2" width="12" style="12" customWidth="1"/>
    <col min="3" max="3" width="12.54296875" style="12" customWidth="1"/>
    <col min="4" max="4" width="28" style="12" customWidth="1"/>
    <col min="5" max="5" width="25.54296875" style="12" customWidth="1"/>
    <col min="6" max="6" width="27.7265625" style="12" customWidth="1"/>
    <col min="7" max="7" width="28.81640625" style="12" customWidth="1"/>
    <col min="8" max="16384" width="8.7265625" style="30"/>
  </cols>
  <sheetData>
    <row r="1" spans="1:7" ht="57" customHeight="1">
      <c r="A1" s="218" t="s">
        <v>554</v>
      </c>
      <c r="B1" s="218"/>
      <c r="C1" s="218"/>
      <c r="D1" s="218"/>
      <c r="E1" s="218"/>
      <c r="F1" s="218"/>
      <c r="G1" s="218"/>
    </row>
    <row r="2" spans="1:7" ht="57" customHeight="1">
      <c r="A2" s="219" t="s">
        <v>553</v>
      </c>
      <c r="B2" s="219"/>
      <c r="C2" s="219"/>
      <c r="D2" s="219"/>
      <c r="E2" s="219"/>
      <c r="F2" s="219"/>
      <c r="G2" s="219"/>
    </row>
    <row r="3" spans="1:7" ht="43.9" customHeight="1">
      <c r="A3" s="220" t="s">
        <v>147</v>
      </c>
      <c r="B3" s="220"/>
      <c r="C3" s="220"/>
      <c r="D3" s="220"/>
      <c r="E3" s="220"/>
      <c r="F3" s="220"/>
      <c r="G3" s="220"/>
    </row>
    <row r="4" spans="1:7" ht="9.4" customHeight="1"/>
    <row r="5" spans="1:7">
      <c r="A5" s="221" t="s">
        <v>1300</v>
      </c>
      <c r="B5" s="221"/>
      <c r="C5" s="221"/>
      <c r="D5" s="221"/>
      <c r="E5" s="221"/>
      <c r="F5" s="221"/>
      <c r="G5" s="221"/>
    </row>
    <row r="7" spans="1:7" ht="16.899999999999999" customHeight="1">
      <c r="A7" s="118" t="s">
        <v>2</v>
      </c>
      <c r="D7" s="195" t="s">
        <v>1301</v>
      </c>
      <c r="E7" s="195"/>
      <c r="F7" s="195"/>
      <c r="G7" s="195"/>
    </row>
    <row r="8" spans="1:7" ht="16.899999999999999" customHeight="1">
      <c r="A8" s="37" t="s">
        <v>15</v>
      </c>
      <c r="D8" s="223" t="s">
        <v>1302</v>
      </c>
      <c r="E8" s="223"/>
      <c r="F8" s="223"/>
      <c r="G8" s="223"/>
    </row>
    <row r="9" spans="1:7" ht="16.899999999999999" customHeight="1">
      <c r="A9" s="118" t="s">
        <v>3</v>
      </c>
      <c r="D9" s="195" t="s">
        <v>1303</v>
      </c>
      <c r="E9" s="195"/>
      <c r="F9" s="195"/>
      <c r="G9" s="195"/>
    </row>
    <row r="10" spans="1:7" ht="16.899999999999999" customHeight="1">
      <c r="A10" s="37" t="s">
        <v>4</v>
      </c>
      <c r="D10" s="223" t="s">
        <v>1304</v>
      </c>
      <c r="E10" s="223"/>
      <c r="F10" s="223"/>
      <c r="G10" s="223"/>
    </row>
    <row r="11" spans="1:7" ht="16.899999999999999" customHeight="1">
      <c r="A11" s="118" t="s">
        <v>5</v>
      </c>
      <c r="D11" s="195" t="s">
        <v>1305</v>
      </c>
      <c r="E11" s="195"/>
      <c r="F11" s="195"/>
      <c r="G11" s="195"/>
    </row>
    <row r="12" spans="1:7" ht="16.899999999999999" customHeight="1">
      <c r="A12" s="37" t="s">
        <v>6</v>
      </c>
      <c r="D12" s="223" t="s">
        <v>1306</v>
      </c>
      <c r="E12" s="223"/>
      <c r="F12" s="223"/>
      <c r="G12" s="223"/>
    </row>
    <row r="13" spans="1:7" ht="16.899999999999999" customHeight="1">
      <c r="A13" s="118" t="s">
        <v>7</v>
      </c>
      <c r="D13" s="195" t="s">
        <v>1307</v>
      </c>
      <c r="E13" s="195"/>
      <c r="F13" s="195"/>
      <c r="G13" s="195"/>
    </row>
    <row r="14" spans="1:7" ht="16.899999999999999" customHeight="1">
      <c r="A14" s="37" t="s">
        <v>8</v>
      </c>
      <c r="D14" s="223" t="s">
        <v>1308</v>
      </c>
      <c r="E14" s="223"/>
      <c r="F14" s="223"/>
      <c r="G14" s="223"/>
    </row>
    <row r="16" spans="1:7" ht="39" customHeight="1">
      <c r="A16" s="230" t="s">
        <v>148</v>
      </c>
      <c r="B16" s="232" t="s">
        <v>149</v>
      </c>
      <c r="C16" s="232" t="s">
        <v>150</v>
      </c>
      <c r="D16" s="235" t="s">
        <v>1314</v>
      </c>
      <c r="E16" s="236"/>
      <c r="F16" s="235" t="s">
        <v>1315</v>
      </c>
      <c r="G16" s="236"/>
    </row>
    <row r="17" spans="1:10" ht="39" customHeight="1">
      <c r="A17" s="231"/>
      <c r="B17" s="233"/>
      <c r="C17" s="234"/>
      <c r="D17" s="38" t="s">
        <v>1312</v>
      </c>
      <c r="E17" s="39" t="s">
        <v>151</v>
      </c>
      <c r="F17" s="10" t="s">
        <v>1316</v>
      </c>
      <c r="G17" s="39" t="s">
        <v>151</v>
      </c>
    </row>
    <row r="18" spans="1:10" s="3" customFormat="1" ht="25">
      <c r="A18" s="40" t="s">
        <v>334</v>
      </c>
      <c r="B18" s="41" t="s">
        <v>152</v>
      </c>
      <c r="C18" s="42"/>
      <c r="D18" s="22">
        <v>689598375842</v>
      </c>
      <c r="E18" s="22">
        <v>1022258068635</v>
      </c>
      <c r="F18" s="22">
        <v>74486727419</v>
      </c>
      <c r="G18" s="22">
        <v>428734062362</v>
      </c>
    </row>
    <row r="19" spans="1:10" ht="25">
      <c r="A19" s="43" t="s">
        <v>335</v>
      </c>
      <c r="B19" s="44" t="s">
        <v>153</v>
      </c>
      <c r="C19" s="45"/>
      <c r="D19" s="24">
        <v>18053337500</v>
      </c>
      <c r="E19" s="24">
        <v>29135838500</v>
      </c>
      <c r="F19" s="24">
        <v>9435931600</v>
      </c>
      <c r="G19" s="24">
        <v>28932964300</v>
      </c>
      <c r="J19" s="3"/>
    </row>
    <row r="20" spans="1:10" ht="25">
      <c r="A20" s="43" t="s">
        <v>336</v>
      </c>
      <c r="B20" s="44" t="s">
        <v>154</v>
      </c>
      <c r="C20" s="46"/>
      <c r="D20" s="24">
        <v>157479442</v>
      </c>
      <c r="E20" s="24">
        <v>422080635</v>
      </c>
      <c r="F20" s="24">
        <v>86437969</v>
      </c>
      <c r="G20" s="24">
        <v>225795407</v>
      </c>
      <c r="J20" s="3"/>
    </row>
    <row r="21" spans="1:10" ht="25">
      <c r="A21" s="43" t="s">
        <v>272</v>
      </c>
      <c r="B21" s="44" t="s">
        <v>155</v>
      </c>
      <c r="C21" s="46"/>
      <c r="D21" s="24">
        <v>157479442</v>
      </c>
      <c r="E21" s="24">
        <v>422080635</v>
      </c>
      <c r="F21" s="24">
        <v>86437969</v>
      </c>
      <c r="G21" s="24">
        <v>181411845</v>
      </c>
      <c r="J21" s="3"/>
    </row>
    <row r="22" spans="1:10" ht="25">
      <c r="A22" s="43" t="s">
        <v>557</v>
      </c>
      <c r="B22" s="44" t="s">
        <v>156</v>
      </c>
      <c r="C22" s="46"/>
      <c r="D22" s="24">
        <v>0</v>
      </c>
      <c r="E22" s="24">
        <v>0</v>
      </c>
      <c r="F22" s="24">
        <v>0</v>
      </c>
      <c r="G22" s="24">
        <v>0</v>
      </c>
      <c r="J22" s="3"/>
    </row>
    <row r="23" spans="1:10" ht="25">
      <c r="A23" s="43" t="s">
        <v>337</v>
      </c>
      <c r="B23" s="44" t="s">
        <v>268</v>
      </c>
      <c r="C23" s="46"/>
      <c r="D23" s="24">
        <v>0</v>
      </c>
      <c r="E23" s="24">
        <v>0</v>
      </c>
      <c r="F23" s="24">
        <v>0</v>
      </c>
      <c r="G23" s="24">
        <v>44383562</v>
      </c>
      <c r="J23" s="3"/>
    </row>
    <row r="24" spans="1:10" ht="25">
      <c r="A24" s="43" t="s">
        <v>271</v>
      </c>
      <c r="B24" s="44" t="s">
        <v>270</v>
      </c>
      <c r="C24" s="46"/>
      <c r="D24" s="24">
        <v>0</v>
      </c>
      <c r="E24" s="24">
        <v>0</v>
      </c>
      <c r="F24" s="24">
        <v>0</v>
      </c>
      <c r="G24" s="24">
        <v>0</v>
      </c>
      <c r="J24" s="3"/>
    </row>
    <row r="25" spans="1:10" ht="25">
      <c r="A25" s="43" t="s">
        <v>273</v>
      </c>
      <c r="B25" s="47" t="s">
        <v>157</v>
      </c>
      <c r="C25" s="46"/>
      <c r="D25" s="24">
        <v>500702801192</v>
      </c>
      <c r="E25" s="24">
        <v>712266172986</v>
      </c>
      <c r="F25" s="24">
        <v>26012636096</v>
      </c>
      <c r="G25" s="24">
        <v>279911200339</v>
      </c>
      <c r="J25" s="3"/>
    </row>
    <row r="26" spans="1:10" ht="25">
      <c r="A26" s="43" t="s">
        <v>274</v>
      </c>
      <c r="B26" s="47" t="s">
        <v>158</v>
      </c>
      <c r="C26" s="46"/>
      <c r="D26" s="24">
        <v>170684757708</v>
      </c>
      <c r="E26" s="24">
        <v>280433976514</v>
      </c>
      <c r="F26" s="24">
        <v>38951721754</v>
      </c>
      <c r="G26" s="24">
        <v>119664102316</v>
      </c>
      <c r="J26" s="3"/>
    </row>
    <row r="27" spans="1:10" ht="25">
      <c r="A27" s="43" t="s">
        <v>338</v>
      </c>
      <c r="B27" s="47" t="s">
        <v>159</v>
      </c>
      <c r="C27" s="46"/>
      <c r="D27" s="24">
        <v>0</v>
      </c>
      <c r="E27" s="24">
        <v>0</v>
      </c>
      <c r="F27" s="24">
        <v>0</v>
      </c>
      <c r="G27" s="24">
        <v>0</v>
      </c>
      <c r="J27" s="3"/>
    </row>
    <row r="28" spans="1:10" ht="25">
      <c r="A28" s="43" t="s">
        <v>275</v>
      </c>
      <c r="B28" s="47" t="s">
        <v>160</v>
      </c>
      <c r="C28" s="46"/>
      <c r="D28" s="24">
        <v>0</v>
      </c>
      <c r="E28" s="24">
        <v>0</v>
      </c>
      <c r="F28" s="24">
        <v>0</v>
      </c>
      <c r="G28" s="24">
        <v>0</v>
      </c>
      <c r="J28" s="3"/>
    </row>
    <row r="29" spans="1:10" ht="25">
      <c r="A29" s="43" t="s">
        <v>339</v>
      </c>
      <c r="B29" s="47" t="s">
        <v>161</v>
      </c>
      <c r="C29" s="46"/>
      <c r="D29" s="24">
        <v>0</v>
      </c>
      <c r="E29" s="24">
        <v>0</v>
      </c>
      <c r="F29" s="24">
        <v>0</v>
      </c>
      <c r="G29" s="24">
        <v>0</v>
      </c>
      <c r="J29" s="3"/>
    </row>
    <row r="30" spans="1:10" ht="50">
      <c r="A30" s="43" t="s">
        <v>340</v>
      </c>
      <c r="B30" s="47" t="s">
        <v>162</v>
      </c>
      <c r="C30" s="46"/>
      <c r="D30" s="24">
        <v>0</v>
      </c>
      <c r="E30" s="24">
        <v>0</v>
      </c>
      <c r="F30" s="24">
        <v>0</v>
      </c>
      <c r="G30" s="24">
        <v>0</v>
      </c>
      <c r="J30" s="3"/>
    </row>
    <row r="31" spans="1:10" s="3" customFormat="1" ht="25">
      <c r="A31" s="40" t="s">
        <v>295</v>
      </c>
      <c r="B31" s="41" t="s">
        <v>163</v>
      </c>
      <c r="C31" s="42"/>
      <c r="D31" s="22">
        <v>12844719361</v>
      </c>
      <c r="E31" s="22">
        <v>28199591605</v>
      </c>
      <c r="F31" s="22">
        <v>6160601852</v>
      </c>
      <c r="G31" s="22">
        <v>15007947420</v>
      </c>
    </row>
    <row r="32" spans="1:10" ht="25">
      <c r="A32" s="43" t="s">
        <v>164</v>
      </c>
      <c r="B32" s="47" t="s">
        <v>165</v>
      </c>
      <c r="C32" s="46"/>
      <c r="D32" s="24">
        <v>12844719361</v>
      </c>
      <c r="E32" s="24">
        <v>28199591605</v>
      </c>
      <c r="F32" s="24">
        <v>6160601852</v>
      </c>
      <c r="G32" s="24">
        <v>15007947420</v>
      </c>
      <c r="J32" s="3"/>
    </row>
    <row r="33" spans="1:10" ht="25">
      <c r="A33" s="48" t="s">
        <v>558</v>
      </c>
      <c r="B33" s="44" t="s">
        <v>166</v>
      </c>
      <c r="C33" s="45"/>
      <c r="D33" s="24">
        <v>12818551290</v>
      </c>
      <c r="E33" s="24">
        <v>28123968171</v>
      </c>
      <c r="F33" s="24">
        <v>6142103244</v>
      </c>
      <c r="G33" s="24">
        <v>14963027304</v>
      </c>
      <c r="J33" s="3"/>
    </row>
    <row r="34" spans="1:10" ht="25">
      <c r="A34" s="48" t="s">
        <v>41</v>
      </c>
      <c r="B34" s="44" t="s">
        <v>167</v>
      </c>
      <c r="C34" s="45"/>
      <c r="D34" s="24">
        <v>26168071</v>
      </c>
      <c r="E34" s="24">
        <v>75623434</v>
      </c>
      <c r="F34" s="24">
        <v>18498608</v>
      </c>
      <c r="G34" s="24">
        <v>44920116</v>
      </c>
      <c r="J34" s="3"/>
    </row>
    <row r="35" spans="1:10" ht="25">
      <c r="A35" s="48" t="s">
        <v>168</v>
      </c>
      <c r="B35" s="44" t="s">
        <v>169</v>
      </c>
      <c r="C35" s="46"/>
      <c r="D35" s="24">
        <v>0</v>
      </c>
      <c r="E35" s="24">
        <v>0</v>
      </c>
      <c r="F35" s="24">
        <v>0</v>
      </c>
      <c r="G35" s="24">
        <v>0</v>
      </c>
      <c r="J35" s="3"/>
    </row>
    <row r="36" spans="1:10" ht="25">
      <c r="A36" s="48" t="s">
        <v>170</v>
      </c>
      <c r="B36" s="44" t="s">
        <v>171</v>
      </c>
      <c r="C36" s="46"/>
      <c r="D36" s="24">
        <v>0</v>
      </c>
      <c r="E36" s="24">
        <v>0</v>
      </c>
      <c r="F36" s="24">
        <v>0</v>
      </c>
      <c r="G36" s="24">
        <v>0</v>
      </c>
      <c r="J36" s="3"/>
    </row>
    <row r="37" spans="1:10" ht="37.5">
      <c r="A37" s="48" t="s">
        <v>172</v>
      </c>
      <c r="B37" s="44" t="s">
        <v>173</v>
      </c>
      <c r="C37" s="46"/>
      <c r="D37" s="24">
        <v>0</v>
      </c>
      <c r="E37" s="24">
        <v>0</v>
      </c>
      <c r="F37" s="24">
        <v>0</v>
      </c>
      <c r="G37" s="24">
        <v>0</v>
      </c>
      <c r="J37" s="3"/>
    </row>
    <row r="38" spans="1:10" ht="25">
      <c r="A38" s="48" t="s">
        <v>296</v>
      </c>
      <c r="B38" s="44" t="s">
        <v>174</v>
      </c>
      <c r="C38" s="46"/>
      <c r="D38" s="24">
        <v>0</v>
      </c>
      <c r="E38" s="24">
        <v>0</v>
      </c>
      <c r="F38" s="24">
        <v>0</v>
      </c>
      <c r="G38" s="24">
        <v>0</v>
      </c>
      <c r="J38" s="3"/>
    </row>
    <row r="39" spans="1:10" s="3" customFormat="1" ht="25">
      <c r="A39" s="40" t="s">
        <v>297</v>
      </c>
      <c r="B39" s="41" t="s">
        <v>175</v>
      </c>
      <c r="C39" s="42"/>
      <c r="D39" s="22">
        <v>20045779696</v>
      </c>
      <c r="E39" s="22">
        <v>50374748750</v>
      </c>
      <c r="F39" s="22">
        <v>12252228147</v>
      </c>
      <c r="G39" s="22">
        <v>30871332503</v>
      </c>
    </row>
    <row r="40" spans="1:10" ht="25">
      <c r="A40" s="48" t="s">
        <v>341</v>
      </c>
      <c r="B40" s="44" t="s">
        <v>176</v>
      </c>
      <c r="C40" s="46"/>
      <c r="D40" s="24">
        <v>18468082930</v>
      </c>
      <c r="E40" s="24">
        <v>46428505161</v>
      </c>
      <c r="F40" s="24">
        <v>11136941564</v>
      </c>
      <c r="G40" s="24">
        <v>28057296839</v>
      </c>
      <c r="J40" s="3"/>
    </row>
    <row r="41" spans="1:10" ht="25">
      <c r="A41" s="48" t="s">
        <v>177</v>
      </c>
      <c r="B41" s="44" t="s">
        <v>178</v>
      </c>
      <c r="C41" s="45"/>
      <c r="D41" s="24">
        <v>686857892</v>
      </c>
      <c r="E41" s="24">
        <v>1670992886</v>
      </c>
      <c r="F41" s="24">
        <v>459772091</v>
      </c>
      <c r="G41" s="24">
        <v>1108438285</v>
      </c>
      <c r="J41" s="3"/>
    </row>
    <row r="42" spans="1:10" ht="25">
      <c r="A42" s="14" t="s">
        <v>23</v>
      </c>
      <c r="B42" s="49" t="s">
        <v>179</v>
      </c>
      <c r="C42" s="45"/>
      <c r="D42" s="24">
        <v>389392948</v>
      </c>
      <c r="E42" s="24">
        <v>962940075</v>
      </c>
      <c r="F42" s="24">
        <v>228450085</v>
      </c>
      <c r="G42" s="24">
        <v>575534294</v>
      </c>
      <c r="J42" s="3"/>
    </row>
    <row r="43" spans="1:10" ht="25">
      <c r="A43" s="14" t="s">
        <v>24</v>
      </c>
      <c r="B43" s="49" t="s">
        <v>180</v>
      </c>
      <c r="C43" s="45"/>
      <c r="D43" s="24">
        <v>223965000</v>
      </c>
      <c r="E43" s="24">
        <v>517120000</v>
      </c>
      <c r="F43" s="24">
        <v>194515000</v>
      </c>
      <c r="G43" s="24">
        <v>431530000</v>
      </c>
      <c r="J43" s="3"/>
    </row>
    <row r="44" spans="1:10" ht="50">
      <c r="A44" s="14" t="s">
        <v>559</v>
      </c>
      <c r="B44" s="49" t="s">
        <v>181</v>
      </c>
      <c r="C44" s="45"/>
      <c r="D44" s="24">
        <v>73499944</v>
      </c>
      <c r="E44" s="24">
        <v>190932811</v>
      </c>
      <c r="F44" s="24">
        <v>36807006</v>
      </c>
      <c r="G44" s="24">
        <v>101373991</v>
      </c>
      <c r="J44" s="3"/>
    </row>
    <row r="45" spans="1:10" ht="25">
      <c r="A45" s="48" t="s">
        <v>182</v>
      </c>
      <c r="B45" s="44" t="s">
        <v>183</v>
      </c>
      <c r="C45" s="45"/>
      <c r="D45" s="24">
        <v>416715716</v>
      </c>
      <c r="E45" s="24">
        <v>1047617550</v>
      </c>
      <c r="F45" s="24">
        <v>251295094</v>
      </c>
      <c r="G45" s="24">
        <v>633087728</v>
      </c>
      <c r="J45" s="3"/>
    </row>
    <row r="46" spans="1:10" ht="25">
      <c r="A46" s="48" t="s">
        <v>184</v>
      </c>
      <c r="B46" s="44" t="s">
        <v>185</v>
      </c>
      <c r="C46" s="45"/>
      <c r="D46" s="24">
        <v>260447322</v>
      </c>
      <c r="E46" s="24">
        <v>654760960</v>
      </c>
      <c r="F46" s="24">
        <v>157059432</v>
      </c>
      <c r="G46" s="24">
        <v>395679830</v>
      </c>
      <c r="J46" s="3"/>
    </row>
    <row r="47" spans="1:10" ht="25">
      <c r="A47" s="48" t="s">
        <v>186</v>
      </c>
      <c r="B47" s="44" t="s">
        <v>187</v>
      </c>
      <c r="C47" s="45"/>
      <c r="D47" s="24">
        <v>39600000</v>
      </c>
      <c r="E47" s="24">
        <v>118800000</v>
      </c>
      <c r="F47" s="24">
        <v>39600000</v>
      </c>
      <c r="G47" s="24">
        <v>118800000</v>
      </c>
      <c r="J47" s="3"/>
    </row>
    <row r="48" spans="1:10" ht="25">
      <c r="A48" s="48" t="s">
        <v>188</v>
      </c>
      <c r="B48" s="44" t="s">
        <v>189</v>
      </c>
      <c r="C48" s="45"/>
      <c r="D48" s="24">
        <v>0</v>
      </c>
      <c r="E48" s="24">
        <v>0</v>
      </c>
      <c r="F48" s="24">
        <v>0</v>
      </c>
      <c r="G48" s="24">
        <v>0</v>
      </c>
      <c r="J48" s="3"/>
    </row>
    <row r="49" spans="1:10" ht="25">
      <c r="A49" s="15" t="s">
        <v>342</v>
      </c>
      <c r="B49" s="49" t="s">
        <v>190</v>
      </c>
      <c r="C49" s="45"/>
      <c r="D49" s="24">
        <v>0</v>
      </c>
      <c r="E49" s="24">
        <v>0</v>
      </c>
      <c r="F49" s="24">
        <v>0</v>
      </c>
      <c r="G49" s="24">
        <v>0</v>
      </c>
      <c r="J49" s="3"/>
    </row>
    <row r="50" spans="1:10" ht="25">
      <c r="A50" s="15" t="s">
        <v>343</v>
      </c>
      <c r="B50" s="49" t="s">
        <v>191</v>
      </c>
      <c r="C50" s="45"/>
      <c r="D50" s="24">
        <v>0</v>
      </c>
      <c r="E50" s="24">
        <v>0</v>
      </c>
      <c r="F50" s="24">
        <v>0</v>
      </c>
      <c r="G50" s="24">
        <v>0</v>
      </c>
      <c r="J50" s="3"/>
    </row>
    <row r="51" spans="1:10" ht="25">
      <c r="A51" s="48" t="s">
        <v>192</v>
      </c>
      <c r="B51" s="44" t="s">
        <v>193</v>
      </c>
      <c r="C51" s="45"/>
      <c r="D51" s="24">
        <v>35962923</v>
      </c>
      <c r="E51" s="24">
        <v>72015512</v>
      </c>
      <c r="F51" s="24">
        <v>53906672</v>
      </c>
      <c r="G51" s="24">
        <v>103835462</v>
      </c>
      <c r="J51" s="3"/>
    </row>
    <row r="52" spans="1:10" ht="25">
      <c r="A52" s="48" t="s">
        <v>298</v>
      </c>
      <c r="B52" s="44" t="s">
        <v>194</v>
      </c>
      <c r="C52" s="45"/>
      <c r="D52" s="24">
        <v>55507217</v>
      </c>
      <c r="E52" s="24">
        <v>154531558</v>
      </c>
      <c r="F52" s="24">
        <v>50600000</v>
      </c>
      <c r="G52" s="24">
        <v>149189475</v>
      </c>
      <c r="J52" s="3"/>
    </row>
    <row r="53" spans="1:10" ht="25">
      <c r="A53" s="48" t="s">
        <v>195</v>
      </c>
      <c r="B53" s="44" t="s">
        <v>196</v>
      </c>
      <c r="C53" s="45"/>
      <c r="D53" s="24">
        <v>0</v>
      </c>
      <c r="E53" s="24">
        <v>0</v>
      </c>
      <c r="F53" s="24">
        <v>0</v>
      </c>
      <c r="G53" s="24">
        <v>0</v>
      </c>
      <c r="J53" s="3"/>
    </row>
    <row r="54" spans="1:10" ht="25">
      <c r="A54" s="48" t="s">
        <v>299</v>
      </c>
      <c r="B54" s="50" t="s">
        <v>197</v>
      </c>
      <c r="C54" s="45"/>
      <c r="D54" s="24">
        <v>82605696</v>
      </c>
      <c r="E54" s="24">
        <v>227525123</v>
      </c>
      <c r="F54" s="24">
        <v>103053294</v>
      </c>
      <c r="G54" s="24">
        <v>305004884</v>
      </c>
      <c r="J54" s="3"/>
    </row>
    <row r="55" spans="1:10" ht="25">
      <c r="A55" s="15" t="s">
        <v>37</v>
      </c>
      <c r="B55" s="51" t="s">
        <v>198</v>
      </c>
      <c r="C55" s="45"/>
      <c r="D55" s="24">
        <v>39024657</v>
      </c>
      <c r="E55" s="24">
        <v>116975342</v>
      </c>
      <c r="F55" s="24">
        <v>39016394</v>
      </c>
      <c r="G55" s="24">
        <v>115248634</v>
      </c>
      <c r="J55" s="3"/>
    </row>
    <row r="56" spans="1:10" ht="25">
      <c r="A56" s="15" t="s">
        <v>199</v>
      </c>
      <c r="B56" s="51" t="s">
        <v>200</v>
      </c>
      <c r="C56" s="45"/>
      <c r="D56" s="24">
        <v>0</v>
      </c>
      <c r="E56" s="24">
        <v>0</v>
      </c>
      <c r="F56" s="24">
        <v>0</v>
      </c>
      <c r="G56" s="24">
        <v>0</v>
      </c>
      <c r="J56" s="3"/>
    </row>
    <row r="57" spans="1:10" ht="25">
      <c r="A57" s="15" t="s">
        <v>201</v>
      </c>
      <c r="B57" s="51" t="s">
        <v>202</v>
      </c>
      <c r="C57" s="46"/>
      <c r="D57" s="24">
        <v>0</v>
      </c>
      <c r="E57" s="24">
        <v>0</v>
      </c>
      <c r="F57" s="24">
        <v>0</v>
      </c>
      <c r="G57" s="24">
        <v>0</v>
      </c>
      <c r="J57" s="3"/>
    </row>
    <row r="58" spans="1:10" ht="25">
      <c r="A58" s="15" t="s">
        <v>300</v>
      </c>
      <c r="B58" s="51" t="s">
        <v>203</v>
      </c>
      <c r="C58" s="45"/>
      <c r="D58" s="24">
        <v>0</v>
      </c>
      <c r="E58" s="24">
        <v>0</v>
      </c>
      <c r="F58" s="24">
        <v>23500000</v>
      </c>
      <c r="G58" s="24">
        <v>70500000</v>
      </c>
      <c r="J58" s="3"/>
    </row>
    <row r="59" spans="1:10" ht="25">
      <c r="A59" s="15" t="s">
        <v>38</v>
      </c>
      <c r="B59" s="51" t="s">
        <v>204</v>
      </c>
      <c r="C59" s="46"/>
      <c r="D59" s="24">
        <v>17359178</v>
      </c>
      <c r="E59" s="24">
        <v>32076742</v>
      </c>
      <c r="F59" s="24">
        <v>10804554</v>
      </c>
      <c r="G59" s="24">
        <v>32395446</v>
      </c>
      <c r="J59" s="3"/>
    </row>
    <row r="60" spans="1:10" ht="25">
      <c r="A60" s="15" t="s">
        <v>301</v>
      </c>
      <c r="B60" s="51" t="s">
        <v>205</v>
      </c>
      <c r="C60" s="46"/>
      <c r="D60" s="24">
        <v>0</v>
      </c>
      <c r="E60" s="24">
        <v>0</v>
      </c>
      <c r="F60" s="24">
        <v>0</v>
      </c>
      <c r="G60" s="24">
        <v>0</v>
      </c>
      <c r="J60" s="3"/>
    </row>
    <row r="61" spans="1:10" ht="25">
      <c r="A61" s="15" t="s">
        <v>302</v>
      </c>
      <c r="B61" s="51" t="s">
        <v>206</v>
      </c>
      <c r="C61" s="46"/>
      <c r="D61" s="24">
        <v>1890411</v>
      </c>
      <c r="E61" s="24">
        <v>5609589</v>
      </c>
      <c r="F61" s="24">
        <v>1885246</v>
      </c>
      <c r="G61" s="24">
        <v>5614754</v>
      </c>
      <c r="J61" s="3"/>
    </row>
    <row r="62" spans="1:10" ht="25">
      <c r="A62" s="15" t="s">
        <v>45</v>
      </c>
      <c r="B62" s="51" t="s">
        <v>207</v>
      </c>
      <c r="C62" s="46"/>
      <c r="D62" s="24">
        <v>24331450</v>
      </c>
      <c r="E62" s="24">
        <v>71763450</v>
      </c>
      <c r="F62" s="24">
        <v>24025100</v>
      </c>
      <c r="G62" s="24">
        <v>76324050</v>
      </c>
      <c r="J62" s="3"/>
    </row>
    <row r="63" spans="1:10" ht="25">
      <c r="A63" s="15" t="s">
        <v>39</v>
      </c>
      <c r="B63" s="51" t="s">
        <v>208</v>
      </c>
      <c r="C63" s="46"/>
      <c r="D63" s="24">
        <v>0</v>
      </c>
      <c r="E63" s="24">
        <v>0</v>
      </c>
      <c r="F63" s="24">
        <v>0</v>
      </c>
      <c r="G63" s="24">
        <v>0</v>
      </c>
      <c r="J63" s="3"/>
    </row>
    <row r="64" spans="1:10" ht="25">
      <c r="A64" s="15" t="s">
        <v>287</v>
      </c>
      <c r="B64" s="51" t="s">
        <v>209</v>
      </c>
      <c r="C64" s="45"/>
      <c r="D64" s="24">
        <v>0</v>
      </c>
      <c r="E64" s="24">
        <v>0</v>
      </c>
      <c r="F64" s="24">
        <v>0</v>
      </c>
      <c r="G64" s="24">
        <v>0</v>
      </c>
      <c r="J64" s="3"/>
    </row>
    <row r="65" spans="1:10" ht="25">
      <c r="A65" s="15" t="s">
        <v>560</v>
      </c>
      <c r="B65" s="51" t="s">
        <v>210</v>
      </c>
      <c r="C65" s="45"/>
      <c r="D65" s="24">
        <v>0</v>
      </c>
      <c r="E65" s="24">
        <v>1100000</v>
      </c>
      <c r="F65" s="24">
        <v>0</v>
      </c>
      <c r="G65" s="24">
        <v>1100000</v>
      </c>
      <c r="J65" s="3"/>
    </row>
    <row r="66" spans="1:10" ht="25">
      <c r="A66" s="15" t="s">
        <v>561</v>
      </c>
      <c r="B66" s="51" t="s">
        <v>211</v>
      </c>
      <c r="C66" s="45"/>
      <c r="D66" s="24">
        <v>0</v>
      </c>
      <c r="E66" s="24">
        <v>0</v>
      </c>
      <c r="F66" s="24">
        <v>0</v>
      </c>
      <c r="G66" s="24">
        <v>0</v>
      </c>
      <c r="J66" s="3"/>
    </row>
    <row r="67" spans="1:10" ht="25">
      <c r="A67" s="15" t="s">
        <v>303</v>
      </c>
      <c r="B67" s="51" t="s">
        <v>212</v>
      </c>
      <c r="C67" s="45"/>
      <c r="D67" s="24">
        <v>0</v>
      </c>
      <c r="E67" s="24">
        <v>0</v>
      </c>
      <c r="F67" s="24">
        <v>0</v>
      </c>
      <c r="G67" s="24">
        <v>0</v>
      </c>
      <c r="J67" s="3"/>
    </row>
    <row r="68" spans="1:10" ht="25">
      <c r="A68" s="15" t="s">
        <v>213</v>
      </c>
      <c r="B68" s="51" t="s">
        <v>214</v>
      </c>
      <c r="C68" s="45"/>
      <c r="D68" s="24">
        <v>0</v>
      </c>
      <c r="E68" s="24">
        <v>0</v>
      </c>
      <c r="F68" s="24">
        <v>3822000</v>
      </c>
      <c r="G68" s="24">
        <v>3822000</v>
      </c>
      <c r="J68" s="3"/>
    </row>
    <row r="69" spans="1:10" s="3" customFormat="1" ht="37.5">
      <c r="A69" s="40" t="s">
        <v>215</v>
      </c>
      <c r="B69" s="41" t="s">
        <v>216</v>
      </c>
      <c r="C69" s="42"/>
      <c r="D69" s="22">
        <v>656707876785</v>
      </c>
      <c r="E69" s="22">
        <v>943683728280</v>
      </c>
      <c r="F69" s="22">
        <v>56073897420</v>
      </c>
      <c r="G69" s="22">
        <v>382854782439</v>
      </c>
    </row>
    <row r="70" spans="1:10" s="3" customFormat="1" ht="25">
      <c r="A70" s="40" t="s">
        <v>217</v>
      </c>
      <c r="B70" s="41" t="s">
        <v>218</v>
      </c>
      <c r="C70" s="42"/>
      <c r="D70" s="22">
        <v>0</v>
      </c>
      <c r="E70" s="22">
        <v>0</v>
      </c>
      <c r="F70" s="22">
        <v>0</v>
      </c>
      <c r="G70" s="22">
        <v>0</v>
      </c>
    </row>
    <row r="71" spans="1:10" ht="25">
      <c r="A71" s="43" t="s">
        <v>344</v>
      </c>
      <c r="B71" s="47" t="s">
        <v>219</v>
      </c>
      <c r="C71" s="46"/>
      <c r="D71" s="24">
        <v>0</v>
      </c>
      <c r="E71" s="24">
        <v>0</v>
      </c>
      <c r="F71" s="24">
        <v>0</v>
      </c>
      <c r="G71" s="24">
        <v>0</v>
      </c>
      <c r="J71" s="3"/>
    </row>
    <row r="72" spans="1:10" ht="25">
      <c r="A72" s="43" t="s">
        <v>304</v>
      </c>
      <c r="B72" s="47" t="s">
        <v>220</v>
      </c>
      <c r="C72" s="46"/>
      <c r="D72" s="24">
        <v>0</v>
      </c>
      <c r="E72" s="24">
        <v>0</v>
      </c>
      <c r="F72" s="24">
        <v>0</v>
      </c>
      <c r="G72" s="24">
        <v>0</v>
      </c>
      <c r="J72" s="3"/>
    </row>
    <row r="73" spans="1:10" s="3" customFormat="1" ht="37.5">
      <c r="A73" s="40" t="s">
        <v>221</v>
      </c>
      <c r="B73" s="41" t="s">
        <v>222</v>
      </c>
      <c r="C73" s="42"/>
      <c r="D73" s="22">
        <v>656707876785</v>
      </c>
      <c r="E73" s="22">
        <v>943683728280</v>
      </c>
      <c r="F73" s="22">
        <v>56073897420</v>
      </c>
      <c r="G73" s="22">
        <v>382854782439</v>
      </c>
    </row>
    <row r="74" spans="1:10" ht="25">
      <c r="A74" s="48" t="s">
        <v>223</v>
      </c>
      <c r="B74" s="44" t="s">
        <v>224</v>
      </c>
      <c r="C74" s="46"/>
      <c r="D74" s="24">
        <v>486023119077</v>
      </c>
      <c r="E74" s="24">
        <v>663249751766</v>
      </c>
      <c r="F74" s="24">
        <v>17122175666</v>
      </c>
      <c r="G74" s="24">
        <v>263190680123</v>
      </c>
      <c r="J74" s="3"/>
    </row>
    <row r="75" spans="1:10" ht="25">
      <c r="A75" s="48" t="s">
        <v>225</v>
      </c>
      <c r="B75" s="44" t="s">
        <v>226</v>
      </c>
      <c r="C75" s="46"/>
      <c r="D75" s="24">
        <v>170684757708</v>
      </c>
      <c r="E75" s="24">
        <v>280433976514</v>
      </c>
      <c r="F75" s="24">
        <v>38951721754</v>
      </c>
      <c r="G75" s="24">
        <v>119664102316</v>
      </c>
      <c r="J75" s="3"/>
    </row>
    <row r="76" spans="1:10" s="3" customFormat="1" ht="25">
      <c r="A76" s="40" t="s">
        <v>227</v>
      </c>
      <c r="B76" s="41" t="s">
        <v>228</v>
      </c>
      <c r="C76" s="42"/>
      <c r="D76" s="22">
        <v>0</v>
      </c>
      <c r="E76" s="22">
        <v>0</v>
      </c>
      <c r="F76" s="22">
        <v>0</v>
      </c>
      <c r="G76" s="22">
        <v>0</v>
      </c>
    </row>
    <row r="77" spans="1:10" s="3" customFormat="1" ht="37.5">
      <c r="A77" s="40" t="s">
        <v>229</v>
      </c>
      <c r="B77" s="41" t="s">
        <v>230</v>
      </c>
      <c r="C77" s="42"/>
      <c r="D77" s="22">
        <v>656707876785</v>
      </c>
      <c r="E77" s="22">
        <v>943683728280</v>
      </c>
      <c r="F77" s="22">
        <v>56073897420</v>
      </c>
      <c r="G77" s="22">
        <v>382854782439</v>
      </c>
    </row>
    <row r="80" spans="1:10" s="3" customFormat="1" ht="16.899999999999999" customHeight="1">
      <c r="A80" s="140" t="s">
        <v>231</v>
      </c>
      <c r="B80" s="229" t="s">
        <v>232</v>
      </c>
      <c r="C80" s="229"/>
      <c r="D80" s="229"/>
      <c r="E80" s="229"/>
      <c r="F80" s="229"/>
      <c r="G80" s="229"/>
    </row>
    <row r="93" spans="1:7">
      <c r="A93" s="12" t="s">
        <v>487</v>
      </c>
      <c r="B93" s="228" t="s">
        <v>488</v>
      </c>
      <c r="C93" s="228"/>
      <c r="D93" s="228"/>
      <c r="E93" s="228"/>
      <c r="F93" s="228" t="s">
        <v>489</v>
      </c>
      <c r="G93" s="228"/>
    </row>
    <row r="94" spans="1:7" ht="16.899999999999999" customHeight="1">
      <c r="A94" s="140" t="s">
        <v>1322</v>
      </c>
      <c r="B94" s="229" t="s">
        <v>1317</v>
      </c>
      <c r="C94" s="229"/>
      <c r="D94" s="229"/>
      <c r="E94" s="229"/>
      <c r="F94" s="229" t="s">
        <v>1319</v>
      </c>
      <c r="G94" s="229"/>
    </row>
    <row r="95" spans="1:7" ht="16.899999999999999" customHeight="1">
      <c r="A95" s="141" t="s">
        <v>1318</v>
      </c>
      <c r="B95" s="228" t="s">
        <v>1321</v>
      </c>
      <c r="C95" s="228"/>
      <c r="D95" s="228"/>
      <c r="E95" s="228"/>
      <c r="F95" s="228" t="s">
        <v>1320</v>
      </c>
      <c r="G95" s="228"/>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0" orientation="portrait" r:id="rId1"/>
  <headerFooter>
    <oddHeader>&amp;L&amp;"Arial"&amp;9&amp;KA80000CONFIDENTIAL&amp;1#</oddHeader>
  </headerFooter>
  <rowBreaks count="2" manualBreakCount="2">
    <brk id="38" max="16383" man="1"/>
    <brk id="67" max="16383"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77"/>
  <sheetViews>
    <sheetView view="pageBreakPreview" topLeftCell="A70" zoomScaleNormal="100" zoomScaleSheetLayoutView="100" workbookViewId="0">
      <selection activeCell="A77" sqref="A77"/>
    </sheetView>
  </sheetViews>
  <sheetFormatPr defaultColWidth="8.7265625" defaultRowHeight="12.5"/>
  <cols>
    <col min="1" max="1" width="52.1796875" style="12" customWidth="1"/>
    <col min="2" max="2" width="9.453125" style="12" customWidth="1"/>
    <col min="3" max="3" width="13.81640625" style="12" customWidth="1"/>
    <col min="4" max="4" width="33.54296875" style="12" customWidth="1"/>
    <col min="5" max="5" width="33.1796875" style="12" customWidth="1"/>
    <col min="6" max="16384" width="8.7265625" style="30"/>
  </cols>
  <sheetData>
    <row r="1" spans="1:5" ht="55.5" customHeight="1">
      <c r="A1" s="218" t="s">
        <v>556</v>
      </c>
      <c r="B1" s="218"/>
      <c r="C1" s="218"/>
      <c r="D1" s="218"/>
      <c r="E1" s="218"/>
    </row>
    <row r="2" spans="1:5" ht="67.5" customHeight="1">
      <c r="A2" s="219" t="s">
        <v>553</v>
      </c>
      <c r="B2" s="219"/>
      <c r="C2" s="219"/>
      <c r="D2" s="219"/>
      <c r="E2" s="219"/>
    </row>
    <row r="3" spans="1:5" ht="39.4" customHeight="1">
      <c r="A3" s="220" t="s">
        <v>235</v>
      </c>
      <c r="B3" s="220"/>
      <c r="C3" s="220"/>
      <c r="D3" s="220"/>
      <c r="E3" s="220"/>
    </row>
    <row r="4" spans="1:5" ht="16.899999999999999" customHeight="1">
      <c r="A4" s="221" t="s">
        <v>1300</v>
      </c>
      <c r="B4" s="221"/>
      <c r="C4" s="221"/>
      <c r="D4" s="221"/>
      <c r="E4" s="221"/>
    </row>
    <row r="5" spans="1:5" ht="0.4" customHeight="1"/>
    <row r="7" spans="1:5" ht="16.899999999999999" customHeight="1">
      <c r="A7" s="118" t="s">
        <v>2</v>
      </c>
      <c r="B7" s="195" t="s">
        <v>1301</v>
      </c>
      <c r="C7" s="195"/>
      <c r="D7" s="195"/>
      <c r="E7" s="195"/>
    </row>
    <row r="8" spans="1:5" ht="16.899999999999999" customHeight="1">
      <c r="A8" s="12" t="s">
        <v>15</v>
      </c>
      <c r="B8" s="223" t="s">
        <v>1302</v>
      </c>
      <c r="C8" s="223"/>
      <c r="D8" s="223"/>
      <c r="E8" s="223"/>
    </row>
    <row r="9" spans="1:5" ht="16.899999999999999" customHeight="1">
      <c r="A9" s="118" t="s">
        <v>3</v>
      </c>
      <c r="B9" s="195" t="s">
        <v>1303</v>
      </c>
      <c r="C9" s="195"/>
      <c r="D9" s="195"/>
      <c r="E9" s="195"/>
    </row>
    <row r="10" spans="1:5" ht="16.899999999999999" customHeight="1">
      <c r="A10" s="12" t="s">
        <v>4</v>
      </c>
      <c r="B10" s="223" t="s">
        <v>1304</v>
      </c>
      <c r="C10" s="223"/>
      <c r="D10" s="223"/>
      <c r="E10" s="223"/>
    </row>
    <row r="11" spans="1:5" ht="16.899999999999999" customHeight="1">
      <c r="A11" s="118" t="s">
        <v>5</v>
      </c>
      <c r="B11" s="195" t="s">
        <v>1305</v>
      </c>
      <c r="C11" s="195"/>
      <c r="D11" s="195"/>
      <c r="E11" s="195"/>
    </row>
    <row r="12" spans="1:5" ht="16.899999999999999" customHeight="1">
      <c r="A12" s="12" t="s">
        <v>6</v>
      </c>
      <c r="B12" s="223" t="s">
        <v>1306</v>
      </c>
      <c r="C12" s="223"/>
      <c r="D12" s="223"/>
      <c r="E12" s="223"/>
    </row>
    <row r="13" spans="1:5" ht="16.899999999999999" customHeight="1">
      <c r="A13" s="118" t="s">
        <v>7</v>
      </c>
      <c r="B13" s="195" t="s">
        <v>1307</v>
      </c>
      <c r="C13" s="195"/>
      <c r="D13" s="195"/>
      <c r="E13" s="195"/>
    </row>
    <row r="14" spans="1:5" ht="16.899999999999999" customHeight="1">
      <c r="A14" s="12" t="s">
        <v>8</v>
      </c>
      <c r="B14" s="223" t="s">
        <v>1308</v>
      </c>
      <c r="C14" s="223"/>
      <c r="D14" s="223"/>
      <c r="E14" s="223"/>
    </row>
    <row r="17" spans="1:6" ht="41.25" customHeight="1">
      <c r="A17" s="31" t="s">
        <v>148</v>
      </c>
      <c r="B17" s="31" t="s">
        <v>149</v>
      </c>
      <c r="C17" s="31" t="s">
        <v>150</v>
      </c>
      <c r="D17" s="31" t="s">
        <v>1312</v>
      </c>
      <c r="E17" s="31" t="s">
        <v>1313</v>
      </c>
    </row>
    <row r="18" spans="1:6" s="3" customFormat="1" ht="25">
      <c r="A18" s="52" t="s">
        <v>564</v>
      </c>
      <c r="B18" s="53" t="s">
        <v>16</v>
      </c>
      <c r="C18" s="54"/>
      <c r="D18" s="188"/>
      <c r="E18" s="188"/>
    </row>
    <row r="19" spans="1:6" ht="25">
      <c r="A19" s="55" t="s">
        <v>305</v>
      </c>
      <c r="B19" s="111" t="s">
        <v>152</v>
      </c>
      <c r="C19" s="56"/>
      <c r="D19" s="188">
        <v>656707876785</v>
      </c>
      <c r="E19" s="188">
        <v>355548438319</v>
      </c>
      <c r="F19" s="3"/>
    </row>
    <row r="20" spans="1:6" ht="37.5">
      <c r="A20" s="55" t="s">
        <v>236</v>
      </c>
      <c r="B20" s="111" t="s">
        <v>153</v>
      </c>
      <c r="C20" s="56"/>
      <c r="D20" s="188">
        <v>-170705337157</v>
      </c>
      <c r="E20" s="188">
        <v>-227714037349</v>
      </c>
      <c r="F20" s="3"/>
    </row>
    <row r="21" spans="1:6" ht="50">
      <c r="A21" s="55" t="s">
        <v>345</v>
      </c>
      <c r="B21" s="111" t="s">
        <v>154</v>
      </c>
      <c r="C21" s="56"/>
      <c r="D21" s="35">
        <v>-170684757708</v>
      </c>
      <c r="E21" s="35">
        <v>-227735928283</v>
      </c>
      <c r="F21" s="3"/>
    </row>
    <row r="22" spans="1:6" ht="25">
      <c r="A22" s="55" t="s">
        <v>346</v>
      </c>
      <c r="B22" s="111" t="s">
        <v>157</v>
      </c>
      <c r="C22" s="56"/>
      <c r="D22" s="35">
        <v>-20579449</v>
      </c>
      <c r="E22" s="35">
        <v>21890934</v>
      </c>
      <c r="F22" s="3"/>
    </row>
    <row r="23" spans="1:6" ht="37.5">
      <c r="A23" s="55" t="s">
        <v>237</v>
      </c>
      <c r="B23" s="111" t="s">
        <v>158</v>
      </c>
      <c r="C23" s="56"/>
      <c r="D23" s="188">
        <v>486002539628</v>
      </c>
      <c r="E23" s="188">
        <v>127834400970</v>
      </c>
      <c r="F23" s="3"/>
    </row>
    <row r="24" spans="1:6" ht="25">
      <c r="A24" s="55" t="s">
        <v>347</v>
      </c>
      <c r="B24" s="111" t="s">
        <v>175</v>
      </c>
      <c r="C24" s="56"/>
      <c r="D24" s="35">
        <v>-869654239992</v>
      </c>
      <c r="E24" s="35">
        <v>-483989484917</v>
      </c>
      <c r="F24" s="3"/>
    </row>
    <row r="25" spans="1:6" ht="37.5">
      <c r="A25" s="55" t="s">
        <v>238</v>
      </c>
      <c r="B25" s="111" t="s">
        <v>159</v>
      </c>
      <c r="C25" s="56"/>
      <c r="D25" s="35">
        <v>-122369591800</v>
      </c>
      <c r="E25" s="35">
        <v>98326478250</v>
      </c>
      <c r="F25" s="3"/>
    </row>
    <row r="26" spans="1:6" ht="25">
      <c r="A26" s="55" t="s">
        <v>239</v>
      </c>
      <c r="B26" s="111" t="s">
        <v>160</v>
      </c>
      <c r="C26" s="56"/>
      <c r="D26" s="35">
        <v>-5781288000</v>
      </c>
      <c r="E26" s="35">
        <v>-3054470000</v>
      </c>
      <c r="F26" s="3"/>
    </row>
    <row r="27" spans="1:6" ht="25">
      <c r="A27" s="55" t="s">
        <v>306</v>
      </c>
      <c r="B27" s="111" t="s">
        <v>161</v>
      </c>
      <c r="C27" s="56"/>
      <c r="D27" s="35">
        <v>17359178</v>
      </c>
      <c r="E27" s="35">
        <v>-34706256</v>
      </c>
      <c r="F27" s="3"/>
    </row>
    <row r="28" spans="1:6" ht="25">
      <c r="A28" s="55" t="s">
        <v>348</v>
      </c>
      <c r="B28" s="111" t="s">
        <v>162</v>
      </c>
      <c r="C28" s="56"/>
      <c r="D28" s="35">
        <v>0</v>
      </c>
      <c r="E28" s="35">
        <v>0</v>
      </c>
      <c r="F28" s="3"/>
    </row>
    <row r="29" spans="1:6" ht="37.5">
      <c r="A29" s="55" t="s">
        <v>240</v>
      </c>
      <c r="B29" s="111" t="s">
        <v>163</v>
      </c>
      <c r="C29" s="56"/>
      <c r="D29" s="35">
        <v>93925460000</v>
      </c>
      <c r="E29" s="35">
        <v>519335000</v>
      </c>
      <c r="F29" s="3"/>
    </row>
    <row r="30" spans="1:6" ht="50">
      <c r="A30" s="55" t="s">
        <v>241</v>
      </c>
      <c r="B30" s="111" t="s">
        <v>165</v>
      </c>
      <c r="C30" s="56"/>
      <c r="D30" s="35">
        <v>423441456</v>
      </c>
      <c r="E30" s="35">
        <v>309681560</v>
      </c>
      <c r="F30" s="3"/>
    </row>
    <row r="31" spans="1:6" ht="37.5">
      <c r="A31" s="55" t="s">
        <v>349</v>
      </c>
      <c r="B31" s="111" t="s">
        <v>169</v>
      </c>
      <c r="C31" s="56"/>
      <c r="D31" s="35">
        <v>0</v>
      </c>
      <c r="E31" s="35">
        <v>0</v>
      </c>
      <c r="F31" s="3"/>
    </row>
    <row r="32" spans="1:6" ht="37.5">
      <c r="A32" s="55" t="s">
        <v>350</v>
      </c>
      <c r="B32" s="111" t="s">
        <v>171</v>
      </c>
      <c r="C32" s="56"/>
      <c r="D32" s="35">
        <v>63667870</v>
      </c>
      <c r="E32" s="35">
        <v>42557494</v>
      </c>
      <c r="F32" s="3"/>
    </row>
    <row r="33" spans="1:6" ht="37.5">
      <c r="A33" s="55" t="s">
        <v>351</v>
      </c>
      <c r="B33" s="111" t="s">
        <v>173</v>
      </c>
      <c r="C33" s="56"/>
      <c r="D33" s="35">
        <v>9883240737</v>
      </c>
      <c r="E33" s="35">
        <v>-11386145814</v>
      </c>
      <c r="F33" s="3"/>
    </row>
    <row r="34" spans="1:6" ht="37.5">
      <c r="A34" s="55" t="s">
        <v>352</v>
      </c>
      <c r="B34" s="111" t="s">
        <v>174</v>
      </c>
      <c r="C34" s="56"/>
      <c r="D34" s="35">
        <v>9527628728</v>
      </c>
      <c r="E34" s="35">
        <v>32014669951</v>
      </c>
      <c r="F34" s="3"/>
    </row>
    <row r="35" spans="1:6" s="3" customFormat="1" ht="25">
      <c r="A35" s="55" t="s">
        <v>353</v>
      </c>
      <c r="B35" s="111" t="s">
        <v>242</v>
      </c>
      <c r="C35" s="56"/>
      <c r="D35" s="35">
        <v>308666672</v>
      </c>
      <c r="E35" s="35">
        <v>-123056854</v>
      </c>
    </row>
    <row r="36" spans="1:6" s="3" customFormat="1" ht="37.5">
      <c r="A36" s="57" t="s">
        <v>354</v>
      </c>
      <c r="B36" s="111" t="s">
        <v>243</v>
      </c>
      <c r="C36" s="56"/>
      <c r="D36" s="35">
        <v>1981988331</v>
      </c>
      <c r="E36" s="35">
        <v>241246000</v>
      </c>
    </row>
    <row r="37" spans="1:6" ht="25">
      <c r="A37" s="55" t="s">
        <v>244</v>
      </c>
      <c r="B37" s="111" t="s">
        <v>245</v>
      </c>
      <c r="C37" s="56"/>
      <c r="D37" s="35">
        <v>0</v>
      </c>
      <c r="E37" s="35">
        <v>0</v>
      </c>
      <c r="F37" s="3"/>
    </row>
    <row r="38" spans="1:6" ht="25">
      <c r="A38" s="52" t="s">
        <v>307</v>
      </c>
      <c r="B38" s="53" t="s">
        <v>246</v>
      </c>
      <c r="C38" s="54"/>
      <c r="D38" s="188">
        <v>-395671127192</v>
      </c>
      <c r="E38" s="188">
        <v>-239299494616</v>
      </c>
      <c r="F38" s="3"/>
    </row>
    <row r="39" spans="1:6" ht="25">
      <c r="A39" s="52" t="s">
        <v>308</v>
      </c>
      <c r="B39" s="53" t="s">
        <v>22</v>
      </c>
      <c r="C39" s="54"/>
      <c r="D39" s="188"/>
      <c r="E39" s="188"/>
      <c r="F39" s="3"/>
    </row>
    <row r="40" spans="1:6" ht="25">
      <c r="A40" s="55" t="s">
        <v>355</v>
      </c>
      <c r="B40" s="111" t="s">
        <v>224</v>
      </c>
      <c r="C40" s="56"/>
      <c r="D40" s="35">
        <v>1784603302266</v>
      </c>
      <c r="E40" s="35">
        <v>676181071065</v>
      </c>
      <c r="F40" s="3"/>
    </row>
    <row r="41" spans="1:6" ht="25">
      <c r="A41" s="55" t="s">
        <v>356</v>
      </c>
      <c r="B41" s="111" t="s">
        <v>226</v>
      </c>
      <c r="C41" s="56"/>
      <c r="D41" s="35">
        <v>-1168903672813</v>
      </c>
      <c r="E41" s="35">
        <v>-704704426057</v>
      </c>
      <c r="F41" s="3"/>
    </row>
    <row r="42" spans="1:6" ht="25">
      <c r="A42" s="55" t="s">
        <v>309</v>
      </c>
      <c r="B42" s="111" t="s">
        <v>247</v>
      </c>
      <c r="C42" s="56"/>
      <c r="D42" s="35">
        <v>0</v>
      </c>
      <c r="E42" s="35">
        <v>0</v>
      </c>
      <c r="F42" s="3"/>
    </row>
    <row r="43" spans="1:6" s="3" customFormat="1" ht="25">
      <c r="A43" s="55" t="s">
        <v>310</v>
      </c>
      <c r="B43" s="111" t="s">
        <v>248</v>
      </c>
      <c r="C43" s="56"/>
      <c r="D43" s="35">
        <v>0</v>
      </c>
      <c r="E43" s="35">
        <v>0</v>
      </c>
    </row>
    <row r="44" spans="1:6" s="3" customFormat="1" ht="25">
      <c r="A44" s="55" t="s">
        <v>357</v>
      </c>
      <c r="B44" s="111" t="s">
        <v>249</v>
      </c>
      <c r="C44" s="56"/>
      <c r="D44" s="35">
        <v>0</v>
      </c>
      <c r="E44" s="35">
        <v>0</v>
      </c>
    </row>
    <row r="45" spans="1:6" ht="37.5">
      <c r="A45" s="52" t="s">
        <v>358</v>
      </c>
      <c r="B45" s="53" t="s">
        <v>222</v>
      </c>
      <c r="C45" s="56"/>
      <c r="D45" s="188">
        <v>615699629453</v>
      </c>
      <c r="E45" s="188">
        <v>-28523354992</v>
      </c>
      <c r="F45" s="3"/>
    </row>
    <row r="46" spans="1:6" ht="37.5">
      <c r="A46" s="52" t="s">
        <v>311</v>
      </c>
      <c r="B46" s="53" t="s">
        <v>228</v>
      </c>
      <c r="C46" s="54"/>
      <c r="D46" s="188">
        <v>220028502261</v>
      </c>
      <c r="E46" s="188">
        <v>-267822849608</v>
      </c>
      <c r="F46" s="3"/>
    </row>
    <row r="47" spans="1:6" ht="25">
      <c r="A47" s="52" t="s">
        <v>312</v>
      </c>
      <c r="B47" s="53" t="s">
        <v>250</v>
      </c>
      <c r="C47" s="54"/>
      <c r="D47" s="188">
        <v>108184025369</v>
      </c>
      <c r="E47" s="188">
        <v>376006874977</v>
      </c>
      <c r="F47" s="3"/>
    </row>
    <row r="48" spans="1:6" ht="25">
      <c r="A48" s="55" t="s">
        <v>359</v>
      </c>
      <c r="B48" s="111" t="s">
        <v>251</v>
      </c>
      <c r="C48" s="56"/>
      <c r="D48" s="35">
        <v>108184025369</v>
      </c>
      <c r="E48" s="35">
        <v>376006874977</v>
      </c>
      <c r="F48" s="3"/>
    </row>
    <row r="49" spans="1:6" ht="37.5">
      <c r="A49" s="58" t="s">
        <v>360</v>
      </c>
      <c r="B49" s="111" t="s">
        <v>252</v>
      </c>
      <c r="C49" s="56"/>
      <c r="D49" s="35">
        <v>92003310185</v>
      </c>
      <c r="E49" s="35">
        <v>349726201693</v>
      </c>
      <c r="F49" s="3"/>
    </row>
    <row r="50" spans="1:6" ht="25">
      <c r="A50" s="59" t="s">
        <v>361</v>
      </c>
      <c r="B50" s="60" t="s">
        <v>253</v>
      </c>
      <c r="C50" s="56"/>
      <c r="D50" s="35">
        <v>92003310185</v>
      </c>
      <c r="E50" s="35">
        <v>349726201693</v>
      </c>
      <c r="F50" s="3"/>
    </row>
    <row r="51" spans="1:6" ht="25">
      <c r="A51" s="61" t="s">
        <v>565</v>
      </c>
      <c r="B51" s="60" t="s">
        <v>254</v>
      </c>
      <c r="C51" s="56"/>
      <c r="D51" s="35">
        <v>0</v>
      </c>
      <c r="E51" s="35">
        <v>0</v>
      </c>
      <c r="F51" s="3"/>
    </row>
    <row r="52" spans="1:6" s="3" customFormat="1" ht="25">
      <c r="A52" s="59" t="s">
        <v>21</v>
      </c>
      <c r="B52" s="60" t="s">
        <v>255</v>
      </c>
      <c r="C52" s="56"/>
      <c r="D52" s="35">
        <v>0</v>
      </c>
      <c r="E52" s="35">
        <v>0</v>
      </c>
    </row>
    <row r="53" spans="1:6" ht="50">
      <c r="A53" s="58" t="s">
        <v>566</v>
      </c>
      <c r="B53" s="111" t="s">
        <v>256</v>
      </c>
      <c r="C53" s="56"/>
      <c r="D53" s="35">
        <v>16180715184</v>
      </c>
      <c r="E53" s="35">
        <v>26280673284</v>
      </c>
      <c r="F53" s="3"/>
    </row>
    <row r="54" spans="1:6" ht="25">
      <c r="A54" s="55" t="s">
        <v>313</v>
      </c>
      <c r="B54" s="111" t="s">
        <v>257</v>
      </c>
      <c r="C54" s="56"/>
      <c r="D54" s="35">
        <v>0</v>
      </c>
      <c r="E54" s="35">
        <v>0</v>
      </c>
      <c r="F54" s="3"/>
    </row>
    <row r="55" spans="1:6" ht="25">
      <c r="A55" s="52" t="s">
        <v>314</v>
      </c>
      <c r="B55" s="53" t="s">
        <v>258</v>
      </c>
      <c r="C55" s="54"/>
      <c r="D55" s="188">
        <v>328212527630</v>
      </c>
      <c r="E55" s="188">
        <v>108184025369</v>
      </c>
      <c r="F55" s="3"/>
    </row>
    <row r="56" spans="1:6" ht="25">
      <c r="A56" s="55" t="s">
        <v>362</v>
      </c>
      <c r="B56" s="111" t="s">
        <v>259</v>
      </c>
      <c r="C56" s="56"/>
      <c r="D56" s="35">
        <v>328212527630</v>
      </c>
      <c r="E56" s="35">
        <v>108184025369</v>
      </c>
      <c r="F56" s="3"/>
    </row>
    <row r="57" spans="1:6" ht="37.5">
      <c r="A57" s="55" t="s">
        <v>360</v>
      </c>
      <c r="B57" s="111" t="s">
        <v>260</v>
      </c>
      <c r="C57" s="56"/>
      <c r="D57" s="35">
        <v>302070953101</v>
      </c>
      <c r="E57" s="35">
        <v>92003310185</v>
      </c>
      <c r="F57" s="3"/>
    </row>
    <row r="58" spans="1:6" ht="25">
      <c r="A58" s="59" t="s">
        <v>361</v>
      </c>
      <c r="B58" s="60" t="s">
        <v>261</v>
      </c>
      <c r="C58" s="56"/>
      <c r="D58" s="35">
        <v>302070953101</v>
      </c>
      <c r="E58" s="35">
        <v>92003310185</v>
      </c>
      <c r="F58" s="3"/>
    </row>
    <row r="59" spans="1:6" ht="25">
      <c r="A59" s="61" t="s">
        <v>565</v>
      </c>
      <c r="B59" s="60" t="s">
        <v>262</v>
      </c>
      <c r="C59" s="56"/>
      <c r="D59" s="35">
        <v>0</v>
      </c>
      <c r="E59" s="35">
        <v>0</v>
      </c>
      <c r="F59" s="3"/>
    </row>
    <row r="60" spans="1:6" s="3" customFormat="1" ht="25">
      <c r="A60" s="59" t="s">
        <v>21</v>
      </c>
      <c r="B60" s="60" t="s">
        <v>263</v>
      </c>
      <c r="C60" s="56"/>
      <c r="D60" s="35">
        <v>0</v>
      </c>
      <c r="E60" s="35">
        <v>0</v>
      </c>
    </row>
    <row r="61" spans="1:6" s="3" customFormat="1" ht="50">
      <c r="A61" s="58" t="s">
        <v>566</v>
      </c>
      <c r="B61" s="111" t="s">
        <v>264</v>
      </c>
      <c r="C61" s="56"/>
      <c r="D61" s="35">
        <v>26141574529</v>
      </c>
      <c r="E61" s="35">
        <v>16180715184</v>
      </c>
    </row>
    <row r="62" spans="1:6" ht="25">
      <c r="A62" s="55" t="s">
        <v>315</v>
      </c>
      <c r="B62" s="111" t="s">
        <v>265</v>
      </c>
      <c r="C62" s="56"/>
      <c r="D62" s="35">
        <v>0</v>
      </c>
      <c r="E62" s="35">
        <v>0</v>
      </c>
    </row>
    <row r="63" spans="1:6" ht="37.5">
      <c r="A63" s="52" t="s">
        <v>316</v>
      </c>
      <c r="B63" s="53" t="s">
        <v>266</v>
      </c>
      <c r="C63" s="54"/>
      <c r="D63" s="188">
        <v>220028502261</v>
      </c>
      <c r="E63" s="188">
        <v>-267822849608</v>
      </c>
    </row>
    <row r="64" spans="1:6" ht="25.15" customHeight="1">
      <c r="A64" s="52" t="s">
        <v>317</v>
      </c>
      <c r="B64" s="53" t="s">
        <v>267</v>
      </c>
      <c r="C64" s="54"/>
      <c r="D64" s="188">
        <v>0</v>
      </c>
      <c r="E64" s="188">
        <v>0</v>
      </c>
    </row>
    <row r="65" spans="1:5">
      <c r="A65" s="141"/>
      <c r="B65" s="141"/>
      <c r="C65" s="141"/>
      <c r="D65" s="141"/>
      <c r="E65" s="141"/>
    </row>
    <row r="66" spans="1:5">
      <c r="A66" s="141"/>
      <c r="B66" s="141"/>
      <c r="C66" s="141"/>
      <c r="D66" s="141"/>
      <c r="E66" s="141"/>
    </row>
    <row r="67" spans="1:5">
      <c r="A67" s="179" t="s">
        <v>231</v>
      </c>
      <c r="B67" s="178"/>
      <c r="C67" s="237" t="s">
        <v>232</v>
      </c>
      <c r="D67" s="237"/>
      <c r="E67" s="237"/>
    </row>
    <row r="68" spans="1:5">
      <c r="A68" s="141"/>
      <c r="B68" s="141"/>
      <c r="C68" s="141"/>
      <c r="D68" s="141"/>
      <c r="E68" s="141"/>
    </row>
    <row r="69" spans="1:5">
      <c r="A69" s="141"/>
      <c r="B69" s="141"/>
      <c r="C69" s="141"/>
      <c r="D69" s="141"/>
      <c r="E69" s="141"/>
    </row>
    <row r="70" spans="1:5">
      <c r="A70" s="141"/>
      <c r="B70" s="141"/>
      <c r="C70" s="141"/>
      <c r="D70" s="141"/>
      <c r="E70" s="141"/>
    </row>
    <row r="71" spans="1:5">
      <c r="A71" s="141"/>
      <c r="B71" s="141"/>
      <c r="C71" s="141"/>
      <c r="D71" s="141"/>
      <c r="E71" s="141"/>
    </row>
    <row r="72" spans="1:5">
      <c r="A72" s="141"/>
      <c r="B72" s="141"/>
      <c r="C72" s="141"/>
      <c r="D72" s="141"/>
      <c r="E72" s="141"/>
    </row>
    <row r="73" spans="1:5">
      <c r="A73" s="141"/>
      <c r="B73" s="141"/>
      <c r="C73" s="141"/>
      <c r="D73" s="141"/>
      <c r="E73" s="141"/>
    </row>
    <row r="74" spans="1:5">
      <c r="A74" s="141"/>
      <c r="B74" s="141"/>
      <c r="C74" s="141"/>
      <c r="D74" s="141"/>
      <c r="E74" s="141"/>
    </row>
    <row r="75" spans="1:5">
      <c r="A75" s="141" t="s">
        <v>492</v>
      </c>
      <c r="B75" s="228" t="s">
        <v>490</v>
      </c>
      <c r="C75" s="228"/>
      <c r="D75" s="228"/>
      <c r="E75" s="141" t="s">
        <v>493</v>
      </c>
    </row>
    <row r="76" spans="1:5" ht="16.899999999999999" customHeight="1">
      <c r="A76" s="140" t="s">
        <v>1322</v>
      </c>
      <c r="B76" s="220" t="s">
        <v>1317</v>
      </c>
      <c r="C76" s="220"/>
      <c r="D76" s="220"/>
      <c r="E76" s="140" t="s">
        <v>1319</v>
      </c>
    </row>
    <row r="77" spans="1:5" ht="16.899999999999999" customHeight="1">
      <c r="A77" s="141" t="s">
        <v>1318</v>
      </c>
      <c r="B77" s="228" t="s">
        <v>1321</v>
      </c>
      <c r="C77" s="228"/>
      <c r="D77" s="228"/>
      <c r="E77" s="141" t="s">
        <v>1320</v>
      </c>
    </row>
  </sheetData>
  <mergeCells count="16">
    <mergeCell ref="B77:D77"/>
    <mergeCell ref="B76:D76"/>
    <mergeCell ref="B9:E9"/>
    <mergeCell ref="B10:E10"/>
    <mergeCell ref="B11:E11"/>
    <mergeCell ref="B12:E12"/>
    <mergeCell ref="B13:E13"/>
    <mergeCell ref="B14:E14"/>
    <mergeCell ref="B75:D75"/>
    <mergeCell ref="C67:E67"/>
    <mergeCell ref="B8:E8"/>
    <mergeCell ref="A1:E1"/>
    <mergeCell ref="A2:E2"/>
    <mergeCell ref="A3:E3"/>
    <mergeCell ref="A4:E4"/>
    <mergeCell ref="B7:E7"/>
  </mergeCells>
  <printOptions horizontalCentered="1"/>
  <pageMargins left="0.3" right="0.3" top="0.8" bottom="0.75" header="0.3" footer="0.3"/>
  <pageSetup paperSize="9" scale="68" fitToHeight="0" orientation="portrait" r:id="rId1"/>
  <headerFooter>
    <oddHeader>&amp;L&amp;"Arial"&amp;9&amp;KA80000CONFIDENTIAL&amp;1#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Ma8idf0At5WGwi8Xu/UieDS3x+NQeAsF+3dpQu1C4Cw=</DigestValue>
    </Reference>
    <Reference Type="http://www.w3.org/2000/09/xmldsig#Object" URI="#idOfficeObject">
      <DigestMethod Algorithm="http://www.w3.org/2001/04/xmlenc#sha256"/>
      <DigestValue>nsAkZDkfs12rw5g8IfVJz1S/YshYLD7xUXSBKVmRRNc=</DigestValue>
    </Reference>
    <Reference Type="http://uri.etsi.org/01903#SignedProperties" URI="#idSignedProperties">
      <Transforms>
        <Transform Algorithm="http://www.w3.org/TR/2001/REC-xml-c14n-20010315"/>
      </Transforms>
      <DigestMethod Algorithm="http://www.w3.org/2001/04/xmlenc#sha256"/>
      <DigestValue>pE37xBJ+biCRvpEC919Ma12uappMYbNjOvdGjrUTEO4=</DigestValue>
    </Reference>
  </SignedInfo>
  <SignatureValue>QIeunb7wDCmG9Et349hFqAWZaAo4cx75Sq7uaYh0gJeUdnTO7PFzrbu5tZssCgnMQ5UtOTM+6g+M
4XjoGcp0I9eE0L8I8ooMPZZzCjdfTRpsm+QFYobOu0cSQOt4MxKDo42KUlXXzy9H0oZ5hPnu1cUv
Sl7SaqX9aR7TeF1kRxaffWK7wC1BOuSYn9VAsqKMkLSRkTWFmbpR6u09NRLYfK/8AS9sySr4VgBb
uu5QX9CCai2KkamEmZz2svcXo2T1z8Hxl6Wd9dvgC97cbzlI/BtthBRZdE94pULo3U/JIKGbMJ2Z
s5BJHOSjiJtGFKLGMemcHhlIkPA5mXo5sj2j7w==</SignatureValue>
  <KeyInfo>
    <X509Data>
      <X509Certificate>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aRZCn3d/e/0dC9LXbmjK8y1U0GNXd0hGXK61yTefeC3iBmtJmivOuK68ghaQasMZAlm9L+lDOCwSzI0YK2NnpW0qBKVwlHbqlOBFE92gYwh+b9R6UUC9oqZwm7T3Ojj2YN7N6ConEVadLNz1VLf9fnLohIfnP51s8G8IhToXwjgBXeGmwonj5zwJcaELjkpyN12wJeyoAl+FUHZsiz6Od60C2zA6qKM5It8QvDXujT+WRu0D5Xnq5z5lqARH55ho+w+Tka2/DeSa+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6/jSbNvjfzdO7IQuTZ5Y+e+TMA4GA1UdDwEB/wQEAwIE8DANBgkqhkiG9w0BAQsFAAOCAQEAIRT2RnH3jtyCAEi7/OVMF7QJ/KeXL1QN0sy1LXtAiieUVBIJ3pdK7VcFZabPNh6ch3vhUvrACZXydYGD6VjSJ7MIqBB3aUBTYxxkF+c093IGMFZxfdJW+1HJU98r0v1A0csgPXs6YVOc7V4aSGEQsEj60nC6du4HbXsoCNABmuWG3xjNP1/Ga69jmMgrqKxxwb8cD3x01os96iv4JEd9iUy8uZfus0kPS6iws0s98pYeUQEdvEQf6HdtOnyTMF7Xp1yft8DMqY+GPfS1wefIVEu/0dTDpkaVbhht/p6IhadfNXO8luR+YfveYYLK6Wn+7vr3+PD8kOqyv2eykWjj0w==</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lrVg9fRbRhzj3L8+QGHmJxgMb7HDoVSIZJmZnPkf+bw=</DigestValue>
      </Reference>
      <Reference URI="/xl/calcChain.xml?ContentType=application/vnd.openxmlformats-officedocument.spreadsheetml.calcChain+xml">
        <DigestMethod Algorithm="http://www.w3.org/2001/04/xmlenc#sha256"/>
        <DigestValue>J2a55yI3s3UFdTwBplero1ScJK2PIubQV9FaHccLhbo=</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UHKJRGge111kvmQoo/54PubBE11mqkY2yaY4jR2wk48=</DigestValue>
      </Reference>
      <Reference URI="/xl/drawings/drawing2.xml?ContentType=application/vnd.openxmlformats-officedocument.drawing+xml">
        <DigestMethod Algorithm="http://www.w3.org/2001/04/xmlenc#sha256"/>
        <DigestValue>zsXcxOtTyD62nYP+ZzsPV99Ro++WU8gleiDlpOmmOKU=</DigestValue>
      </Reference>
      <Reference URI="/xl/drawings/drawing3.xml?ContentType=application/vnd.openxmlformats-officedocument.drawing+xml">
        <DigestMethod Algorithm="http://www.w3.org/2001/04/xmlenc#sha256"/>
        <DigestValue>gPkiEzulo5VQW6hiRNNGwHlaJDriYCmvHgly0g+T7fI=</DigestValue>
      </Reference>
      <Reference URI="/xl/drawings/drawing4.xml?ContentType=application/vnd.openxmlformats-officedocument.drawing+xml">
        <DigestMethod Algorithm="http://www.w3.org/2001/04/xmlenc#sha256"/>
        <DigestValue>lwnjcZMXKKusxlUkh1C/3kJeFOTCYImwtNpDs7X4qUs=</DigestValue>
      </Reference>
      <Reference URI="/xl/drawings/drawing5.xml?ContentType=application/vnd.openxmlformats-officedocument.drawing+xml">
        <DigestMethod Algorithm="http://www.w3.org/2001/04/xmlenc#sha256"/>
        <DigestValue>fDFKrjEcFe3ER8/twEQAYtGKbgLAdylw9HpEDXcoBwA=</DigestValue>
      </Reference>
      <Reference URI="/xl/drawings/drawing6.xml?ContentType=application/vnd.openxmlformats-officedocument.drawing+xml">
        <DigestMethod Algorithm="http://www.w3.org/2001/04/xmlenc#sha256"/>
        <DigestValue>XrpA50OXOzlzV6K6GZqjJ2fs5/GzHGpZAk3zFxi1WKI=</DigestValue>
      </Reference>
      <Reference URI="/xl/drawings/drawing7.xml?ContentType=application/vnd.openxmlformats-officedocument.drawing+xml">
        <DigestMethod Algorithm="http://www.w3.org/2001/04/xmlenc#sha256"/>
        <DigestValue>4JDaFsxFF+2rMASU5scMPbyLz97BDThkLFwjyIxaAgM=</DigestValue>
      </Reference>
      <Reference URI="/xl/drawings/drawing8.xml?ContentType=application/vnd.openxmlformats-officedocument.drawing+xml">
        <DigestMethod Algorithm="http://www.w3.org/2001/04/xmlenc#sha256"/>
        <DigestValue>rddZ9KCcwgcVHDtHfGwAwVeexcTswN/NdNx9UtrhbO8=</DigestValue>
      </Reference>
      <Reference URI="/xl/drawings/vmlDrawing1.vml?ContentType=application/vnd.openxmlformats-officedocument.vmlDrawing">
        <DigestMethod Algorithm="http://www.w3.org/2001/04/xmlenc#sha256"/>
        <DigestValue>efPx/oSoBdlWsQhUnobgpYpvm2TxYK2gzWI5Sbw6Rdc=</DigestValue>
      </Reference>
      <Reference URI="/xl/drawings/vmlDrawing2.vml?ContentType=application/vnd.openxmlformats-officedocument.vmlDrawing">
        <DigestMethod Algorithm="http://www.w3.org/2001/04/xmlenc#sha256"/>
        <DigestValue>phKQPsHWq1T10jVdPg6/HQHKpfR55JmJNPpGTCYL/Vo=</DigestValue>
      </Reference>
      <Reference URI="/xl/drawings/vmlDrawing3.vml?ContentType=application/vnd.openxmlformats-officedocument.vmlDrawing">
        <DigestMethod Algorithm="http://www.w3.org/2001/04/xmlenc#sha256"/>
        <DigestValue>EX4l6cBcGZ9vTkmQ9C/K4ZwPQc7AgtHashIl0MG7IYM=</DigestValue>
      </Reference>
      <Reference URI="/xl/drawings/vmlDrawing4.vml?ContentType=application/vnd.openxmlformats-officedocument.vmlDrawing">
        <DigestMethod Algorithm="http://www.w3.org/2001/04/xmlenc#sha256"/>
        <DigestValue>V9CeO+DSi6Z6HEWkUScJniWYY6hYqiWdy4VTuxxjwJo=</DigestValue>
      </Reference>
      <Reference URI="/xl/drawings/vmlDrawing5.vml?ContentType=application/vnd.openxmlformats-officedocument.vmlDrawing">
        <DigestMethod Algorithm="http://www.w3.org/2001/04/xmlenc#sha256"/>
        <DigestValue>iwcMZtXSDwDpPtE5M7r76Pler07oUBZQ6OqIkuRBlRk=</DigestValue>
      </Reference>
      <Reference URI="/xl/drawings/vmlDrawing6.vml?ContentType=application/vnd.openxmlformats-officedocument.vmlDrawing">
        <DigestMethod Algorithm="http://www.w3.org/2001/04/xmlenc#sha256"/>
        <DigestValue>k8ySGGDFz5J8KjBXMbuUkECMUASWjOUzc9/GblFAI4w=</DigestValue>
      </Reference>
      <Reference URI="/xl/drawings/vmlDrawing7.vml?ContentType=application/vnd.openxmlformats-officedocument.vmlDrawing">
        <DigestMethod Algorithm="http://www.w3.org/2001/04/xmlenc#sha256"/>
        <DigestValue>gXRAv4yCGnVL9HT4j1kew5D1ANT5CVnIoOp8k/KDkQU=</DigestValue>
      </Reference>
      <Reference URI="/xl/drawings/vmlDrawing8.vml?ContentType=application/vnd.openxmlformats-officedocument.vmlDrawing">
        <DigestMethod Algorithm="http://www.w3.org/2001/04/xmlenc#sha256"/>
        <DigestValue>qwS1IZSCiGbmsbrm5EfQL9vB/HK8g6eSPVIGJhN9l1A=</DigestValue>
      </Reference>
      <Reference URI="/xl/media/image1.emf?ContentType=image/x-emf">
        <DigestMethod Algorithm="http://www.w3.org/2001/04/xmlenc#sha256"/>
        <DigestValue>67UYaaoqezHGaidrIQkJ6bV/w6wh4EVDFpJNAgsZ9XU=</DigestValue>
      </Reference>
      <Reference URI="/xl/media/image2.emf?ContentType=image/x-emf">
        <DigestMethod Algorithm="http://www.w3.org/2001/04/xmlenc#sha256"/>
        <DigestValue>67UYaaoqezHGaidrIQkJ6bV/w6wh4EVDFpJNAgsZ9XU=</DigestValue>
      </Reference>
      <Reference URI="/xl/printerSettings/printerSettings1.bin?ContentType=application/vnd.openxmlformats-officedocument.spreadsheetml.printerSettings">
        <DigestMethod Algorithm="http://www.w3.org/2001/04/xmlenc#sha256"/>
        <DigestValue>pVygNqgRPJZaAR3O9e6zmcQgrrkvjS6KKLq2Hhea6+c=</DigestValue>
      </Reference>
      <Reference URI="/xl/printerSettings/printerSettings2.bin?ContentType=application/vnd.openxmlformats-officedocument.spreadsheetml.printerSettings">
        <DigestMethod Algorithm="http://www.w3.org/2001/04/xmlenc#sha256"/>
        <DigestValue>w3TDG6ZnaPuQyCavUcPcC0tOI28n0T2aitMBRQqcavY=</DigestValue>
      </Reference>
      <Reference URI="/xl/printerSettings/printerSettings3.bin?ContentType=application/vnd.openxmlformats-officedocument.spreadsheetml.printerSettings">
        <DigestMethod Algorithm="http://www.w3.org/2001/04/xmlenc#sha256"/>
        <DigestValue>A9CBWiaTu3OOF5Lo4MU7IuHZPnZAVwixPNge80czUF4=</DigestValue>
      </Reference>
      <Reference URI="/xl/printerSettings/printerSettings4.bin?ContentType=application/vnd.openxmlformats-officedocument.spreadsheetml.printerSettings">
        <DigestMethod Algorithm="http://www.w3.org/2001/04/xmlenc#sha256"/>
        <DigestValue>ysebRnZssH/fDJrYigsnavePNddGWPSqPL1w3QPVWAM=</DigestValue>
      </Reference>
      <Reference URI="/xl/printerSettings/printerSettings5.bin?ContentType=application/vnd.openxmlformats-officedocument.spreadsheetml.printerSettings">
        <DigestMethod Algorithm="http://www.w3.org/2001/04/xmlenc#sha256"/>
        <DigestValue>ysebRnZssH/fDJrYigsnavePNddGWPSqPL1w3QPVWAM=</DigestValue>
      </Reference>
      <Reference URI="/xl/printerSettings/printerSettings6.bin?ContentType=application/vnd.openxmlformats-officedocument.spreadsheetml.printerSettings">
        <DigestMethod Algorithm="http://www.w3.org/2001/04/xmlenc#sha256"/>
        <DigestValue>A9CBWiaTu3OOF5Lo4MU7IuHZPnZAVwixPNge80czUF4=</DigestValue>
      </Reference>
      <Reference URI="/xl/printerSettings/printerSettings7.bin?ContentType=application/vnd.openxmlformats-officedocument.spreadsheetml.printerSettings">
        <DigestMethod Algorithm="http://www.w3.org/2001/04/xmlenc#sha256"/>
        <DigestValue>A9CBWiaTu3OOF5Lo4MU7IuHZPnZAVwixPNge80czUF4=</DigestValue>
      </Reference>
      <Reference URI="/xl/printerSettings/printerSettings8.bin?ContentType=application/vnd.openxmlformats-officedocument.spreadsheetml.printerSettings">
        <DigestMethod Algorithm="http://www.w3.org/2001/04/xmlenc#sha256"/>
        <DigestValue>A9CBWiaTu3OOF5Lo4MU7IuHZPnZAVwixPNge80czUF4=</DigestValue>
      </Reference>
      <Reference URI="/xl/printerSettings/printerSettings9.bin?ContentType=application/vnd.openxmlformats-officedocument.spreadsheetml.printerSettings">
        <DigestMethod Algorithm="http://www.w3.org/2001/04/xmlenc#sha256"/>
        <DigestValue>ysebRnZssH/fDJrYigsnavePNddGWPSqPL1w3QPVWAM=</DigestValue>
      </Reference>
      <Reference URI="/xl/sharedStrings.xml?ContentType=application/vnd.openxmlformats-officedocument.spreadsheetml.sharedStrings+xml">
        <DigestMethod Algorithm="http://www.w3.org/2001/04/xmlenc#sha256"/>
        <DigestValue>FMzUal5JM2f5lKxqBV8wNBE/ySCkFo2M7Zj6rbifrp4=</DigestValue>
      </Reference>
      <Reference URI="/xl/styles.xml?ContentType=application/vnd.openxmlformats-officedocument.spreadsheetml.styles+xml">
        <DigestMethod Algorithm="http://www.w3.org/2001/04/xmlenc#sha256"/>
        <DigestValue>ybroimj9QlZKGeNIzzHBByFH9hv+pPWbmRslQipwTTQ=</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WVL0hvXH9LXKzdhm+Tr+hqTD7e7xYEdjnB6L9/ke0j4=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7/M1cFwb3qEwTMMP0qLBaUOwqTcpSH20ChLupG1V8N8=</DigestValue>
      </Reference>
      <Reference URI="/xl/worksheets/sheet2.xml?ContentType=application/vnd.openxmlformats-officedocument.spreadsheetml.worksheet+xml">
        <DigestMethod Algorithm="http://www.w3.org/2001/04/xmlenc#sha256"/>
        <DigestValue>iDy3Dd1QCX5UaLg0BTuDiaWgcQMgNreDSQb5ZL+gtQE=</DigestValue>
      </Reference>
      <Reference URI="/xl/worksheets/sheet3.xml?ContentType=application/vnd.openxmlformats-officedocument.spreadsheetml.worksheet+xml">
        <DigestMethod Algorithm="http://www.w3.org/2001/04/xmlenc#sha256"/>
        <DigestValue>eVUSjm9MBTlvvVpJZGNfxYSxQzuPRc5ZJeVMbt5Isw4=</DigestValue>
      </Reference>
      <Reference URI="/xl/worksheets/sheet4.xml?ContentType=application/vnd.openxmlformats-officedocument.spreadsheetml.worksheet+xml">
        <DigestMethod Algorithm="http://www.w3.org/2001/04/xmlenc#sha256"/>
        <DigestValue>YxFjWdS7cfkfvlogJu9CmuahfXOmDBcapu3ddgD+twI=</DigestValue>
      </Reference>
      <Reference URI="/xl/worksheets/sheet5.xml?ContentType=application/vnd.openxmlformats-officedocument.spreadsheetml.worksheet+xml">
        <DigestMethod Algorithm="http://www.w3.org/2001/04/xmlenc#sha256"/>
        <DigestValue>whgUQ8f4Qx2RDALp06QqvY7YlJKuv6q0Z96soRJGi9s=</DigestValue>
      </Reference>
      <Reference URI="/xl/worksheets/sheet6.xml?ContentType=application/vnd.openxmlformats-officedocument.spreadsheetml.worksheet+xml">
        <DigestMethod Algorithm="http://www.w3.org/2001/04/xmlenc#sha256"/>
        <DigestValue>20kjjl6MlvD0TjfEMx2h7/FVm3VTHw2Dc368GRapqng=</DigestValue>
      </Reference>
      <Reference URI="/xl/worksheets/sheet7.xml?ContentType=application/vnd.openxmlformats-officedocument.spreadsheetml.worksheet+xml">
        <DigestMethod Algorithm="http://www.w3.org/2001/04/xmlenc#sha256"/>
        <DigestValue>AuqEluZKEsyOuGrrKVwo3FjRayO59J/egt2QKWQaq2E=</DigestValue>
      </Reference>
      <Reference URI="/xl/worksheets/sheet8.xml?ContentType=application/vnd.openxmlformats-officedocument.spreadsheetml.worksheet+xml">
        <DigestMethod Algorithm="http://www.w3.org/2001/04/xmlenc#sha256"/>
        <DigestValue>oUmpAD4IUJOWdylMSR24b/SSEY/2pWOy/Cd70QY7MZk=</DigestValue>
      </Reference>
      <Reference URI="/xl/worksheets/sheet9.xml?ContentType=application/vnd.openxmlformats-officedocument.spreadsheetml.worksheet+xml">
        <DigestMethod Algorithm="http://www.w3.org/2001/04/xmlenc#sha256"/>
        <DigestValue>6uqmmbCys83GGCEOhlSwaOzmOtZrDxJ1vokNG95oxDk=</DigestValue>
      </Reference>
    </Manifest>
    <SignatureProperties>
      <SignatureProperty Id="idSignatureTime" Target="#idPackageSignature">
        <mdssi:SignatureTime xmlns:mdssi="http://schemas.openxmlformats.org/package/2006/digital-signature">
          <mdssi:Format>YYYY-MM-DDThh:mm:ssTZD</mdssi:Format>
          <mdssi:Value>2025-10-13T09:13:22Z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16.0.18526/26</OfficeVersion>
          <ApplicationVersion>16.0.18526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2025-10-13T09:13:22Z</xd:SigningTime>
          <xd:SigningCertificate>
            <xd:Cert>
              <xd:CertDigest>
                <DigestMethod Algorithm="http://www.w3.org/2001/04/xmlenc#sha256"/>
                <DigestValue>SJZh1XnsmJJuz5DKVtZMIE9NPjYTPv+t3yVqiLprUQM=</DigestValue>
              </xd:CertDigest>
              <xd:IssuerSerial>
                <X509IssuerName>CN=FPT Certification Authority SHA256, OU=FPT IS COMPANY LIMITED, O=FPT CORPORATION, C=VN</X509IssuerName>
                <X509SerialNumber>111660364565054216409129186670217462846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TDCCBDSgAwIBAgIQbBRvLxgk/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XRLAf9zkYyDfwZN+3ToqLjS1zUUGoSDeb0Zi6uLK04REM4wLACCBcXB6i8asDUcKAmyPfO6KV02wxGkVJuA4fipxmoQ4axiisRjcVDJUxmx6709OkDwZeu5+Wpqb5mAI+4Vvsi3UUb0xBMjQDKtepWyiFMONa+WV0PT5Z7FI6e82y8ZMlaIBAim+eDiWUr0FKD0a8UnPBzDaRtYU8xcxRBECxrGqRJOkQZog+X1Jq8tqsBEkCzlwgfly0OKp1qkkyRYud3PJGi80YuL5nQCoGZQRGu6Ns33j4/e2CBalCMVgV7GUochXoAHNoCbTXrlQHzmhd6OkAUy1WjwIDAQABo4IBpzCCAaMwgeAGA1UdIwSB2DCB1YAUfvCH7bG4nfsIg2+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BAgwBgEB/wIBADA3BgNVHR8EMDAuMCygKqAohiZodHRwczovL3Jvb3RjYS5nb3Yudm4vY3JsL3ZucmNhMjU2LmNybDANBgkqhkiG9w0BAQsFAAOCAgEAA2EwAMJEbyep1sKGJW1DgOBLlUVlPWz9pZC5D8tecRnpOWveS6JUuWAIrwwSpMMpS1vOjcI9J/2dbZNI8g5Jq4mbkP7oP4EwKf9fh4QF+lHj21gyzsEe9VP4/2gG1GkoEAXSOkWLuTrjW7PCM8z//jLxo+kIn5i1sC65eKtLhuyLgS847Dyrb5Z90gZZ3kpTICNBxpYlDqKJ9eXHSnGWp07V6toxPR0mdZxXXCgoBP7ERkERf6xztrdzRv35Sch5l5y4rlqz4HR4pZTkrzNqZt69dYwp2e7cxgpnD4kSbU9OtGXeANdpV89Oko+Iw4pgLpi7OYQvnmVjhILSfTEOPCW80im5qVAgLK4ndjGgzR4prO/kZMgtB4FjwJHjAH7Om1pKpVTT2KqAx2YQLftsFLXewsdEvjLlmimZ1A6BDA87fPkJESksPnXPEDqI8zb1+ElXIFXWX+1WyWO1QkG5z87GWZOZQhCQyyMzaq5G/DvVAO4Q1Uh5psRhioPc3YYTK9ZxHRcEUU3cSzMnN7KnbgG1DwCBk4CT6D7mtxFe1czhEB/97hI/eLuRvK9x1AS+zn1j+AOTqQn8eOzx7KYFqJI3s5AkFSEEuXRnEN7bBBteQt+jJqsRprjF9+pWvWVqqLMjsUfulK2odUp93ZO/0hjmoFvjWkzO268rMDBborE=</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TONGQUAN</vt:lpstr>
      <vt:lpstr>BCHoatDongVay_06026</vt:lpstr>
      <vt:lpstr>BCTaiSan_06027</vt:lpstr>
      <vt:lpstr>BCKetQuaHoatDong_06028</vt:lpstr>
      <vt:lpstr>BCDanhMucDauTu_06029</vt:lpstr>
      <vt:lpstr>Khac_06030</vt:lpstr>
      <vt:lpstr>BCTinhHinhTaiChinh_06105</vt:lpstr>
      <vt:lpstr>BCThuNhap_06203</vt:lpstr>
      <vt:lpstr>BCLCGT_06262</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Linh, Nguyen Thuy</cp:lastModifiedBy>
  <cp:lastPrinted>2022-10-21T09:56:46Z</cp:lastPrinted>
  <dcterms:created xsi:type="dcterms:W3CDTF">2019-03-13T13:30:00Z</dcterms:created>
  <dcterms:modified xsi:type="dcterms:W3CDTF">2025-10-13T09:13:19Z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