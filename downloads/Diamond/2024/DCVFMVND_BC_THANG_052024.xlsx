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F119" i="14" l="1"/>
  <c r="E119" i="14"/>
  <c r="F115" i="14"/>
  <c r="E115" i="14"/>
  <c r="F111" i="14"/>
  <c r="E111" i="14"/>
  <c r="F103" i="14"/>
  <c r="F100" i="14" s="1"/>
  <c r="E103" i="14"/>
  <c r="E100" i="14" s="1"/>
  <c r="F89" i="14"/>
  <c r="F87" i="14" s="1"/>
  <c r="E89" i="14"/>
  <c r="E87" i="14" s="1"/>
  <c r="E109" i="14" s="1"/>
  <c r="F77" i="14"/>
  <c r="E77" i="14"/>
  <c r="F72" i="14"/>
  <c r="E72" i="14"/>
  <c r="F58" i="14"/>
  <c r="F56" i="14" s="1"/>
  <c r="E58" i="14"/>
  <c r="E56" i="14" s="1"/>
  <c r="F50" i="14"/>
  <c r="E50" i="14"/>
  <c r="F43" i="14"/>
  <c r="E43" i="14"/>
  <c r="F42" i="14"/>
  <c r="E42" i="14"/>
  <c r="E39" i="14" s="1"/>
  <c r="F28" i="14"/>
  <c r="F27" i="14" s="1"/>
  <c r="E28" i="14"/>
  <c r="E27" i="14" s="1"/>
  <c r="F20" i="14"/>
  <c r="F19" i="14" s="1"/>
  <c r="E20" i="14"/>
  <c r="E19" i="14" s="1"/>
  <c r="G76" i="13"/>
  <c r="F76" i="13"/>
  <c r="E76" i="13"/>
  <c r="D76" i="13"/>
  <c r="G60" i="13"/>
  <c r="F60" i="13"/>
  <c r="E60" i="13"/>
  <c r="D60" i="13"/>
  <c r="G53" i="13"/>
  <c r="F53" i="13"/>
  <c r="E53" i="13"/>
  <c r="D53" i="13"/>
  <c r="G26" i="13"/>
  <c r="F26" i="13"/>
  <c r="E26" i="13"/>
  <c r="D26" i="13"/>
  <c r="G23" i="13"/>
  <c r="F23" i="13"/>
  <c r="E23" i="13"/>
  <c r="D23" i="13"/>
  <c r="G20" i="13"/>
  <c r="F20" i="13"/>
  <c r="E20" i="13"/>
  <c r="D20" i="13"/>
  <c r="F39" i="14" l="1"/>
  <c r="F66" i="14" s="1"/>
  <c r="D19" i="13"/>
  <c r="G19" i="13"/>
  <c r="F19" i="13"/>
  <c r="D75" i="13"/>
  <c r="D79" i="13" s="1"/>
  <c r="D83" i="13" s="1"/>
  <c r="G75" i="13"/>
  <c r="G79" i="13" s="1"/>
  <c r="G83" i="13" s="1"/>
  <c r="E19" i="13"/>
  <c r="E75" i="13" s="1"/>
  <c r="E79" i="13" s="1"/>
  <c r="E83" i="13" s="1"/>
  <c r="E66" i="14"/>
  <c r="E110" i="14" s="1"/>
  <c r="F109" i="14"/>
  <c r="F75" i="13" l="1"/>
  <c r="F79" i="13" s="1"/>
  <c r="F83" i="13" s="1"/>
  <c r="F110" i="14"/>
</calcChain>
</file>

<file path=xl/sharedStrings.xml><?xml version="1.0" encoding="utf-8"?>
<sst xmlns="http://schemas.openxmlformats.org/spreadsheetml/2006/main" count="1430" uniqueCount="1072">
  <si>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</si>
  <si>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</si>
  <si>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</si>
  <si>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05 năm 2024 / May 2024</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</si>
  <si>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</si>
  <si>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</si>
  <si>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</si>
  <si>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</si>
  <si>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</si>
  <si>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</si>
  <si>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</si>
  <si>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</si>
  <si>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</si>
  <si>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</si>
  <si>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</si>
  <si>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</si>
  <si>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</si>
  <si>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</si>
  <si>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</si>
  <si>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</si>
  <si>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</si>
  <si>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</si>
  <si>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</si>
  <si>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</si>
  <si>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</si>
  <si>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</si>
  <si>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</si>
  <si>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</si>
  <si>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05  năm2024 
As at 31 May 2024</t>
  </si>
  <si>
    <t>Tại ngày 30 tháng 04  năm 2024 
As at 30 Apr 2024</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</si>
  <si>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</si>
  <si>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</si>
  <si>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</si>
  <si>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</si>
  <si>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</si>
  <si>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</si>
  <si>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</si>
  <si>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</si>
  <si>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</si>
  <si>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</si>
  <si>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</si>
  <si>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</si>
  <si>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</si>
  <si>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</si>
  <si>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</si>
  <si>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</si>
  <si>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</si>
  <si>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</si>
  <si>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</si>
  <si>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</si>
  <si>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</si>
  <si>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</si>
  <si>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</si>
  <si>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</si>
  <si>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</si>
  <si>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</si>
  <si>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</si>
  <si>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</si>
  <si>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</si>
  <si>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</si>
  <si>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</si>
  <si>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</si>
  <si>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</si>
  <si>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</si>
  <si>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</si>
  <si>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</si>
  <si>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</si>
  <si>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</si>
  <si>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</si>
  <si>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</si>
  <si>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</si>
  <si>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</si>
  <si>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</si>
  <si>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</si>
  <si>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</si>
  <si>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</si>
  <si>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</si>
  <si>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</si>
  <si>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</si>
  <si>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</si>
  <si>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</si>
  <si>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</si>
  <si>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</si>
  <si>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</si>
  <si>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</si>
  <si>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</si>
  <si>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</si>
  <si>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</si>
  <si>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</si>
  <si>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</si>
  <si>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</si>
  <si>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</si>
  <si>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</si>
  <si>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</si>
  <si>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</si>
  <si>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</si>
  <si>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</si>
  <si>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</si>
  <si>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</si>
  <si>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</si>
  <si>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</si>
  <si>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</si>
  <si>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</si>
  <si>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</si>
  <si>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</si>
  <si>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</si>
  <si>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</si>
  <si>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</si>
  <si>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</si>
  <si>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</si>
  <si>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</si>
  <si>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</si>
  <si>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</si>
  <si>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</si>
  <si>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</si>
  <si>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</si>
  <si>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</si>
  <si>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</si>
  <si>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</si>
  <si>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</si>
  <si>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</si>
  <si>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</si>
  <si>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</si>
  <si>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</si>
  <si>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</si>
  <si>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</si>
  <si>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</si>
  <si>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</si>
  <si>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</si>
  <si>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</si>
  <si>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</si>
  <si>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</si>
  <si>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</si>
  <si>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</si>
  <si>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</si>
  <si>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</si>
  <si>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</si>
  <si>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</si>
  <si>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</si>
  <si>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</si>
  <si>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</si>
  <si>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</si>
  <si>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</si>
  <si>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</si>
  <si>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</si>
  <si>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</si>
  <si>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</si>
  <si>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</si>
  <si>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</si>
  <si>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</si>
  <si>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</si>
  <si>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</si>
  <si>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</si>
  <si>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</si>
  <si>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</si>
  <si>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</si>
  <si>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</si>
  <si>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</si>
  <si>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</si>
  <si>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</si>
  <si>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</si>
  <si>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</si>
  <si>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</si>
  <si>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</si>
  <si>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</si>
  <si>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</si>
  <si>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</si>
  <si>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</si>
  <si>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</si>
  <si>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</si>
  <si>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</si>
  <si>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</si>
  <si>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</si>
  <si>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</si>
  <si>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</si>
  <si>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</si>
  <si>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</si>
  <si>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</si>
  <si>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</si>
  <si>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</si>
  <si>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</si>
  <si>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</si>
  <si>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</si>
  <si>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</si>
  <si>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</si>
  <si>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</si>
  <si>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</si>
  <si>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</si>
  <si>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</si>
  <si>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</si>
  <si>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</si>
  <si>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</si>
  <si>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</si>
  <si>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</si>
  <si>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</si>
  <si>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</si>
  <si>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</si>
  <si>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</si>
  <si>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</si>
  <si>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</si>
  <si>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</si>
  <si>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</si>
  <si>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</si>
  <si>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</si>
  <si>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</si>
  <si>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</si>
  <si>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</si>
  <si>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</si>
  <si>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</si>
  <si>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</si>
  <si>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</si>
  <si>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</si>
  <si>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</si>
  <si>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</si>
  <si>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</si>
  <si>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</si>
  <si>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</si>
  <si>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</si>
  <si>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</si>
  <si>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</si>
  <si>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</si>
  <si>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</si>
  <si>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</si>
  <si>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</si>
  <si>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</si>
  <si>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</si>
  <si>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</si>
  <si>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</si>
  <si>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</si>
  <si>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</si>
  <si>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</si>
  <si>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</si>
  <si>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</si>
  <si>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</si>
  <si>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05 năm 2024
May 2024</t>
  </si>
  <si>
    <t>Tháng 04 năm 2024
Apr 2024</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</si>
  <si>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</si>
  <si>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</si>
  <si>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</si>
  <si>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</si>
  <si>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</si>
  <si>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</si>
  <si>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</si>
  <si>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</si>
  <si>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</si>
  <si>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</si>
  <si>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</si>
  <si>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</si>
  <si>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</si>
  <si>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</si>
  <si>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</si>
  <si>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</si>
  <si>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</si>
  <si>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</si>
  <si>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</si>
  <si>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</si>
  <si>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</si>
  <si>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</si>
  <si>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</si>
  <si>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</si>
  <si>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</si>
  <si>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</si>
  <si>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</si>
  <si>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</si>
  <si>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</si>
  <si>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</si>
  <si>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</si>
  <si>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</si>
  <si>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</si>
  <si>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</si>
  <si>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</si>
  <si>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</si>
  <si>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</si>
  <si>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</si>
  <si>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</si>
  <si>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</si>
  <si>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</si>
  <si>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</si>
  <si>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</si>
  <si>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</si>
  <si>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</si>
  <si>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</si>
  <si>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</si>
  <si>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</si>
  <si>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</si>
  <si>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</si>
  <si>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</si>
  <si>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</si>
  <si>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</si>
  <si>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</si>
  <si>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</si>
  <si>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</si>
  <si>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</si>
  <si>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</si>
  <si>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</si>
  <si>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</si>
  <si>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</si>
  <si>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</si>
  <si>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</si>
  <si>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</si>
  <si>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</si>
  <si>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</si>
  <si>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</si>
  <si>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</si>
  <si>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</si>
  <si>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</si>
  <si>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</si>
  <si>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</si>
  <si>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</si>
  <si>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</si>
  <si>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</si>
  <si>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</si>
  <si>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</si>
  <si>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</si>
  <si>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</si>
  <si>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</si>
  <si>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</si>
  <si>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</si>
  <si>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</si>
  <si>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</si>
  <si>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</si>
  <si>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</si>
  <si>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</si>
  <si>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</si>
  <si>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</si>
  <si>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</si>
  <si>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</si>
  <si>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</si>
  <si>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</si>
  <si>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</si>
  <si>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</si>
  <si>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</si>
  <si>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</si>
  <si>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</si>
  <si>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</si>
  <si>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</si>
  <si>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</si>
  <si>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</si>
  <si>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</si>
  <si>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</si>
  <si>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</si>
  <si>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</si>
  <si>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</si>
  <si>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</si>
  <si>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</si>
  <si>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</si>
  <si>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</si>
  <si>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</si>
  <si>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</si>
  <si>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</si>
  <si>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</si>
  <si>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</si>
  <si>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</si>
  <si>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</si>
  <si>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</si>
  <si>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</si>
  <si>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</si>
  <si>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</si>
  <si>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</si>
  <si>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</si>
  <si>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</si>
  <si>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</si>
  <si>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</si>
  <si>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</si>
  <si>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</si>
  <si>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</si>
  <si>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</si>
  <si>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</si>
  <si>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</si>
  <si>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</si>
  <si>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</si>
  <si>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</si>
  <si>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</si>
  <si>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</si>
  <si>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</si>
  <si>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</si>
  <si>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</si>
  <si>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</si>
  <si>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</si>
  <si>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</si>
  <si>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</si>
  <si>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</si>
  <si>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</si>
  <si>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</si>
  <si>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05 năm 2024 / As at 31 May 2024</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</si>
  <si>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</si>
  <si>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</si>
  <si>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</si>
  <si>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</si>
  <si>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</si>
  <si>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</si>
  <si>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</si>
  <si>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</si>
  <si>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</si>
  <si>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</si>
  <si>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</si>
  <si>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</si>
  <si>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</si>
  <si>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</si>
  <si>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</si>
  <si>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</si>
  <si>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</si>
  <si>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</si>
  <si>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</si>
  <si>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</si>
  <si>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</si>
  <si>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</si>
  <si>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</si>
  <si>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</si>
  <si>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</si>
  <si>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</si>
  <si>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</si>
  <si>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</si>
  <si>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</si>
  <si>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</si>
  <si>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</si>
  <si>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</si>
  <si>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</si>
  <si>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</si>
  <si>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</si>
  <si>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</si>
  <si>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</si>
  <si>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</si>
  <si>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</si>
  <si>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</si>
  <si>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</si>
  <si>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</si>
  <si>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</si>
  <si>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</si>
  <si>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</si>
  <si>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</si>
  <si>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</si>
  <si>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</si>
  <si>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</si>
  <si>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</si>
  <si>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</si>
  <si>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</si>
  <si>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</si>
  <si>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</si>
  <si>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</si>
  <si>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</si>
  <si>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</si>
  <si>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</si>
  <si>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</si>
  <si>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</si>
  <si>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</si>
  <si>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</si>
  <si>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</si>
  <si>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</si>
  <si>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</si>
  <si>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</si>
  <si>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</si>
  <si>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</si>
  <si>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</si>
  <si>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</si>
  <si>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</si>
  <si>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</si>
  <si>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</si>
  <si>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</si>
  <si>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</si>
  <si>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</si>
  <si>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</si>
  <si>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</si>
  <si>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</si>
  <si>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</si>
  <si>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</si>
  <si>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</si>
  <si>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</si>
  <si>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</si>
  <si>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</si>
  <si>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</si>
  <si>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</si>
  <si>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</si>
  <si>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</si>
  <si>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</si>
  <si>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</si>
  <si>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</si>
  <si>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</si>
  <si>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</si>
  <si>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</si>
  <si>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</si>
  <si>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</si>
  <si>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</si>
  <si>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</si>
  <si>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</si>
  <si>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</si>
  <si>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</si>
  <si>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</si>
  <si>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</si>
  <si>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</si>
  <si>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</si>
  <si>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</si>
  <si>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</si>
  <si>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</si>
  <si>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</si>
  <si>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</si>
  <si>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</si>
  <si>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</si>
  <si>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</si>
  <si>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</si>
  <si>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</si>
  <si>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</si>
  <si>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</si>
  <si>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</si>
  <si>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</si>
  <si>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</si>
  <si>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</si>
  <si>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</si>
  <si>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</si>
  <si>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</si>
  <si>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</si>
  <si>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</si>
  <si>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</si>
  <si>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</si>
  <si>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</si>
  <si>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</si>
  <si>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</si>
  <si>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</si>
  <si>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</si>
  <si>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</si>
  <si>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</si>
  <si>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</si>
  <si>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</si>
  <si>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</si>
  <si>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</si>
  <si>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</si>
  <si>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</si>
  <si>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</si>
  <si>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</si>
  <si>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</si>
  <si>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</si>
  <si>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</si>
  <si>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</si>
  <si>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</si>
  <si>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</si>
  <si>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</si>
  <si>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</si>
  <si>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</si>
  <si>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</si>
  <si>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</si>
  <si>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</si>
  <si>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</si>
  <si>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</si>
  <si>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</si>
  <si>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</si>
  <si>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</si>
  <si>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</si>
  <si>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</si>
  <si>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</si>
  <si>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</si>
  <si>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</si>
  <si>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</si>
  <si>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</si>
  <si>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</si>
  <si>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</si>
  <si>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</si>
  <si>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</si>
  <si>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</si>
  <si>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</si>
  <si>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</si>
  <si>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</si>
  <si>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</si>
  <si>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</si>
  <si>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</si>
  <si>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</si>
  <si>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</si>
  <si>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</si>
  <si>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</si>
  <si>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</si>
  <si>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</si>
  <si>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</si>
  <si>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</si>
  <si>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</si>
  <si>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</si>
  <si>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</si>
  <si>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</si>
  <si>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</si>
  <si>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</si>
  <si>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</si>
  <si>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</si>
  <si>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</si>
  <si>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</si>
  <si>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</si>
  <si>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</si>
  <si>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</si>
  <si>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</si>
  <si>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</si>
  <si>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</si>
  <si>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</si>
  <si>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</si>
  <si>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</si>
  <si>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</si>
  <si>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</si>
  <si>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</si>
  <si>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</si>
  <si>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</si>
  <si>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</si>
  <si>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</si>
  <si>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</si>
  <si>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</si>
  <si>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</si>
  <si>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</si>
  <si>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</si>
  <si>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</si>
  <si>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</si>
  <si>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</si>
  <si>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</si>
  <si>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</si>
  <si>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</si>
  <si>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</si>
  <si>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</si>
  <si>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</si>
  <si>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</si>
  <si>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</si>
  <si>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</si>
  <si>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2024
YEAR 2024</t>
  </si>
  <si>
    <t>NĂM 2023
YEAR 2023</t>
  </si>
  <si>
    <t>Số lũy kế
Year-to-date</t>
  </si>
  <si>
    <t>Tháng 05 năm 2023
May 2023</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</si>
  <si>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</si>
  <si>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</si>
  <si>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</si>
  <si>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</si>
  <si>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</si>
  <si>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</si>
  <si>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</si>
  <si>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</si>
  <si>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</si>
  <si>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</si>
  <si>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</si>
  <si>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</si>
  <si>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</si>
  <si>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</si>
  <si>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</si>
  <si>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</si>
  <si>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</si>
  <si>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</si>
  <si>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</si>
  <si>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</si>
  <si>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</si>
  <si>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</si>
  <si>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</si>
  <si>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</si>
  <si>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</si>
  <si>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</si>
  <si>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</si>
  <si>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</si>
  <si>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</si>
  <si>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</si>
  <si>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</si>
  <si>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</si>
  <si>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</si>
  <si>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</si>
  <si>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</si>
  <si>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</si>
  <si>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</si>
  <si>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</si>
  <si>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</si>
  <si>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</si>
  <si>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</si>
  <si>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</si>
  <si>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</si>
  <si>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</si>
  <si>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</si>
  <si>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</si>
  <si>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</si>
  <si>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</si>
  <si>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</si>
  <si>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</si>
  <si>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</si>
  <si>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</si>
  <si>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</si>
  <si>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</si>
  <si>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</si>
  <si>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</si>
  <si>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</si>
  <si>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</si>
  <si>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</si>
  <si>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</si>
  <si>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</si>
  <si>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</si>
  <si>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</si>
  <si>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</si>
  <si>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</si>
  <si>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</si>
  <si>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</si>
  <si>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</si>
  <si>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</si>
  <si>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</si>
  <si>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</si>
  <si>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</si>
  <si>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</si>
  <si>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</si>
  <si>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</si>
  <si>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</si>
  <si>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</si>
  <si>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</si>
  <si>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</si>
  <si>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</si>
  <si>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</si>
  <si>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</si>
  <si>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</si>
  <si>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</si>
  <si>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</si>
  <si>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</si>
  <si>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</si>
  <si>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</si>
  <si>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</si>
  <si>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</si>
  <si>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</si>
  <si>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</si>
  <si>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</si>
  <si>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</si>
  <si>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</si>
  <si>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</si>
  <si>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</si>
  <si>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</si>
  <si>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</si>
  <si>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</si>
  <si>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</si>
  <si>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</si>
  <si>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</si>
  <si>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</si>
  <si>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</si>
  <si>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</si>
  <si>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</si>
  <si>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</si>
  <si>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</si>
  <si>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</si>
  <si>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</si>
  <si>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</si>
  <si>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</si>
  <si>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</si>
  <si>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</si>
  <si>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</si>
  <si>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</si>
  <si>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</si>
  <si>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</si>
  <si>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</si>
  <si>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</si>
  <si>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</si>
  <si>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</si>
  <si>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</si>
  <si>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</si>
  <si>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</si>
  <si>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31 tháng 05 năm 2024 / As at 31 May 2024</t>
  </si>
  <si>
    <t>CHỈ TIÊU
Indicators</t>
  </si>
  <si>
    <t>Thuyết minh
Notes</t>
  </si>
  <si>
    <t>Tại ngày 31 tháng 05  năm 2024 
As at 31 May 2024</t>
  </si>
  <si>
    <t>Tại ngày 30 tháng 04  năm 2024 
As at 30 Apr 2024</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</si>
  <si>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</si>
  <si>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</si>
  <si>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</si>
  <si>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</si>
  <si>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</si>
  <si>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</si>
  <si>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</si>
  <si>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</si>
  <si>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</si>
  <si>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</si>
  <si>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</si>
  <si>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</si>
  <si>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</si>
  <si>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</si>
  <si>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</si>
  <si>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</si>
  <si>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</si>
  <si>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</si>
  <si>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</si>
  <si>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</si>
  <si>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</si>
  <si>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</si>
  <si>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</si>
  <si>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</si>
  <si>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</si>
  <si>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</si>
  <si>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</si>
  <si>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</si>
  <si>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</si>
  <si>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</si>
  <si>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</si>
  <si>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</si>
  <si>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</si>
  <si>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</si>
  <si>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</si>
  <si>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</si>
  <si>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</si>
  <si>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</si>
  <si>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</si>
  <si>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</si>
  <si>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</si>
  <si>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</si>
  <si>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</si>
  <si>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</si>
  <si>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</si>
  <si>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</si>
  <si>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</si>
  <si>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</si>
  <si>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</si>
  <si>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</si>
  <si>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</si>
  <si>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</si>
  <si>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</si>
  <si>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</si>
  <si>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</si>
  <si>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</si>
  <si>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</si>
  <si>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</si>
  <si>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</si>
  <si>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</si>
  <si>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</si>
  <si>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</si>
  <si>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</si>
  <si>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</si>
  <si>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</si>
  <si>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</si>
  <si>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</si>
  <si>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</si>
  <si>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</si>
  <si>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</si>
  <si>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</si>
  <si>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</si>
  <si>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</si>
  <si>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</si>
  <si>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</si>
  <si>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</si>
  <si>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</si>
  <si>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</si>
  <si>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</si>
  <si>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</si>
  <si>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</si>
  <si>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</si>
  <si>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</si>
  <si>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</si>
  <si>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</si>
  <si>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</si>
  <si>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</si>
  <si>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</si>
  <si>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</si>
  <si>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</si>
  <si>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</si>
  <si>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</si>
  <si>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</si>
  <si>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</si>
  <si>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</si>
  <si>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</si>
  <si>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</si>
  <si>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</si>
  <si>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</si>
  <si>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</si>
  <si>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</si>
  <si>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</si>
  <si>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</si>
  <si>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</si>
  <si>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</si>
  <si>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</si>
  <si>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</si>
  <si>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</si>
  <si>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</si>
  <si>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</si>
  <si>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</si>
  <si>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</si>
  <si>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</si>
  <si>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</si>
  <si>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</si>
  <si>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</si>
  <si>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</si>
  <si>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</si>
  <si>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</si>
  <si>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</si>
  <si>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</si>
  <si>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</si>
  <si>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</si>
  <si>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</si>
  <si>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</si>
  <si>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</si>
  <si>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</si>
  <si>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</si>
  <si>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</si>
  <si>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</si>
  <si>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</si>
  <si>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</si>
  <si>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</si>
  <si>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</si>
  <si>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</si>
  <si>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</si>
  <si>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</si>
  <si>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</si>
  <si>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</si>
  <si>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</si>
  <si>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</si>
  <si>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</si>
  <si>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</si>
  <si>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</si>
  <si>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</si>
  <si>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</si>
  <si>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</si>
  <si>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</si>
  <si>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</si>
  <si>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</si>
  <si>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</si>
  <si>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</si>
  <si>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</si>
  <si>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</si>
  <si>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</si>
  <si>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</si>
  <si>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</si>
  <si>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</si>
  <si>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</si>
  <si>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</si>
  <si>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</si>
  <si>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</si>
  <si>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</si>
  <si>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</si>
  <si>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</si>
  <si>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</si>
  <si>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</si>
  <si>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</si>
  <si>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</si>
  <si>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</si>
  <si>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</si>
  <si>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</si>
  <si>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</si>
  <si>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</si>
  <si>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</si>
  <si>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</si>
  <si>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</si>
  <si>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</si>
  <si>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</si>
  <si>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</si>
  <si>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</si>
  <si>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</si>
  <si>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</si>
  <si>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</si>
  <si>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</si>
  <si>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</si>
  <si>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</si>
  <si>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</si>
  <si>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</si>
  <si>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</si>
  <si>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</si>
  <si>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</si>
  <si>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</si>
  <si>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</si>
  <si>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</si>
  <si>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</si>
  <si>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</si>
  <si>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</si>
  <si>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</si>
  <si>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</si>
  <si>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</si>
  <si>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</si>
  <si>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</si>
  <si>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</si>
  <si>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</si>
  <si>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</si>
  <si>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</si>
  <si>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</si>
  <si>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</si>
  <si>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</si>
  <si>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</si>
  <si>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</si>
  <si>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</si>
  <si>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</si>
  <si>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</si>
  <si>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</si>
  <si>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</si>
  <si>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</si>
  <si>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</si>
  <si>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</si>
  <si>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</si>
  <si>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</si>
  <si>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</si>
  <si>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</si>
  <si>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</si>
  <si>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</si>
  <si>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</si>
  <si>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</si>
  <si>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</si>
  <si>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</si>
  <si>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</si>
  <si>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</si>
  <si>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</si>
  <si>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</si>
  <si>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</si>
  <si>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</si>
  <si>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</si>
  <si>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</si>
  <si>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</si>
  <si>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</si>
  <si>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</si>
  <si>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</si>
  <si>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</si>
  <si>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</si>
  <si>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</si>
  <si>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</si>
  <si>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</si>
  <si>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</si>
  <si>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</si>
  <si>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</si>
  <si>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</si>
  <si>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</si>
  <si>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</si>
  <si>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</si>
  <si>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</si>
  <si>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</si>
  <si>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</si>
  <si>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</si>
  <si>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</si>
  <si>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</si>
  <si>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</si>
  <si>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</si>
  <si>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</si>
  <si>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</si>
  <si>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</si>
  <si>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</si>
  <si>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</si>
  <si>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</si>
  <si>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</si>
  <si>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</si>
  <si>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</si>
  <si>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</si>
  <si>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</si>
  <si>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</si>
  <si>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</si>
  <si>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</si>
  <si>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</si>
  <si>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</si>
  <si>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</si>
  <si>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</si>
  <si>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</si>
  <si>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</si>
  <si>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</si>
  <si>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</si>
  <si>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</si>
  <si>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</si>
  <si>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</si>
  <si>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</si>
  <si>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</si>
  <si>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</si>
  <si>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</si>
  <si>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</si>
  <si>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</si>
  <si>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</si>
  <si>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</si>
  <si>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</si>
  <si>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</si>
  <si>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</si>
  <si>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</si>
  <si>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</si>
  <si>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</si>
  <si>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</si>
  <si>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</si>
  <si>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</si>
  <si>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</si>
  <si>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</si>
  <si>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</si>
  <si>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</si>
  <si>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</si>
  <si>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</si>
  <si>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</si>
  <si>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</si>
  <si>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</si>
  <si>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05 năm 2024/ May 2024</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</si>
  <si>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</si>
  <si>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</si>
  <si>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 (***)</t>
  </si>
  <si>
    <t>Mẫu số B03 - ETF: Mẫu báo cáo thay đổi giá trị tài sản ròng, giao dịch CCQ
Template B03 - ETF: Report on change of Net Asset Value, trading of Fund Certificate</t>
  </si>
  <si>
    <t>Ninh Thị Tuệ Minh</t>
  </si>
  <si>
    <t>Trưởng phòng Kế toán Quỹ</t>
  </si>
  <si>
    <t>Trưởng phòng
Kế toán Quỹ</t>
  </si>
  <si>
    <t>Tại ngày 31 tháng 05 năm 2024/ As at 31 May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</si>
</sst>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xf numFmtId="43" fontId="2" fillId="0" borderId="0" applyFont="0" applyFill="0" applyBorder="0" applyAlignment="0" applyProtection="0"/>
  </cellStyleXfs>
  <cellXfs count="342">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4" applyFont="1" applyFill="1" applyBorder="1" applyAlignment="1">
      <alignment horizontal="center" vertical="center"/>
    </xf>
    <xf numFmtId="0" fontId="17" fillId="4" borderId="0" xfId="4"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5" applyFont="1" applyFill="1" applyBorder="1" applyAlignment="1">
      <alignment horizontal="center" vertical="center"/>
    </xf>
    <xf numFmtId="0" fontId="20" fillId="4" borderId="11" xfId="5" quotePrefix="1" applyFont="1" applyFill="1" applyBorder="1" applyAlignment="1">
      <alignment horizontal="center" vertical="center"/>
    </xf>
    <xf numFmtId="0" fontId="17" fillId="4" borderId="11" xfId="4"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6" applyFont="1" applyFill="1"/>
    <xf numFmtId="0" fontId="23" fillId="5" borderId="0" xfId="6" applyFont="1" applyFill="1" applyAlignment="1">
      <alignment wrapText="1"/>
    </xf>
    <xf numFmtId="0" fontId="8" fillId="5" borderId="0" xfId="6" applyFont="1" applyFill="1" applyAlignment="1">
      <alignment horizontal="center"/>
    </xf>
    <xf numFmtId="0" fontId="4" fillId="5" borderId="0" xfId="6" applyFont="1" applyFill="1" applyAlignment="1">
      <alignment horizontal="center"/>
    </xf>
    <xf numFmtId="171" fontId="4" fillId="5" borderId="0" xfId="7" applyNumberFormat="1" applyFont="1" applyFill="1" applyAlignment="1">
      <alignment horizontal="center"/>
    </xf>
    <xf numFmtId="0" fontId="4" fillId="5" borderId="0" xfId="6" applyFont="1" applyFill="1" applyAlignment="1">
      <alignment horizontal="center" vertical="center" wrapText="1"/>
    </xf>
    <xf numFmtId="0" fontId="4" fillId="5" borderId="0" xfId="6" applyFont="1" applyFill="1" applyAlignment="1">
      <alignment horizontal="left" vertical="center"/>
    </xf>
    <xf numFmtId="0" fontId="7" fillId="5" borderId="0" xfId="6" applyFont="1" applyFill="1" applyAlignment="1">
      <alignment horizontal="left" vertical="center"/>
    </xf>
    <xf numFmtId="171" fontId="7" fillId="5" borderId="0" xfId="7" applyNumberFormat="1" applyFont="1" applyFill="1" applyAlignment="1">
      <alignment horizontal="center"/>
    </xf>
    <xf numFmtId="0" fontId="7" fillId="5" borderId="0" xfId="6" applyFont="1" applyFill="1" applyAlignment="1">
      <alignment horizontal="center"/>
    </xf>
    <xf numFmtId="0" fontId="4" fillId="5" borderId="0" xfId="6" applyFont="1" applyFill="1" applyAlignment="1">
      <alignment horizontal="center" vertical="center"/>
    </xf>
    <xf numFmtId="0" fontId="4" fillId="5" borderId="0" xfId="6" applyFont="1" applyFill="1" applyAlignment="1">
      <alignment horizontal="left" wrapText="1"/>
    </xf>
    <xf numFmtId="0" fontId="4" fillId="5" borderId="0" xfId="6" applyFont="1" applyFill="1" applyAlignment="1">
      <alignment vertical="center"/>
    </xf>
    <xf numFmtId="48" fontId="7" fillId="5" borderId="0" xfId="6" applyNumberFormat="1" applyFont="1" applyFill="1" applyAlignment="1" applyProtection="1">
      <alignment horizontal="left" vertical="center" wrapText="1"/>
      <protection locked="0"/>
    </xf>
    <xf numFmtId="0" fontId="7" fillId="5" borderId="0" xfId="6" applyFont="1" applyFill="1" applyAlignment="1">
      <alignment horizontal="left" wrapText="1"/>
    </xf>
    <xf numFmtId="0" fontId="25" fillId="6" borderId="0" xfId="8" applyNumberFormat="1" applyFont="1" applyFill="1" applyBorder="1" applyAlignment="1" applyProtection="1">
      <alignment vertical="top"/>
    </xf>
    <xf numFmtId="0" fontId="7" fillId="5" borderId="0" xfId="6" applyFont="1" applyFill="1" applyAlignment="1">
      <alignment vertical="center"/>
    </xf>
    <xf numFmtId="3" fontId="7" fillId="5" borderId="0" xfId="6" applyNumberFormat="1" applyFont="1" applyFill="1" applyAlignment="1">
      <alignment horizontal="left" vertical="center" wrapText="1"/>
    </xf>
    <xf numFmtId="48" fontId="4" fillId="5" borderId="0" xfId="6" applyNumberFormat="1" applyFont="1" applyFill="1" applyAlignment="1" applyProtection="1">
      <alignment horizontal="left" vertical="center" wrapText="1"/>
      <protection locked="0"/>
    </xf>
    <xf numFmtId="48" fontId="7" fillId="5" borderId="0" xfId="6"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6" applyNumberFormat="1" applyFont="1" applyFill="1" applyAlignment="1">
      <alignment horizontal="left" vertical="center" wrapText="1"/>
    </xf>
    <xf numFmtId="0" fontId="7" fillId="5" borderId="0" xfId="6" applyFont="1" applyFill="1" applyAlignment="1">
      <alignment horizontal="left" vertical="center" wrapText="1"/>
    </xf>
    <xf numFmtId="0" fontId="22" fillId="5" borderId="0" xfId="6" applyFont="1" applyFill="1" applyAlignment="1">
      <alignment horizontal="left"/>
    </xf>
    <xf numFmtId="3" fontId="7" fillId="5" borderId="0" xfId="6" applyNumberFormat="1" applyFont="1" applyFill="1" applyAlignment="1">
      <alignment wrapText="1"/>
    </xf>
    <xf numFmtId="3" fontId="4" fillId="5" borderId="0" xfId="6" applyNumberFormat="1" applyFont="1" applyFill="1" applyAlignment="1">
      <alignment wrapText="1"/>
    </xf>
    <xf numFmtId="0" fontId="27" fillId="5" borderId="0" xfId="6" applyFont="1" applyFill="1"/>
    <xf numFmtId="0" fontId="26" fillId="7" borderId="11" xfId="6" applyFont="1" applyFill="1" applyBorder="1" applyAlignment="1">
      <alignment horizontal="center" vertical="center" wrapText="1"/>
    </xf>
    <xf numFmtId="0" fontId="22" fillId="0" borderId="11" xfId="6" applyFont="1" applyFill="1" applyBorder="1" applyAlignment="1">
      <alignment horizontal="center" vertical="center"/>
    </xf>
    <xf numFmtId="49" fontId="22" fillId="0" borderId="11" xfId="6" applyNumberFormat="1" applyFont="1" applyFill="1" applyBorder="1" applyAlignment="1" applyProtection="1">
      <alignment horizontal="left" vertical="center" wrapText="1"/>
    </xf>
    <xf numFmtId="49" fontId="29" fillId="0" borderId="11" xfId="6" applyNumberFormat="1" applyFont="1" applyFill="1" applyBorder="1" applyAlignment="1" applyProtection="1">
      <alignment horizontal="center" vertical="center" wrapText="1"/>
    </xf>
    <xf numFmtId="49" fontId="27" fillId="0" borderId="11" xfId="6" applyNumberFormat="1" applyFont="1" applyFill="1" applyBorder="1" applyAlignment="1" applyProtection="1">
      <alignment horizontal="left" vertical="center" wrapText="1"/>
    </xf>
    <xf numFmtId="49" fontId="22" fillId="0" borderId="11" xfId="6" applyNumberFormat="1" applyFont="1" applyFill="1" applyBorder="1" applyAlignment="1" applyProtection="1">
      <alignment horizontal="center" vertical="center" wrapText="1"/>
    </xf>
    <xf numFmtId="0" fontId="8" fillId="5" borderId="0" xfId="6" applyFont="1" applyFill="1"/>
    <xf numFmtId="173" fontId="28" fillId="5" borderId="0" xfId="9" applyNumberFormat="1" applyFont="1" applyFill="1" applyAlignment="1">
      <alignment vertical="center" wrapText="1"/>
    </xf>
    <xf numFmtId="0" fontId="27" fillId="5" borderId="0" xfId="9" applyFont="1" applyFill="1" applyBorder="1" applyAlignment="1">
      <alignment vertical="center"/>
    </xf>
    <xf numFmtId="171" fontId="28" fillId="5" borderId="0" xfId="7" applyNumberFormat="1" applyFont="1" applyFill="1" applyBorder="1" applyAlignment="1">
      <alignment vertical="center" wrapText="1"/>
    </xf>
    <xf numFmtId="0" fontId="28" fillId="5" borderId="0" xfId="9" applyFont="1" applyFill="1" applyBorder="1" applyAlignment="1">
      <alignment vertical="center"/>
    </xf>
    <xf numFmtId="0" fontId="28" fillId="5" borderId="0" xfId="9" applyFont="1" applyFill="1" applyBorder="1" applyAlignment="1">
      <alignment vertical="center" wrapText="1"/>
    </xf>
    <xf numFmtId="171" fontId="28" fillId="5" borderId="0" xfId="7" applyNumberFormat="1" applyFont="1" applyFill="1" applyBorder="1" applyAlignment="1">
      <alignment horizontal="right" vertical="center" wrapText="1"/>
    </xf>
    <xf numFmtId="171" fontId="28" fillId="5" borderId="0" xfId="7" applyNumberFormat="1" applyFont="1" applyFill="1" applyBorder="1" applyAlignment="1">
      <alignment horizontal="left" vertical="center"/>
    </xf>
    <xf numFmtId="2" fontId="27" fillId="5" borderId="0" xfId="9" applyNumberFormat="1" applyFont="1" applyFill="1" applyAlignment="1">
      <alignment vertical="center"/>
    </xf>
    <xf numFmtId="171" fontId="28" fillId="5" borderId="0" xfId="7" applyNumberFormat="1" applyFont="1" applyFill="1" applyBorder="1" applyAlignment="1">
      <alignment horizontal="right" vertical="center"/>
    </xf>
    <xf numFmtId="171" fontId="28" fillId="5" borderId="0" xfId="7" applyNumberFormat="1" applyFont="1" applyFill="1" applyAlignment="1">
      <alignment horizontal="right" vertical="center"/>
    </xf>
    <xf numFmtId="2" fontId="27" fillId="5" borderId="0" xfId="9" applyNumberFormat="1" applyFont="1" applyFill="1" applyAlignment="1">
      <alignment horizontal="right" vertical="center"/>
    </xf>
    <xf numFmtId="171" fontId="27" fillId="5" borderId="0" xfId="7" applyNumberFormat="1" applyFont="1" applyFill="1" applyAlignment="1">
      <alignment horizontal="right" vertical="center"/>
    </xf>
    <xf numFmtId="2" fontId="28" fillId="5" borderId="0" xfId="9" applyNumberFormat="1" applyFont="1" applyFill="1" applyAlignment="1">
      <alignment vertical="center"/>
    </xf>
    <xf numFmtId="2" fontId="27" fillId="5" borderId="7" xfId="9" applyNumberFormat="1" applyFont="1" applyFill="1" applyBorder="1" applyAlignment="1">
      <alignment vertical="center"/>
    </xf>
    <xf numFmtId="171" fontId="27" fillId="5" borderId="7" xfId="7" applyNumberFormat="1" applyFont="1" applyFill="1" applyBorder="1" applyAlignment="1">
      <alignment horizontal="right" vertical="center"/>
    </xf>
    <xf numFmtId="2" fontId="27" fillId="5" borderId="0" xfId="9" applyNumberFormat="1" applyFont="1" applyFill="1" applyBorder="1" applyAlignment="1">
      <alignment horizontal="right" vertical="center"/>
    </xf>
    <xf numFmtId="0" fontId="22" fillId="5" borderId="0" xfId="6" applyFont="1" applyFill="1" applyBorder="1"/>
    <xf numFmtId="2" fontId="27" fillId="5" borderId="0" xfId="9" applyNumberFormat="1" applyFont="1" applyFill="1" applyBorder="1" applyAlignment="1">
      <alignment vertical="center"/>
    </xf>
    <xf numFmtId="0" fontId="22" fillId="5" borderId="0" xfId="6" applyFont="1" applyFill="1" applyAlignment="1">
      <alignment vertical="center"/>
    </xf>
    <xf numFmtId="2" fontId="22" fillId="5" borderId="0" xfId="9" applyNumberFormat="1" applyFont="1" applyFill="1" applyAlignment="1">
      <alignment vertical="center"/>
    </xf>
    <xf numFmtId="0" fontId="28" fillId="0" borderId="0" xfId="6" applyFont="1" applyFill="1" applyAlignment="1">
      <alignment vertical="center"/>
    </xf>
    <xf numFmtId="0" fontId="28" fillId="5" borderId="0" xfId="6"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10"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10" applyNumberFormat="1" applyFont="1" applyFill="1" applyBorder="1" applyAlignment="1">
      <alignment horizontal="right" vertical="center"/>
    </xf>
    <xf numFmtId="171" fontId="33" fillId="6" borderId="1" xfId="10"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10"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10"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10"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10"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10"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10"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10" applyNumberFormat="1" applyFont="1" applyFill="1" applyBorder="1" applyAlignment="1">
      <alignment horizontal="right" vertical="center"/>
    </xf>
    <xf numFmtId="171" fontId="25" fillId="6" borderId="24" xfId="10"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3" fillId="6" borderId="16"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10" applyNumberFormat="1" applyFont="1" applyFill="1" applyBorder="1" applyAlignment="1" applyProtection="1">
      <alignment horizontal="right" vertical="center"/>
    </xf>
    <xf numFmtId="171" fontId="25" fillId="6" borderId="21" xfId="10"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wrapText="1"/>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0" fontId="33" fillId="6" borderId="0" xfId="0" applyFont="1" applyFill="1" applyAlignment="1">
      <alignment horizontal="center" vertical="center"/>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71" fontId="30" fillId="6" borderId="1" xfId="10" applyNumberFormat="1" applyFont="1" applyFill="1" applyBorder="1" applyAlignment="1">
      <alignment horizontal="right" vertical="top"/>
    </xf>
    <xf numFmtId="171" fontId="30" fillId="6" borderId="21" xfId="10" applyNumberFormat="1" applyFont="1" applyFill="1" applyBorder="1" applyAlignment="1">
      <alignment horizontal="right" vertical="top"/>
    </xf>
    <xf numFmtId="171" fontId="22" fillId="0" borderId="0" xfId="0" applyNumberFormat="1" applyFont="1"/>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171" fontId="25" fillId="6" borderId="1" xfId="10" applyNumberFormat="1" applyFont="1" applyFill="1" applyBorder="1" applyAlignment="1">
      <alignment horizontal="right" vertical="top"/>
    </xf>
    <xf numFmtId="171" fontId="25" fillId="6" borderId="21" xfId="10" applyNumberFormat="1" applyFont="1" applyFill="1" applyBorder="1" applyAlignment="1">
      <alignment horizontal="right"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10" applyFont="1" applyFill="1" applyBorder="1" applyAlignment="1">
      <alignment horizontal="right" vertical="top"/>
    </xf>
    <xf numFmtId="43" fontId="30" fillId="6" borderId="24" xfId="10"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33" fillId="6" borderId="0" xfId="0" applyFont="1" applyFill="1" applyAlignment="1">
      <alignment horizontal="center" vertical="top"/>
    </xf>
    <xf numFmtId="0" fontId="25" fillId="6" borderId="0" xfId="0" applyFont="1" applyFill="1" applyAlignment="1">
      <alignment horizontal="center" vertical="top"/>
    </xf>
    <xf numFmtId="43" fontId="22" fillId="0" borderId="0" xfId="10" applyFont="1"/>
    <xf numFmtId="43" fontId="10" fillId="0" borderId="0" xfId="10" applyFont="1"/>
    <xf numFmtId="0" fontId="10" fillId="0" borderId="0" xfId="0" applyFont="1"/>
    <xf numFmtId="43" fontId="22" fillId="0" borderId="0" xfId="10"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10"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10" applyNumberFormat="1" applyFont="1" applyFill="1" applyBorder="1" applyAlignment="1">
      <alignment horizontal="right" vertical="center"/>
    </xf>
    <xf numFmtId="171" fontId="30" fillId="6" borderId="24" xfId="10" applyNumberFormat="1" applyFont="1" applyFill="1" applyBorder="1" applyAlignment="1">
      <alignment horizontal="right"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10" applyNumberFormat="1" applyFont="1" applyFill="1" applyBorder="1" applyAlignment="1">
      <alignment horizontal="right" vertical="top"/>
    </xf>
    <xf numFmtId="171" fontId="33" fillId="6" borderId="21" xfId="10"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10" applyNumberFormat="1" applyFont="1" applyFill="1" applyBorder="1" applyAlignment="1" applyProtection="1">
      <alignment horizontal="right" vertical="top"/>
    </xf>
    <xf numFmtId="171" fontId="25" fillId="6" borderId="21" xfId="10" applyNumberFormat="1" applyFont="1" applyFill="1" applyBorder="1" applyAlignment="1" applyProtection="1">
      <alignment horizontal="right" vertical="top"/>
    </xf>
    <xf numFmtId="43" fontId="30" fillId="6" borderId="1" xfId="10" applyFont="1" applyFill="1" applyBorder="1" applyAlignment="1">
      <alignment horizontal="right" vertical="top"/>
    </xf>
    <xf numFmtId="43" fontId="30" fillId="6" borderId="21" xfId="10"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10" applyNumberFormat="1" applyFont="1" applyFill="1" applyBorder="1" applyAlignment="1">
      <alignment horizontal="right" vertical="top"/>
    </xf>
    <xf numFmtId="171" fontId="25" fillId="6" borderId="24" xfId="10"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10" applyNumberFormat="1" applyFont="1" applyFill="1" applyBorder="1" applyAlignment="1">
      <alignment horizontal="right" vertical="top"/>
    </xf>
    <xf numFmtId="43" fontId="25" fillId="6" borderId="21" xfId="10" applyFont="1" applyFill="1" applyBorder="1" applyAlignment="1">
      <alignment horizontal="right" vertical="center"/>
    </xf>
    <xf numFmtId="43" fontId="25" fillId="6" borderId="1" xfId="10" applyFont="1" applyFill="1" applyBorder="1" applyAlignment="1">
      <alignment horizontal="right" vertical="center"/>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3"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4" applyFont="1" applyFill="1" applyBorder="1" applyAlignment="1">
      <alignment horizontal="center" vertical="center"/>
    </xf>
    <xf numFmtId="0" fontId="16" fillId="5" borderId="0" xfId="4" applyFont="1" applyFill="1" applyBorder="1" applyAlignment="1">
      <alignment horizontal="center" vertical="center"/>
    </xf>
    <xf numFmtId="0" fontId="16" fillId="5" borderId="10" xfId="4"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4" applyFont="1" applyFill="1" applyBorder="1" applyAlignment="1">
      <alignment horizontal="center" vertical="center"/>
    </xf>
    <xf numFmtId="0" fontId="17" fillId="5" borderId="0" xfId="4" applyFont="1" applyFill="1" applyBorder="1" applyAlignment="1">
      <alignment horizontal="center" vertical="center"/>
    </xf>
    <xf numFmtId="0" fontId="17" fillId="5" borderId="10" xfId="4" applyFont="1" applyFill="1" applyBorder="1" applyAlignment="1">
      <alignment horizontal="center" vertical="center"/>
    </xf>
    <xf numFmtId="0" fontId="18" fillId="5" borderId="9"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10" xfId="4" applyFont="1" applyFill="1" applyBorder="1" applyAlignment="1">
      <alignment horizontal="center" vertical="center"/>
    </xf>
    <xf numFmtId="0" fontId="18" fillId="5" borderId="6" xfId="4" applyFont="1" applyFill="1" applyBorder="1" applyAlignment="1">
      <alignment horizontal="center" vertical="center"/>
    </xf>
    <xf numFmtId="0" fontId="18" fillId="5" borderId="7" xfId="4" applyFont="1" applyFill="1" applyBorder="1" applyAlignment="1">
      <alignment horizontal="center" vertical="center"/>
    </xf>
    <xf numFmtId="0" fontId="18" fillId="5" borderId="8" xfId="4"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3"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6" applyFont="1" applyFill="1" applyAlignment="1">
      <alignment horizontal="left"/>
    </xf>
    <xf numFmtId="0" fontId="23" fillId="5" borderId="0" xfId="6" applyFont="1" applyFill="1" applyAlignment="1">
      <alignment horizontal="center" vertical="center" wrapText="1"/>
    </xf>
    <xf numFmtId="0" fontId="5" fillId="5" borderId="0" xfId="6" applyFont="1" applyFill="1" applyAlignment="1">
      <alignment horizontal="center" vertical="center" wrapText="1"/>
    </xf>
    <xf numFmtId="0" fontId="4" fillId="5" borderId="0" xfId="6" applyFont="1" applyFill="1" applyAlignment="1">
      <alignment horizontal="center" vertical="center" wrapText="1"/>
    </xf>
    <xf numFmtId="3" fontId="23" fillId="5" borderId="0" xfId="6" applyNumberFormat="1" applyFont="1" applyFill="1" applyAlignment="1">
      <alignment horizontal="center" vertical="center" wrapText="1"/>
    </xf>
    <xf numFmtId="0" fontId="23" fillId="5" borderId="0" xfId="6" applyFont="1" applyFill="1" applyAlignment="1">
      <alignment horizontal="center" vertical="center"/>
    </xf>
    <xf numFmtId="0" fontId="26" fillId="7" borderId="12" xfId="6" applyFont="1" applyFill="1" applyBorder="1" applyAlignment="1">
      <alignment horizontal="center" vertical="center" wrapText="1"/>
    </xf>
    <xf numFmtId="0" fontId="26" fillId="7" borderId="15" xfId="6" applyFont="1" applyFill="1" applyBorder="1" applyAlignment="1">
      <alignment horizontal="center" vertical="center" wrapText="1"/>
    </xf>
    <xf numFmtId="0" fontId="26" fillId="7" borderId="13" xfId="6" applyFont="1" applyFill="1" applyBorder="1" applyAlignment="1">
      <alignment horizontal="center" vertical="center" wrapText="1"/>
    </xf>
    <xf numFmtId="0" fontId="26" fillId="7" borderId="14" xfId="6" applyFont="1" applyFill="1" applyBorder="1" applyAlignment="1">
      <alignment horizontal="center" vertical="center" wrapText="1"/>
    </xf>
    <xf numFmtId="0" fontId="22" fillId="0" borderId="3" xfId="6" applyFont="1" applyBorder="1" applyAlignment="1">
      <alignment horizontal="center" vertical="center" wrapText="1"/>
    </xf>
    <xf numFmtId="0" fontId="22" fillId="0" borderId="4" xfId="6" applyFont="1" applyBorder="1" applyAlignment="1">
      <alignment horizontal="center" vertical="center" wrapText="1"/>
    </xf>
    <xf numFmtId="0" fontId="22" fillId="0" borderId="5" xfId="6" applyFont="1" applyBorder="1" applyAlignment="1">
      <alignment horizontal="center" vertical="center" wrapText="1"/>
    </xf>
    <xf numFmtId="0" fontId="22" fillId="0" borderId="9" xfId="6" applyFont="1" applyBorder="1" applyAlignment="1">
      <alignment horizontal="center" vertical="center" wrapText="1"/>
    </xf>
    <xf numFmtId="0" fontId="22" fillId="0" borderId="0" xfId="6" applyFont="1" applyBorder="1" applyAlignment="1">
      <alignment horizontal="center" vertical="center" wrapText="1"/>
    </xf>
    <xf numFmtId="0" fontId="22" fillId="0" borderId="10" xfId="6" applyFont="1" applyBorder="1" applyAlignment="1">
      <alignment horizontal="center" vertical="center" wrapText="1"/>
    </xf>
    <xf numFmtId="0" fontId="22" fillId="0" borderId="6" xfId="6" applyFont="1" applyBorder="1" applyAlignment="1">
      <alignment horizontal="center" vertical="center" wrapText="1"/>
    </xf>
    <xf numFmtId="0" fontId="22" fillId="0" borderId="7" xfId="6" applyFont="1" applyBorder="1" applyAlignment="1">
      <alignment horizontal="center" vertical="center" wrapText="1"/>
    </xf>
    <xf numFmtId="0" fontId="22" fillId="0" borderId="8" xfId="6" applyFont="1" applyBorder="1" applyAlignment="1">
      <alignment horizontal="center" vertical="center" wrapText="1"/>
    </xf>
    <xf numFmtId="0" fontId="28" fillId="5" borderId="0" xfId="9" applyFont="1" applyFill="1" applyAlignment="1">
      <alignment horizontal="center" vertical="center"/>
    </xf>
    <xf numFmtId="173" fontId="28" fillId="5" borderId="0" xfId="9" applyNumberFormat="1" applyFont="1" applyFill="1" applyAlignment="1">
      <alignment horizontal="center" vertical="center"/>
    </xf>
    <xf numFmtId="0" fontId="28" fillId="7" borderId="12" xfId="6" applyFont="1" applyFill="1" applyBorder="1" applyAlignment="1" applyProtection="1">
      <alignment horizontal="center" vertical="center" wrapText="1"/>
    </xf>
    <xf numFmtId="0" fontId="28" fillId="7" borderId="15" xfId="6" applyFont="1" applyFill="1" applyBorder="1" applyAlignment="1" applyProtection="1">
      <alignment horizontal="center" vertical="center" wrapText="1"/>
    </xf>
    <xf numFmtId="0" fontId="28" fillId="5" borderId="0" xfId="9" applyFont="1" applyFill="1" applyBorder="1" applyAlignment="1">
      <alignment horizontal="center" vertical="center"/>
    </xf>
    <xf numFmtId="0" fontId="4" fillId="2" borderId="0" xfId="2" applyNumberFormat="1" applyFont="1" applyFill="1" applyBorder="1" applyAlignment="1" applyProtection="1">
      <alignment horizontal="center" vertical="center"/>
    </xf>
    <xf numFmtId="171" fontId="28" fillId="5" borderId="0" xfId="7" applyNumberFormat="1" applyFont="1" applyFill="1" applyBorder="1" applyAlignment="1">
      <alignment horizontal="center" vertical="center"/>
    </xf>
    <xf numFmtId="0" fontId="28" fillId="5" borderId="4" xfId="9"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10" builtinId="3"/>
    <cellStyle name="Comma 4" xfId="7"/>
    <cellStyle name="Hyperlink" xfId="5" builtinId="8"/>
    <cellStyle name="Normal" xfId="0" builtinId="0"/>
    <cellStyle name="Normal 2" xfId="1"/>
    <cellStyle name="Normal 3" xfId="2"/>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1724025</xdr:colOff>
      <xdr:row>0</xdr:row>
      <xdr:rowOff>344231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105025" cy="268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1857376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1</xdr:col>
      <xdr:colOff>1724025</xdr:colOff>
      <xdr:row>0</xdr:row>
      <xdr:rowOff>280372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990600</xdr:colOff>
      <xdr:row>0</xdr:row>
      <xdr:rowOff>273648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14550" cy="273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28575</xdr:colOff>
      <xdr:row>0</xdr:row>
      <xdr:rowOff>281917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85975" cy="262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1733550</xdr:colOff>
      <xdr:row>0</xdr:row>
      <xdr:rowOff>306817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2076450" cy="268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1781175</xdr:colOff>
      <xdr:row>0</xdr:row>
      <xdr:rowOff>292698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114550" cy="273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8" sqref="F18"/>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38" t="s">
        <v>980</v>
      </c>
      <c r="B1" s="238"/>
    </row>
    <row r="2" spans="1:10" ht="15.75" customHeight="1">
      <c r="C2" s="239" t="s">
        <v>1071</v>
      </c>
      <c r="D2" s="240"/>
      <c r="E2" s="241"/>
    </row>
    <row r="3" spans="1:10" ht="15.75" customHeight="1">
      <c r="A3" s="2"/>
      <c r="B3" s="2"/>
      <c r="C3" s="242" t="s">
        <v>1063</v>
      </c>
      <c r="D3" s="243"/>
      <c r="E3" s="244"/>
    </row>
    <row r="4" spans="1:10">
      <c r="A4" s="2"/>
      <c r="B4" s="2"/>
    </row>
    <row r="5" spans="1:10">
      <c r="A5" s="245" t="s">
        <v>981</v>
      </c>
      <c r="B5" s="245"/>
    </row>
    <row r="6" spans="1:10">
      <c r="A6" s="2"/>
      <c r="B6" s="2"/>
      <c r="C6" s="246" t="s">
        <v>10</v>
      </c>
      <c r="D6" s="247"/>
      <c r="E6" s="3" t="s">
        <v>982</v>
      </c>
      <c r="F6" s="4"/>
      <c r="G6" s="4"/>
      <c r="H6" s="4"/>
      <c r="I6" s="5"/>
    </row>
    <row r="7" spans="1:10">
      <c r="A7" s="2"/>
      <c r="B7" s="2"/>
      <c r="C7" s="236" t="s">
        <v>12</v>
      </c>
      <c r="D7" s="237"/>
      <c r="E7" s="6" t="s">
        <v>13</v>
      </c>
      <c r="F7" s="7"/>
      <c r="G7" s="7"/>
      <c r="H7" s="7"/>
      <c r="I7" s="8"/>
      <c r="J7" s="9"/>
    </row>
    <row r="8" spans="1:10">
      <c r="A8" s="2"/>
      <c r="B8" s="2"/>
      <c r="C8" s="248" t="s">
        <v>385</v>
      </c>
      <c r="D8" s="249"/>
      <c r="E8" s="10" t="s">
        <v>983</v>
      </c>
      <c r="F8" s="11"/>
      <c r="G8" s="11"/>
      <c r="H8" s="11"/>
      <c r="I8" s="12"/>
      <c r="J8" s="9"/>
    </row>
    <row r="9" spans="1:10">
      <c r="A9" s="2"/>
      <c r="B9" s="2"/>
      <c r="C9" s="236" t="s">
        <v>984</v>
      </c>
      <c r="D9" s="237"/>
      <c r="E9" s="6" t="s">
        <v>612</v>
      </c>
      <c r="F9" s="7"/>
      <c r="G9" s="7"/>
      <c r="H9" s="7"/>
      <c r="I9" s="8"/>
      <c r="J9" s="9"/>
    </row>
    <row r="10" spans="1:10">
      <c r="A10" s="2"/>
      <c r="B10" s="2"/>
      <c r="C10" s="248" t="s">
        <v>5</v>
      </c>
      <c r="D10" s="249"/>
      <c r="E10" s="10" t="s">
        <v>985</v>
      </c>
      <c r="F10" s="11"/>
      <c r="G10" s="11"/>
      <c r="H10" s="11"/>
      <c r="I10" s="12"/>
      <c r="J10" s="9"/>
    </row>
    <row r="11" spans="1:10">
      <c r="A11" s="2"/>
      <c r="B11" s="2"/>
      <c r="C11" s="236" t="s">
        <v>986</v>
      </c>
      <c r="D11" s="237"/>
      <c r="E11" s="6" t="s">
        <v>987</v>
      </c>
      <c r="F11" s="7"/>
      <c r="G11" s="7"/>
      <c r="H11" s="7"/>
      <c r="I11" s="8"/>
      <c r="J11" s="9"/>
    </row>
    <row r="12" spans="1:10">
      <c r="A12" s="2"/>
      <c r="B12" s="2"/>
      <c r="C12" s="248" t="s">
        <v>20</v>
      </c>
      <c r="D12" s="249"/>
      <c r="E12" s="13">
        <v>45449</v>
      </c>
      <c r="F12" s="11"/>
      <c r="G12" s="11"/>
      <c r="H12" s="11"/>
      <c r="I12" s="12"/>
      <c r="J12" s="9"/>
    </row>
    <row r="13" spans="1:10">
      <c r="A13" s="2"/>
      <c r="B13" s="2"/>
      <c r="C13" s="257" t="s">
        <v>21</v>
      </c>
      <c r="D13" s="258"/>
      <c r="E13" s="250">
        <v>45449</v>
      </c>
      <c r="F13" s="250"/>
      <c r="G13" s="250"/>
      <c r="H13" s="250"/>
      <c r="I13" s="14"/>
      <c r="J13" s="9"/>
    </row>
    <row r="14" spans="1:10">
      <c r="D14" s="15"/>
    </row>
    <row r="15" spans="1:10">
      <c r="A15" s="245" t="s">
        <v>988</v>
      </c>
      <c r="B15" s="245"/>
    </row>
    <row r="16" spans="1:10">
      <c r="C16" s="251" t="s">
        <v>221</v>
      </c>
      <c r="D16" s="252"/>
      <c r="E16" s="253"/>
      <c r="G16" s="251" t="s">
        <v>989</v>
      </c>
      <c r="H16" s="252"/>
      <c r="I16" s="253"/>
    </row>
    <row r="17" spans="3:9">
      <c r="C17" s="254" t="s">
        <v>223</v>
      </c>
      <c r="D17" s="255"/>
      <c r="E17" s="256"/>
      <c r="G17" s="254" t="s">
        <v>224</v>
      </c>
      <c r="H17" s="255"/>
      <c r="I17" s="256"/>
    </row>
    <row r="18" spans="3:9">
      <c r="C18" s="254"/>
      <c r="D18" s="255"/>
      <c r="E18" s="256"/>
      <c r="G18" s="260"/>
      <c r="H18" s="261"/>
      <c r="I18" s="262"/>
    </row>
    <row r="19" spans="3:9" ht="27" customHeight="1">
      <c r="C19" s="254"/>
      <c r="D19" s="255"/>
      <c r="E19" s="256"/>
      <c r="G19" s="260"/>
      <c r="H19" s="261"/>
      <c r="I19" s="262"/>
    </row>
    <row r="20" spans="3:9">
      <c r="C20" s="254"/>
      <c r="D20" s="255"/>
      <c r="E20" s="256"/>
      <c r="G20" s="260"/>
      <c r="H20" s="261"/>
      <c r="I20" s="262"/>
    </row>
    <row r="21" spans="3:9">
      <c r="C21" s="254"/>
      <c r="D21" s="255"/>
      <c r="E21" s="256"/>
      <c r="G21" s="260"/>
      <c r="H21" s="261"/>
      <c r="I21" s="262"/>
    </row>
    <row r="22" spans="3:9">
      <c r="C22" s="254"/>
      <c r="D22" s="255"/>
      <c r="E22" s="256"/>
      <c r="G22" s="260"/>
      <c r="H22" s="261"/>
      <c r="I22" s="262"/>
    </row>
    <row r="23" spans="3:9">
      <c r="C23" s="254"/>
      <c r="D23" s="255"/>
      <c r="E23" s="256"/>
      <c r="G23" s="260"/>
      <c r="H23" s="261"/>
      <c r="I23" s="262"/>
    </row>
    <row r="24" spans="3:9">
      <c r="C24" s="263" t="s">
        <v>983</v>
      </c>
      <c r="D24" s="264"/>
      <c r="E24" s="265"/>
      <c r="G24" s="263" t="s">
        <v>982</v>
      </c>
      <c r="H24" s="264"/>
      <c r="I24" s="265"/>
    </row>
    <row r="25" spans="3:9">
      <c r="C25" s="263" t="s">
        <v>227</v>
      </c>
      <c r="D25" s="264"/>
      <c r="E25" s="265"/>
      <c r="G25" s="263" t="s">
        <v>990</v>
      </c>
      <c r="H25" s="264"/>
      <c r="I25" s="265"/>
    </row>
    <row r="26" spans="3:9">
      <c r="C26" s="266" t="s">
        <v>991</v>
      </c>
      <c r="D26" s="267"/>
      <c r="E26" s="268"/>
      <c r="G26" s="266" t="s">
        <v>992</v>
      </c>
      <c r="H26" s="267"/>
      <c r="I26" s="268"/>
    </row>
    <row r="27" spans="3:9">
      <c r="C27" s="16"/>
      <c r="D27" s="16"/>
      <c r="E27" s="16"/>
      <c r="G27" s="17"/>
      <c r="H27" s="17"/>
      <c r="I27" s="17"/>
    </row>
    <row r="28" spans="3:9">
      <c r="C28" s="16"/>
      <c r="D28" s="16"/>
      <c r="E28" s="16"/>
      <c r="G28" s="17"/>
      <c r="H28" s="17"/>
      <c r="I28" s="17"/>
    </row>
    <row r="29" spans="3:9">
      <c r="C29" s="18" t="s">
        <v>506</v>
      </c>
      <c r="D29" s="269" t="s">
        <v>993</v>
      </c>
      <c r="E29" s="269"/>
      <c r="F29" s="269"/>
      <c r="G29" s="269"/>
      <c r="H29" s="19" t="s">
        <v>994</v>
      </c>
      <c r="I29" s="17"/>
    </row>
    <row r="30" spans="3:9">
      <c r="C30" s="18" t="s">
        <v>995</v>
      </c>
      <c r="D30" s="269" t="s">
        <v>996</v>
      </c>
      <c r="E30" s="269"/>
      <c r="F30" s="269"/>
      <c r="G30" s="269"/>
      <c r="H30" s="19"/>
      <c r="I30" s="17"/>
    </row>
    <row r="31" spans="3:9">
      <c r="C31" s="20" t="s">
        <v>997</v>
      </c>
      <c r="D31" s="259" t="s">
        <v>998</v>
      </c>
      <c r="E31" s="259"/>
      <c r="F31" s="259"/>
      <c r="G31" s="259"/>
      <c r="H31" s="21" t="s">
        <v>999</v>
      </c>
      <c r="I31" s="17"/>
    </row>
    <row r="32" spans="3:9">
      <c r="C32" s="20" t="s">
        <v>1000</v>
      </c>
      <c r="D32" s="259" t="s">
        <v>1001</v>
      </c>
      <c r="E32" s="259"/>
      <c r="F32" s="259"/>
      <c r="G32" s="259"/>
      <c r="H32" s="21" t="s">
        <v>1002</v>
      </c>
      <c r="I32" s="17"/>
    </row>
    <row r="33" spans="3:9">
      <c r="C33" s="20" t="s">
        <v>1003</v>
      </c>
      <c r="D33" s="259" t="s">
        <v>1004</v>
      </c>
      <c r="E33" s="259"/>
      <c r="F33" s="259"/>
      <c r="G33" s="259"/>
      <c r="H33" s="21" t="s">
        <v>1005</v>
      </c>
      <c r="I33" s="17"/>
    </row>
    <row r="34" spans="3:9">
      <c r="C34" s="20" t="s">
        <v>1006</v>
      </c>
      <c r="D34" s="259" t="s">
        <v>1007</v>
      </c>
      <c r="E34" s="259"/>
      <c r="F34" s="259"/>
      <c r="G34" s="259"/>
      <c r="H34" s="21" t="s">
        <v>1008</v>
      </c>
      <c r="I34" s="17"/>
    </row>
    <row r="35" spans="3:9">
      <c r="C35" s="20" t="s">
        <v>1009</v>
      </c>
      <c r="D35" s="259" t="s">
        <v>1010</v>
      </c>
      <c r="E35" s="259"/>
      <c r="F35" s="259"/>
      <c r="G35" s="259"/>
      <c r="H35" s="21" t="s">
        <v>1011</v>
      </c>
      <c r="I35" s="17"/>
    </row>
    <row r="36" spans="3:9">
      <c r="C36" s="20" t="s">
        <v>1012</v>
      </c>
      <c r="D36" s="259" t="s">
        <v>1013</v>
      </c>
      <c r="E36" s="259"/>
      <c r="F36" s="259"/>
      <c r="G36" s="259"/>
      <c r="H36" s="22" t="s">
        <v>1014</v>
      </c>
      <c r="I36" s="17"/>
    </row>
    <row r="37" spans="3:9">
      <c r="C37" s="20" t="s">
        <v>1015</v>
      </c>
      <c r="D37" s="259" t="s">
        <v>1016</v>
      </c>
      <c r="E37" s="259"/>
      <c r="F37" s="259"/>
      <c r="G37" s="259"/>
      <c r="H37" s="23" t="s">
        <v>1017</v>
      </c>
      <c r="I37" s="17"/>
    </row>
    <row r="38" spans="3:9">
      <c r="C38" s="20" t="s">
        <v>1018</v>
      </c>
      <c r="D38" s="259" t="s">
        <v>1019</v>
      </c>
      <c r="E38" s="259"/>
      <c r="F38" s="259"/>
      <c r="G38" s="259"/>
      <c r="H38" s="23" t="s">
        <v>1017</v>
      </c>
      <c r="I38" s="17"/>
    </row>
    <row r="39" spans="3:9">
      <c r="C39" s="18" t="s">
        <v>1020</v>
      </c>
      <c r="D39" s="270" t="s">
        <v>1021</v>
      </c>
      <c r="E39" s="270"/>
      <c r="F39" s="270"/>
      <c r="G39" s="270"/>
      <c r="H39" s="23" t="s">
        <v>1017</v>
      </c>
      <c r="I39" s="17"/>
    </row>
    <row r="40" spans="3:9">
      <c r="C40" s="20">
        <v>6</v>
      </c>
      <c r="D40" s="259" t="s">
        <v>1022</v>
      </c>
      <c r="E40" s="259"/>
      <c r="F40" s="259"/>
      <c r="G40" s="259"/>
      <c r="H40" s="21" t="s">
        <v>1023</v>
      </c>
      <c r="I40" s="17"/>
    </row>
    <row r="41" spans="3:9">
      <c r="C41" s="20">
        <v>7</v>
      </c>
      <c r="D41" s="259" t="s">
        <v>1024</v>
      </c>
      <c r="E41" s="259"/>
      <c r="F41" s="259"/>
      <c r="G41" s="259"/>
      <c r="H41" s="21" t="s">
        <v>1025</v>
      </c>
      <c r="I41" s="17"/>
    </row>
    <row r="42" spans="3:9">
      <c r="C42" s="20">
        <v>8</v>
      </c>
      <c r="D42" s="259" t="s">
        <v>1026</v>
      </c>
      <c r="E42" s="259"/>
      <c r="F42" s="259"/>
      <c r="G42" s="259"/>
      <c r="H42" s="21" t="s">
        <v>1027</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zoomScaleNormal="100" workbookViewId="0">
      <selection activeCell="D19" sqref="D19"/>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272"/>
      <c r="B1" s="272"/>
      <c r="C1" s="82"/>
      <c r="D1" s="273" t="s">
        <v>0</v>
      </c>
      <c r="E1" s="273"/>
      <c r="F1" s="273"/>
    </row>
    <row r="2" spans="1:6" ht="27.75" customHeight="1">
      <c r="A2" s="274" t="s">
        <v>1</v>
      </c>
      <c r="B2" s="274"/>
      <c r="C2" s="274"/>
      <c r="D2" s="274"/>
      <c r="E2" s="274"/>
      <c r="F2" s="274"/>
    </row>
    <row r="3" spans="1:6" ht="7.5" customHeight="1">
      <c r="A3" s="84"/>
      <c r="B3" s="84"/>
      <c r="C3" s="84"/>
      <c r="D3" s="84"/>
      <c r="E3" s="84"/>
      <c r="F3" s="84"/>
    </row>
    <row r="4" spans="1:6" ht="27" customHeight="1">
      <c r="A4" s="275" t="s">
        <v>2</v>
      </c>
      <c r="B4" s="275"/>
      <c r="C4" s="275"/>
      <c r="D4" s="275"/>
      <c r="E4" s="275"/>
      <c r="F4" s="275"/>
    </row>
    <row r="5" spans="1:6" ht="18" customHeight="1">
      <c r="A5" s="276" t="s">
        <v>3</v>
      </c>
      <c r="B5" s="276"/>
      <c r="C5" s="276"/>
      <c r="D5" s="276"/>
      <c r="E5" s="276"/>
      <c r="F5" s="276"/>
    </row>
    <row r="6" spans="1:6" ht="12.75" customHeight="1">
      <c r="A6" s="85" t="s">
        <v>4</v>
      </c>
      <c r="B6" s="86" t="s">
        <v>5</v>
      </c>
      <c r="C6" s="271" t="s">
        <v>6</v>
      </c>
      <c r="D6" s="271"/>
      <c r="E6" s="271"/>
      <c r="F6" s="271"/>
    </row>
    <row r="7" spans="1:6" ht="12.75" customHeight="1">
      <c r="A7" s="84"/>
      <c r="B7" s="84" t="s">
        <v>7</v>
      </c>
      <c r="C7" s="272" t="s">
        <v>8</v>
      </c>
      <c r="D7" s="272"/>
      <c r="E7" s="272"/>
      <c r="F7" s="272"/>
    </row>
    <row r="8" spans="1:6" ht="12.75" customHeight="1">
      <c r="A8" s="85" t="s">
        <v>9</v>
      </c>
      <c r="B8" s="86" t="s">
        <v>10</v>
      </c>
      <c r="C8" s="271" t="s">
        <v>11</v>
      </c>
      <c r="D8" s="271"/>
      <c r="E8" s="271"/>
      <c r="F8" s="271"/>
    </row>
    <row r="9" spans="1:6" ht="12.75" customHeight="1">
      <c r="A9" s="84"/>
      <c r="B9" s="84" t="s">
        <v>12</v>
      </c>
      <c r="C9" s="272" t="s">
        <v>13</v>
      </c>
      <c r="D9" s="272"/>
      <c r="E9" s="272"/>
      <c r="F9" s="272"/>
    </row>
    <row r="10" spans="1:6" ht="12.75" customHeight="1">
      <c r="A10" s="85" t="s">
        <v>14</v>
      </c>
      <c r="B10" s="86" t="s">
        <v>15</v>
      </c>
      <c r="C10" s="271" t="s">
        <v>16</v>
      </c>
      <c r="D10" s="271"/>
      <c r="E10" s="271"/>
      <c r="F10" s="271"/>
    </row>
    <row r="11" spans="1:6" ht="12.75" customHeight="1">
      <c r="A11" s="84"/>
      <c r="B11" s="84" t="s">
        <v>17</v>
      </c>
      <c r="C11" s="272" t="s">
        <v>18</v>
      </c>
      <c r="D11" s="272"/>
      <c r="E11" s="272"/>
      <c r="F11" s="272"/>
    </row>
    <row r="12" spans="1:6" ht="12.75" customHeight="1">
      <c r="A12" s="85" t="s">
        <v>19</v>
      </c>
      <c r="B12" s="86" t="s">
        <v>20</v>
      </c>
      <c r="C12" s="277">
        <v>45449</v>
      </c>
      <c r="D12" s="277"/>
      <c r="E12" s="277"/>
      <c r="F12" s="277"/>
    </row>
    <row r="13" spans="1:6" ht="12.75" customHeight="1">
      <c r="A13" s="84"/>
      <c r="B13" s="84" t="s">
        <v>21</v>
      </c>
      <c r="C13" s="278">
        <v>45449</v>
      </c>
      <c r="D13" s="278"/>
      <c r="E13" s="278"/>
      <c r="F13" s="278"/>
    </row>
    <row r="14" spans="1:6" ht="12.75" customHeight="1">
      <c r="A14" s="84"/>
      <c r="B14" s="84"/>
      <c r="C14" s="84"/>
      <c r="D14" s="84"/>
      <c r="E14" s="84"/>
      <c r="F14" s="84"/>
    </row>
    <row r="15" spans="1:6" ht="12.75" customHeight="1">
      <c r="A15" s="279" t="s">
        <v>22</v>
      </c>
      <c r="B15" s="279"/>
      <c r="C15" s="279"/>
      <c r="D15" s="279"/>
      <c r="E15" s="279"/>
      <c r="F15" s="279"/>
    </row>
    <row r="16" spans="1:6" ht="12.75" customHeight="1">
      <c r="A16" s="271" t="s">
        <v>23</v>
      </c>
      <c r="B16" s="271"/>
      <c r="C16" s="271"/>
      <c r="D16" s="271"/>
      <c r="E16" s="271"/>
      <c r="F16" s="271"/>
    </row>
    <row r="17" spans="1:6" ht="12.75" customHeight="1">
      <c r="A17" s="87"/>
      <c r="B17" s="88"/>
      <c r="C17" s="87"/>
      <c r="D17" s="87"/>
      <c r="E17" s="280" t="s">
        <v>24</v>
      </c>
      <c r="F17" s="280"/>
    </row>
    <row r="18" spans="1:6" ht="42">
      <c r="A18" s="89" t="s">
        <v>25</v>
      </c>
      <c r="B18" s="90" t="s">
        <v>26</v>
      </c>
      <c r="C18" s="90" t="s">
        <v>27</v>
      </c>
      <c r="D18" s="90" t="s">
        <v>28</v>
      </c>
      <c r="E18" s="90" t="s">
        <v>29</v>
      </c>
      <c r="F18" s="91" t="s">
        <v>30</v>
      </c>
    </row>
    <row r="19" spans="1:6" ht="23.1" customHeight="1">
      <c r="A19" s="92" t="s">
        <v>31</v>
      </c>
      <c r="B19" s="93" t="s">
        <v>32</v>
      </c>
      <c r="C19" s="94" t="s">
        <v>33</v>
      </c>
      <c r="D19" s="95"/>
      <c r="E19" s="95"/>
      <c r="F19" s="96"/>
    </row>
    <row r="20" spans="1:6" ht="23.1" customHeight="1">
      <c r="A20" s="92" t="s">
        <v>34</v>
      </c>
      <c r="B20" s="93" t="s">
        <v>35</v>
      </c>
      <c r="C20" s="94" t="s">
        <v>36</v>
      </c>
      <c r="D20" s="97">
        <v>189306388709</v>
      </c>
      <c r="E20" s="97">
        <v>571520472338</v>
      </c>
      <c r="F20" s="96">
        <v>3.5958999999999999</v>
      </c>
    </row>
    <row r="21" spans="1:6" ht="23.1" customHeight="1">
      <c r="A21" s="92"/>
      <c r="B21" s="93" t="s">
        <v>37</v>
      </c>
      <c r="C21" s="94" t="s">
        <v>38</v>
      </c>
      <c r="D21" s="97">
        <v>0</v>
      </c>
      <c r="E21" s="97">
        <v>0</v>
      </c>
      <c r="F21" s="96">
        <v>0</v>
      </c>
    </row>
    <row r="22" spans="1:6" ht="23.1" customHeight="1">
      <c r="A22" s="92"/>
      <c r="B22" s="93" t="s">
        <v>39</v>
      </c>
      <c r="C22" s="94" t="s">
        <v>40</v>
      </c>
      <c r="D22" s="97">
        <v>189306388709</v>
      </c>
      <c r="E22" s="97">
        <v>571520472338</v>
      </c>
      <c r="F22" s="96">
        <v>3.5958999999999999</v>
      </c>
    </row>
    <row r="23" spans="1:6" ht="33" customHeight="1">
      <c r="A23" s="92"/>
      <c r="B23" s="93" t="s">
        <v>41</v>
      </c>
      <c r="C23" s="94" t="s">
        <v>42</v>
      </c>
      <c r="D23" s="98">
        <v>0</v>
      </c>
      <c r="E23" s="98">
        <v>0</v>
      </c>
      <c r="F23" s="96">
        <v>0</v>
      </c>
    </row>
    <row r="24" spans="1:6" ht="23.1" customHeight="1">
      <c r="A24" s="92"/>
      <c r="B24" s="93" t="s">
        <v>43</v>
      </c>
      <c r="C24" s="94" t="s">
        <v>44</v>
      </c>
      <c r="D24" s="98">
        <v>0</v>
      </c>
      <c r="E24" s="98">
        <v>0</v>
      </c>
      <c r="F24" s="96">
        <v>0</v>
      </c>
    </row>
    <row r="25" spans="1:6" ht="23.1" customHeight="1">
      <c r="A25" s="92"/>
      <c r="B25" s="93" t="s">
        <v>45</v>
      </c>
      <c r="C25" s="94" t="s">
        <v>46</v>
      </c>
      <c r="D25" s="98">
        <v>189306388709</v>
      </c>
      <c r="E25" s="98">
        <v>571520472338</v>
      </c>
      <c r="F25" s="96">
        <v>3.5958999999999999</v>
      </c>
    </row>
    <row r="26" spans="1:6" ht="33" customHeight="1">
      <c r="A26" s="92"/>
      <c r="B26" s="93" t="s">
        <v>47</v>
      </c>
      <c r="C26" s="94" t="s">
        <v>48</v>
      </c>
      <c r="D26" s="98">
        <v>0</v>
      </c>
      <c r="E26" s="98">
        <v>0</v>
      </c>
      <c r="F26" s="96">
        <v>0</v>
      </c>
    </row>
    <row r="27" spans="1:6" ht="23.1" customHeight="1">
      <c r="A27" s="92"/>
      <c r="B27" s="93" t="s">
        <v>49</v>
      </c>
      <c r="C27" s="94" t="s">
        <v>50</v>
      </c>
      <c r="D27" s="98">
        <v>0</v>
      </c>
      <c r="E27" s="98">
        <v>0</v>
      </c>
      <c r="F27" s="96">
        <v>0</v>
      </c>
    </row>
    <row r="28" spans="1:6" ht="23.1" customHeight="1">
      <c r="A28" s="92"/>
      <c r="B28" s="93" t="s">
        <v>51</v>
      </c>
      <c r="C28" s="94" t="s">
        <v>52</v>
      </c>
      <c r="D28" s="97">
        <v>0</v>
      </c>
      <c r="E28" s="97">
        <v>0</v>
      </c>
      <c r="F28" s="96">
        <v>0</v>
      </c>
    </row>
    <row r="29" spans="1:6" ht="23.1" customHeight="1">
      <c r="A29" s="92" t="s">
        <v>53</v>
      </c>
      <c r="B29" s="93" t="s">
        <v>54</v>
      </c>
      <c r="C29" s="94" t="s">
        <v>55</v>
      </c>
      <c r="D29" s="97">
        <v>13982330862850</v>
      </c>
      <c r="E29" s="97">
        <v>13541697092450</v>
      </c>
      <c r="F29" s="96">
        <v>0.78249999999999997</v>
      </c>
    </row>
    <row r="30" spans="1:6" ht="23.1" customHeight="1">
      <c r="A30" s="92"/>
      <c r="B30" s="93" t="s">
        <v>56</v>
      </c>
      <c r="C30" s="94" t="s">
        <v>57</v>
      </c>
      <c r="D30" s="97">
        <v>13982330862850</v>
      </c>
      <c r="E30" s="97">
        <v>13541697092450</v>
      </c>
      <c r="F30" s="96">
        <v>0.78249999999999997</v>
      </c>
    </row>
    <row r="31" spans="1:6" ht="23.1" customHeight="1">
      <c r="A31" s="92"/>
      <c r="B31" s="93" t="s">
        <v>58</v>
      </c>
      <c r="C31" s="94" t="s">
        <v>59</v>
      </c>
      <c r="D31" s="97">
        <v>0</v>
      </c>
      <c r="E31" s="97">
        <v>0</v>
      </c>
      <c r="F31" s="96">
        <v>0</v>
      </c>
    </row>
    <row r="32" spans="1:6" ht="23.1" customHeight="1">
      <c r="A32" s="92"/>
      <c r="B32" s="93" t="s">
        <v>60</v>
      </c>
      <c r="C32" s="94" t="s">
        <v>61</v>
      </c>
      <c r="D32" s="97">
        <v>0</v>
      </c>
      <c r="E32" s="97">
        <v>0</v>
      </c>
      <c r="F32" s="96">
        <v>0</v>
      </c>
    </row>
    <row r="33" spans="1:6" ht="23.1" customHeight="1">
      <c r="A33" s="92"/>
      <c r="B33" s="93" t="s">
        <v>62</v>
      </c>
      <c r="C33" s="94" t="s">
        <v>63</v>
      </c>
      <c r="D33" s="97">
        <v>0</v>
      </c>
      <c r="E33" s="97">
        <v>0</v>
      </c>
      <c r="F33" s="96">
        <v>0</v>
      </c>
    </row>
    <row r="34" spans="1:6" ht="23.1" customHeight="1">
      <c r="A34" s="92"/>
      <c r="B34" s="93" t="s">
        <v>64</v>
      </c>
      <c r="C34" s="94" t="s">
        <v>65</v>
      </c>
      <c r="D34" s="97">
        <v>0</v>
      </c>
      <c r="E34" s="97">
        <v>0</v>
      </c>
      <c r="F34" s="96">
        <v>0</v>
      </c>
    </row>
    <row r="35" spans="1:6" ht="23.1" customHeight="1">
      <c r="A35" s="92"/>
      <c r="B35" s="93" t="s">
        <v>66</v>
      </c>
      <c r="C35" s="94" t="s">
        <v>67</v>
      </c>
      <c r="D35" s="97">
        <v>0</v>
      </c>
      <c r="E35" s="97">
        <v>0</v>
      </c>
      <c r="F35" s="96">
        <v>0</v>
      </c>
    </row>
    <row r="36" spans="1:6" ht="23.1" customHeight="1">
      <c r="A36" s="92"/>
      <c r="B36" s="93" t="s">
        <v>68</v>
      </c>
      <c r="C36" s="94" t="s">
        <v>69</v>
      </c>
      <c r="D36" s="97">
        <v>0</v>
      </c>
      <c r="E36" s="97">
        <v>0</v>
      </c>
      <c r="F36" s="96">
        <v>0</v>
      </c>
    </row>
    <row r="37" spans="1:6" ht="23.1" customHeight="1">
      <c r="A37" s="92"/>
      <c r="B37" s="93" t="s">
        <v>70</v>
      </c>
      <c r="C37" s="94" t="s">
        <v>71</v>
      </c>
      <c r="D37" s="97">
        <v>0</v>
      </c>
      <c r="E37" s="97">
        <v>0</v>
      </c>
      <c r="F37" s="96">
        <v>0</v>
      </c>
    </row>
    <row r="38" spans="1:6" ht="34.5" customHeight="1">
      <c r="A38" s="92" t="s">
        <v>72</v>
      </c>
      <c r="B38" s="93" t="s">
        <v>73</v>
      </c>
      <c r="C38" s="94"/>
      <c r="D38" s="97">
        <v>0</v>
      </c>
      <c r="E38" s="97">
        <v>0</v>
      </c>
      <c r="F38" s="96">
        <v>0</v>
      </c>
    </row>
    <row r="39" spans="1:6" ht="23.1" customHeight="1">
      <c r="A39" s="92" t="s">
        <v>74</v>
      </c>
      <c r="B39" s="93" t="s">
        <v>75</v>
      </c>
      <c r="C39" s="94" t="s">
        <v>76</v>
      </c>
      <c r="D39" s="97">
        <v>103510679312</v>
      </c>
      <c r="E39" s="97">
        <v>12142834600</v>
      </c>
      <c r="F39" s="96">
        <v>44.496699999999997</v>
      </c>
    </row>
    <row r="40" spans="1:6" ht="23.1" customHeight="1">
      <c r="A40" s="92"/>
      <c r="B40" s="93" t="s">
        <v>77</v>
      </c>
      <c r="C40" s="94" t="s">
        <v>78</v>
      </c>
      <c r="D40" s="97">
        <v>103510679312</v>
      </c>
      <c r="E40" s="97">
        <v>12142834600</v>
      </c>
      <c r="F40" s="96">
        <v>44.496699999999997</v>
      </c>
    </row>
    <row r="41" spans="1:6" ht="23.1" customHeight="1">
      <c r="A41" s="92"/>
      <c r="B41" s="93" t="s">
        <v>79</v>
      </c>
      <c r="C41" s="94" t="s">
        <v>80</v>
      </c>
      <c r="D41" s="97">
        <v>0</v>
      </c>
      <c r="E41" s="97">
        <v>0</v>
      </c>
      <c r="F41" s="96">
        <v>0</v>
      </c>
    </row>
    <row r="42" spans="1:6" ht="23.1" customHeight="1">
      <c r="A42" s="92" t="s">
        <v>81</v>
      </c>
      <c r="B42" s="93" t="s">
        <v>82</v>
      </c>
      <c r="C42" s="94" t="s">
        <v>83</v>
      </c>
      <c r="D42" s="97">
        <v>0</v>
      </c>
      <c r="E42" s="97">
        <v>0</v>
      </c>
      <c r="F42" s="96">
        <v>0</v>
      </c>
    </row>
    <row r="43" spans="1:6" ht="33" customHeight="1">
      <c r="A43" s="92"/>
      <c r="B43" s="93" t="s">
        <v>84</v>
      </c>
      <c r="C43" s="94" t="s">
        <v>85</v>
      </c>
      <c r="D43" s="97">
        <v>0</v>
      </c>
      <c r="E43" s="97">
        <v>0</v>
      </c>
      <c r="F43" s="96">
        <v>0</v>
      </c>
    </row>
    <row r="44" spans="1:6" ht="33" customHeight="1">
      <c r="A44" s="92"/>
      <c r="B44" s="93" t="s">
        <v>86</v>
      </c>
      <c r="C44" s="94" t="s">
        <v>87</v>
      </c>
      <c r="D44" s="97">
        <v>0</v>
      </c>
      <c r="E44" s="97">
        <v>0</v>
      </c>
      <c r="F44" s="96">
        <v>0</v>
      </c>
    </row>
    <row r="45" spans="1:6" ht="23.1" customHeight="1">
      <c r="A45" s="92"/>
      <c r="B45" s="93" t="s">
        <v>88</v>
      </c>
      <c r="C45" s="94" t="s">
        <v>89</v>
      </c>
      <c r="D45" s="97">
        <v>0</v>
      </c>
      <c r="E45" s="97">
        <v>0</v>
      </c>
      <c r="F45" s="96">
        <v>0</v>
      </c>
    </row>
    <row r="46" spans="1:6" ht="23.1" customHeight="1">
      <c r="A46" s="92" t="s">
        <v>90</v>
      </c>
      <c r="B46" s="93" t="s">
        <v>91</v>
      </c>
      <c r="C46" s="94" t="s">
        <v>92</v>
      </c>
      <c r="D46" s="97">
        <v>0</v>
      </c>
      <c r="E46" s="97">
        <v>0</v>
      </c>
      <c r="F46" s="96">
        <v>0</v>
      </c>
    </row>
    <row r="47" spans="1:6" ht="23.1" customHeight="1">
      <c r="A47" s="92" t="s">
        <v>93</v>
      </c>
      <c r="B47" s="93" t="s">
        <v>94</v>
      </c>
      <c r="C47" s="94" t="s">
        <v>95</v>
      </c>
      <c r="D47" s="97">
        <v>0</v>
      </c>
      <c r="E47" s="97">
        <v>0</v>
      </c>
      <c r="F47" s="96">
        <v>0</v>
      </c>
    </row>
    <row r="48" spans="1:6" ht="23.1" customHeight="1">
      <c r="A48" s="92" t="s">
        <v>96</v>
      </c>
      <c r="B48" s="93" t="s">
        <v>97</v>
      </c>
      <c r="C48" s="94" t="s">
        <v>98</v>
      </c>
      <c r="D48" s="97">
        <v>0</v>
      </c>
      <c r="E48" s="97">
        <v>0</v>
      </c>
      <c r="F48" s="96">
        <v>0</v>
      </c>
    </row>
    <row r="49" spans="1:6" ht="23.1" customHeight="1">
      <c r="A49" s="92"/>
      <c r="B49" s="93" t="s">
        <v>99</v>
      </c>
      <c r="C49" s="94" t="s">
        <v>100</v>
      </c>
      <c r="D49" s="97">
        <v>0</v>
      </c>
      <c r="E49" s="97">
        <v>0</v>
      </c>
      <c r="F49" s="96">
        <v>0</v>
      </c>
    </row>
    <row r="50" spans="1:6" ht="23.1" customHeight="1">
      <c r="A50" s="92"/>
      <c r="B50" s="93" t="s">
        <v>101</v>
      </c>
      <c r="C50" s="94" t="s">
        <v>102</v>
      </c>
      <c r="D50" s="97">
        <v>0</v>
      </c>
      <c r="E50" s="97">
        <v>0</v>
      </c>
      <c r="F50" s="96">
        <v>0</v>
      </c>
    </row>
    <row r="51" spans="1:6" ht="23.1" customHeight="1">
      <c r="A51" s="92"/>
      <c r="B51" s="93" t="s">
        <v>103</v>
      </c>
      <c r="C51" s="94" t="s">
        <v>104</v>
      </c>
      <c r="D51" s="97">
        <v>0</v>
      </c>
      <c r="E51" s="97">
        <v>0</v>
      </c>
      <c r="F51" s="96">
        <v>0</v>
      </c>
    </row>
    <row r="52" spans="1:6" ht="23.1" customHeight="1">
      <c r="A52" s="92" t="s">
        <v>105</v>
      </c>
      <c r="B52" s="93" t="s">
        <v>106</v>
      </c>
      <c r="C52" s="94" t="s">
        <v>107</v>
      </c>
      <c r="D52" s="97">
        <v>0</v>
      </c>
      <c r="E52" s="97">
        <v>0</v>
      </c>
      <c r="F52" s="96">
        <v>0</v>
      </c>
    </row>
    <row r="53" spans="1:6" ht="23.1" customHeight="1">
      <c r="A53" s="92"/>
      <c r="B53" s="93" t="s">
        <v>108</v>
      </c>
      <c r="C53" s="94" t="s">
        <v>109</v>
      </c>
      <c r="D53" s="97">
        <v>0</v>
      </c>
      <c r="E53" s="97">
        <v>0</v>
      </c>
      <c r="F53" s="96">
        <v>0</v>
      </c>
    </row>
    <row r="54" spans="1:6" ht="23.1" customHeight="1">
      <c r="A54" s="92"/>
      <c r="B54" s="93" t="s">
        <v>110</v>
      </c>
      <c r="C54" s="94" t="s">
        <v>111</v>
      </c>
      <c r="D54" s="97">
        <v>0</v>
      </c>
      <c r="E54" s="97">
        <v>0</v>
      </c>
      <c r="F54" s="96">
        <v>0</v>
      </c>
    </row>
    <row r="55" spans="1:6" ht="23.1" customHeight="1">
      <c r="A55" s="92"/>
      <c r="B55" s="93" t="s">
        <v>112</v>
      </c>
      <c r="C55" s="94" t="s">
        <v>113</v>
      </c>
      <c r="D55" s="97">
        <v>0</v>
      </c>
      <c r="E55" s="97">
        <v>0</v>
      </c>
      <c r="F55" s="96">
        <v>0</v>
      </c>
    </row>
    <row r="56" spans="1:6" ht="23.1" customHeight="1">
      <c r="A56" s="92"/>
      <c r="B56" s="93" t="s">
        <v>114</v>
      </c>
      <c r="C56" s="94" t="s">
        <v>115</v>
      </c>
      <c r="D56" s="97">
        <v>0</v>
      </c>
      <c r="E56" s="97">
        <v>0</v>
      </c>
      <c r="F56" s="96">
        <v>0</v>
      </c>
    </row>
    <row r="57" spans="1:6" ht="44.1" customHeight="1">
      <c r="A57" s="92"/>
      <c r="B57" s="93" t="s">
        <v>116</v>
      </c>
      <c r="C57" s="94" t="s">
        <v>117</v>
      </c>
      <c r="D57" s="97">
        <v>0</v>
      </c>
      <c r="E57" s="97">
        <v>0</v>
      </c>
      <c r="F57" s="96">
        <v>0</v>
      </c>
    </row>
    <row r="58" spans="1:6" s="103" customFormat="1" ht="23.1" customHeight="1">
      <c r="A58" s="99" t="s">
        <v>118</v>
      </c>
      <c r="B58" s="100" t="s">
        <v>119</v>
      </c>
      <c r="C58" s="101" t="s">
        <v>120</v>
      </c>
      <c r="D58" s="95">
        <v>14275147930871</v>
      </c>
      <c r="E58" s="95">
        <v>14125360399388</v>
      </c>
      <c r="F58" s="102">
        <v>0.79590000000000005</v>
      </c>
    </row>
    <row r="59" spans="1:6" ht="23.1" customHeight="1">
      <c r="A59" s="92" t="s">
        <v>121</v>
      </c>
      <c r="B59" s="93" t="s">
        <v>122</v>
      </c>
      <c r="C59" s="94" t="s">
        <v>123</v>
      </c>
      <c r="D59" s="95">
        <v>0</v>
      </c>
      <c r="E59" s="95">
        <v>0</v>
      </c>
      <c r="F59" s="96">
        <v>0</v>
      </c>
    </row>
    <row r="60" spans="1:6" ht="33" customHeight="1">
      <c r="A60" s="92" t="s">
        <v>124</v>
      </c>
      <c r="B60" s="93" t="s">
        <v>125</v>
      </c>
      <c r="C60" s="94"/>
      <c r="D60" s="97">
        <v>0</v>
      </c>
      <c r="E60" s="97">
        <v>0</v>
      </c>
      <c r="F60" s="96">
        <v>0</v>
      </c>
    </row>
    <row r="61" spans="1:6" ht="23.1" customHeight="1">
      <c r="A61" s="92" t="s">
        <v>126</v>
      </c>
      <c r="B61" s="93" t="s">
        <v>127</v>
      </c>
      <c r="C61" s="94" t="s">
        <v>128</v>
      </c>
      <c r="D61" s="97">
        <v>32518960000</v>
      </c>
      <c r="E61" s="97">
        <v>171028545000</v>
      </c>
      <c r="F61" s="96">
        <v>6.5038</v>
      </c>
    </row>
    <row r="62" spans="1:6" ht="23.1" customHeight="1">
      <c r="A62" s="92" t="s">
        <v>129</v>
      </c>
      <c r="B62" s="93" t="s">
        <v>130</v>
      </c>
      <c r="C62" s="94" t="s">
        <v>131</v>
      </c>
      <c r="D62" s="97">
        <v>19093272011</v>
      </c>
      <c r="E62" s="97">
        <v>21976512870</v>
      </c>
      <c r="F62" s="96">
        <v>0.28699999999999998</v>
      </c>
    </row>
    <row r="63" spans="1:6" ht="23.1" customHeight="1">
      <c r="A63" s="92"/>
      <c r="B63" s="93" t="s">
        <v>132</v>
      </c>
      <c r="C63" s="94" t="s">
        <v>133</v>
      </c>
      <c r="D63" s="97">
        <v>1035152235</v>
      </c>
      <c r="E63" s="97">
        <v>4967184447</v>
      </c>
      <c r="F63" s="96">
        <v>2.3300000000000001E-2</v>
      </c>
    </row>
    <row r="64" spans="1:6" ht="23.1" customHeight="1">
      <c r="A64" s="92"/>
      <c r="B64" s="93" t="s">
        <v>134</v>
      </c>
      <c r="C64" s="94" t="s">
        <v>135</v>
      </c>
      <c r="D64" s="98">
        <v>0</v>
      </c>
      <c r="E64" s="98">
        <v>2161370000</v>
      </c>
      <c r="F64" s="96">
        <v>0</v>
      </c>
    </row>
    <row r="65" spans="1:6" ht="23.1" customHeight="1">
      <c r="A65" s="92"/>
      <c r="B65" s="93" t="s">
        <v>136</v>
      </c>
      <c r="C65" s="94" t="s">
        <v>137</v>
      </c>
      <c r="D65" s="98">
        <v>0</v>
      </c>
      <c r="E65" s="98">
        <v>0</v>
      </c>
      <c r="F65" s="96">
        <v>0</v>
      </c>
    </row>
    <row r="66" spans="1:6" ht="23.1" customHeight="1">
      <c r="A66" s="92"/>
      <c r="B66" s="93" t="s">
        <v>138</v>
      </c>
      <c r="C66" s="94" t="s">
        <v>139</v>
      </c>
      <c r="D66" s="98">
        <v>1035152235</v>
      </c>
      <c r="E66" s="98">
        <v>2805814447</v>
      </c>
      <c r="F66" s="96">
        <v>2.3300000000000001E-2</v>
      </c>
    </row>
    <row r="67" spans="1:6" ht="23.1" customHeight="1">
      <c r="A67" s="92"/>
      <c r="B67" s="93" t="s">
        <v>140</v>
      </c>
      <c r="C67" s="94" t="s">
        <v>141</v>
      </c>
      <c r="D67" s="97">
        <v>0</v>
      </c>
      <c r="E67" s="97">
        <v>0</v>
      </c>
      <c r="F67" s="96">
        <v>0</v>
      </c>
    </row>
    <row r="68" spans="1:6" ht="44.1" customHeight="1">
      <c r="A68" s="92"/>
      <c r="B68" s="93" t="s">
        <v>142</v>
      </c>
      <c r="C68" s="94" t="s">
        <v>143</v>
      </c>
      <c r="D68" s="97">
        <v>0</v>
      </c>
      <c r="E68" s="97">
        <v>0</v>
      </c>
      <c r="F68" s="96">
        <v>0</v>
      </c>
    </row>
    <row r="69" spans="1:6" ht="33" customHeight="1">
      <c r="A69" s="92"/>
      <c r="B69" s="93" t="s">
        <v>144</v>
      </c>
      <c r="C69" s="94" t="s">
        <v>145</v>
      </c>
      <c r="D69" s="97">
        <v>0</v>
      </c>
      <c r="E69" s="97">
        <v>0</v>
      </c>
      <c r="F69" s="96">
        <v>0</v>
      </c>
    </row>
    <row r="70" spans="1:6" ht="44.1" customHeight="1">
      <c r="A70" s="92"/>
      <c r="B70" s="93" t="s">
        <v>146</v>
      </c>
      <c r="C70" s="94" t="s">
        <v>147</v>
      </c>
      <c r="D70" s="98">
        <v>0</v>
      </c>
      <c r="E70" s="98">
        <v>0</v>
      </c>
      <c r="F70" s="96">
        <v>0</v>
      </c>
    </row>
    <row r="71" spans="1:6" ht="23.1" customHeight="1">
      <c r="A71" s="92"/>
      <c r="B71" s="93" t="s">
        <v>148</v>
      </c>
      <c r="C71" s="94" t="s">
        <v>149</v>
      </c>
      <c r="D71" s="97">
        <v>0</v>
      </c>
      <c r="E71" s="97">
        <v>0</v>
      </c>
      <c r="F71" s="96">
        <v>0</v>
      </c>
    </row>
    <row r="72" spans="1:6" ht="33" customHeight="1">
      <c r="A72" s="92"/>
      <c r="B72" s="93" t="s">
        <v>150</v>
      </c>
      <c r="C72" s="94" t="s">
        <v>151</v>
      </c>
      <c r="D72" s="97">
        <v>12737683</v>
      </c>
      <c r="E72" s="97">
        <v>11975393</v>
      </c>
      <c r="F72" s="96">
        <v>1.0011000000000001</v>
      </c>
    </row>
    <row r="73" spans="1:6" ht="23.1" customHeight="1">
      <c r="A73" s="92"/>
      <c r="B73" s="93" t="s">
        <v>152</v>
      </c>
      <c r="C73" s="94" t="s">
        <v>153</v>
      </c>
      <c r="D73" s="97">
        <v>9556921524</v>
      </c>
      <c r="E73" s="97">
        <v>9956013731</v>
      </c>
      <c r="F73" s="96">
        <v>0.78259999999999996</v>
      </c>
    </row>
    <row r="74" spans="1:6" ht="23.1" customHeight="1">
      <c r="A74" s="92"/>
      <c r="B74" s="93" t="s">
        <v>154</v>
      </c>
      <c r="C74" s="94" t="s">
        <v>155</v>
      </c>
      <c r="D74" s="97">
        <v>262815341</v>
      </c>
      <c r="E74" s="97">
        <v>273790376</v>
      </c>
      <c r="F74" s="96">
        <v>0.78259999999999996</v>
      </c>
    </row>
    <row r="75" spans="1:6" ht="23.1" customHeight="1">
      <c r="A75" s="92"/>
      <c r="B75" s="93" t="s">
        <v>156</v>
      </c>
      <c r="C75" s="94" t="s">
        <v>157</v>
      </c>
      <c r="D75" s="97">
        <v>525630683</v>
      </c>
      <c r="E75" s="97">
        <v>547580754</v>
      </c>
      <c r="F75" s="96">
        <v>0.78259999999999996</v>
      </c>
    </row>
    <row r="76" spans="1:6" ht="23.1" customHeight="1">
      <c r="A76" s="92"/>
      <c r="B76" s="93" t="s">
        <v>158</v>
      </c>
      <c r="C76" s="94" t="s">
        <v>159</v>
      </c>
      <c r="D76" s="104">
        <v>48778440</v>
      </c>
      <c r="E76" s="104">
        <v>196853574</v>
      </c>
      <c r="F76" s="105">
        <v>6.5038</v>
      </c>
    </row>
    <row r="77" spans="1:6" ht="23.1" customHeight="1">
      <c r="A77" s="92"/>
      <c r="B77" s="93" t="s">
        <v>160</v>
      </c>
      <c r="C77" s="94" t="s">
        <v>161</v>
      </c>
      <c r="D77" s="98">
        <v>48778440</v>
      </c>
      <c r="E77" s="98">
        <v>196853574</v>
      </c>
      <c r="F77" s="96">
        <v>6.5038</v>
      </c>
    </row>
    <row r="78" spans="1:6" ht="23.1" customHeight="1">
      <c r="A78" s="92"/>
      <c r="B78" s="93" t="s">
        <v>162</v>
      </c>
      <c r="C78" s="94" t="s">
        <v>163</v>
      </c>
      <c r="D78" s="106">
        <v>0</v>
      </c>
      <c r="E78" s="98">
        <v>0</v>
      </c>
      <c r="F78" s="96">
        <v>0</v>
      </c>
    </row>
    <row r="79" spans="1:6" ht="23.1" customHeight="1">
      <c r="A79" s="92"/>
      <c r="B79" s="93" t="s">
        <v>164</v>
      </c>
      <c r="C79" s="94" t="s">
        <v>165</v>
      </c>
      <c r="D79" s="97">
        <v>250123037</v>
      </c>
      <c r="E79" s="97">
        <v>259000342</v>
      </c>
      <c r="F79" s="96">
        <v>0.79159999999999997</v>
      </c>
    </row>
    <row r="80" spans="1:6" ht="23.1" customHeight="1">
      <c r="A80" s="92"/>
      <c r="B80" s="93" t="s">
        <v>166</v>
      </c>
      <c r="C80" s="94" t="s">
        <v>167</v>
      </c>
      <c r="D80" s="98">
        <v>238923037</v>
      </c>
      <c r="E80" s="98">
        <v>248900342</v>
      </c>
      <c r="F80" s="96">
        <v>0.78259999999999996</v>
      </c>
    </row>
    <row r="81" spans="1:6" ht="23.1" customHeight="1">
      <c r="A81" s="92"/>
      <c r="B81" s="93" t="s">
        <v>168</v>
      </c>
      <c r="C81" s="94" t="s">
        <v>169</v>
      </c>
      <c r="D81" s="98">
        <v>11200000</v>
      </c>
      <c r="E81" s="98">
        <v>10100000</v>
      </c>
      <c r="F81" s="96">
        <v>1.0467</v>
      </c>
    </row>
    <row r="82" spans="1:6" ht="23.1" customHeight="1">
      <c r="A82" s="92"/>
      <c r="B82" s="93" t="s">
        <v>170</v>
      </c>
      <c r="C82" s="94" t="s">
        <v>171</v>
      </c>
      <c r="D82" s="98">
        <v>0</v>
      </c>
      <c r="E82" s="98">
        <v>0</v>
      </c>
      <c r="F82" s="96">
        <v>0</v>
      </c>
    </row>
    <row r="83" spans="1:6" ht="44.1" customHeight="1">
      <c r="A83" s="92"/>
      <c r="B83" s="93" t="s">
        <v>172</v>
      </c>
      <c r="C83" s="94" t="s">
        <v>173</v>
      </c>
      <c r="D83" s="98">
        <v>0</v>
      </c>
      <c r="E83" s="98">
        <v>0</v>
      </c>
      <c r="F83" s="96">
        <v>0</v>
      </c>
    </row>
    <row r="84" spans="1:6" ht="23.1" customHeight="1">
      <c r="A84" s="92"/>
      <c r="B84" s="93" t="s">
        <v>174</v>
      </c>
      <c r="C84" s="94" t="s">
        <v>175</v>
      </c>
      <c r="D84" s="97">
        <v>131212560</v>
      </c>
      <c r="E84" s="97">
        <v>105125130</v>
      </c>
      <c r="F84" s="96">
        <v>1.1533</v>
      </c>
    </row>
    <row r="85" spans="1:6" ht="23.1" customHeight="1">
      <c r="A85" s="92"/>
      <c r="B85" s="93" t="s">
        <v>176</v>
      </c>
      <c r="C85" s="94" t="s">
        <v>177</v>
      </c>
      <c r="D85" s="97">
        <v>0</v>
      </c>
      <c r="E85" s="97">
        <v>0</v>
      </c>
      <c r="F85" s="96">
        <v>0</v>
      </c>
    </row>
    <row r="86" spans="1:6" ht="23.1" customHeight="1">
      <c r="A86" s="92"/>
      <c r="B86" s="93" t="s">
        <v>178</v>
      </c>
      <c r="C86" s="94" t="s">
        <v>179</v>
      </c>
      <c r="D86" s="97">
        <v>0</v>
      </c>
      <c r="E86" s="97">
        <v>0</v>
      </c>
      <c r="F86" s="96">
        <v>0</v>
      </c>
    </row>
    <row r="87" spans="1:6" ht="23.1" customHeight="1">
      <c r="A87" s="92"/>
      <c r="B87" s="93" t="s">
        <v>180</v>
      </c>
      <c r="C87" s="94" t="s">
        <v>181</v>
      </c>
      <c r="D87" s="97">
        <v>11000000</v>
      </c>
      <c r="E87" s="97">
        <v>5500000</v>
      </c>
      <c r="F87" s="96">
        <v>1</v>
      </c>
    </row>
    <row r="88" spans="1:6" ht="44.1" customHeight="1">
      <c r="A88" s="92"/>
      <c r="B88" s="93" t="s">
        <v>182</v>
      </c>
      <c r="C88" s="94" t="s">
        <v>183</v>
      </c>
      <c r="D88" s="97">
        <v>3357870473</v>
      </c>
      <c r="E88" s="97">
        <v>2760562877</v>
      </c>
      <c r="F88" s="96">
        <v>0.87</v>
      </c>
    </row>
    <row r="89" spans="1:6" ht="23.1" customHeight="1">
      <c r="A89" s="92"/>
      <c r="B89" s="93" t="s">
        <v>184</v>
      </c>
      <c r="C89" s="94" t="s">
        <v>185</v>
      </c>
      <c r="D89" s="97">
        <v>2686296377</v>
      </c>
      <c r="E89" s="97">
        <v>2208450302</v>
      </c>
      <c r="F89" s="96">
        <v>0.87</v>
      </c>
    </row>
    <row r="90" spans="1:6" ht="23.1" customHeight="1">
      <c r="A90" s="92"/>
      <c r="B90" s="93" t="s">
        <v>186</v>
      </c>
      <c r="C90" s="94" t="s">
        <v>187</v>
      </c>
      <c r="D90" s="97">
        <v>1214733658</v>
      </c>
      <c r="E90" s="97">
        <v>684475944</v>
      </c>
      <c r="F90" s="96">
        <v>0.85040000000000004</v>
      </c>
    </row>
    <row r="91" spans="1:6" ht="23.1" customHeight="1">
      <c r="A91" s="92"/>
      <c r="B91" s="93" t="s">
        <v>188</v>
      </c>
      <c r="C91" s="94" t="s">
        <v>189</v>
      </c>
      <c r="D91" s="97">
        <v>0</v>
      </c>
      <c r="E91" s="97">
        <v>0</v>
      </c>
      <c r="F91" s="96">
        <v>0</v>
      </c>
    </row>
    <row r="92" spans="1:6" ht="23.1" customHeight="1">
      <c r="A92" s="92"/>
      <c r="B92" s="93" t="s">
        <v>190</v>
      </c>
      <c r="C92" s="94" t="s">
        <v>191</v>
      </c>
      <c r="D92" s="98">
        <v>0</v>
      </c>
      <c r="E92" s="98">
        <v>0</v>
      </c>
      <c r="F92" s="96">
        <v>0</v>
      </c>
    </row>
    <row r="93" spans="1:6" ht="33" customHeight="1">
      <c r="A93" s="92"/>
      <c r="B93" s="93" t="s">
        <v>192</v>
      </c>
      <c r="C93" s="94" t="s">
        <v>193</v>
      </c>
      <c r="D93" s="98">
        <v>0</v>
      </c>
      <c r="E93" s="98">
        <v>0</v>
      </c>
      <c r="F93" s="96">
        <v>0</v>
      </c>
    </row>
    <row r="94" spans="1:6" ht="23.1" customHeight="1">
      <c r="A94" s="92"/>
      <c r="B94" s="93" t="s">
        <v>194</v>
      </c>
      <c r="C94" s="94" t="s">
        <v>195</v>
      </c>
      <c r="D94" s="98">
        <v>0</v>
      </c>
      <c r="E94" s="98">
        <v>0</v>
      </c>
      <c r="F94" s="96">
        <v>0</v>
      </c>
    </row>
    <row r="95" spans="1:6" ht="23.1" customHeight="1">
      <c r="A95" s="92"/>
      <c r="B95" s="93" t="s">
        <v>196</v>
      </c>
      <c r="C95" s="94" t="s">
        <v>197</v>
      </c>
      <c r="D95" s="98">
        <v>0</v>
      </c>
      <c r="E95" s="98">
        <v>0</v>
      </c>
      <c r="F95" s="96">
        <v>0</v>
      </c>
    </row>
    <row r="96" spans="1:6" ht="33" customHeight="1">
      <c r="A96" s="92"/>
      <c r="B96" s="93" t="s">
        <v>198</v>
      </c>
      <c r="C96" s="94" t="s">
        <v>199</v>
      </c>
      <c r="D96" s="98">
        <v>0</v>
      </c>
      <c r="E96" s="98">
        <v>0</v>
      </c>
      <c r="F96" s="96">
        <v>0</v>
      </c>
    </row>
    <row r="97" spans="1:6" ht="23.1" customHeight="1">
      <c r="A97" s="92"/>
      <c r="B97" s="93" t="s">
        <v>200</v>
      </c>
      <c r="C97" s="94" t="s">
        <v>201</v>
      </c>
      <c r="D97" s="98">
        <v>0</v>
      </c>
      <c r="E97" s="98">
        <v>0</v>
      </c>
      <c r="F97" s="96">
        <v>0</v>
      </c>
    </row>
    <row r="98" spans="1:6" ht="23.1" customHeight="1">
      <c r="A98" s="92"/>
      <c r="B98" s="93" t="s">
        <v>202</v>
      </c>
      <c r="C98" s="94" t="s">
        <v>203</v>
      </c>
      <c r="D98" s="98">
        <v>0</v>
      </c>
      <c r="E98" s="98">
        <v>0</v>
      </c>
      <c r="F98" s="96">
        <v>0</v>
      </c>
    </row>
    <row r="99" spans="1:6" ht="23.1" customHeight="1">
      <c r="A99" s="92"/>
      <c r="B99" s="93" t="s">
        <v>204</v>
      </c>
      <c r="C99" s="94" t="s">
        <v>205</v>
      </c>
      <c r="D99" s="98">
        <v>0</v>
      </c>
      <c r="E99" s="98">
        <v>0</v>
      </c>
      <c r="F99" s="96">
        <v>0</v>
      </c>
    </row>
    <row r="100" spans="1:6" ht="23.1" customHeight="1">
      <c r="A100" s="92"/>
      <c r="B100" s="93" t="s">
        <v>206</v>
      </c>
      <c r="C100" s="94" t="s">
        <v>207</v>
      </c>
      <c r="D100" s="97">
        <v>0</v>
      </c>
      <c r="E100" s="97">
        <v>0</v>
      </c>
      <c r="F100" s="96">
        <v>0</v>
      </c>
    </row>
    <row r="101" spans="1:6" ht="23.1" customHeight="1">
      <c r="A101" s="92"/>
      <c r="B101" s="93" t="s">
        <v>208</v>
      </c>
      <c r="C101" s="94" t="s">
        <v>209</v>
      </c>
      <c r="D101" s="98">
        <v>0</v>
      </c>
      <c r="E101" s="98">
        <v>0</v>
      </c>
      <c r="F101" s="96">
        <v>0</v>
      </c>
    </row>
    <row r="102" spans="1:6" ht="23.1" customHeight="1">
      <c r="A102" s="92"/>
      <c r="B102" s="93" t="s">
        <v>210</v>
      </c>
      <c r="C102" s="94" t="s">
        <v>211</v>
      </c>
      <c r="D102" s="98">
        <v>0</v>
      </c>
      <c r="E102" s="98">
        <v>0</v>
      </c>
      <c r="F102" s="96">
        <v>0</v>
      </c>
    </row>
    <row r="103" spans="1:6" s="103" customFormat="1" ht="23.1" customHeight="1">
      <c r="A103" s="99" t="s">
        <v>212</v>
      </c>
      <c r="B103" s="100" t="s">
        <v>213</v>
      </c>
      <c r="C103" s="101" t="s">
        <v>214</v>
      </c>
      <c r="D103" s="95">
        <v>51612232011</v>
      </c>
      <c r="E103" s="95">
        <v>193005057870</v>
      </c>
      <c r="F103" s="102">
        <v>0.72170000000000001</v>
      </c>
    </row>
    <row r="104" spans="1:6" s="103" customFormat="1" ht="23.1" customHeight="1">
      <c r="A104" s="99"/>
      <c r="B104" s="100" t="s">
        <v>215</v>
      </c>
      <c r="C104" s="101" t="s">
        <v>216</v>
      </c>
      <c r="D104" s="95">
        <v>14223535698860</v>
      </c>
      <c r="E104" s="95">
        <v>13932355341518</v>
      </c>
      <c r="F104" s="102">
        <v>0.79620000000000002</v>
      </c>
    </row>
    <row r="105" spans="1:6" ht="23.1" customHeight="1">
      <c r="A105" s="92"/>
      <c r="B105" s="93" t="s">
        <v>217</v>
      </c>
      <c r="C105" s="94" t="s">
        <v>218</v>
      </c>
      <c r="D105" s="97">
        <v>447800000</v>
      </c>
      <c r="E105" s="97">
        <v>456600000</v>
      </c>
      <c r="F105" s="96">
        <v>0.56520000000000004</v>
      </c>
    </row>
    <row r="106" spans="1:6" ht="23.1" customHeight="1">
      <c r="A106" s="107"/>
      <c r="B106" s="108" t="s">
        <v>219</v>
      </c>
      <c r="C106" s="109" t="s">
        <v>220</v>
      </c>
      <c r="D106" s="110">
        <v>31763.14</v>
      </c>
      <c r="E106" s="110">
        <v>30513.26</v>
      </c>
      <c r="F106" s="111">
        <v>1.4087000000000001</v>
      </c>
    </row>
    <row r="107" spans="1:6" ht="2.25" customHeight="1">
      <c r="A107" s="281"/>
      <c r="B107" s="281"/>
      <c r="C107" s="281"/>
      <c r="D107" s="281"/>
      <c r="E107" s="281"/>
      <c r="F107" s="281"/>
    </row>
    <row r="108" spans="1:6" ht="2.25" customHeight="1">
      <c r="A108" s="84"/>
      <c r="B108" s="84"/>
      <c r="C108" s="112"/>
      <c r="D108" s="84"/>
      <c r="E108" s="84"/>
      <c r="F108" s="84"/>
    </row>
    <row r="109" spans="1:6" ht="12.75" customHeight="1">
      <c r="A109" s="273" t="s">
        <v>221</v>
      </c>
      <c r="B109" s="273"/>
      <c r="C109" s="273"/>
      <c r="D109" s="273" t="s">
        <v>222</v>
      </c>
      <c r="E109" s="273"/>
      <c r="F109" s="273"/>
    </row>
    <row r="110" spans="1:6" ht="12.75" customHeight="1">
      <c r="A110" s="276" t="s">
        <v>223</v>
      </c>
      <c r="B110" s="276"/>
      <c r="C110" s="276"/>
      <c r="D110" s="283" t="s">
        <v>224</v>
      </c>
      <c r="E110" s="283"/>
      <c r="F110" s="283"/>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73" t="s">
        <v>225</v>
      </c>
      <c r="B116" s="273"/>
      <c r="C116" s="273"/>
      <c r="D116" s="273" t="s">
        <v>226</v>
      </c>
      <c r="E116" s="273"/>
      <c r="F116" s="273"/>
    </row>
    <row r="117" spans="1:6" ht="12.75" customHeight="1">
      <c r="A117" s="282" t="s">
        <v>227</v>
      </c>
      <c r="B117" s="282"/>
      <c r="C117" s="282"/>
      <c r="D117" s="282" t="s">
        <v>228</v>
      </c>
      <c r="E117" s="282"/>
      <c r="F117" s="282"/>
    </row>
    <row r="118" spans="1:6" ht="12.75" customHeight="1">
      <c r="A118" s="282" t="s">
        <v>229</v>
      </c>
      <c r="B118" s="282"/>
      <c r="C118" s="282"/>
      <c r="D118" s="282" t="s">
        <v>230</v>
      </c>
      <c r="E118" s="282"/>
      <c r="F118" s="28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39370078740157483" bottom="0.39370078740157483" header="0.19685039370078741" footer="0.19685039370078741"/>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zoomScaleNormal="100" workbookViewId="0">
      <selection activeCell="G19" sqref="G19"/>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c r="A1" s="272"/>
      <c r="B1" s="272"/>
      <c r="C1" s="82"/>
      <c r="D1" s="273" t="s">
        <v>0</v>
      </c>
      <c r="E1" s="273"/>
      <c r="F1" s="273"/>
    </row>
    <row r="2" spans="1:6" ht="27.75" customHeight="1">
      <c r="A2" s="274" t="s">
        <v>1</v>
      </c>
      <c r="B2" s="274"/>
      <c r="C2" s="274"/>
      <c r="D2" s="274"/>
      <c r="E2" s="274"/>
      <c r="F2" s="274"/>
    </row>
    <row r="3" spans="1:6" ht="4.5" customHeight="1">
      <c r="A3" s="84"/>
      <c r="B3" s="84"/>
      <c r="C3" s="84"/>
      <c r="D3" s="84"/>
      <c r="E3" s="84"/>
      <c r="F3" s="84"/>
    </row>
    <row r="4" spans="1:6" ht="28.5" customHeight="1">
      <c r="A4" s="275" t="s">
        <v>231</v>
      </c>
      <c r="B4" s="275"/>
      <c r="C4" s="275"/>
      <c r="D4" s="275"/>
      <c r="E4" s="275"/>
      <c r="F4" s="275"/>
    </row>
    <row r="5" spans="1:6" s="113" customFormat="1" ht="16.5" customHeight="1">
      <c r="A5" s="276" t="s">
        <v>3</v>
      </c>
      <c r="B5" s="276"/>
      <c r="C5" s="276"/>
      <c r="D5" s="276"/>
      <c r="E5" s="276"/>
      <c r="F5" s="276"/>
    </row>
    <row r="6" spans="1:6" ht="12" customHeight="1">
      <c r="A6" s="114" t="s">
        <v>4</v>
      </c>
      <c r="B6" s="86" t="s">
        <v>232</v>
      </c>
      <c r="C6" s="271" t="s">
        <v>6</v>
      </c>
      <c r="D6" s="271"/>
      <c r="E6" s="271"/>
      <c r="F6" s="271"/>
    </row>
    <row r="7" spans="1:6" ht="12" customHeight="1">
      <c r="A7" s="84"/>
      <c r="B7" s="84" t="s">
        <v>7</v>
      </c>
      <c r="C7" s="272" t="s">
        <v>8</v>
      </c>
      <c r="D7" s="272"/>
      <c r="E7" s="272"/>
      <c r="F7" s="272"/>
    </row>
    <row r="8" spans="1:6" ht="12" customHeight="1">
      <c r="A8" s="85" t="s">
        <v>9</v>
      </c>
      <c r="B8" s="86" t="s">
        <v>10</v>
      </c>
      <c r="C8" s="271" t="s">
        <v>11</v>
      </c>
      <c r="D8" s="271"/>
      <c r="E8" s="271"/>
      <c r="F8" s="271"/>
    </row>
    <row r="9" spans="1:6" ht="12" customHeight="1">
      <c r="A9" s="84"/>
      <c r="B9" s="84" t="s">
        <v>12</v>
      </c>
      <c r="C9" s="272" t="s">
        <v>13</v>
      </c>
      <c r="D9" s="272"/>
      <c r="E9" s="272"/>
      <c r="F9" s="272"/>
    </row>
    <row r="10" spans="1:6" ht="12" customHeight="1">
      <c r="A10" s="85" t="s">
        <v>14</v>
      </c>
      <c r="B10" s="86" t="s">
        <v>15</v>
      </c>
      <c r="C10" s="271" t="s">
        <v>16</v>
      </c>
      <c r="D10" s="271"/>
      <c r="E10" s="271"/>
      <c r="F10" s="271"/>
    </row>
    <row r="11" spans="1:6" ht="12" customHeight="1">
      <c r="A11" s="84"/>
      <c r="B11" s="84" t="s">
        <v>17</v>
      </c>
      <c r="C11" s="272" t="s">
        <v>18</v>
      </c>
      <c r="D11" s="272"/>
      <c r="E11" s="272"/>
      <c r="F11" s="272"/>
    </row>
    <row r="12" spans="1:6" ht="12" customHeight="1">
      <c r="A12" s="85" t="s">
        <v>19</v>
      </c>
      <c r="B12" s="86" t="s">
        <v>20</v>
      </c>
      <c r="C12" s="277">
        <v>45449</v>
      </c>
      <c r="D12" s="277"/>
      <c r="E12" s="277"/>
      <c r="F12" s="277"/>
    </row>
    <row r="13" spans="1:6" ht="12" customHeight="1">
      <c r="A13" s="84"/>
      <c r="B13" s="84" t="s">
        <v>21</v>
      </c>
      <c r="C13" s="278">
        <v>45449</v>
      </c>
      <c r="D13" s="278"/>
      <c r="E13" s="278"/>
      <c r="F13" s="278"/>
    </row>
    <row r="14" spans="1:6">
      <c r="A14" s="84"/>
      <c r="B14" s="84"/>
      <c r="C14" s="84"/>
      <c r="D14" s="84"/>
      <c r="E14" s="84"/>
      <c r="F14" s="84"/>
    </row>
    <row r="15" spans="1:6" ht="12" customHeight="1">
      <c r="A15" s="279" t="s">
        <v>22</v>
      </c>
      <c r="B15" s="279"/>
      <c r="C15" s="279"/>
      <c r="D15" s="279"/>
      <c r="E15" s="279"/>
      <c r="F15" s="279"/>
    </row>
    <row r="16" spans="1:6" ht="12" customHeight="1">
      <c r="A16" s="271" t="s">
        <v>233</v>
      </c>
      <c r="B16" s="271"/>
      <c r="C16" s="271"/>
      <c r="D16" s="271"/>
      <c r="E16" s="271"/>
      <c r="F16" s="271"/>
    </row>
    <row r="17" spans="1:6">
      <c r="A17" s="87"/>
      <c r="B17" s="88"/>
      <c r="C17" s="87"/>
      <c r="D17" s="87"/>
      <c r="E17" s="280" t="s">
        <v>24</v>
      </c>
      <c r="F17" s="280"/>
    </row>
    <row r="18" spans="1:6" s="115" customFormat="1" ht="48" customHeight="1">
      <c r="A18" s="89" t="s">
        <v>25</v>
      </c>
      <c r="B18" s="90" t="s">
        <v>26</v>
      </c>
      <c r="C18" s="90" t="s">
        <v>27</v>
      </c>
      <c r="D18" s="90" t="s">
        <v>234</v>
      </c>
      <c r="E18" s="90" t="s">
        <v>235</v>
      </c>
      <c r="F18" s="91" t="s">
        <v>236</v>
      </c>
    </row>
    <row r="19" spans="1:6" s="115" customFormat="1" ht="21">
      <c r="A19" s="116" t="s">
        <v>31</v>
      </c>
      <c r="B19" s="117" t="s">
        <v>237</v>
      </c>
      <c r="C19" s="118" t="s">
        <v>238</v>
      </c>
      <c r="D19" s="95">
        <v>131671784998</v>
      </c>
      <c r="E19" s="95">
        <v>22824502294</v>
      </c>
      <c r="F19" s="119">
        <v>183667507999</v>
      </c>
    </row>
    <row r="20" spans="1:6" s="115" customFormat="1" ht="21">
      <c r="A20" s="120" t="s">
        <v>4</v>
      </c>
      <c r="B20" s="121" t="s">
        <v>239</v>
      </c>
      <c r="C20" s="122"/>
      <c r="D20" s="97">
        <v>0</v>
      </c>
      <c r="E20" s="97">
        <v>0</v>
      </c>
      <c r="F20" s="123">
        <v>0</v>
      </c>
    </row>
    <row r="21" spans="1:6" s="115" customFormat="1" ht="21">
      <c r="A21" s="120" t="s">
        <v>9</v>
      </c>
      <c r="B21" s="121" t="s">
        <v>240</v>
      </c>
      <c r="C21" s="122" t="s">
        <v>241</v>
      </c>
      <c r="D21" s="97">
        <v>131601495312</v>
      </c>
      <c r="E21" s="97">
        <v>22797615600</v>
      </c>
      <c r="F21" s="123">
        <v>183449423712</v>
      </c>
    </row>
    <row r="22" spans="1:6" s="115" customFormat="1" ht="21">
      <c r="A22" s="124"/>
      <c r="B22" s="125" t="s">
        <v>242</v>
      </c>
      <c r="C22" s="126" t="s">
        <v>243</v>
      </c>
      <c r="D22" s="98">
        <v>131601495312</v>
      </c>
      <c r="E22" s="98">
        <v>22797615600</v>
      </c>
      <c r="F22" s="127">
        <v>183449423712</v>
      </c>
    </row>
    <row r="23" spans="1:6" s="115" customFormat="1" ht="21">
      <c r="A23" s="124"/>
      <c r="B23" s="125" t="s">
        <v>244</v>
      </c>
      <c r="C23" s="126" t="s">
        <v>245</v>
      </c>
      <c r="D23" s="98">
        <v>0</v>
      </c>
      <c r="E23" s="98">
        <v>0</v>
      </c>
      <c r="F23" s="127">
        <v>0</v>
      </c>
    </row>
    <row r="24" spans="1:6" s="115" customFormat="1" ht="21">
      <c r="A24" s="120" t="s">
        <v>14</v>
      </c>
      <c r="B24" s="121" t="s">
        <v>246</v>
      </c>
      <c r="C24" s="122" t="s">
        <v>247</v>
      </c>
      <c r="D24" s="97">
        <v>70289686</v>
      </c>
      <c r="E24" s="97">
        <v>26886694</v>
      </c>
      <c r="F24" s="123">
        <v>218084287</v>
      </c>
    </row>
    <row r="25" spans="1:6" s="115" customFormat="1" ht="21">
      <c r="A25" s="124"/>
      <c r="B25" s="125" t="s">
        <v>248</v>
      </c>
      <c r="C25" s="126" t="s">
        <v>249</v>
      </c>
      <c r="D25" s="98">
        <v>70289686</v>
      </c>
      <c r="E25" s="98">
        <v>26886694</v>
      </c>
      <c r="F25" s="127">
        <v>218084287</v>
      </c>
    </row>
    <row r="26" spans="1:6" s="115" customFormat="1" ht="21">
      <c r="A26" s="124"/>
      <c r="B26" s="125" t="s">
        <v>250</v>
      </c>
      <c r="C26" s="126" t="s">
        <v>251</v>
      </c>
      <c r="D26" s="98">
        <v>0</v>
      </c>
      <c r="E26" s="98">
        <v>0</v>
      </c>
      <c r="F26" s="127">
        <v>0</v>
      </c>
    </row>
    <row r="27" spans="1:6" s="115" customFormat="1" ht="21">
      <c r="A27" s="120" t="s">
        <v>19</v>
      </c>
      <c r="B27" s="121" t="s">
        <v>252</v>
      </c>
      <c r="C27" s="122" t="s">
        <v>253</v>
      </c>
      <c r="D27" s="97">
        <v>0</v>
      </c>
      <c r="E27" s="97">
        <v>0</v>
      </c>
      <c r="F27" s="123">
        <v>0</v>
      </c>
    </row>
    <row r="28" spans="1:6" s="115" customFormat="1" ht="21">
      <c r="A28" s="124"/>
      <c r="B28" s="125" t="s">
        <v>254</v>
      </c>
      <c r="C28" s="126" t="s">
        <v>255</v>
      </c>
      <c r="D28" s="98">
        <v>0</v>
      </c>
      <c r="E28" s="98">
        <v>0</v>
      </c>
      <c r="F28" s="127">
        <v>0</v>
      </c>
    </row>
    <row r="29" spans="1:6" s="115" customFormat="1" ht="21">
      <c r="A29" s="124"/>
      <c r="B29" s="125" t="s">
        <v>256</v>
      </c>
      <c r="C29" s="126" t="s">
        <v>257</v>
      </c>
      <c r="D29" s="98">
        <v>0</v>
      </c>
      <c r="E29" s="98">
        <v>0</v>
      </c>
      <c r="F29" s="127">
        <v>0</v>
      </c>
    </row>
    <row r="30" spans="1:6" s="115" customFormat="1" ht="53.25" customHeight="1">
      <c r="A30" s="124"/>
      <c r="B30" s="125" t="s">
        <v>258</v>
      </c>
      <c r="C30" s="126" t="s">
        <v>259</v>
      </c>
      <c r="D30" s="98">
        <v>0</v>
      </c>
      <c r="E30" s="98">
        <v>0</v>
      </c>
      <c r="F30" s="127">
        <v>0</v>
      </c>
    </row>
    <row r="31" spans="1:6" s="115" customFormat="1" ht="21">
      <c r="A31" s="116" t="s">
        <v>121</v>
      </c>
      <c r="B31" s="117" t="s">
        <v>260</v>
      </c>
      <c r="C31" s="118" t="s">
        <v>261</v>
      </c>
      <c r="D31" s="95">
        <v>18153939578</v>
      </c>
      <c r="E31" s="95">
        <v>14407127780</v>
      </c>
      <c r="F31" s="119">
        <v>82312295136</v>
      </c>
    </row>
    <row r="32" spans="1:6" s="115" customFormat="1" ht="21">
      <c r="A32" s="120" t="s">
        <v>4</v>
      </c>
      <c r="B32" s="121" t="s">
        <v>262</v>
      </c>
      <c r="C32" s="122" t="s">
        <v>263</v>
      </c>
      <c r="D32" s="97">
        <v>9556921524</v>
      </c>
      <c r="E32" s="97">
        <v>9956013731</v>
      </c>
      <c r="F32" s="123">
        <v>53725927593</v>
      </c>
    </row>
    <row r="33" spans="1:6" s="115" customFormat="1" ht="21">
      <c r="A33" s="120" t="s">
        <v>9</v>
      </c>
      <c r="B33" s="121" t="s">
        <v>264</v>
      </c>
      <c r="C33" s="122" t="s">
        <v>265</v>
      </c>
      <c r="D33" s="97">
        <v>876281749</v>
      </c>
      <c r="E33" s="97">
        <v>916782059</v>
      </c>
      <c r="F33" s="123">
        <v>4960033942</v>
      </c>
    </row>
    <row r="34" spans="1:6" s="115" customFormat="1" ht="21">
      <c r="A34" s="124"/>
      <c r="B34" s="125" t="s">
        <v>266</v>
      </c>
      <c r="C34" s="126" t="s">
        <v>267</v>
      </c>
      <c r="D34" s="98">
        <v>238923037</v>
      </c>
      <c r="E34" s="98">
        <v>248900342</v>
      </c>
      <c r="F34" s="127">
        <v>1343148189</v>
      </c>
    </row>
    <row r="35" spans="1:6" s="115" customFormat="1" ht="21">
      <c r="A35" s="124"/>
      <c r="B35" s="125" t="s">
        <v>268</v>
      </c>
      <c r="C35" s="126" t="s">
        <v>269</v>
      </c>
      <c r="D35" s="98">
        <v>11200000</v>
      </c>
      <c r="E35" s="98">
        <v>5300000</v>
      </c>
      <c r="F35" s="127">
        <v>44700000</v>
      </c>
    </row>
    <row r="36" spans="1:6" s="115" customFormat="1" ht="21">
      <c r="A36" s="124"/>
      <c r="B36" s="125" t="s">
        <v>170</v>
      </c>
      <c r="C36" s="126" t="s">
        <v>270</v>
      </c>
      <c r="D36" s="98">
        <v>100528029</v>
      </c>
      <c r="E36" s="98">
        <v>115000963</v>
      </c>
      <c r="F36" s="127">
        <v>617259738</v>
      </c>
    </row>
    <row r="37" spans="1:6" s="115" customFormat="1" ht="21">
      <c r="A37" s="124"/>
      <c r="B37" s="125" t="s">
        <v>271</v>
      </c>
      <c r="C37" s="126" t="s">
        <v>272</v>
      </c>
      <c r="D37" s="98">
        <v>525630683</v>
      </c>
      <c r="E37" s="98">
        <v>547580754</v>
      </c>
      <c r="F37" s="127">
        <v>2954926015</v>
      </c>
    </row>
    <row r="38" spans="1:6" s="115" customFormat="1" ht="42">
      <c r="A38" s="124"/>
      <c r="B38" s="125" t="s">
        <v>172</v>
      </c>
      <c r="C38" s="126" t="s">
        <v>273</v>
      </c>
      <c r="D38" s="98">
        <v>0</v>
      </c>
      <c r="E38" s="98">
        <v>0</v>
      </c>
      <c r="F38" s="127">
        <v>0</v>
      </c>
    </row>
    <row r="39" spans="1:6" s="115" customFormat="1" ht="52.5">
      <c r="A39" s="120" t="s">
        <v>14</v>
      </c>
      <c r="B39" s="121" t="s">
        <v>274</v>
      </c>
      <c r="C39" s="122" t="s">
        <v>275</v>
      </c>
      <c r="D39" s="97">
        <v>1873726726</v>
      </c>
      <c r="E39" s="97">
        <v>2083817862</v>
      </c>
      <c r="F39" s="123">
        <v>10935778245</v>
      </c>
    </row>
    <row r="40" spans="1:6" s="115" customFormat="1" ht="21">
      <c r="A40" s="124"/>
      <c r="B40" s="125" t="s">
        <v>276</v>
      </c>
      <c r="C40" s="126" t="s">
        <v>277</v>
      </c>
      <c r="D40" s="98">
        <v>262815341</v>
      </c>
      <c r="E40" s="98">
        <v>273790376</v>
      </c>
      <c r="F40" s="127">
        <v>1477463008</v>
      </c>
    </row>
    <row r="41" spans="1:6" s="115" customFormat="1" ht="21">
      <c r="A41" s="124"/>
      <c r="B41" s="125" t="s">
        <v>278</v>
      </c>
      <c r="C41" s="126" t="s">
        <v>279</v>
      </c>
      <c r="D41" s="98">
        <v>5500000</v>
      </c>
      <c r="E41" s="98">
        <v>5500000</v>
      </c>
      <c r="F41" s="127">
        <v>27500000</v>
      </c>
    </row>
    <row r="42" spans="1:6" s="115" customFormat="1" ht="31.5">
      <c r="A42" s="124"/>
      <c r="B42" s="125" t="s">
        <v>280</v>
      </c>
      <c r="C42" s="126" t="s">
        <v>281</v>
      </c>
      <c r="D42" s="98">
        <v>597307596</v>
      </c>
      <c r="E42" s="98">
        <v>622250857</v>
      </c>
      <c r="F42" s="127">
        <v>3357870473</v>
      </c>
    </row>
    <row r="43" spans="1:6" s="115" customFormat="1" ht="21">
      <c r="A43" s="124"/>
      <c r="B43" s="125" t="s">
        <v>282</v>
      </c>
      <c r="C43" s="126" t="s">
        <v>283</v>
      </c>
      <c r="D43" s="98">
        <v>477846075</v>
      </c>
      <c r="E43" s="98">
        <v>497800685</v>
      </c>
      <c r="F43" s="127">
        <v>2686296377</v>
      </c>
    </row>
    <row r="44" spans="1:6" s="115" customFormat="1" ht="21">
      <c r="A44" s="124"/>
      <c r="B44" s="125" t="s">
        <v>284</v>
      </c>
      <c r="C44" s="126" t="s">
        <v>285</v>
      </c>
      <c r="D44" s="98">
        <v>530257714</v>
      </c>
      <c r="E44" s="98">
        <v>684475944</v>
      </c>
      <c r="F44" s="127">
        <v>3386648387</v>
      </c>
    </row>
    <row r="45" spans="1:6" s="115" customFormat="1" ht="21">
      <c r="A45" s="120" t="s">
        <v>19</v>
      </c>
      <c r="B45" s="121" t="s">
        <v>286</v>
      </c>
      <c r="C45" s="122"/>
      <c r="D45" s="97">
        <v>0</v>
      </c>
      <c r="E45" s="97">
        <v>0</v>
      </c>
      <c r="F45" s="123">
        <v>0</v>
      </c>
    </row>
    <row r="46" spans="1:6" s="115" customFormat="1" ht="21">
      <c r="A46" s="120" t="s">
        <v>287</v>
      </c>
      <c r="B46" s="121" t="s">
        <v>288</v>
      </c>
      <c r="C46" s="122"/>
      <c r="D46" s="97">
        <v>0</v>
      </c>
      <c r="E46" s="97">
        <v>0</v>
      </c>
      <c r="F46" s="123">
        <v>0</v>
      </c>
    </row>
    <row r="47" spans="1:6" s="115" customFormat="1" ht="21">
      <c r="A47" s="120" t="s">
        <v>289</v>
      </c>
      <c r="B47" s="121" t="s">
        <v>290</v>
      </c>
      <c r="C47" s="122" t="s">
        <v>291</v>
      </c>
      <c r="D47" s="97">
        <v>26087430</v>
      </c>
      <c r="E47" s="97">
        <v>25407400</v>
      </c>
      <c r="F47" s="123">
        <v>128074060</v>
      </c>
    </row>
    <row r="48" spans="1:6" s="115" customFormat="1" ht="52.5">
      <c r="A48" s="120" t="s">
        <v>292</v>
      </c>
      <c r="B48" s="121" t="s">
        <v>293</v>
      </c>
      <c r="C48" s="122" t="s">
        <v>294</v>
      </c>
      <c r="D48" s="97">
        <v>36428956</v>
      </c>
      <c r="E48" s="97">
        <v>9737701</v>
      </c>
      <c r="F48" s="123">
        <v>75404349</v>
      </c>
    </row>
    <row r="49" spans="1:6" s="115" customFormat="1" ht="21">
      <c r="A49" s="124"/>
      <c r="B49" s="125" t="s">
        <v>295</v>
      </c>
      <c r="C49" s="126" t="s">
        <v>296</v>
      </c>
      <c r="D49" s="98">
        <v>9762290</v>
      </c>
      <c r="E49" s="98">
        <v>9737701</v>
      </c>
      <c r="F49" s="127">
        <v>48737683</v>
      </c>
    </row>
    <row r="50" spans="1:6" s="115" customFormat="1" ht="21">
      <c r="A50" s="124"/>
      <c r="B50" s="125" t="s">
        <v>297</v>
      </c>
      <c r="C50" s="126" t="s">
        <v>298</v>
      </c>
      <c r="D50" s="98">
        <v>0</v>
      </c>
      <c r="E50" s="98">
        <v>0</v>
      </c>
      <c r="F50" s="127">
        <v>0</v>
      </c>
    </row>
    <row r="51" spans="1:6" s="115" customFormat="1" ht="21">
      <c r="A51" s="124"/>
      <c r="B51" s="125" t="s">
        <v>299</v>
      </c>
      <c r="C51" s="126" t="s">
        <v>300</v>
      </c>
      <c r="D51" s="98">
        <v>26666666</v>
      </c>
      <c r="E51" s="98">
        <v>0</v>
      </c>
      <c r="F51" s="127">
        <v>26666666</v>
      </c>
    </row>
    <row r="52" spans="1:6" s="115" customFormat="1" ht="115.5">
      <c r="A52" s="120" t="s">
        <v>301</v>
      </c>
      <c r="B52" s="121" t="s">
        <v>302</v>
      </c>
      <c r="C52" s="122" t="s">
        <v>303</v>
      </c>
      <c r="D52" s="97">
        <v>22877334</v>
      </c>
      <c r="E52" s="97">
        <v>23814000</v>
      </c>
      <c r="F52" s="123">
        <v>72341334</v>
      </c>
    </row>
    <row r="53" spans="1:6" s="115" customFormat="1" ht="21">
      <c r="A53" s="124"/>
      <c r="B53" s="125" t="s">
        <v>304</v>
      </c>
      <c r="C53" s="126" t="s">
        <v>305</v>
      </c>
      <c r="D53" s="98">
        <v>22877334</v>
      </c>
      <c r="E53" s="98">
        <v>23814000</v>
      </c>
      <c r="F53" s="127">
        <v>72341334</v>
      </c>
    </row>
    <row r="54" spans="1:6" s="115" customFormat="1" ht="21">
      <c r="A54" s="124"/>
      <c r="B54" s="125" t="s">
        <v>306</v>
      </c>
      <c r="C54" s="126" t="s">
        <v>307</v>
      </c>
      <c r="D54" s="98">
        <v>0</v>
      </c>
      <c r="E54" s="98">
        <v>0</v>
      </c>
      <c r="F54" s="127">
        <v>0</v>
      </c>
    </row>
    <row r="55" spans="1:6" s="115" customFormat="1" ht="31.5">
      <c r="A55" s="124"/>
      <c r="B55" s="125" t="s">
        <v>308</v>
      </c>
      <c r="C55" s="126" t="s">
        <v>309</v>
      </c>
      <c r="D55" s="98">
        <v>0</v>
      </c>
      <c r="E55" s="98">
        <v>0</v>
      </c>
      <c r="F55" s="127">
        <v>0</v>
      </c>
    </row>
    <row r="56" spans="1:6" s="115" customFormat="1" ht="21">
      <c r="A56" s="124"/>
      <c r="B56" s="125" t="s">
        <v>310</v>
      </c>
      <c r="C56" s="126" t="s">
        <v>311</v>
      </c>
      <c r="D56" s="98">
        <v>0</v>
      </c>
      <c r="E56" s="98">
        <v>0</v>
      </c>
      <c r="F56" s="127">
        <v>0</v>
      </c>
    </row>
    <row r="57" spans="1:6" s="115" customFormat="1" ht="21">
      <c r="A57" s="124"/>
      <c r="B57" s="125" t="s">
        <v>312</v>
      </c>
      <c r="C57" s="126" t="s">
        <v>313</v>
      </c>
      <c r="D57" s="98">
        <v>0</v>
      </c>
      <c r="E57" s="98">
        <v>0</v>
      </c>
      <c r="F57" s="127">
        <v>0</v>
      </c>
    </row>
    <row r="58" spans="1:6" s="115" customFormat="1" ht="42">
      <c r="A58" s="120" t="s">
        <v>314</v>
      </c>
      <c r="B58" s="121" t="s">
        <v>315</v>
      </c>
      <c r="C58" s="122" t="s">
        <v>316</v>
      </c>
      <c r="D58" s="97">
        <v>5751118096</v>
      </c>
      <c r="E58" s="97">
        <v>1382012965</v>
      </c>
      <c r="F58" s="123">
        <v>12331956082</v>
      </c>
    </row>
    <row r="59" spans="1:6" s="115" customFormat="1" ht="21">
      <c r="A59" s="124"/>
      <c r="B59" s="125" t="s">
        <v>317</v>
      </c>
      <c r="C59" s="126" t="s">
        <v>318</v>
      </c>
      <c r="D59" s="98">
        <v>5747933453</v>
      </c>
      <c r="E59" s="98">
        <v>1374640315</v>
      </c>
      <c r="F59" s="127">
        <v>12305486089</v>
      </c>
    </row>
    <row r="60" spans="1:6" s="115" customFormat="1" ht="21">
      <c r="A60" s="124"/>
      <c r="B60" s="125" t="s">
        <v>319</v>
      </c>
      <c r="C60" s="126" t="s">
        <v>320</v>
      </c>
      <c r="D60" s="98">
        <v>3184643</v>
      </c>
      <c r="E60" s="98">
        <v>7372650</v>
      </c>
      <c r="F60" s="127">
        <v>26469993</v>
      </c>
    </row>
    <row r="61" spans="1:6" s="115" customFormat="1" ht="21">
      <c r="A61" s="120" t="s">
        <v>321</v>
      </c>
      <c r="B61" s="121" t="s">
        <v>322</v>
      </c>
      <c r="C61" s="122" t="s">
        <v>323</v>
      </c>
      <c r="D61" s="97">
        <v>10497763</v>
      </c>
      <c r="E61" s="97">
        <v>9542062</v>
      </c>
      <c r="F61" s="123">
        <v>82779531</v>
      </c>
    </row>
    <row r="62" spans="1:6" s="115" customFormat="1" ht="21">
      <c r="A62" s="124"/>
      <c r="B62" s="125" t="s">
        <v>324</v>
      </c>
      <c r="C62" s="126" t="s">
        <v>325</v>
      </c>
      <c r="D62" s="98">
        <v>0</v>
      </c>
      <c r="E62" s="98">
        <v>0</v>
      </c>
      <c r="F62" s="127">
        <v>0</v>
      </c>
    </row>
    <row r="63" spans="1:6" s="115" customFormat="1" ht="21">
      <c r="A63" s="124"/>
      <c r="B63" s="125" t="s">
        <v>326</v>
      </c>
      <c r="C63" s="126" t="s">
        <v>327</v>
      </c>
      <c r="D63" s="98">
        <v>0</v>
      </c>
      <c r="E63" s="98">
        <v>0</v>
      </c>
      <c r="F63" s="127">
        <v>30000000</v>
      </c>
    </row>
    <row r="64" spans="1:6" s="115" customFormat="1" ht="21">
      <c r="A64" s="124"/>
      <c r="B64" s="125" t="s">
        <v>328</v>
      </c>
      <c r="C64" s="126" t="s">
        <v>329</v>
      </c>
      <c r="D64" s="98">
        <v>0</v>
      </c>
      <c r="E64" s="98">
        <v>0</v>
      </c>
      <c r="F64" s="127">
        <v>0</v>
      </c>
    </row>
    <row r="65" spans="1:6" s="115" customFormat="1" ht="21">
      <c r="A65" s="124"/>
      <c r="B65" s="125" t="s">
        <v>330</v>
      </c>
      <c r="C65" s="126" t="s">
        <v>331</v>
      </c>
      <c r="D65" s="98">
        <v>1997763</v>
      </c>
      <c r="E65" s="98">
        <v>542062</v>
      </c>
      <c r="F65" s="127">
        <v>4779531</v>
      </c>
    </row>
    <row r="66" spans="1:6" s="115" customFormat="1" ht="21">
      <c r="A66" s="124"/>
      <c r="B66" s="125" t="s">
        <v>332</v>
      </c>
      <c r="C66" s="126" t="s">
        <v>333</v>
      </c>
      <c r="D66" s="98">
        <v>0</v>
      </c>
      <c r="E66" s="98">
        <v>0</v>
      </c>
      <c r="F66" s="127">
        <v>0</v>
      </c>
    </row>
    <row r="67" spans="1:6" s="115" customFormat="1" ht="21">
      <c r="A67" s="124"/>
      <c r="B67" s="125" t="s">
        <v>334</v>
      </c>
      <c r="C67" s="126" t="s">
        <v>335</v>
      </c>
      <c r="D67" s="98">
        <v>0</v>
      </c>
      <c r="E67" s="98">
        <v>0</v>
      </c>
      <c r="F67" s="127">
        <v>0</v>
      </c>
    </row>
    <row r="68" spans="1:6" s="115" customFormat="1" ht="21">
      <c r="A68" s="124"/>
      <c r="B68" s="125" t="s">
        <v>336</v>
      </c>
      <c r="C68" s="126" t="s">
        <v>337</v>
      </c>
      <c r="D68" s="98">
        <v>0</v>
      </c>
      <c r="E68" s="98">
        <v>0</v>
      </c>
      <c r="F68" s="127">
        <v>10500000</v>
      </c>
    </row>
    <row r="69" spans="1:6" s="115" customFormat="1" ht="21">
      <c r="A69" s="124"/>
      <c r="B69" s="125" t="s">
        <v>338</v>
      </c>
      <c r="C69" s="126" t="s">
        <v>339</v>
      </c>
      <c r="D69" s="98">
        <v>8500000</v>
      </c>
      <c r="E69" s="98">
        <v>9000000</v>
      </c>
      <c r="F69" s="127">
        <v>37500000</v>
      </c>
    </row>
    <row r="70" spans="1:6" s="115" customFormat="1" ht="31.5">
      <c r="A70" s="116" t="s">
        <v>340</v>
      </c>
      <c r="B70" s="117" t="s">
        <v>341</v>
      </c>
      <c r="C70" s="118" t="s">
        <v>342</v>
      </c>
      <c r="D70" s="95">
        <v>113517845420</v>
      </c>
      <c r="E70" s="95">
        <v>8417374514</v>
      </c>
      <c r="F70" s="119">
        <v>101355212863</v>
      </c>
    </row>
    <row r="71" spans="1:6" s="115" customFormat="1" ht="21">
      <c r="A71" s="116" t="s">
        <v>343</v>
      </c>
      <c r="B71" s="117" t="s">
        <v>344</v>
      </c>
      <c r="C71" s="118" t="s">
        <v>345</v>
      </c>
      <c r="D71" s="95">
        <v>440600981500</v>
      </c>
      <c r="E71" s="95">
        <v>-305268528500</v>
      </c>
      <c r="F71" s="119">
        <v>3153033099800</v>
      </c>
    </row>
    <row r="72" spans="1:6" s="115" customFormat="1" ht="42">
      <c r="A72" s="120" t="s">
        <v>4</v>
      </c>
      <c r="B72" s="121" t="s">
        <v>346</v>
      </c>
      <c r="C72" s="122" t="s">
        <v>347</v>
      </c>
      <c r="D72" s="97">
        <v>359300004039</v>
      </c>
      <c r="E72" s="97">
        <v>529055227298</v>
      </c>
      <c r="F72" s="123">
        <v>1806427184444</v>
      </c>
    </row>
    <row r="73" spans="1:6" s="115" customFormat="1" ht="21">
      <c r="A73" s="124"/>
      <c r="B73" s="125" t="s">
        <v>348</v>
      </c>
      <c r="C73" s="126" t="s">
        <v>349</v>
      </c>
      <c r="D73" s="98">
        <v>233920809951</v>
      </c>
      <c r="E73" s="98">
        <v>92972284417</v>
      </c>
      <c r="F73" s="127">
        <v>511059224945</v>
      </c>
    </row>
    <row r="74" spans="1:6" s="115" customFormat="1" ht="31.5">
      <c r="A74" s="124"/>
      <c r="B74" s="125" t="s">
        <v>350</v>
      </c>
      <c r="C74" s="126" t="s">
        <v>351</v>
      </c>
      <c r="D74" s="98">
        <v>125379194088</v>
      </c>
      <c r="E74" s="98">
        <v>434393142881</v>
      </c>
      <c r="F74" s="127">
        <v>1293379359499</v>
      </c>
    </row>
    <row r="75" spans="1:6" s="115" customFormat="1" ht="42">
      <c r="A75" s="124"/>
      <c r="B75" s="125" t="s">
        <v>352</v>
      </c>
      <c r="C75" s="126" t="s">
        <v>353</v>
      </c>
      <c r="D75" s="98">
        <v>0</v>
      </c>
      <c r="E75" s="98">
        <v>1689800000</v>
      </c>
      <c r="F75" s="127">
        <v>1988600000</v>
      </c>
    </row>
    <row r="76" spans="1:6" s="115" customFormat="1" ht="21">
      <c r="A76" s="120" t="s">
        <v>9</v>
      </c>
      <c r="B76" s="121" t="s">
        <v>354</v>
      </c>
      <c r="C76" s="122" t="s">
        <v>355</v>
      </c>
      <c r="D76" s="97">
        <v>81300977461</v>
      </c>
      <c r="E76" s="97">
        <v>-834323755798</v>
      </c>
      <c r="F76" s="123">
        <v>1346605915356</v>
      </c>
    </row>
    <row r="77" spans="1:6" s="115" customFormat="1" ht="47.25" customHeight="1">
      <c r="A77" s="116" t="s">
        <v>356</v>
      </c>
      <c r="B77" s="117" t="s">
        <v>357</v>
      </c>
      <c r="C77" s="118" t="s">
        <v>358</v>
      </c>
      <c r="D77" s="95">
        <v>554118826920</v>
      </c>
      <c r="E77" s="95">
        <v>-296851153986</v>
      </c>
      <c r="F77" s="119">
        <v>3254388312663</v>
      </c>
    </row>
    <row r="78" spans="1:6" s="115" customFormat="1" ht="21">
      <c r="A78" s="116" t="s">
        <v>359</v>
      </c>
      <c r="B78" s="117" t="s">
        <v>360</v>
      </c>
      <c r="C78" s="118" t="s">
        <v>361</v>
      </c>
      <c r="D78" s="95">
        <v>13932355341518</v>
      </c>
      <c r="E78" s="95">
        <v>16058727502246</v>
      </c>
      <c r="F78" s="119">
        <v>17261394813137</v>
      </c>
    </row>
    <row r="79" spans="1:6" s="115" customFormat="1" ht="31.5">
      <c r="A79" s="116" t="s">
        <v>362</v>
      </c>
      <c r="B79" s="117" t="s">
        <v>363</v>
      </c>
      <c r="C79" s="118" t="s">
        <v>364</v>
      </c>
      <c r="D79" s="95">
        <v>291180357342</v>
      </c>
      <c r="E79" s="95">
        <v>-2126372160728</v>
      </c>
      <c r="F79" s="119">
        <v>-3037859114277</v>
      </c>
    </row>
    <row r="80" spans="1:6" s="115" customFormat="1" ht="21">
      <c r="A80" s="120"/>
      <c r="B80" s="121" t="s">
        <v>365</v>
      </c>
      <c r="C80" s="122" t="s">
        <v>366</v>
      </c>
      <c r="D80" s="97">
        <v>0</v>
      </c>
      <c r="E80" s="97">
        <v>0</v>
      </c>
      <c r="F80" s="123">
        <v>0</v>
      </c>
    </row>
    <row r="81" spans="1:6" s="115" customFormat="1" ht="42">
      <c r="A81" s="120" t="s">
        <v>4</v>
      </c>
      <c r="B81" s="121" t="s">
        <v>367</v>
      </c>
      <c r="C81" s="122" t="s">
        <v>368</v>
      </c>
      <c r="D81" s="97">
        <v>554118826920</v>
      </c>
      <c r="E81" s="97">
        <v>-296851153986</v>
      </c>
      <c r="F81" s="123">
        <v>3254388312663</v>
      </c>
    </row>
    <row r="82" spans="1:6" s="115" customFormat="1" ht="42">
      <c r="A82" s="120" t="s">
        <v>9</v>
      </c>
      <c r="B82" s="121" t="s">
        <v>369</v>
      </c>
      <c r="C82" s="122"/>
      <c r="D82" s="97">
        <v>0</v>
      </c>
      <c r="E82" s="97">
        <v>0</v>
      </c>
      <c r="F82" s="123">
        <v>0</v>
      </c>
    </row>
    <row r="83" spans="1:6" s="115" customFormat="1" ht="42">
      <c r="A83" s="120" t="s">
        <v>14</v>
      </c>
      <c r="B83" s="121" t="s">
        <v>370</v>
      </c>
      <c r="C83" s="122" t="s">
        <v>371</v>
      </c>
      <c r="D83" s="97">
        <v>-262938469578</v>
      </c>
      <c r="E83" s="97">
        <v>-1829521006742</v>
      </c>
      <c r="F83" s="123">
        <v>-6292247426940</v>
      </c>
    </row>
    <row r="84" spans="1:6" s="115" customFormat="1" ht="42">
      <c r="A84" s="124"/>
      <c r="B84" s="125" t="s">
        <v>372</v>
      </c>
      <c r="C84" s="126" t="s">
        <v>373</v>
      </c>
      <c r="D84" s="98">
        <v>343960563669</v>
      </c>
      <c r="E84" s="98">
        <v>498375214751</v>
      </c>
      <c r="F84" s="127">
        <v>968267927923</v>
      </c>
    </row>
    <row r="85" spans="1:6" s="115" customFormat="1" ht="31.5">
      <c r="A85" s="124"/>
      <c r="B85" s="125" t="s">
        <v>374</v>
      </c>
      <c r="C85" s="126" t="s">
        <v>375</v>
      </c>
      <c r="D85" s="98">
        <v>-606899033247</v>
      </c>
      <c r="E85" s="98">
        <v>-2327896221493</v>
      </c>
      <c r="F85" s="127">
        <v>-7260515354863</v>
      </c>
    </row>
    <row r="86" spans="1:6" s="115" customFormat="1" ht="21">
      <c r="A86" s="116" t="s">
        <v>376</v>
      </c>
      <c r="B86" s="117" t="s">
        <v>377</v>
      </c>
      <c r="C86" s="118" t="s">
        <v>378</v>
      </c>
      <c r="D86" s="95">
        <v>14223535698860</v>
      </c>
      <c r="E86" s="95">
        <v>13932355341518</v>
      </c>
      <c r="F86" s="119">
        <v>14223535698860</v>
      </c>
    </row>
    <row r="87" spans="1:6" s="115" customFormat="1" ht="42">
      <c r="A87" s="116" t="s">
        <v>379</v>
      </c>
      <c r="B87" s="117" t="s">
        <v>380</v>
      </c>
      <c r="C87" s="118" t="s">
        <v>381</v>
      </c>
      <c r="D87" s="95"/>
      <c r="E87" s="95"/>
      <c r="F87" s="119"/>
    </row>
    <row r="88" spans="1:6" s="115" customFormat="1" ht="42">
      <c r="A88" s="128"/>
      <c r="B88" s="129" t="s">
        <v>382</v>
      </c>
      <c r="C88" s="130" t="s">
        <v>383</v>
      </c>
      <c r="D88" s="131"/>
      <c r="E88" s="131"/>
      <c r="F88" s="132"/>
    </row>
    <row r="89" spans="1:6" ht="9" customHeight="1">
      <c r="A89" s="84"/>
      <c r="B89" s="84"/>
      <c r="C89" s="112"/>
      <c r="D89" s="84"/>
      <c r="E89" s="84"/>
      <c r="F89" s="84"/>
    </row>
    <row r="90" spans="1:6" ht="12.75" customHeight="1">
      <c r="A90" s="273" t="s">
        <v>221</v>
      </c>
      <c r="B90" s="273"/>
      <c r="C90" s="273"/>
      <c r="D90" s="273" t="s">
        <v>222</v>
      </c>
      <c r="E90" s="273"/>
      <c r="F90" s="273"/>
    </row>
    <row r="91" spans="1:6" ht="12.75" customHeight="1">
      <c r="A91" s="276" t="s">
        <v>223</v>
      </c>
      <c r="B91" s="276"/>
      <c r="C91" s="276"/>
      <c r="D91" s="283" t="s">
        <v>224</v>
      </c>
      <c r="E91" s="283"/>
      <c r="F91" s="283"/>
    </row>
    <row r="92" spans="1:6" ht="12.75" customHeight="1">
      <c r="A92" s="84"/>
      <c r="B92" s="84"/>
      <c r="C92" s="84"/>
      <c r="D92" s="84"/>
      <c r="E92" s="84"/>
      <c r="F92" s="84"/>
    </row>
    <row r="93" spans="1:6" ht="12.75" customHeight="1">
      <c r="A93" s="84"/>
      <c r="B93" s="84"/>
      <c r="C93" s="84"/>
      <c r="D93" s="84"/>
      <c r="E93" s="84"/>
      <c r="F93" s="84"/>
    </row>
    <row r="94" spans="1:6" ht="12.75" customHeight="1">
      <c r="A94" s="84"/>
      <c r="B94" s="84"/>
      <c r="C94" s="84"/>
      <c r="D94" s="84"/>
      <c r="E94" s="84"/>
      <c r="F94" s="84"/>
    </row>
    <row r="95" spans="1:6" ht="12.75" customHeight="1">
      <c r="A95" s="84"/>
      <c r="B95" s="84"/>
      <c r="C95" s="84"/>
      <c r="D95" s="84"/>
      <c r="E95" s="84"/>
      <c r="F95" s="84"/>
    </row>
    <row r="96" spans="1:6" ht="12.75" customHeight="1">
      <c r="A96" s="84"/>
      <c r="B96" s="84"/>
      <c r="C96" s="84"/>
      <c r="D96" s="84"/>
      <c r="E96" s="84"/>
      <c r="F96" s="84"/>
    </row>
    <row r="97" spans="1:6" ht="12.75" customHeight="1">
      <c r="A97" s="273" t="s">
        <v>225</v>
      </c>
      <c r="B97" s="273"/>
      <c r="C97" s="273"/>
      <c r="D97" s="273" t="s">
        <v>226</v>
      </c>
      <c r="E97" s="273"/>
      <c r="F97" s="273"/>
    </row>
    <row r="98" spans="1:6" ht="12.75" customHeight="1">
      <c r="A98" s="282" t="s">
        <v>227</v>
      </c>
      <c r="B98" s="282"/>
      <c r="C98" s="282"/>
      <c r="D98" s="282" t="s">
        <v>228</v>
      </c>
      <c r="E98" s="282"/>
      <c r="F98" s="282"/>
    </row>
    <row r="99" spans="1:6" ht="12.75" customHeight="1">
      <c r="A99" s="282" t="s">
        <v>229</v>
      </c>
      <c r="B99" s="282"/>
      <c r="C99" s="282"/>
      <c r="D99" s="282" t="s">
        <v>230</v>
      </c>
      <c r="E99" s="282"/>
      <c r="F99" s="28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39370078740157483" header="0.19685039370078741" footer="0.19685039370078741"/>
  <pageSetup paperSize="9" scale="8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H18" sqref="H18"/>
    </sheetView>
  </sheetViews>
  <sheetFormatPr defaultColWidth="9.140625" defaultRowHeight="10.5"/>
  <cols>
    <col min="1" max="1" width="4.5703125" style="115" customWidth="1"/>
    <col min="2" max="2" width="42" style="115" customWidth="1"/>
    <col min="3" max="3" width="9.140625" style="115"/>
    <col min="4" max="4" width="12.42578125" style="115" bestFit="1" customWidth="1"/>
    <col min="5" max="5" width="11.42578125" style="115" bestFit="1" customWidth="1"/>
    <col min="6" max="6" width="17.140625" style="115" customWidth="1"/>
    <col min="7" max="7" width="10.85546875" style="115" customWidth="1"/>
    <col min="8" max="8" width="9.140625" style="115"/>
    <col min="9" max="9" width="16.5703125" style="115" bestFit="1" customWidth="1"/>
    <col min="10" max="16384" width="9.140625" style="115"/>
  </cols>
  <sheetData>
    <row r="1" spans="1:7" ht="30.75" customHeight="1">
      <c r="A1" s="133"/>
      <c r="B1" s="133"/>
      <c r="C1" s="82"/>
      <c r="D1" s="273" t="s">
        <v>0</v>
      </c>
      <c r="E1" s="273"/>
      <c r="F1" s="273"/>
      <c r="G1" s="273"/>
    </row>
    <row r="2" spans="1:7" ht="27.75" customHeight="1">
      <c r="A2" s="274" t="s">
        <v>1</v>
      </c>
      <c r="B2" s="274"/>
      <c r="C2" s="274"/>
      <c r="D2" s="274"/>
      <c r="E2" s="274"/>
      <c r="F2" s="274"/>
      <c r="G2" s="274"/>
    </row>
    <row r="3" spans="1:7" ht="6" customHeight="1">
      <c r="A3" s="133"/>
      <c r="B3" s="133"/>
      <c r="C3" s="133"/>
      <c r="D3" s="133"/>
      <c r="E3" s="133"/>
      <c r="F3" s="133"/>
      <c r="G3" s="133"/>
    </row>
    <row r="4" spans="1:7" ht="30" customHeight="1">
      <c r="A4" s="275" t="s">
        <v>231</v>
      </c>
      <c r="B4" s="275"/>
      <c r="C4" s="275"/>
      <c r="D4" s="275"/>
      <c r="E4" s="275"/>
      <c r="F4" s="275"/>
      <c r="G4" s="275"/>
    </row>
    <row r="5" spans="1:7" ht="12.75" customHeight="1">
      <c r="A5" s="283" t="s">
        <v>384</v>
      </c>
      <c r="B5" s="283"/>
      <c r="C5" s="283"/>
      <c r="D5" s="283"/>
      <c r="E5" s="283"/>
      <c r="F5" s="283"/>
      <c r="G5" s="283"/>
    </row>
    <row r="6" spans="1:7" ht="12.75" customHeight="1">
      <c r="A6" s="114" t="s">
        <v>4</v>
      </c>
      <c r="B6" s="134" t="s">
        <v>232</v>
      </c>
      <c r="C6" s="285" t="s">
        <v>6</v>
      </c>
      <c r="D6" s="285"/>
      <c r="E6" s="285"/>
      <c r="F6" s="285"/>
      <c r="G6" s="285"/>
    </row>
    <row r="7" spans="1:7" ht="12.75" customHeight="1">
      <c r="A7" s="133"/>
      <c r="B7" s="133" t="s">
        <v>7</v>
      </c>
      <c r="C7" s="284" t="s">
        <v>8</v>
      </c>
      <c r="D7" s="284"/>
      <c r="E7" s="284"/>
      <c r="F7" s="284"/>
      <c r="G7" s="284"/>
    </row>
    <row r="8" spans="1:7" ht="12.75" customHeight="1">
      <c r="A8" s="114" t="s">
        <v>9</v>
      </c>
      <c r="B8" s="134" t="s">
        <v>10</v>
      </c>
      <c r="C8" s="285" t="s">
        <v>11</v>
      </c>
      <c r="D8" s="285"/>
      <c r="E8" s="285"/>
      <c r="F8" s="285"/>
      <c r="G8" s="285"/>
    </row>
    <row r="9" spans="1:7" ht="12.75" customHeight="1">
      <c r="A9" s="133"/>
      <c r="B9" s="133" t="s">
        <v>12</v>
      </c>
      <c r="C9" s="284" t="s">
        <v>13</v>
      </c>
      <c r="D9" s="284"/>
      <c r="E9" s="284"/>
      <c r="F9" s="284"/>
      <c r="G9" s="284"/>
    </row>
    <row r="10" spans="1:7" ht="12.75" customHeight="1">
      <c r="A10" s="114" t="s">
        <v>14</v>
      </c>
      <c r="B10" s="134" t="s">
        <v>385</v>
      </c>
      <c r="C10" s="285" t="s">
        <v>16</v>
      </c>
      <c r="D10" s="285"/>
      <c r="E10" s="285"/>
      <c r="F10" s="285"/>
      <c r="G10" s="285"/>
    </row>
    <row r="11" spans="1:7" ht="12.75" customHeight="1">
      <c r="A11" s="133"/>
      <c r="B11" s="133" t="s">
        <v>17</v>
      </c>
      <c r="C11" s="284" t="s">
        <v>18</v>
      </c>
      <c r="D11" s="284"/>
      <c r="E11" s="284"/>
      <c r="F11" s="284"/>
      <c r="G11" s="284"/>
    </row>
    <row r="12" spans="1:7" ht="12.75" customHeight="1">
      <c r="A12" s="114" t="s">
        <v>19</v>
      </c>
      <c r="B12" s="134" t="s">
        <v>20</v>
      </c>
      <c r="C12" s="277">
        <v>45449</v>
      </c>
      <c r="D12" s="277"/>
      <c r="E12" s="277"/>
      <c r="F12" s="277"/>
      <c r="G12" s="277"/>
    </row>
    <row r="13" spans="1:7" ht="12.75" customHeight="1">
      <c r="A13" s="133"/>
      <c r="B13" s="133" t="s">
        <v>21</v>
      </c>
      <c r="C13" s="278">
        <v>45449</v>
      </c>
      <c r="D13" s="278"/>
      <c r="E13" s="278"/>
      <c r="F13" s="278"/>
      <c r="G13" s="278"/>
    </row>
    <row r="14" spans="1:7" ht="9" customHeight="1">
      <c r="A14" s="133"/>
      <c r="B14" s="133"/>
      <c r="C14" s="135"/>
      <c r="D14" s="133"/>
      <c r="E14" s="133"/>
      <c r="F14" s="133"/>
      <c r="G14" s="133"/>
    </row>
    <row r="15" spans="1:7" ht="12.75" customHeight="1">
      <c r="A15" s="287" t="s">
        <v>386</v>
      </c>
      <c r="B15" s="287"/>
      <c r="C15" s="287"/>
      <c r="D15" s="287"/>
      <c r="E15" s="287"/>
      <c r="F15" s="287"/>
      <c r="G15" s="287"/>
    </row>
    <row r="16" spans="1:7" ht="12.75" customHeight="1">
      <c r="A16" s="285" t="s">
        <v>387</v>
      </c>
      <c r="B16" s="285"/>
      <c r="C16" s="285"/>
      <c r="D16" s="285"/>
      <c r="E16" s="285"/>
      <c r="F16" s="285"/>
      <c r="G16" s="285"/>
    </row>
    <row r="17" spans="1:7" ht="12.75" customHeight="1">
      <c r="A17" s="136"/>
      <c r="B17" s="136"/>
      <c r="C17" s="137"/>
      <c r="D17" s="136"/>
      <c r="E17" s="136"/>
      <c r="F17" s="288" t="s">
        <v>24</v>
      </c>
      <c r="G17" s="288"/>
    </row>
    <row r="18" spans="1:7" ht="79.5" customHeight="1">
      <c r="A18" s="89" t="s">
        <v>388</v>
      </c>
      <c r="B18" s="90" t="s">
        <v>389</v>
      </c>
      <c r="C18" s="90" t="s">
        <v>27</v>
      </c>
      <c r="D18" s="90" t="s">
        <v>390</v>
      </c>
      <c r="E18" s="90" t="s">
        <v>391</v>
      </c>
      <c r="F18" s="90" t="s">
        <v>392</v>
      </c>
      <c r="G18" s="91" t="s">
        <v>393</v>
      </c>
    </row>
    <row r="19" spans="1:7" ht="21">
      <c r="A19" s="92" t="s">
        <v>31</v>
      </c>
      <c r="B19" s="93" t="s">
        <v>394</v>
      </c>
      <c r="C19" s="94"/>
      <c r="D19" s="138">
        <v>0</v>
      </c>
      <c r="E19" s="139">
        <v>0</v>
      </c>
      <c r="F19" s="139">
        <v>0</v>
      </c>
      <c r="G19" s="96">
        <v>0</v>
      </c>
    </row>
    <row r="20" spans="1:7" ht="35.25" customHeight="1">
      <c r="A20" s="92" t="s">
        <v>121</v>
      </c>
      <c r="B20" s="93" t="s">
        <v>395</v>
      </c>
      <c r="C20" s="94" t="s">
        <v>396</v>
      </c>
      <c r="D20" s="138">
        <v>0</v>
      </c>
      <c r="E20" s="139">
        <v>0</v>
      </c>
      <c r="F20" s="139">
        <v>0</v>
      </c>
      <c r="G20" s="96">
        <v>0</v>
      </c>
    </row>
    <row r="21" spans="1:7" ht="15" customHeight="1">
      <c r="A21" s="92" t="s">
        <v>4</v>
      </c>
      <c r="B21" s="93" t="s">
        <v>397</v>
      </c>
      <c r="C21" s="94" t="s">
        <v>398</v>
      </c>
      <c r="D21" s="97">
        <v>47236558</v>
      </c>
      <c r="E21" s="97">
        <v>24650</v>
      </c>
      <c r="F21" s="97">
        <v>1164381154700</v>
      </c>
      <c r="G21" s="96">
        <v>8.1600000000000006E-2</v>
      </c>
    </row>
    <row r="22" spans="1:7" ht="15" customHeight="1">
      <c r="A22" s="92" t="s">
        <v>9</v>
      </c>
      <c r="B22" s="93" t="s">
        <v>399</v>
      </c>
      <c r="C22" s="94" t="s">
        <v>400</v>
      </c>
      <c r="D22" s="97">
        <v>376300</v>
      </c>
      <c r="E22" s="97">
        <v>108100</v>
      </c>
      <c r="F22" s="97">
        <v>40678030000</v>
      </c>
      <c r="G22" s="96">
        <v>2.8E-3</v>
      </c>
    </row>
    <row r="23" spans="1:7" ht="15" customHeight="1">
      <c r="A23" s="92" t="s">
        <v>14</v>
      </c>
      <c r="B23" s="93" t="s">
        <v>401</v>
      </c>
      <c r="C23" s="94" t="s">
        <v>402</v>
      </c>
      <c r="D23" s="97">
        <v>7108236</v>
      </c>
      <c r="E23" s="97">
        <v>31900</v>
      </c>
      <c r="F23" s="97">
        <v>226752728400</v>
      </c>
      <c r="G23" s="96">
        <v>1.5900000000000001E-2</v>
      </c>
    </row>
    <row r="24" spans="1:7" ht="15" customHeight="1">
      <c r="A24" s="92" t="s">
        <v>19</v>
      </c>
      <c r="B24" s="93" t="s">
        <v>403</v>
      </c>
      <c r="C24" s="94" t="s">
        <v>404</v>
      </c>
      <c r="D24" s="97">
        <v>18190934</v>
      </c>
      <c r="E24" s="97">
        <v>134600</v>
      </c>
      <c r="F24" s="97">
        <v>2448499716400</v>
      </c>
      <c r="G24" s="96">
        <v>0.17150000000000001</v>
      </c>
    </row>
    <row r="25" spans="1:7" ht="15" customHeight="1">
      <c r="A25" s="92" t="s">
        <v>287</v>
      </c>
      <c r="B25" s="93" t="s">
        <v>405</v>
      </c>
      <c r="C25" s="94" t="s">
        <v>406</v>
      </c>
      <c r="D25" s="97">
        <v>19521650</v>
      </c>
      <c r="E25" s="97">
        <v>83800</v>
      </c>
      <c r="F25" s="97">
        <v>1635914270000</v>
      </c>
      <c r="G25" s="96">
        <v>0.11459999999999999</v>
      </c>
    </row>
    <row r="26" spans="1:7" ht="15" customHeight="1">
      <c r="A26" s="92" t="s">
        <v>289</v>
      </c>
      <c r="B26" s="93" t="s">
        <v>407</v>
      </c>
      <c r="C26" s="94" t="s">
        <v>408</v>
      </c>
      <c r="D26" s="97">
        <v>25750700</v>
      </c>
      <c r="E26" s="97">
        <v>23250</v>
      </c>
      <c r="F26" s="97">
        <v>598703775000</v>
      </c>
      <c r="G26" s="96">
        <v>4.19E-2</v>
      </c>
    </row>
    <row r="27" spans="1:7" ht="15" customHeight="1">
      <c r="A27" s="92" t="s">
        <v>292</v>
      </c>
      <c r="B27" s="93" t="s">
        <v>409</v>
      </c>
      <c r="C27" s="94" t="s">
        <v>410</v>
      </c>
      <c r="D27" s="97">
        <v>10297492</v>
      </c>
      <c r="E27" s="97">
        <v>36200</v>
      </c>
      <c r="F27" s="97">
        <v>372769210400</v>
      </c>
      <c r="G27" s="96">
        <v>2.6100000000000002E-2</v>
      </c>
    </row>
    <row r="28" spans="1:7" ht="15" customHeight="1">
      <c r="A28" s="92" t="s">
        <v>301</v>
      </c>
      <c r="B28" s="93" t="s">
        <v>411</v>
      </c>
      <c r="C28" s="94" t="s">
        <v>412</v>
      </c>
      <c r="D28" s="97">
        <v>35146583</v>
      </c>
      <c r="E28" s="97">
        <v>21750</v>
      </c>
      <c r="F28" s="97">
        <v>764438180250</v>
      </c>
      <c r="G28" s="96">
        <v>5.3600000000000002E-2</v>
      </c>
    </row>
    <row r="29" spans="1:7" ht="15" customHeight="1">
      <c r="A29" s="92" t="s">
        <v>314</v>
      </c>
      <c r="B29" s="93" t="s">
        <v>413</v>
      </c>
      <c r="C29" s="94" t="s">
        <v>414</v>
      </c>
      <c r="D29" s="97">
        <v>19995687</v>
      </c>
      <c r="E29" s="97">
        <v>14300</v>
      </c>
      <c r="F29" s="97">
        <v>285938324100</v>
      </c>
      <c r="G29" s="96">
        <v>0.02</v>
      </c>
    </row>
    <row r="30" spans="1:7" ht="15" customHeight="1">
      <c r="A30" s="92" t="s">
        <v>321</v>
      </c>
      <c r="B30" s="93" t="s">
        <v>415</v>
      </c>
      <c r="C30" s="94" t="s">
        <v>416</v>
      </c>
      <c r="D30" s="97">
        <v>8000000</v>
      </c>
      <c r="E30" s="97">
        <v>63600</v>
      </c>
      <c r="F30" s="97">
        <v>508800000000</v>
      </c>
      <c r="G30" s="96">
        <v>3.56E-2</v>
      </c>
    </row>
    <row r="31" spans="1:7" ht="15" customHeight="1">
      <c r="A31" s="92" t="s">
        <v>417</v>
      </c>
      <c r="B31" s="93" t="s">
        <v>418</v>
      </c>
      <c r="C31" s="94" t="s">
        <v>419</v>
      </c>
      <c r="D31" s="97">
        <v>11456688</v>
      </c>
      <c r="E31" s="97">
        <v>44000</v>
      </c>
      <c r="F31" s="97">
        <v>504094272000</v>
      </c>
      <c r="G31" s="96">
        <v>3.5299999999999998E-2</v>
      </c>
    </row>
    <row r="32" spans="1:7" ht="15" customHeight="1">
      <c r="A32" s="92" t="s">
        <v>420</v>
      </c>
      <c r="B32" s="93" t="s">
        <v>421</v>
      </c>
      <c r="C32" s="94" t="s">
        <v>422</v>
      </c>
      <c r="D32" s="97">
        <v>11332350</v>
      </c>
      <c r="E32" s="97">
        <v>14750</v>
      </c>
      <c r="F32" s="97">
        <v>167152162500</v>
      </c>
      <c r="G32" s="96">
        <v>1.17E-2</v>
      </c>
    </row>
    <row r="33" spans="1:7" ht="15" customHeight="1">
      <c r="A33" s="92" t="s">
        <v>423</v>
      </c>
      <c r="B33" s="93" t="s">
        <v>424</v>
      </c>
      <c r="C33" s="94" t="s">
        <v>425</v>
      </c>
      <c r="D33" s="97">
        <v>18954404</v>
      </c>
      <c r="E33" s="97">
        <v>93900</v>
      </c>
      <c r="F33" s="97">
        <v>1779818535600</v>
      </c>
      <c r="G33" s="96">
        <v>0.12470000000000001</v>
      </c>
    </row>
    <row r="34" spans="1:7" ht="15" customHeight="1">
      <c r="A34" s="92" t="s">
        <v>426</v>
      </c>
      <c r="B34" s="93" t="s">
        <v>427</v>
      </c>
      <c r="C34" s="94" t="s">
        <v>428</v>
      </c>
      <c r="D34" s="97">
        <v>13867488</v>
      </c>
      <c r="E34" s="97">
        <v>62300</v>
      </c>
      <c r="F34" s="97">
        <v>863944502400</v>
      </c>
      <c r="G34" s="96">
        <v>6.0499999999999998E-2</v>
      </c>
    </row>
    <row r="35" spans="1:7" ht="15" customHeight="1">
      <c r="A35" s="92" t="s">
        <v>429</v>
      </c>
      <c r="B35" s="93" t="s">
        <v>430</v>
      </c>
      <c r="C35" s="94" t="s">
        <v>431</v>
      </c>
      <c r="D35" s="97">
        <v>24760400</v>
      </c>
      <c r="E35" s="97">
        <v>47000</v>
      </c>
      <c r="F35" s="97">
        <v>1163738800000</v>
      </c>
      <c r="G35" s="96">
        <v>8.1500000000000003E-2</v>
      </c>
    </row>
    <row r="36" spans="1:7" ht="15" customHeight="1">
      <c r="A36" s="92" t="s">
        <v>432</v>
      </c>
      <c r="B36" s="93" t="s">
        <v>433</v>
      </c>
      <c r="C36" s="94" t="s">
        <v>434</v>
      </c>
      <c r="D36" s="97">
        <v>13020274</v>
      </c>
      <c r="E36" s="97">
        <v>17650</v>
      </c>
      <c r="F36" s="97">
        <v>229807836100</v>
      </c>
      <c r="G36" s="96">
        <v>1.61E-2</v>
      </c>
    </row>
    <row r="37" spans="1:7" ht="15" customHeight="1">
      <c r="A37" s="92" t="s">
        <v>435</v>
      </c>
      <c r="B37" s="93" t="s">
        <v>436</v>
      </c>
      <c r="C37" s="94" t="s">
        <v>437</v>
      </c>
      <c r="D37" s="97">
        <v>13589784</v>
      </c>
      <c r="E37" s="97">
        <v>21750</v>
      </c>
      <c r="F37" s="97">
        <v>295577802000</v>
      </c>
      <c r="G37" s="96">
        <v>2.07E-2</v>
      </c>
    </row>
    <row r="38" spans="1:7" ht="15" customHeight="1">
      <c r="A38" s="92" t="s">
        <v>438</v>
      </c>
      <c r="B38" s="93" t="s">
        <v>439</v>
      </c>
      <c r="C38" s="94" t="s">
        <v>440</v>
      </c>
      <c r="D38" s="97">
        <v>28303616</v>
      </c>
      <c r="E38" s="97">
        <v>18000</v>
      </c>
      <c r="F38" s="97">
        <v>509465088000</v>
      </c>
      <c r="G38" s="96">
        <v>3.5700000000000003E-2</v>
      </c>
    </row>
    <row r="39" spans="1:7" ht="15" customHeight="1">
      <c r="A39" s="92" t="s">
        <v>441</v>
      </c>
      <c r="B39" s="93" t="s">
        <v>442</v>
      </c>
      <c r="C39" s="94" t="s">
        <v>443</v>
      </c>
      <c r="D39" s="97">
        <v>19395700</v>
      </c>
      <c r="E39" s="97">
        <v>21750</v>
      </c>
      <c r="F39" s="97">
        <v>421856475000</v>
      </c>
      <c r="G39" s="96">
        <v>2.9600000000000001E-2</v>
      </c>
    </row>
    <row r="40" spans="1:7" ht="21">
      <c r="A40" s="92"/>
      <c r="B40" s="93" t="s">
        <v>447</v>
      </c>
      <c r="C40" s="94" t="s">
        <v>444</v>
      </c>
      <c r="D40" s="97"/>
      <c r="E40" s="97"/>
      <c r="F40" s="97">
        <v>13982330862850</v>
      </c>
      <c r="G40" s="96">
        <v>0.97950000000000004</v>
      </c>
    </row>
    <row r="41" spans="1:7" ht="42">
      <c r="A41" s="92" t="s">
        <v>340</v>
      </c>
      <c r="B41" s="93" t="s">
        <v>445</v>
      </c>
      <c r="C41" s="94" t="s">
        <v>446</v>
      </c>
      <c r="D41" s="97"/>
      <c r="E41" s="97"/>
      <c r="F41" s="97"/>
      <c r="G41" s="96">
        <v>0</v>
      </c>
    </row>
    <row r="42" spans="1:7" ht="21">
      <c r="A42" s="92"/>
      <c r="B42" s="93" t="s">
        <v>447</v>
      </c>
      <c r="C42" s="94" t="s">
        <v>448</v>
      </c>
      <c r="D42" s="97"/>
      <c r="E42" s="97"/>
      <c r="F42" s="97">
        <v>0</v>
      </c>
      <c r="G42" s="234">
        <v>0</v>
      </c>
    </row>
    <row r="43" spans="1:7" ht="21">
      <c r="A43" s="92"/>
      <c r="B43" s="93" t="s">
        <v>449</v>
      </c>
      <c r="C43" s="94" t="s">
        <v>450</v>
      </c>
      <c r="D43" s="97"/>
      <c r="E43" s="97"/>
      <c r="F43" s="97">
        <v>13982330862850</v>
      </c>
      <c r="G43" s="96">
        <v>0.97950000000000004</v>
      </c>
    </row>
    <row r="44" spans="1:7" ht="21">
      <c r="A44" s="92" t="s">
        <v>343</v>
      </c>
      <c r="B44" s="93" t="s">
        <v>451</v>
      </c>
      <c r="C44" s="94" t="s">
        <v>452</v>
      </c>
      <c r="D44" s="97"/>
      <c r="E44" s="97"/>
      <c r="F44" s="97"/>
      <c r="G44" s="96"/>
    </row>
    <row r="45" spans="1:7" ht="21">
      <c r="A45" s="92"/>
      <c r="B45" s="93" t="s">
        <v>447</v>
      </c>
      <c r="C45" s="94" t="s">
        <v>453</v>
      </c>
      <c r="D45" s="97"/>
      <c r="E45" s="97"/>
      <c r="F45" s="235">
        <v>0</v>
      </c>
      <c r="G45" s="234">
        <v>0</v>
      </c>
    </row>
    <row r="46" spans="1:7" ht="21">
      <c r="A46" s="92" t="s">
        <v>356</v>
      </c>
      <c r="B46" s="93" t="s">
        <v>454</v>
      </c>
      <c r="C46" s="94" t="s">
        <v>455</v>
      </c>
      <c r="D46" s="97"/>
      <c r="E46" s="97"/>
      <c r="F46" s="235"/>
      <c r="G46" s="234"/>
    </row>
    <row r="47" spans="1:7" ht="21">
      <c r="A47" s="92" t="s">
        <v>4</v>
      </c>
      <c r="B47" s="93" t="s">
        <v>456</v>
      </c>
      <c r="C47" s="94" t="s">
        <v>457</v>
      </c>
      <c r="D47" s="97"/>
      <c r="E47" s="97"/>
      <c r="F47" s="235">
        <v>0</v>
      </c>
      <c r="G47" s="234">
        <v>0</v>
      </c>
    </row>
    <row r="48" spans="1:7" ht="21">
      <c r="A48" s="92" t="s">
        <v>9</v>
      </c>
      <c r="B48" s="93" t="s">
        <v>458</v>
      </c>
      <c r="C48" s="94" t="s">
        <v>459</v>
      </c>
      <c r="D48" s="97"/>
      <c r="E48" s="97"/>
      <c r="F48" s="235">
        <v>0</v>
      </c>
      <c r="G48" s="234">
        <v>0</v>
      </c>
    </row>
    <row r="49" spans="1:7" ht="21">
      <c r="A49" s="92"/>
      <c r="B49" s="93" t="s">
        <v>447</v>
      </c>
      <c r="C49" s="94" t="s">
        <v>460</v>
      </c>
      <c r="D49" s="97"/>
      <c r="E49" s="97"/>
      <c r="F49" s="235">
        <v>0</v>
      </c>
      <c r="G49" s="234">
        <v>0</v>
      </c>
    </row>
    <row r="50" spans="1:7" ht="21">
      <c r="A50" s="92"/>
      <c r="B50" s="93" t="s">
        <v>461</v>
      </c>
      <c r="C50" s="94" t="s">
        <v>462</v>
      </c>
      <c r="D50" s="97"/>
      <c r="E50" s="97"/>
      <c r="F50" s="97">
        <v>13982330862850</v>
      </c>
      <c r="G50" s="96">
        <v>0.97950000000000004</v>
      </c>
    </row>
    <row r="51" spans="1:7" ht="21">
      <c r="A51" s="92" t="s">
        <v>359</v>
      </c>
      <c r="B51" s="93" t="s">
        <v>463</v>
      </c>
      <c r="C51" s="94" t="s">
        <v>464</v>
      </c>
      <c r="D51" s="97"/>
      <c r="E51" s="97"/>
      <c r="F51" s="97"/>
      <c r="G51" s="96">
        <v>0</v>
      </c>
    </row>
    <row r="52" spans="1:7" ht="21">
      <c r="A52" s="92" t="s">
        <v>4</v>
      </c>
      <c r="B52" s="93" t="s">
        <v>465</v>
      </c>
      <c r="C52" s="94" t="s">
        <v>466</v>
      </c>
      <c r="D52" s="97"/>
      <c r="E52" s="97"/>
      <c r="F52" s="97">
        <v>103510679312</v>
      </c>
      <c r="G52" s="96">
        <v>7.3000000000000001E-3</v>
      </c>
    </row>
    <row r="53" spans="1:7" ht="21">
      <c r="A53" s="92" t="s">
        <v>9</v>
      </c>
      <c r="B53" s="93" t="s">
        <v>467</v>
      </c>
      <c r="C53" s="94" t="s">
        <v>468</v>
      </c>
      <c r="D53" s="97"/>
      <c r="E53" s="97"/>
      <c r="F53" s="235">
        <v>0</v>
      </c>
      <c r="G53" s="234">
        <v>0</v>
      </c>
    </row>
    <row r="54" spans="1:7" ht="21">
      <c r="A54" s="92" t="s">
        <v>14</v>
      </c>
      <c r="B54" s="93" t="s">
        <v>469</v>
      </c>
      <c r="C54" s="94" t="s">
        <v>470</v>
      </c>
      <c r="D54" s="97"/>
      <c r="E54" s="97"/>
      <c r="F54" s="235">
        <v>0</v>
      </c>
      <c r="G54" s="234">
        <v>0</v>
      </c>
    </row>
    <row r="55" spans="1:7" ht="33" customHeight="1">
      <c r="A55" s="92" t="s">
        <v>19</v>
      </c>
      <c r="B55" s="93" t="s">
        <v>471</v>
      </c>
      <c r="C55" s="94" t="s">
        <v>472</v>
      </c>
      <c r="D55" s="97"/>
      <c r="E55" s="97"/>
      <c r="F55" s="235">
        <v>0</v>
      </c>
      <c r="G55" s="234">
        <v>0</v>
      </c>
    </row>
    <row r="56" spans="1:7" ht="21">
      <c r="A56" s="92" t="s">
        <v>287</v>
      </c>
      <c r="B56" s="93" t="s">
        <v>473</v>
      </c>
      <c r="C56" s="94" t="s">
        <v>474</v>
      </c>
      <c r="D56" s="97"/>
      <c r="E56" s="97"/>
      <c r="F56" s="235">
        <v>0</v>
      </c>
      <c r="G56" s="234">
        <v>0</v>
      </c>
    </row>
    <row r="57" spans="1:7" ht="21">
      <c r="A57" s="92" t="s">
        <v>289</v>
      </c>
      <c r="B57" s="93" t="s">
        <v>475</v>
      </c>
      <c r="C57" s="94" t="s">
        <v>476</v>
      </c>
      <c r="D57" s="97"/>
      <c r="E57" s="97"/>
      <c r="F57" s="235">
        <v>0</v>
      </c>
      <c r="G57" s="234">
        <v>0</v>
      </c>
    </row>
    <row r="58" spans="1:7" ht="21">
      <c r="A58" s="92" t="s">
        <v>292</v>
      </c>
      <c r="B58" s="93" t="s">
        <v>477</v>
      </c>
      <c r="C58" s="94" t="s">
        <v>478</v>
      </c>
      <c r="D58" s="97"/>
      <c r="E58" s="97"/>
      <c r="F58" s="235">
        <v>0</v>
      </c>
      <c r="G58" s="234">
        <v>0</v>
      </c>
    </row>
    <row r="59" spans="1:7" ht="21">
      <c r="A59" s="92" t="s">
        <v>301</v>
      </c>
      <c r="B59" s="93" t="s">
        <v>479</v>
      </c>
      <c r="C59" s="94" t="s">
        <v>480</v>
      </c>
      <c r="D59" s="97"/>
      <c r="E59" s="97"/>
      <c r="F59" s="235">
        <v>0</v>
      </c>
      <c r="G59" s="234">
        <v>0</v>
      </c>
    </row>
    <row r="60" spans="1:7" ht="21">
      <c r="A60" s="92" t="s">
        <v>314</v>
      </c>
      <c r="B60" s="93" t="s">
        <v>481</v>
      </c>
      <c r="C60" s="94" t="s">
        <v>482</v>
      </c>
      <c r="D60" s="97"/>
      <c r="E60" s="97"/>
      <c r="F60" s="235">
        <v>0</v>
      </c>
      <c r="G60" s="234">
        <v>0</v>
      </c>
    </row>
    <row r="61" spans="1:7" ht="21" customHeight="1">
      <c r="A61" s="92" t="s">
        <v>321</v>
      </c>
      <c r="B61" s="93" t="s">
        <v>483</v>
      </c>
      <c r="C61" s="94" t="s">
        <v>484</v>
      </c>
      <c r="D61" s="97"/>
      <c r="E61" s="97"/>
      <c r="F61" s="235">
        <v>0</v>
      </c>
      <c r="G61" s="234">
        <v>0</v>
      </c>
    </row>
    <row r="62" spans="1:7" ht="21">
      <c r="A62" s="92"/>
      <c r="B62" s="93" t="s">
        <v>447</v>
      </c>
      <c r="C62" s="94" t="s">
        <v>485</v>
      </c>
      <c r="D62" s="97"/>
      <c r="E62" s="97"/>
      <c r="F62" s="97">
        <v>103510679312</v>
      </c>
      <c r="G62" s="96">
        <v>7.3000000000000001E-3</v>
      </c>
    </row>
    <row r="63" spans="1:7" ht="21">
      <c r="A63" s="92" t="s">
        <v>362</v>
      </c>
      <c r="B63" s="93" t="s">
        <v>37</v>
      </c>
      <c r="C63" s="94" t="s">
        <v>486</v>
      </c>
      <c r="D63" s="97"/>
      <c r="E63" s="97"/>
      <c r="F63" s="97"/>
      <c r="G63" s="96">
        <v>0</v>
      </c>
    </row>
    <row r="64" spans="1:7" ht="21">
      <c r="A64" s="92" t="s">
        <v>4</v>
      </c>
      <c r="B64" s="93" t="s">
        <v>487</v>
      </c>
      <c r="C64" s="94" t="s">
        <v>488</v>
      </c>
      <c r="D64" s="97"/>
      <c r="E64" s="97"/>
      <c r="F64" s="97">
        <v>189306388709</v>
      </c>
      <c r="G64" s="96">
        <v>1.3299999999999999E-2</v>
      </c>
    </row>
    <row r="65" spans="1:9" ht="21">
      <c r="A65" s="92"/>
      <c r="B65" s="93" t="s">
        <v>489</v>
      </c>
      <c r="C65" s="94" t="s">
        <v>490</v>
      </c>
      <c r="D65" s="97"/>
      <c r="E65" s="97"/>
      <c r="F65" s="97">
        <v>0</v>
      </c>
      <c r="G65" s="96">
        <v>0</v>
      </c>
    </row>
    <row r="66" spans="1:9" ht="21">
      <c r="A66" s="92"/>
      <c r="B66" s="93" t="s">
        <v>491</v>
      </c>
      <c r="C66" s="94" t="s">
        <v>492</v>
      </c>
      <c r="D66" s="97"/>
      <c r="E66" s="97"/>
      <c r="F66" s="97">
        <v>189306388709</v>
      </c>
      <c r="G66" s="96">
        <v>1.3299999999999999E-2</v>
      </c>
    </row>
    <row r="67" spans="1:9" ht="21">
      <c r="A67" s="92"/>
      <c r="B67" s="93" t="s">
        <v>493</v>
      </c>
      <c r="C67" s="94" t="s">
        <v>494</v>
      </c>
      <c r="D67" s="97"/>
      <c r="E67" s="97"/>
      <c r="F67" s="235">
        <v>0</v>
      </c>
      <c r="G67" s="234">
        <v>0</v>
      </c>
    </row>
    <row r="68" spans="1:9" ht="21">
      <c r="A68" s="92" t="s">
        <v>9</v>
      </c>
      <c r="B68" s="93" t="s">
        <v>495</v>
      </c>
      <c r="C68" s="94" t="s">
        <v>496</v>
      </c>
      <c r="D68" s="97"/>
      <c r="E68" s="97"/>
      <c r="F68" s="235">
        <v>0</v>
      </c>
      <c r="G68" s="234">
        <v>0</v>
      </c>
    </row>
    <row r="69" spans="1:9" ht="21">
      <c r="A69" s="92" t="s">
        <v>14</v>
      </c>
      <c r="B69" s="93" t="s">
        <v>497</v>
      </c>
      <c r="C69" s="94" t="s">
        <v>498</v>
      </c>
      <c r="D69" s="97"/>
      <c r="E69" s="97"/>
      <c r="F69" s="235">
        <v>0</v>
      </c>
      <c r="G69" s="234">
        <v>0</v>
      </c>
    </row>
    <row r="70" spans="1:9" ht="21">
      <c r="A70" s="92" t="s">
        <v>19</v>
      </c>
      <c r="B70" s="93" t="s">
        <v>499</v>
      </c>
      <c r="C70" s="94" t="s">
        <v>500</v>
      </c>
      <c r="D70" s="97"/>
      <c r="E70" s="97"/>
      <c r="F70" s="235">
        <v>0</v>
      </c>
      <c r="G70" s="234">
        <v>0</v>
      </c>
    </row>
    <row r="71" spans="1:9" ht="21">
      <c r="A71" s="92"/>
      <c r="B71" s="93" t="s">
        <v>447</v>
      </c>
      <c r="C71" s="94" t="s">
        <v>501</v>
      </c>
      <c r="D71" s="97"/>
      <c r="E71" s="97"/>
      <c r="F71" s="97">
        <v>189306388709</v>
      </c>
      <c r="G71" s="96">
        <v>1.3299999999999999E-2</v>
      </c>
    </row>
    <row r="72" spans="1:9" ht="21">
      <c r="A72" s="107" t="s">
        <v>376</v>
      </c>
      <c r="B72" s="108" t="s">
        <v>502</v>
      </c>
      <c r="C72" s="109" t="s">
        <v>503</v>
      </c>
      <c r="D72" s="131"/>
      <c r="E72" s="131"/>
      <c r="F72" s="131">
        <v>14275147930871</v>
      </c>
      <c r="G72" s="111">
        <v>1</v>
      </c>
    </row>
    <row r="73" spans="1:9">
      <c r="A73" s="133"/>
      <c r="B73" s="133"/>
      <c r="C73" s="133"/>
      <c r="D73" s="133"/>
      <c r="E73" s="133"/>
      <c r="F73" s="133"/>
      <c r="G73" s="133"/>
      <c r="I73" s="140"/>
    </row>
    <row r="74" spans="1:9">
      <c r="A74" s="289" t="s">
        <v>504</v>
      </c>
      <c r="B74" s="289"/>
      <c r="C74" s="133"/>
      <c r="D74" s="133"/>
      <c r="E74" s="133"/>
      <c r="F74" s="133"/>
      <c r="G74" s="133"/>
    </row>
    <row r="75" spans="1:9" ht="28.5" customHeight="1">
      <c r="A75" s="290" t="s">
        <v>505</v>
      </c>
      <c r="B75" s="290"/>
      <c r="C75" s="290"/>
      <c r="D75" s="290"/>
      <c r="E75" s="290"/>
      <c r="F75" s="290"/>
      <c r="G75" s="290"/>
    </row>
    <row r="76" spans="1:9" ht="12.75" customHeight="1">
      <c r="A76" s="136"/>
      <c r="B76" s="136"/>
      <c r="C76" s="136"/>
      <c r="D76" s="136"/>
      <c r="E76" s="136"/>
      <c r="F76" s="136"/>
      <c r="G76" s="136"/>
    </row>
    <row r="77" spans="1:9" ht="51" customHeight="1">
      <c r="A77" s="141" t="s">
        <v>506</v>
      </c>
      <c r="B77" s="142" t="s">
        <v>507</v>
      </c>
      <c r="C77" s="142" t="s">
        <v>508</v>
      </c>
      <c r="D77" s="142" t="s">
        <v>509</v>
      </c>
      <c r="E77" s="142" t="s">
        <v>510</v>
      </c>
      <c r="F77" s="142" t="s">
        <v>511</v>
      </c>
      <c r="G77" s="143" t="s">
        <v>512</v>
      </c>
    </row>
    <row r="78" spans="1:9">
      <c r="A78" s="133"/>
      <c r="B78" s="133"/>
      <c r="C78" s="133"/>
      <c r="D78" s="133"/>
      <c r="E78" s="133"/>
      <c r="F78" s="133"/>
      <c r="G78" s="133"/>
    </row>
    <row r="79" spans="1:9" ht="15" customHeight="1">
      <c r="A79" s="286" t="s">
        <v>221</v>
      </c>
      <c r="B79" s="286"/>
      <c r="C79" s="286"/>
      <c r="D79" s="286" t="s">
        <v>222</v>
      </c>
      <c r="E79" s="286"/>
      <c r="F79" s="286"/>
      <c r="G79" s="286"/>
    </row>
    <row r="80" spans="1:9" ht="15" customHeight="1">
      <c r="A80" s="283" t="s">
        <v>223</v>
      </c>
      <c r="B80" s="283"/>
      <c r="C80" s="283"/>
      <c r="D80" s="283" t="s">
        <v>224</v>
      </c>
      <c r="E80" s="283"/>
      <c r="F80" s="283"/>
      <c r="G80" s="283"/>
    </row>
    <row r="81" spans="1:7" ht="15" customHeight="1">
      <c r="A81" s="133"/>
      <c r="B81" s="133"/>
      <c r="C81" s="133"/>
      <c r="D81" s="133"/>
      <c r="E81" s="133"/>
      <c r="F81" s="133"/>
      <c r="G81" s="133"/>
    </row>
    <row r="82" spans="1:7" ht="15" customHeight="1">
      <c r="A82" s="133"/>
      <c r="B82" s="133"/>
      <c r="C82" s="133"/>
      <c r="D82" s="133"/>
      <c r="E82" s="133"/>
      <c r="F82" s="133"/>
      <c r="G82" s="133"/>
    </row>
    <row r="83" spans="1:7" ht="15" customHeight="1">
      <c r="A83" s="133"/>
      <c r="B83" s="133"/>
      <c r="C83" s="133"/>
      <c r="D83" s="133"/>
      <c r="E83" s="133"/>
      <c r="F83" s="133"/>
      <c r="G83" s="133"/>
    </row>
    <row r="84" spans="1:7" ht="15.75" customHeight="1">
      <c r="A84" s="133"/>
      <c r="B84" s="133"/>
      <c r="C84" s="133"/>
      <c r="D84" s="133"/>
      <c r="E84" s="133"/>
      <c r="F84" s="133"/>
      <c r="G84" s="133"/>
    </row>
    <row r="85" spans="1:7" ht="15.75" customHeight="1">
      <c r="A85" s="133"/>
      <c r="B85" s="133"/>
      <c r="C85" s="133"/>
      <c r="D85" s="133"/>
      <c r="E85" s="133"/>
      <c r="F85" s="133"/>
      <c r="G85" s="133"/>
    </row>
    <row r="86" spans="1:7" ht="15.75" customHeight="1">
      <c r="A86" s="286" t="s">
        <v>225</v>
      </c>
      <c r="B86" s="286"/>
      <c r="C86" s="286"/>
      <c r="D86" s="286" t="s">
        <v>226</v>
      </c>
      <c r="E86" s="286"/>
      <c r="F86" s="286"/>
      <c r="G86" s="286"/>
    </row>
    <row r="87" spans="1:7" ht="15" customHeight="1">
      <c r="A87" s="286" t="s">
        <v>227</v>
      </c>
      <c r="B87" s="286"/>
      <c r="C87" s="286"/>
      <c r="D87" s="286" t="s">
        <v>228</v>
      </c>
      <c r="E87" s="286"/>
      <c r="F87" s="286"/>
      <c r="G87" s="286"/>
    </row>
    <row r="88" spans="1:7" ht="15" customHeight="1">
      <c r="A88" s="286" t="s">
        <v>229</v>
      </c>
      <c r="B88" s="286"/>
      <c r="C88" s="286"/>
      <c r="D88" s="286" t="s">
        <v>230</v>
      </c>
      <c r="E88" s="286"/>
      <c r="F88" s="286"/>
      <c r="G88" s="286"/>
    </row>
    <row r="89" spans="1:7" ht="15.75" customHeight="1">
      <c r="A89" s="133"/>
      <c r="B89" s="133"/>
      <c r="C89" s="133"/>
      <c r="D89" s="133"/>
      <c r="E89" s="133"/>
      <c r="F89" s="133"/>
      <c r="G89" s="133"/>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4" sqref="C14"/>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292" t="s">
        <v>513</v>
      </c>
      <c r="I1" s="292"/>
      <c r="J1" s="292"/>
      <c r="K1" s="292"/>
    </row>
    <row r="2" spans="1:11" ht="26.25" customHeight="1">
      <c r="A2" s="293" t="s">
        <v>1028</v>
      </c>
      <c r="B2" s="293"/>
      <c r="C2" s="293"/>
      <c r="D2" s="293"/>
      <c r="E2" s="293"/>
      <c r="F2" s="293"/>
      <c r="G2" s="293"/>
      <c r="H2" s="293"/>
      <c r="I2" s="293"/>
      <c r="J2" s="293"/>
      <c r="K2" s="293"/>
    </row>
    <row r="3" spans="1:11" ht="28.5" customHeight="1">
      <c r="A3" s="294" t="s">
        <v>1029</v>
      </c>
      <c r="B3" s="294"/>
      <c r="C3" s="294"/>
      <c r="D3" s="294"/>
      <c r="E3" s="294"/>
      <c r="F3" s="294"/>
      <c r="G3" s="294"/>
      <c r="H3" s="294"/>
      <c r="I3" s="294"/>
      <c r="J3" s="294"/>
      <c r="K3" s="294"/>
    </row>
    <row r="4" spans="1:11" ht="18" customHeight="1">
      <c r="A4" s="295" t="s">
        <v>1063</v>
      </c>
      <c r="B4" s="296"/>
      <c r="C4" s="296"/>
      <c r="D4" s="296"/>
      <c r="E4" s="296"/>
      <c r="F4" s="296"/>
      <c r="G4" s="296"/>
      <c r="H4" s="296"/>
      <c r="I4" s="296"/>
      <c r="J4" s="296"/>
      <c r="K4" s="296"/>
    </row>
    <row r="5" spans="1:11">
      <c r="A5" s="28"/>
      <c r="B5" s="29"/>
      <c r="C5" s="29"/>
      <c r="D5" s="30"/>
      <c r="E5" s="30"/>
      <c r="F5" s="29"/>
      <c r="G5" s="29"/>
      <c r="H5" s="29"/>
      <c r="I5" s="29"/>
      <c r="J5" s="29"/>
      <c r="K5" s="29"/>
    </row>
    <row r="6" spans="1:11">
      <c r="A6" s="31">
        <v>1</v>
      </c>
      <c r="B6" s="32" t="s">
        <v>10</v>
      </c>
      <c r="C6" s="32" t="s">
        <v>1030</v>
      </c>
      <c r="D6" s="30"/>
      <c r="E6" s="30"/>
      <c r="F6" s="29"/>
      <c r="G6" s="29"/>
      <c r="H6" s="29"/>
      <c r="I6" s="29"/>
      <c r="J6" s="29"/>
      <c r="K6" s="29"/>
    </row>
    <row r="7" spans="1:11">
      <c r="A7" s="31"/>
      <c r="B7" s="33" t="s">
        <v>12</v>
      </c>
      <c r="C7" s="33" t="s">
        <v>13</v>
      </c>
      <c r="D7" s="34"/>
      <c r="E7" s="34"/>
      <c r="F7" s="35"/>
      <c r="G7" s="35"/>
      <c r="H7" s="35"/>
      <c r="I7" s="35"/>
      <c r="J7" s="35"/>
      <c r="K7" s="35"/>
    </row>
    <row r="8" spans="1:11" ht="12.75" customHeight="1">
      <c r="A8" s="36">
        <v>2</v>
      </c>
      <c r="B8" s="37" t="s">
        <v>385</v>
      </c>
      <c r="C8" s="38" t="s">
        <v>983</v>
      </c>
      <c r="D8" s="38"/>
      <c r="E8" s="38"/>
      <c r="F8" s="38"/>
      <c r="G8" s="38"/>
      <c r="H8" s="38"/>
      <c r="I8" s="39"/>
      <c r="J8" s="39"/>
      <c r="K8" s="39"/>
    </row>
    <row r="9" spans="1:11" ht="12.75" customHeight="1">
      <c r="A9" s="36"/>
      <c r="B9" s="40" t="s">
        <v>984</v>
      </c>
      <c r="C9" s="41" t="s">
        <v>612</v>
      </c>
      <c r="D9" s="42"/>
      <c r="E9" s="42"/>
      <c r="F9" s="42"/>
      <c r="G9" s="42"/>
      <c r="H9" s="42"/>
      <c r="I9" s="43"/>
      <c r="J9" s="43"/>
      <c r="K9" s="43"/>
    </row>
    <row r="10" spans="1:11" ht="12.75" customHeight="1">
      <c r="A10" s="36">
        <v>3</v>
      </c>
      <c r="B10" s="37" t="s">
        <v>5</v>
      </c>
      <c r="C10" s="38" t="s">
        <v>985</v>
      </c>
      <c r="D10" s="38"/>
      <c r="E10" s="38"/>
      <c r="F10" s="38"/>
      <c r="G10" s="38"/>
      <c r="H10" s="38"/>
      <c r="I10" s="39"/>
      <c r="J10" s="39"/>
      <c r="K10" s="39"/>
    </row>
    <row r="11" spans="1:11" ht="12.75" customHeight="1">
      <c r="A11" s="36"/>
      <c r="B11" s="40" t="s">
        <v>986</v>
      </c>
      <c r="C11" s="42" t="s">
        <v>987</v>
      </c>
      <c r="D11" s="42"/>
      <c r="E11" s="42"/>
      <c r="F11" s="42"/>
      <c r="G11" s="42"/>
      <c r="H11" s="42"/>
      <c r="I11" s="39"/>
      <c r="J11" s="39"/>
      <c r="K11" s="39"/>
    </row>
    <row r="12" spans="1:11" ht="13.5" customHeight="1">
      <c r="A12" s="36">
        <v>4</v>
      </c>
      <c r="B12" s="37" t="s">
        <v>20</v>
      </c>
      <c r="C12" s="277">
        <v>45449</v>
      </c>
      <c r="D12" s="277"/>
      <c r="E12" s="277"/>
      <c r="F12" s="277"/>
      <c r="G12" s="38"/>
      <c r="H12" s="38"/>
      <c r="I12" s="44"/>
      <c r="J12" s="44"/>
      <c r="K12" s="44"/>
    </row>
    <row r="13" spans="1:11" ht="13.5" customHeight="1">
      <c r="A13" s="42"/>
      <c r="B13" s="40" t="s">
        <v>21</v>
      </c>
      <c r="C13" s="278">
        <v>45449</v>
      </c>
      <c r="D13" s="278"/>
      <c r="E13" s="278"/>
      <c r="F13" s="278"/>
      <c r="G13" s="291"/>
      <c r="H13" s="291"/>
      <c r="I13" s="45"/>
      <c r="J13" s="45"/>
      <c r="K13" s="45"/>
    </row>
    <row r="14" spans="1:11">
      <c r="A14" s="46" t="s">
        <v>995</v>
      </c>
      <c r="B14" s="46" t="s">
        <v>1031</v>
      </c>
      <c r="C14" s="47"/>
      <c r="D14" s="48"/>
      <c r="E14" s="48"/>
      <c r="F14" s="48"/>
      <c r="G14" s="49"/>
      <c r="H14" s="49"/>
      <c r="I14" s="45"/>
      <c r="J14" s="45"/>
      <c r="K14" s="45"/>
    </row>
    <row r="15" spans="1:11">
      <c r="A15" s="32" t="s">
        <v>343</v>
      </c>
      <c r="B15" s="32" t="s">
        <v>1032</v>
      </c>
      <c r="C15" s="50"/>
      <c r="D15" s="51"/>
      <c r="E15" s="51"/>
      <c r="F15" s="52"/>
      <c r="G15" s="52"/>
      <c r="H15" s="52"/>
      <c r="I15" s="52"/>
      <c r="J15" s="52"/>
      <c r="K15" s="52"/>
    </row>
    <row r="16" spans="1:11" ht="24.75" customHeight="1">
      <c r="A16" s="297" t="s">
        <v>388</v>
      </c>
      <c r="B16" s="297" t="s">
        <v>1033</v>
      </c>
      <c r="C16" s="312" t="s">
        <v>27</v>
      </c>
      <c r="D16" s="297" t="s">
        <v>1034</v>
      </c>
      <c r="E16" s="297" t="s">
        <v>1035</v>
      </c>
      <c r="F16" s="297" t="s">
        <v>1036</v>
      </c>
      <c r="G16" s="297" t="s">
        <v>1037</v>
      </c>
      <c r="H16" s="299" t="s">
        <v>1038</v>
      </c>
      <c r="I16" s="300"/>
      <c r="J16" s="299" t="s">
        <v>1039</v>
      </c>
      <c r="K16" s="300"/>
    </row>
    <row r="17" spans="1:11" ht="58.5" customHeight="1">
      <c r="A17" s="298"/>
      <c r="B17" s="298"/>
      <c r="C17" s="313"/>
      <c r="D17" s="298"/>
      <c r="E17" s="298"/>
      <c r="F17" s="298"/>
      <c r="G17" s="298"/>
      <c r="H17" s="53" t="s">
        <v>1040</v>
      </c>
      <c r="I17" s="53" t="s">
        <v>1041</v>
      </c>
      <c r="J17" s="53" t="s">
        <v>1042</v>
      </c>
      <c r="K17" s="53" t="s">
        <v>1043</v>
      </c>
    </row>
    <row r="18" spans="1:11" ht="21">
      <c r="A18" s="54">
        <v>1</v>
      </c>
      <c r="B18" s="55" t="s">
        <v>1044</v>
      </c>
      <c r="C18" s="56" t="s">
        <v>573</v>
      </c>
      <c r="D18" s="301"/>
      <c r="E18" s="302"/>
      <c r="F18" s="302"/>
      <c r="G18" s="302"/>
      <c r="H18" s="302"/>
      <c r="I18" s="302"/>
      <c r="J18" s="302"/>
      <c r="K18" s="303"/>
    </row>
    <row r="19" spans="1:11" ht="21">
      <c r="A19" s="54" t="s">
        <v>31</v>
      </c>
      <c r="B19" s="55" t="s">
        <v>1045</v>
      </c>
      <c r="C19" s="56" t="s">
        <v>1046</v>
      </c>
      <c r="D19" s="304"/>
      <c r="E19" s="305"/>
      <c r="F19" s="305"/>
      <c r="G19" s="305"/>
      <c r="H19" s="305"/>
      <c r="I19" s="305"/>
      <c r="J19" s="305"/>
      <c r="K19" s="306"/>
    </row>
    <row r="20" spans="1:11" ht="21">
      <c r="A20" s="54">
        <v>2</v>
      </c>
      <c r="B20" s="55" t="s">
        <v>1047</v>
      </c>
      <c r="C20" s="56" t="s">
        <v>1048</v>
      </c>
      <c r="D20" s="304"/>
      <c r="E20" s="305"/>
      <c r="F20" s="305"/>
      <c r="G20" s="305"/>
      <c r="H20" s="305"/>
      <c r="I20" s="305"/>
      <c r="J20" s="305"/>
      <c r="K20" s="306"/>
    </row>
    <row r="21" spans="1:11" ht="21">
      <c r="A21" s="54" t="s">
        <v>121</v>
      </c>
      <c r="B21" s="55" t="s">
        <v>1049</v>
      </c>
      <c r="C21" s="56" t="s">
        <v>1050</v>
      </c>
      <c r="D21" s="304"/>
      <c r="E21" s="305"/>
      <c r="F21" s="305"/>
      <c r="G21" s="305"/>
      <c r="H21" s="305"/>
      <c r="I21" s="305"/>
      <c r="J21" s="305"/>
      <c r="K21" s="306"/>
    </row>
    <row r="22" spans="1:11" ht="21">
      <c r="A22" s="54" t="s">
        <v>995</v>
      </c>
      <c r="B22" s="57" t="s">
        <v>1051</v>
      </c>
      <c r="C22" s="56" t="s">
        <v>1052</v>
      </c>
      <c r="D22" s="304"/>
      <c r="E22" s="305"/>
      <c r="F22" s="305"/>
      <c r="G22" s="305"/>
      <c r="H22" s="305"/>
      <c r="I22" s="305"/>
      <c r="J22" s="305"/>
      <c r="K22" s="306"/>
    </row>
    <row r="23" spans="1:11" ht="21">
      <c r="A23" s="58" t="s">
        <v>14</v>
      </c>
      <c r="B23" s="57" t="s">
        <v>1053</v>
      </c>
      <c r="C23" s="56" t="s">
        <v>1054</v>
      </c>
      <c r="D23" s="304"/>
      <c r="E23" s="305"/>
      <c r="F23" s="305"/>
      <c r="G23" s="305"/>
      <c r="H23" s="305"/>
      <c r="I23" s="305"/>
      <c r="J23" s="305"/>
      <c r="K23" s="306"/>
    </row>
    <row r="24" spans="1:11" ht="21">
      <c r="A24" s="58" t="s">
        <v>340</v>
      </c>
      <c r="B24" s="55" t="s">
        <v>1055</v>
      </c>
      <c r="C24" s="56" t="s">
        <v>1056</v>
      </c>
      <c r="D24" s="304"/>
      <c r="E24" s="305"/>
      <c r="F24" s="305"/>
      <c r="G24" s="305"/>
      <c r="H24" s="305"/>
      <c r="I24" s="305"/>
      <c r="J24" s="305"/>
      <c r="K24" s="306"/>
    </row>
    <row r="25" spans="1:11" ht="21">
      <c r="A25" s="58" t="s">
        <v>19</v>
      </c>
      <c r="B25" s="55" t="s">
        <v>1057</v>
      </c>
      <c r="C25" s="56" t="s">
        <v>1058</v>
      </c>
      <c r="D25" s="304"/>
      <c r="E25" s="305"/>
      <c r="F25" s="305"/>
      <c r="G25" s="305"/>
      <c r="H25" s="305"/>
      <c r="I25" s="305"/>
      <c r="J25" s="305"/>
      <c r="K25" s="306"/>
    </row>
    <row r="26" spans="1:11" ht="21">
      <c r="A26" s="58" t="s">
        <v>343</v>
      </c>
      <c r="B26" s="55" t="s">
        <v>1055</v>
      </c>
      <c r="C26" s="56" t="s">
        <v>1059</v>
      </c>
      <c r="D26" s="304"/>
      <c r="E26" s="305"/>
      <c r="F26" s="305"/>
      <c r="G26" s="305"/>
      <c r="H26" s="305"/>
      <c r="I26" s="305"/>
      <c r="J26" s="305"/>
      <c r="K26" s="306"/>
    </row>
    <row r="27" spans="1:11" ht="25.5" customHeight="1">
      <c r="A27" s="54" t="s">
        <v>1020</v>
      </c>
      <c r="B27" s="57" t="s">
        <v>1060</v>
      </c>
      <c r="C27" s="56" t="s">
        <v>1061</v>
      </c>
      <c r="D27" s="307"/>
      <c r="E27" s="308"/>
      <c r="F27" s="308"/>
      <c r="G27" s="308"/>
      <c r="H27" s="308"/>
      <c r="I27" s="308"/>
      <c r="J27" s="308"/>
      <c r="K27" s="309"/>
    </row>
    <row r="28" spans="1:11" ht="9" customHeight="1">
      <c r="A28" s="52"/>
      <c r="B28" s="59"/>
      <c r="C28" s="59"/>
      <c r="D28" s="52"/>
      <c r="E28" s="52"/>
      <c r="F28" s="52"/>
      <c r="G28" s="52"/>
      <c r="H28" s="52"/>
      <c r="I28" s="52"/>
      <c r="J28" s="52"/>
      <c r="K28" s="52"/>
    </row>
    <row r="29" spans="1:11">
      <c r="A29" s="310" t="s">
        <v>221</v>
      </c>
      <c r="B29" s="310"/>
      <c r="C29" s="310"/>
      <c r="E29" s="60"/>
      <c r="F29" s="61"/>
      <c r="G29" s="61"/>
      <c r="H29" s="311" t="s">
        <v>222</v>
      </c>
      <c r="I29" s="311"/>
      <c r="J29" s="311"/>
      <c r="K29" s="311"/>
    </row>
    <row r="30" spans="1:11">
      <c r="A30" s="314" t="s">
        <v>223</v>
      </c>
      <c r="B30" s="314"/>
      <c r="C30" s="314"/>
      <c r="E30" s="62"/>
      <c r="F30" s="63"/>
      <c r="G30" s="63"/>
      <c r="H30" s="316" t="s">
        <v>224</v>
      </c>
      <c r="I30" s="316"/>
      <c r="J30" s="316"/>
      <c r="K30" s="316"/>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14" t="s">
        <v>1062</v>
      </c>
      <c r="B34" s="314"/>
      <c r="C34" s="314"/>
      <c r="E34" s="63"/>
      <c r="F34" s="63"/>
      <c r="G34" s="79"/>
      <c r="H34" s="317" t="s">
        <v>982</v>
      </c>
      <c r="I34" s="317"/>
      <c r="J34" s="317"/>
      <c r="K34" s="317"/>
    </row>
    <row r="35" spans="1:11" s="78" customFormat="1" ht="12.75" customHeight="1">
      <c r="A35" s="314" t="s">
        <v>227</v>
      </c>
      <c r="B35" s="314"/>
      <c r="C35" s="314"/>
      <c r="E35" s="80"/>
      <c r="F35" s="81"/>
      <c r="G35" s="79"/>
      <c r="H35" s="315" t="s">
        <v>228</v>
      </c>
      <c r="I35" s="315"/>
      <c r="J35" s="315"/>
      <c r="K35" s="315"/>
    </row>
    <row r="36" spans="1:11" s="78" customFormat="1" ht="12.75" customHeight="1">
      <c r="A36" s="314" t="s">
        <v>229</v>
      </c>
      <c r="B36" s="314"/>
      <c r="C36" s="314"/>
      <c r="H36" s="315" t="s">
        <v>230</v>
      </c>
      <c r="I36" s="315"/>
      <c r="J36" s="315"/>
      <c r="K36" s="31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39370078740157483" right="0.39370078740157483" top="0.35433070866141736" bottom="0.23622047244094491" header="0.31496062992125984" footer="0.31496062992125984"/>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activeCell="H18" sqref="H18"/>
    </sheetView>
  </sheetViews>
  <sheetFormatPr defaultColWidth="9.140625" defaultRowHeight="10.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c r="A1" s="284"/>
      <c r="B1" s="284"/>
      <c r="C1" s="133"/>
      <c r="D1" s="133"/>
      <c r="E1" s="273" t="s">
        <v>513</v>
      </c>
      <c r="F1" s="273"/>
      <c r="G1" s="273"/>
    </row>
    <row r="2" spans="1:7" ht="27" customHeight="1">
      <c r="A2" s="274" t="s">
        <v>1</v>
      </c>
      <c r="B2" s="274"/>
      <c r="C2" s="274"/>
      <c r="D2" s="274"/>
      <c r="E2" s="274"/>
      <c r="F2" s="274"/>
      <c r="G2" s="274"/>
    </row>
    <row r="3" spans="1:7" ht="6.75" customHeight="1">
      <c r="A3" s="133"/>
      <c r="B3" s="133"/>
      <c r="C3" s="133"/>
      <c r="D3" s="133"/>
      <c r="E3" s="133"/>
      <c r="F3" s="133"/>
      <c r="G3" s="133"/>
    </row>
    <row r="4" spans="1:7" ht="24.75" customHeight="1">
      <c r="A4" s="275" t="s">
        <v>231</v>
      </c>
      <c r="B4" s="275"/>
      <c r="C4" s="275"/>
      <c r="D4" s="275"/>
      <c r="E4" s="275"/>
      <c r="F4" s="275"/>
      <c r="G4" s="275"/>
    </row>
    <row r="5" spans="1:7" ht="18.75" customHeight="1">
      <c r="A5" s="283" t="s">
        <v>3</v>
      </c>
      <c r="B5" s="283"/>
      <c r="C5" s="283"/>
      <c r="D5" s="283"/>
      <c r="E5" s="283"/>
      <c r="F5" s="283"/>
      <c r="G5" s="283"/>
    </row>
    <row r="6" spans="1:7" ht="12.75" customHeight="1">
      <c r="A6" s="114" t="s">
        <v>4</v>
      </c>
      <c r="B6" s="285" t="s">
        <v>232</v>
      </c>
      <c r="C6" s="285"/>
      <c r="D6" s="285" t="s">
        <v>6</v>
      </c>
      <c r="E6" s="285"/>
      <c r="F6" s="285"/>
      <c r="G6" s="285"/>
    </row>
    <row r="7" spans="1:7" ht="12.75" customHeight="1">
      <c r="A7" s="133"/>
      <c r="B7" s="284" t="s">
        <v>7</v>
      </c>
      <c r="C7" s="284"/>
      <c r="D7" s="284" t="s">
        <v>8</v>
      </c>
      <c r="E7" s="284"/>
      <c r="F7" s="284"/>
      <c r="G7" s="284"/>
    </row>
    <row r="8" spans="1:7" ht="12.75" customHeight="1">
      <c r="A8" s="114" t="s">
        <v>9</v>
      </c>
      <c r="B8" s="285" t="s">
        <v>10</v>
      </c>
      <c r="C8" s="285"/>
      <c r="D8" s="285" t="s">
        <v>11</v>
      </c>
      <c r="E8" s="285"/>
      <c r="F8" s="285"/>
      <c r="G8" s="285"/>
    </row>
    <row r="9" spans="1:7" ht="12.75" customHeight="1">
      <c r="A9" s="133"/>
      <c r="B9" s="284" t="s">
        <v>12</v>
      </c>
      <c r="C9" s="284"/>
      <c r="D9" s="284" t="s">
        <v>13</v>
      </c>
      <c r="E9" s="284"/>
      <c r="F9" s="284"/>
      <c r="G9" s="284"/>
    </row>
    <row r="10" spans="1:7" ht="12.75" customHeight="1">
      <c r="A10" s="114" t="s">
        <v>14</v>
      </c>
      <c r="B10" s="285" t="s">
        <v>15</v>
      </c>
      <c r="C10" s="285"/>
      <c r="D10" s="285" t="s">
        <v>16</v>
      </c>
      <c r="E10" s="285"/>
      <c r="F10" s="285"/>
      <c r="G10" s="285"/>
    </row>
    <row r="11" spans="1:7" ht="12.75" customHeight="1">
      <c r="A11" s="133"/>
      <c r="B11" s="284" t="s">
        <v>17</v>
      </c>
      <c r="C11" s="284"/>
      <c r="D11" s="284" t="s">
        <v>18</v>
      </c>
      <c r="E11" s="284"/>
      <c r="F11" s="284"/>
      <c r="G11" s="284"/>
    </row>
    <row r="12" spans="1:7" ht="12.75" customHeight="1">
      <c r="A12" s="114" t="s">
        <v>19</v>
      </c>
      <c r="B12" s="285" t="s">
        <v>20</v>
      </c>
      <c r="C12" s="285"/>
      <c r="D12" s="277">
        <v>45449</v>
      </c>
      <c r="E12" s="277"/>
      <c r="F12" s="277"/>
      <c r="G12" s="277"/>
    </row>
    <row r="13" spans="1:7" ht="12.75" customHeight="1">
      <c r="A13" s="133"/>
      <c r="B13" s="284" t="s">
        <v>21</v>
      </c>
      <c r="C13" s="284"/>
      <c r="D13" s="278">
        <v>45449</v>
      </c>
      <c r="E13" s="278"/>
      <c r="F13" s="278"/>
      <c r="G13" s="278"/>
    </row>
    <row r="14" spans="1:7" ht="9" customHeight="1">
      <c r="A14" s="133"/>
      <c r="B14" s="133"/>
      <c r="C14" s="133"/>
      <c r="D14" s="133"/>
      <c r="E14" s="320"/>
      <c r="F14" s="320"/>
      <c r="G14" s="320"/>
    </row>
    <row r="15" spans="1:7" ht="15.75" customHeight="1">
      <c r="A15" s="287" t="s">
        <v>22</v>
      </c>
      <c r="B15" s="287"/>
      <c r="C15" s="287"/>
      <c r="D15" s="287"/>
      <c r="E15" s="287"/>
      <c r="F15" s="287"/>
      <c r="G15" s="287"/>
    </row>
    <row r="16" spans="1:7" ht="15.75" customHeight="1">
      <c r="A16" s="285" t="s">
        <v>514</v>
      </c>
      <c r="B16" s="285"/>
      <c r="C16" s="285"/>
      <c r="D16" s="285"/>
      <c r="E16" s="285"/>
      <c r="F16" s="285"/>
      <c r="G16" s="285"/>
    </row>
    <row r="17" spans="1:9" ht="11.25" customHeight="1">
      <c r="A17" s="136"/>
      <c r="B17" s="144"/>
      <c r="C17" s="136"/>
      <c r="D17" s="288" t="s">
        <v>24</v>
      </c>
      <c r="E17" s="288"/>
      <c r="F17" s="288"/>
      <c r="G17" s="288"/>
    </row>
    <row r="18" spans="1:9" ht="32.25" customHeight="1">
      <c r="A18" s="89" t="s">
        <v>515</v>
      </c>
      <c r="B18" s="321" t="s">
        <v>26</v>
      </c>
      <c r="C18" s="321"/>
      <c r="D18" s="321"/>
      <c r="E18" s="90" t="s">
        <v>27</v>
      </c>
      <c r="F18" s="90" t="s">
        <v>234</v>
      </c>
      <c r="G18" s="91" t="s">
        <v>235</v>
      </c>
    </row>
    <row r="19" spans="1:9" ht="21.95" customHeight="1">
      <c r="A19" s="92" t="s">
        <v>31</v>
      </c>
      <c r="B19" s="318" t="s">
        <v>516</v>
      </c>
      <c r="C19" s="318"/>
      <c r="D19" s="318"/>
      <c r="E19" s="94" t="s">
        <v>517</v>
      </c>
      <c r="F19" s="145">
        <v>0</v>
      </c>
      <c r="G19" s="146">
        <v>0</v>
      </c>
    </row>
    <row r="20" spans="1:9" ht="33" customHeight="1">
      <c r="A20" s="92" t="s">
        <v>4</v>
      </c>
      <c r="B20" s="318" t="s">
        <v>518</v>
      </c>
      <c r="C20" s="318"/>
      <c r="D20" s="318"/>
      <c r="E20" s="94" t="s">
        <v>519</v>
      </c>
      <c r="F20" s="147">
        <v>8.1320000000000003E-3</v>
      </c>
      <c r="G20" s="96">
        <v>7.8689999999999993E-3</v>
      </c>
      <c r="H20" s="148"/>
      <c r="I20" s="148"/>
    </row>
    <row r="21" spans="1:9" ht="33" customHeight="1">
      <c r="A21" s="92" t="s">
        <v>9</v>
      </c>
      <c r="B21" s="318" t="s">
        <v>520</v>
      </c>
      <c r="C21" s="318"/>
      <c r="D21" s="318"/>
      <c r="E21" s="94" t="s">
        <v>521</v>
      </c>
      <c r="F21" s="147">
        <v>7.4600000000000003E-4</v>
      </c>
      <c r="G21" s="96">
        <v>7.2499999999999995E-4</v>
      </c>
      <c r="H21" s="148"/>
      <c r="I21" s="148"/>
    </row>
    <row r="22" spans="1:9" ht="41.25" customHeight="1">
      <c r="A22" s="92" t="s">
        <v>14</v>
      </c>
      <c r="B22" s="318" t="s">
        <v>522</v>
      </c>
      <c r="C22" s="318"/>
      <c r="D22" s="318"/>
      <c r="E22" s="94" t="s">
        <v>523</v>
      </c>
      <c r="F22" s="147">
        <v>1.5939999999999999E-3</v>
      </c>
      <c r="G22" s="96">
        <v>1.647E-3</v>
      </c>
      <c r="H22" s="148"/>
      <c r="I22" s="148"/>
    </row>
    <row r="23" spans="1:9" ht="33" customHeight="1">
      <c r="A23" s="92" t="s">
        <v>19</v>
      </c>
      <c r="B23" s="318" t="s">
        <v>524</v>
      </c>
      <c r="C23" s="318"/>
      <c r="D23" s="318"/>
      <c r="E23" s="94" t="s">
        <v>525</v>
      </c>
      <c r="F23" s="147">
        <v>2.1999999999999999E-5</v>
      </c>
      <c r="G23" s="96">
        <v>2.0000000000000002E-5</v>
      </c>
      <c r="H23" s="148"/>
      <c r="I23" s="148"/>
    </row>
    <row r="24" spans="1:9" ht="41.25" customHeight="1">
      <c r="A24" s="92" t="s">
        <v>287</v>
      </c>
      <c r="B24" s="318" t="s">
        <v>526</v>
      </c>
      <c r="C24" s="318"/>
      <c r="D24" s="318"/>
      <c r="E24" s="94"/>
      <c r="F24" s="147">
        <v>0</v>
      </c>
      <c r="G24" s="96">
        <v>0</v>
      </c>
      <c r="H24" s="148"/>
      <c r="I24" s="148"/>
    </row>
    <row r="25" spans="1:9" ht="42.75" customHeight="1">
      <c r="A25" s="92" t="s">
        <v>289</v>
      </c>
      <c r="B25" s="318" t="s">
        <v>527</v>
      </c>
      <c r="C25" s="318"/>
      <c r="D25" s="318"/>
      <c r="E25" s="94"/>
      <c r="F25" s="147">
        <v>0</v>
      </c>
      <c r="G25" s="96">
        <v>0</v>
      </c>
      <c r="H25" s="148"/>
      <c r="I25" s="148"/>
    </row>
    <row r="26" spans="1:9" ht="42.75" customHeight="1">
      <c r="A26" s="92" t="s">
        <v>292</v>
      </c>
      <c r="B26" s="318" t="s">
        <v>528</v>
      </c>
      <c r="C26" s="318"/>
      <c r="D26" s="318"/>
      <c r="E26" s="94" t="s">
        <v>529</v>
      </c>
      <c r="F26" s="147">
        <v>3.1000000000000001E-5</v>
      </c>
      <c r="G26" s="96">
        <v>7.9999999999999996E-6</v>
      </c>
      <c r="H26" s="148"/>
      <c r="I26" s="148"/>
    </row>
    <row r="27" spans="1:9" ht="21.95" customHeight="1">
      <c r="A27" s="92" t="s">
        <v>301</v>
      </c>
      <c r="B27" s="318" t="s">
        <v>530</v>
      </c>
      <c r="C27" s="318"/>
      <c r="D27" s="318"/>
      <c r="E27" s="94" t="s">
        <v>531</v>
      </c>
      <c r="F27" s="147">
        <v>1.0421E-2</v>
      </c>
      <c r="G27" s="96">
        <v>1.0429000000000001E-2</v>
      </c>
      <c r="H27" s="148"/>
      <c r="I27" s="148"/>
    </row>
    <row r="28" spans="1:9" ht="42.75" customHeight="1">
      <c r="A28" s="92" t="s">
        <v>314</v>
      </c>
      <c r="B28" s="318" t="s">
        <v>1066</v>
      </c>
      <c r="C28" s="318"/>
      <c r="D28" s="318"/>
      <c r="E28" s="94" t="s">
        <v>532</v>
      </c>
      <c r="F28" s="147">
        <v>0.64927400000000002</v>
      </c>
      <c r="G28" s="96">
        <v>0.42818400000000001</v>
      </c>
      <c r="H28" s="148"/>
      <c r="I28" s="148"/>
    </row>
    <row r="29" spans="1:9" ht="42.75" customHeight="1">
      <c r="A29" s="92" t="s">
        <v>321</v>
      </c>
      <c r="B29" s="318" t="s">
        <v>533</v>
      </c>
      <c r="C29" s="318"/>
      <c r="D29" s="318"/>
      <c r="E29" s="94"/>
      <c r="F29" s="147">
        <v>0</v>
      </c>
      <c r="G29" s="96">
        <v>0</v>
      </c>
      <c r="H29" s="148"/>
      <c r="I29" s="148"/>
    </row>
    <row r="30" spans="1:9" ht="21.95" customHeight="1">
      <c r="A30" s="92" t="s">
        <v>121</v>
      </c>
      <c r="B30" s="318" t="s">
        <v>534</v>
      </c>
      <c r="C30" s="318"/>
      <c r="D30" s="318"/>
      <c r="E30" s="94" t="s">
        <v>535</v>
      </c>
      <c r="F30" s="145">
        <v>0</v>
      </c>
      <c r="G30" s="146">
        <v>0</v>
      </c>
      <c r="H30" s="148"/>
      <c r="I30" s="148"/>
    </row>
    <row r="31" spans="1:9" ht="21.95" customHeight="1">
      <c r="A31" s="92" t="s">
        <v>4</v>
      </c>
      <c r="B31" s="318" t="s">
        <v>536</v>
      </c>
      <c r="C31" s="318"/>
      <c r="D31" s="318"/>
      <c r="E31" s="94" t="s">
        <v>537</v>
      </c>
      <c r="F31" s="149">
        <v>4566000000000</v>
      </c>
      <c r="G31" s="150">
        <v>5183000000000</v>
      </c>
      <c r="H31" s="148"/>
      <c r="I31" s="148"/>
    </row>
    <row r="32" spans="1:9" ht="21.95" customHeight="1">
      <c r="A32" s="92"/>
      <c r="B32" s="318" t="s">
        <v>538</v>
      </c>
      <c r="C32" s="318"/>
      <c r="D32" s="318"/>
      <c r="E32" s="94" t="s">
        <v>539</v>
      </c>
      <c r="F32" s="149">
        <v>4566000000000</v>
      </c>
      <c r="G32" s="150">
        <v>5183000000000</v>
      </c>
      <c r="H32" s="148"/>
      <c r="I32" s="148"/>
    </row>
    <row r="33" spans="1:9" ht="21.95" customHeight="1">
      <c r="A33" s="92"/>
      <c r="B33" s="318" t="s">
        <v>540</v>
      </c>
      <c r="C33" s="318"/>
      <c r="D33" s="318"/>
      <c r="E33" s="94" t="s">
        <v>541</v>
      </c>
      <c r="F33" s="149">
        <v>456600000</v>
      </c>
      <c r="G33" s="150">
        <v>518300000</v>
      </c>
      <c r="H33" s="148"/>
      <c r="I33" s="148"/>
    </row>
    <row r="34" spans="1:9" ht="21.95" customHeight="1">
      <c r="A34" s="92" t="s">
        <v>9</v>
      </c>
      <c r="B34" s="318" t="s">
        <v>542</v>
      </c>
      <c r="C34" s="318"/>
      <c r="D34" s="318"/>
      <c r="E34" s="94" t="s">
        <v>543</v>
      </c>
      <c r="F34" s="149">
        <v>-88000000000</v>
      </c>
      <c r="G34" s="150">
        <v>-617000000000</v>
      </c>
      <c r="H34" s="148"/>
      <c r="I34" s="148"/>
    </row>
    <row r="35" spans="1:9" ht="21.95" customHeight="1">
      <c r="A35" s="92"/>
      <c r="B35" s="318" t="s">
        <v>544</v>
      </c>
      <c r="C35" s="318"/>
      <c r="D35" s="318"/>
      <c r="E35" s="94" t="s">
        <v>545</v>
      </c>
      <c r="F35" s="149">
        <v>-8800000</v>
      </c>
      <c r="G35" s="150">
        <v>-61700000</v>
      </c>
      <c r="H35" s="148"/>
      <c r="I35" s="148"/>
    </row>
    <row r="36" spans="1:9" ht="21.95" customHeight="1">
      <c r="A36" s="92"/>
      <c r="B36" s="318" t="s">
        <v>546</v>
      </c>
      <c r="C36" s="318"/>
      <c r="D36" s="318"/>
      <c r="E36" s="94" t="s">
        <v>547</v>
      </c>
      <c r="F36" s="149">
        <v>-88000000000</v>
      </c>
      <c r="G36" s="150">
        <v>-617000000000</v>
      </c>
      <c r="H36" s="148"/>
      <c r="I36" s="148"/>
    </row>
    <row r="37" spans="1:9" ht="21.95" customHeight="1">
      <c r="A37" s="92"/>
      <c r="B37" s="318" t="s">
        <v>548</v>
      </c>
      <c r="C37" s="318"/>
      <c r="D37" s="318"/>
      <c r="E37" s="94" t="s">
        <v>549</v>
      </c>
      <c r="F37" s="149">
        <v>10700000</v>
      </c>
      <c r="G37" s="150">
        <v>16400000</v>
      </c>
      <c r="H37" s="148"/>
      <c r="I37" s="148"/>
    </row>
    <row r="38" spans="1:9" ht="21.95" customHeight="1">
      <c r="A38" s="92"/>
      <c r="B38" s="318" t="s">
        <v>550</v>
      </c>
      <c r="C38" s="318"/>
      <c r="D38" s="318"/>
      <c r="E38" s="94" t="s">
        <v>551</v>
      </c>
      <c r="F38" s="149">
        <v>107000000000</v>
      </c>
      <c r="G38" s="150">
        <v>164000000000</v>
      </c>
      <c r="H38" s="148"/>
      <c r="I38" s="148"/>
    </row>
    <row r="39" spans="1:9" ht="21.95" customHeight="1">
      <c r="A39" s="92"/>
      <c r="B39" s="318" t="s">
        <v>552</v>
      </c>
      <c r="C39" s="318"/>
      <c r="D39" s="318"/>
      <c r="E39" s="94" t="s">
        <v>553</v>
      </c>
      <c r="F39" s="149">
        <v>-19500000</v>
      </c>
      <c r="G39" s="150">
        <v>-78100000</v>
      </c>
      <c r="H39" s="148"/>
      <c r="I39" s="148"/>
    </row>
    <row r="40" spans="1:9" ht="21.95" customHeight="1">
      <c r="A40" s="92"/>
      <c r="B40" s="318" t="s">
        <v>554</v>
      </c>
      <c r="C40" s="318"/>
      <c r="D40" s="318"/>
      <c r="E40" s="94" t="s">
        <v>555</v>
      </c>
      <c r="F40" s="149">
        <v>-195000000000</v>
      </c>
      <c r="G40" s="150">
        <v>-781000000000</v>
      </c>
      <c r="H40" s="148"/>
      <c r="I40" s="148"/>
    </row>
    <row r="41" spans="1:9" ht="21.95" customHeight="1">
      <c r="A41" s="92" t="s">
        <v>14</v>
      </c>
      <c r="B41" s="318" t="s">
        <v>556</v>
      </c>
      <c r="C41" s="318"/>
      <c r="D41" s="318"/>
      <c r="E41" s="94" t="s">
        <v>557</v>
      </c>
      <c r="F41" s="149">
        <v>4478000000000</v>
      </c>
      <c r="G41" s="150">
        <v>4566000000000</v>
      </c>
      <c r="H41" s="148"/>
      <c r="I41" s="148"/>
    </row>
    <row r="42" spans="1:9" ht="21.95" customHeight="1">
      <c r="A42" s="92"/>
      <c r="B42" s="318" t="s">
        <v>558</v>
      </c>
      <c r="C42" s="318"/>
      <c r="D42" s="318"/>
      <c r="E42" s="94" t="s">
        <v>559</v>
      </c>
      <c r="F42" s="149">
        <v>4478000000000</v>
      </c>
      <c r="G42" s="150">
        <v>4566000000000</v>
      </c>
      <c r="H42" s="148"/>
      <c r="I42" s="148"/>
    </row>
    <row r="43" spans="1:9" ht="21.95" customHeight="1">
      <c r="A43" s="92"/>
      <c r="B43" s="318" t="s">
        <v>560</v>
      </c>
      <c r="C43" s="318"/>
      <c r="D43" s="318"/>
      <c r="E43" s="94" t="s">
        <v>561</v>
      </c>
      <c r="F43" s="149">
        <v>447800000</v>
      </c>
      <c r="G43" s="150">
        <v>456600000</v>
      </c>
      <c r="H43" s="148"/>
      <c r="I43" s="148"/>
    </row>
    <row r="44" spans="1:9" ht="31.5" customHeight="1">
      <c r="A44" s="92" t="s">
        <v>19</v>
      </c>
      <c r="B44" s="318" t="s">
        <v>562</v>
      </c>
      <c r="C44" s="318"/>
      <c r="D44" s="318"/>
      <c r="E44" s="94" t="s">
        <v>563</v>
      </c>
      <c r="F44" s="151">
        <v>1.5100000000000001E-4</v>
      </c>
      <c r="G44" s="105">
        <v>1.4799999999999999E-4</v>
      </c>
      <c r="H44" s="148"/>
      <c r="I44" s="148"/>
    </row>
    <row r="45" spans="1:9" ht="23.25" customHeight="1">
      <c r="A45" s="92" t="s">
        <v>287</v>
      </c>
      <c r="B45" s="322" t="s">
        <v>564</v>
      </c>
      <c r="C45" s="323"/>
      <c r="D45" s="324"/>
      <c r="E45" s="94" t="s">
        <v>565</v>
      </c>
      <c r="F45" s="151">
        <v>0.77029999999999998</v>
      </c>
      <c r="G45" s="105">
        <v>0.78559999999999997</v>
      </c>
      <c r="H45" s="148"/>
      <c r="I45" s="148"/>
    </row>
    <row r="46" spans="1:9" ht="23.25" customHeight="1">
      <c r="A46" s="92" t="s">
        <v>289</v>
      </c>
      <c r="B46" s="322" t="s">
        <v>566</v>
      </c>
      <c r="C46" s="323"/>
      <c r="D46" s="324"/>
      <c r="E46" s="94" t="s">
        <v>567</v>
      </c>
      <c r="F46" s="151">
        <v>0.94499999999999995</v>
      </c>
      <c r="G46" s="105">
        <v>0.94510000000000005</v>
      </c>
      <c r="H46" s="148"/>
      <c r="I46" s="148"/>
    </row>
    <row r="47" spans="1:9" ht="21.95" customHeight="1">
      <c r="A47" s="92" t="s">
        <v>292</v>
      </c>
      <c r="B47" s="318" t="s">
        <v>568</v>
      </c>
      <c r="C47" s="318"/>
      <c r="D47" s="318"/>
      <c r="E47" s="94" t="s">
        <v>569</v>
      </c>
      <c r="F47" s="152">
        <v>31763.14</v>
      </c>
      <c r="G47" s="153">
        <v>30513.26</v>
      </c>
      <c r="H47" s="148"/>
      <c r="I47" s="148"/>
    </row>
    <row r="48" spans="1:9" ht="21.95" customHeight="1">
      <c r="A48" s="92" t="s">
        <v>301</v>
      </c>
      <c r="B48" s="318" t="s">
        <v>570</v>
      </c>
      <c r="C48" s="318"/>
      <c r="D48" s="318"/>
      <c r="E48" s="94" t="s">
        <v>571</v>
      </c>
      <c r="F48" s="154">
        <v>31700</v>
      </c>
      <c r="G48" s="155">
        <v>30750</v>
      </c>
      <c r="H48" s="148"/>
      <c r="I48" s="148"/>
    </row>
    <row r="49" spans="1:9" ht="21.95" customHeight="1">
      <c r="A49" s="107" t="s">
        <v>314</v>
      </c>
      <c r="B49" s="319" t="s">
        <v>572</v>
      </c>
      <c r="C49" s="319"/>
      <c r="D49" s="319"/>
      <c r="E49" s="109" t="s">
        <v>573</v>
      </c>
      <c r="F49" s="156">
        <v>4962</v>
      </c>
      <c r="G49" s="157">
        <v>4974</v>
      </c>
      <c r="H49" s="148"/>
      <c r="I49" s="148"/>
    </row>
    <row r="50" spans="1:9" ht="7.5" customHeight="1">
      <c r="A50" s="133"/>
      <c r="B50" s="133"/>
      <c r="C50" s="133"/>
      <c r="D50" s="133"/>
      <c r="E50" s="133"/>
      <c r="F50" s="158"/>
      <c r="G50" s="158"/>
    </row>
    <row r="51" spans="1:9" ht="14.25" customHeight="1">
      <c r="A51" s="284" t="s">
        <v>574</v>
      </c>
      <c r="B51" s="284"/>
      <c r="C51" s="284"/>
      <c r="D51" s="284"/>
      <c r="E51" s="284"/>
      <c r="F51" s="284"/>
      <c r="G51" s="284"/>
    </row>
    <row r="52" spans="1:9" ht="238.5" customHeight="1">
      <c r="A52" s="281" t="s">
        <v>1065</v>
      </c>
      <c r="B52" s="281"/>
      <c r="C52" s="281"/>
      <c r="D52" s="281"/>
      <c r="E52" s="281"/>
      <c r="F52" s="281"/>
      <c r="G52" s="281"/>
    </row>
    <row r="53" spans="1:9" ht="48.75" customHeight="1">
      <c r="A53" s="281" t="s">
        <v>1064</v>
      </c>
      <c r="B53" s="281"/>
      <c r="C53" s="281"/>
      <c r="D53" s="281"/>
      <c r="E53" s="281"/>
      <c r="F53" s="281"/>
      <c r="G53" s="281"/>
    </row>
    <row r="54" spans="1:9" ht="7.5" customHeight="1">
      <c r="A54" s="133"/>
      <c r="B54" s="159"/>
      <c r="C54" s="133"/>
      <c r="D54" s="133"/>
      <c r="E54" s="133"/>
      <c r="F54" s="133"/>
      <c r="G54" s="133"/>
    </row>
    <row r="55" spans="1:9" ht="14.25" customHeight="1">
      <c r="A55" s="286" t="s">
        <v>575</v>
      </c>
      <c r="B55" s="286"/>
      <c r="C55" s="286"/>
      <c r="D55" s="286"/>
      <c r="E55" s="286" t="s">
        <v>222</v>
      </c>
      <c r="F55" s="286"/>
      <c r="G55" s="286"/>
    </row>
    <row r="56" spans="1:9" ht="12" customHeight="1">
      <c r="A56" s="283" t="s">
        <v>223</v>
      </c>
      <c r="B56" s="283"/>
      <c r="C56" s="283"/>
      <c r="D56" s="283"/>
      <c r="E56" s="283" t="s">
        <v>224</v>
      </c>
      <c r="F56" s="283"/>
      <c r="G56" s="283"/>
    </row>
    <row r="57" spans="1:9" ht="15" customHeight="1">
      <c r="A57" s="133"/>
      <c r="B57" s="133"/>
      <c r="C57" s="133"/>
      <c r="D57" s="133"/>
      <c r="E57" s="133"/>
      <c r="F57" s="133"/>
      <c r="G57" s="133"/>
    </row>
    <row r="58" spans="1:9" ht="15" customHeight="1">
      <c r="A58" s="133"/>
      <c r="B58" s="133"/>
      <c r="C58" s="133"/>
      <c r="D58" s="133"/>
      <c r="E58" s="133"/>
      <c r="F58" s="133"/>
      <c r="G58" s="133"/>
    </row>
    <row r="59" spans="1:9" ht="15.75" customHeight="1">
      <c r="A59" s="133"/>
      <c r="B59" s="133"/>
      <c r="C59" s="133"/>
      <c r="D59" s="133"/>
      <c r="E59" s="133"/>
      <c r="F59" s="133"/>
      <c r="G59" s="133"/>
    </row>
    <row r="60" spans="1:9" ht="15" customHeight="1">
      <c r="A60" s="133"/>
      <c r="B60" s="133"/>
      <c r="C60" s="133"/>
      <c r="D60" s="133"/>
      <c r="E60" s="133"/>
      <c r="F60" s="133"/>
      <c r="G60" s="133"/>
    </row>
    <row r="61" spans="1:9" ht="15.75" customHeight="1">
      <c r="A61" s="133"/>
      <c r="B61" s="133"/>
      <c r="C61" s="133"/>
      <c r="D61" s="133"/>
      <c r="E61" s="133"/>
      <c r="F61" s="133"/>
      <c r="G61" s="133"/>
    </row>
    <row r="62" spans="1:9" ht="15.75" customHeight="1">
      <c r="A62" s="133"/>
      <c r="B62" s="133"/>
      <c r="C62" s="133"/>
      <c r="D62" s="133"/>
      <c r="E62" s="133"/>
      <c r="F62" s="133"/>
      <c r="G62" s="133"/>
    </row>
    <row r="63" spans="1:9" ht="15.75" customHeight="1">
      <c r="A63" s="286" t="s">
        <v>225</v>
      </c>
      <c r="B63" s="286"/>
      <c r="C63" s="286"/>
      <c r="D63" s="286"/>
      <c r="E63" s="286" t="s">
        <v>226</v>
      </c>
      <c r="F63" s="286"/>
      <c r="G63" s="286"/>
    </row>
    <row r="64" spans="1:9">
      <c r="A64" s="286" t="s">
        <v>227</v>
      </c>
      <c r="B64" s="286"/>
      <c r="C64" s="286"/>
      <c r="D64" s="286"/>
      <c r="E64" s="286" t="s">
        <v>228</v>
      </c>
      <c r="F64" s="286"/>
      <c r="G64" s="286"/>
    </row>
    <row r="65" spans="1:7">
      <c r="A65" s="286" t="s">
        <v>229</v>
      </c>
      <c r="B65" s="286"/>
      <c r="C65" s="286"/>
      <c r="D65" s="286"/>
      <c r="E65" s="286" t="s">
        <v>230</v>
      </c>
      <c r="F65" s="286"/>
      <c r="G65" s="286"/>
    </row>
  </sheetData>
  <mergeCells count="70">
    <mergeCell ref="A55:D55"/>
    <mergeCell ref="E55:G55"/>
    <mergeCell ref="A56:D56"/>
    <mergeCell ref="E56:G56"/>
    <mergeCell ref="B44:D44"/>
    <mergeCell ref="A51:G51"/>
    <mergeCell ref="A52:G52"/>
    <mergeCell ref="A53:G53"/>
    <mergeCell ref="B45:D45"/>
    <mergeCell ref="B46:D46"/>
    <mergeCell ref="B39:D39"/>
    <mergeCell ref="B40:D40"/>
    <mergeCell ref="B41:D41"/>
    <mergeCell ref="B42:D42"/>
    <mergeCell ref="B43:D43"/>
    <mergeCell ref="B38:D38"/>
    <mergeCell ref="B29:D29"/>
    <mergeCell ref="B30:D30"/>
    <mergeCell ref="B31:D31"/>
    <mergeCell ref="B32:D32"/>
    <mergeCell ref="B33:D33"/>
    <mergeCell ref="B34:D34"/>
    <mergeCell ref="B35:D35"/>
    <mergeCell ref="B36:D36"/>
    <mergeCell ref="B37:D37"/>
    <mergeCell ref="A15:G15"/>
    <mergeCell ref="A16:G16"/>
    <mergeCell ref="B28:D28"/>
    <mergeCell ref="B18:D18"/>
    <mergeCell ref="B19:D19"/>
    <mergeCell ref="B20:D20"/>
    <mergeCell ref="B21:D21"/>
    <mergeCell ref="B22:D22"/>
    <mergeCell ref="B23:D23"/>
    <mergeCell ref="B24:D24"/>
    <mergeCell ref="B25:D25"/>
    <mergeCell ref="B26:D26"/>
    <mergeCell ref="B27:D27"/>
    <mergeCell ref="B12:C12"/>
    <mergeCell ref="D12:G12"/>
    <mergeCell ref="B13:C13"/>
    <mergeCell ref="D13:G13"/>
    <mergeCell ref="E14:G14"/>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D17:G17"/>
    <mergeCell ref="B10:C10"/>
    <mergeCell ref="D10:G10"/>
    <mergeCell ref="B11:C11"/>
    <mergeCell ref="D11:G11"/>
    <mergeCell ref="A63:D63"/>
    <mergeCell ref="E63:G63"/>
    <mergeCell ref="A64:D64"/>
    <mergeCell ref="E64:G64"/>
    <mergeCell ref="A65:D65"/>
    <mergeCell ref="E65:G65"/>
  </mergeCells>
  <printOptions horizontalCentered="1"/>
  <pageMargins left="0.39370078740157483" right="0.39370078740157483" top="0.39370078740157483" bottom="0.39370078740157483" header="0.31496062992125984" footer="0.31496062992125984"/>
  <pageSetup paperSize="9" scale="8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H18" sqref="H18"/>
    </sheetView>
  </sheetViews>
  <sheetFormatPr defaultColWidth="9.140625" defaultRowHeight="10.5"/>
  <cols>
    <col min="1" max="1" width="30.85546875" style="83" customWidth="1"/>
    <col min="2" max="2" width="5.5703125" style="202" customWidth="1"/>
    <col min="3" max="3" width="6.42578125" style="83" customWidth="1"/>
    <col min="4" max="7" width="18.7109375" style="83" customWidth="1"/>
    <col min="8" max="8" width="15.7109375" style="182" bestFit="1" customWidth="1"/>
    <col min="9" max="9" width="16.5703125" style="182" bestFit="1" customWidth="1"/>
    <col min="10" max="16384" width="9.140625" style="83"/>
  </cols>
  <sheetData>
    <row r="1" spans="1:9" ht="27" customHeight="1">
      <c r="A1" s="84"/>
      <c r="B1" s="272"/>
      <c r="C1" s="272"/>
      <c r="D1" s="273" t="s">
        <v>609</v>
      </c>
      <c r="E1" s="273"/>
      <c r="F1" s="273"/>
      <c r="G1" s="273"/>
    </row>
    <row r="2" spans="1:9" ht="23.25" customHeight="1">
      <c r="A2" s="325" t="s">
        <v>576</v>
      </c>
      <c r="B2" s="325"/>
      <c r="C2" s="325"/>
      <c r="D2" s="325"/>
      <c r="E2" s="325"/>
      <c r="F2" s="325"/>
      <c r="G2" s="325"/>
    </row>
    <row r="3" spans="1:9" ht="6" customHeight="1">
      <c r="A3" s="84"/>
      <c r="B3" s="272"/>
      <c r="C3" s="272"/>
      <c r="D3" s="272"/>
      <c r="E3" s="272"/>
      <c r="F3" s="272"/>
      <c r="G3" s="272"/>
    </row>
    <row r="4" spans="1:9" s="184" customFormat="1" ht="12.75" customHeight="1">
      <c r="A4" s="326" t="s">
        <v>610</v>
      </c>
      <c r="B4" s="326"/>
      <c r="C4" s="326"/>
      <c r="D4" s="326"/>
      <c r="E4" s="326"/>
      <c r="F4" s="326"/>
      <c r="G4" s="326"/>
      <c r="H4" s="183"/>
      <c r="I4" s="183"/>
    </row>
    <row r="5" spans="1:9" s="184" customFormat="1" ht="12.75" customHeight="1">
      <c r="A5" s="327" t="s">
        <v>611</v>
      </c>
      <c r="B5" s="327"/>
      <c r="C5" s="327"/>
      <c r="D5" s="327"/>
      <c r="E5" s="327"/>
      <c r="F5" s="327"/>
      <c r="G5" s="327"/>
      <c r="H5" s="183"/>
      <c r="I5" s="183"/>
    </row>
    <row r="6" spans="1:9" ht="12.75" customHeight="1">
      <c r="A6" s="283" t="s">
        <v>3</v>
      </c>
      <c r="B6" s="283"/>
      <c r="C6" s="283"/>
      <c r="D6" s="283"/>
      <c r="E6" s="283"/>
      <c r="F6" s="283"/>
      <c r="G6" s="283"/>
    </row>
    <row r="7" spans="1:9" ht="12.75" customHeight="1">
      <c r="A7" s="84"/>
      <c r="B7" s="272"/>
      <c r="C7" s="272"/>
      <c r="D7" s="272"/>
      <c r="E7" s="272"/>
      <c r="F7" s="272"/>
      <c r="G7" s="272"/>
    </row>
    <row r="8" spans="1:9" ht="12.75" customHeight="1">
      <c r="A8" s="134" t="s">
        <v>10</v>
      </c>
      <c r="B8" s="271" t="s">
        <v>11</v>
      </c>
      <c r="C8" s="271"/>
      <c r="D8" s="271"/>
      <c r="E8" s="271"/>
      <c r="F8" s="271"/>
      <c r="G8" s="271"/>
    </row>
    <row r="9" spans="1:9" ht="12.75" customHeight="1">
      <c r="A9" s="133" t="s">
        <v>12</v>
      </c>
      <c r="B9" s="272" t="s">
        <v>13</v>
      </c>
      <c r="C9" s="272"/>
      <c r="D9" s="272"/>
      <c r="E9" s="272"/>
      <c r="F9" s="272"/>
      <c r="G9" s="272"/>
    </row>
    <row r="10" spans="1:9" ht="12.75" customHeight="1">
      <c r="A10" s="134" t="s">
        <v>385</v>
      </c>
      <c r="B10" s="271" t="s">
        <v>16</v>
      </c>
      <c r="C10" s="271"/>
      <c r="D10" s="271"/>
      <c r="E10" s="271"/>
      <c r="F10" s="271"/>
      <c r="G10" s="271"/>
    </row>
    <row r="11" spans="1:9" ht="12.75" customHeight="1">
      <c r="A11" s="133" t="s">
        <v>17</v>
      </c>
      <c r="B11" s="272" t="s">
        <v>612</v>
      </c>
      <c r="C11" s="272"/>
      <c r="D11" s="272"/>
      <c r="E11" s="272"/>
      <c r="F11" s="272"/>
      <c r="G11" s="272"/>
    </row>
    <row r="12" spans="1:9" ht="12.75" customHeight="1">
      <c r="A12" s="134" t="s">
        <v>5</v>
      </c>
      <c r="B12" s="279" t="s">
        <v>6</v>
      </c>
      <c r="C12" s="279"/>
      <c r="D12" s="279"/>
      <c r="E12" s="279"/>
      <c r="F12" s="279"/>
      <c r="G12" s="279"/>
    </row>
    <row r="13" spans="1:9" ht="12.75" customHeight="1">
      <c r="A13" s="133" t="s">
        <v>7</v>
      </c>
      <c r="B13" s="272" t="s">
        <v>8</v>
      </c>
      <c r="C13" s="272"/>
      <c r="D13" s="272"/>
      <c r="E13" s="272"/>
      <c r="F13" s="272"/>
      <c r="G13" s="272"/>
    </row>
    <row r="14" spans="1:9" ht="12.75" customHeight="1">
      <c r="A14" s="134" t="s">
        <v>20</v>
      </c>
      <c r="B14" s="277">
        <v>45449</v>
      </c>
      <c r="C14" s="277"/>
      <c r="D14" s="277"/>
      <c r="E14" s="277"/>
      <c r="F14" s="277"/>
      <c r="G14" s="277"/>
    </row>
    <row r="15" spans="1:9" ht="12.75" customHeight="1">
      <c r="A15" s="133" t="s">
        <v>21</v>
      </c>
      <c r="B15" s="278">
        <v>45449</v>
      </c>
      <c r="C15" s="278"/>
      <c r="D15" s="278"/>
      <c r="E15" s="278"/>
      <c r="F15" s="278"/>
      <c r="G15" s="278"/>
    </row>
    <row r="16" spans="1:9" ht="12.75" customHeight="1">
      <c r="A16" s="87"/>
      <c r="B16" s="335"/>
      <c r="C16" s="335"/>
      <c r="D16" s="335"/>
      <c r="E16" s="335"/>
      <c r="F16" s="280" t="s">
        <v>24</v>
      </c>
      <c r="G16" s="280"/>
    </row>
    <row r="17" spans="1:9" s="186" customFormat="1" ht="27.75" customHeight="1">
      <c r="A17" s="328" t="s">
        <v>26</v>
      </c>
      <c r="B17" s="321" t="s">
        <v>613</v>
      </c>
      <c r="C17" s="321" t="s">
        <v>614</v>
      </c>
      <c r="D17" s="331" t="s">
        <v>615</v>
      </c>
      <c r="E17" s="331"/>
      <c r="F17" s="331" t="s">
        <v>616</v>
      </c>
      <c r="G17" s="332"/>
      <c r="H17" s="185"/>
      <c r="I17" s="185"/>
    </row>
    <row r="18" spans="1:9" s="186" customFormat="1" ht="33.75" customHeight="1">
      <c r="A18" s="329"/>
      <c r="B18" s="330"/>
      <c r="C18" s="330"/>
      <c r="D18" s="187" t="s">
        <v>234</v>
      </c>
      <c r="E18" s="187" t="s">
        <v>617</v>
      </c>
      <c r="F18" s="187" t="s">
        <v>618</v>
      </c>
      <c r="G18" s="188" t="s">
        <v>617</v>
      </c>
      <c r="H18" s="185"/>
      <c r="I18" s="185"/>
    </row>
    <row r="19" spans="1:9" s="115" customFormat="1" ht="31.5">
      <c r="A19" s="189" t="s">
        <v>619</v>
      </c>
      <c r="B19" s="190" t="s">
        <v>620</v>
      </c>
      <c r="C19" s="101"/>
      <c r="D19" s="95">
        <f>D20+D23+D26+D30+D31+D32+D33+D34</f>
        <v>572272766498</v>
      </c>
      <c r="E19" s="95">
        <f>E20+E23+E26+E30+E31+E32+E33+E34</f>
        <v>3336700607799</v>
      </c>
      <c r="F19" s="95">
        <f>F20+F23+F26+F30+F31+F32+F33+F34</f>
        <v>173997754852</v>
      </c>
      <c r="G19" s="119">
        <f>G20+G23+G26+G30+G31+G32+G33+G34</f>
        <v>212647564772</v>
      </c>
      <c r="H19" s="191"/>
      <c r="I19" s="191"/>
    </row>
    <row r="20" spans="1:9" s="115" customFormat="1" ht="21">
      <c r="A20" s="192" t="s">
        <v>621</v>
      </c>
      <c r="B20" s="193" t="s">
        <v>622</v>
      </c>
      <c r="C20" s="94"/>
      <c r="D20" s="97">
        <f>D21+D22</f>
        <v>131601495312</v>
      </c>
      <c r="E20" s="97">
        <f>E21+E22</f>
        <v>183449423712</v>
      </c>
      <c r="F20" s="97">
        <f>F21+F22</f>
        <v>2326252600</v>
      </c>
      <c r="G20" s="123">
        <f>G21+G22</f>
        <v>137208791900</v>
      </c>
      <c r="H20" s="191"/>
      <c r="I20" s="191"/>
    </row>
    <row r="21" spans="1:9" s="115" customFormat="1" ht="21">
      <c r="A21" s="194" t="s">
        <v>623</v>
      </c>
      <c r="B21" s="195" t="s">
        <v>624</v>
      </c>
      <c r="C21" s="196"/>
      <c r="D21" s="98">
        <v>131601495312</v>
      </c>
      <c r="E21" s="98">
        <v>183449423712</v>
      </c>
      <c r="F21" s="98">
        <v>2326252600</v>
      </c>
      <c r="G21" s="127">
        <v>137208791900</v>
      </c>
      <c r="H21" s="191"/>
      <c r="I21" s="191"/>
    </row>
    <row r="22" spans="1:9" s="115" customFormat="1" ht="21">
      <c r="A22" s="194" t="s">
        <v>625</v>
      </c>
      <c r="B22" s="195" t="s">
        <v>626</v>
      </c>
      <c r="C22" s="196"/>
      <c r="D22" s="98">
        <v>0</v>
      </c>
      <c r="E22" s="98">
        <v>0</v>
      </c>
      <c r="F22" s="98">
        <v>0</v>
      </c>
      <c r="G22" s="127">
        <v>0</v>
      </c>
      <c r="H22" s="191"/>
      <c r="I22" s="191"/>
    </row>
    <row r="23" spans="1:9" s="115" customFormat="1" ht="21">
      <c r="A23" s="192" t="s">
        <v>627</v>
      </c>
      <c r="B23" s="193" t="s">
        <v>628</v>
      </c>
      <c r="C23" s="94"/>
      <c r="D23" s="97">
        <f>D24+D25</f>
        <v>70289686</v>
      </c>
      <c r="E23" s="97">
        <f>E24+E25</f>
        <v>218084287</v>
      </c>
      <c r="F23" s="97">
        <f>F24+F25</f>
        <v>41537652</v>
      </c>
      <c r="G23" s="123">
        <f>G24+G25</f>
        <v>169611672</v>
      </c>
      <c r="H23" s="191"/>
      <c r="I23" s="191"/>
    </row>
    <row r="24" spans="1:9" s="115" customFormat="1" ht="21">
      <c r="A24" s="194" t="s">
        <v>629</v>
      </c>
      <c r="B24" s="195" t="s">
        <v>630</v>
      </c>
      <c r="C24" s="196"/>
      <c r="D24" s="98">
        <v>70289686</v>
      </c>
      <c r="E24" s="98">
        <v>218084287</v>
      </c>
      <c r="F24" s="98">
        <v>41537652</v>
      </c>
      <c r="G24" s="127">
        <v>169611672</v>
      </c>
      <c r="H24" s="191"/>
      <c r="I24" s="191"/>
    </row>
    <row r="25" spans="1:9" s="115" customFormat="1" ht="31.5">
      <c r="A25" s="194" t="s">
        <v>631</v>
      </c>
      <c r="B25" s="195" t="s">
        <v>632</v>
      </c>
      <c r="C25" s="196"/>
      <c r="D25" s="98">
        <v>0</v>
      </c>
      <c r="E25" s="98">
        <v>0</v>
      </c>
      <c r="F25" s="98">
        <v>0</v>
      </c>
      <c r="G25" s="127">
        <v>0</v>
      </c>
      <c r="H25" s="191"/>
      <c r="I25" s="191"/>
    </row>
    <row r="26" spans="1:9" s="115" customFormat="1" ht="42">
      <c r="A26" s="192" t="s">
        <v>633</v>
      </c>
      <c r="B26" s="193" t="s">
        <v>634</v>
      </c>
      <c r="C26" s="94"/>
      <c r="D26" s="97">
        <f>D27+D28+D29</f>
        <v>359300004039</v>
      </c>
      <c r="E26" s="97">
        <f>E27+E28+E29</f>
        <v>1806427184444</v>
      </c>
      <c r="F26" s="97">
        <f>F27+F28+F29</f>
        <v>-9896875469</v>
      </c>
      <c r="G26" s="123">
        <f>G27+G28+G29</f>
        <v>-71615716759</v>
      </c>
      <c r="H26" s="191"/>
      <c r="I26" s="191"/>
    </row>
    <row r="27" spans="1:9" s="115" customFormat="1" ht="31.5">
      <c r="A27" s="194" t="s">
        <v>635</v>
      </c>
      <c r="B27" s="195" t="s">
        <v>636</v>
      </c>
      <c r="C27" s="196"/>
      <c r="D27" s="98">
        <v>233920809951</v>
      </c>
      <c r="E27" s="98">
        <v>511059224945</v>
      </c>
      <c r="F27" s="98">
        <v>2008046391</v>
      </c>
      <c r="G27" s="127">
        <v>-41674174623</v>
      </c>
      <c r="H27" s="191"/>
      <c r="I27" s="191"/>
    </row>
    <row r="28" spans="1:9" s="115" customFormat="1" ht="42">
      <c r="A28" s="194" t="s">
        <v>637</v>
      </c>
      <c r="B28" s="195" t="s">
        <v>638</v>
      </c>
      <c r="C28" s="196"/>
      <c r="D28" s="98">
        <v>125379194088</v>
      </c>
      <c r="E28" s="98">
        <v>1293379359499</v>
      </c>
      <c r="F28" s="98">
        <v>-11904921860</v>
      </c>
      <c r="G28" s="127">
        <v>-31580611736</v>
      </c>
      <c r="H28" s="191"/>
      <c r="I28" s="191"/>
    </row>
    <row r="29" spans="1:9" s="115" customFormat="1" ht="52.5">
      <c r="A29" s="194" t="s">
        <v>639</v>
      </c>
      <c r="B29" s="195" t="s">
        <v>640</v>
      </c>
      <c r="C29" s="196"/>
      <c r="D29" s="98">
        <v>0</v>
      </c>
      <c r="E29" s="98">
        <v>1988600000</v>
      </c>
      <c r="F29" s="98">
        <v>0</v>
      </c>
      <c r="G29" s="127">
        <v>1639069600</v>
      </c>
      <c r="H29" s="191"/>
      <c r="I29" s="191"/>
    </row>
    <row r="30" spans="1:9" s="115" customFormat="1" ht="42">
      <c r="A30" s="192" t="s">
        <v>641</v>
      </c>
      <c r="B30" s="193" t="s">
        <v>642</v>
      </c>
      <c r="C30" s="94"/>
      <c r="D30" s="97">
        <v>81300977461</v>
      </c>
      <c r="E30" s="97">
        <v>1346605915356</v>
      </c>
      <c r="F30" s="97">
        <v>181526840069</v>
      </c>
      <c r="G30" s="123">
        <v>146884877959</v>
      </c>
      <c r="H30" s="191"/>
      <c r="I30" s="191"/>
    </row>
    <row r="31" spans="1:9" s="115" customFormat="1" ht="21">
      <c r="A31" s="192" t="s">
        <v>643</v>
      </c>
      <c r="B31" s="193" t="s">
        <v>644</v>
      </c>
      <c r="C31" s="94"/>
      <c r="D31" s="97">
        <v>0</v>
      </c>
      <c r="E31" s="97">
        <v>0</v>
      </c>
      <c r="F31" s="97">
        <v>0</v>
      </c>
      <c r="G31" s="123">
        <v>0</v>
      </c>
      <c r="H31" s="191"/>
      <c r="I31" s="191"/>
    </row>
    <row r="32" spans="1:9" s="115" customFormat="1" ht="42">
      <c r="A32" s="192" t="s">
        <v>645</v>
      </c>
      <c r="B32" s="193" t="s">
        <v>646</v>
      </c>
      <c r="C32" s="94"/>
      <c r="D32" s="97">
        <v>0</v>
      </c>
      <c r="E32" s="97">
        <v>0</v>
      </c>
      <c r="F32" s="97">
        <v>0</v>
      </c>
      <c r="G32" s="123">
        <v>0</v>
      </c>
      <c r="H32" s="191"/>
      <c r="I32" s="191"/>
    </row>
    <row r="33" spans="1:9" s="115" customFormat="1" ht="21">
      <c r="A33" s="192" t="s">
        <v>647</v>
      </c>
      <c r="B33" s="193" t="s">
        <v>648</v>
      </c>
      <c r="C33" s="94"/>
      <c r="D33" s="97">
        <v>0</v>
      </c>
      <c r="E33" s="97">
        <v>0</v>
      </c>
      <c r="F33" s="97">
        <v>0</v>
      </c>
      <c r="G33" s="123">
        <v>0</v>
      </c>
      <c r="H33" s="191"/>
      <c r="I33" s="191"/>
    </row>
    <row r="34" spans="1:9" s="115" customFormat="1" ht="63">
      <c r="A34" s="192" t="s">
        <v>649</v>
      </c>
      <c r="B34" s="193" t="s">
        <v>650</v>
      </c>
      <c r="C34" s="94"/>
      <c r="D34" s="97">
        <v>0</v>
      </c>
      <c r="E34" s="97">
        <v>0</v>
      </c>
      <c r="F34" s="97">
        <v>0</v>
      </c>
      <c r="G34" s="123">
        <v>0</v>
      </c>
      <c r="H34" s="191"/>
      <c r="I34" s="191"/>
    </row>
    <row r="35" spans="1:9" s="115" customFormat="1" ht="21">
      <c r="A35" s="189" t="s">
        <v>651</v>
      </c>
      <c r="B35" s="190" t="s">
        <v>321</v>
      </c>
      <c r="C35" s="101"/>
      <c r="D35" s="95">
        <v>5751118096</v>
      </c>
      <c r="E35" s="95">
        <v>12331956082</v>
      </c>
      <c r="F35" s="95">
        <v>970095149</v>
      </c>
      <c r="G35" s="119">
        <v>5621917836</v>
      </c>
      <c r="H35" s="191"/>
      <c r="I35" s="191"/>
    </row>
    <row r="36" spans="1:9" s="115" customFormat="1" ht="42">
      <c r="A36" s="192" t="s">
        <v>652</v>
      </c>
      <c r="B36" s="193" t="s">
        <v>417</v>
      </c>
      <c r="C36" s="94"/>
      <c r="D36" s="97">
        <v>5751118096</v>
      </c>
      <c r="E36" s="97">
        <v>12331956082</v>
      </c>
      <c r="F36" s="97">
        <v>970095149</v>
      </c>
      <c r="G36" s="123">
        <v>5621917836</v>
      </c>
      <c r="H36" s="191"/>
      <c r="I36" s="191"/>
    </row>
    <row r="37" spans="1:9" s="115" customFormat="1" ht="21">
      <c r="A37" s="194" t="s">
        <v>653</v>
      </c>
      <c r="B37" s="195" t="s">
        <v>654</v>
      </c>
      <c r="C37" s="196"/>
      <c r="D37" s="98">
        <v>5747933453</v>
      </c>
      <c r="E37" s="98">
        <v>12305486089</v>
      </c>
      <c r="F37" s="98">
        <v>964592499</v>
      </c>
      <c r="G37" s="127">
        <v>5607228281</v>
      </c>
      <c r="H37" s="191"/>
      <c r="I37" s="191"/>
    </row>
    <row r="38" spans="1:9" s="115" customFormat="1" ht="21">
      <c r="A38" s="194" t="s">
        <v>655</v>
      </c>
      <c r="B38" s="195" t="s">
        <v>656</v>
      </c>
      <c r="C38" s="196"/>
      <c r="D38" s="98">
        <v>3184643</v>
      </c>
      <c r="E38" s="98">
        <v>26469993</v>
      </c>
      <c r="F38" s="98">
        <v>5502650</v>
      </c>
      <c r="G38" s="127">
        <v>14689555</v>
      </c>
      <c r="H38" s="191"/>
      <c r="I38" s="191"/>
    </row>
    <row r="39" spans="1:9" s="115" customFormat="1" ht="31.5">
      <c r="A39" s="192" t="s">
        <v>657</v>
      </c>
      <c r="B39" s="193" t="s">
        <v>420</v>
      </c>
      <c r="C39" s="94"/>
      <c r="D39" s="97">
        <v>0</v>
      </c>
      <c r="E39" s="97">
        <v>0</v>
      </c>
      <c r="F39" s="97">
        <v>0</v>
      </c>
      <c r="G39" s="123">
        <v>0</v>
      </c>
      <c r="H39" s="191"/>
      <c r="I39" s="191"/>
    </row>
    <row r="40" spans="1:9" s="115" customFormat="1" ht="21">
      <c r="A40" s="192" t="s">
        <v>658</v>
      </c>
      <c r="B40" s="193" t="s">
        <v>423</v>
      </c>
      <c r="C40" s="94"/>
      <c r="D40" s="97">
        <v>0</v>
      </c>
      <c r="E40" s="97">
        <v>0</v>
      </c>
      <c r="F40" s="97">
        <v>0</v>
      </c>
      <c r="G40" s="123">
        <v>0</v>
      </c>
      <c r="H40" s="191"/>
      <c r="I40" s="191"/>
    </row>
    <row r="41" spans="1:9" s="115" customFormat="1" ht="63">
      <c r="A41" s="192" t="s">
        <v>659</v>
      </c>
      <c r="B41" s="193" t="s">
        <v>426</v>
      </c>
      <c r="C41" s="94"/>
      <c r="D41" s="97">
        <v>0</v>
      </c>
      <c r="E41" s="97">
        <v>0</v>
      </c>
      <c r="F41" s="97">
        <v>0</v>
      </c>
      <c r="G41" s="123">
        <v>0</v>
      </c>
      <c r="H41" s="191"/>
      <c r="I41" s="191"/>
    </row>
    <row r="42" spans="1:9" s="115" customFormat="1" ht="21">
      <c r="A42" s="192" t="s">
        <v>660</v>
      </c>
      <c r="B42" s="193" t="s">
        <v>429</v>
      </c>
      <c r="C42" s="94"/>
      <c r="D42" s="97">
        <v>0</v>
      </c>
      <c r="E42" s="97">
        <v>0</v>
      </c>
      <c r="F42" s="97">
        <v>0</v>
      </c>
      <c r="G42" s="123">
        <v>0</v>
      </c>
      <c r="H42" s="191"/>
      <c r="I42" s="191"/>
    </row>
    <row r="43" spans="1:9" s="115" customFormat="1" ht="21">
      <c r="A43" s="189" t="s">
        <v>661</v>
      </c>
      <c r="B43" s="190" t="s">
        <v>662</v>
      </c>
      <c r="C43" s="101"/>
      <c r="D43" s="95">
        <v>12402821482</v>
      </c>
      <c r="E43" s="95">
        <v>69980339054</v>
      </c>
      <c r="F43" s="95">
        <v>15863010493</v>
      </c>
      <c r="G43" s="119">
        <v>80207097275</v>
      </c>
      <c r="H43" s="191"/>
      <c r="I43" s="191"/>
    </row>
    <row r="44" spans="1:9" s="115" customFormat="1" ht="21">
      <c r="A44" s="192" t="s">
        <v>663</v>
      </c>
      <c r="B44" s="193" t="s">
        <v>664</v>
      </c>
      <c r="C44" s="94"/>
      <c r="D44" s="97">
        <v>9556921524</v>
      </c>
      <c r="E44" s="97">
        <v>53725927593</v>
      </c>
      <c r="F44" s="97">
        <v>12211164128</v>
      </c>
      <c r="G44" s="123">
        <v>61753940277</v>
      </c>
      <c r="H44" s="191"/>
      <c r="I44" s="191"/>
    </row>
    <row r="45" spans="1:9" s="115" customFormat="1" ht="21">
      <c r="A45" s="192" t="s">
        <v>665</v>
      </c>
      <c r="B45" s="193" t="s">
        <v>666</v>
      </c>
      <c r="C45" s="94"/>
      <c r="D45" s="97">
        <v>350651066</v>
      </c>
      <c r="E45" s="97">
        <v>2005107927</v>
      </c>
      <c r="F45" s="97">
        <v>455178593</v>
      </c>
      <c r="G45" s="123">
        <v>2307503610</v>
      </c>
      <c r="H45" s="191"/>
      <c r="I45" s="191"/>
    </row>
    <row r="46" spans="1:9" s="115" customFormat="1" ht="21">
      <c r="A46" s="194" t="s">
        <v>667</v>
      </c>
      <c r="B46" s="195" t="s">
        <v>668</v>
      </c>
      <c r="C46" s="196"/>
      <c r="D46" s="98">
        <v>238923037</v>
      </c>
      <c r="E46" s="98">
        <v>1343148189</v>
      </c>
      <c r="F46" s="98">
        <v>305279103</v>
      </c>
      <c r="G46" s="127">
        <v>1543848507</v>
      </c>
      <c r="H46" s="191"/>
      <c r="I46" s="191"/>
    </row>
    <row r="47" spans="1:9" s="115" customFormat="1" ht="31.5">
      <c r="A47" s="194" t="s">
        <v>669</v>
      </c>
      <c r="B47" s="195" t="s">
        <v>670</v>
      </c>
      <c r="C47" s="196"/>
      <c r="D47" s="98">
        <v>11200000</v>
      </c>
      <c r="E47" s="98">
        <v>44700000</v>
      </c>
      <c r="F47" s="98">
        <v>3700000</v>
      </c>
      <c r="G47" s="127">
        <v>21400000</v>
      </c>
      <c r="H47" s="191"/>
      <c r="I47" s="191"/>
    </row>
    <row r="48" spans="1:9" s="115" customFormat="1" ht="21">
      <c r="A48" s="194" t="s">
        <v>671</v>
      </c>
      <c r="B48" s="195" t="s">
        <v>672</v>
      </c>
      <c r="C48" s="196"/>
      <c r="D48" s="98">
        <v>100528029</v>
      </c>
      <c r="E48" s="98">
        <v>617259738</v>
      </c>
      <c r="F48" s="98">
        <v>146199490</v>
      </c>
      <c r="G48" s="127">
        <v>742255103</v>
      </c>
      <c r="H48" s="191"/>
      <c r="I48" s="191"/>
    </row>
    <row r="49" spans="1:9" s="115" customFormat="1" ht="63">
      <c r="A49" s="194" t="s">
        <v>673</v>
      </c>
      <c r="B49" s="195" t="s">
        <v>674</v>
      </c>
      <c r="C49" s="196"/>
      <c r="D49" s="98">
        <v>0</v>
      </c>
      <c r="E49" s="98">
        <v>0</v>
      </c>
      <c r="F49" s="98">
        <v>0</v>
      </c>
      <c r="G49" s="127">
        <v>0</v>
      </c>
      <c r="H49" s="191"/>
      <c r="I49" s="191"/>
    </row>
    <row r="50" spans="1:9" s="115" customFormat="1" ht="21">
      <c r="A50" s="192" t="s">
        <v>675</v>
      </c>
      <c r="B50" s="193" t="s">
        <v>676</v>
      </c>
      <c r="C50" s="94"/>
      <c r="D50" s="97">
        <v>525630683</v>
      </c>
      <c r="E50" s="97">
        <v>2954926015</v>
      </c>
      <c r="F50" s="97">
        <v>671614027</v>
      </c>
      <c r="G50" s="123">
        <v>3396466710</v>
      </c>
      <c r="H50" s="191"/>
      <c r="I50" s="191"/>
    </row>
    <row r="51" spans="1:9" s="115" customFormat="1" ht="21">
      <c r="A51" s="192" t="s">
        <v>677</v>
      </c>
      <c r="B51" s="193" t="s">
        <v>678</v>
      </c>
      <c r="C51" s="94"/>
      <c r="D51" s="97">
        <v>262815341</v>
      </c>
      <c r="E51" s="97">
        <v>1477463008</v>
      </c>
      <c r="F51" s="97">
        <v>335807013</v>
      </c>
      <c r="G51" s="123">
        <v>1698233358</v>
      </c>
      <c r="H51" s="191"/>
      <c r="I51" s="191"/>
    </row>
    <row r="52" spans="1:9" s="115" customFormat="1" ht="21">
      <c r="A52" s="192" t="s">
        <v>679</v>
      </c>
      <c r="B52" s="193" t="s">
        <v>680</v>
      </c>
      <c r="C52" s="94"/>
      <c r="D52" s="97">
        <v>5500000</v>
      </c>
      <c r="E52" s="97">
        <v>27500000</v>
      </c>
      <c r="F52" s="97">
        <v>5500000</v>
      </c>
      <c r="G52" s="123">
        <v>27500000</v>
      </c>
      <c r="H52" s="191"/>
      <c r="I52" s="191"/>
    </row>
    <row r="53" spans="1:9" s="115" customFormat="1" ht="31.5">
      <c r="A53" s="192" t="s">
        <v>681</v>
      </c>
      <c r="B53" s="193" t="s">
        <v>682</v>
      </c>
      <c r="C53" s="94"/>
      <c r="D53" s="97">
        <f>D54+D55+D56</f>
        <v>1605411385</v>
      </c>
      <c r="E53" s="97">
        <f>E54+E55+E56</f>
        <v>9430815237</v>
      </c>
      <c r="F53" s="97">
        <f>F54+F55+F56</f>
        <v>2077325309</v>
      </c>
      <c r="G53" s="123">
        <f>G54+G55+G56</f>
        <v>10710384255</v>
      </c>
      <c r="H53" s="191"/>
      <c r="I53" s="191"/>
    </row>
    <row r="54" spans="1:9" s="115" customFormat="1" ht="42">
      <c r="A54" s="194" t="s">
        <v>683</v>
      </c>
      <c r="B54" s="195" t="s">
        <v>684</v>
      </c>
      <c r="C54" s="196"/>
      <c r="D54" s="98">
        <v>597307596</v>
      </c>
      <c r="E54" s="98">
        <v>3357870473</v>
      </c>
      <c r="F54" s="98">
        <v>763197757</v>
      </c>
      <c r="G54" s="127">
        <v>3859621269</v>
      </c>
      <c r="H54" s="191"/>
      <c r="I54" s="191"/>
    </row>
    <row r="55" spans="1:9" s="115" customFormat="1" ht="42">
      <c r="A55" s="194" t="s">
        <v>685</v>
      </c>
      <c r="B55" s="195" t="s">
        <v>686</v>
      </c>
      <c r="C55" s="196"/>
      <c r="D55" s="98">
        <v>477846075</v>
      </c>
      <c r="E55" s="98">
        <v>2686296377</v>
      </c>
      <c r="F55" s="98">
        <v>610558206</v>
      </c>
      <c r="G55" s="127">
        <v>3087697008</v>
      </c>
      <c r="H55" s="191"/>
      <c r="I55" s="191"/>
    </row>
    <row r="56" spans="1:9" s="115" customFormat="1" ht="21">
      <c r="A56" s="194" t="s">
        <v>687</v>
      </c>
      <c r="B56" s="195" t="s">
        <v>688</v>
      </c>
      <c r="C56" s="196"/>
      <c r="D56" s="98">
        <v>530257714</v>
      </c>
      <c r="E56" s="98">
        <v>3386648387</v>
      </c>
      <c r="F56" s="98">
        <v>703569346</v>
      </c>
      <c r="G56" s="127">
        <v>3763065978</v>
      </c>
      <c r="H56" s="191"/>
      <c r="I56" s="191"/>
    </row>
    <row r="57" spans="1:9" s="115" customFormat="1" ht="31.5">
      <c r="A57" s="192" t="s">
        <v>689</v>
      </c>
      <c r="B57" s="193" t="s">
        <v>690</v>
      </c>
      <c r="C57" s="94"/>
      <c r="D57" s="97">
        <v>22877334</v>
      </c>
      <c r="E57" s="97">
        <v>72341334</v>
      </c>
      <c r="F57" s="97">
        <v>21611500</v>
      </c>
      <c r="G57" s="123">
        <v>21611500</v>
      </c>
      <c r="H57" s="191"/>
      <c r="I57" s="191"/>
    </row>
    <row r="58" spans="1:9" s="115" customFormat="1" ht="21">
      <c r="A58" s="192" t="s">
        <v>691</v>
      </c>
      <c r="B58" s="193" t="s">
        <v>692</v>
      </c>
      <c r="C58" s="94"/>
      <c r="D58" s="97">
        <v>26087430</v>
      </c>
      <c r="E58" s="97">
        <v>128074060</v>
      </c>
      <c r="F58" s="97">
        <v>23752170</v>
      </c>
      <c r="G58" s="123">
        <v>114163150</v>
      </c>
      <c r="H58" s="191"/>
      <c r="I58" s="191"/>
    </row>
    <row r="59" spans="1:9" s="115" customFormat="1" ht="21">
      <c r="A59" s="192" t="s">
        <v>693</v>
      </c>
      <c r="B59" s="193" t="s">
        <v>694</v>
      </c>
      <c r="C59" s="94"/>
      <c r="D59" s="97">
        <v>0</v>
      </c>
      <c r="E59" s="97">
        <v>0</v>
      </c>
      <c r="F59" s="97">
        <v>0</v>
      </c>
      <c r="G59" s="123">
        <v>0</v>
      </c>
      <c r="H59" s="191"/>
      <c r="I59" s="191"/>
    </row>
    <row r="60" spans="1:9" s="115" customFormat="1" ht="21">
      <c r="A60" s="192" t="s">
        <v>695</v>
      </c>
      <c r="B60" s="193" t="s">
        <v>696</v>
      </c>
      <c r="C60" s="94"/>
      <c r="D60" s="97">
        <f>D61+D62+D63+D64+D65+D66+D67+D68+D69+D70+D71+D72+D73+D74</f>
        <v>46926719</v>
      </c>
      <c r="E60" s="97">
        <f>E61+E62+E63+E64+E65+E66+E67+E68+E69+E70+E71+E72+E73+E74</f>
        <v>158183880</v>
      </c>
      <c r="F60" s="97">
        <f>F61+F62+F63+F64+F65+F66+F67+F68+F69+F70+F71+F72+F73+F74</f>
        <v>61057753</v>
      </c>
      <c r="G60" s="123">
        <f>G61+G62+G63+G64+G65+G66+G67+G68+G69+G70+G71+G72+G73+G74</f>
        <v>177294415</v>
      </c>
      <c r="H60" s="191"/>
      <c r="I60" s="191"/>
    </row>
    <row r="61" spans="1:9" s="115" customFormat="1" ht="31.5">
      <c r="A61" s="194" t="s">
        <v>697</v>
      </c>
      <c r="B61" s="195" t="s">
        <v>698</v>
      </c>
      <c r="C61" s="196"/>
      <c r="D61" s="98">
        <v>9762290</v>
      </c>
      <c r="E61" s="98">
        <v>48737683</v>
      </c>
      <c r="F61" s="98">
        <v>9764377</v>
      </c>
      <c r="G61" s="127">
        <v>48723253</v>
      </c>
      <c r="H61" s="191"/>
      <c r="I61" s="191"/>
    </row>
    <row r="62" spans="1:9" s="115" customFormat="1" ht="31.5">
      <c r="A62" s="194" t="s">
        <v>699</v>
      </c>
      <c r="B62" s="195" t="s">
        <v>700</v>
      </c>
      <c r="C62" s="196"/>
      <c r="D62" s="98">
        <v>0</v>
      </c>
      <c r="E62" s="98">
        <v>0</v>
      </c>
      <c r="F62" s="98">
        <v>0</v>
      </c>
      <c r="G62" s="127">
        <v>0</v>
      </c>
      <c r="H62" s="191"/>
      <c r="I62" s="191"/>
    </row>
    <row r="63" spans="1:9" s="115" customFormat="1" ht="21">
      <c r="A63" s="194" t="s">
        <v>701</v>
      </c>
      <c r="B63" s="195" t="s">
        <v>702</v>
      </c>
      <c r="C63" s="196"/>
      <c r="D63" s="98">
        <v>0</v>
      </c>
      <c r="E63" s="98">
        <v>0</v>
      </c>
      <c r="F63" s="98">
        <v>0</v>
      </c>
      <c r="G63" s="127">
        <v>0</v>
      </c>
      <c r="H63" s="191"/>
      <c r="I63" s="191"/>
    </row>
    <row r="64" spans="1:9" s="115" customFormat="1" ht="21">
      <c r="A64" s="194" t="s">
        <v>703</v>
      </c>
      <c r="B64" s="195" t="s">
        <v>704</v>
      </c>
      <c r="C64" s="196"/>
      <c r="D64" s="98">
        <v>0</v>
      </c>
      <c r="E64" s="98">
        <v>0</v>
      </c>
      <c r="F64" s="98">
        <v>0</v>
      </c>
      <c r="G64" s="127">
        <v>0</v>
      </c>
      <c r="H64" s="191"/>
      <c r="I64" s="191"/>
    </row>
    <row r="65" spans="1:9" s="115" customFormat="1" ht="21">
      <c r="A65" s="194" t="s">
        <v>705</v>
      </c>
      <c r="B65" s="195" t="s">
        <v>706</v>
      </c>
      <c r="C65" s="196"/>
      <c r="D65" s="98">
        <v>26666666</v>
      </c>
      <c r="E65" s="98">
        <v>26666666</v>
      </c>
      <c r="F65" s="98">
        <v>0</v>
      </c>
      <c r="G65" s="127">
        <v>0</v>
      </c>
      <c r="H65" s="191"/>
      <c r="I65" s="191"/>
    </row>
    <row r="66" spans="1:9" s="115" customFormat="1" ht="21">
      <c r="A66" s="194" t="s">
        <v>707</v>
      </c>
      <c r="B66" s="195" t="s">
        <v>708</v>
      </c>
      <c r="C66" s="196"/>
      <c r="D66" s="98">
        <v>0</v>
      </c>
      <c r="E66" s="98">
        <v>0</v>
      </c>
      <c r="F66" s="98">
        <v>0</v>
      </c>
      <c r="G66" s="127">
        <v>0</v>
      </c>
      <c r="H66" s="191"/>
      <c r="I66" s="191"/>
    </row>
    <row r="67" spans="1:9" s="115" customFormat="1" ht="21">
      <c r="A67" s="194" t="s">
        <v>709</v>
      </c>
      <c r="B67" s="195" t="s">
        <v>710</v>
      </c>
      <c r="C67" s="196"/>
      <c r="D67" s="98">
        <v>0</v>
      </c>
      <c r="E67" s="98">
        <v>0</v>
      </c>
      <c r="F67" s="98">
        <v>0</v>
      </c>
      <c r="G67" s="127">
        <v>0</v>
      </c>
      <c r="H67" s="191"/>
      <c r="I67" s="191"/>
    </row>
    <row r="68" spans="1:9" s="115" customFormat="1" ht="21">
      <c r="A68" s="194" t="s">
        <v>711</v>
      </c>
      <c r="B68" s="195" t="s">
        <v>712</v>
      </c>
      <c r="C68" s="196"/>
      <c r="D68" s="98">
        <v>1997763</v>
      </c>
      <c r="E68" s="98">
        <v>4779531</v>
      </c>
      <c r="F68" s="98">
        <v>762160</v>
      </c>
      <c r="G68" s="127">
        <v>6539946</v>
      </c>
      <c r="H68" s="191"/>
      <c r="I68" s="191"/>
    </row>
    <row r="69" spans="1:9" s="115" customFormat="1" ht="31.5">
      <c r="A69" s="194" t="s">
        <v>713</v>
      </c>
      <c r="B69" s="195" t="s">
        <v>714</v>
      </c>
      <c r="C69" s="196"/>
      <c r="D69" s="98">
        <v>0</v>
      </c>
      <c r="E69" s="98">
        <v>0</v>
      </c>
      <c r="F69" s="98">
        <v>0</v>
      </c>
      <c r="G69" s="127">
        <v>0</v>
      </c>
      <c r="H69" s="191"/>
      <c r="I69" s="191"/>
    </row>
    <row r="70" spans="1:9" s="115" customFormat="1" ht="21">
      <c r="A70" s="194" t="s">
        <v>715</v>
      </c>
      <c r="B70" s="195" t="s">
        <v>716</v>
      </c>
      <c r="C70" s="196"/>
      <c r="D70" s="98">
        <v>0</v>
      </c>
      <c r="E70" s="98">
        <v>0</v>
      </c>
      <c r="F70" s="98">
        <v>45531216</v>
      </c>
      <c r="G70" s="127">
        <v>45531216</v>
      </c>
      <c r="H70" s="191"/>
      <c r="I70" s="191"/>
    </row>
    <row r="71" spans="1:9" s="115" customFormat="1" ht="31.5">
      <c r="A71" s="194" t="s">
        <v>717</v>
      </c>
      <c r="B71" s="195" t="s">
        <v>718</v>
      </c>
      <c r="C71" s="196"/>
      <c r="D71" s="98">
        <v>0</v>
      </c>
      <c r="E71" s="98">
        <v>10500000</v>
      </c>
      <c r="F71" s="98">
        <v>0</v>
      </c>
      <c r="G71" s="127">
        <v>14000000</v>
      </c>
      <c r="H71" s="191"/>
      <c r="I71" s="191"/>
    </row>
    <row r="72" spans="1:9" s="115" customFormat="1" ht="21">
      <c r="A72" s="194" t="s">
        <v>719</v>
      </c>
      <c r="B72" s="195" t="s">
        <v>720</v>
      </c>
      <c r="C72" s="196"/>
      <c r="D72" s="98">
        <v>8500000</v>
      </c>
      <c r="E72" s="98">
        <v>37500000</v>
      </c>
      <c r="F72" s="98">
        <v>5000000</v>
      </c>
      <c r="G72" s="127">
        <v>32500000</v>
      </c>
      <c r="H72" s="191"/>
      <c r="I72" s="191"/>
    </row>
    <row r="73" spans="1:9" s="115" customFormat="1" ht="21">
      <c r="A73" s="194" t="s">
        <v>721</v>
      </c>
      <c r="B73" s="195" t="s">
        <v>722</v>
      </c>
      <c r="C73" s="196"/>
      <c r="D73" s="98">
        <v>0</v>
      </c>
      <c r="E73" s="98">
        <v>30000000</v>
      </c>
      <c r="F73" s="98">
        <v>0</v>
      </c>
      <c r="G73" s="127">
        <v>30000000</v>
      </c>
      <c r="H73" s="191"/>
      <c r="I73" s="191"/>
    </row>
    <row r="74" spans="1:9" s="115" customFormat="1" ht="21">
      <c r="A74" s="194" t="s">
        <v>723</v>
      </c>
      <c r="B74" s="195" t="s">
        <v>724</v>
      </c>
      <c r="C74" s="196"/>
      <c r="D74" s="98">
        <v>0</v>
      </c>
      <c r="E74" s="98">
        <v>0</v>
      </c>
      <c r="F74" s="98">
        <v>0</v>
      </c>
      <c r="G74" s="127">
        <v>0</v>
      </c>
      <c r="H74" s="191"/>
      <c r="I74" s="191"/>
    </row>
    <row r="75" spans="1:9" s="115" customFormat="1" ht="31.5">
      <c r="A75" s="189" t="s">
        <v>725</v>
      </c>
      <c r="B75" s="190" t="s">
        <v>726</v>
      </c>
      <c r="C75" s="101"/>
      <c r="D75" s="95">
        <f>D19-D35-D43</f>
        <v>554118826920</v>
      </c>
      <c r="E75" s="95">
        <f>E19-E35-E43</f>
        <v>3254388312663</v>
      </c>
      <c r="F75" s="95">
        <f>F19-F35-F43</f>
        <v>157164649210</v>
      </c>
      <c r="G75" s="119">
        <f>G19-G35-G43</f>
        <v>126818549661</v>
      </c>
      <c r="H75" s="191"/>
      <c r="I75" s="191"/>
    </row>
    <row r="76" spans="1:9" s="115" customFormat="1" ht="31.5">
      <c r="A76" s="189" t="s">
        <v>727</v>
      </c>
      <c r="B76" s="190" t="s">
        <v>728</v>
      </c>
      <c r="C76" s="101"/>
      <c r="D76" s="95">
        <f>D77-D78</f>
        <v>0</v>
      </c>
      <c r="E76" s="95">
        <f>E77-E78</f>
        <v>0</v>
      </c>
      <c r="F76" s="95">
        <f>F77-F78</f>
        <v>0</v>
      </c>
      <c r="G76" s="119">
        <f>G77-G78</f>
        <v>0</v>
      </c>
      <c r="H76" s="191"/>
      <c r="I76" s="191"/>
    </row>
    <row r="77" spans="1:9" s="115" customFormat="1" ht="21">
      <c r="A77" s="192" t="s">
        <v>729</v>
      </c>
      <c r="B77" s="193" t="s">
        <v>730</v>
      </c>
      <c r="C77" s="94"/>
      <c r="D77" s="97">
        <v>0</v>
      </c>
      <c r="E77" s="97">
        <v>0</v>
      </c>
      <c r="F77" s="97">
        <v>0</v>
      </c>
      <c r="G77" s="123">
        <v>0</v>
      </c>
      <c r="H77" s="191"/>
      <c r="I77" s="191"/>
    </row>
    <row r="78" spans="1:9" s="115" customFormat="1" ht="21">
      <c r="A78" s="192" t="s">
        <v>731</v>
      </c>
      <c r="B78" s="193" t="s">
        <v>732</v>
      </c>
      <c r="C78" s="94"/>
      <c r="D78" s="97">
        <v>0</v>
      </c>
      <c r="E78" s="97">
        <v>0</v>
      </c>
      <c r="F78" s="97">
        <v>0</v>
      </c>
      <c r="G78" s="123">
        <v>0</v>
      </c>
      <c r="H78" s="191"/>
      <c r="I78" s="191"/>
    </row>
    <row r="79" spans="1:9" s="115" customFormat="1" ht="42">
      <c r="A79" s="189" t="s">
        <v>733</v>
      </c>
      <c r="B79" s="190" t="s">
        <v>734</v>
      </c>
      <c r="C79" s="101"/>
      <c r="D79" s="95">
        <f>D75+D76</f>
        <v>554118826920</v>
      </c>
      <c r="E79" s="95">
        <f>E75+E76</f>
        <v>3254388312663</v>
      </c>
      <c r="F79" s="95">
        <f>F75+F76</f>
        <v>157164649210</v>
      </c>
      <c r="G79" s="119">
        <f>G75+G76</f>
        <v>126818549661</v>
      </c>
      <c r="H79" s="191"/>
      <c r="I79" s="191"/>
    </row>
    <row r="80" spans="1:9" s="115" customFormat="1" ht="21">
      <c r="A80" s="192" t="s">
        <v>735</v>
      </c>
      <c r="B80" s="193" t="s">
        <v>736</v>
      </c>
      <c r="C80" s="94"/>
      <c r="D80" s="97">
        <v>472817849459</v>
      </c>
      <c r="E80" s="97">
        <v>1907782397307</v>
      </c>
      <c r="F80" s="97">
        <v>-24362190859</v>
      </c>
      <c r="G80" s="123">
        <v>-20066328298</v>
      </c>
      <c r="H80" s="191"/>
      <c r="I80" s="191"/>
    </row>
    <row r="81" spans="1:9" s="115" customFormat="1" ht="21">
      <c r="A81" s="192" t="s">
        <v>737</v>
      </c>
      <c r="B81" s="193" t="s">
        <v>738</v>
      </c>
      <c r="C81" s="94"/>
      <c r="D81" s="97">
        <v>81300977461</v>
      </c>
      <c r="E81" s="97">
        <v>1346605915356</v>
      </c>
      <c r="F81" s="97">
        <v>181526840069</v>
      </c>
      <c r="G81" s="123">
        <v>146884877959</v>
      </c>
      <c r="H81" s="191"/>
      <c r="I81" s="191"/>
    </row>
    <row r="82" spans="1:9" s="115" customFormat="1" ht="21">
      <c r="A82" s="189" t="s">
        <v>739</v>
      </c>
      <c r="B82" s="190" t="s">
        <v>740</v>
      </c>
      <c r="C82" s="101"/>
      <c r="D82" s="95">
        <v>0</v>
      </c>
      <c r="E82" s="95">
        <v>0</v>
      </c>
      <c r="F82" s="95">
        <v>0</v>
      </c>
      <c r="G82" s="119">
        <v>0</v>
      </c>
      <c r="H82" s="191"/>
      <c r="I82" s="191"/>
    </row>
    <row r="83" spans="1:9" s="115" customFormat="1" ht="42">
      <c r="A83" s="197" t="s">
        <v>741</v>
      </c>
      <c r="B83" s="198" t="s">
        <v>742</v>
      </c>
      <c r="C83" s="199"/>
      <c r="D83" s="200">
        <f>D79</f>
        <v>554118826920</v>
      </c>
      <c r="E83" s="200">
        <f>E79</f>
        <v>3254388312663</v>
      </c>
      <c r="F83" s="200">
        <f>F79</f>
        <v>157164649210</v>
      </c>
      <c r="G83" s="201">
        <f>G79</f>
        <v>126818549661</v>
      </c>
      <c r="H83" s="191"/>
      <c r="I83" s="191"/>
    </row>
    <row r="84" spans="1:9" ht="10.5" customHeight="1">
      <c r="A84" s="84"/>
      <c r="B84" s="272"/>
      <c r="C84" s="272"/>
      <c r="D84" s="272"/>
      <c r="E84" s="272"/>
      <c r="F84" s="272"/>
      <c r="G84" s="272"/>
    </row>
    <row r="85" spans="1:9">
      <c r="A85" s="85" t="s">
        <v>605</v>
      </c>
      <c r="B85" s="273" t="s">
        <v>1069</v>
      </c>
      <c r="C85" s="273"/>
      <c r="D85" s="273"/>
      <c r="E85" s="273"/>
      <c r="F85" s="336" t="s">
        <v>228</v>
      </c>
      <c r="G85" s="336"/>
    </row>
    <row r="86" spans="1:9" ht="15" customHeight="1">
      <c r="A86" s="180" t="s">
        <v>606</v>
      </c>
      <c r="B86" s="333" t="s">
        <v>606</v>
      </c>
      <c r="C86" s="333"/>
      <c r="D86" s="333"/>
      <c r="E86" s="333"/>
      <c r="F86" s="334" t="s">
        <v>607</v>
      </c>
      <c r="G86" s="334"/>
    </row>
    <row r="87" spans="1:9" ht="103.5" customHeight="1">
      <c r="A87" s="84"/>
      <c r="B87" s="272"/>
      <c r="C87" s="272"/>
      <c r="D87" s="272"/>
      <c r="E87" s="272"/>
      <c r="F87" s="272"/>
      <c r="G87" s="272"/>
    </row>
    <row r="88" spans="1:9" ht="15.75" customHeight="1">
      <c r="A88" s="85" t="s">
        <v>608</v>
      </c>
      <c r="B88" s="282" t="s">
        <v>1068</v>
      </c>
      <c r="C88" s="282"/>
      <c r="D88" s="282"/>
      <c r="E88" s="282"/>
      <c r="F88" s="282" t="s">
        <v>230</v>
      </c>
      <c r="G88" s="28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9370078740157483" right="0.39370078740157483" top="0.39370078740157483" bottom="0.39370078740157483" header="0.31496062992125984" footer="0.31496062992125984"/>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zoomScaleNormal="100" zoomScaleSheetLayoutView="100" workbookViewId="0">
      <selection activeCell="G17" sqref="G17"/>
    </sheetView>
  </sheetViews>
  <sheetFormatPr defaultColWidth="9.140625" defaultRowHeight="10.5"/>
  <cols>
    <col min="1" max="1" width="5.42578125" style="83" customWidth="1"/>
    <col min="2" max="2" width="43.85546875" style="83" customWidth="1"/>
    <col min="3" max="3" width="9.42578125" style="83" customWidth="1"/>
    <col min="4" max="4" width="8.5703125" style="83" customWidth="1"/>
    <col min="5" max="6" width="20.28515625" style="83" customWidth="1"/>
    <col min="7" max="16384" width="9.140625" style="83"/>
  </cols>
  <sheetData>
    <row r="1" spans="1:6" ht="24.75" customHeight="1">
      <c r="A1" s="272"/>
      <c r="B1" s="272"/>
      <c r="C1" s="273" t="s">
        <v>743</v>
      </c>
      <c r="D1" s="273"/>
      <c r="E1" s="273"/>
      <c r="F1" s="273"/>
    </row>
    <row r="2" spans="1:6" ht="27" customHeight="1">
      <c r="A2" s="274" t="s">
        <v>576</v>
      </c>
      <c r="B2" s="274"/>
      <c r="C2" s="274"/>
      <c r="D2" s="274"/>
      <c r="E2" s="274"/>
      <c r="F2" s="274"/>
    </row>
    <row r="3" spans="1:6" ht="3.75" customHeight="1">
      <c r="A3" s="84"/>
      <c r="B3" s="84"/>
      <c r="C3" s="84"/>
      <c r="D3" s="84"/>
      <c r="E3" s="84"/>
      <c r="F3" s="84"/>
    </row>
    <row r="4" spans="1:6" ht="30.75" customHeight="1">
      <c r="A4" s="275" t="s">
        <v>744</v>
      </c>
      <c r="B4" s="275"/>
      <c r="C4" s="275"/>
      <c r="D4" s="275"/>
      <c r="E4" s="275"/>
      <c r="F4" s="275"/>
    </row>
    <row r="5" spans="1:6" ht="11.25" customHeight="1">
      <c r="A5" s="283" t="s">
        <v>745</v>
      </c>
      <c r="B5" s="283"/>
      <c r="C5" s="283"/>
      <c r="D5" s="283"/>
      <c r="E5" s="283"/>
      <c r="F5" s="283"/>
    </row>
    <row r="6" spans="1:6" ht="5.25" customHeight="1">
      <c r="A6" s="84"/>
      <c r="B6" s="84"/>
      <c r="C6" s="203"/>
      <c r="D6" s="84"/>
      <c r="E6" s="84"/>
      <c r="F6" s="84"/>
    </row>
    <row r="7" spans="1:6" ht="4.5" customHeight="1">
      <c r="A7" s="84"/>
      <c r="B7" s="84"/>
      <c r="C7" s="84"/>
      <c r="D7" s="84"/>
      <c r="E7" s="84"/>
      <c r="F7" s="84"/>
    </row>
    <row r="8" spans="1:6" ht="12.75" customHeight="1">
      <c r="A8" s="271" t="s">
        <v>10</v>
      </c>
      <c r="B8" s="271"/>
      <c r="C8" s="271" t="s">
        <v>11</v>
      </c>
      <c r="D8" s="271"/>
      <c r="E8" s="271"/>
      <c r="F8" s="271"/>
    </row>
    <row r="9" spans="1:6" ht="12.75" customHeight="1">
      <c r="A9" s="272" t="s">
        <v>12</v>
      </c>
      <c r="B9" s="272"/>
      <c r="C9" s="272" t="s">
        <v>13</v>
      </c>
      <c r="D9" s="272"/>
      <c r="E9" s="272"/>
      <c r="F9" s="272"/>
    </row>
    <row r="10" spans="1:6" ht="12.75" customHeight="1">
      <c r="A10" s="271" t="s">
        <v>385</v>
      </c>
      <c r="B10" s="271"/>
      <c r="C10" s="271" t="s">
        <v>16</v>
      </c>
      <c r="D10" s="271"/>
      <c r="E10" s="271"/>
      <c r="F10" s="271"/>
    </row>
    <row r="11" spans="1:6" ht="12.75" customHeight="1">
      <c r="A11" s="272" t="s">
        <v>17</v>
      </c>
      <c r="B11" s="272"/>
      <c r="C11" s="272" t="s">
        <v>18</v>
      </c>
      <c r="D11" s="272"/>
      <c r="E11" s="272"/>
      <c r="F11" s="272"/>
    </row>
    <row r="12" spans="1:6" ht="12.75" customHeight="1">
      <c r="A12" s="271" t="s">
        <v>5</v>
      </c>
      <c r="B12" s="271"/>
      <c r="C12" s="271" t="s">
        <v>6</v>
      </c>
      <c r="D12" s="271"/>
      <c r="E12" s="271"/>
      <c r="F12" s="271"/>
    </row>
    <row r="13" spans="1:6" ht="12.75" customHeight="1">
      <c r="A13" s="272" t="s">
        <v>7</v>
      </c>
      <c r="B13" s="272"/>
      <c r="C13" s="272" t="s">
        <v>8</v>
      </c>
      <c r="D13" s="272"/>
      <c r="E13" s="272"/>
      <c r="F13" s="272"/>
    </row>
    <row r="14" spans="1:6" ht="12.75" customHeight="1">
      <c r="A14" s="271" t="s">
        <v>20</v>
      </c>
      <c r="B14" s="271"/>
      <c r="C14" s="277">
        <v>45449</v>
      </c>
      <c r="D14" s="277"/>
      <c r="E14" s="277"/>
      <c r="F14" s="277"/>
    </row>
    <row r="15" spans="1:6" ht="12.75" customHeight="1">
      <c r="A15" s="272" t="s">
        <v>21</v>
      </c>
      <c r="B15" s="272"/>
      <c r="C15" s="278">
        <v>45449</v>
      </c>
      <c r="D15" s="278"/>
      <c r="E15" s="278"/>
      <c r="F15" s="278"/>
    </row>
    <row r="16" spans="1:6" ht="12.75" customHeight="1">
      <c r="A16" s="87"/>
      <c r="B16" s="87"/>
      <c r="C16" s="87"/>
      <c r="D16" s="87"/>
      <c r="E16" s="87"/>
      <c r="F16" s="88" t="s">
        <v>24</v>
      </c>
    </row>
    <row r="17" spans="1:8" ht="39.75" customHeight="1">
      <c r="A17" s="89" t="s">
        <v>388</v>
      </c>
      <c r="B17" s="90" t="s">
        <v>746</v>
      </c>
      <c r="C17" s="90" t="s">
        <v>613</v>
      </c>
      <c r="D17" s="90" t="s">
        <v>747</v>
      </c>
      <c r="E17" s="204" t="s">
        <v>748</v>
      </c>
      <c r="F17" s="91" t="s">
        <v>749</v>
      </c>
    </row>
    <row r="18" spans="1:8" ht="21">
      <c r="A18" s="205" t="s">
        <v>31</v>
      </c>
      <c r="B18" s="206" t="s">
        <v>750</v>
      </c>
      <c r="C18" s="207" t="s">
        <v>31</v>
      </c>
      <c r="D18" s="207"/>
      <c r="E18" s="208">
        <v>0</v>
      </c>
      <c r="F18" s="209">
        <v>0</v>
      </c>
    </row>
    <row r="19" spans="1:8" ht="21">
      <c r="A19" s="205" t="s">
        <v>4</v>
      </c>
      <c r="B19" s="206" t="s">
        <v>751</v>
      </c>
      <c r="C19" s="207" t="s">
        <v>752</v>
      </c>
      <c r="D19" s="207"/>
      <c r="E19" s="164">
        <f>E20+E25+E26</f>
        <v>189306388709</v>
      </c>
      <c r="F19" s="165">
        <f>F20+F25+F26</f>
        <v>571520472338</v>
      </c>
      <c r="H19" s="166"/>
    </row>
    <row r="20" spans="1:8" ht="21">
      <c r="A20" s="210" t="s">
        <v>753</v>
      </c>
      <c r="B20" s="211" t="s">
        <v>754</v>
      </c>
      <c r="C20" s="212" t="s">
        <v>755</v>
      </c>
      <c r="D20" s="212"/>
      <c r="E20" s="170">
        <f>E21+E22+E23+E24</f>
        <v>189306388709</v>
      </c>
      <c r="F20" s="171">
        <f>F21+F22+F23+F24</f>
        <v>571520472338</v>
      </c>
      <c r="H20" s="166"/>
    </row>
    <row r="21" spans="1:8" ht="24" customHeight="1">
      <c r="A21" s="213"/>
      <c r="B21" s="214" t="s">
        <v>756</v>
      </c>
      <c r="C21" s="215" t="s">
        <v>757</v>
      </c>
      <c r="D21" s="215"/>
      <c r="E21" s="216">
        <v>0</v>
      </c>
      <c r="F21" s="217">
        <v>0</v>
      </c>
      <c r="H21" s="166"/>
    </row>
    <row r="22" spans="1:8" ht="24" customHeight="1">
      <c r="A22" s="213"/>
      <c r="B22" s="214" t="s">
        <v>758</v>
      </c>
      <c r="C22" s="215" t="s">
        <v>759</v>
      </c>
      <c r="D22" s="215"/>
      <c r="E22" s="216">
        <v>0</v>
      </c>
      <c r="F22" s="217">
        <v>0</v>
      </c>
      <c r="H22" s="166"/>
    </row>
    <row r="23" spans="1:8" ht="21">
      <c r="A23" s="213"/>
      <c r="B23" s="214" t="s">
        <v>491</v>
      </c>
      <c r="C23" s="215" t="s">
        <v>760</v>
      </c>
      <c r="D23" s="215"/>
      <c r="E23" s="216">
        <v>189306388709</v>
      </c>
      <c r="F23" s="217">
        <v>571520472338</v>
      </c>
      <c r="H23" s="166"/>
    </row>
    <row r="24" spans="1:8" ht="21">
      <c r="A24" s="213"/>
      <c r="B24" s="214" t="s">
        <v>761</v>
      </c>
      <c r="C24" s="215" t="s">
        <v>762</v>
      </c>
      <c r="D24" s="215"/>
      <c r="E24" s="216">
        <v>0</v>
      </c>
      <c r="F24" s="217">
        <v>0</v>
      </c>
      <c r="H24" s="166"/>
    </row>
    <row r="25" spans="1:8" ht="21">
      <c r="A25" s="210" t="s">
        <v>763</v>
      </c>
      <c r="B25" s="211" t="s">
        <v>764</v>
      </c>
      <c r="C25" s="212" t="s">
        <v>765</v>
      </c>
      <c r="D25" s="212"/>
      <c r="E25" s="170">
        <v>0</v>
      </c>
      <c r="F25" s="171">
        <v>0</v>
      </c>
      <c r="H25" s="166"/>
    </row>
    <row r="26" spans="1:8" ht="21">
      <c r="A26" s="210" t="s">
        <v>766</v>
      </c>
      <c r="B26" s="211" t="s">
        <v>767</v>
      </c>
      <c r="C26" s="212" t="s">
        <v>768</v>
      </c>
      <c r="D26" s="212"/>
      <c r="E26" s="170">
        <v>0</v>
      </c>
      <c r="F26" s="171">
        <v>0</v>
      </c>
      <c r="H26" s="166"/>
    </row>
    <row r="27" spans="1:8" ht="21">
      <c r="A27" s="205" t="s">
        <v>9</v>
      </c>
      <c r="B27" s="206" t="s">
        <v>769</v>
      </c>
      <c r="C27" s="207" t="s">
        <v>770</v>
      </c>
      <c r="D27" s="207"/>
      <c r="E27" s="164">
        <f>E28-E38</f>
        <v>13982330862850</v>
      </c>
      <c r="F27" s="165">
        <f>F28-F38</f>
        <v>13541697092450</v>
      </c>
      <c r="H27" s="166"/>
    </row>
    <row r="28" spans="1:8" ht="21">
      <c r="A28" s="210" t="s">
        <v>771</v>
      </c>
      <c r="B28" s="211" t="s">
        <v>772</v>
      </c>
      <c r="C28" s="212" t="s">
        <v>773</v>
      </c>
      <c r="D28" s="212"/>
      <c r="E28" s="170">
        <f>E29+E30+E31+E32+E33+E34+E35+E36+E37</f>
        <v>13982330862850</v>
      </c>
      <c r="F28" s="171">
        <f>F29+F30+F31+F32+F33+F34+F35+F36+F37</f>
        <v>13541697092450</v>
      </c>
      <c r="H28" s="166"/>
    </row>
    <row r="29" spans="1:8" ht="21">
      <c r="A29" s="213"/>
      <c r="B29" s="214" t="s">
        <v>774</v>
      </c>
      <c r="C29" s="215" t="s">
        <v>775</v>
      </c>
      <c r="D29" s="215"/>
      <c r="E29" s="216">
        <v>13982330862850</v>
      </c>
      <c r="F29" s="217">
        <v>13541697092450</v>
      </c>
      <c r="H29" s="166"/>
    </row>
    <row r="30" spans="1:8" ht="21">
      <c r="A30" s="213"/>
      <c r="B30" s="214" t="s">
        <v>776</v>
      </c>
      <c r="C30" s="215" t="s">
        <v>777</v>
      </c>
      <c r="D30" s="215"/>
      <c r="E30" s="216">
        <v>0</v>
      </c>
      <c r="F30" s="217">
        <v>0</v>
      </c>
      <c r="H30" s="166"/>
    </row>
    <row r="31" spans="1:8" ht="21">
      <c r="A31" s="213"/>
      <c r="B31" s="214" t="s">
        <v>778</v>
      </c>
      <c r="C31" s="215" t="s">
        <v>779</v>
      </c>
      <c r="D31" s="215"/>
      <c r="E31" s="216">
        <v>0</v>
      </c>
      <c r="F31" s="217">
        <v>0</v>
      </c>
      <c r="H31" s="166"/>
    </row>
    <row r="32" spans="1:8" ht="21">
      <c r="A32" s="213"/>
      <c r="B32" s="214" t="s">
        <v>780</v>
      </c>
      <c r="C32" s="215" t="s">
        <v>781</v>
      </c>
      <c r="D32" s="215"/>
      <c r="E32" s="216">
        <v>0</v>
      </c>
      <c r="F32" s="217">
        <v>0</v>
      </c>
      <c r="H32" s="166"/>
    </row>
    <row r="33" spans="1:8" ht="21">
      <c r="A33" s="213"/>
      <c r="B33" s="214" t="s">
        <v>782</v>
      </c>
      <c r="C33" s="215" t="s">
        <v>783</v>
      </c>
      <c r="D33" s="215"/>
      <c r="E33" s="216">
        <v>0</v>
      </c>
      <c r="F33" s="217">
        <v>0</v>
      </c>
      <c r="H33" s="166"/>
    </row>
    <row r="34" spans="1:8" ht="21">
      <c r="A34" s="213"/>
      <c r="B34" s="214" t="s">
        <v>784</v>
      </c>
      <c r="C34" s="215" t="s">
        <v>785</v>
      </c>
      <c r="D34" s="215"/>
      <c r="E34" s="216">
        <v>0</v>
      </c>
      <c r="F34" s="217">
        <v>0</v>
      </c>
      <c r="H34" s="166"/>
    </row>
    <row r="35" spans="1:8" ht="21">
      <c r="A35" s="213"/>
      <c r="B35" s="214" t="s">
        <v>456</v>
      </c>
      <c r="C35" s="215" t="s">
        <v>786</v>
      </c>
      <c r="D35" s="215"/>
      <c r="E35" s="216">
        <v>0</v>
      </c>
      <c r="F35" s="217">
        <v>0</v>
      </c>
      <c r="H35" s="166"/>
    </row>
    <row r="36" spans="1:8" ht="21">
      <c r="A36" s="213"/>
      <c r="B36" s="214" t="s">
        <v>787</v>
      </c>
      <c r="C36" s="215" t="s">
        <v>788</v>
      </c>
      <c r="D36" s="215"/>
      <c r="E36" s="216">
        <v>0</v>
      </c>
      <c r="F36" s="217">
        <v>0</v>
      </c>
      <c r="H36" s="166"/>
    </row>
    <row r="37" spans="1:8" ht="21">
      <c r="A37" s="213"/>
      <c r="B37" s="214" t="s">
        <v>70</v>
      </c>
      <c r="C37" s="215" t="s">
        <v>789</v>
      </c>
      <c r="D37" s="215"/>
      <c r="E37" s="216">
        <v>0</v>
      </c>
      <c r="F37" s="217">
        <v>0</v>
      </c>
      <c r="H37" s="166"/>
    </row>
    <row r="38" spans="1:8" ht="21">
      <c r="A38" s="210" t="s">
        <v>790</v>
      </c>
      <c r="B38" s="211" t="s">
        <v>791</v>
      </c>
      <c r="C38" s="212" t="s">
        <v>792</v>
      </c>
      <c r="D38" s="212"/>
      <c r="E38" s="170">
        <v>0</v>
      </c>
      <c r="F38" s="171">
        <v>0</v>
      </c>
      <c r="H38" s="166"/>
    </row>
    <row r="39" spans="1:8" ht="21">
      <c r="A39" s="205" t="s">
        <v>14</v>
      </c>
      <c r="B39" s="206" t="s">
        <v>793</v>
      </c>
      <c r="C39" s="207" t="s">
        <v>794</v>
      </c>
      <c r="D39" s="207"/>
      <c r="E39" s="164">
        <f>E40+E42+E56-E65</f>
        <v>103510679312</v>
      </c>
      <c r="F39" s="165">
        <f>F40+F42+F56-F65</f>
        <v>12142834600</v>
      </c>
      <c r="H39" s="166"/>
    </row>
    <row r="40" spans="1:8" ht="22.5" customHeight="1">
      <c r="A40" s="210" t="s">
        <v>795</v>
      </c>
      <c r="B40" s="211" t="s">
        <v>796</v>
      </c>
      <c r="C40" s="212" t="s">
        <v>797</v>
      </c>
      <c r="D40" s="212"/>
      <c r="E40" s="170">
        <v>0</v>
      </c>
      <c r="F40" s="171">
        <v>0</v>
      </c>
      <c r="H40" s="166"/>
    </row>
    <row r="41" spans="1:8" ht="22.5" customHeight="1">
      <c r="A41" s="210"/>
      <c r="B41" s="211" t="s">
        <v>798</v>
      </c>
      <c r="C41" s="212" t="s">
        <v>799</v>
      </c>
      <c r="D41" s="212"/>
      <c r="E41" s="170">
        <v>0</v>
      </c>
      <c r="F41" s="171">
        <v>0</v>
      </c>
      <c r="H41" s="166"/>
    </row>
    <row r="42" spans="1:8" ht="22.5" customHeight="1">
      <c r="A42" s="210" t="s">
        <v>800</v>
      </c>
      <c r="B42" s="211" t="s">
        <v>801</v>
      </c>
      <c r="C42" s="212" t="s">
        <v>802</v>
      </c>
      <c r="D42" s="212"/>
      <c r="E42" s="170">
        <f>E43+E49+E50</f>
        <v>103510679312</v>
      </c>
      <c r="F42" s="171">
        <f>F43+F49+F50</f>
        <v>12142834600</v>
      </c>
      <c r="H42" s="166"/>
    </row>
    <row r="43" spans="1:8" ht="22.5" customHeight="1">
      <c r="A43" s="210" t="s">
        <v>803</v>
      </c>
      <c r="B43" s="211" t="s">
        <v>804</v>
      </c>
      <c r="C43" s="212" t="s">
        <v>805</v>
      </c>
      <c r="D43" s="212"/>
      <c r="E43" s="170">
        <f>E44+E45+E46+E47+E48</f>
        <v>0</v>
      </c>
      <c r="F43" s="171">
        <f>F44+F45+F46+F47+F48</f>
        <v>0</v>
      </c>
      <c r="H43" s="166"/>
    </row>
    <row r="44" spans="1:8" ht="21">
      <c r="A44" s="213"/>
      <c r="B44" s="214" t="s">
        <v>806</v>
      </c>
      <c r="C44" s="215" t="s">
        <v>807</v>
      </c>
      <c r="D44" s="215"/>
      <c r="E44" s="216">
        <v>0</v>
      </c>
      <c r="F44" s="217">
        <v>0</v>
      </c>
      <c r="H44" s="166"/>
    </row>
    <row r="45" spans="1:8" ht="21">
      <c r="A45" s="213"/>
      <c r="B45" s="214" t="s">
        <v>808</v>
      </c>
      <c r="C45" s="215" t="s">
        <v>809</v>
      </c>
      <c r="D45" s="215"/>
      <c r="E45" s="216">
        <v>0</v>
      </c>
      <c r="F45" s="217">
        <v>0</v>
      </c>
      <c r="H45" s="166"/>
    </row>
    <row r="46" spans="1:8" ht="31.5">
      <c r="A46" s="213"/>
      <c r="B46" s="214" t="s">
        <v>810</v>
      </c>
      <c r="C46" s="215" t="s">
        <v>811</v>
      </c>
      <c r="D46" s="215"/>
      <c r="E46" s="216">
        <v>0</v>
      </c>
      <c r="F46" s="217">
        <v>0</v>
      </c>
      <c r="H46" s="166"/>
    </row>
    <row r="47" spans="1:8" ht="31.5">
      <c r="A47" s="213"/>
      <c r="B47" s="214" t="s">
        <v>812</v>
      </c>
      <c r="C47" s="215" t="s">
        <v>813</v>
      </c>
      <c r="D47" s="215"/>
      <c r="E47" s="216">
        <v>0</v>
      </c>
      <c r="F47" s="217">
        <v>0</v>
      </c>
      <c r="H47" s="166"/>
    </row>
    <row r="48" spans="1:8" ht="21">
      <c r="A48" s="213"/>
      <c r="B48" s="214" t="s">
        <v>814</v>
      </c>
      <c r="C48" s="215" t="s">
        <v>815</v>
      </c>
      <c r="D48" s="215"/>
      <c r="E48" s="216">
        <v>0</v>
      </c>
      <c r="F48" s="217">
        <v>0</v>
      </c>
      <c r="H48" s="166"/>
    </row>
    <row r="49" spans="1:8" ht="33" customHeight="1">
      <c r="A49" s="210"/>
      <c r="B49" s="211" t="s">
        <v>816</v>
      </c>
      <c r="C49" s="212" t="s">
        <v>817</v>
      </c>
      <c r="D49" s="212"/>
      <c r="E49" s="170">
        <v>0</v>
      </c>
      <c r="F49" s="171">
        <v>0</v>
      </c>
      <c r="H49" s="166"/>
    </row>
    <row r="50" spans="1:8" ht="24" customHeight="1">
      <c r="A50" s="210" t="s">
        <v>818</v>
      </c>
      <c r="B50" s="211" t="s">
        <v>819</v>
      </c>
      <c r="C50" s="212" t="s">
        <v>820</v>
      </c>
      <c r="D50" s="212"/>
      <c r="E50" s="170">
        <f>E51+E52+E53+E54+E55</f>
        <v>103510679312</v>
      </c>
      <c r="F50" s="171">
        <f>F51+F52+F53+F54+F55</f>
        <v>12142834600</v>
      </c>
      <c r="H50" s="166"/>
    </row>
    <row r="51" spans="1:8" ht="21">
      <c r="A51" s="213"/>
      <c r="B51" s="214" t="s">
        <v>821</v>
      </c>
      <c r="C51" s="215" t="s">
        <v>822</v>
      </c>
      <c r="D51" s="215"/>
      <c r="E51" s="216">
        <v>103510679312</v>
      </c>
      <c r="F51" s="217">
        <v>12142834600</v>
      </c>
      <c r="H51" s="166"/>
    </row>
    <row r="52" spans="1:8" ht="21">
      <c r="A52" s="213"/>
      <c r="B52" s="214" t="s">
        <v>823</v>
      </c>
      <c r="C52" s="215" t="s">
        <v>824</v>
      </c>
      <c r="D52" s="215"/>
      <c r="E52" s="216">
        <v>0</v>
      </c>
      <c r="F52" s="217">
        <v>0</v>
      </c>
      <c r="H52" s="166"/>
    </row>
    <row r="53" spans="1:8" ht="31.5">
      <c r="A53" s="213"/>
      <c r="B53" s="214" t="s">
        <v>825</v>
      </c>
      <c r="C53" s="215" t="s">
        <v>826</v>
      </c>
      <c r="D53" s="215"/>
      <c r="E53" s="216">
        <v>0</v>
      </c>
      <c r="F53" s="217">
        <v>0</v>
      </c>
      <c r="H53" s="166"/>
    </row>
    <row r="54" spans="1:8" ht="31.5">
      <c r="A54" s="213"/>
      <c r="B54" s="214" t="s">
        <v>827</v>
      </c>
      <c r="C54" s="215" t="s">
        <v>828</v>
      </c>
      <c r="D54" s="215"/>
      <c r="E54" s="216">
        <v>0</v>
      </c>
      <c r="F54" s="217">
        <v>0</v>
      </c>
      <c r="H54" s="166"/>
    </row>
    <row r="55" spans="1:8" ht="21">
      <c r="A55" s="213"/>
      <c r="B55" s="214" t="s">
        <v>829</v>
      </c>
      <c r="C55" s="215" t="s">
        <v>830</v>
      </c>
      <c r="D55" s="215"/>
      <c r="E55" s="216">
        <v>0</v>
      </c>
      <c r="F55" s="217">
        <v>0</v>
      </c>
      <c r="H55" s="166"/>
    </row>
    <row r="56" spans="1:8" ht="21">
      <c r="A56" s="210" t="s">
        <v>831</v>
      </c>
      <c r="B56" s="211" t="s">
        <v>832</v>
      </c>
      <c r="C56" s="212" t="s">
        <v>833</v>
      </c>
      <c r="D56" s="212"/>
      <c r="E56" s="170">
        <f>E57+E58+E64</f>
        <v>0</v>
      </c>
      <c r="F56" s="171">
        <f>F57+F58+F64</f>
        <v>0</v>
      </c>
      <c r="H56" s="166"/>
    </row>
    <row r="57" spans="1:8" ht="42">
      <c r="A57" s="213"/>
      <c r="B57" s="214" t="s">
        <v>834</v>
      </c>
      <c r="C57" s="215" t="s">
        <v>835</v>
      </c>
      <c r="D57" s="215"/>
      <c r="E57" s="216">
        <v>0</v>
      </c>
      <c r="F57" s="217">
        <v>0</v>
      </c>
      <c r="H57" s="166"/>
    </row>
    <row r="58" spans="1:8" ht="21">
      <c r="A58" s="213"/>
      <c r="B58" s="214" t="s">
        <v>463</v>
      </c>
      <c r="C58" s="215" t="s">
        <v>836</v>
      </c>
      <c r="D58" s="215"/>
      <c r="E58" s="216">
        <f>E59+E60+E61+E62+E63</f>
        <v>0</v>
      </c>
      <c r="F58" s="217">
        <f>F59+F60+F61+F62+F63</f>
        <v>0</v>
      </c>
      <c r="H58" s="166"/>
    </row>
    <row r="59" spans="1:8" ht="21">
      <c r="A59" s="213"/>
      <c r="B59" s="214" t="s">
        <v>477</v>
      </c>
      <c r="C59" s="215" t="s">
        <v>837</v>
      </c>
      <c r="D59" s="215"/>
      <c r="E59" s="216">
        <v>0</v>
      </c>
      <c r="F59" s="217">
        <v>0</v>
      </c>
      <c r="H59" s="166"/>
    </row>
    <row r="60" spans="1:8" ht="21">
      <c r="A60" s="213"/>
      <c r="B60" s="214" t="s">
        <v>838</v>
      </c>
      <c r="C60" s="215" t="s">
        <v>839</v>
      </c>
      <c r="D60" s="215"/>
      <c r="E60" s="216">
        <v>0</v>
      </c>
      <c r="F60" s="217">
        <v>0</v>
      </c>
      <c r="H60" s="166"/>
    </row>
    <row r="61" spans="1:8" ht="21">
      <c r="A61" s="213"/>
      <c r="B61" s="214" t="s">
        <v>840</v>
      </c>
      <c r="C61" s="215" t="s">
        <v>841</v>
      </c>
      <c r="D61" s="215"/>
      <c r="E61" s="216">
        <v>0</v>
      </c>
      <c r="F61" s="217">
        <v>0</v>
      </c>
      <c r="H61" s="166"/>
    </row>
    <row r="62" spans="1:8" ht="31.5">
      <c r="A62" s="213"/>
      <c r="B62" s="214" t="s">
        <v>483</v>
      </c>
      <c r="C62" s="215" t="s">
        <v>842</v>
      </c>
      <c r="D62" s="215"/>
      <c r="E62" s="216">
        <v>0</v>
      </c>
      <c r="F62" s="217">
        <v>0</v>
      </c>
      <c r="H62" s="166"/>
    </row>
    <row r="63" spans="1:8" ht="21">
      <c r="A63" s="210"/>
      <c r="B63" s="211" t="s">
        <v>843</v>
      </c>
      <c r="C63" s="212" t="s">
        <v>844</v>
      </c>
      <c r="D63" s="212"/>
      <c r="E63" s="170">
        <v>0</v>
      </c>
      <c r="F63" s="171">
        <v>0</v>
      </c>
      <c r="H63" s="166"/>
    </row>
    <row r="64" spans="1:8" ht="21">
      <c r="A64" s="210"/>
      <c r="B64" s="211" t="s">
        <v>845</v>
      </c>
      <c r="C64" s="212" t="s">
        <v>846</v>
      </c>
      <c r="D64" s="212"/>
      <c r="E64" s="170">
        <v>0</v>
      </c>
      <c r="F64" s="171">
        <v>0</v>
      </c>
      <c r="H64" s="166"/>
    </row>
    <row r="65" spans="1:8" ht="21">
      <c r="A65" s="210" t="s">
        <v>847</v>
      </c>
      <c r="B65" s="211" t="s">
        <v>848</v>
      </c>
      <c r="C65" s="212" t="s">
        <v>849</v>
      </c>
      <c r="D65" s="212"/>
      <c r="E65" s="170">
        <v>0</v>
      </c>
      <c r="F65" s="171">
        <v>0</v>
      </c>
      <c r="H65" s="166"/>
    </row>
    <row r="66" spans="1:8" ht="21">
      <c r="A66" s="205"/>
      <c r="B66" s="206" t="s">
        <v>850</v>
      </c>
      <c r="C66" s="207" t="s">
        <v>851</v>
      </c>
      <c r="D66" s="207"/>
      <c r="E66" s="164">
        <f>E19+E27+E39</f>
        <v>14275147930871</v>
      </c>
      <c r="F66" s="165">
        <f>F19+F27+F39</f>
        <v>14125360399388</v>
      </c>
      <c r="H66" s="166"/>
    </row>
    <row r="67" spans="1:8" ht="21">
      <c r="A67" s="205" t="s">
        <v>121</v>
      </c>
      <c r="B67" s="206" t="s">
        <v>852</v>
      </c>
      <c r="C67" s="207" t="s">
        <v>121</v>
      </c>
      <c r="D67" s="207"/>
      <c r="E67" s="164">
        <v>0</v>
      </c>
      <c r="F67" s="165">
        <v>0</v>
      </c>
      <c r="H67" s="166"/>
    </row>
    <row r="68" spans="1:8" ht="21">
      <c r="A68" s="210" t="s">
        <v>4</v>
      </c>
      <c r="B68" s="211" t="s">
        <v>853</v>
      </c>
      <c r="C68" s="212" t="s">
        <v>854</v>
      </c>
      <c r="D68" s="212"/>
      <c r="E68" s="170">
        <v>0</v>
      </c>
      <c r="F68" s="171">
        <v>0</v>
      </c>
      <c r="H68" s="166"/>
    </row>
    <row r="69" spans="1:8" ht="21">
      <c r="A69" s="210"/>
      <c r="B69" s="211" t="s">
        <v>855</v>
      </c>
      <c r="C69" s="212" t="s">
        <v>856</v>
      </c>
      <c r="D69" s="212"/>
      <c r="E69" s="170">
        <v>0</v>
      </c>
      <c r="F69" s="171">
        <v>0</v>
      </c>
      <c r="H69" s="166"/>
    </row>
    <row r="70" spans="1:8" ht="21">
      <c r="A70" s="210"/>
      <c r="B70" s="211" t="s">
        <v>857</v>
      </c>
      <c r="C70" s="212" t="s">
        <v>858</v>
      </c>
      <c r="D70" s="212"/>
      <c r="E70" s="170">
        <v>0</v>
      </c>
      <c r="F70" s="171">
        <v>0</v>
      </c>
      <c r="H70" s="166"/>
    </row>
    <row r="71" spans="1:8" ht="21">
      <c r="A71" s="210" t="s">
        <v>9</v>
      </c>
      <c r="B71" s="211" t="s">
        <v>859</v>
      </c>
      <c r="C71" s="212" t="s">
        <v>860</v>
      </c>
      <c r="D71" s="212"/>
      <c r="E71" s="170">
        <v>32518960000</v>
      </c>
      <c r="F71" s="171">
        <v>171028545000</v>
      </c>
      <c r="H71" s="166"/>
    </row>
    <row r="72" spans="1:8" ht="42">
      <c r="A72" s="210" t="s">
        <v>14</v>
      </c>
      <c r="B72" s="211" t="s">
        <v>861</v>
      </c>
      <c r="C72" s="212" t="s">
        <v>862</v>
      </c>
      <c r="D72" s="212"/>
      <c r="E72" s="170">
        <f>E73+E74</f>
        <v>0</v>
      </c>
      <c r="F72" s="171">
        <f>F73+F74</f>
        <v>0</v>
      </c>
      <c r="H72" s="166"/>
    </row>
    <row r="73" spans="1:8" ht="21">
      <c r="A73" s="213"/>
      <c r="B73" s="214" t="s">
        <v>863</v>
      </c>
      <c r="C73" s="215" t="s">
        <v>864</v>
      </c>
      <c r="D73" s="215"/>
      <c r="E73" s="216">
        <v>0</v>
      </c>
      <c r="F73" s="217">
        <v>0</v>
      </c>
      <c r="H73" s="166"/>
    </row>
    <row r="74" spans="1:8" ht="33.75" customHeight="1">
      <c r="A74" s="213"/>
      <c r="B74" s="214" t="s">
        <v>865</v>
      </c>
      <c r="C74" s="215" t="s">
        <v>866</v>
      </c>
      <c r="D74" s="215"/>
      <c r="E74" s="216">
        <v>0</v>
      </c>
      <c r="F74" s="217">
        <v>0</v>
      </c>
      <c r="H74" s="166"/>
    </row>
    <row r="75" spans="1:8" ht="21">
      <c r="A75" s="210" t="s">
        <v>19</v>
      </c>
      <c r="B75" s="211" t="s">
        <v>867</v>
      </c>
      <c r="C75" s="212" t="s">
        <v>868</v>
      </c>
      <c r="D75" s="212"/>
      <c r="E75" s="170">
        <v>0</v>
      </c>
      <c r="F75" s="171">
        <v>0</v>
      </c>
      <c r="H75" s="166"/>
    </row>
    <row r="76" spans="1:8" ht="21">
      <c r="A76" s="210" t="s">
        <v>287</v>
      </c>
      <c r="B76" s="211" t="s">
        <v>869</v>
      </c>
      <c r="C76" s="212" t="s">
        <v>870</v>
      </c>
      <c r="D76" s="212"/>
      <c r="E76" s="170">
        <v>0</v>
      </c>
      <c r="F76" s="171">
        <v>0</v>
      </c>
      <c r="H76" s="166"/>
    </row>
    <row r="77" spans="1:8" ht="21">
      <c r="A77" s="210" t="s">
        <v>289</v>
      </c>
      <c r="B77" s="211" t="s">
        <v>871</v>
      </c>
      <c r="C77" s="212" t="s">
        <v>872</v>
      </c>
      <c r="D77" s="212"/>
      <c r="E77" s="170">
        <f>E78+E79+E80+E81+E82+E83+E84</f>
        <v>192728683</v>
      </c>
      <c r="F77" s="171">
        <f>F78+F79+F80+F81+F82+F83+F84</f>
        <v>313954097</v>
      </c>
      <c r="H77" s="166"/>
    </row>
    <row r="78" spans="1:8" ht="21">
      <c r="A78" s="213"/>
      <c r="B78" s="214" t="s">
        <v>873</v>
      </c>
      <c r="C78" s="215" t="s">
        <v>874</v>
      </c>
      <c r="D78" s="215"/>
      <c r="E78" s="216">
        <v>48778440</v>
      </c>
      <c r="F78" s="217">
        <v>196853574</v>
      </c>
      <c r="H78" s="166"/>
    </row>
    <row r="79" spans="1:8" ht="21">
      <c r="A79" s="213"/>
      <c r="B79" s="214" t="s">
        <v>875</v>
      </c>
      <c r="C79" s="215" t="s">
        <v>876</v>
      </c>
      <c r="D79" s="215"/>
      <c r="E79" s="216">
        <v>131212560</v>
      </c>
      <c r="F79" s="217">
        <v>105125130</v>
      </c>
      <c r="H79" s="166"/>
    </row>
    <row r="80" spans="1:8" ht="21">
      <c r="A80" s="213"/>
      <c r="B80" s="214" t="s">
        <v>877</v>
      </c>
      <c r="C80" s="215" t="s">
        <v>878</v>
      </c>
      <c r="D80" s="215"/>
      <c r="E80" s="216">
        <v>0</v>
      </c>
      <c r="F80" s="217">
        <v>0</v>
      </c>
      <c r="H80" s="166"/>
    </row>
    <row r="81" spans="1:8" ht="21">
      <c r="A81" s="213"/>
      <c r="B81" s="214" t="s">
        <v>879</v>
      </c>
      <c r="C81" s="215" t="s">
        <v>880</v>
      </c>
      <c r="D81" s="215"/>
      <c r="E81" s="216">
        <v>0</v>
      </c>
      <c r="F81" s="217">
        <v>0</v>
      </c>
      <c r="H81" s="166"/>
    </row>
    <row r="82" spans="1:8" ht="31.5">
      <c r="A82" s="213"/>
      <c r="B82" s="214" t="s">
        <v>881</v>
      </c>
      <c r="C82" s="215" t="s">
        <v>882</v>
      </c>
      <c r="D82" s="215"/>
      <c r="E82" s="216">
        <v>12737683</v>
      </c>
      <c r="F82" s="217">
        <v>11975393</v>
      </c>
      <c r="H82" s="166"/>
    </row>
    <row r="83" spans="1:8" ht="21">
      <c r="A83" s="213"/>
      <c r="B83" s="214" t="s">
        <v>883</v>
      </c>
      <c r="C83" s="215" t="s">
        <v>884</v>
      </c>
      <c r="D83" s="215"/>
      <c r="E83" s="216">
        <v>0</v>
      </c>
      <c r="F83" s="217">
        <v>0</v>
      </c>
      <c r="H83" s="166"/>
    </row>
    <row r="84" spans="1:8" ht="21">
      <c r="A84" s="213"/>
      <c r="B84" s="214" t="s">
        <v>885</v>
      </c>
      <c r="C84" s="215" t="s">
        <v>886</v>
      </c>
      <c r="D84" s="215"/>
      <c r="E84" s="216">
        <v>0</v>
      </c>
      <c r="F84" s="217">
        <v>0</v>
      </c>
      <c r="H84" s="166"/>
    </row>
    <row r="85" spans="1:8" ht="21">
      <c r="A85" s="210" t="s">
        <v>292</v>
      </c>
      <c r="B85" s="211" t="s">
        <v>887</v>
      </c>
      <c r="C85" s="212" t="s">
        <v>888</v>
      </c>
      <c r="D85" s="212"/>
      <c r="E85" s="170">
        <v>0</v>
      </c>
      <c r="F85" s="171">
        <v>2161370000</v>
      </c>
      <c r="H85" s="166"/>
    </row>
    <row r="86" spans="1:8" ht="21">
      <c r="A86" s="210" t="s">
        <v>301</v>
      </c>
      <c r="B86" s="211" t="s">
        <v>889</v>
      </c>
      <c r="C86" s="212" t="s">
        <v>890</v>
      </c>
      <c r="D86" s="212"/>
      <c r="E86" s="170">
        <v>1035152235</v>
      </c>
      <c r="F86" s="171">
        <v>2805814447</v>
      </c>
      <c r="H86" s="166"/>
    </row>
    <row r="87" spans="1:8" ht="21">
      <c r="A87" s="210" t="s">
        <v>314</v>
      </c>
      <c r="B87" s="211" t="s">
        <v>891</v>
      </c>
      <c r="C87" s="212" t="s">
        <v>892</v>
      </c>
      <c r="D87" s="212"/>
      <c r="E87" s="170">
        <f>E88+E89+E94+E95+E96+E97+E98+E99</f>
        <v>17865391093</v>
      </c>
      <c r="F87" s="171">
        <f>F88+F89+F94+F95+F96+F97+F98+F99</f>
        <v>16695374326</v>
      </c>
      <c r="H87" s="166"/>
    </row>
    <row r="88" spans="1:8" ht="21">
      <c r="A88" s="213" t="s">
        <v>893</v>
      </c>
      <c r="B88" s="214" t="s">
        <v>894</v>
      </c>
      <c r="C88" s="215" t="s">
        <v>895</v>
      </c>
      <c r="D88" s="215"/>
      <c r="E88" s="216">
        <v>9556921524</v>
      </c>
      <c r="F88" s="217">
        <v>9956013731</v>
      </c>
      <c r="H88" s="166"/>
    </row>
    <row r="89" spans="1:8" ht="21">
      <c r="A89" s="213" t="s">
        <v>896</v>
      </c>
      <c r="B89" s="214" t="s">
        <v>897</v>
      </c>
      <c r="C89" s="215" t="s">
        <v>898</v>
      </c>
      <c r="D89" s="215"/>
      <c r="E89" s="216">
        <f>E90+E91+E92</f>
        <v>250123037</v>
      </c>
      <c r="F89" s="217">
        <f>F90+F91+F92</f>
        <v>259000342</v>
      </c>
      <c r="H89" s="166"/>
    </row>
    <row r="90" spans="1:8" ht="21">
      <c r="A90" s="213"/>
      <c r="B90" s="214" t="s">
        <v>899</v>
      </c>
      <c r="C90" s="215" t="s">
        <v>900</v>
      </c>
      <c r="D90" s="215"/>
      <c r="E90" s="216">
        <v>238923037</v>
      </c>
      <c r="F90" s="217">
        <v>248900342</v>
      </c>
      <c r="H90" s="166"/>
    </row>
    <row r="91" spans="1:8" ht="21">
      <c r="A91" s="213"/>
      <c r="B91" s="214" t="s">
        <v>901</v>
      </c>
      <c r="C91" s="215" t="s">
        <v>902</v>
      </c>
      <c r="D91" s="215"/>
      <c r="E91" s="216">
        <v>11200000</v>
      </c>
      <c r="F91" s="217">
        <v>10100000</v>
      </c>
      <c r="H91" s="166"/>
    </row>
    <row r="92" spans="1:8" ht="21">
      <c r="A92" s="213"/>
      <c r="B92" s="214" t="s">
        <v>903</v>
      </c>
      <c r="C92" s="215" t="s">
        <v>904</v>
      </c>
      <c r="D92" s="215"/>
      <c r="E92" s="216">
        <v>0</v>
      </c>
      <c r="F92" s="217">
        <v>0</v>
      </c>
      <c r="H92" s="166"/>
    </row>
    <row r="93" spans="1:8" ht="42">
      <c r="A93" s="213"/>
      <c r="B93" s="214" t="s">
        <v>905</v>
      </c>
      <c r="C93" s="215" t="s">
        <v>906</v>
      </c>
      <c r="D93" s="215"/>
      <c r="E93" s="216">
        <v>0</v>
      </c>
      <c r="F93" s="217">
        <v>0</v>
      </c>
      <c r="H93" s="166"/>
    </row>
    <row r="94" spans="1:8" ht="21">
      <c r="A94" s="213" t="s">
        <v>907</v>
      </c>
      <c r="B94" s="214" t="s">
        <v>908</v>
      </c>
      <c r="C94" s="215" t="s">
        <v>909</v>
      </c>
      <c r="D94" s="215"/>
      <c r="E94" s="216">
        <v>262815341</v>
      </c>
      <c r="F94" s="217">
        <v>273790376</v>
      </c>
      <c r="H94" s="166"/>
    </row>
    <row r="95" spans="1:8" ht="21">
      <c r="A95" s="213" t="s">
        <v>910</v>
      </c>
      <c r="B95" s="214" t="s">
        <v>911</v>
      </c>
      <c r="C95" s="215" t="s">
        <v>912</v>
      </c>
      <c r="D95" s="215"/>
      <c r="E95" s="216">
        <v>525630683</v>
      </c>
      <c r="F95" s="217">
        <v>547580754</v>
      </c>
      <c r="H95" s="166"/>
    </row>
    <row r="96" spans="1:8" ht="21">
      <c r="A96" s="213" t="s">
        <v>913</v>
      </c>
      <c r="B96" s="214" t="s">
        <v>914</v>
      </c>
      <c r="C96" s="215" t="s">
        <v>915</v>
      </c>
      <c r="D96" s="215"/>
      <c r="E96" s="216">
        <v>11000000</v>
      </c>
      <c r="F96" s="217">
        <v>5500000</v>
      </c>
      <c r="H96" s="166"/>
    </row>
    <row r="97" spans="1:8" ht="21.75" customHeight="1">
      <c r="A97" s="213" t="s">
        <v>916</v>
      </c>
      <c r="B97" s="214" t="s">
        <v>917</v>
      </c>
      <c r="C97" s="215" t="s">
        <v>918</v>
      </c>
      <c r="D97" s="215"/>
      <c r="E97" s="216">
        <v>3357870473</v>
      </c>
      <c r="F97" s="217">
        <v>2760562877</v>
      </c>
      <c r="H97" s="166"/>
    </row>
    <row r="98" spans="1:8" ht="21.75" customHeight="1">
      <c r="A98" s="213" t="s">
        <v>919</v>
      </c>
      <c r="B98" s="214" t="s">
        <v>920</v>
      </c>
      <c r="C98" s="215" t="s">
        <v>921</v>
      </c>
      <c r="D98" s="215"/>
      <c r="E98" s="216">
        <v>2686296377</v>
      </c>
      <c r="F98" s="217">
        <v>2208450302</v>
      </c>
      <c r="H98" s="166"/>
    </row>
    <row r="99" spans="1:8" ht="21">
      <c r="A99" s="213" t="s">
        <v>919</v>
      </c>
      <c r="B99" s="214" t="s">
        <v>922</v>
      </c>
      <c r="C99" s="215" t="s">
        <v>923</v>
      </c>
      <c r="D99" s="215"/>
      <c r="E99" s="216">
        <v>1214733658</v>
      </c>
      <c r="F99" s="217">
        <v>684475944</v>
      </c>
      <c r="H99" s="166"/>
    </row>
    <row r="100" spans="1:8" ht="21">
      <c r="A100" s="210" t="s">
        <v>321</v>
      </c>
      <c r="B100" s="211" t="s">
        <v>924</v>
      </c>
      <c r="C100" s="212" t="s">
        <v>925</v>
      </c>
      <c r="D100" s="212"/>
      <c r="E100" s="170">
        <f>E101+E102+E103</f>
        <v>0</v>
      </c>
      <c r="F100" s="171">
        <f>F101+F102+F103</f>
        <v>0</v>
      </c>
      <c r="H100" s="166"/>
    </row>
    <row r="101" spans="1:8" ht="21">
      <c r="A101" s="213" t="s">
        <v>926</v>
      </c>
      <c r="B101" s="214" t="s">
        <v>927</v>
      </c>
      <c r="C101" s="215" t="s">
        <v>928</v>
      </c>
      <c r="D101" s="215"/>
      <c r="E101" s="216">
        <v>0</v>
      </c>
      <c r="F101" s="217">
        <v>0</v>
      </c>
      <c r="H101" s="166"/>
    </row>
    <row r="102" spans="1:8" ht="31.5">
      <c r="A102" s="213" t="s">
        <v>929</v>
      </c>
      <c r="B102" s="214" t="s">
        <v>930</v>
      </c>
      <c r="C102" s="215" t="s">
        <v>931</v>
      </c>
      <c r="D102" s="215"/>
      <c r="E102" s="216">
        <v>0</v>
      </c>
      <c r="F102" s="217">
        <v>0</v>
      </c>
      <c r="H102" s="166"/>
    </row>
    <row r="103" spans="1:8" ht="21">
      <c r="A103" s="213" t="s">
        <v>932</v>
      </c>
      <c r="B103" s="214" t="s">
        <v>933</v>
      </c>
      <c r="C103" s="215" t="s">
        <v>934</v>
      </c>
      <c r="D103" s="215"/>
      <c r="E103" s="216">
        <f>E104+E105+E106+E107+E108</f>
        <v>0</v>
      </c>
      <c r="F103" s="217">
        <f>F104+F105+F106+F107+F108</f>
        <v>0</v>
      </c>
      <c r="H103" s="166"/>
    </row>
    <row r="104" spans="1:8" ht="21">
      <c r="A104" s="213"/>
      <c r="B104" s="214" t="s">
        <v>935</v>
      </c>
      <c r="C104" s="215" t="s">
        <v>936</v>
      </c>
      <c r="D104" s="215"/>
      <c r="E104" s="216">
        <v>0</v>
      </c>
      <c r="F104" s="217">
        <v>0</v>
      </c>
      <c r="H104" s="166"/>
    </row>
    <row r="105" spans="1:8" ht="21">
      <c r="A105" s="213"/>
      <c r="B105" s="214" t="s">
        <v>937</v>
      </c>
      <c r="C105" s="215" t="s">
        <v>938</v>
      </c>
      <c r="D105" s="215"/>
      <c r="E105" s="216">
        <v>0</v>
      </c>
      <c r="F105" s="217">
        <v>0</v>
      </c>
      <c r="H105" s="166"/>
    </row>
    <row r="106" spans="1:8" ht="21">
      <c r="A106" s="210"/>
      <c r="B106" s="211" t="s">
        <v>939</v>
      </c>
      <c r="C106" s="212" t="s">
        <v>940</v>
      </c>
      <c r="D106" s="212"/>
      <c r="E106" s="170">
        <v>0</v>
      </c>
      <c r="F106" s="171">
        <v>0</v>
      </c>
      <c r="H106" s="166"/>
    </row>
    <row r="107" spans="1:8" ht="21">
      <c r="A107" s="213"/>
      <c r="B107" s="214" t="s">
        <v>941</v>
      </c>
      <c r="C107" s="215" t="s">
        <v>942</v>
      </c>
      <c r="D107" s="215"/>
      <c r="E107" s="216">
        <v>0</v>
      </c>
      <c r="F107" s="217">
        <v>0</v>
      </c>
      <c r="H107" s="166"/>
    </row>
    <row r="108" spans="1:8" ht="21">
      <c r="A108" s="213"/>
      <c r="B108" s="214" t="s">
        <v>943</v>
      </c>
      <c r="C108" s="215" t="s">
        <v>944</v>
      </c>
      <c r="D108" s="215"/>
      <c r="E108" s="216">
        <v>0</v>
      </c>
      <c r="F108" s="217">
        <v>0</v>
      </c>
      <c r="H108" s="166"/>
    </row>
    <row r="109" spans="1:8" ht="21">
      <c r="A109" s="205"/>
      <c r="B109" s="206" t="s">
        <v>945</v>
      </c>
      <c r="C109" s="207" t="s">
        <v>946</v>
      </c>
      <c r="D109" s="207"/>
      <c r="E109" s="164">
        <f>E68+E71+E72+E75+E76+E77+E85+E86+E87+E100</f>
        <v>51612232011</v>
      </c>
      <c r="F109" s="165">
        <f>F68+F71+F72+F75+F76+F77+F85+F86+F87+F100</f>
        <v>193005057870</v>
      </c>
      <c r="H109" s="166"/>
    </row>
    <row r="110" spans="1:8" ht="33" customHeight="1">
      <c r="A110" s="218" t="s">
        <v>340</v>
      </c>
      <c r="B110" s="219" t="s">
        <v>947</v>
      </c>
      <c r="C110" s="220" t="s">
        <v>948</v>
      </c>
      <c r="D110" s="220"/>
      <c r="E110" s="164">
        <f>E66-E109</f>
        <v>14223535698860</v>
      </c>
      <c r="F110" s="165">
        <f>F66-F109</f>
        <v>13932355341518</v>
      </c>
      <c r="H110" s="166"/>
    </row>
    <row r="111" spans="1:8" ht="21">
      <c r="A111" s="210" t="s">
        <v>4</v>
      </c>
      <c r="B111" s="211" t="s">
        <v>949</v>
      </c>
      <c r="C111" s="212" t="s">
        <v>950</v>
      </c>
      <c r="D111" s="212"/>
      <c r="E111" s="170">
        <f>E112+E113</f>
        <v>4478000000000</v>
      </c>
      <c r="F111" s="171">
        <f>F112+F113</f>
        <v>4566000000000</v>
      </c>
      <c r="H111" s="166"/>
    </row>
    <row r="112" spans="1:8" ht="21">
      <c r="A112" s="210" t="s">
        <v>753</v>
      </c>
      <c r="B112" s="211" t="s">
        <v>951</v>
      </c>
      <c r="C112" s="212" t="s">
        <v>952</v>
      </c>
      <c r="D112" s="212"/>
      <c r="E112" s="170">
        <v>12261000000000</v>
      </c>
      <c r="F112" s="171">
        <v>12154000000000</v>
      </c>
      <c r="H112" s="166"/>
    </row>
    <row r="113" spans="1:8" ht="21">
      <c r="A113" s="210" t="s">
        <v>763</v>
      </c>
      <c r="B113" s="211" t="s">
        <v>953</v>
      </c>
      <c r="C113" s="212" t="s">
        <v>954</v>
      </c>
      <c r="D113" s="212"/>
      <c r="E113" s="221">
        <v>-7783000000000</v>
      </c>
      <c r="F113" s="222">
        <v>-7588000000000</v>
      </c>
      <c r="H113" s="166"/>
    </row>
    <row r="114" spans="1:8" ht="21">
      <c r="A114" s="210" t="s">
        <v>9</v>
      </c>
      <c r="B114" s="211" t="s">
        <v>955</v>
      </c>
      <c r="C114" s="212" t="s">
        <v>956</v>
      </c>
      <c r="D114" s="212"/>
      <c r="E114" s="170">
        <v>880469487037</v>
      </c>
      <c r="F114" s="171">
        <v>1055407956615</v>
      </c>
      <c r="H114" s="166"/>
    </row>
    <row r="115" spans="1:8" ht="21">
      <c r="A115" s="210" t="s">
        <v>14</v>
      </c>
      <c r="B115" s="211" t="s">
        <v>957</v>
      </c>
      <c r="C115" s="212" t="s">
        <v>958</v>
      </c>
      <c r="D115" s="212"/>
      <c r="E115" s="170">
        <f>E116+E117</f>
        <v>8865066211823</v>
      </c>
      <c r="F115" s="171">
        <f>F116+F117</f>
        <v>8310947384903</v>
      </c>
      <c r="H115" s="166"/>
    </row>
    <row r="116" spans="1:8" ht="21">
      <c r="A116" s="210" t="s">
        <v>795</v>
      </c>
      <c r="B116" s="211" t="s">
        <v>959</v>
      </c>
      <c r="C116" s="212" t="s">
        <v>960</v>
      </c>
      <c r="D116" s="212"/>
      <c r="E116" s="170">
        <v>8310947384903</v>
      </c>
      <c r="F116" s="171">
        <v>8607798538889</v>
      </c>
      <c r="H116" s="166"/>
    </row>
    <row r="117" spans="1:8" ht="21">
      <c r="A117" s="210" t="s">
        <v>800</v>
      </c>
      <c r="B117" s="211" t="s">
        <v>961</v>
      </c>
      <c r="C117" s="212" t="s">
        <v>962</v>
      </c>
      <c r="D117" s="212"/>
      <c r="E117" s="170">
        <v>554118826920</v>
      </c>
      <c r="F117" s="171">
        <v>-296851153986</v>
      </c>
      <c r="H117" s="166"/>
    </row>
    <row r="118" spans="1:8" ht="31.5">
      <c r="A118" s="218" t="s">
        <v>343</v>
      </c>
      <c r="B118" s="219" t="s">
        <v>963</v>
      </c>
      <c r="C118" s="220" t="s">
        <v>964</v>
      </c>
      <c r="D118" s="220"/>
      <c r="E118" s="223">
        <v>31763.14</v>
      </c>
      <c r="F118" s="224">
        <v>30513.26</v>
      </c>
      <c r="H118" s="166"/>
    </row>
    <row r="119" spans="1:8" ht="21">
      <c r="A119" s="205" t="s">
        <v>356</v>
      </c>
      <c r="B119" s="206" t="s">
        <v>965</v>
      </c>
      <c r="C119" s="207" t="s">
        <v>966</v>
      </c>
      <c r="D119" s="207"/>
      <c r="E119" s="164">
        <f>E120+E121</f>
        <v>0</v>
      </c>
      <c r="F119" s="165">
        <f>F120+F121</f>
        <v>0</v>
      </c>
      <c r="H119" s="166"/>
    </row>
    <row r="120" spans="1:8" ht="21">
      <c r="A120" s="210" t="s">
        <v>4</v>
      </c>
      <c r="B120" s="211" t="s">
        <v>967</v>
      </c>
      <c r="C120" s="212" t="s">
        <v>968</v>
      </c>
      <c r="D120" s="212"/>
      <c r="E120" s="170">
        <v>0</v>
      </c>
      <c r="F120" s="171">
        <v>0</v>
      </c>
      <c r="H120" s="166"/>
    </row>
    <row r="121" spans="1:8" ht="31.5">
      <c r="A121" s="210" t="s">
        <v>9</v>
      </c>
      <c r="B121" s="211" t="s">
        <v>969</v>
      </c>
      <c r="C121" s="212" t="s">
        <v>970</v>
      </c>
      <c r="D121" s="212"/>
      <c r="E121" s="170">
        <v>0</v>
      </c>
      <c r="F121" s="171">
        <v>0</v>
      </c>
      <c r="H121" s="166"/>
    </row>
    <row r="122" spans="1:8" ht="31.5">
      <c r="A122" s="205" t="s">
        <v>359</v>
      </c>
      <c r="B122" s="206" t="s">
        <v>971</v>
      </c>
      <c r="C122" s="207" t="s">
        <v>359</v>
      </c>
      <c r="D122" s="207"/>
      <c r="E122" s="164">
        <v>0</v>
      </c>
      <c r="F122" s="165">
        <v>0</v>
      </c>
      <c r="H122" s="166"/>
    </row>
    <row r="123" spans="1:8" ht="21">
      <c r="A123" s="210" t="s">
        <v>4</v>
      </c>
      <c r="B123" s="211" t="s">
        <v>972</v>
      </c>
      <c r="C123" s="212" t="s">
        <v>973</v>
      </c>
      <c r="D123" s="212"/>
      <c r="E123" s="170">
        <v>0</v>
      </c>
      <c r="F123" s="171">
        <v>0</v>
      </c>
      <c r="H123" s="166"/>
    </row>
    <row r="124" spans="1:8" ht="21">
      <c r="A124" s="210" t="s">
        <v>9</v>
      </c>
      <c r="B124" s="211" t="s">
        <v>974</v>
      </c>
      <c r="C124" s="212" t="s">
        <v>975</v>
      </c>
      <c r="D124" s="212"/>
      <c r="E124" s="170">
        <v>0</v>
      </c>
      <c r="F124" s="171">
        <v>0</v>
      </c>
      <c r="H124" s="166"/>
    </row>
    <row r="125" spans="1:8" ht="21">
      <c r="A125" s="210" t="s">
        <v>14</v>
      </c>
      <c r="B125" s="211" t="s">
        <v>976</v>
      </c>
      <c r="C125" s="212" t="s">
        <v>977</v>
      </c>
      <c r="D125" s="212"/>
      <c r="E125" s="170">
        <v>0</v>
      </c>
      <c r="F125" s="171">
        <v>0</v>
      </c>
      <c r="H125" s="166"/>
    </row>
    <row r="126" spans="1:8" ht="21">
      <c r="A126" s="225" t="s">
        <v>19</v>
      </c>
      <c r="B126" s="226" t="s">
        <v>978</v>
      </c>
      <c r="C126" s="227" t="s">
        <v>979</v>
      </c>
      <c r="D126" s="227"/>
      <c r="E126" s="228">
        <v>447800000</v>
      </c>
      <c r="F126" s="229">
        <v>456600000</v>
      </c>
      <c r="H126" s="166"/>
    </row>
    <row r="127" spans="1:8">
      <c r="A127" s="230"/>
      <c r="B127" s="231"/>
      <c r="C127" s="232"/>
      <c r="D127" s="232"/>
      <c r="E127" s="233"/>
      <c r="F127" s="233"/>
    </row>
    <row r="128" spans="1:8" s="113" customFormat="1" ht="21.75" customHeight="1">
      <c r="A128" s="337" t="s">
        <v>605</v>
      </c>
      <c r="B128" s="337"/>
      <c r="C128" s="337" t="s">
        <v>1070</v>
      </c>
      <c r="D128" s="337"/>
      <c r="E128" s="337" t="s">
        <v>228</v>
      </c>
      <c r="F128" s="337"/>
    </row>
    <row r="129" spans="1:6" s="113" customFormat="1" ht="15" customHeight="1">
      <c r="A129" s="338" t="s">
        <v>606</v>
      </c>
      <c r="B129" s="338"/>
      <c r="C129" s="338" t="s">
        <v>606</v>
      </c>
      <c r="D129" s="338"/>
      <c r="E129" s="338" t="s">
        <v>607</v>
      </c>
      <c r="F129" s="338"/>
    </row>
    <row r="130" spans="1:6" ht="88.5" customHeight="1">
      <c r="A130" s="333"/>
      <c r="B130" s="333"/>
      <c r="C130" s="333"/>
      <c r="D130" s="333"/>
      <c r="E130" s="333"/>
      <c r="F130" s="333"/>
    </row>
    <row r="131" spans="1:6" s="113" customFormat="1" ht="15.75" customHeight="1">
      <c r="A131" s="337" t="s">
        <v>608</v>
      </c>
      <c r="B131" s="337"/>
      <c r="C131" s="337" t="s">
        <v>1068</v>
      </c>
      <c r="D131" s="337"/>
      <c r="E131" s="337" t="s">
        <v>230</v>
      </c>
      <c r="F131" s="337"/>
    </row>
    <row r="132" spans="1:6">
      <c r="A132" s="282"/>
      <c r="B132" s="282"/>
      <c r="C132" s="282"/>
      <c r="D132" s="282"/>
      <c r="E132" s="282"/>
      <c r="F132" s="282"/>
    </row>
  </sheetData>
  <mergeCells count="36">
    <mergeCell ref="A13:B13"/>
    <mergeCell ref="C13:F13"/>
    <mergeCell ref="A14:B14"/>
    <mergeCell ref="C14:F14"/>
    <mergeCell ref="A131:B131"/>
    <mergeCell ref="C131:D131"/>
    <mergeCell ref="E131:F131"/>
    <mergeCell ref="A15:B15"/>
    <mergeCell ref="C15:F15"/>
    <mergeCell ref="A128:B128"/>
    <mergeCell ref="C128:D128"/>
    <mergeCell ref="E128:F128"/>
    <mergeCell ref="A129:B129"/>
    <mergeCell ref="C129:D129"/>
    <mergeCell ref="E129:F129"/>
    <mergeCell ref="A1:B1"/>
    <mergeCell ref="C1:F1"/>
    <mergeCell ref="A2:F2"/>
    <mergeCell ref="A4:F4"/>
    <mergeCell ref="A5:F5"/>
    <mergeCell ref="A132:B132"/>
    <mergeCell ref="C132:D132"/>
    <mergeCell ref="E132:F132"/>
    <mergeCell ref="A8:B8"/>
    <mergeCell ref="C8:F8"/>
    <mergeCell ref="A130:B130"/>
    <mergeCell ref="C130:D130"/>
    <mergeCell ref="E130:F130"/>
    <mergeCell ref="A9:B9"/>
    <mergeCell ref="C9:F9"/>
    <mergeCell ref="A10:B10"/>
    <mergeCell ref="C10:F10"/>
    <mergeCell ref="A11:B11"/>
    <mergeCell ref="C11:F11"/>
    <mergeCell ref="A12:B12"/>
    <mergeCell ref="C12:F12"/>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8"/>
  <sheetViews>
    <sheetView showGridLines="0" showZeros="0" showOutlineSymbols="0" view="pageBreakPreview" zoomScaleNormal="100" zoomScaleSheetLayoutView="100" workbookViewId="0">
      <selection activeCell="F14" sqref="F14"/>
    </sheetView>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160"/>
      <c r="C1" s="339" t="s">
        <v>1067</v>
      </c>
      <c r="D1" s="339"/>
      <c r="E1" s="339"/>
    </row>
    <row r="2" spans="1:7" ht="22.5" customHeight="1">
      <c r="A2" s="340" t="s">
        <v>576</v>
      </c>
      <c r="B2" s="340"/>
      <c r="C2" s="340"/>
      <c r="D2" s="340"/>
      <c r="E2" s="340"/>
    </row>
    <row r="3" spans="1:7" ht="6" customHeight="1">
      <c r="A3" s="84"/>
      <c r="B3" s="84"/>
      <c r="C3" s="84"/>
      <c r="D3" s="272"/>
      <c r="E3" s="272"/>
    </row>
    <row r="4" spans="1:7" ht="31.5" customHeight="1">
      <c r="A4" s="275" t="s">
        <v>577</v>
      </c>
      <c r="B4" s="275"/>
      <c r="C4" s="275"/>
      <c r="D4" s="275"/>
      <c r="E4" s="275"/>
    </row>
    <row r="5" spans="1:7" ht="15.75" customHeight="1">
      <c r="A5" s="276" t="s">
        <v>3</v>
      </c>
      <c r="B5" s="276"/>
      <c r="C5" s="276"/>
      <c r="D5" s="276"/>
      <c r="E5" s="276"/>
    </row>
    <row r="6" spans="1:7" ht="3.75" customHeight="1">
      <c r="A6" s="84"/>
      <c r="B6" s="84"/>
      <c r="C6" s="84"/>
      <c r="D6" s="272"/>
      <c r="E6" s="272"/>
    </row>
    <row r="7" spans="1:7" ht="12.75" customHeight="1">
      <c r="A7" s="271" t="s">
        <v>578</v>
      </c>
      <c r="B7" s="271"/>
      <c r="C7" s="271" t="s">
        <v>11</v>
      </c>
      <c r="D7" s="271"/>
      <c r="E7" s="271"/>
    </row>
    <row r="8" spans="1:7" ht="12.75" customHeight="1">
      <c r="A8" s="272" t="s">
        <v>12</v>
      </c>
      <c r="B8" s="272"/>
      <c r="C8" s="272" t="s">
        <v>13</v>
      </c>
      <c r="D8" s="272"/>
      <c r="E8" s="272"/>
    </row>
    <row r="9" spans="1:7" ht="12.75" customHeight="1">
      <c r="A9" s="271" t="s">
        <v>15</v>
      </c>
      <c r="B9" s="271"/>
      <c r="C9" s="271" t="s">
        <v>16</v>
      </c>
      <c r="D9" s="271"/>
      <c r="E9" s="271"/>
    </row>
    <row r="10" spans="1:7" ht="12.75" customHeight="1">
      <c r="A10" s="272" t="s">
        <v>579</v>
      </c>
      <c r="B10" s="272"/>
      <c r="C10" s="272" t="s">
        <v>18</v>
      </c>
      <c r="D10" s="272"/>
      <c r="E10" s="272"/>
    </row>
    <row r="11" spans="1:7" ht="12.75" customHeight="1">
      <c r="A11" s="271" t="s">
        <v>580</v>
      </c>
      <c r="B11" s="271"/>
      <c r="C11" s="277">
        <v>45449</v>
      </c>
      <c r="D11" s="277"/>
      <c r="E11" s="277"/>
    </row>
    <row r="12" spans="1:7" ht="12.75" customHeight="1">
      <c r="A12" s="272" t="s">
        <v>581</v>
      </c>
      <c r="B12" s="272"/>
      <c r="C12" s="278">
        <v>45449</v>
      </c>
      <c r="D12" s="278"/>
      <c r="E12" s="278"/>
    </row>
    <row r="13" spans="1:7" ht="12.75" customHeight="1">
      <c r="A13" s="87"/>
      <c r="B13" s="87"/>
      <c r="C13" s="87"/>
      <c r="D13" s="280" t="s">
        <v>582</v>
      </c>
      <c r="E13" s="280"/>
    </row>
    <row r="14" spans="1:7" ht="42" customHeight="1">
      <c r="A14" s="89" t="s">
        <v>25</v>
      </c>
      <c r="B14" s="90" t="s">
        <v>583</v>
      </c>
      <c r="C14" s="90" t="s">
        <v>584</v>
      </c>
      <c r="D14" s="90" t="s">
        <v>234</v>
      </c>
      <c r="E14" s="91" t="s">
        <v>235</v>
      </c>
    </row>
    <row r="15" spans="1:7" ht="32.25" customHeight="1">
      <c r="A15" s="161" t="s">
        <v>31</v>
      </c>
      <c r="B15" s="162" t="s">
        <v>585</v>
      </c>
      <c r="C15" s="163" t="s">
        <v>586</v>
      </c>
      <c r="D15" s="164">
        <v>13932355341518</v>
      </c>
      <c r="E15" s="165">
        <v>16058727502246</v>
      </c>
      <c r="G15" s="166"/>
    </row>
    <row r="16" spans="1:7" ht="42">
      <c r="A16" s="161" t="s">
        <v>121</v>
      </c>
      <c r="B16" s="162" t="s">
        <v>587</v>
      </c>
      <c r="C16" s="163" t="s">
        <v>588</v>
      </c>
      <c r="D16" s="164">
        <v>554118826920</v>
      </c>
      <c r="E16" s="165">
        <v>-296851153986</v>
      </c>
      <c r="G16" s="166"/>
    </row>
    <row r="17" spans="1:7" ht="42">
      <c r="A17" s="167" t="s">
        <v>124</v>
      </c>
      <c r="B17" s="168" t="s">
        <v>589</v>
      </c>
      <c r="C17" s="169" t="s">
        <v>590</v>
      </c>
      <c r="D17" s="170">
        <v>554118826920</v>
      </c>
      <c r="E17" s="171">
        <v>-296851153986</v>
      </c>
      <c r="G17" s="166"/>
    </row>
    <row r="18" spans="1:7" ht="42">
      <c r="A18" s="167" t="s">
        <v>126</v>
      </c>
      <c r="B18" s="168" t="s">
        <v>591</v>
      </c>
      <c r="C18" s="169" t="s">
        <v>592</v>
      </c>
      <c r="D18" s="170">
        <v>0</v>
      </c>
      <c r="E18" s="171">
        <v>0</v>
      </c>
      <c r="G18" s="166"/>
    </row>
    <row r="19" spans="1:7" ht="44.25" customHeight="1">
      <c r="A19" s="161" t="s">
        <v>340</v>
      </c>
      <c r="B19" s="162" t="s">
        <v>593</v>
      </c>
      <c r="C19" s="163" t="s">
        <v>594</v>
      </c>
      <c r="D19" s="164">
        <v>-262938469578</v>
      </c>
      <c r="E19" s="165">
        <v>-1829521006742</v>
      </c>
      <c r="G19" s="166"/>
    </row>
    <row r="20" spans="1:7" ht="32.25" customHeight="1">
      <c r="A20" s="167" t="s">
        <v>595</v>
      </c>
      <c r="B20" s="168" t="s">
        <v>596</v>
      </c>
      <c r="C20" s="169" t="s">
        <v>597</v>
      </c>
      <c r="D20" s="170">
        <v>343960563669</v>
      </c>
      <c r="E20" s="171">
        <v>498375214751</v>
      </c>
      <c r="G20" s="166"/>
    </row>
    <row r="21" spans="1:7" ht="32.25" customHeight="1">
      <c r="A21" s="167" t="s">
        <v>598</v>
      </c>
      <c r="B21" s="168" t="s">
        <v>599</v>
      </c>
      <c r="C21" s="169" t="s">
        <v>600</v>
      </c>
      <c r="D21" s="170">
        <v>-606899033247</v>
      </c>
      <c r="E21" s="171">
        <v>-2327896221493</v>
      </c>
      <c r="G21" s="166"/>
    </row>
    <row r="22" spans="1:7" ht="32.25" customHeight="1">
      <c r="A22" s="161" t="s">
        <v>343</v>
      </c>
      <c r="B22" s="162" t="s">
        <v>601</v>
      </c>
      <c r="C22" s="163" t="s">
        <v>602</v>
      </c>
      <c r="D22" s="164">
        <v>14223535698860</v>
      </c>
      <c r="E22" s="165">
        <v>13932355341518</v>
      </c>
      <c r="G22" s="166"/>
    </row>
    <row r="23" spans="1:7" ht="32.25" customHeight="1">
      <c r="A23" s="172" t="s">
        <v>356</v>
      </c>
      <c r="B23" s="173" t="s">
        <v>603</v>
      </c>
      <c r="C23" s="174" t="s">
        <v>604</v>
      </c>
      <c r="D23" s="175">
        <v>31763.14</v>
      </c>
      <c r="E23" s="176">
        <v>30513.26</v>
      </c>
      <c r="F23" s="177"/>
      <c r="G23" s="166"/>
    </row>
    <row r="24" spans="1:7" ht="15.75" customHeight="1">
      <c r="A24" s="272"/>
      <c r="B24" s="272"/>
      <c r="C24" s="272"/>
      <c r="D24" s="272"/>
      <c r="E24" s="84"/>
    </row>
    <row r="25" spans="1:7" s="179" customFormat="1" ht="21" customHeight="1">
      <c r="A25" s="337" t="s">
        <v>605</v>
      </c>
      <c r="B25" s="337"/>
      <c r="C25" s="337" t="s">
        <v>1069</v>
      </c>
      <c r="D25" s="337"/>
      <c r="E25" s="178" t="s">
        <v>228</v>
      </c>
    </row>
    <row r="26" spans="1:7" s="113" customFormat="1" ht="15.75" customHeight="1">
      <c r="A26" s="341" t="s">
        <v>606</v>
      </c>
      <c r="B26" s="341"/>
      <c r="C26" s="276" t="s">
        <v>606</v>
      </c>
      <c r="D26" s="276"/>
      <c r="E26" s="180" t="s">
        <v>607</v>
      </c>
    </row>
    <row r="27" spans="1:7" ht="87.75" customHeight="1">
      <c r="A27" s="272"/>
      <c r="B27" s="272"/>
      <c r="C27" s="272"/>
      <c r="D27" s="272"/>
      <c r="E27" s="181"/>
    </row>
    <row r="28" spans="1:7" ht="15.75" customHeight="1">
      <c r="A28" s="282" t="s">
        <v>608</v>
      </c>
      <c r="B28" s="282"/>
      <c r="C28" s="282" t="s">
        <v>1068</v>
      </c>
      <c r="D28" s="282"/>
      <c r="E28" s="85" t="s">
        <v>230</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cVAYCtiFN90voJF+2NaGB/nL8m8=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yjhKke3PFNj4ZFS/TQJ/UOlycSs=</DigestValue>
    </Reference>
  </SignedInfo>
  <SignatureValue>KHWKhSNnhcsh48SuAfGitOJhS8YWcqifBZ23aqjc3jD6Dg5IQ/f18fxd1oQP8NzQ2Bulru7aio2s
uLfTOaBbA9tNGBEC89Om64zyx+AOkTGbar2BiL/MPx7Laa5XxVyRN34nl5/+x2gDZAiCKM3hZmbB
Xvpi+bXGQrOL0wBBHCxfK0sdCXBRYXx0vTO8GRhJXG4pq2T+/QVjrUEZOOLC0IhlwIxq1CGf4U+j
xHyWomCuYp9HUJsFtRYu3NqA5ah+QoO/15QPWmMcbRKSb6GGVr9VkIJYWArWHMYHKP2Y0fxDmOrb
oyGlcXQrDp6wUymQGrAw59miGfCk77AxDixJsg==</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3.xml?ContentType=application/vnd.openxmlformats-officedocument.drawing+xml">
        <DigestMethod Algorithm="http://www.w3.org/2000/09/xmldsig#sha1"/>
        <DigestValue>B1a8g6fDnUbPK4Y/EWvGykEbZPw=</DigestValue>
      </Reference>
      <Reference URI="/xl/drawings/drawing2.xml?ContentType=application/vnd.openxmlformats-officedocument.drawing+xml">
        <DigestMethod Algorithm="http://www.w3.org/2000/09/xmldsig#sha1"/>
        <DigestValue>nXafrrTvO68cLSKWFv2oEzAIe7M=</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R7c7gASvqqov2RcCDgAr+w/6oSs=</DigestValue>
      </Reference>
      <Reference URI="/xl/worksheets/sheet7.xml?ContentType=application/vnd.openxmlformats-officedocument.spreadsheetml.worksheet+xml">
        <DigestMethod Algorithm="http://www.w3.org/2000/09/xmldsig#sha1"/>
        <DigestValue>p6/9uT9OAsZoSa/RrSFt7HAy1xA=</DigestValue>
      </Reference>
      <Reference URI="/xl/worksheets/sheet8.xml?ContentType=application/vnd.openxmlformats-officedocument.spreadsheetml.worksheet+xml">
        <DigestMethod Algorithm="http://www.w3.org/2000/09/xmldsig#sha1"/>
        <DigestValue>GRrdcNQLBTc24EJl4TYOYGhWTkE=</DigestValue>
      </Reference>
      <Reference URI="/xl/calcChain.xml?ContentType=application/vnd.openxmlformats-officedocument.spreadsheetml.calcChain+xml">
        <DigestMethod Algorithm="http://www.w3.org/2000/09/xmldsig#sha1"/>
        <DigestValue>DGWj/ajsRNRr/oxbk7HlpQXE+TM=</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9XhsfslLq/aAYdUXl4oX0ERNm+4=</DigestValue>
      </Reference>
      <Reference URI="/xl/drawings/drawing5.xml?ContentType=application/vnd.openxmlformats-officedocument.drawing+xml">
        <DigestMethod Algorithm="http://www.w3.org/2000/09/xmldsig#sha1"/>
        <DigestValue>G5olplTVzkf+O1pv49XDXO3mw3k=</DigestValue>
      </Reference>
      <Reference URI="/xl/drawings/drawing4.xml?ContentType=application/vnd.openxmlformats-officedocument.drawing+xml">
        <DigestMethod Algorithm="http://www.w3.org/2000/09/xmldsig#sha1"/>
        <DigestValue>zgPTcYPF9ayfOjaVO7h8woq033Y=</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drawings/drawing6.xml?ContentType=application/vnd.openxmlformats-officedocument.drawing+xml">
        <DigestMethod Algorithm="http://www.w3.org/2000/09/xmldsig#sha1"/>
        <DigestValue>YMFXJ+JiNmSEDfyw1Jtqj9XXVyU=</DigestValue>
      </Reference>
      <Reference URI="/xl/worksheets/sheet9.xml?ContentType=application/vnd.openxmlformats-officedocument.spreadsheetml.worksheet+xml">
        <DigestMethod Algorithm="http://www.w3.org/2000/09/xmldsig#sha1"/>
        <DigestValue>CZTMc9m9Yof/iA3ACWpu4aa6Xho=</DigestValue>
      </Reference>
      <Reference URI="/xl/workbook.xml?ContentType=application/vnd.openxmlformats-officedocument.spreadsheetml.sheet.main+xml">
        <DigestMethod Algorithm="http://www.w3.org/2000/09/xmldsig#sha1"/>
        <DigestValue>ppiDc+dW6MOGgEPTVtzAvVkARB8=</DigestValue>
      </Reference>
      <Reference URI="/xl/media/image4.jpeg?ContentType=image/jpeg">
        <DigestMethod Algorithm="http://www.w3.org/2000/09/xmldsig#sha1"/>
        <DigestValue>rdT3jAzYKT37IHtMlSeu1O8PF78=</DigestValue>
      </Reference>
      <Reference URI="/xl/media/image1.jpeg?ContentType=image/jpeg">
        <DigestMethod Algorithm="http://www.w3.org/2000/09/xmldsig#sha1"/>
        <DigestValue>KDYzWkN/yir+BbrOOS4zR/f6tAE=</DigestValue>
      </Reference>
      <Reference URI="/xl/media/image5.jpeg?ContentType=image/jpeg">
        <DigestMethod Algorithm="http://www.w3.org/2000/09/xmldsig#sha1"/>
        <DigestValue>mGs5V64jSqfbPR1L9R8cBMwB0uI=</DigestValue>
      </Reference>
      <Reference URI="/xl/drawings/drawing8.xml?ContentType=application/vnd.openxmlformats-officedocument.drawing+xml">
        <DigestMethod Algorithm="http://www.w3.org/2000/09/xmldsig#sha1"/>
        <DigestValue>RfYdlh9aXt/HmX+TwVgTHUdmvqQ=</DigestValue>
      </Reference>
      <Reference URI="/xl/worksheets/sheet3.xml?ContentType=application/vnd.openxmlformats-officedocument.spreadsheetml.worksheet+xml">
        <DigestMethod Algorithm="http://www.w3.org/2000/09/xmldsig#sha1"/>
        <DigestValue>H3ZaFl5kfUYPDf32drUs+COHtYg=</DigestValue>
      </Reference>
      <Reference URI="/xl/worksheets/sheet2.xml?ContentType=application/vnd.openxmlformats-officedocument.spreadsheetml.worksheet+xml">
        <DigestMethod Algorithm="http://www.w3.org/2000/09/xmldsig#sha1"/>
        <DigestValue>pFMQg+jb4YpszYgszMQwdcpMnO4=</DigestValue>
      </Reference>
      <Reference URI="/xl/worksheets/sheet4.xml?ContentType=application/vnd.openxmlformats-officedocument.spreadsheetml.worksheet+xml">
        <DigestMethod Algorithm="http://www.w3.org/2000/09/xmldsig#sha1"/>
        <DigestValue>kLo1rTh3TbmsHGb404UX6lHIDaw=</DigestValue>
      </Reference>
      <Reference URI="/xl/worksheets/sheet1.xml?ContentType=application/vnd.openxmlformats-officedocument.spreadsheetml.worksheet+xml">
        <DigestMethod Algorithm="http://www.w3.org/2000/09/xmldsig#sha1"/>
        <DigestValue>dAcwlZBHlSisM2wX66RmuBtvbPs=</DigestValue>
      </Reference>
      <Reference URI="/xl/drawings/drawing7.xml?ContentType=application/vnd.openxmlformats-officedocument.drawing+xml">
        <DigestMethod Algorithm="http://www.w3.org/2000/09/xmldsig#sha1"/>
        <DigestValue>Dll4LPErKCF0uSSxpVxsPAyriac=</DigestValue>
      </Reference>
      <Reference URI="/xl/sharedStrings.xml?ContentType=application/vnd.openxmlformats-officedocument.spreadsheetml.sharedStrings+xml">
        <DigestMethod Algorithm="http://www.w3.org/2000/09/xmldsig#sha1"/>
        <DigestValue>SD+baCw/sJytIxTLAUnht5KAPAI=</DigestValue>
      </Reference>
      <Reference URI="/xl/worksheets/sheet5.xml?ContentType=application/vnd.openxmlformats-officedocument.spreadsheetml.worksheet+xml">
        <DigestMethod Algorithm="http://www.w3.org/2000/09/xmldsig#sha1"/>
        <DigestValue>wfI2av3De1t66M1Yl4oWqjr7KrA=</DigestValue>
      </Reference>
      <Reference URI="/xl/drawings/drawing1.xml?ContentType=application/vnd.openxmlformats-officedocument.drawing+xml">
        <DigestMethod Algorithm="http://www.w3.org/2000/09/xmldsig#sha1"/>
        <DigestValue>UCFDUJ5xbOYAa+chxGlN7giprAY=</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2024-06-07T01:43:55Z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2024-06-07T01:43:55Z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2024-06-07T01:37:46Z</dcterms:modified>
</cp:coreProperties>
</file>