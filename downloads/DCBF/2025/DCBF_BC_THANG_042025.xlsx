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W:\GTO_SSO_FUNDSERVICES_GSSCKL\10. CLIENT PORTFOLIO-NAV recalculation\KYSO\2025\05. May\08.05\"/>
    </mc:Choice>
  </mc:AlternateContent>
  <xr:revisionPtr revIDLastSave="0" documentId="13_ncr:1_{E4D35701-8AAE-4B5B-B9A5-E868CEA9E2AB}" xr6:coauthVersionLast="47" xr6:coauthVersionMax="47" xr10:uidLastSave="{00000000-0000-0000-0000-000000000000}"/>
  <bookViews>
    <workbookView xWindow="-110" yWindow="-110" windowWidth="19420" windowHeight="10420" firstSheet="2" activeTab="5"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4" i="45" l="1"/>
  <c r="G13" i="45"/>
  <c r="G12" i="45"/>
  <c r="G10" i="45"/>
  <c r="G9" i="45"/>
  <c r="G8" i="45"/>
  <c r="G7" i="45"/>
  <c r="A5" i="45"/>
  <c r="C14" i="44" l="1"/>
  <c r="C13" i="44"/>
  <c r="C12" i="44"/>
  <c r="C11" i="44"/>
  <c r="C10" i="44"/>
  <c r="C9" i="44"/>
  <c r="C8" i="44"/>
  <c r="C7" i="44"/>
  <c r="A5" i="44"/>
  <c r="C14" i="43" l="1"/>
  <c r="C13" i="43"/>
  <c r="C12" i="43"/>
  <c r="C11" i="43"/>
  <c r="C10" i="43"/>
  <c r="C9" i="43"/>
  <c r="C8" i="43"/>
  <c r="C7" i="43"/>
  <c r="A5" i="43"/>
  <c r="D65" i="32" l="1"/>
  <c r="D64" i="32"/>
  <c r="A65" i="32"/>
  <c r="A64" i="32"/>
  <c r="A63" i="32"/>
  <c r="D53" i="32"/>
  <c r="D52" i="32"/>
  <c r="A53" i="32"/>
  <c r="A52" i="32"/>
  <c r="C14" i="32"/>
  <c r="C12" i="32"/>
  <c r="C10" i="32"/>
  <c r="C13" i="32"/>
  <c r="C11" i="32"/>
  <c r="C9" i="32"/>
  <c r="C8" i="32"/>
  <c r="C7" i="32"/>
  <c r="A5" i="32"/>
  <c r="A107" i="29" l="1"/>
  <c r="A106" i="29"/>
  <c r="A105" i="29"/>
  <c r="C14" i="29"/>
  <c r="C12" i="29"/>
  <c r="C10" i="29"/>
  <c r="C13" i="29"/>
  <c r="C11" i="29"/>
  <c r="C9" i="29"/>
  <c r="A5" i="29"/>
  <c r="C8" i="29"/>
  <c r="C7" i="29"/>
  <c r="F19" i="1" l="1"/>
  <c r="D63" i="32" l="1"/>
</calcChain>
</file>

<file path=xl/sharedStrings.xml><?xml version="1.0" encoding="utf-8"?>
<sst xmlns="http://schemas.openxmlformats.org/spreadsheetml/2006/main" count="964" uniqueCount="768">
  <si>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</si>
  <si>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</si>
  <si>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</si>
  <si>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</si>
  <si>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</si>
  <si>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</si>
  <si>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</si>
  <si>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</si>
  <si>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</si>
  <si>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</si>
  <si>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</si>
  <si>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</si>
  <si>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</si>
  <si>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</si>
  <si>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</si>
  <si>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</si>
  <si>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</si>
  <si>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</si>
  <si>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</si>
  <si>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</si>
  <si>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</si>
  <si>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</si>
  <si>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</si>
  <si>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</si>
  <si>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</si>
  <si>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</si>
  <si>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</si>
  <si>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</si>
  <si>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</si>
  <si>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</si>
  <si>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</si>
  <si>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</si>
  <si>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</si>
  <si>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</si>
  <si>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</si>
  <si>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</si>
  <si>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</si>
  <si>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</si>
  <si>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</si>
  <si>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</si>
  <si>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</si>
  <si>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</si>
  <si>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</si>
  <si>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</si>
  <si>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</si>
  <si>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</si>
  <si>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</si>
  <si>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</si>
  <si>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</si>
  <si>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</si>
  <si>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</si>
  <si>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</si>
  <si>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</si>
  <si>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</si>
  <si>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</si>
  <si>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</si>
  <si>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</si>
  <si>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</si>
  <si>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</si>
  <si>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</si>
  <si>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</si>
  <si>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</si>
  <si>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</si>
  <si>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</si>
  <si>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</si>
  <si>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</si>
  <si>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</si>
  <si>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</si>
  <si>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</si>
  <si>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</si>
  <si>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</si>
  <si>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</si>
  <si>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</si>
  <si>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</si>
  <si>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</si>
  <si>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</si>
  <si>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</si>
  <si>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</si>
  <si>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</si>
  <si>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</si>
  <si>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</si>
  <si>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</si>
  <si>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</si>
  <si>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</si>
  <si>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</si>
  <si>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</si>
  <si>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</si>
  <si>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</si>
  <si>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</si>
  <si>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</si>
  <si>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</si>
  <si>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</si>
  <si>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</si>
  <si>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</si>
  <si>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</si>
  <si>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</si>
  <si>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</si>
  <si>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</si>
  <si>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</si>
  <si>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</si>
  <si>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</si>
  <si>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</si>
  <si>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</si>
  <si>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</si>
  <si>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</si>
  <si>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</si>
  <si>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</si>
  <si>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</si>
  <si>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</si>
  <si>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</si>
  <si>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</si>
  <si>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</si>
  <si>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</si>
  <si>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</si>
  <si>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</si>
  <si>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</si>
  <si>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</si>
  <si>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</si>
  <si>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</si>
  <si>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</si>
  <si>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</si>
  <si>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</si>
  <si>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</si>
  <si>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</si>
  <si>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</si>
  <si>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</si>
  <si>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</si>
  <si>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</si>
  <si>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</si>
  <si>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</si>
  <si>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</si>
  <si>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</si>
  <si>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</si>
  <si>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</si>
  <si>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</si>
  <si>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</si>
  <si>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</si>
  <si>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</si>
  <si>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</si>
  <si>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</si>
  <si>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</si>
  <si>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</si>
  <si>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</si>
  <si>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</si>
  <si>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</si>
  <si>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</si>
  <si>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</si>
  <si>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</si>
  <si>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</si>
  <si>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</si>
  <si>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</si>
  <si>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</si>
  <si>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</si>
  <si>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</si>
  <si>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</si>
  <si>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</si>
  <si>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</si>
  <si>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</si>
  <si>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</si>
  <si>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</si>
  <si>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</si>
  <si>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</si>
  <si>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</si>
  <si>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</si>
  <si>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</si>
  <si>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</si>
  <si>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</si>
  <si>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</si>
  <si>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</si>
  <si>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</si>
  <si>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</si>
  <si>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</si>
  <si>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</si>
  <si>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</si>
  <si>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</si>
  <si>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</si>
  <si>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</si>
  <si>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</si>
  <si>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</si>
  <si>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</si>
  <si>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</si>
  <si>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</si>
  <si>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</si>
  <si>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</si>
  <si>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</si>
  <si>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</si>
  <si>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</si>
  <si>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</si>
  <si>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</si>
  <si>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</si>
  <si>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</si>
  <si>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</si>
  <si>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</si>
  <si>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</si>
  <si>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</si>
  <si>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</si>
  <si>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</si>
  <si>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</si>
  <si>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</si>
  <si>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</si>
  <si>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</si>
  <si>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</si>
  <si>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</si>
  <si>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</si>
  <si>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</si>
  <si>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</si>
  <si>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</si>
  <si>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</si>
  <si>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</si>
  <si>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</si>
  <si>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</si>
  <si>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</si>
  <si>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</si>
  <si>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</si>
  <si>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</si>
  <si>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</si>
  <si>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</si>
  <si>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</si>
  <si>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</si>
  <si>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</si>
  <si>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</si>
  <si>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</si>
  <si>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</si>
  <si>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</si>
  <si>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</si>
  <si>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</si>
  <si>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</si>
  <si>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</si>
  <si>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</si>
  <si>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</si>
  <si>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</si>
  <si>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</si>
  <si>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</si>
  <si>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</si>
  <si>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</si>
  <si>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</si>
  <si>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</si>
  <si>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</si>
  <si>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</si>
  <si>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</si>
  <si>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</si>
  <si>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</si>
  <si>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</si>
  <si>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</si>
  <si>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</si>
  <si>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</si>
  <si>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</si>
  <si>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</si>
  <si>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</si>
  <si>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</si>
  <si>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</si>
  <si>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</si>
  <si>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</si>
  <si>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</si>
  <si>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</si>
  <si>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</si>
  <si>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</si>
  <si>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</si>
  <si>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</si>
  <si>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</si>
  <si>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</si>
  <si>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</si>
  <si>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</si>
  <si>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</si>
  <si>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</si>
  <si>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</si>
  <si>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</si>
  <si>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</si>
  <si>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</si>
  <si>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</si>
  <si>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</si>
  <si>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</si>
  <si>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</si>
  <si>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CII124021</t>
  </si>
  <si>
    <t>2251.1.3</t>
  </si>
  <si>
    <t>1.4</t>
  </si>
  <si>
    <t>HDB124006</t>
  </si>
  <si>
    <t>2251.1.4</t>
  </si>
  <si>
    <t>1.5</t>
  </si>
  <si>
    <t>HDB124018</t>
  </si>
  <si>
    <t>2251.1.5</t>
  </si>
  <si>
    <t>1.6</t>
  </si>
  <si>
    <t>MML121021</t>
  </si>
  <si>
    <t>2251.1.6</t>
  </si>
  <si>
    <t>1.7</t>
  </si>
  <si>
    <t>MSN123008</t>
  </si>
  <si>
    <t>2251.1.7</t>
  </si>
  <si>
    <t>1.8</t>
  </si>
  <si>
    <t>MSN123009</t>
  </si>
  <si>
    <t>2251.1.8</t>
  </si>
  <si>
    <t>1.9</t>
  </si>
  <si>
    <t>TCX124013</t>
  </si>
  <si>
    <t>2251.1.9</t>
  </si>
  <si>
    <t>1.10</t>
  </si>
  <si>
    <t>TNG122017</t>
  </si>
  <si>
    <t>2251.1.10</t>
  </si>
  <si>
    <t>1.11</t>
  </si>
  <si>
    <t>VBA122001</t>
  </si>
  <si>
    <t>2251.1.11</t>
  </si>
  <si>
    <t>1.12</t>
  </si>
  <si>
    <t>VIC123028</t>
  </si>
  <si>
    <t>2251.1.12</t>
  </si>
  <si>
    <t>1.13</t>
  </si>
  <si>
    <t>VPI124001</t>
  </si>
  <si>
    <t>2251.1.13</t>
  </si>
  <si>
    <t>1.14</t>
  </si>
  <si>
    <t>VRE12007</t>
  </si>
  <si>
    <t>2251.1.14</t>
  </si>
  <si>
    <t>2</t>
  </si>
  <si>
    <t>Trái phiếu chưa niêm yết
Unlisted Bonds</t>
  </si>
  <si>
    <t>2251.2</t>
  </si>
  <si>
    <t>2.1</t>
  </si>
  <si>
    <t>CII12403</t>
  </si>
  <si>
    <t>2251.2.1</t>
  </si>
  <si>
    <t>2.2</t>
  </si>
  <si>
    <t>KBC12401</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</si>
  <si>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</si>
  <si>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</si>
  <si>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</si>
  <si>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</si>
  <si>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</si>
  <si>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</si>
  <si>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</si>
  <si>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</si>
  <si>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</si>
  <si>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</si>
  <si>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</si>
  <si>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</si>
  <si>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</si>
  <si>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</si>
  <si>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</si>
  <si>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</si>
  <si>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</si>
  <si>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</si>
  <si>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</si>
  <si>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</si>
  <si>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</si>
  <si>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</si>
  <si>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</si>
  <si>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</si>
  <si>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</si>
  <si>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</si>
  <si>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</si>
  <si>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</si>
  <si>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</si>
  <si>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</si>
  <si>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</si>
  <si>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</si>
  <si>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</si>
  <si>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</si>
  <si>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</si>
  <si>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</si>
  <si>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</si>
  <si>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</si>
  <si>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</si>
  <si>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</si>
  <si>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</si>
  <si>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</si>
  <si>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</si>
  <si>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</si>
  <si>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</si>
  <si>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</si>
  <si>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</si>
  <si>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</si>
  <si>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</si>
  <si>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</si>
  <si>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</si>
  <si>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</si>
  <si>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</si>
  <si>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</si>
  <si>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</si>
  <si>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</si>
  <si>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</si>
  <si>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</si>
  <si>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</si>
  <si>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</si>
  <si>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</si>
  <si>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</si>
  <si>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</si>
  <si>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</si>
  <si>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</si>
  <si>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</si>
  <si>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</si>
  <si>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</si>
  <si>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</si>
  <si>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</si>
  <si>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</si>
  <si>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</si>
  <si>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</si>
  <si>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</si>
  <si>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</si>
  <si>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</si>
  <si>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</si>
  <si>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</si>
  <si>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</si>
  <si>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</si>
  <si>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</si>
  <si>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</si>
  <si>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</si>
  <si>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</si>
  <si>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</si>
  <si>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</si>
  <si>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</si>
  <si>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</si>
  <si>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</si>
  <si>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</si>
  <si>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</si>
  <si>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</si>
  <si>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</si>
  <si>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</si>
  <si>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</si>
  <si>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</si>
  <si>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</si>
  <si>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</si>
  <si>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</si>
  <si>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</si>
  <si>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</si>
  <si>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</si>
  <si>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</si>
  <si>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</si>
  <si>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</si>
  <si>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</si>
  <si>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</si>
  <si>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</si>
  <si>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</si>
  <si>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</si>
  <si>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</si>
  <si>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</si>
  <si>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</si>
  <si>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</si>
  <si>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</si>
  <si>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</si>
  <si>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</si>
  <si>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</si>
  <si>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</si>
  <si>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</si>
  <si>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</si>
  <si>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</si>
  <si>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</si>
  <si>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</si>
  <si>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</si>
  <si>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</si>
  <si>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</si>
  <si>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</si>
  <si>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</si>
  <si>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</si>
  <si>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</si>
  <si>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</si>
  <si>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</si>
  <si>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</si>
  <si>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</si>
  <si>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</si>
  <si>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</si>
  <si>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</si>
  <si>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</si>
  <si>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</si>
  <si>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</si>
  <si>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</si>
  <si>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</si>
  <si>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</si>
  <si>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</si>
  <si>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</si>
  <si>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</si>
  <si>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</si>
  <si>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</si>
  <si>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</si>
  <si>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</si>
  <si>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</si>
  <si>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</si>
  <si>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</si>
  <si>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</si>
  <si>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</si>
  <si>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</si>
  <si>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</si>
  <si>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</si>
  <si>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</si>
  <si>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</si>
  <si>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</si>
  <si>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</si>
  <si>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</si>
  <si>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</si>
  <si>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</si>
  <si>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</si>
  <si>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</si>
  <si>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</si>
  <si>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</si>
  <si>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</si>
  <si>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</si>
  <si>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</si>
  <si>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</si>
  <si>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</si>
  <si>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</si>
  <si>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</si>
  <si>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</si>
  <si>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</si>
  <si>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</si>
  <si>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</si>
  <si>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</si>
  <si>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</si>
  <si>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</si>
  <si>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</si>
  <si>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</si>
  <si>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</si>
  <si>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</si>
  <si>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</si>
  <si>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</si>
  <si>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</si>
  <si>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</si>
  <si>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</si>
  <si>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</si>
  <si>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</si>
  <si>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</si>
  <si>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</si>
  <si>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</si>
  <si>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</si>
  <si>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</si>
  <si>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</si>
  <si>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</si>
  <si>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</si>
  <si>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</si>
  <si>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</si>
  <si>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</si>
  <si>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</si>
  <si>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</si>
  <si>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</si>
  <si>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</si>
  <si>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</si>
  <si>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</si>
  <si>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</si>
  <si>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</si>
  <si>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</si>
  <si>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</si>
  <si>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</si>
  <si>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</si>
  <si>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</si>
  <si>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</si>
  <si>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</si>
  <si>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</si>
  <si>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</si>
  <si>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</si>
  <si>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</si>
  <si>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</si>
  <si>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</si>
  <si>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</si>
  <si>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</si>
  <si>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</si>
  <si>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</si>
  <si>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</si>
  <si>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</si>
  <si>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</si>
  <si>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</si>
  <si>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</si>
  <si>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</si>
  <si>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</si>
  <si>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</si>
  <si>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</si>
  <si>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</si>
  <si>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</si>
  <si>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</si>
  <si>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</si>
  <si>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</si>
  <si>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</si>
  <si>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</si>
  <si>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</si>
  <si>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</si>
  <si>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</si>
  <si>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</si>
  <si>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</si>
  <si>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</si>
  <si>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</si>
  <si>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</si>
  <si>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</si>
  <si>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</si>
  <si>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</si>
  <si>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</si>
  <si>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</si>
  <si>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</si>
  <si>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</si>
  <si>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</si>
  <si>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</si>
  <si>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</si>
  <si>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</si>
  <si>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</si>
  <si>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</si>
  <si>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</si>
  <si>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</si>
  <si>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</si>
  <si>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</si>
  <si>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</si>
  <si>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</si>
  <si>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</si>
  <si>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</si>
  <si>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</si>
  <si>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</si>
  <si>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</si>
  <si>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</si>
  <si>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</si>
  <si>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</si>
  <si>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</si>
  <si>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</si>
  <si>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</si>
  <si>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</si>
  <si>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</si>
  <si>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</si>
  <si>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</si>
  <si>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</si>
  <si>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</si>
  <si>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</si>
  <si>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</si>
  <si>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</si>
  <si>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</si>
  <si>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</si>
  <si>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</si>
  <si>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</si>
  <si>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</si>
  <si>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</si>
  <si>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</si>
  <si>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</si>
  <si>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</si>
  <si>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</si>
  <si>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</si>
  <si>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</si>
  <si>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</si>
  <si>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</si>
  <si>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</si>
  <si>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</si>
  <si>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</si>
  <si>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</si>
  <si>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</si>
  <si>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</si>
  <si>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</si>
  <si>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</si>
  <si>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</si>
  <si>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</si>
  <si>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</si>
  <si>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</si>
  <si>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</si>
  <si>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</si>
  <si>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</si>
  <si>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</si>
  <si>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</si>
  <si>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</si>
  <si>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</si>
  <si>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</si>
  <si>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</si>
  <si>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</si>
  <si>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</si>
  <si>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</si>
  <si>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</si>
  <si>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</si>
  <si>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</si>
  <si>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</si>
  <si>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</si>
  <si>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</si>
  <si>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</si>
  <si>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</si>
  <si>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</si>
  <si>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</si>
  <si>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</si>
  <si>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</si>
  <si>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</si>
  <si>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</si>
  <si>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</si>
  <si>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</si>
  <si>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</si>
  <si>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</si>
  <si>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</si>
  <si>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</si>
  <si>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</si>
  <si>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</si>
  <si>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</si>
  <si>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</si>
  <si>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</si>
  <si>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</si>
  <si>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</si>
  <si>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</si>
  <si>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</si>
  <si>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</si>
  <si>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</si>
  <si>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</si>
  <si>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</si>
  <si>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</si>
  <si>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</si>
  <si>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</si>
  <si>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</si>
  <si>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</si>
  <si>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</si>
  <si>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</si>
  <si>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</si>
  <si>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</si>
  <si>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</si>
  <si>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</si>
  <si>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</si>
  <si>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</si>
  <si>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</si>
  <si>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</si>
  <si>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</si>
  <si>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</si>
  <si>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</si>
  <si>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</si>
  <si>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</si>
  <si>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</si>
  <si>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</si>
  <si>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</si>
  <si>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</si>
  <si>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</si>
  <si>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</si>
  <si>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</si>
  <si>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</si>
  <si>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</si>
  <si>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</si>
  <si>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</si>
  <si>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</si>
  <si>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</si>
  <si>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</si>
  <si>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</si>
  <si>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</si>
  <si>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</si>
  <si>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</si>
  <si>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</si>
  <si>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</si>
  <si>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</si>
  <si>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</si>
  <si>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</si>
  <si>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</si>
  <si>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</si>
  <si>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</si>
  <si>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</si>
  <si>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</si>
  <si>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</si>
  <si>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</si>
  <si>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</si>
  <si>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</si>
  <si>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</si>
  <si>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</si>
  <si>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</si>
  <si>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</si>
  <si>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</si>
  <si>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</si>
  <si>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</si>
  <si>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</si>
  <si>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</si>
  <si>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</si>
  <si>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</si>
  <si>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</si>
  <si>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</si>
  <si>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</si>
  <si>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</si>
  <si>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</si>
  <si>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</si>
  <si>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04 năm 2025
/ As at 30 Apr 2025</t>
  </si>
  <si>
    <t>Tháng 04 năm 2025
/ Apr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</si>
  <si>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</si>
  <si>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</si>
  <si>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</si>
  <si>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</si>
  <si>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05 tháng 05 năm 2025</t>
  </si>
  <si>
    <t>05 May 2025</t>
  </si>
  <si>
    <t>Vũ Quang Phan</t>
  </si>
  <si>
    <t>Lê Hoàng Anh</t>
  </si>
  <si>
    <t>Phó phòng Dịch vụ nghiệp vụ giám sát Quỹ</t>
  </si>
  <si>
    <t>Quyền Giám đốc nghiệp vụ hỗ trợ đầu tư</t>
  </si>
  <si>
    <t>Ngày 30 tháng 04 năm 2025
 As at 30 Apr 2025</t>
  </si>
  <si>
    <t>Ngày 31 tháng 03 năm 2025
 As at 31 Mar 2025</t>
  </si>
  <si>
    <t>Tháng 04 năm 2025
Apr 2025</t>
  </si>
  <si>
    <t>Tháng 03 năm 2025
Mar 2025</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</si>
  <si>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</si>
  <si>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DC Bond Fund (DCBF)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</si>
</sst>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4">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b/>
      <sz val="10"/>
      <name val="Tahoma"/>
    </font>
    <font>
      <b/>
      <sz val="10"/>
      <name val="Tahoma"/>
    </font>
    <font>
      <b/>
      <sz val="10"/>
      <name val="Tahoma"/>
    </font>
    <font>
      <b/>
      <sz val="12"/>
      <name val="Tahoma"/>
      <family val="2"/>
    </font>
    <font>
      <sz val="12"/>
      <name val="Tahoma"/>
      <family val="2"/>
    </font>
    <font>
      <i/>
      <sz val="12"/>
      <name val="Tahoma"/>
      <family val="2"/>
    </font>
    <font>
      <sz val="12"/>
      <color theme="1"/>
      <name val="Tahoma"/>
      <family val="2"/>
    </font>
    <font>
      <b/>
      <sz val="12"/>
      <color indexed="30"/>
      <name val="Tahoma"/>
      <family val="2"/>
    </font>
    <font>
      <b/>
      <sz val="12"/>
      <color theme="1"/>
      <name val="Tahoma"/>
      <family val="2"/>
    </font>
    <font>
      <b/>
      <sz val="12"/>
      <color indexed="8"/>
      <name val="Tahoma"/>
      <family val="2"/>
    </font>
    <font>
      <i/>
      <sz val="12"/>
      <color theme="1"/>
      <name val="Tahoma"/>
      <family val="2"/>
    </font>
    <font>
      <sz val="12"/>
      <color indexed="8"/>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95">
    <xf numFmtId="0" fontId="0" fillId="0" borderId="0" xfId="0"/>
    <xf numFmtId="0" fontId="5" fillId="3" borderId="0" xfId="0" applyFont="1" applyFill="1"/>
    <xf numFmtId="0" fontId="6" fillId="3" borderId="0" xfId="0" applyFont="1" applyFill="1"/>
    <xf numFmtId="0" fontId="5" fillId="3" borderId="0" xfId="0" applyFont="1" applyFill="1" applyAlignment="1">
      <alignment vertical="center" wrapText="1"/>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12" fillId="3" borderId="0" xfId="12" applyFont="1" applyFill="1" applyAlignment="1">
      <alignment horizontal="center"/>
    </xf>
    <xf numFmtId="0" fontId="12" fillId="3" borderId="0" xfId="12" applyFont="1" applyFill="1"/>
    <xf numFmtId="0" fontId="12" fillId="3" borderId="0" xfId="16" applyFont="1" applyFill="1" applyAlignment="1">
      <alignment horizontal="center" vertical="center"/>
    </xf>
    <xf numFmtId="0" fontId="12" fillId="3" borderId="0" xfId="16" applyFont="1" applyFill="1" applyAlignment="1">
      <alignment vertical="center"/>
    </xf>
    <xf numFmtId="0" fontId="6" fillId="3" borderId="0" xfId="0" applyFont="1" applyFill="1" applyAlignment="1">
      <alignment horizontal="left" vertical="center" wrapText="1"/>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9" borderId="16" xfId="0" applyNumberFormat="1" applyFont="1" applyFill="1" applyBorder="1" applyAlignment="1" applyProtection="1">
      <alignment horizontal="center" vertical="center" wrapText="1"/>
      <protection locked="0"/>
    </xf>
    <xf numFmtId="10" fontId="20" fillId="11" borderId="18" xfId="0" applyNumberFormat="1" applyFont="1" applyFill="1" applyBorder="1" applyAlignment="1" applyProtection="1">
      <alignment horizontal="right" vertical="center" wrapText="1"/>
      <protection locked="0"/>
    </xf>
    <xf numFmtId="165" fontId="21" fillId="12" borderId="19" xfId="0" applyNumberFormat="1" applyFont="1" applyFill="1" applyBorder="1" applyAlignment="1" applyProtection="1">
      <alignment horizontal="right" vertical="center" wrapText="1"/>
      <protection locked="0"/>
    </xf>
    <xf numFmtId="0" fontId="22" fillId="14" borderId="21" xfId="0" applyNumberFormat="1" applyFont="1" applyFill="1" applyBorder="1" applyAlignment="1" applyProtection="1">
      <alignment horizontal="center" vertical="center" wrapText="1"/>
      <protection locked="0"/>
    </xf>
    <xf numFmtId="10" fontId="23" fillId="15" borderId="22" xfId="0" applyNumberFormat="1" applyFont="1" applyFill="1" applyBorder="1" applyAlignment="1" applyProtection="1">
      <alignment horizontal="right" vertical="center" wrapText="1"/>
      <protection locked="0"/>
    </xf>
    <xf numFmtId="165" fontId="24" fillId="16" borderId="23" xfId="0" applyNumberFormat="1" applyFont="1" applyFill="1" applyBorder="1" applyAlignment="1" applyProtection="1">
      <alignment horizontal="right" vertical="center" wrapText="1"/>
      <protection locked="0"/>
    </xf>
    <xf numFmtId="0" fontId="26" fillId="3" borderId="0" xfId="0" applyFont="1" applyFill="1"/>
    <xf numFmtId="0" fontId="28" fillId="3" borderId="0" xfId="0" applyFont="1" applyFill="1" applyAlignment="1">
      <alignment vertical="center"/>
    </xf>
    <xf numFmtId="0" fontId="28" fillId="3" borderId="0" xfId="0" applyFont="1" applyFill="1"/>
    <xf numFmtId="0" fontId="26" fillId="3" borderId="0" xfId="0" applyFont="1" applyFill="1" applyAlignment="1">
      <alignment vertical="center"/>
    </xf>
    <xf numFmtId="0" fontId="30" fillId="3" borderId="0" xfId="16" applyFont="1" applyFill="1" applyAlignment="1">
      <alignment horizontal="center" vertical="center"/>
    </xf>
    <xf numFmtId="0" fontId="30" fillId="3" borderId="0" xfId="16" applyFont="1" applyFill="1" applyAlignment="1">
      <alignment vertical="center"/>
    </xf>
    <xf numFmtId="0" fontId="25" fillId="3" borderId="0" xfId="16" applyFont="1" applyFill="1" applyAlignment="1">
      <alignment horizontal="center" vertical="center"/>
    </xf>
    <xf numFmtId="0" fontId="25" fillId="3" borderId="0" xfId="16" applyFont="1" applyFill="1" applyAlignment="1">
      <alignment vertical="center"/>
    </xf>
    <xf numFmtId="0" fontId="25" fillId="2" borderId="9" xfId="6" applyFont="1" applyFill="1" applyBorder="1" applyAlignment="1">
      <alignment horizontal="center" vertical="center" wrapText="1"/>
    </xf>
    <xf numFmtId="165" fontId="25" fillId="2" borderId="9" xfId="7" applyNumberFormat="1" applyFont="1" applyFill="1" applyBorder="1" applyAlignment="1" applyProtection="1">
      <alignment horizontal="center" vertical="center" wrapText="1"/>
      <protection locked="0"/>
    </xf>
    <xf numFmtId="165" fontId="25" fillId="2" borderId="9" xfId="10" applyNumberFormat="1" applyFont="1" applyFill="1" applyBorder="1" applyAlignment="1" applyProtection="1">
      <alignment horizontal="center" vertical="center" wrapText="1"/>
    </xf>
    <xf numFmtId="0" fontId="25" fillId="14" borderId="21" xfId="0" applyNumberFormat="1" applyFont="1" applyFill="1" applyBorder="1" applyAlignment="1" applyProtection="1">
      <alignment horizontal="center" vertical="center" wrapText="1"/>
      <protection locked="0"/>
    </xf>
    <xf numFmtId="0" fontId="25" fillId="13" borderId="20" xfId="0" applyNumberFormat="1" applyFont="1" applyFill="1" applyBorder="1" applyAlignment="1" applyProtection="1">
      <alignment horizontal="left" vertical="center" wrapText="1"/>
      <protection locked="0"/>
    </xf>
    <xf numFmtId="165" fontId="25" fillId="16" borderId="23" xfId="0" applyNumberFormat="1" applyFont="1" applyFill="1" applyBorder="1" applyAlignment="1" applyProtection="1">
      <alignment horizontal="right" vertical="center" wrapText="1"/>
      <protection locked="0"/>
    </xf>
    <xf numFmtId="10" fontId="25" fillId="15" borderId="22" xfId="0" applyNumberFormat="1" applyFont="1" applyFill="1" applyBorder="1" applyAlignment="1" applyProtection="1">
      <alignment horizontal="right" vertical="center" wrapText="1"/>
      <protection locked="0"/>
    </xf>
    <xf numFmtId="4" fontId="26" fillId="9" borderId="16" xfId="0" applyNumberFormat="1" applyFont="1" applyFill="1" applyBorder="1" applyAlignment="1" applyProtection="1">
      <alignment horizontal="center" vertical="center" wrapText="1"/>
      <protection locked="0"/>
    </xf>
    <xf numFmtId="4" fontId="26" fillId="8" borderId="15" xfId="0" applyNumberFormat="1" applyFont="1" applyFill="1" applyBorder="1" applyAlignment="1" applyProtection="1">
      <alignment horizontal="left" vertical="center" wrapText="1"/>
      <protection locked="0"/>
    </xf>
    <xf numFmtId="165" fontId="26" fillId="12" borderId="19" xfId="0" applyNumberFormat="1" applyFont="1" applyFill="1" applyBorder="1" applyAlignment="1" applyProtection="1">
      <alignment horizontal="right" vertical="center" wrapText="1"/>
      <protection locked="0"/>
    </xf>
    <xf numFmtId="10" fontId="26" fillId="11" borderId="18" xfId="0" applyNumberFormat="1" applyFont="1" applyFill="1" applyBorder="1" applyAlignment="1" applyProtection="1">
      <alignment horizontal="right" vertical="center" wrapText="1"/>
      <protection locked="0"/>
    </xf>
    <xf numFmtId="43" fontId="26" fillId="17" borderId="24" xfId="0" applyNumberFormat="1" applyFont="1" applyFill="1" applyBorder="1" applyAlignment="1" applyProtection="1">
      <alignment horizontal="right" vertical="center" wrapText="1"/>
      <protection locked="0"/>
    </xf>
    <xf numFmtId="0" fontId="31" fillId="3" borderId="0" xfId="0" applyFont="1" applyFill="1" applyAlignment="1">
      <alignment vertical="center"/>
    </xf>
    <xf numFmtId="0" fontId="26" fillId="3" borderId="0" xfId="0" applyFont="1" applyFill="1" applyAlignment="1">
      <alignment horizontal="left" vertical="center"/>
    </xf>
    <xf numFmtId="0" fontId="27" fillId="3" borderId="0" xfId="1" applyFont="1" applyFill="1" applyAlignment="1">
      <alignment vertical="center"/>
    </xf>
    <xf numFmtId="0" fontId="27" fillId="3" borderId="0" xfId="0" applyFont="1" applyFill="1" applyAlignment="1">
      <alignment horizontal="left" vertical="center"/>
    </xf>
    <xf numFmtId="0" fontId="27" fillId="3" borderId="0" xfId="0" applyFont="1" applyFill="1"/>
    <xf numFmtId="0" fontId="26" fillId="3" borderId="8" xfId="0" applyFont="1" applyFill="1" applyBorder="1" applyAlignment="1">
      <alignment horizontal="left" vertical="center"/>
    </xf>
    <xf numFmtId="0" fontId="25" fillId="3" borderId="5" xfId="0" applyFont="1" applyFill="1" applyBorder="1" applyAlignment="1">
      <alignment horizontal="left" vertical="center"/>
    </xf>
    <xf numFmtId="0" fontId="26" fillId="3" borderId="5" xfId="0" applyFont="1" applyFill="1" applyBorder="1" applyAlignment="1">
      <alignment horizontal="left" vertical="center"/>
    </xf>
    <xf numFmtId="0" fontId="25" fillId="3" borderId="0" xfId="0" applyFont="1" applyFill="1" applyAlignment="1">
      <alignment horizontal="left" vertical="center"/>
    </xf>
    <xf numFmtId="0" fontId="28" fillId="0" borderId="0" xfId="0" applyFont="1" applyAlignment="1">
      <alignment vertical="center"/>
    </xf>
    <xf numFmtId="0" fontId="29" fillId="3" borderId="0" xfId="0" applyFont="1" applyFill="1" applyAlignment="1">
      <alignment horizontal="left" vertical="center"/>
    </xf>
    <xf numFmtId="0" fontId="30" fillId="3" borderId="0" xfId="2" applyFont="1" applyFill="1" applyAlignment="1">
      <alignment horizontal="center" vertical="center"/>
    </xf>
    <xf numFmtId="0" fontId="30" fillId="3" borderId="0" xfId="2" applyFont="1" applyFill="1" applyAlignment="1">
      <alignment vertical="center"/>
    </xf>
    <xf numFmtId="0" fontId="25" fillId="7" borderId="9" xfId="14" applyFont="1" applyFill="1" applyBorder="1" applyAlignment="1">
      <alignment horizontal="center" vertical="center" wrapText="1"/>
    </xf>
    <xf numFmtId="0" fontId="25" fillId="7" borderId="9" xfId="0" applyFont="1" applyFill="1" applyBorder="1" applyAlignment="1">
      <alignment horizontal="center" vertical="center" wrapText="1"/>
    </xf>
    <xf numFmtId="0" fontId="25" fillId="7" borderId="9" xfId="0" applyFont="1" applyFill="1" applyBorder="1" applyAlignment="1">
      <alignment horizontal="center" vertical="center"/>
    </xf>
    <xf numFmtId="49" fontId="25" fillId="7" borderId="9" xfId="14" applyNumberFormat="1" applyFont="1" applyFill="1" applyBorder="1" applyAlignment="1">
      <alignment horizontal="left" vertical="center" wrapText="1"/>
    </xf>
    <xf numFmtId="49" fontId="25" fillId="7" borderId="9" xfId="14" applyNumberFormat="1" applyFont="1" applyFill="1" applyBorder="1" applyAlignment="1">
      <alignment horizontal="center" vertical="center" wrapText="1"/>
    </xf>
    <xf numFmtId="41" fontId="25" fillId="7" borderId="9" xfId="22" applyNumberFormat="1" applyFont="1" applyFill="1" applyBorder="1" applyAlignment="1">
      <alignment horizontal="left"/>
    </xf>
    <xf numFmtId="0" fontId="30" fillId="0" borderId="0" xfId="0" applyFont="1" applyAlignment="1">
      <alignment vertical="center"/>
    </xf>
    <xf numFmtId="0" fontId="26" fillId="5" borderId="9" xfId="15" applyFont="1" applyBorder="1" applyAlignment="1">
      <alignment horizontal="center" vertical="center"/>
    </xf>
    <xf numFmtId="49" fontId="26" fillId="5" borderId="9" xfId="14" applyNumberFormat="1" applyFont="1" applyBorder="1" applyAlignment="1">
      <alignment horizontal="left" vertical="center" wrapText="1"/>
    </xf>
    <xf numFmtId="49" fontId="26" fillId="5" borderId="9" xfId="14" applyNumberFormat="1" applyFont="1" applyBorder="1" applyAlignment="1">
      <alignment horizontal="center" vertical="center" wrapText="1"/>
    </xf>
    <xf numFmtId="41" fontId="26" fillId="5" borderId="9" xfId="22" applyNumberFormat="1" applyFont="1" applyBorder="1"/>
    <xf numFmtId="0" fontId="26" fillId="0" borderId="9" xfId="0" applyFont="1" applyBorder="1" applyAlignment="1">
      <alignment horizontal="left"/>
    </xf>
    <xf numFmtId="41" fontId="26" fillId="0" borderId="9" xfId="0" applyNumberFormat="1" applyFont="1" applyBorder="1" applyAlignment="1">
      <alignment horizontal="left"/>
    </xf>
    <xf numFmtId="0" fontId="27" fillId="5" borderId="9" xfId="15" applyFont="1" applyBorder="1" applyAlignment="1">
      <alignment horizontal="center" vertical="center"/>
    </xf>
    <xf numFmtId="49" fontId="27" fillId="5" borderId="9" xfId="14" applyNumberFormat="1" applyFont="1" applyBorder="1" applyAlignment="1">
      <alignment horizontal="left" vertical="center" wrapText="1"/>
    </xf>
    <xf numFmtId="49" fontId="27" fillId="5" borderId="9" xfId="14" applyNumberFormat="1" applyFont="1" applyBorder="1" applyAlignment="1">
      <alignment horizontal="center" vertical="center" wrapText="1"/>
    </xf>
    <xf numFmtId="0" fontId="27" fillId="3" borderId="9" xfId="15" applyFont="1" applyFill="1" applyBorder="1" applyAlignment="1">
      <alignment horizontal="center" vertical="center"/>
    </xf>
    <xf numFmtId="49" fontId="27" fillId="3" borderId="9" xfId="14" applyNumberFormat="1" applyFont="1" applyFill="1" applyBorder="1" applyAlignment="1">
      <alignment horizontal="left" vertical="center" wrapText="1"/>
    </xf>
    <xf numFmtId="49" fontId="27" fillId="3" borderId="9" xfId="14" applyNumberFormat="1" applyFont="1" applyFill="1" applyBorder="1" applyAlignment="1">
      <alignment horizontal="center" vertical="center" wrapText="1"/>
    </xf>
    <xf numFmtId="41" fontId="25" fillId="7" borderId="9" xfId="22" applyNumberFormat="1" applyFont="1" applyFill="1" applyBorder="1"/>
    <xf numFmtId="0" fontId="26" fillId="3" borderId="9" xfId="15" applyFont="1" applyFill="1" applyBorder="1" applyAlignment="1">
      <alignment horizontal="center" vertical="center"/>
    </xf>
    <xf numFmtId="0" fontId="26" fillId="5" borderId="9" xfId="14" applyFont="1" applyBorder="1" applyAlignment="1">
      <alignment horizontal="left" vertical="center" wrapText="1"/>
    </xf>
    <xf numFmtId="0" fontId="27" fillId="5" borderId="9" xfId="14" applyFont="1" applyBorder="1" applyAlignment="1">
      <alignment horizontal="left" vertical="center" wrapText="1"/>
    </xf>
    <xf numFmtId="0" fontId="27" fillId="0" borderId="9" xfId="4" applyFont="1" applyBorder="1" applyAlignment="1">
      <alignment horizontal="left" vertical="center" wrapText="1"/>
    </xf>
    <xf numFmtId="0" fontId="25" fillId="7" borderId="9" xfId="15" applyFont="1" applyFill="1" applyBorder="1" applyAlignment="1">
      <alignment horizontal="center" vertical="center"/>
    </xf>
    <xf numFmtId="0" fontId="32" fillId="0" borderId="0" xfId="0" applyFont="1" applyAlignment="1">
      <alignment vertical="center"/>
    </xf>
    <xf numFmtId="0" fontId="26" fillId="0" borderId="9" xfId="0" applyFont="1" applyBorder="1" applyAlignment="1">
      <alignment horizontal="center" vertical="center"/>
    </xf>
    <xf numFmtId="0" fontId="30" fillId="3" borderId="5" xfId="0" applyFont="1" applyFill="1" applyBorder="1" applyAlignment="1">
      <alignment vertical="center"/>
    </xf>
    <xf numFmtId="0" fontId="28" fillId="3" borderId="5" xfId="0" applyFont="1" applyFill="1" applyBorder="1" applyAlignment="1">
      <alignment vertical="center"/>
    </xf>
    <xf numFmtId="0" fontId="30" fillId="3" borderId="0" xfId="0" applyFont="1" applyFill="1" applyAlignment="1">
      <alignment vertical="center"/>
    </xf>
    <xf numFmtId="0" fontId="31" fillId="3" borderId="0" xfId="0" applyFont="1" applyFill="1" applyBorder="1" applyAlignment="1">
      <alignment vertical="center"/>
    </xf>
    <xf numFmtId="0" fontId="27" fillId="3" borderId="0" xfId="1" applyFont="1" applyFill="1" applyBorder="1" applyAlignment="1">
      <alignment vertical="center"/>
    </xf>
    <xf numFmtId="0" fontId="28" fillId="3" borderId="0" xfId="0" applyFont="1" applyFill="1" applyBorder="1" applyAlignment="1">
      <alignment vertical="center"/>
    </xf>
    <xf numFmtId="0" fontId="30" fillId="3" borderId="0" xfId="0" applyFont="1" applyFill="1" applyBorder="1" applyAlignment="1">
      <alignment vertical="center"/>
    </xf>
    <xf numFmtId="0" fontId="28" fillId="0" borderId="0" xfId="0" applyFont="1"/>
    <xf numFmtId="0" fontId="30" fillId="2" borderId="9" xfId="0" applyFont="1" applyFill="1" applyBorder="1" applyAlignment="1">
      <alignment horizontal="center" vertical="center" wrapText="1"/>
    </xf>
    <xf numFmtId="0" fontId="26" fillId="10" borderId="17" xfId="0" applyNumberFormat="1" applyFont="1" applyFill="1" applyBorder="1" applyAlignment="1" applyProtection="1">
      <alignment horizontal="center" vertical="center" wrapText="1"/>
      <protection locked="0"/>
    </xf>
    <xf numFmtId="37" fontId="26" fillId="18" borderId="25" xfId="0" applyNumberFormat="1" applyFont="1" applyFill="1" applyBorder="1" applyAlignment="1" applyProtection="1">
      <alignment horizontal="right" vertical="center" wrapText="1"/>
      <protection locked="0"/>
    </xf>
    <xf numFmtId="0" fontId="33" fillId="3" borderId="0" xfId="0" applyFont="1" applyFill="1" applyAlignment="1">
      <alignment vertical="center"/>
    </xf>
    <xf numFmtId="0" fontId="25" fillId="3" borderId="5" xfId="1" applyFont="1" applyFill="1" applyBorder="1" applyAlignment="1">
      <alignment vertical="center"/>
    </xf>
    <xf numFmtId="0" fontId="25" fillId="3" borderId="0" xfId="1" applyFont="1" applyFill="1" applyAlignment="1">
      <alignment vertical="center"/>
    </xf>
    <xf numFmtId="0" fontId="26" fillId="3" borderId="0" xfId="1" applyFont="1" applyFill="1" applyAlignment="1">
      <alignment vertical="center"/>
    </xf>
    <xf numFmtId="0" fontId="12" fillId="3" borderId="0" xfId="17" applyFont="1" applyFill="1" applyBorder="1" applyAlignment="1">
      <alignment vertical="center"/>
    </xf>
    <xf numFmtId="0" fontId="18" fillId="3" borderId="8" xfId="12" applyFont="1" applyFill="1" applyBorder="1" applyAlignment="1">
      <alignment horizontal="center"/>
    </xf>
    <xf numFmtId="0" fontId="18" fillId="3" borderId="8" xfId="12" applyFont="1" applyFill="1" applyBorder="1"/>
    <xf numFmtId="0" fontId="30" fillId="0" borderId="0" xfId="0" applyFont="1" applyAlignment="1">
      <alignment wrapText="1"/>
    </xf>
    <xf numFmtId="0" fontId="32" fillId="0" borderId="0" xfId="0" applyFont="1" applyAlignment="1">
      <alignment wrapText="1"/>
    </xf>
    <xf numFmtId="0" fontId="32" fillId="0" borderId="0" xfId="0" applyFont="1"/>
    <xf numFmtId="0" fontId="30" fillId="7" borderId="9" xfId="0" applyFont="1" applyFill="1" applyBorder="1" applyAlignment="1">
      <alignment horizontal="center" vertical="center" wrapText="1"/>
    </xf>
    <xf numFmtId="4" fontId="25" fillId="7" borderId="13" xfId="0" applyNumberFormat="1" applyFont="1" applyFill="1" applyBorder="1" applyAlignment="1">
      <alignment horizontal="center" vertical="center" wrapText="1"/>
    </xf>
    <xf numFmtId="49" fontId="30" fillId="3" borderId="9" xfId="0" applyNumberFormat="1" applyFont="1" applyFill="1" applyBorder="1" applyAlignment="1">
      <alignment horizontal="center" vertical="center"/>
    </xf>
    <xf numFmtId="49" fontId="30" fillId="3" borderId="9" xfId="0" applyNumberFormat="1" applyFont="1" applyFill="1" applyBorder="1" applyAlignment="1">
      <alignment horizontal="left" vertical="center" wrapText="1"/>
    </xf>
    <xf numFmtId="49" fontId="30" fillId="3" borderId="9" xfId="15" applyNumberFormat="1" applyFont="1" applyFill="1" applyBorder="1" applyAlignment="1">
      <alignment horizontal="center" vertical="center" wrapText="1"/>
    </xf>
    <xf numFmtId="0" fontId="30" fillId="0" borderId="0" xfId="0" applyFont="1"/>
    <xf numFmtId="49" fontId="28" fillId="3" borderId="9" xfId="0" applyNumberFormat="1" applyFont="1" applyFill="1" applyBorder="1" applyAlignment="1">
      <alignment horizontal="center" vertical="center"/>
    </xf>
    <xf numFmtId="49" fontId="28" fillId="3" borderId="9" xfId="0" applyNumberFormat="1" applyFont="1" applyFill="1" applyBorder="1" applyAlignment="1">
      <alignment horizontal="left" vertical="center" wrapText="1"/>
    </xf>
    <xf numFmtId="49" fontId="28" fillId="3" borderId="9" xfId="15" applyNumberFormat="1" applyFont="1" applyFill="1" applyBorder="1" applyAlignment="1">
      <alignment horizontal="center" vertical="center" wrapText="1"/>
    </xf>
    <xf numFmtId="43" fontId="26" fillId="3" borderId="12" xfId="7" applyFont="1" applyFill="1" applyBorder="1" applyAlignment="1" applyProtection="1">
      <alignment horizontal="right" vertical="center" wrapText="1"/>
      <protection locked="0"/>
    </xf>
    <xf numFmtId="43" fontId="25" fillId="3" borderId="12" xfId="7" applyFont="1" applyFill="1" applyBorder="1" applyAlignment="1" applyProtection="1">
      <alignment horizontal="right" vertical="center" wrapText="1"/>
      <protection locked="0"/>
    </xf>
    <xf numFmtId="41" fontId="26" fillId="3" borderId="12" xfId="7" applyNumberFormat="1" applyFont="1" applyFill="1" applyBorder="1" applyAlignment="1" applyProtection="1">
      <alignment horizontal="right" vertical="center" wrapText="1"/>
      <protection locked="0"/>
    </xf>
    <xf numFmtId="0" fontId="32" fillId="3" borderId="0" xfId="0" applyFont="1" applyFill="1" applyAlignment="1">
      <alignment vertical="center"/>
    </xf>
    <xf numFmtId="0" fontId="28" fillId="3" borderId="8" xfId="0" applyFont="1" applyFill="1" applyBorder="1" applyAlignment="1">
      <alignment vertical="center"/>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26" fillId="3" borderId="0" xfId="0" applyFont="1" applyFill="1" applyAlignment="1">
      <alignment horizontal="left" vertical="center" wrapText="1"/>
    </xf>
    <xf numFmtId="0" fontId="29" fillId="3" borderId="0" xfId="0" applyFont="1" applyFill="1" applyAlignment="1">
      <alignment horizontal="left" vertical="center" wrapText="1"/>
    </xf>
    <xf numFmtId="0" fontId="25" fillId="3" borderId="0" xfId="0" applyFont="1" applyFill="1" applyAlignment="1">
      <alignment horizontal="right" vertical="center" wrapText="1"/>
    </xf>
    <xf numFmtId="0" fontId="27" fillId="3" borderId="0" xfId="0" applyFont="1" applyFill="1" applyAlignment="1">
      <alignment horizontal="right" vertical="center" wrapText="1"/>
    </xf>
    <xf numFmtId="0" fontId="25" fillId="3" borderId="0" xfId="0" applyFont="1" applyFill="1" applyAlignment="1">
      <alignment horizontal="center" vertical="center" wrapText="1"/>
    </xf>
    <xf numFmtId="0" fontId="27" fillId="3" borderId="0" xfId="0" applyFont="1" applyFill="1" applyAlignment="1">
      <alignment horizontal="center" vertical="center"/>
    </xf>
    <xf numFmtId="0" fontId="28" fillId="3" borderId="0" xfId="0" applyFont="1" applyFill="1" applyAlignment="1">
      <alignment horizontal="left" vertical="center"/>
    </xf>
    <xf numFmtId="0" fontId="30" fillId="3" borderId="0" xfId="0" applyFont="1" applyFill="1" applyAlignment="1">
      <alignment horizontal="right" vertical="center" wrapText="1"/>
    </xf>
    <xf numFmtId="0" fontId="32" fillId="3" borderId="0" xfId="0" applyFont="1" applyFill="1" applyAlignment="1">
      <alignment horizontal="right" vertical="center" wrapText="1"/>
    </xf>
    <xf numFmtId="0" fontId="30" fillId="3" borderId="0" xfId="0" applyFont="1" applyFill="1" applyAlignment="1">
      <alignment horizontal="center" vertical="center" wrapText="1"/>
    </xf>
    <xf numFmtId="0" fontId="32" fillId="3" borderId="0" xfId="0" applyFont="1" applyFill="1" applyAlignment="1">
      <alignment horizontal="center" vertical="center"/>
    </xf>
    <xf numFmtId="0" fontId="29" fillId="3" borderId="0" xfId="0" applyFont="1" applyFill="1" applyAlignment="1">
      <alignment horizontal="left" vertical="center"/>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28" fillId="3" borderId="0" xfId="0" applyFont="1" applyFill="1" applyAlignment="1">
      <alignment horizontal="left" vertical="center" wrapText="1"/>
    </xf>
    <xf numFmtId="49" fontId="28" fillId="3" borderId="9" xfId="0" applyNumberFormat="1" applyFont="1" applyFill="1" applyBorder="1" applyAlignment="1">
      <alignment horizontal="center" vertical="center"/>
    </xf>
    <xf numFmtId="49" fontId="28" fillId="3" borderId="10" xfId="0" applyNumberFormat="1" applyFont="1" applyFill="1" applyBorder="1" applyAlignment="1">
      <alignment horizontal="center" vertical="center"/>
    </xf>
    <xf numFmtId="49" fontId="28" fillId="3" borderId="14" xfId="0" applyNumberFormat="1" applyFont="1" applyFill="1" applyBorder="1" applyAlignment="1">
      <alignment horizontal="center" vertical="center"/>
    </xf>
    <xf numFmtId="49" fontId="28"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2"/>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2"/>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1"/>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1" sqref="D11:I11"/>
    </sheetView>
  </sheetViews>
  <sheetFormatPr defaultColWidth="9.1796875" defaultRowHeight="12.5"/>
  <cols>
    <col min="1" max="2" width="9.1796875" style="23"/>
    <col min="3" max="3" width="30.1796875" style="23" customWidth="1"/>
    <col min="4" max="4" width="30.81640625" style="23" customWidth="1"/>
    <col min="5" max="5" width="21.1796875" style="23" customWidth="1"/>
    <col min="6" max="9" width="9.1796875" style="23"/>
    <col min="10" max="10" width="11.81640625" style="23" customWidth="1"/>
    <col min="11" max="11" width="15" style="23" customWidth="1"/>
    <col min="12" max="16384" width="9.1796875" style="23"/>
  </cols>
  <sheetData>
    <row r="1" spans="1:11">
      <c r="A1" s="22" t="s">
        <v>0</v>
      </c>
      <c r="C1" s="158" t="s">
        <v>750</v>
      </c>
      <c r="D1" s="159"/>
    </row>
    <row r="2" spans="1:11">
      <c r="C2" s="24" t="s">
        <v>751</v>
      </c>
      <c r="D2" s="25"/>
    </row>
    <row r="3" spans="1:11">
      <c r="D3" s="26"/>
    </row>
    <row r="4" spans="1:11">
      <c r="A4" s="22" t="s">
        <v>1</v>
      </c>
      <c r="D4" s="26"/>
    </row>
    <row r="5" spans="1:11" ht="15" customHeight="1">
      <c r="C5" s="27" t="s">
        <v>2</v>
      </c>
      <c r="D5" s="161" t="s">
        <v>752</v>
      </c>
      <c r="E5" s="161"/>
      <c r="F5" s="161"/>
      <c r="G5" s="161"/>
      <c r="H5" s="161"/>
      <c r="I5" s="161"/>
    </row>
    <row r="6" spans="1:11">
      <c r="C6" s="21" t="s">
        <v>15</v>
      </c>
      <c r="D6" s="160" t="s">
        <v>753</v>
      </c>
      <c r="E6" s="160"/>
      <c r="F6" s="160"/>
      <c r="G6" s="160"/>
      <c r="H6" s="160"/>
      <c r="I6" s="160"/>
    </row>
    <row r="7" spans="1:11">
      <c r="C7" s="28" t="s">
        <v>3</v>
      </c>
      <c r="D7" s="161" t="s">
        <v>754</v>
      </c>
      <c r="E7" s="161"/>
      <c r="F7" s="161"/>
      <c r="G7" s="161"/>
      <c r="H7" s="161"/>
      <c r="I7" s="161"/>
    </row>
    <row r="8" spans="1:11" ht="15" customHeight="1">
      <c r="C8" s="3" t="s">
        <v>4</v>
      </c>
      <c r="D8" s="160" t="s">
        <v>755</v>
      </c>
      <c r="E8" s="160"/>
      <c r="F8" s="160"/>
      <c r="G8" s="160"/>
      <c r="H8" s="160"/>
      <c r="I8" s="160"/>
    </row>
    <row r="9" spans="1:11" ht="15" customHeight="1">
      <c r="C9" s="28" t="s">
        <v>5</v>
      </c>
      <c r="D9" s="161" t="s">
        <v>239</v>
      </c>
      <c r="E9" s="161"/>
      <c r="F9" s="161"/>
      <c r="G9" s="161"/>
      <c r="H9" s="161"/>
      <c r="I9" s="161"/>
    </row>
    <row r="10" spans="1:11" ht="15" customHeight="1">
      <c r="C10" s="29" t="s">
        <v>6</v>
      </c>
      <c r="D10" s="160" t="s">
        <v>767</v>
      </c>
      <c r="E10" s="160"/>
      <c r="F10" s="160"/>
      <c r="G10" s="160"/>
      <c r="H10" s="160"/>
      <c r="I10" s="160"/>
    </row>
    <row r="11" spans="1:11">
      <c r="C11" s="30" t="s">
        <v>7</v>
      </c>
      <c r="D11" s="161" t="s">
        <v>756</v>
      </c>
      <c r="E11" s="161"/>
      <c r="F11" s="161"/>
      <c r="G11" s="161"/>
      <c r="H11" s="161"/>
      <c r="I11" s="161"/>
    </row>
    <row r="12" spans="1:11">
      <c r="C12" s="2" t="s">
        <v>8</v>
      </c>
      <c r="D12" s="160" t="s">
        <v>757</v>
      </c>
      <c r="E12" s="160"/>
      <c r="F12" s="160"/>
      <c r="G12" s="160"/>
      <c r="H12" s="160"/>
      <c r="I12" s="160"/>
    </row>
    <row r="13" spans="1:11">
      <c r="D13" s="26"/>
    </row>
    <row r="14" spans="1:11">
      <c r="A14" s="22" t="s">
        <v>9</v>
      </c>
      <c r="D14" s="26"/>
    </row>
    <row r="15" spans="1:11">
      <c r="D15" s="26"/>
    </row>
    <row r="16" spans="1:11">
      <c r="C16" s="31" t="s">
        <v>10</v>
      </c>
      <c r="D16" s="32"/>
      <c r="F16" s="31" t="s">
        <v>11</v>
      </c>
      <c r="G16" s="33"/>
      <c r="H16" s="33"/>
      <c r="I16" s="33"/>
      <c r="J16" s="33"/>
      <c r="K16" s="34"/>
    </row>
    <row r="17" spans="3:11">
      <c r="C17" s="35" t="s">
        <v>12</v>
      </c>
      <c r="D17" s="36"/>
      <c r="F17" s="35" t="s">
        <v>13</v>
      </c>
      <c r="G17" s="1"/>
      <c r="H17" s="1"/>
      <c r="I17" s="1"/>
      <c r="J17" s="1"/>
      <c r="K17" s="37"/>
    </row>
    <row r="18" spans="3:11">
      <c r="C18" s="38"/>
      <c r="D18" s="36"/>
      <c r="F18" s="38"/>
      <c r="G18" s="1"/>
      <c r="H18" s="1"/>
      <c r="I18" s="1"/>
      <c r="J18" s="1"/>
      <c r="K18" s="37"/>
    </row>
    <row r="19" spans="3:11">
      <c r="C19" s="39" t="s">
        <v>14</v>
      </c>
      <c r="D19" s="36"/>
      <c r="F19" s="39" t="str">
        <f>D5</f>
        <v>Công ty Cổ phần Quản lý Quỹ Đầu tư Dragon Capital Việt Nam</v>
      </c>
      <c r="G19" s="1"/>
      <c r="H19" s="1"/>
      <c r="I19" s="1"/>
      <c r="J19" s="1"/>
      <c r="K19" s="37"/>
    </row>
    <row r="20" spans="3:11">
      <c r="C20" s="39" t="s">
        <v>758</v>
      </c>
      <c r="D20" s="36"/>
      <c r="F20" s="39" t="s">
        <v>759</v>
      </c>
      <c r="G20" s="1"/>
      <c r="H20" s="1"/>
      <c r="I20" s="1"/>
      <c r="J20" s="1"/>
      <c r="K20" s="37"/>
    </row>
    <row r="21" spans="3:11">
      <c r="C21" s="40" t="s">
        <v>760</v>
      </c>
      <c r="D21" s="25"/>
      <c r="F21" s="40" t="s">
        <v>761</v>
      </c>
      <c r="G21" s="41"/>
      <c r="H21" s="41"/>
      <c r="I21" s="41"/>
      <c r="J21" s="41"/>
      <c r="K21" s="42"/>
    </row>
    <row r="22" spans="3:11">
      <c r="D22" s="26"/>
    </row>
    <row r="23" spans="3:11">
      <c r="D23" s="26"/>
    </row>
    <row r="24" spans="3:11">
      <c r="D24" s="26"/>
    </row>
    <row r="25" spans="3:11">
      <c r="D25" s="26"/>
    </row>
    <row r="26" spans="3:11">
      <c r="D26" s="26"/>
    </row>
    <row r="27" spans="3:11">
      <c r="D27" s="26"/>
    </row>
    <row r="28" spans="3:11">
      <c r="D28" s="26"/>
    </row>
    <row r="29" spans="3:11">
      <c r="D29" s="26"/>
    </row>
    <row r="30" spans="3:11">
      <c r="D30" s="26"/>
    </row>
    <row r="31" spans="3:11">
      <c r="D31" s="26"/>
    </row>
    <row r="32" spans="3:11">
      <c r="D32" s="26"/>
    </row>
    <row r="33" spans="4:4">
      <c r="D33" s="26"/>
    </row>
    <row r="34" spans="4:4">
      <c r="D34" s="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70" zoomScaleNormal="100" zoomScaleSheetLayoutView="70" workbookViewId="0">
      <selection activeCell="A105" sqref="A105:XFD107"/>
    </sheetView>
  </sheetViews>
  <sheetFormatPr defaultColWidth="8.7265625" defaultRowHeight="15"/>
  <cols>
    <col min="1" max="1" width="8.7265625" style="65"/>
    <col min="2" max="2" width="44.26953125" style="65" customWidth="1"/>
    <col min="3" max="3" width="10.26953125" style="65" customWidth="1"/>
    <col min="4" max="5" width="41.1796875" style="65" customWidth="1"/>
    <col min="6" max="6" width="37.54296875" style="65" customWidth="1"/>
    <col min="7" max="16384" width="8.7265625" style="65"/>
  </cols>
  <sheetData>
    <row r="1" spans="1:6" s="63" customFormat="1" ht="54.75" customHeight="1">
      <c r="A1" s="164" t="s">
        <v>232</v>
      </c>
      <c r="B1" s="164"/>
      <c r="C1" s="164"/>
      <c r="D1" s="164"/>
      <c r="E1" s="164"/>
      <c r="F1" s="164"/>
    </row>
    <row r="2" spans="1:6" s="63" customFormat="1" ht="50.5" customHeight="1">
      <c r="A2" s="165" t="s">
        <v>233</v>
      </c>
      <c r="B2" s="165"/>
      <c r="C2" s="165"/>
      <c r="D2" s="165"/>
      <c r="E2" s="165"/>
      <c r="F2" s="165"/>
    </row>
    <row r="3" spans="1:6" s="63" customFormat="1">
      <c r="A3" s="166" t="s">
        <v>183</v>
      </c>
      <c r="B3" s="166"/>
      <c r="C3" s="166"/>
      <c r="D3" s="166"/>
      <c r="E3" s="166"/>
      <c r="F3" s="166"/>
    </row>
    <row r="4" spans="1:6" s="63" customFormat="1" ht="32.65" customHeight="1">
      <c r="A4" s="166"/>
      <c r="B4" s="166"/>
      <c r="C4" s="166"/>
      <c r="D4" s="166"/>
      <c r="E4" s="166"/>
      <c r="F4" s="166"/>
    </row>
    <row r="5" spans="1:6" s="63" customFormat="1" ht="16.899999999999999" customHeight="1">
      <c r="A5" s="167" t="str">
        <f>TONGQUAN!C1</f>
        <v>Tại ngày 30 tháng 04 năm 2025
/ As at 30 Apr 2025</v>
      </c>
      <c r="B5" s="167"/>
      <c r="C5" s="167"/>
      <c r="D5" s="167"/>
      <c r="E5" s="167"/>
      <c r="F5" s="167"/>
    </row>
    <row r="6" spans="1:6">
      <c r="A6" s="64"/>
      <c r="B6" s="64"/>
      <c r="C6" s="64"/>
      <c r="D6" s="64"/>
      <c r="E6" s="64"/>
      <c r="F6" s="64"/>
    </row>
    <row r="7" spans="1:6" ht="16.899999999999999" customHeight="1">
      <c r="A7" s="163" t="s">
        <v>2</v>
      </c>
      <c r="B7" s="163"/>
      <c r="C7" s="163" t="str">
        <f>TONGQUAN!D5</f>
        <v>Công ty Cổ phần Quản lý Quỹ Đầu tư Dragon Capital Việt Nam</v>
      </c>
      <c r="D7" s="163"/>
      <c r="E7" s="163"/>
      <c r="F7" s="163"/>
    </row>
    <row r="8" spans="1:6" s="63" customFormat="1" ht="16.899999999999999" customHeight="1">
      <c r="A8" s="162" t="s">
        <v>15</v>
      </c>
      <c r="B8" s="162"/>
      <c r="C8" s="162" t="str">
        <f>TONGQUAN!D6</f>
        <v>Dragon Capital Vietfund Management Joint Stock Company</v>
      </c>
      <c r="D8" s="162"/>
      <c r="E8" s="162"/>
      <c r="F8" s="162"/>
    </row>
    <row r="9" spans="1:6" ht="16.899999999999999" customHeight="1">
      <c r="A9" s="163" t="s">
        <v>3</v>
      </c>
      <c r="B9" s="163"/>
      <c r="C9" s="163" t="str">
        <f>TONGQUAN!D7</f>
        <v>Ngân hàng TNHH Một thành viên Standard Chartered (Việt Nam)</v>
      </c>
      <c r="D9" s="163"/>
      <c r="E9" s="163"/>
      <c r="F9" s="163"/>
    </row>
    <row r="10" spans="1:6" s="63" customFormat="1" ht="16.899999999999999" customHeight="1">
      <c r="A10" s="162" t="s">
        <v>4</v>
      </c>
      <c r="B10" s="162"/>
      <c r="C10" s="162" t="str">
        <f>TONGQUAN!D8</f>
        <v>Standard Chartered Bank (Vietnam) Limited</v>
      </c>
      <c r="D10" s="162"/>
      <c r="E10" s="162"/>
      <c r="F10" s="162"/>
    </row>
    <row r="11" spans="1:6" ht="16.899999999999999" customHeight="1">
      <c r="A11" s="163" t="s">
        <v>5</v>
      </c>
      <c r="B11" s="163"/>
      <c r="C11" s="163" t="str">
        <f>TONGQUAN!D9</f>
        <v>Quỹ Đầu tư Trái phiếu DC</v>
      </c>
      <c r="D11" s="163"/>
      <c r="E11" s="163"/>
      <c r="F11" s="163"/>
    </row>
    <row r="12" spans="1:6" s="63" customFormat="1" ht="16.899999999999999" customHeight="1">
      <c r="A12" s="162" t="s">
        <v>6</v>
      </c>
      <c r="B12" s="162"/>
      <c r="C12" s="162" t="str">
        <f>TONGQUAN!D10</f>
        <v>DC Bond Fund (DCBF)</v>
      </c>
      <c r="D12" s="162"/>
      <c r="E12" s="162"/>
      <c r="F12" s="162"/>
    </row>
    <row r="13" spans="1:6" ht="16.899999999999999" customHeight="1">
      <c r="A13" s="163" t="s">
        <v>7</v>
      </c>
      <c r="B13" s="163"/>
      <c r="C13" s="163" t="str">
        <f>TONGQUAN!D11</f>
        <v>Ngày 05 tháng 05 năm 2025</v>
      </c>
      <c r="D13" s="163"/>
      <c r="E13" s="163"/>
      <c r="F13" s="163"/>
    </row>
    <row r="14" spans="1:6" s="63" customFormat="1" ht="16.899999999999999" customHeight="1">
      <c r="A14" s="162" t="s">
        <v>8</v>
      </c>
      <c r="B14" s="162"/>
      <c r="C14" s="162" t="str">
        <f>TONGQUAN!D12</f>
        <v>05 May 2025</v>
      </c>
      <c r="D14" s="162"/>
      <c r="E14" s="162"/>
      <c r="F14" s="162"/>
    </row>
    <row r="15" spans="1:6" s="63" customFormat="1" ht="7.5" customHeight="1">
      <c r="A15" s="66"/>
      <c r="B15" s="66"/>
      <c r="C15" s="66"/>
      <c r="D15" s="66"/>
      <c r="E15" s="66"/>
      <c r="F15" s="66"/>
    </row>
    <row r="16" spans="1:6" s="63" customFormat="1" ht="16.899999999999999" customHeight="1">
      <c r="A16" s="67" t="s">
        <v>230</v>
      </c>
      <c r="B16" s="68" t="s">
        <v>231</v>
      </c>
      <c r="C16" s="66"/>
      <c r="D16" s="66"/>
      <c r="E16" s="66"/>
      <c r="F16" s="66"/>
    </row>
    <row r="17" spans="1:6" s="63" customFormat="1" ht="16.899999999999999" customHeight="1">
      <c r="A17" s="69" t="s">
        <v>16</v>
      </c>
      <c r="B17" s="70" t="s">
        <v>184</v>
      </c>
      <c r="C17" s="66"/>
      <c r="D17" s="66"/>
      <c r="E17" s="66"/>
      <c r="F17" s="66"/>
    </row>
    <row r="18" spans="1:6" s="63" customFormat="1" ht="50.65" customHeight="1">
      <c r="A18" s="71" t="s">
        <v>17</v>
      </c>
      <c r="B18" s="71" t="s">
        <v>18</v>
      </c>
      <c r="C18" s="71" t="s">
        <v>19</v>
      </c>
      <c r="D18" s="72" t="s">
        <v>762</v>
      </c>
      <c r="E18" s="72" t="s">
        <v>763</v>
      </c>
      <c r="F18" s="73" t="s">
        <v>20</v>
      </c>
    </row>
    <row r="19" spans="1:6" ht="39" customHeight="1">
      <c r="A19" s="74" t="s">
        <v>441</v>
      </c>
      <c r="B19" s="75" t="s">
        <v>442</v>
      </c>
      <c r="C19" s="74" t="s">
        <v>443</v>
      </c>
      <c r="D19" s="76"/>
      <c r="E19" s="76"/>
      <c r="F19" s="77"/>
    </row>
    <row r="20" spans="1:6" ht="39" customHeight="1">
      <c r="A20" s="78" t="s">
        <v>444</v>
      </c>
      <c r="B20" s="79" t="s">
        <v>445</v>
      </c>
      <c r="C20" s="78" t="s">
        <v>446</v>
      </c>
      <c r="D20" s="80">
        <v>188378281284</v>
      </c>
      <c r="E20" s="80">
        <v>201221387493</v>
      </c>
      <c r="F20" s="81">
        <v>0.90422130925070499</v>
      </c>
    </row>
    <row r="21" spans="1:6" ht="39" customHeight="1">
      <c r="A21" s="78" t="s">
        <v>447</v>
      </c>
      <c r="B21" s="79" t="s">
        <v>448</v>
      </c>
      <c r="C21" s="78" t="s">
        <v>449</v>
      </c>
      <c r="D21" s="80"/>
      <c r="E21" s="80"/>
      <c r="F21" s="81"/>
    </row>
    <row r="22" spans="1:6" ht="39" customHeight="1">
      <c r="A22" s="78" t="s">
        <v>450</v>
      </c>
      <c r="B22" s="79" t="s">
        <v>451</v>
      </c>
      <c r="C22" s="78" t="s">
        <v>452</v>
      </c>
      <c r="D22" s="80" t="s">
        <v>453</v>
      </c>
      <c r="E22" s="80" t="s">
        <v>454</v>
      </c>
      <c r="F22" s="81" t="s">
        <v>455</v>
      </c>
    </row>
    <row r="23" spans="1:6" ht="39" customHeight="1">
      <c r="A23" s="78" t="s">
        <v>456</v>
      </c>
      <c r="B23" s="79" t="s">
        <v>457</v>
      </c>
      <c r="C23" s="78" t="s">
        <v>458</v>
      </c>
      <c r="D23" s="80">
        <v>188378281284</v>
      </c>
      <c r="E23" s="80">
        <v>201221387493</v>
      </c>
      <c r="F23" s="81">
        <v>0.90422130925070499</v>
      </c>
    </row>
    <row r="24" spans="1:6" ht="39" customHeight="1">
      <c r="A24" s="78" t="s">
        <v>459</v>
      </c>
      <c r="B24" s="79" t="s">
        <v>460</v>
      </c>
      <c r="C24" s="78" t="s">
        <v>461</v>
      </c>
      <c r="D24" s="80" t="s">
        <v>462</v>
      </c>
      <c r="E24" s="80" t="s">
        <v>463</v>
      </c>
      <c r="F24" s="81" t="s">
        <v>464</v>
      </c>
    </row>
    <row r="25" spans="1:6" ht="55" customHeight="1">
      <c r="A25" s="78" t="s">
        <v>465</v>
      </c>
      <c r="B25" s="79" t="s">
        <v>466</v>
      </c>
      <c r="C25" s="78" t="s">
        <v>467</v>
      </c>
      <c r="D25" s="80">
        <v>8327834663</v>
      </c>
      <c r="E25" s="80">
        <v>12095630007</v>
      </c>
      <c r="F25" s="81">
        <v>0.38328571696476998</v>
      </c>
    </row>
    <row r="26" spans="1:6" ht="77" customHeight="1">
      <c r="A26" s="78" t="s">
        <v>468</v>
      </c>
      <c r="B26" s="79" t="s">
        <v>469</v>
      </c>
      <c r="C26" s="78" t="s">
        <v>470</v>
      </c>
      <c r="D26" s="80">
        <v>13794073</v>
      </c>
      <c r="E26" s="80">
        <v>4391621</v>
      </c>
      <c r="F26" s="81">
        <v>3.14139004293484</v>
      </c>
    </row>
    <row r="27" spans="1:6" ht="42" customHeight="1">
      <c r="A27" s="78" t="s">
        <v>471</v>
      </c>
      <c r="B27" s="79" t="s">
        <v>472</v>
      </c>
      <c r="C27" s="78" t="s">
        <v>473</v>
      </c>
      <c r="D27" s="80">
        <v>5536652548</v>
      </c>
      <c r="E27" s="80">
        <v>26121365865</v>
      </c>
      <c r="F27" s="81">
        <v>10.443037498176301</v>
      </c>
    </row>
    <row r="28" spans="1:6" ht="59.5" customHeight="1">
      <c r="A28" s="78" t="s">
        <v>474</v>
      </c>
      <c r="B28" s="79" t="s">
        <v>475</v>
      </c>
      <c r="C28" s="78" t="s">
        <v>476</v>
      </c>
      <c r="D28" s="80">
        <v>0</v>
      </c>
      <c r="E28" s="80">
        <v>0</v>
      </c>
      <c r="F28" s="81"/>
    </row>
    <row r="29" spans="1:6" ht="39" customHeight="1">
      <c r="A29" s="78" t="s">
        <v>477</v>
      </c>
      <c r="B29" s="79" t="s">
        <v>478</v>
      </c>
      <c r="C29" s="78" t="s">
        <v>479</v>
      </c>
      <c r="D29" s="80">
        <v>174500000000</v>
      </c>
      <c r="E29" s="80">
        <v>163000000000</v>
      </c>
      <c r="F29" s="81">
        <v>0.93781910033858196</v>
      </c>
    </row>
    <row r="30" spans="1:6" ht="39" customHeight="1">
      <c r="A30" s="78" t="s">
        <v>480</v>
      </c>
      <c r="B30" s="79" t="s">
        <v>481</v>
      </c>
      <c r="C30" s="78" t="s">
        <v>482</v>
      </c>
      <c r="D30" s="80">
        <v>1355153282293</v>
      </c>
      <c r="E30" s="80">
        <v>1402042239455</v>
      </c>
      <c r="F30" s="81">
        <v>1.49775879938986</v>
      </c>
    </row>
    <row r="31" spans="1:6" ht="39" customHeight="1">
      <c r="A31" s="78" t="s">
        <v>483</v>
      </c>
      <c r="B31" s="79" t="s">
        <v>484</v>
      </c>
      <c r="C31" s="78" t="s">
        <v>485</v>
      </c>
      <c r="D31" s="80" t="s">
        <v>486</v>
      </c>
      <c r="E31" s="80" t="s">
        <v>487</v>
      </c>
      <c r="F31" s="81" t="s">
        <v>488</v>
      </c>
    </row>
    <row r="32" spans="1:6" ht="39" customHeight="1">
      <c r="A32" s="78" t="s">
        <v>489</v>
      </c>
      <c r="B32" s="79" t="s">
        <v>490</v>
      </c>
      <c r="C32" s="78" t="s">
        <v>491</v>
      </c>
      <c r="D32" s="80">
        <v>0</v>
      </c>
      <c r="E32" s="80">
        <v>0</v>
      </c>
      <c r="F32" s="81"/>
    </row>
    <row r="33" spans="1:6" ht="39" customHeight="1">
      <c r="A33" s="78" t="s">
        <v>492</v>
      </c>
      <c r="B33" s="79" t="s">
        <v>493</v>
      </c>
      <c r="C33" s="78" t="s">
        <v>494</v>
      </c>
      <c r="D33" s="80">
        <v>0</v>
      </c>
      <c r="E33" s="80">
        <v>0</v>
      </c>
      <c r="F33" s="81"/>
    </row>
    <row r="34" spans="1:6" ht="39" customHeight="1">
      <c r="A34" s="78" t="s">
        <v>495</v>
      </c>
      <c r="B34" s="79" t="s">
        <v>496</v>
      </c>
      <c r="C34" s="78" t="s">
        <v>497</v>
      </c>
      <c r="D34" s="80">
        <v>1038549117909</v>
      </c>
      <c r="E34" s="80">
        <v>959438075071</v>
      </c>
      <c r="F34" s="81">
        <v>1.893533990775</v>
      </c>
    </row>
    <row r="35" spans="1:6" ht="39" customHeight="1">
      <c r="A35" s="78" t="s">
        <v>498</v>
      </c>
      <c r="B35" s="79" t="s">
        <v>499</v>
      </c>
      <c r="C35" s="78" t="s">
        <v>500</v>
      </c>
      <c r="D35" s="80">
        <v>225000000000</v>
      </c>
      <c r="E35" s="80">
        <v>315000000000</v>
      </c>
      <c r="F35" s="81">
        <v>0.91550477358089799</v>
      </c>
    </row>
    <row r="36" spans="1:6" ht="61.5" customHeight="1">
      <c r="A36" s="78" t="s">
        <v>501</v>
      </c>
      <c r="B36" s="79" t="s">
        <v>502</v>
      </c>
      <c r="C36" s="78" t="s">
        <v>503</v>
      </c>
      <c r="D36" s="80">
        <v>91604164384</v>
      </c>
      <c r="E36" s="80">
        <v>127604164384</v>
      </c>
      <c r="F36" s="81">
        <v>0.82862202066033497</v>
      </c>
    </row>
    <row r="37" spans="1:6" ht="39" customHeight="1">
      <c r="A37" s="78" t="s">
        <v>504</v>
      </c>
      <c r="B37" s="79" t="s">
        <v>505</v>
      </c>
      <c r="C37" s="78" t="s">
        <v>506</v>
      </c>
      <c r="D37" s="80">
        <v>0</v>
      </c>
      <c r="E37" s="80">
        <v>0</v>
      </c>
      <c r="F37" s="81"/>
    </row>
    <row r="38" spans="1:6" ht="39" customHeight="1">
      <c r="A38" s="78" t="s">
        <v>507</v>
      </c>
      <c r="B38" s="79" t="s">
        <v>508</v>
      </c>
      <c r="C38" s="78" t="s">
        <v>509</v>
      </c>
      <c r="D38" s="80">
        <v>0</v>
      </c>
      <c r="E38" s="80">
        <v>0</v>
      </c>
      <c r="F38" s="81"/>
    </row>
    <row r="39" spans="1:6" ht="39" customHeight="1">
      <c r="A39" s="78" t="s">
        <v>510</v>
      </c>
      <c r="B39" s="79" t="s">
        <v>511</v>
      </c>
      <c r="C39" s="78" t="s">
        <v>512</v>
      </c>
      <c r="D39" s="80">
        <v>0</v>
      </c>
      <c r="E39" s="80">
        <v>0</v>
      </c>
      <c r="F39" s="81"/>
    </row>
    <row r="40" spans="1:6" ht="39" customHeight="1">
      <c r="A40" s="78" t="s">
        <v>513</v>
      </c>
      <c r="B40" s="79" t="s">
        <v>514</v>
      </c>
      <c r="C40" s="78" t="s">
        <v>515</v>
      </c>
      <c r="D40" s="80">
        <v>0</v>
      </c>
      <c r="E40" s="80">
        <v>0</v>
      </c>
      <c r="F40" s="81"/>
    </row>
    <row r="41" spans="1:6" ht="75.5" customHeight="1">
      <c r="A41" s="78" t="s">
        <v>516</v>
      </c>
      <c r="B41" s="79" t="s">
        <v>517</v>
      </c>
      <c r="C41" s="78" t="s">
        <v>518</v>
      </c>
      <c r="D41" s="80">
        <v>0</v>
      </c>
      <c r="E41" s="80">
        <v>0</v>
      </c>
      <c r="F41" s="81"/>
    </row>
    <row r="42" spans="1:6" ht="39" customHeight="1">
      <c r="A42" s="78" t="s">
        <v>519</v>
      </c>
      <c r="B42" s="79" t="s">
        <v>520</v>
      </c>
      <c r="C42" s="78" t="s">
        <v>521</v>
      </c>
      <c r="D42" s="80" t="s">
        <v>522</v>
      </c>
      <c r="E42" s="80" t="s">
        <v>523</v>
      </c>
      <c r="F42" s="81" t="s">
        <v>524</v>
      </c>
    </row>
    <row r="43" spans="1:6" ht="39" customHeight="1">
      <c r="A43" s="78" t="s">
        <v>525</v>
      </c>
      <c r="B43" s="79" t="s">
        <v>526</v>
      </c>
      <c r="C43" s="78" t="s">
        <v>527</v>
      </c>
      <c r="D43" s="80">
        <v>21388543708</v>
      </c>
      <c r="E43" s="80">
        <v>15658891328</v>
      </c>
      <c r="F43" s="81">
        <v>2.20428597919642</v>
      </c>
    </row>
    <row r="44" spans="1:6" ht="39" customHeight="1">
      <c r="A44" s="78" t="s">
        <v>528</v>
      </c>
      <c r="B44" s="79" t="s">
        <v>529</v>
      </c>
      <c r="C44" s="78" t="s">
        <v>530</v>
      </c>
      <c r="D44" s="80" t="s">
        <v>531</v>
      </c>
      <c r="E44" s="80" t="s">
        <v>532</v>
      </c>
      <c r="F44" s="81" t="s">
        <v>533</v>
      </c>
    </row>
    <row r="45" spans="1:6" ht="44.5" customHeight="1">
      <c r="A45" s="78" t="s">
        <v>534</v>
      </c>
      <c r="B45" s="79" t="s">
        <v>535</v>
      </c>
      <c r="C45" s="78" t="s">
        <v>536</v>
      </c>
      <c r="D45" s="80">
        <v>0</v>
      </c>
      <c r="E45" s="80">
        <v>0</v>
      </c>
      <c r="F45" s="81"/>
    </row>
    <row r="46" spans="1:6" ht="44.5" customHeight="1">
      <c r="A46" s="78" t="s">
        <v>537</v>
      </c>
      <c r="B46" s="79" t="s">
        <v>538</v>
      </c>
      <c r="C46" s="78" t="s">
        <v>539</v>
      </c>
      <c r="D46" s="80">
        <v>21388543708</v>
      </c>
      <c r="E46" s="80">
        <v>15658891328</v>
      </c>
      <c r="F46" s="81">
        <v>2.20428597919642</v>
      </c>
    </row>
    <row r="47" spans="1:6" ht="44.5" customHeight="1">
      <c r="A47" s="78" t="s">
        <v>540</v>
      </c>
      <c r="B47" s="79" t="s">
        <v>541</v>
      </c>
      <c r="C47" s="78" t="s">
        <v>542</v>
      </c>
      <c r="D47" s="80">
        <v>4589647248</v>
      </c>
      <c r="E47" s="80">
        <v>7816640408</v>
      </c>
      <c r="F47" s="81">
        <v>0.57688383646728303</v>
      </c>
    </row>
    <row r="48" spans="1:6" ht="39" customHeight="1">
      <c r="A48" s="78" t="s">
        <v>543</v>
      </c>
      <c r="B48" s="79" t="s">
        <v>544</v>
      </c>
      <c r="C48" s="78" t="s">
        <v>545</v>
      </c>
      <c r="D48" s="80" t="s">
        <v>546</v>
      </c>
      <c r="E48" s="80" t="s">
        <v>547</v>
      </c>
      <c r="F48" s="81" t="s">
        <v>548</v>
      </c>
    </row>
    <row r="49" spans="1:6" ht="47" customHeight="1">
      <c r="A49" s="78" t="s">
        <v>549</v>
      </c>
      <c r="B49" s="79" t="s">
        <v>550</v>
      </c>
      <c r="C49" s="78" t="s">
        <v>551</v>
      </c>
      <c r="D49" s="80">
        <v>1108859576</v>
      </c>
      <c r="E49" s="80">
        <v>1571708900</v>
      </c>
      <c r="F49" s="81">
        <v>0.70302361292225002</v>
      </c>
    </row>
    <row r="50" spans="1:6" ht="53" customHeight="1">
      <c r="A50" s="78" t="s">
        <v>552</v>
      </c>
      <c r="B50" s="79" t="s">
        <v>553</v>
      </c>
      <c r="C50" s="78" t="s">
        <v>554</v>
      </c>
      <c r="D50" s="80">
        <v>3480787672</v>
      </c>
      <c r="E50" s="80">
        <v>6244931508</v>
      </c>
      <c r="F50" s="81">
        <v>0.54569282845187295</v>
      </c>
    </row>
    <row r="51" spans="1:6" ht="54.5" customHeight="1">
      <c r="A51" s="78" t="s">
        <v>555</v>
      </c>
      <c r="B51" s="79" t="s">
        <v>556</v>
      </c>
      <c r="C51" s="78" t="s">
        <v>557</v>
      </c>
      <c r="D51" s="80">
        <v>0</v>
      </c>
      <c r="E51" s="80">
        <v>0</v>
      </c>
      <c r="F51" s="81"/>
    </row>
    <row r="52" spans="1:6" ht="70.5" customHeight="1">
      <c r="A52" s="78" t="s">
        <v>558</v>
      </c>
      <c r="B52" s="79" t="s">
        <v>559</v>
      </c>
      <c r="C52" s="78" t="s">
        <v>560</v>
      </c>
      <c r="D52" s="80">
        <v>0</v>
      </c>
      <c r="E52" s="80">
        <v>0</v>
      </c>
      <c r="F52" s="81"/>
    </row>
    <row r="53" spans="1:6" ht="39" customHeight="1">
      <c r="A53" s="78" t="s">
        <v>561</v>
      </c>
      <c r="B53" s="79" t="s">
        <v>562</v>
      </c>
      <c r="C53" s="78" t="s">
        <v>563</v>
      </c>
      <c r="D53" s="80" t="s">
        <v>564</v>
      </c>
      <c r="E53" s="80" t="s">
        <v>565</v>
      </c>
      <c r="F53" s="81" t="s">
        <v>566</v>
      </c>
    </row>
    <row r="54" spans="1:6" ht="47" customHeight="1">
      <c r="A54" s="78" t="s">
        <v>567</v>
      </c>
      <c r="B54" s="79" t="s">
        <v>568</v>
      </c>
      <c r="C54" s="78" t="s">
        <v>569</v>
      </c>
      <c r="D54" s="80">
        <v>0</v>
      </c>
      <c r="E54" s="80">
        <v>52115000000</v>
      </c>
      <c r="F54" s="81"/>
    </row>
    <row r="55" spans="1:6" ht="39" customHeight="1">
      <c r="A55" s="78" t="s">
        <v>570</v>
      </c>
      <c r="B55" s="79" t="s">
        <v>571</v>
      </c>
      <c r="C55" s="78" t="s">
        <v>572</v>
      </c>
      <c r="D55" s="80" t="s">
        <v>573</v>
      </c>
      <c r="E55" s="80" t="s">
        <v>574</v>
      </c>
      <c r="F55" s="81" t="s">
        <v>575</v>
      </c>
    </row>
    <row r="56" spans="1:6" ht="47.5" customHeight="1">
      <c r="A56" s="78" t="s">
        <v>576</v>
      </c>
      <c r="B56" s="79" t="s">
        <v>577</v>
      </c>
      <c r="C56" s="78" t="s">
        <v>578</v>
      </c>
      <c r="D56" s="80">
        <v>0</v>
      </c>
      <c r="E56" s="80">
        <v>0</v>
      </c>
      <c r="F56" s="81"/>
    </row>
    <row r="57" spans="1:6" ht="39" customHeight="1">
      <c r="A57" s="78" t="s">
        <v>579</v>
      </c>
      <c r="B57" s="79" t="s">
        <v>580</v>
      </c>
      <c r="C57" s="78" t="s">
        <v>581</v>
      </c>
      <c r="D57" s="80" t="s">
        <v>582</v>
      </c>
      <c r="E57" s="80" t="s">
        <v>583</v>
      </c>
      <c r="F57" s="81" t="s">
        <v>584</v>
      </c>
    </row>
    <row r="58" spans="1:6" ht="39" customHeight="1">
      <c r="A58" s="78" t="s">
        <v>585</v>
      </c>
      <c r="B58" s="79" t="s">
        <v>586</v>
      </c>
      <c r="C58" s="78" t="s">
        <v>587</v>
      </c>
      <c r="D58" s="80">
        <v>0</v>
      </c>
      <c r="E58" s="80">
        <v>0</v>
      </c>
      <c r="F58" s="81"/>
    </row>
    <row r="59" spans="1:6" ht="39" customHeight="1">
      <c r="A59" s="78" t="s">
        <v>588</v>
      </c>
      <c r="B59" s="79" t="s">
        <v>589</v>
      </c>
      <c r="C59" s="78" t="s">
        <v>590</v>
      </c>
      <c r="D59" s="80">
        <v>0</v>
      </c>
      <c r="E59" s="80">
        <v>0</v>
      </c>
      <c r="F59" s="81"/>
    </row>
    <row r="60" spans="1:6" ht="39" customHeight="1">
      <c r="A60" s="78" t="s">
        <v>591</v>
      </c>
      <c r="B60" s="79" t="s">
        <v>592</v>
      </c>
      <c r="C60" s="78" t="s">
        <v>593</v>
      </c>
      <c r="D60" s="80">
        <v>0</v>
      </c>
      <c r="E60" s="80">
        <v>0</v>
      </c>
      <c r="F60" s="81"/>
    </row>
    <row r="61" spans="1:6" ht="39" customHeight="1">
      <c r="A61" s="78" t="s">
        <v>594</v>
      </c>
      <c r="B61" s="79" t="s">
        <v>595</v>
      </c>
      <c r="C61" s="78" t="s">
        <v>596</v>
      </c>
      <c r="D61" s="80">
        <v>46583848</v>
      </c>
      <c r="E61" s="80">
        <v>0</v>
      </c>
      <c r="F61" s="81">
        <v>1.8161344249512701</v>
      </c>
    </row>
    <row r="62" spans="1:6" ht="39" customHeight="1">
      <c r="A62" s="78" t="s">
        <v>597</v>
      </c>
      <c r="B62" s="79" t="s">
        <v>598</v>
      </c>
      <c r="C62" s="78" t="s">
        <v>599</v>
      </c>
      <c r="D62" s="80" t="s">
        <v>600</v>
      </c>
      <c r="E62" s="80" t="s">
        <v>601</v>
      </c>
      <c r="F62" s="81" t="s">
        <v>602</v>
      </c>
    </row>
    <row r="63" spans="1:6" ht="46" customHeight="1">
      <c r="A63" s="74" t="s">
        <v>603</v>
      </c>
      <c r="B63" s="75" t="s">
        <v>604</v>
      </c>
      <c r="C63" s="74" t="s">
        <v>605</v>
      </c>
      <c r="D63" s="76">
        <v>1569556338381</v>
      </c>
      <c r="E63" s="76">
        <v>1678854158684</v>
      </c>
      <c r="F63" s="77">
        <v>1.3880001096899901</v>
      </c>
    </row>
    <row r="64" spans="1:6" ht="39" customHeight="1">
      <c r="A64" s="74" t="s">
        <v>606</v>
      </c>
      <c r="B64" s="75" t="s">
        <v>607</v>
      </c>
      <c r="C64" s="74" t="s">
        <v>608</v>
      </c>
      <c r="D64" s="76"/>
      <c r="E64" s="76"/>
      <c r="F64" s="77"/>
    </row>
    <row r="65" spans="1:6" ht="65.5" customHeight="1">
      <c r="A65" s="78" t="s">
        <v>609</v>
      </c>
      <c r="B65" s="79" t="s">
        <v>610</v>
      </c>
      <c r="C65" s="78" t="s">
        <v>611</v>
      </c>
      <c r="D65" s="80">
        <v>0</v>
      </c>
      <c r="E65" s="80">
        <v>0</v>
      </c>
      <c r="F65" s="81"/>
    </row>
    <row r="66" spans="1:6" ht="39" customHeight="1">
      <c r="A66" s="78" t="s">
        <v>612</v>
      </c>
      <c r="B66" s="79" t="s">
        <v>613</v>
      </c>
      <c r="C66" s="78" t="s">
        <v>614</v>
      </c>
      <c r="D66" s="80" t="s">
        <v>615</v>
      </c>
      <c r="E66" s="80" t="s">
        <v>616</v>
      </c>
      <c r="F66" s="81" t="s">
        <v>617</v>
      </c>
    </row>
    <row r="67" spans="1:6" ht="39" customHeight="1">
      <c r="A67" s="78" t="s">
        <v>618</v>
      </c>
      <c r="B67" s="79" t="s">
        <v>619</v>
      </c>
      <c r="C67" s="78" t="s">
        <v>620</v>
      </c>
      <c r="D67" s="80">
        <v>0</v>
      </c>
      <c r="E67" s="80">
        <v>0</v>
      </c>
      <c r="F67" s="81"/>
    </row>
    <row r="68" spans="1:6" ht="39" customHeight="1">
      <c r="A68" s="78" t="s">
        <v>621</v>
      </c>
      <c r="B68" s="79" t="s">
        <v>622</v>
      </c>
      <c r="C68" s="78" t="s">
        <v>623</v>
      </c>
      <c r="D68" s="80" t="s">
        <v>624</v>
      </c>
      <c r="E68" s="80" t="s">
        <v>625</v>
      </c>
      <c r="F68" s="81" t="s">
        <v>626</v>
      </c>
    </row>
    <row r="69" spans="1:6" ht="39" customHeight="1">
      <c r="A69" s="78" t="s">
        <v>627</v>
      </c>
      <c r="B69" s="79" t="s">
        <v>628</v>
      </c>
      <c r="C69" s="78" t="s">
        <v>629</v>
      </c>
      <c r="D69" s="80">
        <v>31670455563</v>
      </c>
      <c r="E69" s="80">
        <v>97743387709</v>
      </c>
      <c r="F69" s="81">
        <v>1.11862706368078</v>
      </c>
    </row>
    <row r="70" spans="1:6" ht="39" customHeight="1">
      <c r="A70" s="78" t="s">
        <v>630</v>
      </c>
      <c r="B70" s="79" t="s">
        <v>631</v>
      </c>
      <c r="C70" s="78" t="s">
        <v>632</v>
      </c>
      <c r="D70" s="80" t="s">
        <v>633</v>
      </c>
      <c r="E70" s="80" t="s">
        <v>634</v>
      </c>
      <c r="F70" s="81" t="s">
        <v>635</v>
      </c>
    </row>
    <row r="71" spans="1:6" ht="39" customHeight="1">
      <c r="A71" s="78" t="s">
        <v>636</v>
      </c>
      <c r="B71" s="79" t="s">
        <v>637</v>
      </c>
      <c r="C71" s="78" t="s">
        <v>638</v>
      </c>
      <c r="D71" s="80">
        <v>29028569993</v>
      </c>
      <c r="E71" s="80">
        <v>95026628249</v>
      </c>
      <c r="F71" s="81">
        <v>1.08750196835331</v>
      </c>
    </row>
    <row r="72" spans="1:6" ht="57" customHeight="1">
      <c r="A72" s="78" t="s">
        <v>639</v>
      </c>
      <c r="B72" s="79" t="s">
        <v>640</v>
      </c>
      <c r="C72" s="78" t="s">
        <v>641</v>
      </c>
      <c r="D72" s="80">
        <v>8327834663</v>
      </c>
      <c r="E72" s="80">
        <v>12095630007</v>
      </c>
      <c r="F72" s="81">
        <v>0.38328571696476998</v>
      </c>
    </row>
    <row r="73" spans="1:6" ht="56" customHeight="1">
      <c r="A73" s="78" t="s">
        <v>642</v>
      </c>
      <c r="B73" s="79" t="s">
        <v>643</v>
      </c>
      <c r="C73" s="78" t="s">
        <v>644</v>
      </c>
      <c r="D73" s="80">
        <v>0</v>
      </c>
      <c r="E73" s="80">
        <v>0</v>
      </c>
      <c r="F73" s="81"/>
    </row>
    <row r="74" spans="1:6" ht="39" customHeight="1">
      <c r="A74" s="78" t="s">
        <v>645</v>
      </c>
      <c r="B74" s="79" t="s">
        <v>646</v>
      </c>
      <c r="C74" s="78" t="s">
        <v>647</v>
      </c>
      <c r="D74" s="80">
        <v>0</v>
      </c>
      <c r="E74" s="80">
        <v>0</v>
      </c>
      <c r="F74" s="81"/>
    </row>
    <row r="75" spans="1:6" ht="52.5" customHeight="1">
      <c r="A75" s="78" t="s">
        <v>648</v>
      </c>
      <c r="B75" s="79" t="s">
        <v>649</v>
      </c>
      <c r="C75" s="78" t="s">
        <v>650</v>
      </c>
      <c r="D75" s="80">
        <v>20700735330</v>
      </c>
      <c r="E75" s="80">
        <v>82930998242</v>
      </c>
      <c r="F75" s="81">
        <v>4.1689926437795499</v>
      </c>
    </row>
    <row r="76" spans="1:6" ht="56.5" customHeight="1">
      <c r="A76" s="78" t="s">
        <v>651</v>
      </c>
      <c r="B76" s="79" t="s">
        <v>652</v>
      </c>
      <c r="C76" s="78" t="s">
        <v>653</v>
      </c>
      <c r="D76" s="80">
        <v>194968165</v>
      </c>
      <c r="E76" s="80">
        <v>228402896</v>
      </c>
      <c r="F76" s="81">
        <v>12.2445158691914</v>
      </c>
    </row>
    <row r="77" spans="1:6" ht="84.5" customHeight="1">
      <c r="A77" s="78" t="s">
        <v>654</v>
      </c>
      <c r="B77" s="79" t="s">
        <v>655</v>
      </c>
      <c r="C77" s="78" t="s">
        <v>656</v>
      </c>
      <c r="D77" s="80">
        <v>482452402</v>
      </c>
      <c r="E77" s="80">
        <v>343243271</v>
      </c>
      <c r="F77" s="81">
        <v>3.7233545951295901</v>
      </c>
    </row>
    <row r="78" spans="1:6" ht="39" customHeight="1">
      <c r="A78" s="78" t="s">
        <v>657</v>
      </c>
      <c r="B78" s="79" t="s">
        <v>658</v>
      </c>
      <c r="C78" s="78" t="s">
        <v>659</v>
      </c>
      <c r="D78" s="80">
        <v>0</v>
      </c>
      <c r="E78" s="80">
        <v>0</v>
      </c>
      <c r="F78" s="81"/>
    </row>
    <row r="79" spans="1:6" ht="59" customHeight="1">
      <c r="A79" s="78" t="s">
        <v>660</v>
      </c>
      <c r="B79" s="79" t="s">
        <v>661</v>
      </c>
      <c r="C79" s="78" t="s">
        <v>662</v>
      </c>
      <c r="D79" s="80">
        <v>7972603</v>
      </c>
      <c r="E79" s="80">
        <v>7479452</v>
      </c>
      <c r="F79" s="81">
        <v>0.99862167564109805</v>
      </c>
    </row>
    <row r="80" spans="1:6" ht="39" customHeight="1">
      <c r="A80" s="78" t="s">
        <v>663</v>
      </c>
      <c r="B80" s="79" t="s">
        <v>664</v>
      </c>
      <c r="C80" s="78" t="s">
        <v>665</v>
      </c>
      <c r="D80" s="80">
        <v>1519006721</v>
      </c>
      <c r="E80" s="80">
        <v>1648233464</v>
      </c>
      <c r="F80" s="81">
        <v>1.4164501969213299</v>
      </c>
    </row>
    <row r="81" spans="1:6" ht="39" customHeight="1">
      <c r="A81" s="78" t="s">
        <v>666</v>
      </c>
      <c r="B81" s="79" t="s">
        <v>667</v>
      </c>
      <c r="C81" s="78" t="s">
        <v>668</v>
      </c>
      <c r="D81" s="80">
        <v>41772685</v>
      </c>
      <c r="E81" s="80">
        <v>45326421</v>
      </c>
      <c r="F81" s="81">
        <v>1.4164501720315199</v>
      </c>
    </row>
    <row r="82" spans="1:6" ht="39" customHeight="1">
      <c r="A82" s="78" t="s">
        <v>669</v>
      </c>
      <c r="B82" s="79" t="s">
        <v>670</v>
      </c>
      <c r="C82" s="78" t="s">
        <v>671</v>
      </c>
      <c r="D82" s="80">
        <v>55696913</v>
      </c>
      <c r="E82" s="80">
        <v>60435227</v>
      </c>
      <c r="F82" s="81">
        <v>1.41645017556182</v>
      </c>
    </row>
    <row r="83" spans="1:6" ht="39" customHeight="1">
      <c r="A83" s="78" t="s">
        <v>672</v>
      </c>
      <c r="B83" s="79" t="s">
        <v>673</v>
      </c>
      <c r="C83" s="78" t="s">
        <v>674</v>
      </c>
      <c r="D83" s="80">
        <v>192537125</v>
      </c>
      <c r="E83" s="80">
        <v>200354375</v>
      </c>
      <c r="F83" s="81">
        <v>1</v>
      </c>
    </row>
    <row r="84" spans="1:6" ht="39" customHeight="1">
      <c r="A84" s="78" t="s">
        <v>675</v>
      </c>
      <c r="B84" s="79" t="s">
        <v>676</v>
      </c>
      <c r="C84" s="78" t="s">
        <v>677</v>
      </c>
      <c r="D84" s="80">
        <v>192537125</v>
      </c>
      <c r="E84" s="80">
        <v>200354375</v>
      </c>
      <c r="F84" s="81">
        <v>1</v>
      </c>
    </row>
    <row r="85" spans="1:6" ht="53" customHeight="1">
      <c r="A85" s="78" t="s">
        <v>678</v>
      </c>
      <c r="B85" s="79" t="s">
        <v>679</v>
      </c>
      <c r="C85" s="78" t="s">
        <v>680</v>
      </c>
      <c r="D85" s="80">
        <v>0</v>
      </c>
      <c r="E85" s="80">
        <v>0</v>
      </c>
      <c r="F85" s="81"/>
    </row>
    <row r="86" spans="1:6" ht="39" customHeight="1">
      <c r="A86" s="78" t="s">
        <v>681</v>
      </c>
      <c r="B86" s="79" t="s">
        <v>682</v>
      </c>
      <c r="C86" s="78" t="s">
        <v>683</v>
      </c>
      <c r="D86" s="80">
        <v>47079730</v>
      </c>
      <c r="E86" s="80">
        <v>49723476</v>
      </c>
      <c r="F86" s="81">
        <v>1.2725353298161299</v>
      </c>
    </row>
    <row r="87" spans="1:6" ht="39" customHeight="1">
      <c r="A87" s="78" t="s">
        <v>684</v>
      </c>
      <c r="B87" s="79" t="s">
        <v>685</v>
      </c>
      <c r="C87" s="78" t="s">
        <v>686</v>
      </c>
      <c r="D87" s="80">
        <v>45329730</v>
      </c>
      <c r="E87" s="80">
        <v>48073476</v>
      </c>
      <c r="F87" s="81">
        <v>1.26807812370093</v>
      </c>
    </row>
    <row r="88" spans="1:6" ht="39" customHeight="1">
      <c r="A88" s="78" t="s">
        <v>687</v>
      </c>
      <c r="B88" s="79" t="s">
        <v>688</v>
      </c>
      <c r="C88" s="78" t="s">
        <v>689</v>
      </c>
      <c r="D88" s="80">
        <v>1000000</v>
      </c>
      <c r="E88" s="80">
        <v>900000</v>
      </c>
      <c r="F88" s="81">
        <v>2</v>
      </c>
    </row>
    <row r="89" spans="1:6" ht="71.5" customHeight="1">
      <c r="A89" s="78" t="s">
        <v>690</v>
      </c>
      <c r="B89" s="79" t="s">
        <v>691</v>
      </c>
      <c r="C89" s="78" t="s">
        <v>692</v>
      </c>
      <c r="D89" s="80">
        <v>750000</v>
      </c>
      <c r="E89" s="80">
        <v>750000</v>
      </c>
      <c r="F89" s="81">
        <v>1</v>
      </c>
    </row>
    <row r="90" spans="1:6" ht="39" customHeight="1">
      <c r="A90" s="78" t="s">
        <v>693</v>
      </c>
      <c r="B90" s="79" t="s">
        <v>694</v>
      </c>
      <c r="C90" s="78" t="s">
        <v>695</v>
      </c>
      <c r="D90" s="80">
        <v>48098630</v>
      </c>
      <c r="E90" s="80">
        <v>36073973</v>
      </c>
      <c r="F90" s="81">
        <v>0.94472999279863501</v>
      </c>
    </row>
    <row r="91" spans="1:6" ht="39" customHeight="1">
      <c r="A91" s="78" t="s">
        <v>696</v>
      </c>
      <c r="B91" s="79" t="s">
        <v>697</v>
      </c>
      <c r="C91" s="78" t="s">
        <v>698</v>
      </c>
      <c r="D91" s="80">
        <v>27213964</v>
      </c>
      <c r="E91" s="80">
        <v>49387590</v>
      </c>
      <c r="F91" s="81"/>
    </row>
    <row r="92" spans="1:6" ht="39" customHeight="1">
      <c r="A92" s="78" t="s">
        <v>699</v>
      </c>
      <c r="B92" s="79" t="s">
        <v>700</v>
      </c>
      <c r="C92" s="78" t="s">
        <v>701</v>
      </c>
      <c r="D92" s="80">
        <v>0</v>
      </c>
      <c r="E92" s="80">
        <v>0</v>
      </c>
      <c r="F92" s="81"/>
    </row>
    <row r="93" spans="1:6" ht="39" customHeight="1">
      <c r="A93" s="78" t="s">
        <v>702</v>
      </c>
      <c r="B93" s="79" t="s">
        <v>703</v>
      </c>
      <c r="C93" s="78" t="s">
        <v>704</v>
      </c>
      <c r="D93" s="80">
        <v>11000000</v>
      </c>
      <c r="E93" s="80">
        <v>11000000</v>
      </c>
      <c r="F93" s="81">
        <v>1</v>
      </c>
    </row>
    <row r="94" spans="1:6" ht="66.5" customHeight="1">
      <c r="A94" s="78" t="s">
        <v>705</v>
      </c>
      <c r="B94" s="79" t="s">
        <v>706</v>
      </c>
      <c r="C94" s="78" t="s">
        <v>707</v>
      </c>
      <c r="D94" s="80">
        <v>0</v>
      </c>
      <c r="E94" s="80">
        <v>0</v>
      </c>
      <c r="F94" s="81"/>
    </row>
    <row r="95" spans="1:6" ht="70.5" customHeight="1">
      <c r="A95" s="78" t="s">
        <v>708</v>
      </c>
      <c r="B95" s="79" t="s">
        <v>709</v>
      </c>
      <c r="C95" s="78" t="s">
        <v>710</v>
      </c>
      <c r="D95" s="80">
        <v>0</v>
      </c>
      <c r="E95" s="80">
        <v>0</v>
      </c>
      <c r="F95" s="81"/>
    </row>
    <row r="96" spans="1:6" ht="39" customHeight="1">
      <c r="A96" s="78" t="s">
        <v>711</v>
      </c>
      <c r="B96" s="79" t="s">
        <v>712</v>
      </c>
      <c r="C96" s="78" t="s">
        <v>713</v>
      </c>
      <c r="D96" s="80">
        <v>14086632</v>
      </c>
      <c r="E96" s="80">
        <v>37099315</v>
      </c>
      <c r="F96" s="81">
        <v>0.42862814203027</v>
      </c>
    </row>
    <row r="97" spans="1:6" ht="39" customHeight="1">
      <c r="A97" s="78" t="s">
        <v>714</v>
      </c>
      <c r="B97" s="79" t="s">
        <v>715</v>
      </c>
      <c r="C97" s="78" t="s">
        <v>716</v>
      </c>
      <c r="D97" s="80">
        <v>11620879</v>
      </c>
      <c r="E97" s="80">
        <v>35250000</v>
      </c>
      <c r="F97" s="81">
        <v>1.4999999354610001</v>
      </c>
    </row>
    <row r="98" spans="1:6" ht="69.5" customHeight="1">
      <c r="A98" s="78" t="s">
        <v>717</v>
      </c>
      <c r="B98" s="79" t="s">
        <v>718</v>
      </c>
      <c r="C98" s="78" t="s">
        <v>719</v>
      </c>
      <c r="D98" s="80">
        <v>0</v>
      </c>
      <c r="E98" s="80">
        <v>0</v>
      </c>
      <c r="F98" s="81"/>
    </row>
    <row r="99" spans="1:6" ht="68.5" customHeight="1">
      <c r="A99" s="78" t="s">
        <v>720</v>
      </c>
      <c r="B99" s="79" t="s">
        <v>721</v>
      </c>
      <c r="C99" s="78" t="s">
        <v>722</v>
      </c>
      <c r="D99" s="80">
        <v>2465753</v>
      </c>
      <c r="E99" s="80">
        <v>1849315</v>
      </c>
      <c r="F99" s="81">
        <v>0.247081619654997</v>
      </c>
    </row>
    <row r="100" spans="1:6" ht="39" customHeight="1">
      <c r="A100" s="78" t="s">
        <v>723</v>
      </c>
      <c r="B100" s="79" t="s">
        <v>724</v>
      </c>
      <c r="C100" s="78" t="s">
        <v>725</v>
      </c>
      <c r="D100" s="80">
        <v>0</v>
      </c>
      <c r="E100" s="80">
        <v>0</v>
      </c>
      <c r="F100" s="81">
        <v>0</v>
      </c>
    </row>
    <row r="101" spans="1:6" ht="39" customHeight="1">
      <c r="A101" s="78" t="s">
        <v>726</v>
      </c>
      <c r="B101" s="79" t="s">
        <v>727</v>
      </c>
      <c r="C101" s="78" t="s">
        <v>728</v>
      </c>
      <c r="D101" s="80">
        <v>0</v>
      </c>
      <c r="E101" s="80">
        <v>0</v>
      </c>
      <c r="F101" s="81"/>
    </row>
    <row r="102" spans="1:6" ht="39" customHeight="1">
      <c r="A102" s="78" t="s">
        <v>729</v>
      </c>
      <c r="B102" s="79" t="s">
        <v>730</v>
      </c>
      <c r="C102" s="78" t="s">
        <v>731</v>
      </c>
      <c r="D102" s="80">
        <v>0</v>
      </c>
      <c r="E102" s="80">
        <v>0</v>
      </c>
      <c r="F102" s="81"/>
    </row>
    <row r="103" spans="1:6" ht="39" customHeight="1">
      <c r="A103" s="78" t="s">
        <v>732</v>
      </c>
      <c r="B103" s="79" t="s">
        <v>733</v>
      </c>
      <c r="C103" s="78" t="s">
        <v>734</v>
      </c>
      <c r="D103" s="80">
        <v>0</v>
      </c>
      <c r="E103" s="80">
        <v>0</v>
      </c>
      <c r="F103" s="81"/>
    </row>
    <row r="104" spans="1:6" ht="39" customHeight="1">
      <c r="A104" s="78" t="s">
        <v>735</v>
      </c>
      <c r="B104" s="79" t="s">
        <v>736</v>
      </c>
      <c r="C104" s="78" t="s">
        <v>737</v>
      </c>
      <c r="D104" s="80">
        <v>0</v>
      </c>
      <c r="E104" s="80">
        <v>0</v>
      </c>
      <c r="F104" s="81"/>
    </row>
    <row r="105" spans="1:6" ht="39" customHeight="1">
      <c r="A105" s="74" t="s">
        <v>738</v>
      </c>
      <c r="B105" s="75" t="s">
        <v>739</v>
      </c>
      <c r="C105" s="74" t="s">
        <v>740</v>
      </c>
      <c r="D105" s="76">
        <v>31670455563</v>
      </c>
      <c r="E105" s="76">
        <v>97743387709</v>
      </c>
      <c r="F105" s="77">
        <v>1.11862706368078</v>
      </c>
    </row>
    <row r="106" spans="1:6" ht="39" customHeight="1">
      <c r="A106" s="78" t="s">
        <v>741</v>
      </c>
      <c r="B106" s="79" t="s">
        <v>742</v>
      </c>
      <c r="C106" s="78" t="s">
        <v>743</v>
      </c>
      <c r="D106" s="80">
        <v>1537885882818</v>
      </c>
      <c r="E106" s="80">
        <v>1581110770975</v>
      </c>
      <c r="F106" s="81">
        <v>1.3949175841458701</v>
      </c>
    </row>
    <row r="107" spans="1:6" ht="39" customHeight="1">
      <c r="A107" s="78" t="s">
        <v>744</v>
      </c>
      <c r="B107" s="79" t="s">
        <v>745</v>
      </c>
      <c r="C107" s="78" t="s">
        <v>746</v>
      </c>
      <c r="D107" s="82">
        <v>55504193.590000004</v>
      </c>
      <c r="E107" s="82">
        <v>57379884.909999996</v>
      </c>
      <c r="F107" s="81">
        <v>1.30639721459781</v>
      </c>
    </row>
    <row r="108" spans="1:6" ht="39" customHeight="1">
      <c r="A108" s="78" t="s">
        <v>747</v>
      </c>
      <c r="B108" s="79" t="s">
        <v>748</v>
      </c>
      <c r="C108" s="78" t="s">
        <v>749</v>
      </c>
      <c r="D108" s="82">
        <v>27707.56</v>
      </c>
      <c r="E108" s="82">
        <v>27555.14</v>
      </c>
      <c r="F108" s="81">
        <v>1.06775915767926</v>
      </c>
    </row>
    <row r="109" spans="1:6" s="63" customFormat="1" ht="16.899999999999999" customHeight="1"/>
    <row r="110" spans="1:6" s="63" customFormat="1" ht="16.899999999999999" customHeight="1">
      <c r="A110" s="83" t="s">
        <v>10</v>
      </c>
      <c r="B110" s="84"/>
      <c r="C110" s="84"/>
      <c r="E110" s="83" t="s">
        <v>11</v>
      </c>
      <c r="F110" s="84"/>
    </row>
    <row r="111" spans="1:6" s="87" customFormat="1" ht="16.899999999999999" customHeight="1">
      <c r="A111" s="85" t="s">
        <v>12</v>
      </c>
      <c r="B111" s="86"/>
      <c r="C111" s="86"/>
      <c r="E111" s="85" t="s">
        <v>13</v>
      </c>
      <c r="F111" s="86"/>
    </row>
    <row r="112" spans="1:6" s="63" customFormat="1" ht="16.899999999999999" customHeight="1">
      <c r="A112" s="84"/>
      <c r="B112" s="84"/>
      <c r="C112" s="84"/>
      <c r="D112" s="84"/>
      <c r="E112" s="84"/>
      <c r="F112" s="84"/>
    </row>
    <row r="113" spans="1:6" s="63" customFormat="1" ht="16.899999999999999" customHeight="1">
      <c r="A113" s="84"/>
      <c r="B113" s="84"/>
      <c r="C113" s="84"/>
      <c r="D113" s="84"/>
      <c r="E113" s="84"/>
      <c r="F113" s="84"/>
    </row>
    <row r="114" spans="1:6" s="63" customFormat="1" ht="16.899999999999999" customHeight="1">
      <c r="A114" s="84"/>
      <c r="B114" s="84"/>
      <c r="C114" s="84"/>
      <c r="D114" s="84"/>
      <c r="E114" s="84"/>
      <c r="F114" s="84"/>
    </row>
    <row r="115" spans="1:6" s="63" customFormat="1" ht="16.899999999999999" customHeight="1">
      <c r="A115" s="84"/>
      <c r="B115" s="84"/>
      <c r="C115" s="84"/>
      <c r="D115" s="84"/>
      <c r="E115" s="84"/>
      <c r="F115" s="84"/>
    </row>
    <row r="116" spans="1:6" s="63" customFormat="1" ht="16.899999999999999" customHeight="1">
      <c r="A116" s="84"/>
      <c r="B116" s="84"/>
      <c r="C116" s="84"/>
      <c r="D116" s="84"/>
      <c r="E116" s="84"/>
      <c r="F116" s="84"/>
    </row>
    <row r="117" spans="1:6" s="63" customFormat="1" ht="16.899999999999999" customHeight="1">
      <c r="A117" s="84"/>
      <c r="B117" s="84"/>
      <c r="C117" s="84"/>
      <c r="D117" s="84"/>
      <c r="E117" s="84"/>
      <c r="F117" s="84"/>
    </row>
    <row r="118" spans="1:6" s="63" customFormat="1" ht="16.899999999999999" customHeight="1">
      <c r="A118" s="88"/>
      <c r="B118" s="88"/>
      <c r="C118" s="84"/>
      <c r="D118" s="84"/>
      <c r="E118" s="88"/>
      <c r="F118" s="88"/>
    </row>
    <row r="119" spans="1:6" s="63" customFormat="1" ht="16.899999999999999" customHeight="1">
      <c r="A119" s="89" t="s">
        <v>14</v>
      </c>
      <c r="B119" s="90"/>
      <c r="C119" s="84"/>
      <c r="E119" s="89" t="s">
        <v>752</v>
      </c>
      <c r="F119" s="90"/>
    </row>
    <row r="120" spans="1:6" s="63" customFormat="1" ht="16.899999999999999" customHeight="1">
      <c r="A120" s="91" t="s">
        <v>758</v>
      </c>
      <c r="B120" s="84"/>
      <c r="C120" s="84"/>
      <c r="E120" s="91" t="s">
        <v>759</v>
      </c>
      <c r="F120" s="84"/>
    </row>
    <row r="121" spans="1:6" s="63" customFormat="1" ht="16.899999999999999" customHeight="1">
      <c r="A121" s="84" t="s">
        <v>760</v>
      </c>
      <c r="B121" s="84"/>
      <c r="C121" s="84"/>
      <c r="E121" s="84" t="s">
        <v>761</v>
      </c>
      <c r="F121" s="84"/>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84" zoomScale="70" zoomScaleNormal="100" zoomScaleSheetLayoutView="70" workbookViewId="0">
      <selection activeCell="D97" sqref="D97:D107"/>
    </sheetView>
  </sheetViews>
  <sheetFormatPr defaultColWidth="8.7265625" defaultRowHeight="15"/>
  <cols>
    <col min="1" max="1" width="8.7265625" style="64"/>
    <col min="2" max="2" width="46.26953125" style="64" customWidth="1"/>
    <col min="3" max="3" width="10.7265625" style="64" bestFit="1" customWidth="1"/>
    <col min="4" max="6" width="36.81640625" style="64" customWidth="1"/>
    <col min="7" max="16384" width="8.7265625" style="92"/>
  </cols>
  <sheetData>
    <row r="1" spans="1:6" ht="54.75" customHeight="1">
      <c r="A1" s="169" t="s">
        <v>232</v>
      </c>
      <c r="B1" s="169"/>
      <c r="C1" s="169"/>
      <c r="D1" s="169"/>
      <c r="E1" s="169"/>
      <c r="F1" s="169"/>
    </row>
    <row r="2" spans="1:6" ht="54.75" customHeight="1">
      <c r="A2" s="170" t="s">
        <v>233</v>
      </c>
      <c r="B2" s="170"/>
      <c r="C2" s="170"/>
      <c r="D2" s="170"/>
      <c r="E2" s="170"/>
      <c r="F2" s="170"/>
    </row>
    <row r="3" spans="1:6" ht="22.5" customHeight="1">
      <c r="A3" s="171" t="s">
        <v>183</v>
      </c>
      <c r="B3" s="171"/>
      <c r="C3" s="171"/>
      <c r="D3" s="171"/>
      <c r="E3" s="171"/>
      <c r="F3" s="171"/>
    </row>
    <row r="4" spans="1:6" ht="21" customHeight="1">
      <c r="A4" s="171"/>
      <c r="B4" s="171"/>
      <c r="C4" s="171"/>
      <c r="D4" s="171"/>
      <c r="E4" s="171"/>
      <c r="F4" s="171"/>
    </row>
    <row r="5" spans="1:6" ht="16.149999999999999" customHeight="1">
      <c r="A5" s="172" t="str">
        <f>TONGQUAN!C2</f>
        <v>Tháng 04 năm 2025
/ Apr 2025</v>
      </c>
      <c r="B5" s="172"/>
      <c r="C5" s="172"/>
      <c r="D5" s="172"/>
      <c r="E5" s="172"/>
      <c r="F5" s="172"/>
    </row>
    <row r="7" spans="1:6" ht="16.899999999999999" customHeight="1">
      <c r="A7" s="93" t="s">
        <v>2</v>
      </c>
      <c r="C7" s="173" t="str">
        <f>TONGQUAN!D5</f>
        <v>Công ty Cổ phần Quản lý Quỹ Đầu tư Dragon Capital Việt Nam</v>
      </c>
      <c r="D7" s="173"/>
      <c r="E7" s="173"/>
      <c r="F7" s="173"/>
    </row>
    <row r="8" spans="1:6" ht="16.899999999999999" customHeight="1">
      <c r="A8" s="64" t="s">
        <v>15</v>
      </c>
      <c r="C8" s="168" t="str">
        <f>TONGQUAN!D6</f>
        <v>Dragon Capital Vietfund Management Joint Stock Company</v>
      </c>
      <c r="D8" s="168"/>
      <c r="E8" s="168"/>
      <c r="F8" s="168"/>
    </row>
    <row r="9" spans="1:6" ht="16.899999999999999" customHeight="1">
      <c r="A9" s="93" t="s">
        <v>3</v>
      </c>
      <c r="C9" s="173" t="str">
        <f>TONGQUAN!D7</f>
        <v>Ngân hàng TNHH Một thành viên Standard Chartered (Việt Nam)</v>
      </c>
      <c r="D9" s="173"/>
      <c r="E9" s="173"/>
      <c r="F9" s="173"/>
    </row>
    <row r="10" spans="1:6" ht="16.899999999999999" customHeight="1">
      <c r="A10" s="64" t="s">
        <v>4</v>
      </c>
      <c r="C10" s="168" t="str">
        <f>TONGQUAN!D8</f>
        <v>Standard Chartered Bank (Vietnam) Limited</v>
      </c>
      <c r="D10" s="168"/>
      <c r="E10" s="168"/>
      <c r="F10" s="168"/>
    </row>
    <row r="11" spans="1:6" ht="16.899999999999999" customHeight="1">
      <c r="A11" s="93" t="s">
        <v>5</v>
      </c>
      <c r="C11" s="173" t="str">
        <f>TONGQUAN!D9</f>
        <v>Quỹ Đầu tư Trái phiếu DC</v>
      </c>
      <c r="D11" s="173"/>
      <c r="E11" s="173"/>
      <c r="F11" s="173"/>
    </row>
    <row r="12" spans="1:6" ht="16.899999999999999" customHeight="1">
      <c r="A12" s="64" t="s">
        <v>6</v>
      </c>
      <c r="C12" s="168" t="str">
        <f>TONGQUAN!D10</f>
        <v>DC Bond Fund (DCBF)</v>
      </c>
      <c r="D12" s="168"/>
      <c r="E12" s="168"/>
      <c r="F12" s="168"/>
    </row>
    <row r="13" spans="1:6" ht="16.899999999999999" customHeight="1">
      <c r="A13" s="93" t="s">
        <v>7</v>
      </c>
      <c r="C13" s="173" t="str">
        <f>TONGQUAN!D11</f>
        <v>Ngày 05 tháng 05 năm 2025</v>
      </c>
      <c r="D13" s="173"/>
      <c r="E13" s="173"/>
      <c r="F13" s="173"/>
    </row>
    <row r="14" spans="1:6" ht="16.899999999999999" customHeight="1">
      <c r="A14" s="64" t="s">
        <v>8</v>
      </c>
      <c r="C14" s="168" t="str">
        <f>TONGQUAN!D12</f>
        <v>05 May 2025</v>
      </c>
      <c r="D14" s="168"/>
      <c r="E14" s="168"/>
      <c r="F14" s="168"/>
    </row>
    <row r="15" spans="1:6" ht="16.899999999999999" customHeight="1"/>
    <row r="16" spans="1:6" ht="16.899999999999999" customHeight="1">
      <c r="A16" s="67" t="s">
        <v>230</v>
      </c>
      <c r="B16" s="68" t="s">
        <v>231</v>
      </c>
    </row>
    <row r="17" spans="1:6" ht="16.899999999999999" customHeight="1">
      <c r="A17" s="94" t="s">
        <v>21</v>
      </c>
      <c r="B17" s="95" t="s">
        <v>22</v>
      </c>
    </row>
    <row r="18" spans="1:6" ht="55" customHeight="1">
      <c r="A18" s="96" t="s">
        <v>17</v>
      </c>
      <c r="B18" s="96" t="s">
        <v>18</v>
      </c>
      <c r="C18" s="96" t="s">
        <v>19</v>
      </c>
      <c r="D18" s="97" t="s">
        <v>764</v>
      </c>
      <c r="E18" s="97" t="s">
        <v>765</v>
      </c>
      <c r="F18" s="97" t="s">
        <v>236</v>
      </c>
    </row>
    <row r="19" spans="1:6" s="102" customFormat="1" ht="39.5" customHeight="1">
      <c r="A19" s="98" t="s">
        <v>16</v>
      </c>
      <c r="B19" s="99" t="s">
        <v>30</v>
      </c>
      <c r="C19" s="100" t="s">
        <v>44</v>
      </c>
      <c r="D19" s="101">
        <v>10364036260</v>
      </c>
      <c r="E19" s="101">
        <v>11182799148</v>
      </c>
      <c r="F19" s="101">
        <v>43002904157</v>
      </c>
    </row>
    <row r="20" spans="1:6" ht="53" customHeight="1">
      <c r="A20" s="103">
        <v>1</v>
      </c>
      <c r="B20" s="104" t="s">
        <v>187</v>
      </c>
      <c r="C20" s="105" t="s">
        <v>51</v>
      </c>
      <c r="D20" s="106">
        <v>0</v>
      </c>
      <c r="E20" s="106">
        <v>0</v>
      </c>
      <c r="F20" s="106">
        <v>0</v>
      </c>
    </row>
    <row r="21" spans="1:6">
      <c r="A21" s="107" t="s">
        <v>188</v>
      </c>
      <c r="B21" s="107" t="s">
        <v>188</v>
      </c>
      <c r="C21" s="107" t="s">
        <v>188</v>
      </c>
      <c r="D21" s="108" t="s">
        <v>188</v>
      </c>
      <c r="E21" s="108" t="s">
        <v>189</v>
      </c>
      <c r="F21" s="108" t="s">
        <v>189</v>
      </c>
    </row>
    <row r="22" spans="1:6" ht="41.5" customHeight="1">
      <c r="A22" s="103">
        <v>2</v>
      </c>
      <c r="B22" s="104" t="s">
        <v>146</v>
      </c>
      <c r="C22" s="105" t="s">
        <v>45</v>
      </c>
      <c r="D22" s="106">
        <v>7875361286</v>
      </c>
      <c r="E22" s="106">
        <v>8654477776</v>
      </c>
      <c r="F22" s="106">
        <v>32599481588</v>
      </c>
    </row>
    <row r="23" spans="1:6">
      <c r="A23" s="107" t="s">
        <v>188</v>
      </c>
      <c r="B23" s="107" t="s">
        <v>188</v>
      </c>
      <c r="C23" s="107" t="s">
        <v>188</v>
      </c>
      <c r="D23" s="108" t="s">
        <v>188</v>
      </c>
      <c r="E23" s="108" t="s">
        <v>189</v>
      </c>
      <c r="F23" s="108" t="s">
        <v>189</v>
      </c>
    </row>
    <row r="24" spans="1:6" ht="39.5" customHeight="1">
      <c r="A24" s="109"/>
      <c r="B24" s="110" t="s">
        <v>147</v>
      </c>
      <c r="C24" s="111" t="s">
        <v>46</v>
      </c>
      <c r="D24" s="106">
        <v>0</v>
      </c>
      <c r="E24" s="106">
        <v>0</v>
      </c>
      <c r="F24" s="106">
        <v>0</v>
      </c>
    </row>
    <row r="25" spans="1:6" ht="39.5" customHeight="1">
      <c r="A25" s="109"/>
      <c r="B25" s="110" t="s">
        <v>148</v>
      </c>
      <c r="C25" s="111" t="s">
        <v>47</v>
      </c>
      <c r="D25" s="106">
        <v>7875361286</v>
      </c>
      <c r="E25" s="106">
        <v>8654477776</v>
      </c>
      <c r="F25" s="106">
        <v>32599481588</v>
      </c>
    </row>
    <row r="26" spans="1:6" ht="39.5" customHeight="1">
      <c r="A26" s="103">
        <v>3</v>
      </c>
      <c r="B26" s="104" t="s">
        <v>149</v>
      </c>
      <c r="C26" s="105" t="s">
        <v>48</v>
      </c>
      <c r="D26" s="106">
        <v>2488674974</v>
      </c>
      <c r="E26" s="106">
        <v>2528321372</v>
      </c>
      <c r="F26" s="106">
        <v>10403422569</v>
      </c>
    </row>
    <row r="27" spans="1:6">
      <c r="A27" s="107" t="s">
        <v>188</v>
      </c>
      <c r="B27" s="107" t="s">
        <v>188</v>
      </c>
      <c r="C27" s="107" t="s">
        <v>188</v>
      </c>
      <c r="D27" s="108" t="s">
        <v>188</v>
      </c>
      <c r="E27" s="108" t="s">
        <v>188</v>
      </c>
      <c r="F27" s="108" t="s">
        <v>188</v>
      </c>
    </row>
    <row r="28" spans="1:6" ht="41.5" customHeight="1">
      <c r="A28" s="109"/>
      <c r="B28" s="110" t="s">
        <v>145</v>
      </c>
      <c r="C28" s="111" t="s">
        <v>49</v>
      </c>
      <c r="D28" s="106">
        <v>980216070</v>
      </c>
      <c r="E28" s="106">
        <v>756061099</v>
      </c>
      <c r="F28" s="106">
        <v>4168333527</v>
      </c>
    </row>
    <row r="29" spans="1:6" ht="52" customHeight="1">
      <c r="A29" s="109"/>
      <c r="B29" s="110" t="s">
        <v>242</v>
      </c>
      <c r="C29" s="111" t="s">
        <v>50</v>
      </c>
      <c r="D29" s="106">
        <v>1508458904</v>
      </c>
      <c r="E29" s="106">
        <v>1772260273</v>
      </c>
      <c r="F29" s="106">
        <v>6235089042</v>
      </c>
    </row>
    <row r="30" spans="1:6" ht="38" customHeight="1">
      <c r="A30" s="109"/>
      <c r="B30" s="110" t="s">
        <v>164</v>
      </c>
      <c r="C30" s="111" t="s">
        <v>144</v>
      </c>
      <c r="D30" s="106">
        <v>0</v>
      </c>
      <c r="E30" s="106">
        <v>0</v>
      </c>
      <c r="F30" s="106">
        <v>0</v>
      </c>
    </row>
    <row r="31" spans="1:6" s="102" customFormat="1" ht="38" customHeight="1">
      <c r="A31" s="103">
        <v>4</v>
      </c>
      <c r="B31" s="104" t="s">
        <v>150</v>
      </c>
      <c r="C31" s="105" t="s">
        <v>51</v>
      </c>
      <c r="D31" s="106">
        <v>0</v>
      </c>
      <c r="E31" s="106">
        <v>0</v>
      </c>
      <c r="F31" s="106">
        <v>0</v>
      </c>
    </row>
    <row r="32" spans="1:6">
      <c r="A32" s="107" t="s">
        <v>188</v>
      </c>
      <c r="B32" s="107" t="s">
        <v>188</v>
      </c>
      <c r="C32" s="107" t="s">
        <v>188</v>
      </c>
      <c r="D32" s="108" t="s">
        <v>188</v>
      </c>
      <c r="E32" s="108" t="s">
        <v>188</v>
      </c>
      <c r="F32" s="108" t="s">
        <v>188</v>
      </c>
    </row>
    <row r="33" spans="1:6" ht="40.5" customHeight="1">
      <c r="A33" s="112"/>
      <c r="B33" s="113" t="s">
        <v>151</v>
      </c>
      <c r="C33" s="114" t="s">
        <v>52</v>
      </c>
      <c r="D33" s="106">
        <v>0</v>
      </c>
      <c r="E33" s="106">
        <v>0</v>
      </c>
      <c r="F33" s="106">
        <v>0</v>
      </c>
    </row>
    <row r="34" spans="1:6" ht="40.5" customHeight="1">
      <c r="A34" s="112"/>
      <c r="B34" s="113" t="s">
        <v>152</v>
      </c>
      <c r="C34" s="114" t="s">
        <v>53</v>
      </c>
      <c r="D34" s="106">
        <v>0</v>
      </c>
      <c r="E34" s="106">
        <v>0</v>
      </c>
      <c r="F34" s="106">
        <v>0</v>
      </c>
    </row>
    <row r="35" spans="1:6" ht="100" customHeight="1">
      <c r="A35" s="112"/>
      <c r="B35" s="113" t="s">
        <v>31</v>
      </c>
      <c r="C35" s="114" t="s">
        <v>54</v>
      </c>
      <c r="D35" s="106">
        <v>0</v>
      </c>
      <c r="E35" s="106">
        <v>0</v>
      </c>
      <c r="F35" s="106">
        <v>0</v>
      </c>
    </row>
    <row r="36" spans="1:6" ht="38.5" customHeight="1">
      <c r="A36" s="98" t="s">
        <v>21</v>
      </c>
      <c r="B36" s="99" t="s">
        <v>153</v>
      </c>
      <c r="C36" s="100" t="s">
        <v>55</v>
      </c>
      <c r="D36" s="115">
        <v>1745300137</v>
      </c>
      <c r="E36" s="115">
        <v>1899851504</v>
      </c>
      <c r="F36" s="115">
        <v>7331725442</v>
      </c>
    </row>
    <row r="37" spans="1:6" ht="53" customHeight="1">
      <c r="A37" s="103">
        <v>1</v>
      </c>
      <c r="B37" s="104" t="s">
        <v>190</v>
      </c>
      <c r="C37" s="105" t="s">
        <v>56</v>
      </c>
      <c r="D37" s="106">
        <v>1519006721</v>
      </c>
      <c r="E37" s="106">
        <v>1648233464</v>
      </c>
      <c r="F37" s="106">
        <v>6399823284</v>
      </c>
    </row>
    <row r="38" spans="1:6">
      <c r="A38" s="107" t="s">
        <v>188</v>
      </c>
      <c r="B38" s="107" t="s">
        <v>188</v>
      </c>
      <c r="C38" s="107" t="s">
        <v>188</v>
      </c>
      <c r="D38" s="108" t="s">
        <v>188</v>
      </c>
      <c r="E38" s="108" t="s">
        <v>188</v>
      </c>
      <c r="F38" s="108" t="s">
        <v>188</v>
      </c>
    </row>
    <row r="39" spans="1:6" ht="68.5" customHeight="1">
      <c r="A39" s="103">
        <v>2</v>
      </c>
      <c r="B39" s="104" t="s">
        <v>244</v>
      </c>
      <c r="C39" s="105" t="s">
        <v>57</v>
      </c>
      <c r="D39" s="106">
        <v>103685664</v>
      </c>
      <c r="E39" s="106">
        <v>111040578</v>
      </c>
      <c r="F39" s="106">
        <v>433640108</v>
      </c>
    </row>
    <row r="40" spans="1:6">
      <c r="A40" s="107" t="s">
        <v>188</v>
      </c>
      <c r="B40" s="107" t="s">
        <v>188</v>
      </c>
      <c r="C40" s="107" t="s">
        <v>188</v>
      </c>
      <c r="D40" s="108" t="s">
        <v>188</v>
      </c>
      <c r="E40" s="108" t="s">
        <v>188</v>
      </c>
      <c r="F40" s="108" t="s">
        <v>188</v>
      </c>
    </row>
    <row r="41" spans="1:6" ht="38.5" customHeight="1">
      <c r="A41" s="116"/>
      <c r="B41" s="110" t="s">
        <v>191</v>
      </c>
      <c r="C41" s="111" t="s">
        <v>58</v>
      </c>
      <c r="D41" s="106">
        <v>45329730</v>
      </c>
      <c r="E41" s="106">
        <v>48073476</v>
      </c>
      <c r="F41" s="106">
        <v>187686881</v>
      </c>
    </row>
    <row r="42" spans="1:6" ht="50" customHeight="1">
      <c r="A42" s="116"/>
      <c r="B42" s="110" t="s">
        <v>192</v>
      </c>
      <c r="C42" s="111" t="s">
        <v>59</v>
      </c>
      <c r="D42" s="106">
        <v>1200000</v>
      </c>
      <c r="E42" s="106">
        <v>1100000</v>
      </c>
      <c r="F42" s="106">
        <v>5700000</v>
      </c>
    </row>
    <row r="43" spans="1:6" ht="82" customHeight="1">
      <c r="A43" s="116"/>
      <c r="B43" s="110" t="s">
        <v>245</v>
      </c>
      <c r="C43" s="111" t="s">
        <v>60</v>
      </c>
      <c r="D43" s="106">
        <v>1459021</v>
      </c>
      <c r="E43" s="106">
        <v>1431875</v>
      </c>
      <c r="F43" s="106">
        <v>5593040</v>
      </c>
    </row>
    <row r="44" spans="1:6" ht="40.5" customHeight="1">
      <c r="A44" s="116"/>
      <c r="B44" s="110" t="s">
        <v>193</v>
      </c>
      <c r="C44" s="111" t="s">
        <v>61</v>
      </c>
      <c r="D44" s="106">
        <v>55696913</v>
      </c>
      <c r="E44" s="106">
        <v>60435227</v>
      </c>
      <c r="F44" s="106">
        <v>234660187</v>
      </c>
    </row>
    <row r="45" spans="1:6" ht="87" customHeight="1">
      <c r="A45" s="103">
        <v>3</v>
      </c>
      <c r="B45" s="117" t="s">
        <v>194</v>
      </c>
      <c r="C45" s="105" t="s">
        <v>62</v>
      </c>
      <c r="D45" s="106">
        <v>52772685</v>
      </c>
      <c r="E45" s="106">
        <v>56326421</v>
      </c>
      <c r="F45" s="106">
        <v>219995141</v>
      </c>
    </row>
    <row r="46" spans="1:6">
      <c r="A46" s="107" t="s">
        <v>188</v>
      </c>
      <c r="B46" s="107" t="s">
        <v>188</v>
      </c>
      <c r="C46" s="107" t="s">
        <v>188</v>
      </c>
      <c r="D46" s="108" t="s">
        <v>188</v>
      </c>
      <c r="E46" s="108" t="s">
        <v>188</v>
      </c>
      <c r="F46" s="108" t="s">
        <v>188</v>
      </c>
    </row>
    <row r="47" spans="1:6" ht="40" customHeight="1">
      <c r="A47" s="116"/>
      <c r="B47" s="118" t="s">
        <v>165</v>
      </c>
      <c r="C47" s="111" t="s">
        <v>63</v>
      </c>
      <c r="D47" s="106">
        <v>41772685</v>
      </c>
      <c r="E47" s="106">
        <v>45326421</v>
      </c>
      <c r="F47" s="106">
        <v>175995141</v>
      </c>
    </row>
    <row r="48" spans="1:6" ht="40" customHeight="1">
      <c r="A48" s="116"/>
      <c r="B48" s="118" t="s">
        <v>32</v>
      </c>
      <c r="C48" s="111" t="s">
        <v>64</v>
      </c>
      <c r="D48" s="106">
        <v>11000000</v>
      </c>
      <c r="E48" s="106">
        <v>11000000</v>
      </c>
      <c r="F48" s="106">
        <v>44000000</v>
      </c>
    </row>
    <row r="49" spans="1:6" ht="68.5" customHeight="1">
      <c r="A49" s="116">
        <v>4</v>
      </c>
      <c r="B49" s="118" t="s">
        <v>195</v>
      </c>
      <c r="C49" s="111"/>
      <c r="D49" s="106">
        <v>0</v>
      </c>
      <c r="E49" s="106">
        <v>0</v>
      </c>
      <c r="F49" s="106">
        <v>0</v>
      </c>
    </row>
    <row r="50" spans="1:6">
      <c r="A50" s="107" t="s">
        <v>188</v>
      </c>
      <c r="B50" s="107" t="s">
        <v>188</v>
      </c>
      <c r="C50" s="107" t="s">
        <v>188</v>
      </c>
      <c r="D50" s="108" t="s">
        <v>188</v>
      </c>
      <c r="E50" s="108" t="s">
        <v>188</v>
      </c>
      <c r="F50" s="108" t="s">
        <v>188</v>
      </c>
    </row>
    <row r="51" spans="1:6" ht="68" customHeight="1">
      <c r="A51" s="116">
        <v>5</v>
      </c>
      <c r="B51" s="118" t="s">
        <v>196</v>
      </c>
      <c r="C51" s="111"/>
      <c r="D51" s="106">
        <v>0</v>
      </c>
      <c r="E51" s="106">
        <v>0</v>
      </c>
      <c r="F51" s="106">
        <v>0</v>
      </c>
    </row>
    <row r="52" spans="1:6">
      <c r="A52" s="107" t="s">
        <v>188</v>
      </c>
      <c r="B52" s="107" t="s">
        <v>188</v>
      </c>
      <c r="C52" s="107" t="s">
        <v>188</v>
      </c>
      <c r="D52" s="108" t="s">
        <v>188</v>
      </c>
      <c r="E52" s="108" t="s">
        <v>188</v>
      </c>
      <c r="F52" s="108" t="s">
        <v>188</v>
      </c>
    </row>
    <row r="53" spans="1:6" ht="42" customHeight="1">
      <c r="A53" s="103">
        <v>6</v>
      </c>
      <c r="B53" s="104" t="s">
        <v>33</v>
      </c>
      <c r="C53" s="105" t="s">
        <v>65</v>
      </c>
      <c r="D53" s="106">
        <v>12024657</v>
      </c>
      <c r="E53" s="106">
        <v>12526843</v>
      </c>
      <c r="F53" s="106">
        <v>48199993</v>
      </c>
    </row>
    <row r="54" spans="1:6">
      <c r="A54" s="107" t="s">
        <v>188</v>
      </c>
      <c r="B54" s="107" t="s">
        <v>188</v>
      </c>
      <c r="C54" s="107" t="s">
        <v>188</v>
      </c>
      <c r="D54" s="108" t="s">
        <v>188</v>
      </c>
      <c r="E54" s="108" t="s">
        <v>188</v>
      </c>
      <c r="F54" s="108" t="s">
        <v>188</v>
      </c>
    </row>
    <row r="55" spans="1:6" ht="95.5" customHeight="1">
      <c r="A55" s="103">
        <v>7</v>
      </c>
      <c r="B55" s="104" t="s">
        <v>166</v>
      </c>
      <c r="C55" s="105" t="s">
        <v>66</v>
      </c>
      <c r="D55" s="106">
        <v>20966102</v>
      </c>
      <c r="E55" s="106">
        <v>18651256</v>
      </c>
      <c r="F55" s="106">
        <v>75695554</v>
      </c>
    </row>
    <row r="56" spans="1:6">
      <c r="A56" s="107" t="s">
        <v>188</v>
      </c>
      <c r="B56" s="107" t="s">
        <v>188</v>
      </c>
      <c r="C56" s="107" t="s">
        <v>188</v>
      </c>
      <c r="D56" s="108" t="s">
        <v>188</v>
      </c>
      <c r="E56" s="108" t="s">
        <v>188</v>
      </c>
      <c r="F56" s="108" t="s">
        <v>188</v>
      </c>
    </row>
    <row r="57" spans="1:6" ht="53.5" customHeight="1">
      <c r="A57" s="116"/>
      <c r="B57" s="119" t="s">
        <v>167</v>
      </c>
      <c r="C57" s="111" t="s">
        <v>67</v>
      </c>
      <c r="D57" s="106">
        <v>6493151</v>
      </c>
      <c r="E57" s="106">
        <v>6509589</v>
      </c>
      <c r="F57" s="106">
        <v>25972603</v>
      </c>
    </row>
    <row r="58" spans="1:6" ht="40" customHeight="1">
      <c r="A58" s="116"/>
      <c r="B58" s="119" t="s">
        <v>154</v>
      </c>
      <c r="C58" s="111" t="s">
        <v>68</v>
      </c>
      <c r="D58" s="106">
        <v>11620879</v>
      </c>
      <c r="E58" s="106">
        <v>12141667</v>
      </c>
      <c r="F58" s="106">
        <v>46870879</v>
      </c>
    </row>
    <row r="59" spans="1:6" ht="40" customHeight="1">
      <c r="A59" s="116"/>
      <c r="B59" s="119" t="s">
        <v>34</v>
      </c>
      <c r="C59" s="111" t="s">
        <v>69</v>
      </c>
      <c r="D59" s="106">
        <v>2852072</v>
      </c>
      <c r="E59" s="106">
        <v>0</v>
      </c>
      <c r="F59" s="106">
        <v>2852072</v>
      </c>
    </row>
    <row r="60" spans="1:6" ht="210">
      <c r="A60" s="103">
        <v>8</v>
      </c>
      <c r="B60" s="117" t="s">
        <v>168</v>
      </c>
      <c r="C60" s="105" t="s">
        <v>70</v>
      </c>
      <c r="D60" s="106">
        <v>3256324</v>
      </c>
      <c r="E60" s="106">
        <v>3364869</v>
      </c>
      <c r="F60" s="106">
        <v>13025298</v>
      </c>
    </row>
    <row r="61" spans="1:6">
      <c r="A61" s="107" t="s">
        <v>188</v>
      </c>
      <c r="B61" s="107" t="s">
        <v>188</v>
      </c>
      <c r="C61" s="107" t="s">
        <v>188</v>
      </c>
      <c r="D61" s="108" t="s">
        <v>188</v>
      </c>
      <c r="E61" s="108" t="s">
        <v>188</v>
      </c>
      <c r="F61" s="108" t="s">
        <v>188</v>
      </c>
    </row>
    <row r="62" spans="1:6" ht="43" customHeight="1">
      <c r="A62" s="116"/>
      <c r="B62" s="118" t="s">
        <v>155</v>
      </c>
      <c r="C62" s="111" t="s">
        <v>71</v>
      </c>
      <c r="D62" s="106">
        <v>3256324</v>
      </c>
      <c r="E62" s="106">
        <v>3364869</v>
      </c>
      <c r="F62" s="106">
        <v>13025298</v>
      </c>
    </row>
    <row r="63" spans="1:6" ht="43" customHeight="1">
      <c r="A63" s="116"/>
      <c r="B63" s="118" t="s">
        <v>142</v>
      </c>
      <c r="C63" s="111" t="s">
        <v>72</v>
      </c>
      <c r="D63" s="106">
        <v>0</v>
      </c>
      <c r="E63" s="106">
        <v>0</v>
      </c>
      <c r="F63" s="106">
        <v>0</v>
      </c>
    </row>
    <row r="64" spans="1:6" s="102" customFormat="1" ht="54.5" customHeight="1">
      <c r="A64" s="116"/>
      <c r="B64" s="118" t="s">
        <v>169</v>
      </c>
      <c r="C64" s="111" t="s">
        <v>73</v>
      </c>
      <c r="D64" s="106">
        <v>0</v>
      </c>
      <c r="E64" s="106">
        <v>0</v>
      </c>
      <c r="F64" s="106">
        <v>0</v>
      </c>
    </row>
    <row r="65" spans="1:6" s="102" customFormat="1" ht="45">
      <c r="A65" s="116"/>
      <c r="B65" s="119" t="s">
        <v>156</v>
      </c>
      <c r="C65" s="111" t="s">
        <v>74</v>
      </c>
      <c r="D65" s="106">
        <v>0</v>
      </c>
      <c r="E65" s="106">
        <v>0</v>
      </c>
      <c r="F65" s="106">
        <v>0</v>
      </c>
    </row>
    <row r="66" spans="1:6" ht="42" customHeight="1">
      <c r="A66" s="116"/>
      <c r="B66" s="119" t="s">
        <v>197</v>
      </c>
      <c r="C66" s="111" t="s">
        <v>75</v>
      </c>
      <c r="D66" s="106">
        <v>0</v>
      </c>
      <c r="E66" s="106">
        <v>0</v>
      </c>
      <c r="F66" s="106">
        <v>0</v>
      </c>
    </row>
    <row r="67" spans="1:6" ht="60">
      <c r="A67" s="103">
        <v>9</v>
      </c>
      <c r="B67" s="104" t="s">
        <v>170</v>
      </c>
      <c r="C67" s="105" t="s">
        <v>76</v>
      </c>
      <c r="D67" s="106">
        <v>28416446</v>
      </c>
      <c r="E67" s="106">
        <v>42675687</v>
      </c>
      <c r="F67" s="106">
        <v>123020511</v>
      </c>
    </row>
    <row r="68" spans="1:6" s="102" customFormat="1">
      <c r="A68" s="107" t="s">
        <v>188</v>
      </c>
      <c r="B68" s="107" t="s">
        <v>188</v>
      </c>
      <c r="C68" s="107" t="s">
        <v>188</v>
      </c>
      <c r="D68" s="108" t="s">
        <v>188</v>
      </c>
      <c r="E68" s="108" t="s">
        <v>188</v>
      </c>
      <c r="F68" s="108" t="s">
        <v>188</v>
      </c>
    </row>
    <row r="69" spans="1:6" s="102" customFormat="1" ht="37" customHeight="1">
      <c r="A69" s="116"/>
      <c r="B69" s="110" t="s">
        <v>35</v>
      </c>
      <c r="C69" s="111" t="s">
        <v>77</v>
      </c>
      <c r="D69" s="106">
        <v>27996438</v>
      </c>
      <c r="E69" s="106">
        <v>42546834</v>
      </c>
      <c r="F69" s="106">
        <v>121837512</v>
      </c>
    </row>
    <row r="70" spans="1:6" s="102" customFormat="1" ht="37" customHeight="1">
      <c r="A70" s="116"/>
      <c r="B70" s="110" t="s">
        <v>36</v>
      </c>
      <c r="C70" s="111" t="s">
        <v>78</v>
      </c>
      <c r="D70" s="106">
        <v>420008</v>
      </c>
      <c r="E70" s="106">
        <v>128853</v>
      </c>
      <c r="F70" s="106">
        <v>1182999</v>
      </c>
    </row>
    <row r="71" spans="1:6" ht="37" customHeight="1">
      <c r="A71" s="116"/>
      <c r="B71" s="110" t="s">
        <v>37</v>
      </c>
      <c r="C71" s="111" t="s">
        <v>79</v>
      </c>
      <c r="D71" s="106">
        <v>0</v>
      </c>
      <c r="E71" s="106">
        <v>0</v>
      </c>
      <c r="F71" s="106">
        <v>0</v>
      </c>
    </row>
    <row r="72" spans="1:6" ht="37" customHeight="1">
      <c r="A72" s="103">
        <v>10</v>
      </c>
      <c r="B72" s="104" t="s">
        <v>198</v>
      </c>
      <c r="C72" s="105" t="s">
        <v>80</v>
      </c>
      <c r="D72" s="106">
        <v>5171538</v>
      </c>
      <c r="E72" s="106">
        <v>7032386</v>
      </c>
      <c r="F72" s="106">
        <v>18325553</v>
      </c>
    </row>
    <row r="73" spans="1:6">
      <c r="A73" s="107" t="s">
        <v>188</v>
      </c>
      <c r="B73" s="107" t="s">
        <v>188</v>
      </c>
      <c r="C73" s="107" t="s">
        <v>188</v>
      </c>
      <c r="D73" s="108" t="s">
        <v>188</v>
      </c>
      <c r="E73" s="108" t="s">
        <v>188</v>
      </c>
      <c r="F73" s="108" t="s">
        <v>188</v>
      </c>
    </row>
    <row r="74" spans="1:6" ht="40" customHeight="1">
      <c r="A74" s="103"/>
      <c r="B74" s="110" t="s">
        <v>38</v>
      </c>
      <c r="C74" s="111" t="s">
        <v>81</v>
      </c>
      <c r="D74" s="106">
        <v>0</v>
      </c>
      <c r="E74" s="106">
        <v>0</v>
      </c>
      <c r="F74" s="106">
        <v>0</v>
      </c>
    </row>
    <row r="75" spans="1:6" ht="40" customHeight="1">
      <c r="A75" s="103"/>
      <c r="B75" s="110" t="s">
        <v>171</v>
      </c>
      <c r="C75" s="111" t="s">
        <v>82</v>
      </c>
      <c r="D75" s="106">
        <v>0</v>
      </c>
      <c r="E75" s="106">
        <v>0</v>
      </c>
      <c r="F75" s="106">
        <v>0</v>
      </c>
    </row>
    <row r="76" spans="1:6" ht="40" customHeight="1">
      <c r="A76" s="103"/>
      <c r="B76" s="110" t="s">
        <v>39</v>
      </c>
      <c r="C76" s="111" t="s">
        <v>83</v>
      </c>
      <c r="D76" s="106">
        <v>616438</v>
      </c>
      <c r="E76" s="106">
        <v>636986</v>
      </c>
      <c r="F76" s="106">
        <v>2465753</v>
      </c>
    </row>
    <row r="77" spans="1:6" ht="40" customHeight="1">
      <c r="A77" s="103"/>
      <c r="B77" s="110" t="s">
        <v>40</v>
      </c>
      <c r="C77" s="111" t="s">
        <v>84</v>
      </c>
      <c r="D77" s="106">
        <v>3455100</v>
      </c>
      <c r="E77" s="106">
        <v>6395400</v>
      </c>
      <c r="F77" s="106">
        <v>14759800</v>
      </c>
    </row>
    <row r="78" spans="1:6" ht="40" customHeight="1">
      <c r="A78" s="103"/>
      <c r="B78" s="110" t="s">
        <v>172</v>
      </c>
      <c r="C78" s="111" t="s">
        <v>85</v>
      </c>
      <c r="D78" s="106">
        <v>0</v>
      </c>
      <c r="E78" s="106">
        <v>0</v>
      </c>
      <c r="F78" s="106">
        <v>0</v>
      </c>
    </row>
    <row r="79" spans="1:6" ht="40" customHeight="1">
      <c r="A79" s="103"/>
      <c r="B79" s="110" t="s">
        <v>37</v>
      </c>
      <c r="C79" s="111" t="s">
        <v>86</v>
      </c>
      <c r="D79" s="106">
        <v>0</v>
      </c>
      <c r="E79" s="106">
        <v>0</v>
      </c>
      <c r="F79" s="106">
        <v>0</v>
      </c>
    </row>
    <row r="80" spans="1:6" ht="55" customHeight="1">
      <c r="A80" s="103"/>
      <c r="B80" s="110" t="s">
        <v>243</v>
      </c>
      <c r="C80" s="111" t="s">
        <v>87</v>
      </c>
      <c r="D80" s="106">
        <v>1100000</v>
      </c>
      <c r="E80" s="106">
        <v>0</v>
      </c>
      <c r="F80" s="106">
        <v>1100000</v>
      </c>
    </row>
    <row r="81" spans="1:6" ht="67" customHeight="1">
      <c r="A81" s="120" t="s">
        <v>23</v>
      </c>
      <c r="B81" s="99" t="s">
        <v>173</v>
      </c>
      <c r="C81" s="100" t="s">
        <v>88</v>
      </c>
      <c r="D81" s="115">
        <v>8618736123</v>
      </c>
      <c r="E81" s="115">
        <v>9282947644</v>
      </c>
      <c r="F81" s="115">
        <v>35671178715</v>
      </c>
    </row>
    <row r="82" spans="1:6" ht="42" customHeight="1">
      <c r="A82" s="120" t="s">
        <v>24</v>
      </c>
      <c r="B82" s="99" t="s">
        <v>157</v>
      </c>
      <c r="C82" s="100" t="s">
        <v>89</v>
      </c>
      <c r="D82" s="115">
        <v>-83618877</v>
      </c>
      <c r="E82" s="115">
        <v>-345788177</v>
      </c>
      <c r="F82" s="115">
        <v>-1064215513</v>
      </c>
    </row>
    <row r="83" spans="1:6" ht="69.5" customHeight="1">
      <c r="A83" s="103">
        <v>1</v>
      </c>
      <c r="B83" s="104" t="s">
        <v>199</v>
      </c>
      <c r="C83" s="105" t="s">
        <v>90</v>
      </c>
      <c r="D83" s="106">
        <v>360459617</v>
      </c>
      <c r="E83" s="106">
        <v>259842723</v>
      </c>
      <c r="F83" s="106">
        <v>498139441</v>
      </c>
    </row>
    <row r="84" spans="1:6" ht="57" customHeight="1">
      <c r="A84" s="103">
        <v>2</v>
      </c>
      <c r="B84" s="104" t="s">
        <v>41</v>
      </c>
      <c r="C84" s="105" t="s">
        <v>91</v>
      </c>
      <c r="D84" s="106">
        <v>-444078494</v>
      </c>
      <c r="E84" s="106">
        <v>-605630900</v>
      </c>
      <c r="F84" s="106">
        <v>-1562354954</v>
      </c>
    </row>
    <row r="85" spans="1:6" ht="113.5" customHeight="1">
      <c r="A85" s="120" t="s">
        <v>25</v>
      </c>
      <c r="B85" s="99" t="s">
        <v>174</v>
      </c>
      <c r="C85" s="100" t="s">
        <v>92</v>
      </c>
      <c r="D85" s="115">
        <v>8535117246</v>
      </c>
      <c r="E85" s="115">
        <v>8937159467</v>
      </c>
      <c r="F85" s="115">
        <v>34606963202</v>
      </c>
    </row>
    <row r="86" spans="1:6" ht="51.5" customHeight="1">
      <c r="A86" s="120" t="s">
        <v>26</v>
      </c>
      <c r="B86" s="99" t="s">
        <v>42</v>
      </c>
      <c r="C86" s="100" t="s">
        <v>93</v>
      </c>
      <c r="D86" s="115">
        <v>1581110770975</v>
      </c>
      <c r="E86" s="115">
        <v>1661090267802</v>
      </c>
      <c r="F86" s="115">
        <v>1648574048482</v>
      </c>
    </row>
    <row r="87" spans="1:6" ht="72" customHeight="1">
      <c r="A87" s="120" t="s">
        <v>27</v>
      </c>
      <c r="B87" s="99" t="s">
        <v>237</v>
      </c>
      <c r="C87" s="100" t="s">
        <v>94</v>
      </c>
      <c r="D87" s="115">
        <v>-43224888157</v>
      </c>
      <c r="E87" s="115">
        <v>-79979496827</v>
      </c>
      <c r="F87" s="115">
        <v>-110688165664</v>
      </c>
    </row>
    <row r="88" spans="1:6" s="102" customFormat="1" ht="77" customHeight="1">
      <c r="A88" s="103">
        <v>1</v>
      </c>
      <c r="B88" s="104" t="s">
        <v>200</v>
      </c>
      <c r="C88" s="105" t="s">
        <v>95</v>
      </c>
      <c r="D88" s="106">
        <v>8535117246</v>
      </c>
      <c r="E88" s="106">
        <v>8937159467</v>
      </c>
      <c r="F88" s="106">
        <v>34606963202</v>
      </c>
    </row>
    <row r="89" spans="1:6" ht="87" customHeight="1">
      <c r="A89" s="103">
        <v>2</v>
      </c>
      <c r="B89" s="104" t="s">
        <v>201</v>
      </c>
      <c r="C89" s="105" t="s">
        <v>96</v>
      </c>
      <c r="D89" s="106">
        <v>0</v>
      </c>
      <c r="E89" s="106">
        <v>0</v>
      </c>
      <c r="F89" s="106">
        <v>0</v>
      </c>
    </row>
    <row r="90" spans="1:6" ht="73" customHeight="1">
      <c r="A90" s="103">
        <v>3</v>
      </c>
      <c r="B90" s="104" t="s">
        <v>202</v>
      </c>
      <c r="C90" s="105" t="s">
        <v>97</v>
      </c>
      <c r="D90" s="106">
        <v>-51760005403</v>
      </c>
      <c r="E90" s="106">
        <v>-88916656294</v>
      </c>
      <c r="F90" s="106">
        <v>-145295128866</v>
      </c>
    </row>
    <row r="91" spans="1:6" ht="67" customHeight="1">
      <c r="A91" s="103"/>
      <c r="B91" s="104" t="s">
        <v>175</v>
      </c>
      <c r="C91" s="105" t="s">
        <v>203</v>
      </c>
      <c r="D91" s="106">
        <v>143208148820</v>
      </c>
      <c r="E91" s="106">
        <v>139611842144</v>
      </c>
      <c r="F91" s="106">
        <v>492387413901</v>
      </c>
    </row>
    <row r="92" spans="1:6" ht="68" customHeight="1">
      <c r="A92" s="103"/>
      <c r="B92" s="104" t="s">
        <v>176</v>
      </c>
      <c r="C92" s="105" t="s">
        <v>204</v>
      </c>
      <c r="D92" s="106">
        <v>-194968154223</v>
      </c>
      <c r="E92" s="106">
        <v>-228528498438</v>
      </c>
      <c r="F92" s="106">
        <v>-637682542767</v>
      </c>
    </row>
    <row r="93" spans="1:6" s="121" customFormat="1" ht="43.5" customHeight="1">
      <c r="A93" s="98" t="s">
        <v>28</v>
      </c>
      <c r="B93" s="99" t="s">
        <v>43</v>
      </c>
      <c r="C93" s="100" t="s">
        <v>98</v>
      </c>
      <c r="D93" s="115">
        <v>1537885882818</v>
      </c>
      <c r="E93" s="115">
        <v>1581110770975</v>
      </c>
      <c r="F93" s="115">
        <v>1537885882818</v>
      </c>
    </row>
    <row r="94" spans="1:6" ht="69.5" customHeight="1">
      <c r="A94" s="98" t="s">
        <v>29</v>
      </c>
      <c r="B94" s="99" t="s">
        <v>158</v>
      </c>
      <c r="C94" s="100" t="s">
        <v>99</v>
      </c>
      <c r="D94" s="115">
        <v>0</v>
      </c>
      <c r="E94" s="115">
        <v>0</v>
      </c>
      <c r="F94" s="115">
        <v>0</v>
      </c>
    </row>
    <row r="95" spans="1:6" ht="73.5" customHeight="1">
      <c r="A95" s="122"/>
      <c r="B95" s="104" t="s">
        <v>159</v>
      </c>
      <c r="C95" s="105" t="s">
        <v>100</v>
      </c>
      <c r="D95" s="81">
        <v>0</v>
      </c>
      <c r="E95" s="81">
        <v>0</v>
      </c>
      <c r="F95" s="81">
        <v>0</v>
      </c>
    </row>
    <row r="96" spans="1:6" ht="16.899999999999999" customHeight="1"/>
    <row r="97" spans="1:6" ht="16.899999999999999" customHeight="1">
      <c r="A97" s="83" t="s">
        <v>10</v>
      </c>
      <c r="D97" s="126"/>
      <c r="E97" s="83" t="s">
        <v>11</v>
      </c>
    </row>
    <row r="98" spans="1:6" ht="16.899999999999999" customHeight="1">
      <c r="A98" s="85" t="s">
        <v>12</v>
      </c>
      <c r="D98" s="127"/>
      <c r="E98" s="85" t="s">
        <v>13</v>
      </c>
    </row>
    <row r="99" spans="1:6" ht="16.899999999999999" customHeight="1">
      <c r="A99" s="85"/>
      <c r="D99" s="127"/>
      <c r="E99" s="85"/>
    </row>
    <row r="100" spans="1:6" ht="16.899999999999999" customHeight="1">
      <c r="A100" s="85"/>
      <c r="D100" s="127"/>
      <c r="E100" s="85"/>
    </row>
    <row r="101" spans="1:6" ht="16.899999999999999" customHeight="1">
      <c r="A101" s="85"/>
      <c r="D101" s="127"/>
      <c r="E101" s="85"/>
    </row>
    <row r="102" spans="1:6" ht="16.899999999999999" customHeight="1">
      <c r="A102" s="85"/>
      <c r="D102" s="127"/>
      <c r="E102" s="85"/>
    </row>
    <row r="103" spans="1:6" ht="16.899999999999999" customHeight="1">
      <c r="D103" s="128"/>
    </row>
    <row r="104" spans="1:6" ht="16.899999999999999" customHeight="1">
      <c r="D104" s="128"/>
    </row>
    <row r="105" spans="1:6" ht="16.899999999999999" customHeight="1">
      <c r="A105" s="123" t="str">
        <f>TONGQUAN!C19</f>
        <v>Ngân hàng TNHH MTV Standard Chartered (Việt Nam)</v>
      </c>
      <c r="B105" s="124"/>
      <c r="D105" s="129"/>
      <c r="E105" s="123" t="s">
        <v>752</v>
      </c>
      <c r="F105" s="124"/>
    </row>
    <row r="106" spans="1:6" ht="16.899999999999999" customHeight="1">
      <c r="A106" s="125" t="str">
        <f>TONGQUAN!C20</f>
        <v>Vũ Quang Phan</v>
      </c>
      <c r="D106" s="129"/>
      <c r="E106" s="125" t="s">
        <v>759</v>
      </c>
    </row>
    <row r="107" spans="1:6" ht="16.899999999999999" customHeight="1">
      <c r="A107" s="64" t="str">
        <f>TONGQUAN!C21</f>
        <v>Phó phòng Dịch vụ nghiệp vụ giám sát Quỹ</v>
      </c>
      <c r="D107" s="128"/>
      <c r="E107" s="64" t="s">
        <v>761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8"/>
  <sheetViews>
    <sheetView view="pageBreakPreview" zoomScale="60" zoomScaleNormal="100" workbookViewId="0">
      <selection activeCell="A70" sqref="A70:XFD70"/>
    </sheetView>
  </sheetViews>
  <sheetFormatPr defaultColWidth="8.7265625" defaultRowHeight="15"/>
  <cols>
    <col min="1" max="1" width="9" style="64" customWidth="1"/>
    <col min="2" max="2" width="39.81640625" style="64" customWidth="1"/>
    <col min="3" max="3" width="9.26953125" style="64" customWidth="1"/>
    <col min="4" max="4" width="28" style="64" customWidth="1"/>
    <col min="5" max="5" width="33.81640625" style="64" customWidth="1"/>
    <col min="6" max="6" width="32.1796875" style="64" customWidth="1"/>
    <col min="7" max="7" width="28.54296875" style="64" customWidth="1"/>
    <col min="8" max="16384" width="8.7265625" style="130"/>
  </cols>
  <sheetData>
    <row r="1" spans="1:7" ht="44.25" customHeight="1">
      <c r="A1" s="169" t="s">
        <v>232</v>
      </c>
      <c r="B1" s="169"/>
      <c r="C1" s="169"/>
      <c r="D1" s="169"/>
      <c r="E1" s="169"/>
      <c r="F1" s="169"/>
      <c r="G1" s="169"/>
    </row>
    <row r="2" spans="1:7" ht="59.25" customHeight="1">
      <c r="A2" s="170" t="s">
        <v>233</v>
      </c>
      <c r="B2" s="170"/>
      <c r="C2" s="170"/>
      <c r="D2" s="170"/>
      <c r="E2" s="170"/>
      <c r="F2" s="170"/>
      <c r="G2" s="170"/>
    </row>
    <row r="3" spans="1:7" ht="15" customHeight="1">
      <c r="A3" s="171" t="s">
        <v>183</v>
      </c>
      <c r="B3" s="171"/>
      <c r="C3" s="171"/>
      <c r="D3" s="171"/>
      <c r="E3" s="171"/>
      <c r="F3" s="171"/>
      <c r="G3" s="171"/>
    </row>
    <row r="4" spans="1:7" ht="27.4" customHeight="1">
      <c r="A4" s="171"/>
      <c r="B4" s="171"/>
      <c r="C4" s="171"/>
      <c r="D4" s="171"/>
      <c r="E4" s="171"/>
      <c r="F4" s="171"/>
      <c r="G4" s="171"/>
    </row>
    <row r="5" spans="1:7" ht="16.899999999999999" customHeight="1">
      <c r="A5" s="172" t="str">
        <f>TONGQUAN!C1</f>
        <v>Tại ngày 30 tháng 04 năm 2025
/ As at 30 Apr 2025</v>
      </c>
      <c r="B5" s="172"/>
      <c r="C5" s="172"/>
      <c r="D5" s="172"/>
      <c r="E5" s="172"/>
      <c r="F5" s="172"/>
      <c r="G5" s="172"/>
    </row>
    <row r="6" spans="1:7" ht="16.899999999999999" customHeight="1"/>
    <row r="7" spans="1:7" ht="16.899999999999999" customHeight="1">
      <c r="A7" s="93" t="s">
        <v>2</v>
      </c>
      <c r="C7" s="173" t="str">
        <f>TONGQUAN!D5</f>
        <v>Công ty Cổ phần Quản lý Quỹ Đầu tư Dragon Capital Việt Nam</v>
      </c>
      <c r="D7" s="173"/>
      <c r="E7" s="173"/>
      <c r="F7" s="173"/>
      <c r="G7" s="173"/>
    </row>
    <row r="8" spans="1:7" ht="16.899999999999999" customHeight="1">
      <c r="A8" s="64" t="s">
        <v>15</v>
      </c>
      <c r="C8" s="168" t="str">
        <f>TONGQUAN!D6</f>
        <v>Dragon Capital Vietfund Management Joint Stock Company</v>
      </c>
      <c r="D8" s="168"/>
      <c r="E8" s="168"/>
      <c r="F8" s="168"/>
      <c r="G8" s="168"/>
    </row>
    <row r="9" spans="1:7" ht="16.899999999999999" customHeight="1">
      <c r="A9" s="93" t="s">
        <v>3</v>
      </c>
      <c r="C9" s="173" t="str">
        <f>TONGQUAN!D7</f>
        <v>Ngân hàng TNHH Một thành viên Standard Chartered (Việt Nam)</v>
      </c>
      <c r="D9" s="173"/>
      <c r="E9" s="173"/>
      <c r="F9" s="173"/>
      <c r="G9" s="173"/>
    </row>
    <row r="10" spans="1:7" ht="16.899999999999999" customHeight="1">
      <c r="A10" s="64" t="s">
        <v>4</v>
      </c>
      <c r="C10" s="168" t="str">
        <f>TONGQUAN!D8</f>
        <v>Standard Chartered Bank (Vietnam) Limited</v>
      </c>
      <c r="D10" s="168"/>
      <c r="E10" s="168"/>
      <c r="F10" s="168"/>
      <c r="G10" s="168"/>
    </row>
    <row r="11" spans="1:7" ht="16.899999999999999" customHeight="1">
      <c r="A11" s="93" t="s">
        <v>5</v>
      </c>
      <c r="C11" s="173" t="str">
        <f>TONGQUAN!D9</f>
        <v>Quỹ Đầu tư Trái phiếu DC</v>
      </c>
      <c r="D11" s="173"/>
      <c r="E11" s="173"/>
      <c r="F11" s="173"/>
      <c r="G11" s="173"/>
    </row>
    <row r="12" spans="1:7" ht="16.899999999999999" customHeight="1">
      <c r="A12" s="64" t="s">
        <v>6</v>
      </c>
      <c r="C12" s="168" t="str">
        <f>TONGQUAN!D10</f>
        <v>DC Bond Fund (DCBF)</v>
      </c>
      <c r="D12" s="168"/>
      <c r="E12" s="168"/>
      <c r="F12" s="168"/>
      <c r="G12" s="168"/>
    </row>
    <row r="13" spans="1:7" ht="16.899999999999999" customHeight="1">
      <c r="A13" s="93" t="s">
        <v>7</v>
      </c>
      <c r="C13" s="173" t="str">
        <f>TONGQUAN!D11</f>
        <v>Ngày 05 tháng 05 năm 2025</v>
      </c>
      <c r="D13" s="173"/>
      <c r="E13" s="173"/>
      <c r="F13" s="173"/>
      <c r="G13" s="173"/>
    </row>
    <row r="14" spans="1:7" ht="16.899999999999999" customHeight="1">
      <c r="A14" s="64" t="s">
        <v>8</v>
      </c>
      <c r="C14" s="168" t="str">
        <f>TONGQUAN!D12</f>
        <v>05 May 2025</v>
      </c>
      <c r="D14" s="168"/>
      <c r="E14" s="168"/>
      <c r="F14" s="168"/>
      <c r="G14" s="168"/>
    </row>
    <row r="15" spans="1:7" ht="18" hidden="1" customHeight="1"/>
    <row r="16" spans="1:7" ht="16.899999999999999" customHeight="1">
      <c r="A16" s="67" t="s">
        <v>230</v>
      </c>
      <c r="B16" s="68" t="s">
        <v>231</v>
      </c>
    </row>
    <row r="17" spans="1:7" ht="16.899999999999999" customHeight="1">
      <c r="A17" s="94" t="s">
        <v>23</v>
      </c>
      <c r="B17" s="95" t="s">
        <v>185</v>
      </c>
    </row>
    <row r="18" spans="1:7" ht="75.400000000000006" customHeight="1">
      <c r="A18" s="131" t="s">
        <v>143</v>
      </c>
      <c r="B18" s="131" t="s">
        <v>101</v>
      </c>
      <c r="C18" s="131" t="s">
        <v>19</v>
      </c>
      <c r="D18" s="131" t="s">
        <v>102</v>
      </c>
      <c r="E18" s="131" t="s">
        <v>103</v>
      </c>
      <c r="F18" s="131" t="s">
        <v>104</v>
      </c>
      <c r="G18" s="131" t="s">
        <v>105</v>
      </c>
    </row>
    <row r="19" spans="1:7" ht="80" customHeight="1">
      <c r="A19" s="74" t="s">
        <v>246</v>
      </c>
      <c r="B19" s="75" t="s">
        <v>247</v>
      </c>
      <c r="C19" s="74"/>
      <c r="D19" s="76"/>
      <c r="E19" s="76"/>
      <c r="F19" s="76"/>
      <c r="G19" s="77"/>
    </row>
    <row r="20" spans="1:7" ht="39" customHeight="1">
      <c r="A20" s="78"/>
      <c r="B20" s="79"/>
      <c r="C20" s="132"/>
      <c r="D20" s="80"/>
      <c r="E20" s="133"/>
      <c r="F20" s="80"/>
      <c r="G20" s="81"/>
    </row>
    <row r="21" spans="1:7" ht="39" customHeight="1">
      <c r="A21" s="74"/>
      <c r="B21" s="75" t="s">
        <v>248</v>
      </c>
      <c r="C21" s="74" t="s">
        <v>249</v>
      </c>
      <c r="D21" s="76"/>
      <c r="E21" s="76"/>
      <c r="F21" s="76"/>
      <c r="G21" s="77"/>
    </row>
    <row r="22" spans="1:7" ht="106.5" customHeight="1">
      <c r="A22" s="74" t="s">
        <v>250</v>
      </c>
      <c r="B22" s="75" t="s">
        <v>251</v>
      </c>
      <c r="C22" s="74" t="s">
        <v>252</v>
      </c>
      <c r="D22" s="76"/>
      <c r="E22" s="76"/>
      <c r="F22" s="76"/>
      <c r="G22" s="77"/>
    </row>
    <row r="23" spans="1:7" ht="39" customHeight="1">
      <c r="A23" s="78"/>
      <c r="B23" s="79"/>
      <c r="C23" s="132"/>
      <c r="D23" s="80"/>
      <c r="E23" s="133"/>
      <c r="F23" s="80"/>
      <c r="G23" s="81"/>
    </row>
    <row r="24" spans="1:7" ht="39" customHeight="1">
      <c r="A24" s="74"/>
      <c r="B24" s="75" t="s">
        <v>253</v>
      </c>
      <c r="C24" s="74" t="s">
        <v>254</v>
      </c>
      <c r="D24" s="76"/>
      <c r="E24" s="76"/>
      <c r="F24" s="76"/>
      <c r="G24" s="77"/>
    </row>
    <row r="25" spans="1:7" ht="101.5" customHeight="1">
      <c r="A25" s="74" t="s">
        <v>255</v>
      </c>
      <c r="B25" s="75" t="s">
        <v>256</v>
      </c>
      <c r="C25" s="74" t="s">
        <v>257</v>
      </c>
      <c r="D25" s="76"/>
      <c r="E25" s="76"/>
      <c r="F25" s="76"/>
      <c r="G25" s="77"/>
    </row>
    <row r="26" spans="1:7" ht="39" customHeight="1">
      <c r="A26" s="78"/>
      <c r="B26" s="79"/>
      <c r="C26" s="132"/>
      <c r="D26" s="80"/>
      <c r="E26" s="133"/>
      <c r="F26" s="80"/>
      <c r="G26" s="81"/>
    </row>
    <row r="27" spans="1:7" ht="39" customHeight="1">
      <c r="A27" s="74"/>
      <c r="B27" s="75" t="s">
        <v>258</v>
      </c>
      <c r="C27" s="74" t="s">
        <v>259</v>
      </c>
      <c r="D27" s="76"/>
      <c r="E27" s="76"/>
      <c r="F27" s="76">
        <v>0</v>
      </c>
      <c r="G27" s="77">
        <v>0</v>
      </c>
    </row>
    <row r="28" spans="1:7" ht="39" customHeight="1">
      <c r="A28" s="74" t="s">
        <v>260</v>
      </c>
      <c r="B28" s="75" t="s">
        <v>261</v>
      </c>
      <c r="C28" s="74" t="s">
        <v>262</v>
      </c>
      <c r="D28" s="76"/>
      <c r="E28" s="76"/>
      <c r="F28" s="76"/>
      <c r="G28" s="77"/>
    </row>
    <row r="29" spans="1:7" ht="39" customHeight="1">
      <c r="A29" s="78"/>
      <c r="B29" s="79"/>
      <c r="C29" s="132"/>
      <c r="D29" s="80"/>
      <c r="E29" s="133"/>
      <c r="F29" s="80"/>
      <c r="G29" s="81"/>
    </row>
    <row r="30" spans="1:7" ht="39" customHeight="1">
      <c r="A30" s="78" t="s">
        <v>263</v>
      </c>
      <c r="B30" s="79" t="s">
        <v>264</v>
      </c>
      <c r="C30" s="132" t="s">
        <v>265</v>
      </c>
      <c r="D30" s="80"/>
      <c r="E30" s="133"/>
      <c r="F30" s="80">
        <v>910546933209</v>
      </c>
      <c r="G30" s="81">
        <v>0.58013013674184599</v>
      </c>
    </row>
    <row r="31" spans="1:7" ht="34" customHeight="1">
      <c r="A31" s="78" t="s">
        <v>266</v>
      </c>
      <c r="B31" s="79" t="s">
        <v>267</v>
      </c>
      <c r="C31" s="132" t="s">
        <v>268</v>
      </c>
      <c r="D31" s="80">
        <v>690000</v>
      </c>
      <c r="E31" s="133">
        <v>100232.95699999999</v>
      </c>
      <c r="F31" s="80">
        <v>69160740330</v>
      </c>
      <c r="G31" s="81">
        <v>4.4063878841927702E-2</v>
      </c>
    </row>
    <row r="32" spans="1:7" ht="34" customHeight="1">
      <c r="A32" s="78" t="s">
        <v>269</v>
      </c>
      <c r="B32" s="79" t="s">
        <v>270</v>
      </c>
      <c r="C32" s="132" t="s">
        <v>271</v>
      </c>
      <c r="D32" s="80">
        <v>452357</v>
      </c>
      <c r="E32" s="133">
        <v>100736.229999</v>
      </c>
      <c r="F32" s="80">
        <v>45568738794</v>
      </c>
      <c r="G32" s="81">
        <v>2.9032878705713899E-2</v>
      </c>
    </row>
    <row r="33" spans="1:7" ht="34" customHeight="1">
      <c r="A33" s="78" t="s">
        <v>272</v>
      </c>
      <c r="B33" s="79" t="s">
        <v>273</v>
      </c>
      <c r="C33" s="132" t="s">
        <v>274</v>
      </c>
      <c r="D33" s="80">
        <v>993</v>
      </c>
      <c r="E33" s="133">
        <v>99995772</v>
      </c>
      <c r="F33" s="80">
        <v>99295801596</v>
      </c>
      <c r="G33" s="81">
        <v>6.3263610975840295E-2</v>
      </c>
    </row>
    <row r="34" spans="1:7" ht="34" customHeight="1">
      <c r="A34" s="78" t="s">
        <v>275</v>
      </c>
      <c r="B34" s="79" t="s">
        <v>276</v>
      </c>
      <c r="C34" s="132" t="s">
        <v>277</v>
      </c>
      <c r="D34" s="80">
        <v>100000</v>
      </c>
      <c r="E34" s="133">
        <v>99978.062000000005</v>
      </c>
      <c r="F34" s="80">
        <v>9997806200</v>
      </c>
      <c r="G34" s="81">
        <v>6.3698294578662601E-3</v>
      </c>
    </row>
    <row r="35" spans="1:7" ht="34" customHeight="1">
      <c r="A35" s="78" t="s">
        <v>278</v>
      </c>
      <c r="B35" s="79" t="s">
        <v>279</v>
      </c>
      <c r="C35" s="132" t="s">
        <v>280</v>
      </c>
      <c r="D35" s="80">
        <v>1000000</v>
      </c>
      <c r="E35" s="133">
        <v>99946.120999999999</v>
      </c>
      <c r="F35" s="80">
        <v>99946121000</v>
      </c>
      <c r="G35" s="81">
        <v>6.3677944241934403E-2</v>
      </c>
    </row>
    <row r="36" spans="1:7" ht="34" customHeight="1">
      <c r="A36" s="78" t="s">
        <v>281</v>
      </c>
      <c r="B36" s="79" t="s">
        <v>282</v>
      </c>
      <c r="C36" s="132" t="s">
        <v>283</v>
      </c>
      <c r="D36" s="80">
        <v>400230</v>
      </c>
      <c r="E36" s="133">
        <v>99979.857999</v>
      </c>
      <c r="F36" s="80">
        <v>40014938567</v>
      </c>
      <c r="G36" s="81">
        <v>2.5494426411144602E-2</v>
      </c>
    </row>
    <row r="37" spans="1:7" ht="34" customHeight="1">
      <c r="A37" s="78" t="s">
        <v>284</v>
      </c>
      <c r="B37" s="79" t="s">
        <v>285</v>
      </c>
      <c r="C37" s="132" t="s">
        <v>286</v>
      </c>
      <c r="D37" s="80">
        <v>1050000</v>
      </c>
      <c r="E37" s="133">
        <v>99672.548999999999</v>
      </c>
      <c r="F37" s="80">
        <v>104656176450</v>
      </c>
      <c r="G37" s="81">
        <v>6.66788275710785E-2</v>
      </c>
    </row>
    <row r="38" spans="1:7" ht="34" customHeight="1">
      <c r="A38" s="78" t="s">
        <v>287</v>
      </c>
      <c r="B38" s="79" t="s">
        <v>288</v>
      </c>
      <c r="C38" s="132" t="s">
        <v>289</v>
      </c>
      <c r="D38" s="80">
        <v>250000</v>
      </c>
      <c r="E38" s="133">
        <v>99672.296000000002</v>
      </c>
      <c r="F38" s="80">
        <v>24918074000</v>
      </c>
      <c r="G38" s="81">
        <v>1.58758710284354E-2</v>
      </c>
    </row>
    <row r="39" spans="1:7" ht="34" customHeight="1">
      <c r="A39" s="78" t="s">
        <v>290</v>
      </c>
      <c r="B39" s="79" t="s">
        <v>291</v>
      </c>
      <c r="C39" s="132" t="s">
        <v>292</v>
      </c>
      <c r="D39" s="80">
        <v>563794</v>
      </c>
      <c r="E39" s="133">
        <v>99651.835999999996</v>
      </c>
      <c r="F39" s="80">
        <v>56183107226</v>
      </c>
      <c r="G39" s="81">
        <v>3.5795533968505398E-2</v>
      </c>
    </row>
    <row r="40" spans="1:7" ht="34" customHeight="1">
      <c r="A40" s="78" t="s">
        <v>293</v>
      </c>
      <c r="B40" s="79" t="s">
        <v>294</v>
      </c>
      <c r="C40" s="132" t="s">
        <v>295</v>
      </c>
      <c r="D40" s="80">
        <v>865000</v>
      </c>
      <c r="E40" s="133">
        <v>100972.397</v>
      </c>
      <c r="F40" s="80">
        <v>87341123405</v>
      </c>
      <c r="G40" s="81">
        <v>5.5647013916743197E-2</v>
      </c>
    </row>
    <row r="41" spans="1:7" ht="34" customHeight="1">
      <c r="A41" s="78" t="s">
        <v>296</v>
      </c>
      <c r="B41" s="79" t="s">
        <v>297</v>
      </c>
      <c r="C41" s="132" t="s">
        <v>298</v>
      </c>
      <c r="D41" s="80">
        <v>220480</v>
      </c>
      <c r="E41" s="133">
        <v>98139.793999000001</v>
      </c>
      <c r="F41" s="80">
        <v>21637861781</v>
      </c>
      <c r="G41" s="81">
        <v>1.37859733046088E-2</v>
      </c>
    </row>
    <row r="42" spans="1:7" ht="34" customHeight="1">
      <c r="A42" s="78" t="s">
        <v>299</v>
      </c>
      <c r="B42" s="79" t="s">
        <v>300</v>
      </c>
      <c r="C42" s="132" t="s">
        <v>301</v>
      </c>
      <c r="D42" s="80">
        <v>280000</v>
      </c>
      <c r="E42" s="133">
        <v>98872.07</v>
      </c>
      <c r="F42" s="80">
        <v>27684179600</v>
      </c>
      <c r="G42" s="81">
        <v>1.7638219745941899E-2</v>
      </c>
    </row>
    <row r="43" spans="1:7" ht="34" customHeight="1">
      <c r="A43" s="78" t="s">
        <v>302</v>
      </c>
      <c r="B43" s="79" t="s">
        <v>303</v>
      </c>
      <c r="C43" s="132" t="s">
        <v>304</v>
      </c>
      <c r="D43" s="80">
        <v>1533233</v>
      </c>
      <c r="E43" s="133">
        <v>100376.807999</v>
      </c>
      <c r="F43" s="80">
        <v>153901034460</v>
      </c>
      <c r="G43" s="81">
        <v>9.8053845342531101E-2</v>
      </c>
    </row>
    <row r="44" spans="1:7" ht="34" customHeight="1">
      <c r="A44" s="78" t="s">
        <v>305</v>
      </c>
      <c r="B44" s="79" t="s">
        <v>306</v>
      </c>
      <c r="C44" s="132" t="s">
        <v>307</v>
      </c>
      <c r="D44" s="80">
        <v>700000</v>
      </c>
      <c r="E44" s="133">
        <v>100344.614</v>
      </c>
      <c r="F44" s="80">
        <v>70241229800</v>
      </c>
      <c r="G44" s="81">
        <v>4.4752283229574301E-2</v>
      </c>
    </row>
    <row r="45" spans="1:7" ht="39" customHeight="1">
      <c r="A45" s="78" t="s">
        <v>308</v>
      </c>
      <c r="B45" s="79" t="s">
        <v>309</v>
      </c>
      <c r="C45" s="132" t="s">
        <v>310</v>
      </c>
      <c r="D45" s="80"/>
      <c r="E45" s="133"/>
      <c r="F45" s="80">
        <v>128002184700</v>
      </c>
      <c r="G45" s="81">
        <v>8.1553099796363104E-2</v>
      </c>
    </row>
    <row r="46" spans="1:7" ht="34" customHeight="1">
      <c r="A46" s="78" t="s">
        <v>311</v>
      </c>
      <c r="B46" s="79" t="s">
        <v>312</v>
      </c>
      <c r="C46" s="132" t="s">
        <v>313</v>
      </c>
      <c r="D46" s="80">
        <v>360</v>
      </c>
      <c r="E46" s="133">
        <v>97823651</v>
      </c>
      <c r="F46" s="80">
        <v>35216514360</v>
      </c>
      <c r="G46" s="81">
        <v>2.24372413393749E-2</v>
      </c>
    </row>
    <row r="47" spans="1:7" ht="34" customHeight="1">
      <c r="A47" s="78" t="s">
        <v>314</v>
      </c>
      <c r="B47" s="79" t="s">
        <v>315</v>
      </c>
      <c r="C47" s="132" t="s">
        <v>316</v>
      </c>
      <c r="D47" s="80">
        <v>93</v>
      </c>
      <c r="E47" s="133">
        <v>997695380</v>
      </c>
      <c r="F47" s="80">
        <v>92785670340</v>
      </c>
      <c r="G47" s="81">
        <v>5.9115858456988302E-2</v>
      </c>
    </row>
    <row r="48" spans="1:7" ht="39" customHeight="1">
      <c r="A48" s="74"/>
      <c r="B48" s="75" t="s">
        <v>317</v>
      </c>
      <c r="C48" s="74" t="s">
        <v>318</v>
      </c>
      <c r="D48" s="76"/>
      <c r="E48" s="76"/>
      <c r="F48" s="76">
        <v>1038549117909</v>
      </c>
      <c r="G48" s="77">
        <v>0.66168323653820904</v>
      </c>
    </row>
    <row r="49" spans="1:7" ht="39" customHeight="1">
      <c r="A49" s="74" t="s">
        <v>319</v>
      </c>
      <c r="B49" s="75" t="s">
        <v>320</v>
      </c>
      <c r="C49" s="74" t="s">
        <v>321</v>
      </c>
      <c r="D49" s="76"/>
      <c r="E49" s="76"/>
      <c r="F49" s="76"/>
      <c r="G49" s="77"/>
    </row>
    <row r="50" spans="1:7" ht="39" customHeight="1">
      <c r="A50" s="78"/>
      <c r="B50" s="79"/>
      <c r="C50" s="132"/>
      <c r="D50" s="80"/>
      <c r="E50" s="133"/>
      <c r="F50" s="80"/>
      <c r="G50" s="81"/>
    </row>
    <row r="51" spans="1:7" ht="39" customHeight="1">
      <c r="A51" s="78" t="s">
        <v>322</v>
      </c>
      <c r="B51" s="79" t="s">
        <v>323</v>
      </c>
      <c r="C51" s="132" t="s">
        <v>324</v>
      </c>
      <c r="D51" s="80"/>
      <c r="E51" s="133"/>
      <c r="F51" s="80">
        <v>0</v>
      </c>
      <c r="G51" s="81">
        <v>0</v>
      </c>
    </row>
    <row r="52" spans="1:7" ht="39" customHeight="1">
      <c r="A52" s="78" t="s">
        <v>325</v>
      </c>
      <c r="B52" s="79" t="s">
        <v>326</v>
      </c>
      <c r="C52" s="132" t="s">
        <v>327</v>
      </c>
      <c r="D52" s="80"/>
      <c r="E52" s="133"/>
      <c r="F52" s="80">
        <v>0</v>
      </c>
      <c r="G52" s="81">
        <v>0</v>
      </c>
    </row>
    <row r="53" spans="1:7" ht="34" customHeight="1">
      <c r="A53" s="74"/>
      <c r="B53" s="75" t="s">
        <v>328</v>
      </c>
      <c r="C53" s="74" t="s">
        <v>329</v>
      </c>
      <c r="D53" s="76"/>
      <c r="E53" s="76"/>
      <c r="F53" s="76">
        <v>0</v>
      </c>
      <c r="G53" s="77">
        <v>0</v>
      </c>
    </row>
    <row r="54" spans="1:7" ht="39" customHeight="1">
      <c r="A54" s="74"/>
      <c r="B54" s="75" t="s">
        <v>330</v>
      </c>
      <c r="C54" s="74" t="s">
        <v>331</v>
      </c>
      <c r="D54" s="76"/>
      <c r="E54" s="76"/>
      <c r="F54" s="76">
        <v>1038549117909</v>
      </c>
      <c r="G54" s="77">
        <v>0.66168323653820904</v>
      </c>
    </row>
    <row r="55" spans="1:7" ht="39" customHeight="1">
      <c r="A55" s="74" t="s">
        <v>332</v>
      </c>
      <c r="B55" s="75" t="s">
        <v>333</v>
      </c>
      <c r="C55" s="74" t="s">
        <v>334</v>
      </c>
      <c r="D55" s="76"/>
      <c r="E55" s="76"/>
      <c r="F55" s="76"/>
      <c r="G55" s="77"/>
    </row>
    <row r="56" spans="1:7" ht="39" customHeight="1">
      <c r="A56" s="78"/>
      <c r="B56" s="79"/>
      <c r="C56" s="132"/>
      <c r="D56" s="80"/>
      <c r="E56" s="133"/>
      <c r="F56" s="80"/>
      <c r="G56" s="81"/>
    </row>
    <row r="57" spans="1:7" ht="39" customHeight="1">
      <c r="A57" s="78" t="s">
        <v>335</v>
      </c>
      <c r="B57" s="79" t="s">
        <v>336</v>
      </c>
      <c r="C57" s="132" t="s">
        <v>337</v>
      </c>
      <c r="D57" s="80"/>
      <c r="E57" s="133"/>
      <c r="F57" s="80">
        <v>0</v>
      </c>
      <c r="G57" s="81">
        <v>0</v>
      </c>
    </row>
    <row r="58" spans="1:7" ht="39" customHeight="1">
      <c r="A58" s="78" t="s">
        <v>338</v>
      </c>
      <c r="B58" s="79" t="s">
        <v>339</v>
      </c>
      <c r="C58" s="132" t="s">
        <v>340</v>
      </c>
      <c r="D58" s="80"/>
      <c r="E58" s="133"/>
      <c r="F58" s="80">
        <v>21388543708</v>
      </c>
      <c r="G58" s="81">
        <v>1.36271270963502E-2</v>
      </c>
    </row>
    <row r="59" spans="1:7" ht="75">
      <c r="A59" s="78" t="s">
        <v>341</v>
      </c>
      <c r="B59" s="79" t="s">
        <v>342</v>
      </c>
      <c r="C59" s="132" t="s">
        <v>343</v>
      </c>
      <c r="D59" s="80"/>
      <c r="E59" s="133"/>
      <c r="F59" s="80">
        <v>4589647248</v>
      </c>
      <c r="G59" s="81">
        <v>2.92416852824425E-3</v>
      </c>
    </row>
    <row r="60" spans="1:7" ht="61.5" customHeight="1">
      <c r="A60" s="78" t="s">
        <v>344</v>
      </c>
      <c r="B60" s="79" t="s">
        <v>345</v>
      </c>
      <c r="C60" s="132" t="s">
        <v>346</v>
      </c>
      <c r="D60" s="80"/>
      <c r="E60" s="133"/>
      <c r="F60" s="80">
        <v>0</v>
      </c>
      <c r="G60" s="81">
        <v>0</v>
      </c>
    </row>
    <row r="61" spans="1:7" ht="73.5" customHeight="1">
      <c r="A61" s="78" t="s">
        <v>347</v>
      </c>
      <c r="B61" s="79" t="s">
        <v>348</v>
      </c>
      <c r="C61" s="132" t="s">
        <v>349</v>
      </c>
      <c r="D61" s="80"/>
      <c r="E61" s="133"/>
      <c r="F61" s="80">
        <v>0</v>
      </c>
      <c r="G61" s="81">
        <v>0</v>
      </c>
    </row>
    <row r="62" spans="1:7" ht="39" customHeight="1">
      <c r="A62" s="78" t="s">
        <v>350</v>
      </c>
      <c r="B62" s="79" t="s">
        <v>351</v>
      </c>
      <c r="C62" s="132" t="s">
        <v>352</v>
      </c>
      <c r="D62" s="80"/>
      <c r="E62" s="133"/>
      <c r="F62" s="80">
        <v>0</v>
      </c>
      <c r="G62" s="81">
        <v>0</v>
      </c>
    </row>
    <row r="63" spans="1:7" ht="39" customHeight="1">
      <c r="A63" s="78" t="s">
        <v>353</v>
      </c>
      <c r="B63" s="79" t="s">
        <v>354</v>
      </c>
      <c r="C63" s="132" t="s">
        <v>355</v>
      </c>
      <c r="D63" s="80"/>
      <c r="E63" s="133"/>
      <c r="F63" s="80">
        <v>46583848</v>
      </c>
      <c r="G63" s="81">
        <v>2.9679627841872399E-5</v>
      </c>
    </row>
    <row r="64" spans="1:7" ht="39" customHeight="1">
      <c r="A64" s="74"/>
      <c r="B64" s="75" t="s">
        <v>356</v>
      </c>
      <c r="C64" s="74" t="s">
        <v>357</v>
      </c>
      <c r="D64" s="76"/>
      <c r="E64" s="76"/>
      <c r="F64" s="76">
        <v>26024774804</v>
      </c>
      <c r="G64" s="77">
        <v>1.6580975252436399E-2</v>
      </c>
    </row>
    <row r="65" spans="1:7" ht="39" customHeight="1">
      <c r="A65" s="74" t="s">
        <v>358</v>
      </c>
      <c r="B65" s="75" t="s">
        <v>359</v>
      </c>
      <c r="C65" s="74" t="s">
        <v>360</v>
      </c>
      <c r="D65" s="76"/>
      <c r="E65" s="76"/>
      <c r="F65" s="76"/>
      <c r="G65" s="77"/>
    </row>
    <row r="66" spans="1:7" ht="39" customHeight="1">
      <c r="A66" s="78" t="s">
        <v>361</v>
      </c>
      <c r="B66" s="79" t="s">
        <v>362</v>
      </c>
      <c r="C66" s="132" t="s">
        <v>363</v>
      </c>
      <c r="D66" s="80"/>
      <c r="E66" s="133"/>
      <c r="F66" s="80">
        <v>188378281284</v>
      </c>
      <c r="G66" s="81">
        <v>0.120020082540212</v>
      </c>
    </row>
    <row r="67" spans="1:7" ht="39" customHeight="1">
      <c r="A67" s="78"/>
      <c r="B67" s="79"/>
      <c r="C67" s="132"/>
      <c r="D67" s="80"/>
      <c r="E67" s="133"/>
      <c r="F67" s="80"/>
      <c r="G67" s="81"/>
    </row>
    <row r="68" spans="1:7" ht="39" customHeight="1">
      <c r="A68" s="78" t="s">
        <v>364</v>
      </c>
      <c r="B68" s="79" t="s">
        <v>365</v>
      </c>
      <c r="C68" s="132" t="s">
        <v>366</v>
      </c>
      <c r="D68" s="80"/>
      <c r="E68" s="133"/>
      <c r="F68" s="80">
        <v>13878281284</v>
      </c>
      <c r="G68" s="81">
        <v>8.8421682896171003E-3</v>
      </c>
    </row>
    <row r="69" spans="1:7" ht="39" customHeight="1">
      <c r="A69" s="78" t="s">
        <v>367</v>
      </c>
      <c r="B69" s="79" t="s">
        <v>368</v>
      </c>
      <c r="C69" s="132" t="s">
        <v>369</v>
      </c>
      <c r="D69" s="80"/>
      <c r="E69" s="133"/>
      <c r="F69" s="80">
        <v>174500000000</v>
      </c>
      <c r="G69" s="81">
        <v>0.11117791425059501</v>
      </c>
    </row>
    <row r="70" spans="1:7" ht="71" customHeight="1">
      <c r="A70" s="78" t="s">
        <v>370</v>
      </c>
      <c r="B70" s="79" t="s">
        <v>371</v>
      </c>
      <c r="C70" s="132" t="s">
        <v>372</v>
      </c>
      <c r="D70" s="80"/>
      <c r="E70" s="133"/>
      <c r="F70" s="80">
        <v>91604164384</v>
      </c>
      <c r="G70" s="81">
        <v>5.83630941712419E-2</v>
      </c>
    </row>
    <row r="71" spans="1:7" ht="39" customHeight="1">
      <c r="A71" s="78"/>
      <c r="B71" s="79"/>
      <c r="C71" s="132"/>
      <c r="D71" s="80"/>
      <c r="E71" s="133"/>
      <c r="F71" s="80"/>
      <c r="G71" s="81"/>
    </row>
    <row r="72" spans="1:7" ht="39" customHeight="1">
      <c r="A72" s="78" t="s">
        <v>373</v>
      </c>
      <c r="B72" s="79" t="s">
        <v>374</v>
      </c>
      <c r="C72" s="132" t="s">
        <v>375</v>
      </c>
      <c r="D72" s="80"/>
      <c r="E72" s="133"/>
      <c r="F72" s="80">
        <v>225000000000</v>
      </c>
      <c r="G72" s="81">
        <v>0.14335261149790099</v>
      </c>
    </row>
    <row r="73" spans="1:7" ht="39" customHeight="1">
      <c r="A73" s="74"/>
      <c r="B73" s="75" t="s">
        <v>376</v>
      </c>
      <c r="C73" s="74" t="s">
        <v>377</v>
      </c>
      <c r="D73" s="76"/>
      <c r="E73" s="76"/>
      <c r="F73" s="76">
        <v>504982445668</v>
      </c>
      <c r="G73" s="77">
        <v>0.321735788209355</v>
      </c>
    </row>
    <row r="74" spans="1:7" ht="39" customHeight="1">
      <c r="A74" s="74" t="s">
        <v>378</v>
      </c>
      <c r="B74" s="75" t="s">
        <v>379</v>
      </c>
      <c r="C74" s="74" t="s">
        <v>380</v>
      </c>
      <c r="D74" s="76"/>
      <c r="E74" s="76"/>
      <c r="F74" s="76">
        <v>1569556338381</v>
      </c>
      <c r="G74" s="77">
        <v>1</v>
      </c>
    </row>
    <row r="75" spans="1:7" ht="16.899999999999999" customHeight="1">
      <c r="A75" s="134"/>
      <c r="E75" s="83"/>
    </row>
    <row r="76" spans="1:7" ht="16.899999999999999" customHeight="1">
      <c r="A76" s="83" t="s">
        <v>10</v>
      </c>
      <c r="E76" s="83" t="s">
        <v>11</v>
      </c>
    </row>
    <row r="77" spans="1:7" ht="16.899999999999999" customHeight="1">
      <c r="A77" s="85" t="s">
        <v>12</v>
      </c>
      <c r="E77" s="85" t="s">
        <v>13</v>
      </c>
    </row>
    <row r="78" spans="1:7" ht="16.899999999999999" customHeight="1"/>
    <row r="79" spans="1:7" ht="16.899999999999999" customHeight="1">
      <c r="A79" s="125"/>
      <c r="E79" s="125"/>
    </row>
    <row r="80" spans="1:7" ht="16.899999999999999" customHeight="1"/>
    <row r="81" spans="1:7" ht="16.899999999999999" customHeight="1"/>
    <row r="82" spans="1:7" ht="16.899999999999999" customHeight="1"/>
    <row r="83" spans="1:7" ht="16.899999999999999" customHeight="1"/>
    <row r="84" spans="1:7" ht="16.899999999999999" customHeight="1"/>
    <row r="85" spans="1:7" ht="16.899999999999999" customHeight="1"/>
    <row r="86" spans="1:7" ht="16.899999999999999" customHeight="1">
      <c r="A86" s="135" t="s">
        <v>14</v>
      </c>
      <c r="B86" s="124"/>
      <c r="C86" s="124"/>
      <c r="E86" s="135" t="s">
        <v>752</v>
      </c>
      <c r="F86" s="124"/>
      <c r="G86" s="124"/>
    </row>
    <row r="87" spans="1:7" ht="16.899999999999999" customHeight="1">
      <c r="A87" s="136" t="s">
        <v>758</v>
      </c>
      <c r="E87" s="136" t="s">
        <v>759</v>
      </c>
    </row>
    <row r="88" spans="1:7" ht="16.899999999999999" customHeight="1">
      <c r="A88" s="137" t="s">
        <v>760</v>
      </c>
      <c r="E88" s="137" t="s">
        <v>761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0"/>
  <sheetViews>
    <sheetView view="pageBreakPreview" topLeftCell="A28" zoomScale="80" zoomScaleNormal="85" zoomScaleSheetLayoutView="80" workbookViewId="0">
      <selection activeCell="A35" sqref="A35:XFD38"/>
    </sheetView>
  </sheetViews>
  <sheetFormatPr defaultColWidth="9.1796875" defaultRowHeight="13"/>
  <cols>
    <col min="1" max="1" width="4.81640625" style="52" customWidth="1"/>
    <col min="2" max="2" width="34.453125" style="49" customWidth="1"/>
    <col min="3" max="3" width="14.453125" style="49" customWidth="1"/>
    <col min="4" max="4" width="11.81640625" style="49" customWidth="1"/>
    <col min="5" max="5" width="12.26953125" style="49" customWidth="1"/>
    <col min="6" max="6" width="12.54296875" style="49" customWidth="1"/>
    <col min="7" max="7" width="16.453125" style="49" customWidth="1"/>
    <col min="8" max="9" width="19" style="49" customWidth="1"/>
    <col min="10" max="10" width="43.54296875" style="49" customWidth="1"/>
    <col min="11" max="16384" width="9.1796875" style="49"/>
  </cols>
  <sheetData>
    <row r="1" spans="1:10" s="48" customFormat="1" ht="46.5" customHeight="1">
      <c r="A1" s="174" t="s">
        <v>232</v>
      </c>
      <c r="B1" s="174"/>
      <c r="C1" s="174"/>
      <c r="D1" s="174"/>
      <c r="E1" s="174"/>
      <c r="F1" s="174"/>
      <c r="G1" s="174"/>
      <c r="H1" s="174"/>
      <c r="I1" s="174"/>
      <c r="J1" s="174"/>
    </row>
    <row r="2" spans="1:10" ht="49" customHeight="1">
      <c r="A2" s="175" t="s">
        <v>234</v>
      </c>
      <c r="B2" s="175"/>
      <c r="C2" s="175"/>
      <c r="D2" s="175"/>
      <c r="E2" s="175"/>
      <c r="F2" s="175"/>
      <c r="G2" s="175"/>
      <c r="H2" s="175"/>
      <c r="I2" s="175"/>
      <c r="J2" s="175"/>
    </row>
    <row r="3" spans="1:10" ht="19.149999999999999" customHeight="1">
      <c r="A3" s="176" t="s">
        <v>183</v>
      </c>
      <c r="B3" s="176"/>
      <c r="C3" s="176"/>
      <c r="D3" s="176"/>
      <c r="E3" s="176"/>
      <c r="F3" s="176"/>
      <c r="G3" s="176"/>
      <c r="H3" s="176"/>
      <c r="I3" s="176"/>
      <c r="J3" s="176"/>
    </row>
    <row r="4" spans="1:10" ht="21.65" customHeight="1">
      <c r="A4" s="176"/>
      <c r="B4" s="176"/>
      <c r="C4" s="176"/>
      <c r="D4" s="176"/>
      <c r="E4" s="176"/>
      <c r="F4" s="176"/>
      <c r="G4" s="176"/>
      <c r="H4" s="176"/>
      <c r="I4" s="176"/>
      <c r="J4" s="176"/>
    </row>
    <row r="5" spans="1:10">
      <c r="A5" s="177" t="str">
        <f>TONGQUAN!C2</f>
        <v>Tháng 04 năm 2025
/ Apr 2025</v>
      </c>
      <c r="B5" s="177"/>
      <c r="C5" s="177"/>
      <c r="D5" s="177"/>
      <c r="E5" s="177"/>
      <c r="F5" s="177"/>
      <c r="G5" s="177"/>
      <c r="H5" s="177"/>
      <c r="I5" s="177"/>
      <c r="J5" s="177"/>
    </row>
    <row r="6" spans="1:10">
      <c r="A6" s="44"/>
      <c r="B6" s="44"/>
      <c r="C6" s="44"/>
      <c r="D6" s="44"/>
      <c r="E6" s="44"/>
      <c r="F6" s="4"/>
      <c r="G6" s="50"/>
      <c r="H6" s="50"/>
      <c r="I6" s="50"/>
      <c r="J6" s="50"/>
    </row>
    <row r="7" spans="1:10">
      <c r="A7" s="178" t="s">
        <v>2</v>
      </c>
      <c r="B7" s="179"/>
      <c r="C7" s="50"/>
      <c r="D7" s="50"/>
      <c r="E7" s="50"/>
      <c r="F7" s="50"/>
      <c r="G7" s="180" t="str">
        <f>TONGQUAN!D5</f>
        <v>Công ty Cổ phần Quản lý Quỹ Đầu tư Dragon Capital Việt Nam</v>
      </c>
      <c r="H7" s="180"/>
      <c r="I7" s="180"/>
      <c r="J7" s="180"/>
    </row>
    <row r="8" spans="1:10" ht="15" customHeight="1">
      <c r="A8" s="181" t="s">
        <v>15</v>
      </c>
      <c r="B8" s="181"/>
      <c r="C8" s="50"/>
      <c r="D8" s="50"/>
      <c r="E8" s="50"/>
      <c r="F8" s="50"/>
      <c r="G8" s="182" t="str">
        <f>TONGQUAN!D6</f>
        <v>Dragon Capital Vietfund Management Joint Stock Company</v>
      </c>
      <c r="H8" s="182"/>
      <c r="I8" s="182"/>
      <c r="J8" s="182"/>
    </row>
    <row r="9" spans="1:10">
      <c r="A9" s="183" t="s">
        <v>3</v>
      </c>
      <c r="B9" s="184"/>
      <c r="C9" s="50"/>
      <c r="D9" s="50"/>
      <c r="E9" s="50"/>
      <c r="F9" s="50"/>
      <c r="G9" s="185" t="str">
        <f>TONGQUAN!D7</f>
        <v>Ngân hàng TNHH Một thành viên Standard Chartered (Việt Nam)</v>
      </c>
      <c r="H9" s="185"/>
      <c r="I9" s="185"/>
      <c r="J9" s="185"/>
    </row>
    <row r="10" spans="1:10" ht="15" customHeight="1">
      <c r="A10" s="184" t="s">
        <v>4</v>
      </c>
      <c r="B10" s="184"/>
      <c r="C10" s="50"/>
      <c r="D10" s="50"/>
      <c r="E10" s="50"/>
      <c r="F10" s="50"/>
      <c r="G10" s="182" t="str">
        <f>TONGQUAN!D8</f>
        <v>Standard Chartered Bank (Vietnam) Limited</v>
      </c>
      <c r="H10" s="182"/>
      <c r="I10" s="182"/>
      <c r="J10" s="182"/>
    </row>
    <row r="11" spans="1:10" ht="15" customHeight="1">
      <c r="A11" s="183" t="s">
        <v>5</v>
      </c>
      <c r="B11" s="186"/>
      <c r="C11" s="50"/>
      <c r="D11" s="50"/>
      <c r="E11" s="50"/>
      <c r="F11" s="50"/>
      <c r="G11" s="180" t="str">
        <f>TONGQUAN!D9</f>
        <v>Quỹ Đầu tư Trái phiếu DC</v>
      </c>
      <c r="H11" s="180"/>
      <c r="I11" s="180"/>
      <c r="J11" s="180"/>
    </row>
    <row r="12" spans="1:10" ht="15" customHeight="1">
      <c r="A12" s="5" t="s">
        <v>180</v>
      </c>
      <c r="B12" s="45"/>
      <c r="C12" s="50"/>
      <c r="D12" s="50"/>
      <c r="E12" s="50"/>
      <c r="F12" s="50"/>
      <c r="G12" s="182" t="str">
        <f>TONGQUAN!D10</f>
        <v>DC Bond Fund (DCBF)</v>
      </c>
      <c r="H12" s="182"/>
      <c r="I12" s="182"/>
      <c r="J12" s="182"/>
    </row>
    <row r="13" spans="1:10" ht="15" customHeight="1">
      <c r="A13" s="6" t="s">
        <v>7</v>
      </c>
      <c r="B13" s="7"/>
      <c r="C13" s="50"/>
      <c r="D13" s="50"/>
      <c r="E13" s="50"/>
      <c r="F13" s="50"/>
      <c r="G13" s="180" t="str">
        <f>TONGQUAN!D11</f>
        <v>Ngày 05 tháng 05 năm 2025</v>
      </c>
      <c r="H13" s="180"/>
      <c r="I13" s="180"/>
      <c r="J13" s="180"/>
    </row>
    <row r="14" spans="1:10">
      <c r="A14" s="8" t="s">
        <v>8</v>
      </c>
      <c r="B14" s="8"/>
      <c r="C14" s="10"/>
      <c r="D14" s="10"/>
      <c r="E14" s="10"/>
      <c r="F14" s="10"/>
      <c r="G14" s="187" t="str">
        <f>TONGQUAN!D12</f>
        <v>05 May 2025</v>
      </c>
      <c r="H14" s="187"/>
      <c r="I14" s="187"/>
      <c r="J14" s="187"/>
    </row>
    <row r="15" spans="1:10">
      <c r="A15" s="19" t="s">
        <v>230</v>
      </c>
      <c r="B15" s="20" t="s">
        <v>231</v>
      </c>
      <c r="C15" s="10"/>
      <c r="D15" s="10"/>
      <c r="E15" s="10"/>
      <c r="F15" s="10"/>
      <c r="G15" s="46"/>
      <c r="H15" s="46"/>
      <c r="I15" s="46"/>
      <c r="J15" s="46"/>
    </row>
    <row r="16" spans="1:10">
      <c r="A16" s="17" t="s">
        <v>24</v>
      </c>
      <c r="B16" s="18" t="s">
        <v>186</v>
      </c>
      <c r="C16" s="10"/>
      <c r="D16" s="10"/>
      <c r="E16" s="10"/>
      <c r="F16" s="10"/>
      <c r="G16" s="10"/>
      <c r="H16" s="10"/>
      <c r="I16" s="10"/>
      <c r="J16" s="10"/>
    </row>
    <row r="17" spans="1:10" s="9" customFormat="1" ht="36" customHeight="1">
      <c r="A17" s="188" t="s">
        <v>143</v>
      </c>
      <c r="B17" s="188" t="s">
        <v>221</v>
      </c>
      <c r="C17" s="188" t="s">
        <v>222</v>
      </c>
      <c r="D17" s="188" t="s">
        <v>223</v>
      </c>
      <c r="E17" s="188" t="s">
        <v>224</v>
      </c>
      <c r="F17" s="188" t="s">
        <v>225</v>
      </c>
      <c r="G17" s="188" t="s">
        <v>226</v>
      </c>
      <c r="H17" s="189"/>
      <c r="I17" s="188" t="s">
        <v>235</v>
      </c>
      <c r="J17" s="189"/>
    </row>
    <row r="18" spans="1:10" s="9" customFormat="1" ht="87" customHeight="1">
      <c r="A18" s="189"/>
      <c r="B18" s="189"/>
      <c r="C18" s="189"/>
      <c r="D18" s="189"/>
      <c r="E18" s="189"/>
      <c r="F18" s="189"/>
      <c r="G18" s="47" t="s">
        <v>227</v>
      </c>
      <c r="H18" s="47" t="s">
        <v>228</v>
      </c>
      <c r="I18" s="47" t="s">
        <v>227</v>
      </c>
      <c r="J18" s="47" t="s">
        <v>229</v>
      </c>
    </row>
    <row r="19" spans="1:10" s="9" customFormat="1" ht="45.75" customHeight="1">
      <c r="A19" s="57" t="s">
        <v>381</v>
      </c>
      <c r="B19" s="57" t="s">
        <v>382</v>
      </c>
      <c r="C19" s="57"/>
      <c r="D19" s="57"/>
      <c r="E19" s="57"/>
      <c r="F19" s="59"/>
      <c r="G19" s="57"/>
      <c r="H19" s="58"/>
      <c r="I19" s="57"/>
      <c r="J19" s="58"/>
    </row>
    <row r="20" spans="1:10">
      <c r="A20" s="57" t="s">
        <v>383</v>
      </c>
      <c r="B20" s="57" t="s">
        <v>384</v>
      </c>
      <c r="C20" s="57" t="s">
        <v>385</v>
      </c>
      <c r="D20" s="57" t="s">
        <v>386</v>
      </c>
      <c r="E20" s="57" t="s">
        <v>387</v>
      </c>
      <c r="F20" s="59" t="s">
        <v>388</v>
      </c>
      <c r="G20" s="57" t="s">
        <v>389</v>
      </c>
      <c r="H20" s="58" t="s">
        <v>390</v>
      </c>
      <c r="I20" s="57" t="s">
        <v>391</v>
      </c>
      <c r="J20" s="58" t="s">
        <v>392</v>
      </c>
    </row>
    <row r="21" spans="1:10" ht="33" customHeight="1">
      <c r="A21" s="60" t="s">
        <v>393</v>
      </c>
      <c r="B21" s="60" t="s">
        <v>394</v>
      </c>
      <c r="C21" s="60"/>
      <c r="D21" s="60"/>
      <c r="E21" s="60"/>
      <c r="F21" s="62">
        <v>0</v>
      </c>
      <c r="G21" s="60"/>
      <c r="H21" s="61">
        <v>0</v>
      </c>
      <c r="I21" s="60"/>
      <c r="J21" s="61">
        <v>0</v>
      </c>
    </row>
    <row r="22" spans="1:10" ht="33" customHeight="1">
      <c r="A22" s="57" t="s">
        <v>395</v>
      </c>
      <c r="B22" s="57" t="s">
        <v>396</v>
      </c>
      <c r="C22" s="57"/>
      <c r="D22" s="57"/>
      <c r="E22" s="57"/>
      <c r="F22" s="59"/>
      <c r="G22" s="57"/>
      <c r="H22" s="58"/>
      <c r="I22" s="57"/>
      <c r="J22" s="58"/>
    </row>
    <row r="23" spans="1:10">
      <c r="A23" s="57" t="s">
        <v>397</v>
      </c>
      <c r="B23" s="57" t="s">
        <v>398</v>
      </c>
      <c r="C23" s="57" t="s">
        <v>399</v>
      </c>
      <c r="D23" s="57" t="s">
        <v>400</v>
      </c>
      <c r="E23" s="57" t="s">
        <v>401</v>
      </c>
      <c r="F23" s="59" t="s">
        <v>402</v>
      </c>
      <c r="G23" s="57" t="s">
        <v>403</v>
      </c>
      <c r="H23" s="58" t="s">
        <v>404</v>
      </c>
      <c r="I23" s="57" t="s">
        <v>405</v>
      </c>
      <c r="J23" s="58" t="s">
        <v>406</v>
      </c>
    </row>
    <row r="24" spans="1:10" ht="30.5" customHeight="1">
      <c r="A24" s="60" t="s">
        <v>407</v>
      </c>
      <c r="B24" s="60" t="s">
        <v>408</v>
      </c>
      <c r="C24" s="60"/>
      <c r="D24" s="60"/>
      <c r="E24" s="60"/>
      <c r="F24" s="62">
        <v>0</v>
      </c>
      <c r="G24" s="60"/>
      <c r="H24" s="61">
        <v>0</v>
      </c>
      <c r="I24" s="60"/>
      <c r="J24" s="61">
        <v>0</v>
      </c>
    </row>
    <row r="25" spans="1:10" ht="30.5" customHeight="1">
      <c r="A25" s="60" t="s">
        <v>409</v>
      </c>
      <c r="B25" s="60" t="s">
        <v>410</v>
      </c>
      <c r="C25" s="60"/>
      <c r="D25" s="60"/>
      <c r="E25" s="60"/>
      <c r="F25" s="62">
        <v>0</v>
      </c>
      <c r="G25" s="60"/>
      <c r="H25" s="61">
        <v>0</v>
      </c>
      <c r="I25" s="60"/>
      <c r="J25" s="61">
        <v>0</v>
      </c>
    </row>
    <row r="26" spans="1:10" ht="30.5" customHeight="1">
      <c r="A26" s="57" t="s">
        <v>411</v>
      </c>
      <c r="B26" s="57" t="s">
        <v>412</v>
      </c>
      <c r="C26" s="57"/>
      <c r="D26" s="57"/>
      <c r="E26" s="57"/>
      <c r="F26" s="59"/>
      <c r="G26" s="57"/>
      <c r="H26" s="58"/>
      <c r="I26" s="57"/>
      <c r="J26" s="58"/>
    </row>
    <row r="27" spans="1:10">
      <c r="A27" s="57" t="s">
        <v>413</v>
      </c>
      <c r="B27" s="57" t="s">
        <v>414</v>
      </c>
      <c r="C27" s="57" t="s">
        <v>415</v>
      </c>
      <c r="D27" s="57" t="s">
        <v>416</v>
      </c>
      <c r="E27" s="57" t="s">
        <v>417</v>
      </c>
      <c r="F27" s="59" t="s">
        <v>418</v>
      </c>
      <c r="G27" s="57" t="s">
        <v>419</v>
      </c>
      <c r="H27" s="58" t="s">
        <v>420</v>
      </c>
      <c r="I27" s="57" t="s">
        <v>421</v>
      </c>
      <c r="J27" s="58" t="s">
        <v>422</v>
      </c>
    </row>
    <row r="28" spans="1:10" ht="36.5" customHeight="1">
      <c r="A28" s="60" t="s">
        <v>423</v>
      </c>
      <c r="B28" s="60" t="s">
        <v>424</v>
      </c>
      <c r="C28" s="60"/>
      <c r="D28" s="60"/>
      <c r="E28" s="60"/>
      <c r="F28" s="62">
        <v>0</v>
      </c>
      <c r="G28" s="60"/>
      <c r="H28" s="61">
        <v>0</v>
      </c>
      <c r="I28" s="60"/>
      <c r="J28" s="61">
        <v>0</v>
      </c>
    </row>
    <row r="29" spans="1:10" ht="36.5" customHeight="1">
      <c r="A29" s="57" t="s">
        <v>425</v>
      </c>
      <c r="B29" s="57" t="s">
        <v>426</v>
      </c>
      <c r="C29" s="57"/>
      <c r="D29" s="57"/>
      <c r="E29" s="57"/>
      <c r="F29" s="59"/>
      <c r="G29" s="57"/>
      <c r="H29" s="58"/>
      <c r="I29" s="57"/>
      <c r="J29" s="58"/>
    </row>
    <row r="30" spans="1:10">
      <c r="A30" s="57" t="s">
        <v>427</v>
      </c>
      <c r="B30" s="57" t="s">
        <v>428</v>
      </c>
      <c r="C30" s="57" t="s">
        <v>429</v>
      </c>
      <c r="D30" s="57" t="s">
        <v>430</v>
      </c>
      <c r="E30" s="57" t="s">
        <v>431</v>
      </c>
      <c r="F30" s="59" t="s">
        <v>432</v>
      </c>
      <c r="G30" s="57" t="s">
        <v>433</v>
      </c>
      <c r="H30" s="58" t="s">
        <v>434</v>
      </c>
      <c r="I30" s="57" t="s">
        <v>435</v>
      </c>
      <c r="J30" s="58" t="s">
        <v>436</v>
      </c>
    </row>
    <row r="31" spans="1:10" ht="35.5" customHeight="1">
      <c r="A31" s="60" t="s">
        <v>437</v>
      </c>
      <c r="B31" s="60" t="s">
        <v>438</v>
      </c>
      <c r="C31" s="60"/>
      <c r="D31" s="60"/>
      <c r="E31" s="60"/>
      <c r="F31" s="62">
        <v>0</v>
      </c>
      <c r="G31" s="60"/>
      <c r="H31" s="61">
        <v>0</v>
      </c>
      <c r="I31" s="60"/>
      <c r="J31" s="61">
        <v>0</v>
      </c>
    </row>
    <row r="32" spans="1:10" ht="35.5" customHeight="1">
      <c r="A32" s="60" t="s">
        <v>439</v>
      </c>
      <c r="B32" s="60" t="s">
        <v>440</v>
      </c>
      <c r="C32" s="60"/>
      <c r="D32" s="60"/>
      <c r="E32" s="60"/>
      <c r="F32" s="62">
        <v>0</v>
      </c>
      <c r="G32" s="60"/>
      <c r="H32" s="61">
        <v>0</v>
      </c>
      <c r="I32" s="60"/>
      <c r="J32" s="61">
        <v>0</v>
      </c>
    </row>
    <row r="33" spans="1:10" s="51" customFormat="1" ht="45.75" customHeight="1">
      <c r="A33" s="11" t="s">
        <v>10</v>
      </c>
      <c r="B33" s="12"/>
      <c r="C33" s="13"/>
      <c r="D33" s="10"/>
      <c r="E33" s="10"/>
      <c r="F33" s="10"/>
      <c r="G33" s="10"/>
      <c r="H33" s="10"/>
      <c r="I33" s="14" t="s">
        <v>11</v>
      </c>
      <c r="J33" s="10"/>
    </row>
    <row r="34" spans="1:10">
      <c r="A34" s="15" t="s">
        <v>12</v>
      </c>
      <c r="B34" s="12"/>
      <c r="C34" s="13"/>
      <c r="D34" s="10"/>
      <c r="E34" s="10"/>
      <c r="F34" s="10"/>
      <c r="G34" s="10"/>
      <c r="H34" s="10"/>
      <c r="I34" s="16" t="s">
        <v>13</v>
      </c>
      <c r="J34" s="10"/>
    </row>
    <row r="35" spans="1:10">
      <c r="A35" s="15"/>
      <c r="B35" s="12"/>
      <c r="C35" s="13"/>
      <c r="D35" s="10"/>
      <c r="E35" s="10"/>
      <c r="F35" s="10"/>
      <c r="G35" s="10"/>
      <c r="H35" s="10"/>
      <c r="I35" s="16"/>
      <c r="J35" s="10"/>
    </row>
    <row r="36" spans="1:10">
      <c r="A36" s="15"/>
      <c r="B36" s="12"/>
      <c r="C36" s="13"/>
      <c r="D36" s="10"/>
      <c r="E36" s="10"/>
      <c r="F36" s="10"/>
      <c r="G36" s="10"/>
      <c r="H36" s="10"/>
      <c r="I36" s="16"/>
      <c r="J36" s="10"/>
    </row>
    <row r="37" spans="1:10">
      <c r="A37" s="15"/>
      <c r="B37" s="12"/>
      <c r="C37" s="13"/>
      <c r="D37" s="10"/>
      <c r="E37" s="10"/>
      <c r="F37" s="10"/>
      <c r="G37" s="10"/>
      <c r="H37" s="10"/>
      <c r="I37" s="16"/>
      <c r="J37" s="10"/>
    </row>
    <row r="38" spans="1:10">
      <c r="A38" s="15"/>
      <c r="B38" s="12"/>
      <c r="C38" s="13"/>
      <c r="D38" s="10"/>
      <c r="E38" s="10"/>
      <c r="F38" s="10"/>
      <c r="G38" s="10"/>
      <c r="H38" s="10"/>
      <c r="I38" s="16"/>
      <c r="J38" s="10"/>
    </row>
    <row r="39" spans="1:10">
      <c r="A39" s="12"/>
      <c r="B39" s="12"/>
      <c r="C39" s="13"/>
      <c r="D39" s="50"/>
      <c r="E39" s="50"/>
      <c r="F39" s="50"/>
      <c r="G39" s="50"/>
      <c r="H39" s="50"/>
      <c r="I39" s="13"/>
      <c r="J39" s="50"/>
    </row>
    <row r="40" spans="1:10">
      <c r="A40" s="53"/>
      <c r="B40" s="50"/>
      <c r="C40" s="50"/>
      <c r="D40" s="50"/>
      <c r="E40" s="50"/>
      <c r="F40" s="50"/>
      <c r="G40" s="10"/>
      <c r="H40" s="50"/>
      <c r="I40" s="50"/>
      <c r="J40" s="50"/>
    </row>
    <row r="41" spans="1:10">
      <c r="A41" s="53"/>
      <c r="B41" s="50"/>
      <c r="C41" s="50"/>
      <c r="D41" s="50"/>
      <c r="E41" s="50"/>
      <c r="F41" s="50"/>
      <c r="G41" s="50"/>
      <c r="H41" s="50"/>
      <c r="I41" s="50"/>
      <c r="J41" s="50"/>
    </row>
    <row r="42" spans="1:10">
      <c r="A42" s="53"/>
      <c r="B42" s="50"/>
      <c r="C42" s="50"/>
      <c r="D42" s="50"/>
      <c r="E42" s="50"/>
      <c r="F42" s="50"/>
      <c r="G42" s="50"/>
      <c r="H42" s="50"/>
      <c r="I42" s="50"/>
      <c r="J42" s="50"/>
    </row>
    <row r="43" spans="1:10">
      <c r="A43" s="139"/>
      <c r="B43" s="140"/>
      <c r="C43" s="140"/>
      <c r="D43" s="50"/>
      <c r="E43" s="50"/>
      <c r="F43" s="50"/>
      <c r="G43" s="50"/>
      <c r="H43" s="50"/>
      <c r="I43" s="50"/>
      <c r="J43" s="50"/>
    </row>
    <row r="44" spans="1:10" s="9" customFormat="1" ht="12.5">
      <c r="A44" s="138" t="s">
        <v>14</v>
      </c>
      <c r="B44" s="138"/>
      <c r="C44" s="10"/>
      <c r="D44" s="10"/>
      <c r="E44" s="10"/>
      <c r="F44" s="10"/>
      <c r="G44" s="10"/>
      <c r="H44" s="10"/>
      <c r="I44" s="55" t="s">
        <v>752</v>
      </c>
      <c r="J44" s="56"/>
    </row>
    <row r="45" spans="1:10" s="9" customFormat="1" ht="12.5">
      <c r="A45" s="18" t="s">
        <v>758</v>
      </c>
      <c r="B45" s="10"/>
      <c r="C45" s="10"/>
      <c r="D45" s="10"/>
      <c r="E45" s="10"/>
      <c r="F45" s="10"/>
      <c r="G45" s="10"/>
      <c r="H45" s="10"/>
      <c r="I45" s="18" t="s">
        <v>759</v>
      </c>
      <c r="J45" s="10"/>
    </row>
    <row r="46" spans="1:10" s="9" customFormat="1" ht="12.5">
      <c r="A46" s="10" t="s">
        <v>760</v>
      </c>
      <c r="B46" s="10"/>
      <c r="C46" s="10"/>
      <c r="D46" s="10"/>
      <c r="E46" s="10"/>
      <c r="F46" s="10"/>
      <c r="G46" s="10"/>
      <c r="H46" s="10"/>
      <c r="I46" s="10" t="s">
        <v>761</v>
      </c>
      <c r="J46" s="10"/>
    </row>
    <row r="47" spans="1:10" s="9" customFormat="1" ht="12.5">
      <c r="A47" s="54"/>
      <c r="B47" s="10"/>
      <c r="C47" s="10"/>
      <c r="D47" s="10"/>
      <c r="E47" s="10"/>
      <c r="F47" s="10"/>
      <c r="G47" s="10"/>
      <c r="H47" s="10"/>
      <c r="I47" s="10"/>
      <c r="J47" s="10"/>
    </row>
    <row r="48" spans="1:10" s="9" customFormat="1" ht="12.5">
      <c r="A48" s="54"/>
      <c r="B48" s="10"/>
      <c r="C48" s="10"/>
      <c r="D48" s="10"/>
      <c r="E48" s="10"/>
      <c r="F48" s="10"/>
      <c r="G48" s="10"/>
      <c r="H48" s="10"/>
      <c r="I48" s="10"/>
      <c r="J48" s="10"/>
    </row>
    <row r="49" spans="1:10">
      <c r="A49" s="53"/>
      <c r="B49" s="50"/>
      <c r="C49" s="50"/>
      <c r="D49" s="50"/>
      <c r="E49" s="50"/>
      <c r="F49" s="50"/>
      <c r="G49" s="50"/>
      <c r="H49" s="50"/>
      <c r="I49" s="50"/>
      <c r="J49" s="50"/>
    </row>
    <row r="50" spans="1:10">
      <c r="A50" s="53"/>
      <c r="B50" s="50"/>
      <c r="C50" s="50"/>
      <c r="D50" s="50"/>
      <c r="E50" s="50"/>
      <c r="F50" s="50"/>
      <c r="G50" s="50"/>
      <c r="H50" s="50"/>
      <c r="I50" s="50"/>
      <c r="J50" s="50"/>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51"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zoomScale="70" zoomScaleNormal="100" zoomScaleSheetLayoutView="70" workbookViewId="0">
      <selection activeCell="A47" sqref="A47:XFD48"/>
    </sheetView>
  </sheetViews>
  <sheetFormatPr defaultColWidth="8.7265625" defaultRowHeight="53.25" customHeight="1"/>
  <cols>
    <col min="1" max="1" width="8.7265625" style="64"/>
    <col min="2" max="2" width="69.7265625" style="64" customWidth="1"/>
    <col min="3" max="3" width="10.7265625" style="64" bestFit="1" customWidth="1"/>
    <col min="4" max="4" width="41.7265625" style="64" customWidth="1"/>
    <col min="5" max="5" width="39.54296875" style="64" customWidth="1"/>
    <col min="6" max="6" width="8.453125" style="130" customWidth="1"/>
    <col min="7" max="16384" width="8.7265625" style="130"/>
  </cols>
  <sheetData>
    <row r="1" spans="1:6" ht="53.25" customHeight="1">
      <c r="A1" s="169" t="s">
        <v>232</v>
      </c>
      <c r="B1" s="169"/>
      <c r="C1" s="169"/>
      <c r="D1" s="169"/>
      <c r="E1" s="169"/>
      <c r="F1" s="141"/>
    </row>
    <row r="2" spans="1:6" ht="66" customHeight="1">
      <c r="A2" s="170" t="s">
        <v>233</v>
      </c>
      <c r="B2" s="170"/>
      <c r="C2" s="170"/>
      <c r="D2" s="170"/>
      <c r="E2" s="170"/>
      <c r="F2" s="142"/>
    </row>
    <row r="3" spans="1:6" ht="40.5" customHeight="1">
      <c r="A3" s="171" t="s">
        <v>183</v>
      </c>
      <c r="B3" s="171"/>
      <c r="C3" s="171"/>
      <c r="D3" s="171"/>
      <c r="E3" s="171"/>
      <c r="F3" s="141"/>
    </row>
    <row r="4" spans="1:6" ht="15" hidden="1">
      <c r="A4" s="171"/>
      <c r="B4" s="171"/>
      <c r="C4" s="171"/>
      <c r="D4" s="171"/>
      <c r="E4" s="171"/>
      <c r="F4" s="141"/>
    </row>
    <row r="5" spans="1:6" ht="15">
      <c r="A5" s="172" t="str">
        <f>TONGQUAN!C2</f>
        <v>Tháng 04 năm 2025
/ Apr 2025</v>
      </c>
      <c r="B5" s="172"/>
      <c r="C5" s="172"/>
      <c r="D5" s="172"/>
      <c r="E5" s="172"/>
      <c r="F5" s="143"/>
    </row>
    <row r="6" spans="1:6" ht="15"/>
    <row r="7" spans="1:6" ht="15">
      <c r="A7" s="93" t="s">
        <v>2</v>
      </c>
      <c r="C7" s="173" t="str">
        <f>TONGQUAN!D5</f>
        <v>Công ty Cổ phần Quản lý Quỹ Đầu tư Dragon Capital Việt Nam</v>
      </c>
      <c r="D7" s="173"/>
      <c r="E7" s="173"/>
    </row>
    <row r="8" spans="1:6" ht="15">
      <c r="A8" s="64" t="s">
        <v>15</v>
      </c>
      <c r="C8" s="168" t="str">
        <f>TONGQUAN!D6</f>
        <v>Dragon Capital Vietfund Management Joint Stock Company</v>
      </c>
      <c r="D8" s="168"/>
      <c r="E8" s="168"/>
    </row>
    <row r="9" spans="1:6" ht="15">
      <c r="A9" s="93" t="s">
        <v>3</v>
      </c>
      <c r="C9" s="173" t="str">
        <f>TONGQUAN!D7</f>
        <v>Ngân hàng TNHH Một thành viên Standard Chartered (Việt Nam)</v>
      </c>
      <c r="D9" s="173"/>
      <c r="E9" s="173"/>
    </row>
    <row r="10" spans="1:6" ht="15">
      <c r="A10" s="64" t="s">
        <v>4</v>
      </c>
      <c r="C10" s="168" t="str">
        <f>TONGQUAN!D8</f>
        <v>Standard Chartered Bank (Vietnam) Limited</v>
      </c>
      <c r="D10" s="168"/>
      <c r="E10" s="168"/>
    </row>
    <row r="11" spans="1:6" ht="15">
      <c r="A11" s="93" t="s">
        <v>5</v>
      </c>
      <c r="C11" s="173" t="str">
        <f>TONGQUAN!D9</f>
        <v>Quỹ Đầu tư Trái phiếu DC</v>
      </c>
      <c r="D11" s="173"/>
      <c r="E11" s="173"/>
    </row>
    <row r="12" spans="1:6" ht="15">
      <c r="A12" s="64" t="s">
        <v>6</v>
      </c>
      <c r="C12" s="168" t="str">
        <f>TONGQUAN!D10</f>
        <v>DC Bond Fund (DCBF)</v>
      </c>
      <c r="D12" s="168"/>
      <c r="E12" s="168"/>
    </row>
    <row r="13" spans="1:6" ht="15">
      <c r="A13" s="93" t="s">
        <v>7</v>
      </c>
      <c r="C13" s="173" t="str">
        <f>TONGQUAN!D11</f>
        <v>Ngày 05 tháng 05 năm 2025</v>
      </c>
      <c r="D13" s="173"/>
      <c r="E13" s="173"/>
    </row>
    <row r="14" spans="1:6" ht="15">
      <c r="A14" s="64" t="s">
        <v>8</v>
      </c>
      <c r="C14" s="168" t="str">
        <f>TONGQUAN!D12</f>
        <v>05 May 2025</v>
      </c>
      <c r="D14" s="168"/>
      <c r="E14" s="168"/>
    </row>
    <row r="15" spans="1:6" ht="15"/>
    <row r="16" spans="1:6" ht="15">
      <c r="A16" s="67" t="s">
        <v>230</v>
      </c>
      <c r="B16" s="68" t="s">
        <v>231</v>
      </c>
    </row>
    <row r="17" spans="1:5" ht="15">
      <c r="A17" s="94" t="s">
        <v>25</v>
      </c>
      <c r="B17" s="95" t="s">
        <v>177</v>
      </c>
    </row>
    <row r="18" spans="1:5" ht="51.5" customHeight="1">
      <c r="A18" s="144" t="s">
        <v>17</v>
      </c>
      <c r="B18" s="144" t="s">
        <v>220</v>
      </c>
      <c r="C18" s="144" t="s">
        <v>19</v>
      </c>
      <c r="D18" s="145" t="s">
        <v>764</v>
      </c>
      <c r="E18" s="145" t="s">
        <v>765</v>
      </c>
    </row>
    <row r="19" spans="1:5" s="149" customFormat="1" ht="50" customHeight="1">
      <c r="A19" s="146" t="s">
        <v>16</v>
      </c>
      <c r="B19" s="147" t="s">
        <v>106</v>
      </c>
      <c r="C19" s="148" t="s">
        <v>107</v>
      </c>
      <c r="D19" s="81"/>
      <c r="E19" s="81"/>
    </row>
    <row r="20" spans="1:5" ht="73" customHeight="1">
      <c r="A20" s="150">
        <v>1</v>
      </c>
      <c r="B20" s="151" t="s">
        <v>205</v>
      </c>
      <c r="C20" s="152" t="s">
        <v>108</v>
      </c>
      <c r="D20" s="81">
        <v>1.18374294602757E-2</v>
      </c>
      <c r="E20" s="81">
        <v>1.22318814477664E-2</v>
      </c>
    </row>
    <row r="21" spans="1:5" ht="77" customHeight="1">
      <c r="A21" s="150">
        <v>2</v>
      </c>
      <c r="B21" s="151" t="s">
        <v>206</v>
      </c>
      <c r="C21" s="152" t="s">
        <v>109</v>
      </c>
      <c r="D21" s="81">
        <v>7.9663944783380999E-4</v>
      </c>
      <c r="E21" s="81">
        <v>8.1342885581616798E-4</v>
      </c>
    </row>
    <row r="22" spans="1:5" ht="94.5" customHeight="1">
      <c r="A22" s="150">
        <v>3</v>
      </c>
      <c r="B22" s="151" t="s">
        <v>207</v>
      </c>
      <c r="C22" s="152" t="s">
        <v>110</v>
      </c>
      <c r="D22" s="81">
        <v>4.22620904443918E-4</v>
      </c>
      <c r="E22" s="81">
        <v>4.28636261019999E-4</v>
      </c>
    </row>
    <row r="23" spans="1:5" ht="45">
      <c r="A23" s="150">
        <v>4</v>
      </c>
      <c r="B23" s="151" t="s">
        <v>178</v>
      </c>
      <c r="C23" s="152" t="s">
        <v>111</v>
      </c>
      <c r="D23" s="81">
        <v>9.3706648597185793E-5</v>
      </c>
      <c r="E23" s="81">
        <v>9.2964292885381298E-5</v>
      </c>
    </row>
    <row r="24" spans="1:5" ht="71.5" customHeight="1">
      <c r="A24" s="150">
        <v>5</v>
      </c>
      <c r="B24" s="151" t="s">
        <v>208</v>
      </c>
      <c r="C24" s="152" t="s">
        <v>209</v>
      </c>
      <c r="D24" s="153"/>
      <c r="E24" s="153"/>
    </row>
    <row r="25" spans="1:5" ht="81.5" customHeight="1">
      <c r="A25" s="150">
        <v>6</v>
      </c>
      <c r="B25" s="151" t="s">
        <v>210</v>
      </c>
      <c r="C25" s="152"/>
      <c r="D25" s="153"/>
      <c r="E25" s="153"/>
    </row>
    <row r="26" spans="1:5" ht="90">
      <c r="A26" s="150">
        <v>7</v>
      </c>
      <c r="B26" s="151" t="s">
        <v>179</v>
      </c>
      <c r="C26" s="152" t="s">
        <v>112</v>
      </c>
      <c r="D26" s="81">
        <v>1.6338621156235499E-4</v>
      </c>
      <c r="E26" s="81">
        <v>1.38414828497829E-4</v>
      </c>
    </row>
    <row r="27" spans="1:5" ht="30">
      <c r="A27" s="150">
        <v>8</v>
      </c>
      <c r="B27" s="151" t="s">
        <v>211</v>
      </c>
      <c r="C27" s="152" t="s">
        <v>113</v>
      </c>
      <c r="D27" s="81">
        <v>1.3565285780175899E-2</v>
      </c>
      <c r="E27" s="81">
        <v>1.35231380135367E-2</v>
      </c>
    </row>
    <row r="28" spans="1:5" ht="30">
      <c r="A28" s="150">
        <v>9</v>
      </c>
      <c r="B28" s="151" t="s">
        <v>241</v>
      </c>
      <c r="C28" s="152" t="s">
        <v>114</v>
      </c>
      <c r="D28" s="81">
        <v>1.1383644438244001</v>
      </c>
      <c r="E28" s="81">
        <v>1.1838092498229</v>
      </c>
    </row>
    <row r="29" spans="1:5" ht="78" customHeight="1">
      <c r="A29" s="150">
        <v>10</v>
      </c>
      <c r="B29" s="151" t="s">
        <v>212</v>
      </c>
      <c r="C29" s="152" t="s">
        <v>181</v>
      </c>
      <c r="D29" s="153"/>
      <c r="E29" s="153"/>
    </row>
    <row r="30" spans="1:5" s="149" customFormat="1" ht="44.5" customHeight="1">
      <c r="A30" s="146" t="s">
        <v>21</v>
      </c>
      <c r="B30" s="147" t="s">
        <v>115</v>
      </c>
      <c r="C30" s="148" t="s">
        <v>116</v>
      </c>
      <c r="D30" s="154"/>
      <c r="E30" s="154"/>
    </row>
    <row r="31" spans="1:5" ht="57" customHeight="1">
      <c r="A31" s="192">
        <v>1</v>
      </c>
      <c r="B31" s="151" t="s">
        <v>117</v>
      </c>
      <c r="C31" s="152" t="s">
        <v>118</v>
      </c>
      <c r="D31" s="155">
        <v>573798849100</v>
      </c>
      <c r="E31" s="155">
        <v>606182263400</v>
      </c>
    </row>
    <row r="32" spans="1:5" ht="45">
      <c r="A32" s="193"/>
      <c r="B32" s="151" t="s">
        <v>119</v>
      </c>
      <c r="C32" s="152" t="s">
        <v>120</v>
      </c>
      <c r="D32" s="155">
        <v>573798849100</v>
      </c>
      <c r="E32" s="155">
        <v>606182263400</v>
      </c>
    </row>
    <row r="33" spans="1:5" ht="45">
      <c r="A33" s="194"/>
      <c r="B33" s="151" t="s">
        <v>213</v>
      </c>
      <c r="C33" s="152" t="s">
        <v>121</v>
      </c>
      <c r="D33" s="153">
        <v>57379884.909999996</v>
      </c>
      <c r="E33" s="153">
        <v>60618226.340000004</v>
      </c>
    </row>
    <row r="34" spans="1:5" ht="45">
      <c r="A34" s="191">
        <v>2</v>
      </c>
      <c r="B34" s="151" t="s">
        <v>122</v>
      </c>
      <c r="C34" s="152" t="s">
        <v>123</v>
      </c>
      <c r="D34" s="155">
        <v>-18756913200</v>
      </c>
      <c r="E34" s="155">
        <v>-32383414300</v>
      </c>
    </row>
    <row r="35" spans="1:5" ht="46.5" customHeight="1">
      <c r="A35" s="191"/>
      <c r="B35" s="151" t="s">
        <v>124</v>
      </c>
      <c r="C35" s="152" t="s">
        <v>214</v>
      </c>
      <c r="D35" s="153">
        <v>-1875691.32</v>
      </c>
      <c r="E35" s="153">
        <v>-3238341.43</v>
      </c>
    </row>
    <row r="36" spans="1:5" ht="30">
      <c r="A36" s="191"/>
      <c r="B36" s="151" t="s">
        <v>125</v>
      </c>
      <c r="C36" s="152" t="s">
        <v>215</v>
      </c>
      <c r="D36" s="155">
        <v>-18756913200</v>
      </c>
      <c r="E36" s="155">
        <v>-32383414300</v>
      </c>
    </row>
    <row r="37" spans="1:5" ht="42" customHeight="1">
      <c r="A37" s="191"/>
      <c r="B37" s="151" t="s">
        <v>216</v>
      </c>
      <c r="C37" s="152" t="s">
        <v>126</v>
      </c>
      <c r="D37" s="153">
        <v>5184144.67</v>
      </c>
      <c r="E37" s="153">
        <v>5077794.59</v>
      </c>
    </row>
    <row r="38" spans="1:5" ht="30">
      <c r="A38" s="191"/>
      <c r="B38" s="151" t="s">
        <v>160</v>
      </c>
      <c r="C38" s="152" t="s">
        <v>127</v>
      </c>
      <c r="D38" s="155">
        <v>51841446700</v>
      </c>
      <c r="E38" s="155">
        <v>50777945900</v>
      </c>
    </row>
    <row r="39" spans="1:5" ht="40" customHeight="1">
      <c r="A39" s="191"/>
      <c r="B39" s="151" t="s">
        <v>238</v>
      </c>
      <c r="C39" s="152" t="s">
        <v>128</v>
      </c>
      <c r="D39" s="153">
        <v>-7059835.9900000002</v>
      </c>
      <c r="E39" s="153">
        <v>-8316136.0199999996</v>
      </c>
    </row>
    <row r="40" spans="1:5" ht="45">
      <c r="A40" s="191"/>
      <c r="B40" s="151" t="s">
        <v>161</v>
      </c>
      <c r="C40" s="152" t="s">
        <v>129</v>
      </c>
      <c r="D40" s="155">
        <v>-70598359900</v>
      </c>
      <c r="E40" s="155">
        <v>-83161360200</v>
      </c>
    </row>
    <row r="41" spans="1:5" ht="38.5" customHeight="1">
      <c r="A41" s="191">
        <v>3</v>
      </c>
      <c r="B41" s="151" t="s">
        <v>162</v>
      </c>
      <c r="C41" s="152" t="s">
        <v>130</v>
      </c>
      <c r="D41" s="155">
        <v>555041935900</v>
      </c>
      <c r="E41" s="155">
        <v>573798849100</v>
      </c>
    </row>
    <row r="42" spans="1:5" ht="60">
      <c r="A42" s="191"/>
      <c r="B42" s="151" t="s">
        <v>217</v>
      </c>
      <c r="C42" s="152" t="s">
        <v>131</v>
      </c>
      <c r="D42" s="155">
        <v>555041935900</v>
      </c>
      <c r="E42" s="155">
        <v>573798849100</v>
      </c>
    </row>
    <row r="43" spans="1:5" ht="45">
      <c r="A43" s="191"/>
      <c r="B43" s="151" t="s">
        <v>218</v>
      </c>
      <c r="C43" s="152" t="s">
        <v>132</v>
      </c>
      <c r="D43" s="153">
        <v>55504193.590000004</v>
      </c>
      <c r="E43" s="153">
        <v>57379884.909999996</v>
      </c>
    </row>
    <row r="44" spans="1:5" ht="60">
      <c r="A44" s="150">
        <v>4</v>
      </c>
      <c r="B44" s="151" t="s">
        <v>133</v>
      </c>
      <c r="C44" s="152" t="s">
        <v>134</v>
      </c>
      <c r="D44" s="81">
        <v>7.5510870961561201E-5</v>
      </c>
      <c r="E44" s="81">
        <v>7.3042495755678598E-5</v>
      </c>
    </row>
    <row r="45" spans="1:5" ht="30">
      <c r="A45" s="150">
        <v>5</v>
      </c>
      <c r="B45" s="151" t="s">
        <v>135</v>
      </c>
      <c r="C45" s="152" t="s">
        <v>136</v>
      </c>
      <c r="D45" s="81">
        <v>0.2445</v>
      </c>
      <c r="E45" s="81">
        <v>0.24490000000000001</v>
      </c>
    </row>
    <row r="46" spans="1:5" ht="30">
      <c r="A46" s="150">
        <v>6</v>
      </c>
      <c r="B46" s="151" t="s">
        <v>137</v>
      </c>
      <c r="C46" s="152" t="s">
        <v>138</v>
      </c>
      <c r="D46" s="81">
        <v>1.1299999999999999E-2</v>
      </c>
      <c r="E46" s="81">
        <v>1.0200000000000001E-2</v>
      </c>
    </row>
    <row r="47" spans="1:5" ht="38.5" customHeight="1">
      <c r="A47" s="150">
        <v>7</v>
      </c>
      <c r="B47" s="151" t="s">
        <v>139</v>
      </c>
      <c r="C47" s="152" t="s">
        <v>140</v>
      </c>
      <c r="D47" s="155">
        <v>12806</v>
      </c>
      <c r="E47" s="155">
        <v>12484</v>
      </c>
    </row>
    <row r="48" spans="1:5" ht="38.5" customHeight="1">
      <c r="A48" s="150">
        <v>8</v>
      </c>
      <c r="B48" s="151" t="s">
        <v>163</v>
      </c>
      <c r="C48" s="152" t="s">
        <v>141</v>
      </c>
      <c r="D48" s="153">
        <v>27707.56</v>
      </c>
      <c r="E48" s="153">
        <v>27555.14</v>
      </c>
    </row>
    <row r="49" spans="1:5" ht="60">
      <c r="A49" s="150">
        <v>9</v>
      </c>
      <c r="B49" s="151" t="s">
        <v>219</v>
      </c>
      <c r="C49" s="152" t="s">
        <v>182</v>
      </c>
      <c r="D49" s="153"/>
      <c r="E49" s="153"/>
    </row>
    <row r="50" spans="1:5" ht="31.5" customHeight="1">
      <c r="A50" s="190" t="s">
        <v>240</v>
      </c>
      <c r="B50" s="168"/>
      <c r="C50" s="168"/>
      <c r="D50" s="168"/>
      <c r="E50" s="168"/>
    </row>
    <row r="51" spans="1:5" ht="95.25" customHeight="1">
      <c r="A51" s="190" t="s">
        <v>766</v>
      </c>
      <c r="B51" s="168"/>
      <c r="C51" s="168"/>
      <c r="D51" s="168"/>
      <c r="E51" s="168"/>
    </row>
    <row r="52" spans="1:5" ht="15">
      <c r="A52" s="125" t="str">
        <f>TONGQUAN!C16</f>
        <v>Đại diện có thẩm quyền của Ngân hàng giám sát</v>
      </c>
      <c r="D52" s="125" t="str">
        <f>TONGQUAN!F16</f>
        <v>Đại diện có thẩm quyền của Công ty quản lý Quỹ</v>
      </c>
    </row>
    <row r="53" spans="1:5" s="143" customFormat="1" ht="15">
      <c r="A53" s="156" t="str">
        <f>TONGQUAN!C17</f>
        <v>Authorised Representative of Supervisory Bank</v>
      </c>
      <c r="B53" s="156"/>
      <c r="C53" s="156"/>
      <c r="D53" s="156" t="str">
        <f>TONGQUAN!F17</f>
        <v>Authorised Representative of Fund Management Company</v>
      </c>
      <c r="E53" s="156"/>
    </row>
    <row r="54" spans="1:5" ht="15"/>
    <row r="55" spans="1:5" ht="15"/>
    <row r="56" spans="1:5" ht="15"/>
    <row r="57" spans="1:5" ht="15"/>
    <row r="58" spans="1:5" ht="15"/>
    <row r="59" spans="1:5" ht="15"/>
    <row r="60" spans="1:5" ht="15"/>
    <row r="61" spans="1:5" ht="15"/>
    <row r="62" spans="1:5" ht="15">
      <c r="A62" s="157"/>
      <c r="B62" s="157"/>
      <c r="D62" s="157"/>
      <c r="E62" s="157"/>
    </row>
    <row r="63" spans="1:5" ht="15">
      <c r="A63" s="125" t="str">
        <f>TONGQUAN!C19</f>
        <v>Ngân hàng TNHH MTV Standard Chartered (Việt Nam)</v>
      </c>
      <c r="D63" s="125" t="str">
        <f>TONGQUAN!F19</f>
        <v>Công ty Cổ phần Quản lý Quỹ Đầu tư Dragon Capital Việt Nam</v>
      </c>
    </row>
    <row r="64" spans="1:5" ht="15">
      <c r="A64" s="125" t="str">
        <f>TONGQUAN!C20</f>
        <v>Vũ Quang Phan</v>
      </c>
      <c r="D64" s="125" t="str">
        <f>TONGQUAN!F20</f>
        <v>Lê Hoàng Anh</v>
      </c>
    </row>
    <row r="65" spans="1:4" ht="15">
      <c r="A65" s="64" t="str">
        <f>TONGQUAN!C21</f>
        <v>Phó phòng Dịch vụ nghiệp vụ giám sát Quỹ</v>
      </c>
      <c r="D65" s="64" t="str">
        <f>TONGQUAN!F21</f>
        <v>Quyền Giám đốc nghiệp vụ hỗ trợ đầu tư</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57" fitToHeight="0" orientation="portrait" r:id="rId1"/>
  <headerFooter>
    <oddHeader>&amp;L&amp;"Arial"&amp;9&amp;KA80000CONFIDENTIAL&amp;1#</oddHeader>
  </headerFooter>
  <rowBreaks count="1" manualBreakCount="1">
    <brk id="32" max="4"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M3aBY2W1q3AaFYuNCtT77JZB/cqUOeZgS6uEPPz4bFg=</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vqEfdnOwaXfOIPeDtj9+rqb/EaTFxdBZhIt8VppbdPU=</DigestValue>
    </Reference>
  </SignedInfo>
  <SignatureValue>KuOUawe8GfXtGAu5pgxN1lscsjmX2/YN/990y3tX2UpSD36y4LYoZzvq9puI4UPyq+NazUVC5ShK
E4F7OpTHt/Qj37SMewyANdSnB5BpwV6Ah8I5bPEe+IT8NUCnWzHtlueDT/dKsG5sWM4XCErAWalj
pJuWy0wTFGyWQcJplRjPX0qZbRA3f7JAeUase/roRD0vCO9CXj/7SjSoqcoqJcCzkNKPW5L5/Zvy
B9AAupK0vNz/pwHRh2a9jF4z9o7THvM/VKmifMrW1vOdONAzbI95tgigOzoZEsTC67+H4jVXB6WU
Qoi25NavTBuv9nlNwbeN7z2/b+5sxwpMt6HQ7Q==</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1/04/xmlenc#sha256"/>
        <DigestValue>lzLbaIzpG443ZAmlR8oaCgxFoLmp2QKXFIw9ML8wpds=</DigestValue>
      </Reference>
      <Reference URI="/xl/calcChain.xml?ContentType=application/vnd.openxmlformats-officedocument.spreadsheetml.calcChain+xml">
        <DigestMethod Algorithm="http://www.w3.org/2001/04/xmlenc#sha256"/>
        <DigestValue>ERwzW96m7xAjjMJJSd2qH+oaiIdwLg5BIrybK8PV1OA=</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f12etzLzTYAEk71vWiO4kdiy64voHcvIiRD5XVqN0j8=</DigestValue>
      </Reference>
      <Reference URI="/xl/drawings/drawing2.xml?ContentType=application/vnd.openxmlformats-officedocument.drawing+xml">
        <DigestMethod Algorithm="http://www.w3.org/2001/04/xmlenc#sha256"/>
        <DigestValue>bPT86MTaDwDdXVC/2VUY6fV0fO3O7pQdsmiyDgYSm18=</DigestValue>
      </Reference>
      <Reference URI="/xl/drawings/drawing3.xml?ContentType=application/vnd.openxmlformats-officedocument.drawing+xml">
        <DigestMethod Algorithm="http://www.w3.org/2001/04/xmlenc#sha256"/>
        <DigestValue>me746hkSsLbS13oJVuR36rdPNNNEs60XG1AeybvR7LI=</DigestValue>
      </Reference>
      <Reference URI="/xl/drawings/drawing4.xml?ContentType=application/vnd.openxmlformats-officedocument.drawing+xml">
        <DigestMethod Algorithm="http://www.w3.org/2001/04/xmlenc#sha256"/>
        <DigestValue>XI4JPSUnPrMtSkLXjwlJVSETa+DMb09NDlrIsbgEM50=</DigestValue>
      </Reference>
      <Reference URI="/xl/drawings/drawing5.xml?ContentType=application/vnd.openxmlformats-officedocument.drawing+xml">
        <DigestMethod Algorithm="http://www.w3.org/2001/04/xmlenc#sha256"/>
        <DigestValue>Y/IQODEjrB2XtOacnYk+8wxfX/OjEr67y6DBMxnbPbc=</DigestValue>
      </Reference>
      <Reference URI="/xl/drawings/vmlDrawing1.vml?ContentType=application/vnd.openxmlformats-officedocument.vmlDrawing">
        <DigestMethod Algorithm="http://www.w3.org/2001/04/xmlenc#sha256"/>
        <DigestValue>+o6VRDuRssrvvLKxtW9dRI/suRTlCD6iZBfaouSuM10=</DigestValue>
      </Reference>
      <Reference URI="/xl/drawings/vmlDrawing2.vml?ContentType=application/vnd.openxmlformats-officedocument.vmlDrawing">
        <DigestMethod Algorithm="http://www.w3.org/2001/04/xmlenc#sha256"/>
        <DigestValue>io1LAukQ1JmRTzIKJ5zc0k9qSZMjvhg2K5ZWMDVlfVY=</DigestValue>
      </Reference>
      <Reference URI="/xl/drawings/vmlDrawing3.vml?ContentType=application/vnd.openxmlformats-officedocument.vmlDrawing">
        <DigestMethod Algorithm="http://www.w3.org/2001/04/xmlenc#sha256"/>
        <DigestValue>dL96CLt+pPTdlhF/Qev+0Nm0IgX42Ipp2T61ABMoJ7k=</DigestValue>
      </Reference>
      <Reference URI="/xl/drawings/vmlDrawing4.vml?ContentType=application/vnd.openxmlformats-officedocument.vmlDrawing">
        <DigestMethod Algorithm="http://www.w3.org/2001/04/xmlenc#sha256"/>
        <DigestValue>Q8xLaqlM2swmyXJm0zQYhLbpOhpV4Hd310K3lESfNnE=</DigestValue>
      </Reference>
      <Reference URI="/xl/drawings/vmlDrawing5.vml?ContentType=application/vnd.openxmlformats-officedocument.vmlDrawing">
        <DigestMethod Algorithm="http://www.w3.org/2001/04/xmlenc#sha256"/>
        <DigestValue>YdS+5k//dC9dzVsgjIeolHr/by/ZCxglv3G2vbqNrgE=</DigestValue>
      </Reference>
      <Reference URI="/xl/media/image1.emf?ContentType=image/x-emf">
        <DigestMethod Algorithm="http://www.w3.org/2001/04/xmlenc#sha256"/>
        <DigestValue>rQyGG8W/anq/N0g1/TnuvL0umgPFie0P3Dh6WylFClg=</DigestValue>
      </Reference>
      <Reference URI="/xl/media/image2.emf?ContentType=image/x-emf">
        <DigestMethod Algorithm="http://www.w3.org/2001/04/xmlenc#sha256"/>
        <DigestValue>rQyGG8W/anq/N0g1/TnuvL0umgPFie0P3Dh6WylFClg=</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cqdOhkXeVAF7++bCF/68PtJZV24Mp8gYhw46QmBh5sE=</DigestValue>
      </Reference>
      <Reference URI="/xl/styles.xml?ContentType=application/vnd.openxmlformats-officedocument.spreadsheetml.styles+xml">
        <DigestMethod Algorithm="http://www.w3.org/2001/04/xmlenc#sha256"/>
        <DigestValue>miQ4aO8yE03y3L7nop/MWQbpEFf24maQ5FY7YrlgIKs=</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oxpvGxbX47t3ASvXXS6LeF373NEIJOiuTKejUK4+GIw=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+rLQMN7gHuJqcTAnTgR6hxkFppJ1LFGZIVgfLGmaqHA=</DigestValue>
      </Reference>
      <Reference URI="/xl/worksheets/sheet2.xml?ContentType=application/vnd.openxmlformats-officedocument.spreadsheetml.worksheet+xml">
        <DigestMethod Algorithm="http://www.w3.org/2001/04/xmlenc#sha256"/>
        <DigestValue>jDf0NHILJXbVw2fSbXssKURAu64wUibNujePPCJ8dYA=</DigestValue>
      </Reference>
      <Reference URI="/xl/worksheets/sheet3.xml?ContentType=application/vnd.openxmlformats-officedocument.spreadsheetml.worksheet+xml">
        <DigestMethod Algorithm="http://www.w3.org/2001/04/xmlenc#sha256"/>
        <DigestValue>S26w8JGOidoXR5oAYO6QRr/Y1uACgYzRUyUNvR89Ohw=</DigestValue>
      </Reference>
      <Reference URI="/xl/worksheets/sheet4.xml?ContentType=application/vnd.openxmlformats-officedocument.spreadsheetml.worksheet+xml">
        <DigestMethod Algorithm="http://www.w3.org/2001/04/xmlenc#sha256"/>
        <DigestValue>LNVBtNKnE+UL6MoNeqAgoS/bVKLv0fOPw99CXaNSO0U=</DigestValue>
      </Reference>
      <Reference URI="/xl/worksheets/sheet5.xml?ContentType=application/vnd.openxmlformats-officedocument.spreadsheetml.worksheet+xml">
        <DigestMethod Algorithm="http://www.w3.org/2001/04/xmlenc#sha256"/>
        <DigestValue>eJ9kMWHPePeJ16Fhn1rYeua2lke31x4poLBFfGD3CUQ=</DigestValue>
      </Reference>
      <Reference URI="/xl/worksheets/sheet6.xml?ContentType=application/vnd.openxmlformats-officedocument.spreadsheetml.worksheet+xml">
        <DigestMethod Algorithm="http://www.w3.org/2001/04/xmlenc#sha256"/>
        <DigestValue>vy/8OjxZZ2Uccv4gG0jERktw1+UXikvpTTRIkKrh5qU=</DigestValue>
      </Reference>
    </Manifest>
    <SignatureProperties>
      <SignatureProperty Id="idSignatureTime" Target="#idPackageSignature">
        <mdssi:SignatureTime xmlns:mdssi="http://schemas.openxmlformats.org/package/2006/digital-signature">
          <mdssi:Format>YYYY-MM-DDThh:mm:ssTZD</mdssi:Format>
          <mdssi:Value>2025-05-08T07:16:28Z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2025-05-08T07:16:28Z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BCTaiSan_06027</vt:lpstr>
      <vt:lpstr>BCKetQuaHoatDong_06028</vt:lpstr>
      <vt:lpstr>BCDanhMucDauTu_06029</vt:lpstr>
      <vt:lpstr>BCHoatDongVay_06026</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2025-05-07T03:23:44Z</cp:lastPrinted>
  <dcterms:created xsi:type="dcterms:W3CDTF">2019-03-13T13:30:00Z</dcterms:created>
  <dcterms:modified xsi:type="dcterms:W3CDTF">2025-05-08T07:16:26Z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