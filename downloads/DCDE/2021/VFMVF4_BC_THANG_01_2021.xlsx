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W:\GTO_SSO_FUNDSERVICES_GSSCKL\10. CLIENT PORTFOLIO-VN\1.02 VFMVF4\2021 VF4\01.JAN\Monthly report\THANG\KYSO\"/>
    </mc:Choice>
  </mc:AlternateContent>
  <xr:revisionPtr revIDLastSave="0" documentId="13_ncr:1_{4E224A11-E922-497E-AFAA-9D16F18921DC}" xr6:coauthVersionLast="45" xr6:coauthVersionMax="45" xr10:uidLastSave="{00000000-0000-0000-0000-000000000000}"/>
  <bookViews>
    <workbookView xWindow="-110" yWindow="-110" windowWidth="19420" windowHeight="10420" firstSheet="4" activeTab="7"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BCDanhMucDauTu_06029!$A$1:$G$102</definedName>
    <definedName name="_xlnm.Print_Area" localSheetId="6">BCHoatDongVay_06026!$A$1:$K$47</definedName>
    <definedName name="_xlnm.Print_Area" localSheetId="4">BCKetQuaHoatDong_06028!$A:$F</definedName>
    <definedName name="_xlnm.Print_Area" localSheetId="3">BCTaiSan_06027!$A$1:$L$108</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TONGQUAN!$A$1:$K$55</definedName>
    <definedName name="_xlnm.Print_Titles" localSheetId="5">BCDanhMucDauTu_06029!$18:$18</definedName>
    <definedName name="_xlnm.Print_Titles" localSheetId="6">BCHoatDongVay_06026!$17:$18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19" i="1" l="1"/>
</calcChain>
</file>

<file path=xl/sharedStrings.xml><?xml version="1.0" encoding="utf-8"?>
<sst xmlns="http://schemas.openxmlformats.org/spreadsheetml/2006/main" count="1206" uniqueCount="868">
  <si>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</si>
  <si>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</si>
  <si>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</si>
  <si>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</si>
  <si>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</si>
  <si>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</si>
  <si>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</si>
  <si>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</si>
  <si>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</si>
  <si>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</si>
  <si>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</si>
  <si>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</si>
  <si>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</si>
  <si>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</si>
  <si>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</si>
  <si>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</si>
  <si>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</si>
  <si>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</si>
  <si>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</si>
  <si>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</si>
  <si>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</si>
  <si>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</si>
  <si>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</si>
  <si>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</si>
  <si>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</si>
  <si>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</si>
  <si>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</si>
  <si>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</si>
  <si>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</si>
  <si>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</si>
  <si>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</si>
  <si>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</si>
  <si>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</si>
  <si>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</si>
  <si>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</si>
  <si>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</si>
  <si>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</si>
  <si>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</si>
  <si>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</si>
  <si>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</si>
  <si>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</si>
  <si>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</si>
  <si>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</si>
  <si>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</si>
  <si>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</si>
  <si>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</si>
  <si>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</si>
  <si>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</si>
  <si>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</si>
  <si>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</si>
  <si>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</si>
  <si>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</si>
  <si>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</si>
  <si>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</si>
  <si>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</si>
  <si>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</si>
  <si>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</si>
  <si>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</si>
  <si>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</si>
  <si>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</si>
  <si>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</si>
  <si>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</si>
  <si>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</si>
  <si>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</si>
  <si>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</si>
  <si>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</si>
  <si>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</si>
  <si>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</si>
  <si>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</si>
  <si>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</si>
  <si>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</si>
  <si>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</si>
  <si>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</si>
  <si>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</si>
  <si>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</si>
  <si>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</si>
  <si>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</si>
  <si>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</si>
  <si>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</si>
  <si>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</si>
  <si>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</si>
  <si>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</si>
  <si>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</si>
  <si>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</si>
  <si>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</si>
  <si>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</si>
  <si>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</si>
  <si>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</si>
  <si>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</si>
  <si>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</si>
  <si>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</si>
  <si>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</si>
  <si>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</si>
  <si>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</si>
  <si>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</si>
  <si>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</si>
  <si>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</si>
  <si>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</si>
  <si>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</si>
  <si>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</si>
  <si>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</si>
  <si>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</si>
  <si>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</si>
  <si>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</si>
  <si>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</si>
  <si>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</si>
  <si>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</si>
  <si>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</si>
  <si>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</si>
  <si>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</si>
  <si>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</si>
  <si>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</si>
  <si>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</si>
  <si>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</si>
  <si>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</si>
  <si>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</si>
  <si>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</si>
  <si>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</si>
  <si>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</si>
  <si>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</si>
  <si>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</si>
  <si>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</si>
  <si>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</si>
  <si>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</si>
  <si>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</si>
  <si>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</si>
  <si>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</si>
  <si>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</si>
  <si>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</si>
  <si>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</si>
  <si>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</si>
  <si>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</si>
  <si>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</si>
  <si>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</si>
  <si>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</si>
  <si>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</si>
  <si>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</si>
  <si>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</si>
  <si>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</si>
  <si>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</si>
  <si>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</si>
  <si>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</si>
  <si>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</si>
  <si>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</si>
  <si>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</si>
  <si>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</si>
  <si>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</si>
  <si>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</si>
  <si>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</si>
  <si>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</si>
  <si>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</si>
  <si>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</si>
  <si>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</si>
  <si>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</si>
  <si>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</si>
  <si>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</si>
  <si>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</si>
  <si>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</si>
  <si>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</si>
  <si>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</si>
  <si>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</si>
  <si>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</si>
  <si>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</si>
  <si>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</si>
  <si>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</si>
  <si>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</si>
  <si>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</si>
  <si>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</si>
  <si>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</si>
  <si>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</si>
  <si>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</si>
  <si>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</si>
  <si>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</si>
  <si>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</si>
  <si>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</si>
  <si>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</si>
  <si>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</si>
  <si>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</si>
  <si>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</si>
  <si>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</si>
  <si>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</si>
  <si>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</si>
  <si>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</si>
  <si>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</si>
  <si>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</si>
  <si>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</si>
  <si>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</si>
  <si>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</si>
  <si>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</si>
  <si>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</si>
  <si>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Quỹ Đầu tư Doanh nghiệp hàng đầu Việt Nam</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</si>
  <si>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</si>
  <si>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</si>
  <si>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</si>
  <si>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</si>
  <si>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</si>
  <si>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</si>
  <si>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</si>
  <si>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</si>
  <si>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</si>
  <si>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</si>
  <si>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</si>
  <si>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</si>
  <si>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</si>
  <si>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</si>
  <si>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</si>
  <si>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</si>
  <si>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</si>
  <si>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</si>
  <si>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</si>
  <si>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</si>
  <si>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</si>
  <si>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</si>
  <si>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</si>
  <si>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</si>
  <si>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</si>
  <si>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</si>
  <si>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</si>
  <si>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</si>
  <si>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</si>
  <si>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</si>
  <si>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</si>
  <si>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</si>
  <si>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</si>
  <si>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</si>
  <si>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</si>
  <si>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</si>
  <si>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</si>
  <si>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</si>
  <si>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</si>
  <si>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</si>
  <si>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</si>
  <si>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</si>
  <si>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</si>
  <si>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</si>
  <si>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</si>
  <si>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</si>
  <si>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</si>
  <si>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</si>
  <si>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</si>
  <si>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</si>
  <si>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</si>
  <si>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</si>
  <si>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</si>
  <si>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</si>
  <si>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</si>
  <si>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</si>
  <si>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</si>
  <si>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</si>
  <si>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</si>
  <si>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</si>
  <si>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</si>
  <si>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</si>
  <si>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</si>
  <si>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</si>
  <si>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</si>
  <si>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</si>
  <si>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</si>
  <si>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</si>
  <si>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</si>
  <si>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</si>
  <si>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</si>
  <si>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</si>
  <si>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</si>
  <si>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</si>
  <si>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</si>
  <si>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</si>
  <si>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</si>
  <si>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</si>
  <si>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</si>
  <si>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</si>
  <si>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</si>
  <si>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</si>
  <si>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</si>
  <si>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</si>
  <si>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</si>
  <si>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</si>
  <si>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</si>
  <si>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</si>
  <si>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</si>
  <si>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</si>
  <si>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</si>
  <si>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</si>
  <si>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</si>
  <si>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</si>
  <si>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</si>
  <si>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</si>
  <si>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</si>
  <si>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</si>
  <si>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</si>
  <si>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</si>
  <si>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</si>
  <si>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</si>
  <si>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</si>
  <si>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</si>
  <si>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</si>
  <si>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</si>
  <si>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</si>
  <si>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</si>
  <si>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</si>
  <si>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</si>
  <si>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</si>
  <si>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</si>
  <si>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</si>
  <si>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</si>
  <si>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</si>
  <si>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</si>
  <si>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</si>
  <si>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</si>
  <si>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</si>
  <si>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</si>
  <si>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</si>
  <si>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</si>
  <si>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</si>
  <si>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</si>
  <si>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</si>
  <si>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</si>
  <si>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</si>
  <si>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</si>
  <si>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</si>
  <si>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</si>
  <si>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</si>
  <si>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</si>
  <si>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</si>
  <si>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</si>
  <si>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</si>
  <si>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</si>
  <si>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</si>
  <si>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</si>
  <si>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</si>
  <si>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</si>
  <si>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</si>
  <si>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</si>
  <si>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</si>
  <si>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</si>
  <si>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</si>
  <si>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</si>
  <si>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</si>
  <si>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</si>
  <si>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</si>
  <si>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</si>
  <si>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</si>
  <si>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</si>
  <si>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</si>
  <si>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</si>
  <si>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</si>
  <si>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</si>
  <si>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</si>
  <si>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</si>
  <si>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</si>
  <si>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</si>
  <si>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</si>
  <si>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</si>
  <si>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</si>
  <si>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</si>
  <si>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</si>
  <si>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</si>
  <si>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</si>
  <si>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</si>
  <si>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</si>
  <si>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</si>
  <si>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</si>
  <si>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</si>
  <si>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</si>
  <si>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</si>
  <si>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</si>
  <si>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</si>
  <si>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</si>
  <si>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</si>
  <si>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</si>
  <si>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</si>
  <si>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</si>
  <si>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</si>
  <si>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</si>
  <si>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</si>
  <si>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</si>
  <si>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</si>
  <si>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</si>
  <si>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</si>
  <si>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</si>
  <si>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</si>
  <si>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</si>
  <si>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</si>
  <si>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</si>
  <si>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</si>
  <si>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</si>
  <si>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</si>
  <si>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</si>
  <si>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</si>
  <si>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</si>
  <si>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</si>
  <si>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</si>
  <si>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</si>
  <si>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</si>
  <si>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</si>
  <si>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</si>
  <si>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</si>
  <si>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</si>
  <si>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</si>
  <si>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</si>
  <si>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</si>
  <si>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</si>
  <si>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</si>
  <si>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</si>
  <si>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</si>
  <si>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</si>
  <si>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</si>
  <si>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</si>
  <si>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</si>
  <si>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</si>
  <si>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</si>
  <si>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</si>
  <si>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</si>
  <si>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</si>
  <si>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</si>
  <si>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</si>
  <si>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</si>
  <si>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</si>
  <si>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</si>
  <si>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</si>
  <si>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</si>
  <si>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</si>
  <si>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</si>
  <si>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</si>
  <si>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</si>
  <si>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</si>
  <si>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</si>
  <si>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</si>
  <si>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</si>
  <si>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</si>
  <si>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</si>
  <si>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</si>
  <si>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</si>
  <si>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</si>
  <si>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</si>
  <si>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</si>
  <si>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</si>
  <si>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</si>
  <si>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</si>
  <si>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</si>
  <si>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</si>
  <si>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</si>
  <si>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</si>
  <si>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</si>
  <si>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</si>
  <si>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</si>
  <si>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</si>
  <si>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</si>
  <si>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</si>
  <si>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</si>
  <si>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</si>
  <si>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</si>
  <si>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</si>
  <si>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</si>
  <si>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</si>
  <si>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</si>
  <si>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</si>
  <si>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</si>
  <si>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</si>
  <si>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</si>
  <si>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</si>
  <si>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</si>
  <si>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</si>
  <si>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</si>
  <si>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</si>
  <si>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</si>
  <si>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</si>
  <si>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</si>
  <si>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</si>
  <si>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</si>
  <si>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</si>
  <si>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</si>
  <si>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</si>
  <si>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</si>
  <si>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</si>
  <si>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</si>
  <si>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</si>
  <si>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</si>
  <si>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</si>
  <si>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</si>
  <si>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</si>
  <si>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</si>
  <si>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</si>
  <si>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</si>
  <si>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</si>
  <si>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</si>
  <si>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</si>
  <si>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</si>
  <si>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</si>
  <si>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</si>
  <si>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</si>
  <si>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</si>
  <si>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</si>
  <si>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</si>
  <si>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</si>
  <si>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</si>
  <si>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</si>
  <si>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</si>
  <si>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</si>
  <si>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</si>
  <si>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</si>
  <si>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</si>
  <si>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</si>
  <si>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</si>
  <si>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</si>
  <si>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</si>
  <si>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</si>
  <si>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</si>
  <si>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</si>
  <si>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</si>
  <si>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</si>
  <si>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</si>
  <si>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</si>
  <si>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</si>
  <si>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</si>
  <si>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</si>
  <si>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</si>
  <si>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</si>
  <si>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</si>
  <si>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</si>
  <si>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</si>
  <si>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</si>
  <si>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</si>
  <si>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</si>
  <si>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</si>
  <si>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</si>
  <si>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</si>
  <si>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</si>
  <si>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</si>
  <si>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</si>
  <si>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</si>
  <si>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</si>
  <si>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</si>
  <si>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</si>
  <si>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</si>
  <si>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</si>
  <si>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</si>
  <si>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</si>
  <si>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</si>
  <si>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</si>
  <si>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</si>
  <si>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</si>
  <si>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</si>
  <si>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</si>
  <si>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</si>
  <si>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</si>
  <si>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</si>
  <si>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</si>
  <si>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</si>
  <si>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</si>
  <si>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</si>
  <si>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</si>
  <si>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</si>
  <si>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</si>
  <si>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</si>
  <si>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</si>
  <si>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</si>
  <si>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</si>
  <si>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</si>
  <si>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</si>
  <si>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</si>
  <si>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</si>
  <si>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</si>
  <si>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</si>
  <si>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</si>
  <si>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</si>
  <si>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</si>
  <si>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</si>
  <si>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</si>
  <si>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</si>
  <si>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</si>
  <si>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</si>
  <si>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</si>
  <si>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</si>
  <si>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</si>
  <si>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</si>
  <si>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</si>
  <si>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</si>
  <si>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</si>
  <si>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</si>
  <si>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</si>
  <si>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</si>
  <si>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</si>
  <si>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</si>
  <si>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</si>
  <si>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</si>
  <si>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</si>
  <si>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</si>
  <si>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</si>
  <si>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</si>
  <si>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</si>
  <si>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</si>
  <si>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</si>
  <si>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</si>
  <si>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</si>
  <si>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</si>
  <si>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</si>
  <si>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</si>
  <si>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</si>
  <si>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</si>
  <si>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</si>
  <si>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</si>
  <si>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</si>
  <si>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</si>
  <si>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</si>
  <si>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</si>
  <si>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</si>
  <si>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</si>
  <si>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</si>
  <si>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</si>
  <si>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</si>
  <si>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</si>
  <si>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</si>
  <si>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</si>
  <si>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</si>
  <si>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</si>
  <si>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</si>
  <si>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</si>
  <si>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</si>
  <si>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</si>
  <si>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</si>
  <si>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</si>
  <si>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</si>
  <si>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</si>
  <si>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</si>
  <si>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</si>
  <si>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</si>
  <si>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</si>
  <si>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</si>
  <si>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</si>
  <si>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</si>
  <si>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</si>
  <si>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</si>
  <si>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</si>
  <si>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</si>
  <si>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</si>
  <si>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</si>
  <si>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</si>
  <si>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</si>
  <si>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</si>
  <si>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</si>
  <si>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
  </si>
  <si>
    <t/>
  </si>
  <si>
    <t/>
  </si>
  <si>
    <t>1</t>
  </si>
  <si>
    <t>ACB</t>
  </si>
  <si>
    <t>2</t>
  </si>
  <si>
    <t>ACV</t>
  </si>
  <si>
    <t>3</t>
  </si>
  <si>
    <t>ASM</t>
  </si>
  <si>
    <t>4</t>
  </si>
  <si>
    <t>BID</t>
  </si>
  <si>
    <t>5</t>
  </si>
  <si>
    <t>CTG</t>
  </si>
  <si>
    <t>6</t>
  </si>
  <si>
    <t>DXG</t>
  </si>
  <si>
    <t>7</t>
  </si>
  <si>
    <t>FPT</t>
  </si>
  <si>
    <t>8</t>
  </si>
  <si>
    <t>GAS</t>
  </si>
  <si>
    <t>9</t>
  </si>
  <si>
    <t>GIL</t>
  </si>
  <si>
    <t>10</t>
  </si>
  <si>
    <t>HDC</t>
  </si>
  <si>
    <t>11</t>
  </si>
  <si>
    <t>HPG</t>
  </si>
  <si>
    <t>12</t>
  </si>
  <si>
    <t>HSG</t>
  </si>
  <si>
    <t>13</t>
  </si>
  <si>
    <t>KBC</t>
  </si>
  <si>
    <t>14</t>
  </si>
  <si>
    <t>KDH</t>
  </si>
  <si>
    <t>15</t>
  </si>
  <si>
    <t>KSB</t>
  </si>
  <si>
    <t>16</t>
  </si>
  <si>
    <t>LHG</t>
  </si>
  <si>
    <t>17</t>
  </si>
  <si>
    <t>MBB</t>
  </si>
  <si>
    <t>18</t>
  </si>
  <si>
    <t>MSN</t>
  </si>
  <si>
    <t>19</t>
  </si>
  <si>
    <t>MWG</t>
  </si>
  <si>
    <t>20</t>
  </si>
  <si>
    <t>NLG</t>
  </si>
  <si>
    <t>21</t>
  </si>
  <si>
    <t>NTC</t>
  </si>
  <si>
    <t>22</t>
  </si>
  <si>
    <t>NVL</t>
  </si>
  <si>
    <t>23</t>
  </si>
  <si>
    <t>PNJ</t>
  </si>
  <si>
    <t>24</t>
  </si>
  <si>
    <t>PTB</t>
  </si>
  <si>
    <t>25</t>
  </si>
  <si>
    <t>REE</t>
  </si>
  <si>
    <t>26</t>
  </si>
  <si>
    <t>SAB</t>
  </si>
  <si>
    <t>27</t>
  </si>
  <si>
    <t>SZC</t>
  </si>
  <si>
    <t>28</t>
  </si>
  <si>
    <t>TCB</t>
  </si>
  <si>
    <t>29</t>
  </si>
  <si>
    <t>TIP</t>
  </si>
  <si>
    <t>30</t>
  </si>
  <si>
    <t>VCB</t>
  </si>
  <si>
    <t>31</t>
  </si>
  <si>
    <t>VHM</t>
  </si>
  <si>
    <t>32</t>
  </si>
  <si>
    <t>VIC</t>
  </si>
  <si>
    <t>33</t>
  </si>
  <si>
    <t>VNM</t>
  </si>
  <si>
    <t>34</t>
  </si>
  <si>
    <t>VPB</t>
  </si>
  <si>
    <t>35</t>
  </si>
  <si>
    <t>VRE</t>
  </si>
  <si>
    <t>36</t>
  </si>
  <si>
    <t>VTP</t>
  </si>
  <si>
    <t>TỔNG
	TOTAL</t>
  </si>
  <si>
    <t>TỔNG
	TOTAL</t>
  </si>
  <si>
    <t>TỔNG CÁC LOẠI CỔ PHIẾU
TOTAL SHARES</t>
  </si>
  <si>
    <t>TRÁI PHIẾU
	BONDS</t>
  </si>
  <si>
    <t>1</t>
  </si>
  <si>
    <t>Trái phiếu niêm yết
Listed bonds</t>
  </si>
  <si>
    <t>2</t>
  </si>
  <si>
    <t>Trái phiếu chưa niêm yết
Unlisted Bonds</t>
  </si>
  <si>
    <t>TỔNG
	TOTAL</t>
  </si>
  <si>
    <t>CÁC LOẠI CHỨNG KHOÁN KHÁC
	OTHER SECURITIES</t>
  </si>
  <si>
    <t>1</t>
  </si>
  <si>
    <t>Quyền mua chứng khoán
Investment - Rights</t>
  </si>
  <si>
    <t>1.1</t>
  </si>
  <si>
    <t>NO VA LAND INVESTMENT GROUP CORP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</si>
  <si>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</si>
  <si>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</si>
  <si>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</si>
  <si>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</si>
  <si>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</si>
  <si>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</si>
  <si>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</si>
  <si>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</si>
  <si>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</si>
  <si>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</si>
  <si>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</si>
  <si>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</si>
  <si>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</si>
  <si>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</si>
  <si>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</si>
  <si>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</si>
  <si>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</si>
  <si>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</si>
  <si>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</si>
  <si>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</si>
  <si>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</si>
  <si>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</si>
  <si>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</si>
  <si>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</si>
  <si>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</si>
  <si>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</si>
  <si>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</si>
  <si>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</si>
  <si>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VII</t>
  </si>
  <si>
    <t>Tổng giá trị danh mục 
Total value of portfolio</t>
  </si>
  <si>
    <t>Tại ngày 31 tháng 01 năm 2021
/ As at 31 Jan 2021</t>
  </si>
  <si>
    <t>Tháng 01 năm 2021
/ Jan 2021</t>
  </si>
  <si>
    <t>Công ty Cổ phần Quản lý Quỹ Đầu tư Dragon Capital Việt Nam</t>
  </si>
  <si>
    <t>Dragon Capital Vietfund Management Joint Stock Company</t>
  </si>
  <si>
    <t>Ngân hàng TNHH Một thành viên Standard Chartered (Việt Nam)</t>
  </si>
  <si>
    <t>Standard Chartered Bank (Vietnam) Limited</t>
  </si>
  <si>
    <t>Vietnam Blue Chip Fund(VFMVF4)</t>
  </si>
  <si>
    <t>Ngày 01 tháng 02 năm 2021</t>
  </si>
  <si>
    <t>01 Feb 2021</t>
  </si>
  <si>
    <t>Bùi Thị Huyền Trang</t>
  </si>
  <si>
    <t>Nguyễn Minh Đăng Khánh</t>
  </si>
  <si>
    <t>Phó phòng Dịch vụ Quản trị và Giám sát Quỹ</t>
  </si>
  <si>
    <t>Phó Tổng giám đốc – Phụ trách công bố thông tin</t>
  </si>
  <si>
    <t>Ngày 31 tháng 01 năm 2021
 As at 31 Jan 2021</t>
  </si>
  <si>
    <t>Ngày 31 tháng 12 năm 2020
 As at 31 Dec 2020</t>
  </si>
  <si>
    <t>Tháng 01 năm 2021
Jan 2021</t>
  </si>
  <si>
    <t>Tháng 12 năm 2020
Dec 2020</t>
  </si>
  <si>
    <t>Năm 2021
Year 2021</t>
  </si>
  <si>
    <t>Năm 2020
Year 2020</t>
  </si>
  <si>
    <t>Tháng 01 năm 2020
Jan 2020</t>
  </si>
  <si>
    <t>Phạm Thị Như Thảo</t>
  </si>
  <si>
    <t>Kế toán Quỹ</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</si>
  <si>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</si>
  <si>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</si>
  <si>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</si>
  <si>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</si>
  <si>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</si>
  <si>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</si>
  <si>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</si>
  <si>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</si>
  <si>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</si>
  <si>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</si>
  <si>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</si>
  <si>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</si>
  <si>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</si>
  <si>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</si>
  <si>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</si>
  <si>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</si>
  <si>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</si>
  <si>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</si>
  <si>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</si>
  <si>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</si>
  <si>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</si>
  <si>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</si>
  <si>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</si>
  <si>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</si>
  <si>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</si>
  <si>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Tiền bán chứng khoán chờ thu 
Securities Trading Receivables</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</si>
  <si>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</si>
  <si>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</si>
  <si>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</si>
  <si>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</si>
  <si>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</si>
  <si>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</si>
  <si>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</si>
  <si>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Phụ lục XXVI. Mẫu báo cáo về hoạt động của Quỹ
Appendix XXVI. Report on Fund's Operation</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</si>
  <si>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</si>
  <si>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</si>
  <si>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</si>
  <si>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</si>
  <si>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</si>
  <si>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</si>
  <si>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</si>
  <si>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</si>
  <si>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</si>
  <si>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</si>
  <si>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</si>
  <si>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</si>
  <si>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</si>
  <si>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</si>
  <si>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</si>
  <si>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</si>
  <si>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BÁO CÁO VỀ HOẠT ĐỘNG ĐẦU TƯ
REPORT ON INVESTMENT ACTIVITIES</t>
  </si>
  <si>
    <t>BẤT ĐỘNG SẢN ĐẦU TƯ (KHÔNG ÁP DỤNG)
REAL ESTATE INVESTMENT (NOT APPLICABLE)</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</si>
  <si>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</si>
  <si>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</si>
  <si>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</si>
  <si>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</si>
  <si>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</si>
  <si>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</si>
  <si>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</si>
  <si>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</si>
  <si>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</si>
  <si>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</si>
  <si>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</si>
  <si>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</si>
  <si>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</si>
  <si>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</si>
  <si>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</si>
  <si>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</si>
  <si>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___________________________________</t>
  </si>
  <si>
    <t>Phạm Thanh Dũng</t>
  </si>
  <si>
    <t>Kế toán trưởng</t>
  </si>
  <si>
    <t>Phó Tổng Giám đốc kiêm 
Giám đốc Tài chính</t>
  </si>
  <si>
    <t xml:space="preserve">                 Người lập:</t>
  </si>
  <si>
    <t xml:space="preserve">                             Người duyệt:</t>
  </si>
  <si>
    <t>____________________________________</t>
  </si>
  <si>
    <t xml:space="preserve">          Phạm Thị Như Thảo</t>
  </si>
  <si>
    <t xml:space="preserve">Phạm Thanh Dũng   </t>
  </si>
  <si>
    <t xml:space="preserve">                 Kế toán quỹ</t>
  </si>
  <si>
    <t xml:space="preserve">Kế toán Trưởng   </t>
  </si>
  <si>
    <t>Phó Tổng giám đốc – Phụ trách Công bố thông tin</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</si>
  <si>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</si>
  <si>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</si>
  <si>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</si>
  <si>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</si>
  <si>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Mã chỉ tiêu
Code</t>
  </si>
  <si>
    <r>
      <t>(Ban hành kèm theo Thông tư số 98/2020/TT-BTC ngày 16 tháng 11 năm 2020 của Bộ trưởng</t>
    </r>
    <r>
      <rPr>
        <sz val="8"/>
        <rFont val="Tahoma"/>
        <family val="2"/>
      </rPr>
      <t xml:space="preserve"> </t>
    </r>
    <r>
      <rPr>
        <i/>
        <sz val="8"/>
        <rFont val="Tahoma"/>
        <family val="2"/>
      </rPr>
      <t xml:space="preserve">Bộ Tài Chính </t>
    </r>
    <r>
      <rPr>
        <sz val="8"/>
        <rFont val="Tahoma"/>
        <family val="2"/>
      </rPr>
      <t xml:space="preserve">về </t>
    </r>
    <r>
      <rPr>
        <i/>
        <sz val="8"/>
        <rFont val="Tahoma"/>
        <family val="2"/>
      </rPr>
      <t>hướng dẫn hoạt động và quản lý quỹ đầu tư chứng khoán)
(Issued in association with Circular 98/2020/TT-BTC dated 16 November 2020 of the Minister of Finance on guiding the operation and management of the securities investment funds)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</si>
</sst>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_(* \(#,##0\);_(* &quot;-&quot;_);_(@_)"/>
    <numFmt numFmtId="43" formatCode="_(* #,##0.00_);_(* \(#,##0.00\);_(* &quot;-&quot;??_);_(@_)"/>
    <numFmt numFmtId="164" formatCode="_-* #,##0.00_-;\-* #,##0.00_-;_-* &quot;-&quot;??_-;_-@_-"/>
    <numFmt numFmtId="165" formatCode="_-* #,##0.00\ _₫_-;\-* #,##0.00\ _₫_-;_-* &quot;-&quot;??\ _₫_-;_-@_-"/>
    <numFmt numFmtId="166" formatCode="_(* #,##0_);_(* \(#,##0\);_(* &quot;-&quot;??_);_(@_)"/>
    <numFmt numFmtId="167" formatCode="_(* #,##0.00_);_(* \(#,##0.00\);_(* &quot;-&quot;_);_(@_)"/>
    <numFmt numFmtId="168" formatCode="_-* #,##0\ _₫_-;\-* #,##0\ _₫_-;_-* &quot;-&quot;\ _₫_-;_-@_-"/>
  </numFmts>
  <fonts count="56">
    <font>
      <sz val="11"/>
      <color theme="1"/>
      <name val="Calibri"/>
      <family val="2"/>
      <scheme val="minor"/>
    </font>
    <font>
      <sz val="10"/>
      <color theme="1"/>
      <name val="Arial"/>
      <family val="2"/>
    </font>
    <font>
      <sz val="10"/>
      <color theme="1"/>
      <name val="Arial"/>
      <family val="2"/>
    </font>
    <font>
      <sz val="10"/>
      <color theme="1"/>
      <name val="Arial"/>
      <family val="2"/>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sz val="8"/>
      <name val="Tahoma"/>
      <family val="2"/>
    </font>
  </fonts>
  <fills count="1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35">
    <xf numFmtId="0" fontId="0" fillId="0" borderId="0"/>
    <xf numFmtId="0" fontId="5" fillId="0" borderId="0"/>
    <xf numFmtId="0" fontId="4" fillId="0" borderId="0"/>
    <xf numFmtId="0" fontId="7" fillId="0" borderId="0"/>
    <xf numFmtId="0" fontId="7" fillId="0" borderId="0"/>
    <xf numFmtId="43" fontId="7" fillId="0" borderId="0" applyFont="0" applyFill="0" applyBorder="0" applyAlignment="0" applyProtection="0"/>
    <xf numFmtId="0" fontId="7" fillId="0" borderId="0"/>
    <xf numFmtId="43" fontId="4" fillId="0" borderId="0" applyFont="0" applyFill="0" applyBorder="0" applyAlignment="0" applyProtection="0"/>
    <xf numFmtId="43" fontId="8" fillId="0" borderId="0" applyFont="0" applyFill="0" applyBorder="0" applyAlignment="0" applyProtection="0"/>
    <xf numFmtId="166" fontId="8" fillId="0" borderId="0" applyFont="0" applyFill="0" applyBorder="0" applyAlignment="0" applyProtection="0"/>
    <xf numFmtId="10" fontId="4" fillId="0" borderId="0" applyFont="0" applyFill="0" applyBorder="0" applyAlignment="0" applyProtection="0"/>
    <xf numFmtId="0" fontId="7" fillId="0" borderId="0"/>
    <xf numFmtId="0" fontId="4" fillId="0" borderId="0"/>
    <xf numFmtId="165" fontId="7" fillId="0" borderId="0" quotePrefix="1" applyFont="0" applyFill="0" applyBorder="0" applyAlignment="0">
      <protection locked="0"/>
    </xf>
    <xf numFmtId="0" fontId="4" fillId="17" borderId="0"/>
    <xf numFmtId="0" fontId="4" fillId="17" borderId="0"/>
    <xf numFmtId="0" fontId="6" fillId="17" borderId="0" applyNumberFormat="0" applyFill="0" applyBorder="0" applyAlignment="0" applyProtection="0"/>
    <xf numFmtId="0" fontId="4" fillId="17" borderId="0"/>
    <xf numFmtId="0" fontId="4" fillId="17" borderId="0"/>
    <xf numFmtId="0" fontId="7" fillId="17" borderId="0"/>
    <xf numFmtId="0" fontId="7" fillId="17" borderId="0"/>
    <xf numFmtId="164" fontId="7" fillId="17" borderId="0" applyFont="0" applyFill="0" applyBorder="0" applyAlignment="0" applyProtection="0"/>
    <xf numFmtId="0" fontId="7" fillId="17" borderId="0"/>
    <xf numFmtId="164" fontId="4" fillId="17" borderId="0" applyFont="0" applyFill="0" applyBorder="0" applyAlignment="0" applyProtection="0"/>
    <xf numFmtId="164" fontId="1" fillId="17" borderId="0" applyFont="0" applyFill="0" applyBorder="0" applyAlignment="0" applyProtection="0"/>
    <xf numFmtId="166" fontId="1" fillId="17" borderId="0" applyFont="0" applyFill="0" applyBorder="0" applyAlignment="0" applyProtection="0"/>
    <xf numFmtId="10" fontId="4" fillId="17" borderId="0" applyFont="0" applyFill="0" applyBorder="0" applyAlignment="0" applyProtection="0"/>
    <xf numFmtId="0" fontId="7" fillId="17" borderId="0"/>
    <xf numFmtId="165" fontId="7" fillId="17" borderId="0" quotePrefix="1" applyFont="0" applyFill="0" applyBorder="0" applyAlignment="0">
      <protection locked="0"/>
    </xf>
    <xf numFmtId="0" fontId="4" fillId="17" borderId="0"/>
    <xf numFmtId="0" fontId="7" fillId="17" borderId="0"/>
    <xf numFmtId="0" fontId="7" fillId="17" borderId="0"/>
    <xf numFmtId="9" fontId="7" fillId="17" borderId="0" quotePrefix="1" applyFont="0" applyFill="0" applyBorder="0" applyAlignment="0">
      <protection locked="0"/>
    </xf>
    <xf numFmtId="164" fontId="7" fillId="17" borderId="0" quotePrefix="1" applyFont="0" applyFill="0" applyBorder="0" applyAlignment="0">
      <protection locked="0"/>
    </xf>
    <xf numFmtId="9" fontId="4" fillId="17" borderId="0" applyFont="0" applyFill="0" applyBorder="0" applyAlignment="0" applyProtection="0"/>
  </cellStyleXfs>
  <cellXfs count="291">
    <xf numFmtId="0" fontId="0" fillId="0" borderId="0" xfId="0"/>
    <xf numFmtId="0" fontId="9" fillId="2" borderId="0" xfId="0" applyFont="1" applyFill="1"/>
    <xf numFmtId="0" fontId="10" fillId="2" borderId="0" xfId="0" applyFont="1" applyFill="1"/>
    <xf numFmtId="0" fontId="11" fillId="3" borderId="2" xfId="0" applyFont="1" applyFill="1" applyBorder="1"/>
    <xf numFmtId="0" fontId="10" fillId="3" borderId="3" xfId="0" applyFont="1" applyFill="1" applyBorder="1"/>
    <xf numFmtId="0" fontId="11" fillId="3" borderId="4" xfId="0" applyFont="1" applyFill="1" applyBorder="1"/>
    <xf numFmtId="0" fontId="11" fillId="2" borderId="0" xfId="0" applyFont="1" applyFill="1"/>
    <xf numFmtId="0" fontId="12" fillId="3" borderId="0" xfId="0" applyFont="1" applyFill="1" applyAlignment="1">
      <alignment horizontal="left" vertical="center" wrapText="1"/>
    </xf>
    <xf numFmtId="0" fontId="13" fillId="3" borderId="0" xfId="0" applyFont="1" applyFill="1" applyAlignment="1">
      <alignment vertical="center" wrapText="1"/>
    </xf>
    <xf numFmtId="0" fontId="14" fillId="3" borderId="0" xfId="0" applyFont="1" applyFill="1" applyAlignment="1">
      <alignment horizontal="left" vertical="center" wrapText="1"/>
    </xf>
    <xf numFmtId="0" fontId="12" fillId="3" borderId="0" xfId="0" applyFont="1" applyFill="1" applyAlignment="1">
      <alignment vertical="center" wrapText="1"/>
    </xf>
    <xf numFmtId="0" fontId="10" fillId="3" borderId="0" xfId="0" applyFont="1" applyFill="1" applyAlignment="1">
      <alignment vertical="center" wrapText="1"/>
    </xf>
    <xf numFmtId="0" fontId="15" fillId="3" borderId="0" xfId="0" applyFont="1" applyFill="1" applyAlignment="1">
      <alignment vertical="center" wrapText="1"/>
    </xf>
    <xf numFmtId="0" fontId="14" fillId="3" borderId="0" xfId="0" applyFont="1" applyFill="1"/>
    <xf numFmtId="0" fontId="16" fillId="3" borderId="1" xfId="0" applyFont="1" applyFill="1" applyBorder="1" applyAlignment="1">
      <alignment vertical="center"/>
    </xf>
    <xf numFmtId="0" fontId="10" fillId="3" borderId="5" xfId="0" applyFont="1" applyFill="1" applyBorder="1"/>
    <xf numFmtId="0" fontId="10" fillId="3" borderId="2" xfId="0" applyFont="1" applyFill="1" applyBorder="1"/>
    <xf numFmtId="0" fontId="17" fillId="3" borderId="6" xfId="1" applyNumberFormat="1" applyFont="1" applyFill="1" applyBorder="1" applyAlignment="1">
      <alignment vertical="center"/>
    </xf>
    <xf numFmtId="0" fontId="11" fillId="3" borderId="7" xfId="0" applyFont="1" applyFill="1" applyBorder="1"/>
    <xf numFmtId="0" fontId="10" fillId="3" borderId="0" xfId="0" applyFont="1" applyFill="1" applyBorder="1"/>
    <xf numFmtId="0" fontId="10" fillId="3" borderId="7" xfId="0" applyFont="1" applyFill="1" applyBorder="1"/>
    <xf numFmtId="0" fontId="10" fillId="3" borderId="6" xfId="0" applyFont="1" applyFill="1" applyBorder="1"/>
    <xf numFmtId="0" fontId="18" fillId="3" borderId="6" xfId="1" applyNumberFormat="1" applyFont="1" applyFill="1" applyBorder="1" applyAlignment="1">
      <alignment vertical="center"/>
    </xf>
    <xf numFmtId="0" fontId="18" fillId="3" borderId="6" xfId="1" applyFont="1" applyFill="1" applyBorder="1" applyAlignment="1">
      <alignment vertical="center"/>
    </xf>
    <xf numFmtId="0" fontId="14" fillId="3" borderId="3" xfId="1" applyFont="1" applyFill="1" applyBorder="1" applyAlignment="1">
      <alignment vertical="center"/>
    </xf>
    <xf numFmtId="0" fontId="14" fillId="3" borderId="3" xfId="1" applyNumberFormat="1" applyFont="1" applyFill="1" applyBorder="1" applyAlignment="1">
      <alignment vertical="center"/>
    </xf>
    <xf numFmtId="0" fontId="10" fillId="3" borderId="8" xfId="0" applyFont="1" applyFill="1" applyBorder="1"/>
    <xf numFmtId="0" fontId="10" fillId="3" borderId="4" xfId="0" applyFont="1" applyFill="1" applyBorder="1"/>
    <xf numFmtId="0" fontId="9" fillId="2" borderId="9" xfId="0" applyFont="1" applyFill="1" applyBorder="1" applyAlignment="1">
      <alignment horizontal="left" vertical="top"/>
    </xf>
    <xf numFmtId="49" fontId="9" fillId="2" borderId="9" xfId="0" applyNumberFormat="1" applyFont="1" applyFill="1" applyBorder="1" applyAlignment="1">
      <alignment horizontal="left" vertical="top"/>
    </xf>
    <xf numFmtId="0" fontId="10" fillId="2" borderId="0" xfId="0" applyFont="1" applyFill="1" applyAlignment="1">
      <alignment vertical="center"/>
    </xf>
    <xf numFmtId="0" fontId="20" fillId="2" borderId="0" xfId="0" applyFont="1" applyFill="1" applyAlignment="1">
      <alignment vertical="center"/>
    </xf>
    <xf numFmtId="0" fontId="20" fillId="2" borderId="0" xfId="0" applyFont="1" applyFill="1" applyAlignment="1">
      <alignment vertical="center" wrapText="1"/>
    </xf>
    <xf numFmtId="0" fontId="10" fillId="2" borderId="0" xfId="0" applyFont="1" applyFill="1" applyAlignment="1">
      <alignment vertical="center" wrapText="1"/>
    </xf>
    <xf numFmtId="0" fontId="20" fillId="2" borderId="0" xfId="0" applyFont="1" applyFill="1"/>
    <xf numFmtId="0" fontId="20" fillId="2" borderId="0" xfId="0" applyFont="1" applyFill="1" applyAlignment="1">
      <alignment vertical="top" wrapText="1"/>
    </xf>
    <xf numFmtId="0" fontId="10" fillId="2" borderId="0" xfId="0" applyFont="1" applyFill="1" applyAlignment="1">
      <alignment vertical="top" wrapText="1"/>
    </xf>
    <xf numFmtId="0" fontId="8" fillId="3" borderId="0" xfId="0" applyFont="1" applyFill="1"/>
    <xf numFmtId="0" fontId="21" fillId="3" borderId="0" xfId="0" applyFont="1" applyFill="1"/>
    <xf numFmtId="0" fontId="23" fillId="3" borderId="9" xfId="0" applyNumberFormat="1" applyFont="1" applyFill="1" applyBorder="1" applyAlignment="1" applyProtection="1">
      <alignment horizontal="left" vertical="center" wrapText="1"/>
    </xf>
    <xf numFmtId="0" fontId="23" fillId="3" borderId="0" xfId="0" applyFont="1" applyFill="1"/>
    <xf numFmtId="0" fontId="24" fillId="3" borderId="0" xfId="0" applyFont="1" applyFill="1"/>
    <xf numFmtId="0" fontId="24" fillId="3" borderId="0" xfId="0" applyFont="1" applyFill="1" applyAlignment="1">
      <alignment horizontal="left" vertical="center"/>
    </xf>
    <xf numFmtId="0" fontId="24" fillId="3" borderId="0" xfId="0" applyFont="1" applyFill="1" applyBorder="1"/>
    <xf numFmtId="0" fontId="24" fillId="3" borderId="0" xfId="0" applyFont="1" applyFill="1" applyBorder="1" applyAlignment="1">
      <alignment horizontal="left" vertical="center"/>
    </xf>
    <xf numFmtId="0" fontId="26" fillId="3" borderId="0" xfId="0" applyFont="1" applyFill="1"/>
    <xf numFmtId="0" fontId="26" fillId="3" borderId="0" xfId="0" applyFont="1" applyFill="1" applyAlignment="1">
      <alignment horizontal="left" vertical="center"/>
    </xf>
    <xf numFmtId="0" fontId="25" fillId="2" borderId="9" xfId="6" applyFont="1" applyFill="1" applyBorder="1" applyAlignment="1" applyProtection="1">
      <alignment horizontal="center" vertical="center" wrapText="1"/>
    </xf>
    <xf numFmtId="166" fontId="25" fillId="2" borderId="9" xfId="7" applyNumberFormat="1" applyFont="1" applyFill="1" applyBorder="1" applyAlignment="1" applyProtection="1">
      <alignment horizontal="center" vertical="center" wrapText="1"/>
      <protection locked="0"/>
    </xf>
    <xf numFmtId="0" fontId="25" fillId="2" borderId="9" xfId="6" applyNumberFormat="1" applyFont="1" applyFill="1" applyBorder="1" applyAlignment="1" applyProtection="1">
      <alignment horizontal="center" vertical="center" wrapText="1"/>
    </xf>
    <xf numFmtId="0" fontId="24" fillId="3" borderId="0" xfId="0" applyFont="1" applyFill="1" applyAlignment="1">
      <alignment vertical="center"/>
    </xf>
    <xf numFmtId="0" fontId="23" fillId="3" borderId="0" xfId="0" applyFont="1" applyFill="1" applyAlignment="1">
      <alignment vertical="center"/>
    </xf>
    <xf numFmtId="0" fontId="27" fillId="3" borderId="0" xfId="0" applyFont="1" applyFill="1" applyBorder="1" applyAlignment="1">
      <alignment horizontal="left" vertical="center" wrapText="1"/>
    </xf>
    <xf numFmtId="0" fontId="25" fillId="2" borderId="9" xfId="0" applyFont="1" applyFill="1" applyBorder="1" applyAlignment="1">
      <alignment horizontal="center" vertical="center"/>
    </xf>
    <xf numFmtId="0" fontId="24" fillId="0" borderId="9" xfId="0" applyFont="1" applyFill="1" applyBorder="1" applyAlignment="1">
      <alignment horizontal="center" vertical="center"/>
    </xf>
    <xf numFmtId="0" fontId="24" fillId="0" borderId="9" xfId="6" applyFont="1" applyFill="1" applyBorder="1" applyAlignment="1" applyProtection="1">
      <alignment horizontal="left" vertical="center" wrapText="1"/>
    </xf>
    <xf numFmtId="0" fontId="24" fillId="0" borderId="9" xfId="2" applyFont="1" applyFill="1" applyBorder="1" applyAlignment="1">
      <alignment horizontal="center" vertical="center"/>
    </xf>
    <xf numFmtId="0" fontId="26" fillId="0" borderId="9" xfId="6" applyFont="1" applyFill="1" applyBorder="1" applyAlignment="1" applyProtection="1">
      <alignment horizontal="left" vertical="center" wrapText="1"/>
    </xf>
    <xf numFmtId="0" fontId="26" fillId="0" borderId="9" xfId="4" applyFont="1" applyFill="1" applyBorder="1" applyAlignment="1" applyProtection="1">
      <alignment horizontal="left" vertical="center" wrapText="1"/>
    </xf>
    <xf numFmtId="0" fontId="24" fillId="3" borderId="9" xfId="2" applyFont="1" applyFill="1" applyBorder="1" applyAlignment="1">
      <alignment horizontal="center" vertical="center"/>
    </xf>
    <xf numFmtId="0" fontId="25" fillId="3" borderId="5" xfId="0" applyFont="1" applyFill="1" applyBorder="1" applyAlignment="1">
      <alignment horizontal="left" vertical="center"/>
    </xf>
    <xf numFmtId="0" fontId="31" fillId="3" borderId="0" xfId="0" applyFont="1" applyFill="1" applyBorder="1" applyAlignment="1">
      <alignment vertical="center"/>
    </xf>
    <xf numFmtId="0" fontId="26" fillId="3" borderId="0" xfId="1" applyNumberFormat="1" applyFont="1" applyFill="1" applyBorder="1" applyAlignment="1">
      <alignment vertical="center"/>
    </xf>
    <xf numFmtId="0" fontId="27" fillId="3" borderId="0" xfId="0" applyFont="1" applyFill="1" applyBorder="1" applyAlignment="1">
      <alignment horizontal="left" vertical="center"/>
    </xf>
    <xf numFmtId="0" fontId="27" fillId="3" borderId="0" xfId="0" applyFont="1" applyFill="1" applyBorder="1" applyAlignment="1">
      <alignment horizontal="left" vertical="center"/>
    </xf>
    <xf numFmtId="0" fontId="23" fillId="0" borderId="0" xfId="0" applyFont="1" applyFill="1" applyAlignment="1">
      <alignment vertical="center"/>
    </xf>
    <xf numFmtId="166" fontId="25" fillId="2" borderId="9" xfId="7" applyNumberFormat="1" applyFont="1" applyFill="1" applyBorder="1" applyAlignment="1" applyProtection="1">
      <alignment horizontal="center" vertical="center" wrapText="1"/>
    </xf>
    <xf numFmtId="0" fontId="4" fillId="5" borderId="0" xfId="2" applyFill="1" applyAlignment="1">
      <alignment vertical="center"/>
    </xf>
    <xf numFmtId="49" fontId="25" fillId="2" borderId="9" xfId="6" applyNumberFormat="1" applyFont="1" applyFill="1" applyBorder="1" applyAlignment="1" applyProtection="1">
      <alignment horizontal="left" vertical="center" wrapText="1"/>
    </xf>
    <xf numFmtId="49" fontId="25" fillId="2" borderId="9" xfId="6" applyNumberFormat="1" applyFont="1" applyFill="1" applyBorder="1" applyAlignment="1" applyProtection="1">
      <alignment horizontal="center" vertical="center" wrapText="1"/>
    </xf>
    <xf numFmtId="166" fontId="25" fillId="2" borderId="9" xfId="7" applyNumberFormat="1" applyFont="1" applyFill="1" applyBorder="1" applyAlignment="1" applyProtection="1">
      <alignment horizontal="right" vertical="center" wrapText="1"/>
      <protection locked="0"/>
    </xf>
    <xf numFmtId="0" fontId="4" fillId="2" borderId="0" xfId="2" applyFill="1" applyAlignment="1">
      <alignment vertical="center"/>
    </xf>
    <xf numFmtId="0" fontId="36" fillId="0" borderId="0" xfId="0" applyFont="1" applyFill="1" applyAlignment="1">
      <alignment vertical="center"/>
    </xf>
    <xf numFmtId="49" fontId="24" fillId="0" borderId="9" xfId="6" applyNumberFormat="1" applyFont="1" applyFill="1" applyBorder="1" applyAlignment="1" applyProtection="1">
      <alignment horizontal="left" vertical="center" wrapText="1"/>
    </xf>
    <xf numFmtId="49" fontId="24" fillId="0" borderId="9" xfId="6" applyNumberFormat="1" applyFont="1" applyFill="1" applyBorder="1" applyAlignment="1" applyProtection="1">
      <alignment horizontal="center" vertical="center" wrapText="1"/>
    </xf>
    <xf numFmtId="166" fontId="24" fillId="3" borderId="9" xfId="7" applyNumberFormat="1" applyFont="1" applyFill="1" applyBorder="1" applyAlignment="1" applyProtection="1">
      <alignment horizontal="right" vertical="center" wrapText="1"/>
      <protection locked="0"/>
    </xf>
    <xf numFmtId="0" fontId="26" fillId="0" borderId="9" xfId="2" applyFont="1" applyFill="1" applyBorder="1" applyAlignment="1">
      <alignment horizontal="center" vertical="center"/>
    </xf>
    <xf numFmtId="49" fontId="26" fillId="0" borderId="9" xfId="6" applyNumberFormat="1" applyFont="1" applyFill="1" applyBorder="1" applyAlignment="1" applyProtection="1">
      <alignment horizontal="left" vertical="center" wrapText="1"/>
    </xf>
    <xf numFmtId="49" fontId="26" fillId="0" borderId="9" xfId="6" applyNumberFormat="1" applyFont="1" applyFill="1" applyBorder="1" applyAlignment="1" applyProtection="1">
      <alignment horizontal="center" vertical="center" wrapText="1"/>
    </xf>
    <xf numFmtId="0" fontId="26" fillId="3" borderId="9" xfId="2" applyFont="1" applyFill="1" applyBorder="1" applyAlignment="1">
      <alignment horizontal="center" vertical="center"/>
    </xf>
    <xf numFmtId="49" fontId="26" fillId="3" borderId="9" xfId="6" applyNumberFormat="1" applyFont="1" applyFill="1" applyBorder="1" applyAlignment="1" applyProtection="1">
      <alignment horizontal="left" vertical="center" wrapText="1"/>
    </xf>
    <xf numFmtId="49" fontId="26" fillId="3" borderId="9" xfId="6" applyNumberFormat="1" applyFont="1" applyFill="1" applyBorder="1" applyAlignment="1" applyProtection="1">
      <alignment horizontal="center" vertical="center" wrapText="1"/>
    </xf>
    <xf numFmtId="166" fontId="26" fillId="3" borderId="9" xfId="7" applyNumberFormat="1" applyFont="1" applyFill="1" applyBorder="1" applyAlignment="1" applyProtection="1">
      <alignment horizontal="right" vertical="center" wrapText="1"/>
      <protection locked="0"/>
    </xf>
    <xf numFmtId="0" fontId="37" fillId="5" borderId="0" xfId="2" applyFont="1" applyFill="1" applyAlignment="1">
      <alignment vertical="center"/>
    </xf>
    <xf numFmtId="166" fontId="24" fillId="0" borderId="9" xfId="7" applyNumberFormat="1" applyFont="1" applyFill="1" applyBorder="1" applyAlignment="1" applyProtection="1">
      <alignment horizontal="right" vertical="center" wrapText="1"/>
      <protection locked="0"/>
    </xf>
    <xf numFmtId="0" fontId="4" fillId="4" borderId="0" xfId="2" applyFill="1" applyAlignment="1">
      <alignment vertical="center"/>
    </xf>
    <xf numFmtId="0" fontId="25" fillId="2" borderId="9" xfId="2" applyFont="1" applyFill="1" applyBorder="1" applyAlignment="1">
      <alignment horizontal="center" vertical="center"/>
    </xf>
    <xf numFmtId="0" fontId="38" fillId="5" borderId="0" xfId="2" applyFont="1" applyFill="1" applyAlignment="1">
      <alignment vertical="center"/>
    </xf>
    <xf numFmtId="0" fontId="36" fillId="3" borderId="0" xfId="0" applyFont="1" applyFill="1" applyAlignment="1">
      <alignment vertical="center"/>
    </xf>
    <xf numFmtId="0" fontId="35" fillId="3" borderId="0" xfId="0" applyFont="1" applyFill="1" applyAlignment="1">
      <alignment vertical="center"/>
    </xf>
    <xf numFmtId="0" fontId="35" fillId="0" borderId="0" xfId="0" applyFont="1" applyFill="1" applyAlignment="1">
      <alignment vertical="center"/>
    </xf>
    <xf numFmtId="0" fontId="36" fillId="3" borderId="5" xfId="0" applyFont="1" applyFill="1" applyBorder="1" applyAlignment="1">
      <alignment vertical="center"/>
    </xf>
    <xf numFmtId="0" fontId="23" fillId="3" borderId="5" xfId="0" applyFont="1" applyFill="1" applyBorder="1" applyAlignment="1">
      <alignment vertical="center"/>
    </xf>
    <xf numFmtId="0" fontId="8" fillId="0" borderId="0" xfId="0" applyFont="1" applyFill="1"/>
    <xf numFmtId="0" fontId="36" fillId="2" borderId="9" xfId="0" applyFont="1" applyFill="1" applyBorder="1" applyAlignment="1">
      <alignment horizontal="center" vertical="center" wrapText="1"/>
    </xf>
    <xf numFmtId="10" fontId="24" fillId="3" borderId="14" xfId="0" applyNumberFormat="1" applyFont="1" applyFill="1" applyBorder="1" applyAlignment="1" applyProtection="1">
      <alignment horizontal="right" vertical="center" wrapText="1"/>
      <protection locked="0"/>
    </xf>
    <xf numFmtId="0" fontId="23" fillId="3" borderId="0" xfId="0" applyFont="1" applyFill="1" applyBorder="1" applyAlignment="1">
      <alignment vertical="center"/>
    </xf>
    <xf numFmtId="0" fontId="25" fillId="3" borderId="5" xfId="1" applyNumberFormat="1" applyFont="1" applyFill="1" applyBorder="1" applyAlignment="1">
      <alignment vertical="center"/>
    </xf>
    <xf numFmtId="0" fontId="25" fillId="3" borderId="0" xfId="1" applyNumberFormat="1" applyFont="1" applyFill="1" applyBorder="1" applyAlignment="1">
      <alignment vertical="center"/>
    </xf>
    <xf numFmtId="0" fontId="24" fillId="3" borderId="0" xfId="1" applyFont="1" applyFill="1" applyBorder="1" applyAlignment="1">
      <alignment vertical="center"/>
    </xf>
    <xf numFmtId="0" fontId="24" fillId="3" borderId="0" xfId="1" applyNumberFormat="1" applyFont="1" applyFill="1" applyBorder="1" applyAlignment="1">
      <alignment vertical="center"/>
    </xf>
    <xf numFmtId="0" fontId="21" fillId="0" borderId="0" xfId="0" applyFont="1" applyFill="1" applyAlignment="1">
      <alignment wrapText="1"/>
    </xf>
    <xf numFmtId="0" fontId="22" fillId="0" borderId="0" xfId="0" applyFont="1" applyFill="1" applyAlignment="1">
      <alignment wrapText="1"/>
    </xf>
    <xf numFmtId="0" fontId="22" fillId="0" borderId="0" xfId="0" applyFont="1" applyFill="1" applyAlignment="1"/>
    <xf numFmtId="0" fontId="36" fillId="3" borderId="9" xfId="0" applyFont="1" applyFill="1" applyBorder="1" applyAlignment="1">
      <alignment horizontal="center" vertical="center"/>
    </xf>
    <xf numFmtId="0" fontId="36" fillId="3" borderId="9" xfId="0" applyNumberFormat="1" applyFont="1" applyFill="1" applyBorder="1" applyAlignment="1" applyProtection="1">
      <alignment horizontal="left" vertical="center" wrapText="1"/>
    </xf>
    <xf numFmtId="49" fontId="36" fillId="3" borderId="9" xfId="2" applyNumberFormat="1" applyFont="1" applyFill="1" applyBorder="1" applyAlignment="1" applyProtection="1">
      <alignment horizontal="center" vertical="center" wrapText="1"/>
    </xf>
    <xf numFmtId="0" fontId="21" fillId="0" borderId="0" xfId="0" applyFont="1" applyFill="1"/>
    <xf numFmtId="0" fontId="23" fillId="3" borderId="9" xfId="0" applyFont="1" applyFill="1" applyBorder="1" applyAlignment="1">
      <alignment horizontal="center" vertical="center"/>
    </xf>
    <xf numFmtId="49" fontId="23" fillId="3" borderId="9" xfId="2" applyNumberFormat="1" applyFont="1" applyFill="1" applyBorder="1" applyAlignment="1" applyProtection="1">
      <alignment horizontal="center" vertical="center" wrapText="1"/>
    </xf>
    <xf numFmtId="41" fontId="23" fillId="3" borderId="9" xfId="0" applyNumberFormat="1" applyFont="1" applyFill="1" applyBorder="1" applyAlignment="1">
      <alignment horizontal="right" vertical="center" wrapText="1"/>
    </xf>
    <xf numFmtId="165" fontId="23" fillId="3" borderId="9" xfId="0" applyNumberFormat="1" applyFont="1" applyFill="1" applyBorder="1" applyAlignment="1">
      <alignment horizontal="right" vertical="center" wrapText="1"/>
    </xf>
    <xf numFmtId="43" fontId="23" fillId="3" borderId="9" xfId="0" applyNumberFormat="1" applyFont="1" applyFill="1" applyBorder="1" applyAlignment="1">
      <alignment horizontal="right" vertical="center" wrapText="1"/>
    </xf>
    <xf numFmtId="0" fontId="22" fillId="0" borderId="0" xfId="0" applyFont="1" applyFill="1"/>
    <xf numFmtId="0" fontId="23" fillId="3" borderId="8" xfId="0" applyFont="1" applyFill="1" applyBorder="1" applyAlignment="1">
      <alignment vertical="center"/>
    </xf>
    <xf numFmtId="0" fontId="23" fillId="3" borderId="0" xfId="0" applyFont="1" applyFill="1" applyAlignment="1">
      <alignment vertical="center" wrapText="1"/>
    </xf>
    <xf numFmtId="0" fontId="25" fillId="2" borderId="9" xfId="0" applyNumberFormat="1" applyFont="1" applyFill="1" applyBorder="1" applyAlignment="1" applyProtection="1">
      <alignment horizontal="center" vertical="center" wrapText="1"/>
    </xf>
    <xf numFmtId="49" fontId="25" fillId="2" borderId="9" xfId="0" applyNumberFormat="1" applyFont="1" applyFill="1" applyBorder="1" applyAlignment="1" applyProtection="1">
      <alignment horizontal="center" vertical="center" wrapText="1"/>
    </xf>
    <xf numFmtId="0" fontId="25" fillId="2" borderId="9" xfId="4" applyFont="1" applyFill="1" applyBorder="1" applyAlignment="1" applyProtection="1">
      <alignment horizontal="left" vertical="center" wrapText="1"/>
    </xf>
    <xf numFmtId="49" fontId="25" fillId="2" borderId="9" xfId="4" applyNumberFormat="1" applyFont="1" applyFill="1" applyBorder="1" applyAlignment="1" applyProtection="1">
      <alignment horizontal="center" vertical="center" wrapText="1"/>
    </xf>
    <xf numFmtId="0" fontId="24" fillId="2" borderId="9" xfId="4" applyNumberFormat="1" applyFont="1" applyFill="1" applyBorder="1" applyAlignment="1" applyProtection="1">
      <alignment horizontal="center" vertical="center" wrapText="1"/>
    </xf>
    <xf numFmtId="0" fontId="24" fillId="3" borderId="9" xfId="4" applyFont="1" applyFill="1" applyBorder="1" applyAlignment="1" applyProtection="1">
      <alignment horizontal="left" vertical="center" wrapText="1"/>
    </xf>
    <xf numFmtId="49" fontId="24" fillId="0" borderId="9" xfId="4" applyNumberFormat="1" applyFont="1" applyFill="1" applyBorder="1" applyAlignment="1" applyProtection="1">
      <alignment horizontal="center" vertical="center" wrapText="1"/>
    </xf>
    <xf numFmtId="0" fontId="24" fillId="0" borderId="9" xfId="4" applyNumberFormat="1" applyFont="1" applyFill="1" applyBorder="1" applyAlignment="1" applyProtection="1">
      <alignment horizontal="center" vertical="center" wrapText="1"/>
    </xf>
    <xf numFmtId="0" fontId="24" fillId="3" borderId="9" xfId="4" applyNumberFormat="1" applyFont="1" applyFill="1" applyBorder="1" applyAlignment="1" applyProtection="1">
      <alignment horizontal="center" vertical="center" wrapText="1"/>
    </xf>
    <xf numFmtId="49" fontId="24" fillId="3" borderId="9" xfId="4" applyNumberFormat="1" applyFont="1" applyFill="1" applyBorder="1" applyAlignment="1" applyProtection="1">
      <alignment horizontal="center" vertical="center" wrapText="1"/>
    </xf>
    <xf numFmtId="0" fontId="24" fillId="0" borderId="9" xfId="4" applyFont="1" applyFill="1" applyBorder="1" applyAlignment="1" applyProtection="1">
      <alignment horizontal="left" vertical="center" wrapText="1"/>
    </xf>
    <xf numFmtId="49" fontId="26" fillId="0" borderId="9" xfId="4" applyNumberFormat="1" applyFont="1" applyFill="1" applyBorder="1" applyAlignment="1" applyProtection="1">
      <alignment horizontal="center" vertical="center" wrapText="1"/>
    </xf>
    <xf numFmtId="49" fontId="24" fillId="0" borderId="9" xfId="4" quotePrefix="1" applyNumberFormat="1" applyFont="1" applyFill="1" applyBorder="1" applyAlignment="1" applyProtection="1">
      <alignment horizontal="center" vertical="center" wrapText="1"/>
    </xf>
    <xf numFmtId="49" fontId="26" fillId="0" borderId="9" xfId="4" quotePrefix="1" applyNumberFormat="1" applyFont="1" applyFill="1" applyBorder="1" applyAlignment="1" applyProtection="1">
      <alignment horizontal="center" vertical="center" wrapText="1"/>
    </xf>
    <xf numFmtId="0" fontId="27" fillId="3" borderId="0" xfId="0" applyFont="1" applyFill="1" applyBorder="1" applyAlignment="1">
      <alignment horizontal="left" vertical="center"/>
    </xf>
    <xf numFmtId="0" fontId="25" fillId="2" borderId="9" xfId="6" applyFont="1" applyFill="1" applyBorder="1" applyAlignment="1" applyProtection="1">
      <alignment horizontal="left" vertical="center" wrapText="1"/>
    </xf>
    <xf numFmtId="166" fontId="24" fillId="0" borderId="14" xfId="0" applyNumberFormat="1" applyFont="1" applyFill="1" applyBorder="1" applyAlignment="1" applyProtection="1">
      <alignment horizontal="right" vertical="center" wrapText="1"/>
      <protection locked="0"/>
    </xf>
    <xf numFmtId="4" fontId="24" fillId="3" borderId="14" xfId="0" applyNumberFormat="1" applyFont="1" applyFill="1" applyBorder="1" applyAlignment="1" applyProtection="1">
      <alignment horizontal="center"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4" fontId="26" fillId="3" borderId="14" xfId="0" applyNumberFormat="1" applyFont="1" applyFill="1" applyBorder="1" applyAlignment="1" applyProtection="1">
      <alignment horizontal="left" vertical="center" wrapText="1"/>
      <protection locked="0"/>
    </xf>
    <xf numFmtId="49" fontId="26" fillId="3" borderId="14" xfId="0" applyNumberFormat="1" applyFont="1" applyFill="1" applyBorder="1" applyAlignment="1" applyProtection="1">
      <alignment horizontal="center" vertical="center" wrapText="1"/>
      <protection locked="0"/>
    </xf>
    <xf numFmtId="0" fontId="7" fillId="3" borderId="0" xfId="0" applyFont="1" applyFill="1"/>
    <xf numFmtId="0" fontId="7" fillId="0" borderId="0" xfId="0" applyFont="1" applyFill="1"/>
    <xf numFmtId="0" fontId="24" fillId="3" borderId="14" xfId="0" applyNumberFormat="1" applyFont="1" applyFill="1" applyBorder="1" applyAlignment="1" applyProtection="1">
      <alignment horizontal="center" vertical="center" wrapText="1"/>
      <protection locked="0"/>
    </xf>
    <xf numFmtId="0" fontId="24" fillId="3" borderId="14" xfId="0" applyNumberFormat="1" applyFont="1" applyFill="1" applyBorder="1" applyAlignment="1" applyProtection="1">
      <alignment horizontal="left" vertical="center" wrapText="1"/>
      <protection locked="0"/>
    </xf>
    <xf numFmtId="167" fontId="24" fillId="3" borderId="14" xfId="0" applyNumberFormat="1" applyFont="1" applyFill="1" applyBorder="1" applyAlignment="1" applyProtection="1">
      <alignment horizontal="right" vertical="center" wrapText="1"/>
      <protection locked="0"/>
    </xf>
    <xf numFmtId="167" fontId="25" fillId="2" borderId="9" xfId="7" applyNumberFormat="1" applyFont="1" applyFill="1" applyBorder="1" applyAlignment="1" applyProtection="1">
      <alignment horizontal="right" vertical="center" wrapText="1"/>
      <protection locked="0"/>
    </xf>
    <xf numFmtId="0" fontId="27" fillId="3" borderId="0" xfId="0" applyFont="1" applyFill="1" applyBorder="1" applyAlignment="1">
      <alignment horizontal="left" vertical="center"/>
    </xf>
    <xf numFmtId="166" fontId="25" fillId="2" borderId="9" xfId="10" applyNumberFormat="1" applyFont="1" applyFill="1" applyBorder="1" applyAlignment="1" applyProtection="1">
      <alignment horizontal="center" vertical="center" wrapText="1"/>
    </xf>
    <xf numFmtId="0" fontId="39" fillId="3" borderId="0" xfId="0" applyFont="1" applyFill="1" applyBorder="1" applyAlignment="1">
      <alignment vertical="center"/>
    </xf>
    <xf numFmtId="0" fontId="27" fillId="3" borderId="0" xfId="0" applyFont="1" applyFill="1" applyBorder="1" applyAlignment="1">
      <alignment horizontal="left" vertical="center"/>
    </xf>
    <xf numFmtId="0" fontId="4" fillId="5" borderId="0" xfId="12" applyFill="1" applyAlignment="1">
      <alignment vertical="center"/>
    </xf>
    <xf numFmtId="0" fontId="4" fillId="5" borderId="0" xfId="12" applyFill="1"/>
    <xf numFmtId="0" fontId="26" fillId="3" borderId="0" xfId="11" applyFont="1" applyFill="1" applyAlignment="1">
      <alignment horizontal="center" vertical="center"/>
    </xf>
    <xf numFmtId="0" fontId="24" fillId="3" borderId="0" xfId="11" applyFont="1" applyFill="1"/>
    <xf numFmtId="0" fontId="4" fillId="3" borderId="0" xfId="12" applyFill="1"/>
    <xf numFmtId="0" fontId="4" fillId="3" borderId="0" xfId="12" applyFont="1" applyFill="1"/>
    <xf numFmtId="0" fontId="39" fillId="3" borderId="0" xfId="11" applyFont="1" applyFill="1" applyAlignment="1">
      <alignment horizontal="left" vertical="top"/>
    </xf>
    <xf numFmtId="0" fontId="39" fillId="3" borderId="0" xfId="11" applyFont="1" applyFill="1" applyAlignment="1">
      <alignment horizontal="left" vertical="top" wrapText="1"/>
    </xf>
    <xf numFmtId="0" fontId="42" fillId="3" borderId="0" xfId="11" applyFont="1" applyFill="1" applyAlignment="1">
      <alignment horizontal="left" vertical="top"/>
    </xf>
    <xf numFmtId="0" fontId="24" fillId="3" borderId="0" xfId="11" applyFont="1" applyFill="1" applyAlignment="1">
      <alignment horizontal="left" vertical="top"/>
    </xf>
    <xf numFmtId="0" fontId="23" fillId="3" borderId="0" xfId="11" applyFont="1" applyFill="1" applyAlignment="1">
      <alignment horizontal="left" vertical="top"/>
    </xf>
    <xf numFmtId="0" fontId="4" fillId="3" borderId="0" xfId="12" applyFill="1" applyAlignment="1">
      <alignment horizontal="center"/>
    </xf>
    <xf numFmtId="0" fontId="23" fillId="5" borderId="0" xfId="12" applyFont="1" applyFill="1"/>
    <xf numFmtId="0" fontId="36" fillId="6" borderId="9" xfId="12" applyFont="1" applyFill="1" applyBorder="1" applyAlignment="1">
      <alignment horizontal="center" vertical="center" wrapText="1"/>
    </xf>
    <xf numFmtId="49" fontId="23" fillId="3" borderId="9" xfId="12" applyNumberFormat="1" applyFont="1" applyFill="1" applyBorder="1" applyAlignment="1" applyProtection="1">
      <alignment horizontal="center" vertical="center" wrapText="1"/>
    </xf>
    <xf numFmtId="49" fontId="23" fillId="3" borderId="9" xfId="12" applyNumberFormat="1" applyFont="1" applyFill="1" applyBorder="1" applyAlignment="1" applyProtection="1">
      <alignment horizontal="left" vertical="center" wrapText="1"/>
    </xf>
    <xf numFmtId="0" fontId="23" fillId="3" borderId="9" xfId="12" applyFont="1" applyFill="1" applyBorder="1"/>
    <xf numFmtId="0" fontId="23" fillId="3" borderId="9" xfId="12" applyFont="1" applyFill="1" applyBorder="1" applyAlignment="1">
      <alignment vertical="center" wrapText="1"/>
    </xf>
    <xf numFmtId="168" fontId="23" fillId="3" borderId="9" xfId="12" applyNumberFormat="1" applyFont="1" applyFill="1" applyBorder="1" applyAlignment="1">
      <alignment vertical="center" wrapText="1"/>
    </xf>
    <xf numFmtId="10" fontId="23" fillId="3" borderId="9" xfId="12" applyNumberFormat="1" applyFont="1" applyFill="1" applyBorder="1" applyAlignment="1" applyProtection="1">
      <alignment horizontal="left" vertical="center" wrapText="1"/>
    </xf>
    <xf numFmtId="37" fontId="36" fillId="3" borderId="9" xfId="12" applyNumberFormat="1" applyFont="1" applyFill="1" applyBorder="1" applyAlignment="1" applyProtection="1">
      <alignment horizontal="left" vertical="center" wrapText="1"/>
    </xf>
    <xf numFmtId="10" fontId="36" fillId="3" borderId="9" xfId="12" applyNumberFormat="1" applyFont="1" applyFill="1" applyBorder="1" applyAlignment="1" applyProtection="1">
      <alignment horizontal="left" vertical="center" wrapText="1"/>
    </xf>
    <xf numFmtId="10" fontId="23" fillId="3" borderId="9" xfId="12" applyNumberFormat="1" applyFont="1" applyFill="1" applyBorder="1"/>
    <xf numFmtId="0" fontId="23" fillId="3" borderId="9" xfId="12" applyNumberFormat="1" applyFont="1" applyFill="1" applyBorder="1" applyAlignment="1" applyProtection="1">
      <alignment horizontal="center" vertical="center" wrapText="1"/>
    </xf>
    <xf numFmtId="0" fontId="23" fillId="3" borderId="9" xfId="12" applyNumberFormat="1" applyFont="1" applyFill="1" applyBorder="1" applyAlignment="1" applyProtection="1">
      <alignment horizontal="right" vertical="center" wrapText="1"/>
    </xf>
    <xf numFmtId="0" fontId="23" fillId="3" borderId="0" xfId="12" applyFont="1" applyFill="1" applyAlignment="1">
      <alignment horizontal="center"/>
    </xf>
    <xf numFmtId="0" fontId="23" fillId="3" borderId="0" xfId="12" applyFont="1" applyFill="1"/>
    <xf numFmtId="0" fontId="36" fillId="3" borderId="0" xfId="11" applyFont="1" applyFill="1"/>
    <xf numFmtId="0" fontId="23" fillId="3" borderId="0" xfId="11" applyFont="1" applyFill="1"/>
    <xf numFmtId="166" fontId="23" fillId="3" borderId="0" xfId="13" applyNumberFormat="1" applyFont="1" applyFill="1" applyProtection="1">
      <protection locked="0"/>
    </xf>
    <xf numFmtId="166" fontId="36" fillId="3" borderId="0" xfId="13" applyNumberFormat="1" applyFont="1" applyFill="1" applyProtection="1">
      <protection locked="0"/>
    </xf>
    <xf numFmtId="0" fontId="35" fillId="3" borderId="0" xfId="11" applyFont="1" applyFill="1"/>
    <xf numFmtId="166" fontId="35" fillId="3" borderId="0" xfId="13" applyNumberFormat="1" applyFont="1" applyFill="1" applyProtection="1">
      <protection locked="0"/>
    </xf>
    <xf numFmtId="0" fontId="23" fillId="3" borderId="8" xfId="11" applyFont="1" applyFill="1" applyBorder="1"/>
    <xf numFmtId="166" fontId="23" fillId="3" borderId="8" xfId="13" applyNumberFormat="1" applyFont="1" applyFill="1" applyBorder="1" applyProtection="1">
      <protection locked="0"/>
    </xf>
    <xf numFmtId="0" fontId="4" fillId="3" borderId="8" xfId="12" applyFill="1" applyBorder="1"/>
    <xf numFmtId="0" fontId="4" fillId="5" borderId="0" xfId="12" applyFill="1" applyAlignment="1">
      <alignment horizontal="center"/>
    </xf>
    <xf numFmtId="0" fontId="25" fillId="3" borderId="0" xfId="0" applyFont="1" applyFill="1" applyBorder="1" applyAlignment="1">
      <alignment horizontal="left" vertical="center"/>
    </xf>
    <xf numFmtId="0" fontId="24" fillId="3" borderId="5" xfId="0" applyFont="1" applyFill="1" applyBorder="1" applyAlignment="1">
      <alignment horizontal="left" vertical="center"/>
    </xf>
    <xf numFmtId="0" fontId="24" fillId="3" borderId="8" xfId="0" applyFont="1" applyFill="1" applyBorder="1" applyAlignment="1">
      <alignment horizontal="left" vertical="center"/>
    </xf>
    <xf numFmtId="49" fontId="24" fillId="3" borderId="9" xfId="12" applyNumberFormat="1" applyFont="1" applyFill="1" applyBorder="1" applyAlignment="1" applyProtection="1">
      <alignment horizontal="left" vertical="center" wrapText="1"/>
    </xf>
    <xf numFmtId="4" fontId="44" fillId="7" borderId="15" xfId="0" applyNumberFormat="1" applyFont="1" applyFill="1" applyBorder="1" applyAlignment="1" applyProtection="1">
      <alignment horizontal="left" vertical="center" wrapText="1"/>
      <protection locked="0"/>
    </xf>
    <xf numFmtId="4" fontId="45" fillId="8" borderId="16" xfId="0" applyNumberFormat="1" applyFont="1" applyFill="1" applyBorder="1" applyAlignment="1" applyProtection="1">
      <alignment horizontal="center" vertical="center" wrapText="1"/>
      <protection locked="0"/>
    </xf>
    <xf numFmtId="0" fontId="46" fillId="9" borderId="17" xfId="0" applyNumberFormat="1" applyFont="1" applyFill="1" applyBorder="1" applyAlignment="1" applyProtection="1">
      <alignment horizontal="center" vertical="center" wrapText="1"/>
      <protection locked="0"/>
    </xf>
    <xf numFmtId="10" fontId="47" fillId="10" borderId="18" xfId="0" applyNumberFormat="1" applyFont="1" applyFill="1" applyBorder="1" applyAlignment="1" applyProtection="1">
      <alignment horizontal="right" vertical="center" wrapText="1"/>
      <protection locked="0"/>
    </xf>
    <xf numFmtId="166" fontId="48" fillId="11" borderId="19" xfId="0" applyNumberFormat="1" applyFont="1" applyFill="1" applyBorder="1" applyAlignment="1" applyProtection="1">
      <alignment horizontal="right" vertical="center" wrapText="1"/>
      <protection locked="0"/>
    </xf>
    <xf numFmtId="0" fontId="49" fillId="12" borderId="20" xfId="0" applyNumberFormat="1" applyFont="1" applyFill="1" applyBorder="1" applyAlignment="1" applyProtection="1">
      <alignment horizontal="left" vertical="center" wrapText="1"/>
      <protection locked="0"/>
    </xf>
    <xf numFmtId="0" fontId="50" fillId="13" borderId="21" xfId="0" applyNumberFormat="1" applyFont="1" applyFill="1" applyBorder="1" applyAlignment="1" applyProtection="1">
      <alignment horizontal="center" vertical="center" wrapText="1"/>
      <protection locked="0"/>
    </xf>
    <xf numFmtId="10" fontId="51" fillId="14" borderId="22" xfId="0" applyNumberFormat="1" applyFont="1" applyFill="1" applyBorder="1" applyAlignment="1" applyProtection="1">
      <alignment horizontal="right" vertical="center" wrapText="1"/>
      <protection locked="0"/>
    </xf>
    <xf numFmtId="166" fontId="52" fillId="15" borderId="23" xfId="0" applyNumberFormat="1" applyFont="1" applyFill="1" applyBorder="1" applyAlignment="1" applyProtection="1">
      <alignment horizontal="right" vertical="center" wrapText="1"/>
      <protection locked="0"/>
    </xf>
    <xf numFmtId="43" fontId="53" fillId="16" borderId="24" xfId="0" applyNumberFormat="1" applyFont="1" applyFill="1" applyBorder="1" applyAlignment="1" applyProtection="1">
      <alignment horizontal="right" vertical="center" wrapText="1"/>
      <protection locked="0"/>
    </xf>
    <xf numFmtId="37" fontId="54" fillId="17" borderId="25" xfId="0" applyNumberFormat="1" applyFont="1" applyFill="1" applyBorder="1" applyAlignment="1" applyProtection="1">
      <alignment horizontal="right" vertical="center" wrapText="1"/>
      <protection locked="0"/>
    </xf>
    <xf numFmtId="0" fontId="36" fillId="3" borderId="0" xfId="0" applyFont="1" applyFill="1" applyAlignment="1">
      <alignment horizontal="center" vertical="center"/>
    </xf>
    <xf numFmtId="0" fontId="23" fillId="3" borderId="0" xfId="0" applyFont="1" applyFill="1" applyAlignment="1">
      <alignment horizontal="center" vertical="center"/>
    </xf>
    <xf numFmtId="0" fontId="23" fillId="3" borderId="9" xfId="0" applyFont="1" applyFill="1" applyBorder="1" applyAlignment="1">
      <alignment horizontal="center" vertical="center"/>
    </xf>
    <xf numFmtId="37" fontId="24" fillId="3" borderId="0" xfId="11" applyNumberFormat="1" applyFont="1" applyFill="1" applyAlignment="1">
      <alignment horizontal="left"/>
    </xf>
    <xf numFmtId="0" fontId="9" fillId="2" borderId="9" xfId="14" applyFont="1" applyFill="1" applyBorder="1" applyAlignment="1">
      <alignment horizontal="left" vertical="top"/>
    </xf>
    <xf numFmtId="0" fontId="10" fillId="2" borderId="9" xfId="15" applyFont="1" applyFill="1" applyBorder="1" applyAlignment="1">
      <alignment horizontal="left" vertical="top"/>
    </xf>
    <xf numFmtId="0" fontId="10" fillId="2" borderId="9" xfId="15" applyFont="1" applyFill="1" applyBorder="1" applyAlignment="1">
      <alignment horizontal="left" vertical="top" wrapText="1"/>
    </xf>
    <xf numFmtId="49" fontId="19" fillId="2" borderId="9" xfId="16" applyNumberFormat="1" applyFont="1" applyFill="1" applyBorder="1" applyAlignment="1">
      <alignment horizontal="left" vertical="top"/>
    </xf>
    <xf numFmtId="0" fontId="10" fillId="2" borderId="9" xfId="15" applyFont="1" applyFill="1" applyBorder="1" applyAlignment="1">
      <alignment horizontal="left"/>
    </xf>
    <xf numFmtId="0" fontId="10" fillId="2" borderId="9" xfId="15" applyFont="1" applyFill="1" applyBorder="1" applyAlignment="1">
      <alignment wrapText="1"/>
    </xf>
    <xf numFmtId="49" fontId="10" fillId="2" borderId="9" xfId="15" applyNumberFormat="1" applyFont="1" applyFill="1" applyBorder="1"/>
    <xf numFmtId="0" fontId="36" fillId="3" borderId="0" xfId="17" applyFont="1" applyFill="1" applyAlignment="1">
      <alignment horizontal="center" vertical="center"/>
    </xf>
    <xf numFmtId="0" fontId="36" fillId="3" borderId="0" xfId="17" applyFont="1" applyFill="1" applyAlignment="1">
      <alignment vertical="center"/>
    </xf>
    <xf numFmtId="0" fontId="25" fillId="3" borderId="0" xfId="17" applyFont="1" applyFill="1" applyAlignment="1">
      <alignment horizontal="center" vertical="center"/>
    </xf>
    <xf numFmtId="0" fontId="25" fillId="3" borderId="0" xfId="17" applyFont="1" applyFill="1" applyAlignment="1">
      <alignment vertical="center"/>
    </xf>
    <xf numFmtId="4" fontId="45" fillId="8" borderId="25" xfId="0" applyNumberFormat="1" applyFont="1" applyFill="1" applyBorder="1" applyAlignment="1" applyProtection="1">
      <alignment horizontal="center" vertical="center" wrapText="1"/>
      <protection locked="0"/>
    </xf>
    <xf numFmtId="4" fontId="44" fillId="7" borderId="25" xfId="0" applyNumberFormat="1" applyFont="1" applyFill="1" applyBorder="1" applyAlignment="1" applyProtection="1">
      <alignment horizontal="left" vertical="center" wrapText="1"/>
      <protection locked="0"/>
    </xf>
    <xf numFmtId="166" fontId="48" fillId="11" borderId="25" xfId="0" applyNumberFormat="1" applyFont="1" applyFill="1" applyBorder="1" applyAlignment="1" applyProtection="1">
      <alignment horizontal="right" vertical="center" wrapText="1"/>
      <protection locked="0"/>
    </xf>
    <xf numFmtId="10" fontId="47" fillId="10" borderId="25" xfId="0" applyNumberFormat="1" applyFont="1" applyFill="1" applyBorder="1" applyAlignment="1" applyProtection="1">
      <alignment horizontal="right" vertical="center" wrapText="1"/>
      <protection locked="0"/>
    </xf>
    <xf numFmtId="0" fontId="50" fillId="13" borderId="25" xfId="0" applyNumberFormat="1" applyFont="1" applyFill="1" applyBorder="1" applyAlignment="1" applyProtection="1">
      <alignment horizontal="center" vertical="center" wrapText="1"/>
      <protection locked="0"/>
    </xf>
    <xf numFmtId="166" fontId="52" fillId="15" borderId="25" xfId="0" applyNumberFormat="1" applyFont="1" applyFill="1" applyBorder="1" applyAlignment="1" applyProtection="1">
      <alignment horizontal="right" vertical="center" wrapText="1"/>
      <protection locked="0"/>
    </xf>
    <xf numFmtId="10" fontId="51" fillId="14" borderId="25" xfId="0" applyNumberFormat="1" applyFont="1" applyFill="1" applyBorder="1" applyAlignment="1" applyProtection="1">
      <alignment horizontal="right" vertical="center" wrapText="1"/>
      <protection locked="0"/>
    </xf>
    <xf numFmtId="0" fontId="24" fillId="13" borderId="25" xfId="0" applyNumberFormat="1" applyFont="1" applyFill="1" applyBorder="1" applyAlignment="1" applyProtection="1">
      <alignment horizontal="center" vertical="center" wrapText="1"/>
      <protection locked="0"/>
    </xf>
    <xf numFmtId="0" fontId="24" fillId="12" borderId="25" xfId="0" applyNumberFormat="1" applyFont="1" applyFill="1" applyBorder="1" applyAlignment="1" applyProtection="1">
      <alignment horizontal="left" vertical="center" wrapText="1"/>
      <protection locked="0"/>
    </xf>
    <xf numFmtId="166" fontId="23" fillId="3" borderId="0" xfId="0" applyNumberFormat="1" applyFont="1" applyFill="1"/>
    <xf numFmtId="0" fontId="23" fillId="17" borderId="0" xfId="0" applyFont="1" applyFill="1" applyAlignment="1">
      <alignment vertical="center"/>
    </xf>
    <xf numFmtId="0" fontId="25" fillId="0" borderId="9" xfId="2" applyFont="1" applyFill="1" applyBorder="1" applyAlignment="1">
      <alignment horizontal="center" vertical="center"/>
    </xf>
    <xf numFmtId="49" fontId="25" fillId="0" borderId="9" xfId="6" applyNumberFormat="1" applyFont="1" applyFill="1" applyBorder="1" applyAlignment="1" applyProtection="1">
      <alignment horizontal="left" vertical="center" wrapText="1"/>
    </xf>
    <xf numFmtId="0" fontId="3" fillId="17" borderId="0" xfId="0" applyFont="1" applyFill="1"/>
    <xf numFmtId="3" fontId="45" fillId="8" borderId="16" xfId="0" applyNumberFormat="1" applyFont="1" applyFill="1" applyBorder="1" applyAlignment="1" applyProtection="1">
      <alignment horizontal="center" vertical="center" wrapText="1"/>
      <protection locked="0"/>
    </xf>
    <xf numFmtId="0" fontId="2" fillId="17" borderId="0" xfId="0" applyFont="1" applyFill="1"/>
    <xf numFmtId="0" fontId="36" fillId="3" borderId="0" xfId="17" applyFont="1" applyFill="1" applyAlignment="1">
      <alignment horizontal="center"/>
    </xf>
    <xf numFmtId="0" fontId="36" fillId="3" borderId="0" xfId="17" applyFont="1" applyFill="1"/>
    <xf numFmtId="0" fontId="4" fillId="3" borderId="0" xfId="17" applyFill="1"/>
    <xf numFmtId="0" fontId="4" fillId="5" borderId="0" xfId="17" applyFill="1"/>
    <xf numFmtId="43" fontId="47" fillId="10" borderId="25" xfId="7" applyFont="1" applyFill="1" applyBorder="1" applyAlignment="1" applyProtection="1">
      <alignment horizontal="right" vertical="center" wrapText="1"/>
      <protection locked="0"/>
    </xf>
    <xf numFmtId="0" fontId="25" fillId="17" borderId="25" xfId="18" applyNumberFormat="1" applyFont="1" applyFill="1" applyBorder="1" applyAlignment="1" applyProtection="1">
      <alignment horizontal="left" vertical="center" wrapText="1"/>
      <protection locked="0"/>
    </xf>
    <xf numFmtId="0" fontId="25" fillId="17" borderId="25" xfId="29" applyNumberFormat="1" applyFont="1" applyFill="1" applyBorder="1" applyAlignment="1" applyProtection="1">
      <alignment horizontal="left" vertical="center" wrapText="1"/>
      <protection locked="0"/>
    </xf>
    <xf numFmtId="0" fontId="23" fillId="3" borderId="9" xfId="0" applyFont="1" applyFill="1" applyBorder="1" applyAlignment="1">
      <alignment horizontal="center" vertical="center"/>
    </xf>
    <xf numFmtId="4" fontId="24" fillId="7" borderId="15" xfId="0" applyNumberFormat="1" applyFont="1" applyFill="1" applyBorder="1" applyAlignment="1" applyProtection="1">
      <alignment horizontal="left" vertical="center" wrapText="1"/>
      <protection locked="0"/>
    </xf>
    <xf numFmtId="0" fontId="25" fillId="2" borderId="9" xfId="22" applyFont="1" applyFill="1" applyBorder="1" applyAlignment="1">
      <alignment horizontal="center" vertical="center" wrapText="1"/>
    </xf>
    <xf numFmtId="0" fontId="9" fillId="2" borderId="10" xfId="14" applyFont="1" applyFill="1" applyBorder="1" applyAlignment="1">
      <alignment horizontal="left" vertical="top" wrapText="1"/>
    </xf>
    <xf numFmtId="0" fontId="9" fillId="2" borderId="11" xfId="14" applyFont="1" applyFill="1" applyBorder="1" applyAlignment="1">
      <alignment horizontal="left" vertical="top" wrapText="1"/>
    </xf>
    <xf numFmtId="0" fontId="10" fillId="3" borderId="1" xfId="0" applyFont="1" applyFill="1" applyBorder="1" applyAlignment="1"/>
    <xf numFmtId="0" fontId="10" fillId="3" borderId="2" xfId="0" applyFont="1" applyFill="1" applyBorder="1" applyAlignment="1"/>
    <xf numFmtId="0" fontId="14" fillId="3" borderId="0" xfId="0" applyFont="1" applyFill="1" applyAlignment="1">
      <alignment horizontal="left" vertical="center" wrapText="1"/>
    </xf>
    <xf numFmtId="0" fontId="12" fillId="3" borderId="0" xfId="0" applyFont="1" applyFill="1" applyAlignment="1">
      <alignment horizontal="left" vertical="center" wrapText="1"/>
    </xf>
    <xf numFmtId="0" fontId="23" fillId="3" borderId="0" xfId="0" applyFont="1" applyFill="1" applyAlignment="1">
      <alignment horizontal="center" vertical="center"/>
    </xf>
    <xf numFmtId="0" fontId="36" fillId="3" borderId="0" xfId="0" applyFont="1" applyFill="1" applyAlignment="1">
      <alignment horizontal="center" vertical="center"/>
    </xf>
    <xf numFmtId="0" fontId="25" fillId="2" borderId="12" xfId="0" applyFont="1" applyFill="1" applyBorder="1" applyAlignment="1" applyProtection="1">
      <alignment horizontal="center" vertical="center" wrapText="1"/>
    </xf>
    <xf numFmtId="0" fontId="25" fillId="2" borderId="13" xfId="0" applyFont="1" applyFill="1" applyBorder="1" applyAlignment="1" applyProtection="1">
      <alignment horizontal="center" vertical="center" wrapText="1"/>
    </xf>
    <xf numFmtId="49" fontId="25" fillId="2" borderId="12" xfId="0" applyNumberFormat="1" applyFont="1" applyFill="1" applyBorder="1" applyAlignment="1" applyProtection="1">
      <alignment horizontal="center" vertical="center" wrapText="1"/>
    </xf>
    <xf numFmtId="49" fontId="25" fillId="2" borderId="13" xfId="0" applyNumberFormat="1" applyFont="1" applyFill="1" applyBorder="1" applyAlignment="1" applyProtection="1">
      <alignment horizontal="center" vertical="center" wrapText="1"/>
    </xf>
    <xf numFmtId="0" fontId="7" fillId="2" borderId="13" xfId="0" applyFont="1" applyFill="1" applyBorder="1" applyAlignment="1">
      <alignment vertical="center"/>
    </xf>
    <xf numFmtId="166" fontId="25" fillId="2" borderId="10" xfId="7" applyNumberFormat="1" applyFont="1" applyFill="1" applyBorder="1" applyAlignment="1" applyProtection="1">
      <alignment horizontal="center" vertical="center" wrapText="1"/>
      <protection locked="0"/>
    </xf>
    <xf numFmtId="166" fontId="25" fillId="2" borderId="11" xfId="7" applyNumberFormat="1" applyFont="1" applyFill="1" applyBorder="1" applyAlignment="1" applyProtection="1">
      <alignment horizontal="center" vertical="center" wrapText="1"/>
      <protection locked="0"/>
    </xf>
    <xf numFmtId="0" fontId="23" fillId="3" borderId="0" xfId="0" applyFont="1" applyFill="1" applyAlignment="1">
      <alignment horizontal="left" vertical="center" wrapText="1"/>
    </xf>
    <xf numFmtId="0" fontId="32" fillId="3" borderId="0" xfId="0" applyFont="1" applyFill="1" applyAlignment="1">
      <alignment horizontal="right" vertical="center" wrapText="1"/>
    </xf>
    <xf numFmtId="0" fontId="33" fillId="3" borderId="0" xfId="0" applyFont="1" applyFill="1" applyAlignment="1">
      <alignment horizontal="right" vertical="center" wrapText="1"/>
    </xf>
    <xf numFmtId="0" fontId="34" fillId="3" borderId="0" xfId="0" applyFont="1" applyFill="1" applyAlignment="1">
      <alignment horizontal="center" vertical="center" wrapText="1"/>
    </xf>
    <xf numFmtId="0" fontId="35" fillId="3" borderId="0" xfId="0" applyFont="1" applyFill="1" applyAlignment="1">
      <alignment horizontal="center" vertical="center"/>
    </xf>
    <xf numFmtId="0" fontId="27" fillId="3" borderId="0" xfId="0" applyFont="1" applyFill="1" applyBorder="1" applyAlignment="1">
      <alignment horizontal="left" vertical="center" wrapText="1"/>
    </xf>
    <xf numFmtId="0" fontId="36" fillId="3" borderId="0" xfId="0" applyFont="1" applyFill="1" applyAlignment="1">
      <alignment horizontal="left" vertical="center"/>
    </xf>
    <xf numFmtId="0" fontId="30" fillId="3" borderId="0" xfId="0" applyFont="1" applyFill="1" applyAlignment="1">
      <alignment horizontal="right" vertical="center" wrapText="1"/>
    </xf>
    <xf numFmtId="0" fontId="29" fillId="3" borderId="0" xfId="0" applyFont="1" applyFill="1" applyAlignment="1">
      <alignment horizontal="right" vertical="center" wrapText="1"/>
    </xf>
    <xf numFmtId="0" fontId="28" fillId="3" borderId="0" xfId="0" applyFont="1" applyFill="1" applyAlignment="1">
      <alignment horizontal="center" vertical="center" wrapText="1"/>
    </xf>
    <xf numFmtId="0" fontId="26" fillId="3" borderId="0" xfId="0" applyFont="1" applyFill="1" applyAlignment="1">
      <alignment horizontal="center" vertical="center"/>
    </xf>
    <xf numFmtId="0" fontId="24" fillId="3" borderId="0" xfId="0" applyFont="1" applyFill="1" applyAlignment="1">
      <alignment horizontal="left" vertical="center" wrapText="1"/>
    </xf>
    <xf numFmtId="0" fontId="23" fillId="3" borderId="0" xfId="0" applyFont="1" applyFill="1" applyAlignment="1">
      <alignment horizontal="left" vertical="center"/>
    </xf>
    <xf numFmtId="0" fontId="27" fillId="3" borderId="0" xfId="0" applyFont="1" applyFill="1" applyBorder="1" applyAlignment="1">
      <alignment horizontal="left" vertical="center"/>
    </xf>
    <xf numFmtId="0" fontId="36" fillId="6" borderId="12" xfId="12" applyFont="1" applyFill="1" applyBorder="1" applyAlignment="1">
      <alignment horizontal="center" vertical="center" wrapText="1"/>
    </xf>
    <xf numFmtId="0" fontId="36" fillId="6" borderId="13" xfId="12" applyFont="1" applyFill="1" applyBorder="1" applyAlignment="1">
      <alignment horizontal="center" vertical="center" wrapText="1"/>
    </xf>
    <xf numFmtId="0" fontId="36" fillId="6" borderId="10" xfId="12" applyFont="1" applyFill="1" applyBorder="1" applyAlignment="1">
      <alignment horizontal="center" vertical="center" wrapText="1"/>
    </xf>
    <xf numFmtId="0" fontId="36" fillId="6" borderId="11" xfId="12" applyFont="1" applyFill="1" applyBorder="1" applyAlignment="1">
      <alignment horizontal="center" vertical="center" wrapText="1"/>
    </xf>
    <xf numFmtId="0" fontId="27" fillId="3" borderId="0" xfId="11" applyFont="1" applyFill="1" applyAlignment="1">
      <alignment horizontal="left" vertical="top" wrapText="1"/>
    </xf>
    <xf numFmtId="0" fontId="39" fillId="3" borderId="0" xfId="11" applyFont="1" applyFill="1" applyAlignment="1">
      <alignment horizontal="left" vertical="top" wrapText="1"/>
    </xf>
    <xf numFmtId="0" fontId="42" fillId="3" borderId="0" xfId="11" applyFont="1" applyFill="1" applyAlignment="1">
      <alignment horizontal="left" vertical="center" wrapText="1"/>
    </xf>
    <xf numFmtId="0" fontId="43" fillId="3" borderId="0" xfId="11" applyFont="1" applyFill="1" applyAlignment="1">
      <alignment horizontal="left" vertical="center" wrapText="1"/>
    </xf>
    <xf numFmtId="37" fontId="24" fillId="3" borderId="0" xfId="11" applyNumberFormat="1" applyFont="1" applyFill="1" applyAlignment="1">
      <alignment horizontal="left"/>
    </xf>
    <xf numFmtId="0" fontId="36" fillId="6" borderId="12" xfId="17" applyFont="1" applyFill="1" applyBorder="1" applyAlignment="1">
      <alignment horizontal="center" vertical="center" wrapText="1"/>
    </xf>
    <xf numFmtId="0" fontId="36" fillId="6" borderId="13" xfId="17" applyFont="1" applyFill="1" applyBorder="1" applyAlignment="1">
      <alignment horizontal="center" vertical="center" wrapText="1"/>
    </xf>
    <xf numFmtId="0" fontId="24" fillId="3" borderId="0" xfId="11" applyFont="1" applyFill="1" applyAlignment="1">
      <alignment horizontal="left" vertical="center" wrapText="1"/>
    </xf>
    <xf numFmtId="0" fontId="23" fillId="3" borderId="0" xfId="11" applyFont="1" applyFill="1" applyAlignment="1">
      <alignment horizontal="left" vertical="top" wrapText="1"/>
    </xf>
    <xf numFmtId="0" fontId="42" fillId="3" borderId="0" xfId="11" applyFont="1" applyFill="1" applyAlignment="1">
      <alignment horizontal="left" vertical="top" wrapText="1"/>
    </xf>
    <xf numFmtId="0" fontId="40" fillId="0" borderId="0" xfId="11" applyFont="1" applyFill="1" applyAlignment="1">
      <alignment horizontal="right" vertical="center" wrapText="1"/>
    </xf>
    <xf numFmtId="0" fontId="41" fillId="3" borderId="0" xfId="11" applyFont="1" applyFill="1" applyAlignment="1">
      <alignment horizontal="right" vertical="center" wrapText="1"/>
    </xf>
    <xf numFmtId="0" fontId="28" fillId="0" borderId="0" xfId="11" applyFont="1" applyFill="1" applyAlignment="1">
      <alignment horizontal="center" vertical="center" wrapText="1"/>
    </xf>
    <xf numFmtId="0" fontId="26" fillId="3" borderId="0" xfId="11" applyFont="1" applyFill="1" applyAlignment="1">
      <alignment horizontal="center" vertical="center"/>
    </xf>
    <xf numFmtId="0" fontId="27" fillId="3" borderId="0" xfId="11" applyFont="1" applyFill="1" applyAlignment="1">
      <alignment horizontal="left" vertical="center" wrapText="1"/>
    </xf>
    <xf numFmtId="0" fontId="25" fillId="3" borderId="0" xfId="11" applyFont="1" applyFill="1" applyAlignment="1">
      <alignment horizontal="left" vertical="center"/>
    </xf>
    <xf numFmtId="0" fontId="23" fillId="3" borderId="9" xfId="0" applyFont="1" applyFill="1" applyBorder="1" applyAlignment="1">
      <alignment horizontal="center" vertical="center"/>
    </xf>
  </cellXfs>
  <cellStyles count="35">
    <cellStyle name="Comma" xfId="7" builtinId="3"/>
    <cellStyle name="Comma 2" xfId="5" xr:uid="{00000000-0005-0000-0000-000001000000}"/>
    <cellStyle name="Comma 2 2" xfId="21" xr:uid="{D0FD219C-652E-4693-B4EB-64B709B940B7}"/>
    <cellStyle name="Comma 3" xfId="8" xr:uid="{00000000-0005-0000-0000-000002000000}"/>
    <cellStyle name="Comma 3 2" xfId="24" xr:uid="{6B6BF599-C598-494A-B1D3-D58EDCF2009B}"/>
    <cellStyle name="Comma 4" xfId="13" xr:uid="{A4DADE5F-0CFD-4958-BF61-7AE930E0AD9C}"/>
    <cellStyle name="Comma 4 2" xfId="28" xr:uid="{1E0BCE72-21D0-4E99-A261-634D594B558A}"/>
    <cellStyle name="Comma 5" xfId="33" xr:uid="{FA7E510F-CF7A-4777-AEA0-CA12D0D59D7F}"/>
    <cellStyle name="Comma 6" xfId="23" xr:uid="{E8678545-BFF0-4EFB-83DF-14124BA1E540}"/>
    <cellStyle name="Currency [0] 2" xfId="4" xr:uid="{00000000-0005-0000-0000-000003000000}"/>
    <cellStyle name="Currency [0] 2 2" xfId="20" xr:uid="{10D7FF8E-6599-4798-A41E-D9B2848DA0E9}"/>
    <cellStyle name="Hyperlink 2" xfId="16" xr:uid="{9A21081E-0060-4325-8427-346C5A38E575}"/>
    <cellStyle name="Normal" xfId="0" builtinId="0"/>
    <cellStyle name="Normal 2" xfId="3" xr:uid="{00000000-0005-0000-0000-000006000000}"/>
    <cellStyle name="Normal 2 2" xfId="6" xr:uid="{00000000-0005-0000-0000-000007000000}"/>
    <cellStyle name="Normal 2 2 2" xfId="22" xr:uid="{11BAA1A9-C385-4EF2-87A3-03218F1EF2ED}"/>
    <cellStyle name="Normal 2 3" xfId="30" xr:uid="{97027311-EA68-44E3-A3A5-6B7E89F09EB6}"/>
    <cellStyle name="Normal 2 4" xfId="19" xr:uid="{75076A6F-25FD-4C95-AA55-A6D9F01D1811}"/>
    <cellStyle name="Normal 3" xfId="2" xr:uid="{00000000-0005-0000-0000-000008000000}"/>
    <cellStyle name="Normal 3 2" xfId="12" xr:uid="{F0C370E1-B99D-449E-BE39-F83881089001}"/>
    <cellStyle name="Normal 3 2 2" xfId="17" xr:uid="{170C9985-9903-4344-932E-F23244103B24}"/>
    <cellStyle name="Normal 4" xfId="11" xr:uid="{6387CE64-05F5-4E96-A2BE-F6E39976BB37}"/>
    <cellStyle name="Normal 4 2" xfId="27" xr:uid="{1FB6E2A2-DBE6-41F4-B351-9E23D6FEA965}"/>
    <cellStyle name="Normal 5" xfId="14" xr:uid="{F3002BDC-C208-48A5-8D63-A9F171C403D2}"/>
    <cellStyle name="Normal 5 2" xfId="31" xr:uid="{F2A446D0-86BF-4719-AD79-E99CCDD48E4A}"/>
    <cellStyle name="Normal 6" xfId="15" xr:uid="{974E60AA-9323-4D53-8621-F7F6531D8002}"/>
    <cellStyle name="Normal 7" xfId="18" xr:uid="{685441B6-E7CF-475D-BAFE-96D7D82E2506}"/>
    <cellStyle name="Normal 8" xfId="29" xr:uid="{755FCB85-3B62-40C2-89B3-125A27A3EBFB}"/>
    <cellStyle name="Normal_Bao cao tai chinh 280405" xfId="1" xr:uid="{00000000-0005-0000-0000-000009000000}"/>
    <cellStyle name="Percent 2" xfId="9" xr:uid="{00000000-0005-0000-0000-00000A000000}"/>
    <cellStyle name="Percent 2 2" xfId="25" xr:uid="{7D9A5A58-BE31-4CAE-BACF-3158B29A2DE2}"/>
    <cellStyle name="Percent 3" xfId="10" xr:uid="{00000000-0005-0000-0000-00000B000000}"/>
    <cellStyle name="Percent 3 2" xfId="26" xr:uid="{DE9E8C5E-34E1-4C99-8753-9BEE4D25CCED}"/>
    <cellStyle name="Percent 4" xfId="32" xr:uid="{DB0B2DA6-3470-41CD-A9EC-7EC5D7AAE5F1}"/>
    <cellStyle name="Percent 5" xfId="34" xr:uid="{3F020D7C-D47B-4E33-853C-4C34384ACFB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134697</xdr:colOff>
      <xdr:row>0</xdr:row>
      <xdr:rowOff>109040</xdr:rowOff>
    </xdr:from>
    <xdr:to>
      <xdr:col>0</xdr:col>
      <xdr:colOff>2007627</xdr:colOff>
      <xdr:row>2</xdr:row>
      <xdr:rowOff>506717</xdr:rowOff>
    </xdr:to>
    <xdr:pic>
      <xdr:nvPicPr>
        <xdr:cNvPr id="4" name="Picture 3">
          <a:extLst>
            <a:ext uri="{FF2B5EF4-FFF2-40B4-BE49-F238E27FC236}">
              <a16:creationId xmlns:a16="http://schemas.microsoft.com/office/drawing/2014/main" id="{9C0D7765-DF85-4EBB-AEE4-4E32F4E470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4697" y="109040"/>
          <a:ext cx="1872930" cy="9749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136072</xdr:colOff>
      <xdr:row>0</xdr:row>
      <xdr:rowOff>110152</xdr:rowOff>
    </xdr:from>
    <xdr:to>
      <xdr:col>1</xdr:col>
      <xdr:colOff>1600459</xdr:colOff>
      <xdr:row>2</xdr:row>
      <xdr:rowOff>372347</xdr:rowOff>
    </xdr:to>
    <xdr:pic>
      <xdr:nvPicPr>
        <xdr:cNvPr id="4" name="Picture 3">
          <a:extLst>
            <a:ext uri="{FF2B5EF4-FFF2-40B4-BE49-F238E27FC236}">
              <a16:creationId xmlns:a16="http://schemas.microsoft.com/office/drawing/2014/main" id="{3A7ED217-2DD3-4D19-BFA8-F662CEE6E1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6072" y="110152"/>
          <a:ext cx="1963316" cy="9749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110152</xdr:colOff>
      <xdr:row>0</xdr:row>
      <xdr:rowOff>77755</xdr:rowOff>
    </xdr:from>
    <xdr:to>
      <xdr:col>1</xdr:col>
      <xdr:colOff>1282959</xdr:colOff>
      <xdr:row>1</xdr:row>
      <xdr:rowOff>480118</xdr:rowOff>
    </xdr:to>
    <xdr:pic>
      <xdr:nvPicPr>
        <xdr:cNvPr id="3" name="Picture 2">
          <a:extLst>
            <a:ext uri="{FF2B5EF4-FFF2-40B4-BE49-F238E27FC236}">
              <a16:creationId xmlns:a16="http://schemas.microsoft.com/office/drawing/2014/main" id="{E08CDF14-DD34-4A4E-BE1D-C66ABE5072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0152" y="77755"/>
          <a:ext cx="1781889" cy="6874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139701</xdr:colOff>
      <xdr:row>0</xdr:row>
      <xdr:rowOff>69850</xdr:rowOff>
    </xdr:from>
    <xdr:to>
      <xdr:col>1</xdr:col>
      <xdr:colOff>692151</xdr:colOff>
      <xdr:row>1</xdr:row>
      <xdr:rowOff>107950</xdr:rowOff>
    </xdr:to>
    <xdr:pic>
      <xdr:nvPicPr>
        <xdr:cNvPr id="3" name="Picture 2">
          <a:extLst>
            <a:ext uri="{FF2B5EF4-FFF2-40B4-BE49-F238E27FC236}">
              <a16:creationId xmlns:a16="http://schemas.microsoft.com/office/drawing/2014/main" id="{1E330B57-6E8E-42A8-96BD-227E71B35C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9701" y="69850"/>
          <a:ext cx="1162050" cy="3238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167105</xdr:colOff>
      <xdr:row>0</xdr:row>
      <xdr:rowOff>113631</xdr:rowOff>
    </xdr:from>
    <xdr:to>
      <xdr:col>1</xdr:col>
      <xdr:colOff>1216526</xdr:colOff>
      <xdr:row>1</xdr:row>
      <xdr:rowOff>220578</xdr:rowOff>
    </xdr:to>
    <xdr:pic>
      <xdr:nvPicPr>
        <xdr:cNvPr id="3" name="Picture 2">
          <a:extLst>
            <a:ext uri="{FF2B5EF4-FFF2-40B4-BE49-F238E27FC236}">
              <a16:creationId xmlns:a16="http://schemas.microsoft.com/office/drawing/2014/main" id="{4FAD824D-6628-4EFC-9F6A-528093E367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7105" y="113631"/>
          <a:ext cx="1677737" cy="42778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59764</xdr:colOff>
      <xdr:row>0</xdr:row>
      <xdr:rowOff>104588</xdr:rowOff>
    </xdr:from>
    <xdr:to>
      <xdr:col>1</xdr:col>
      <xdr:colOff>1869220</xdr:colOff>
      <xdr:row>1</xdr:row>
      <xdr:rowOff>381000</xdr:rowOff>
    </xdr:to>
    <xdr:pic>
      <xdr:nvPicPr>
        <xdr:cNvPr id="3" name="Picture 2">
          <a:extLst>
            <a:ext uri="{FF2B5EF4-FFF2-40B4-BE49-F238E27FC236}">
              <a16:creationId xmlns:a16="http://schemas.microsoft.com/office/drawing/2014/main" id="{62F57016-D703-41A1-98ED-9259B0A91D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764" y="104588"/>
          <a:ext cx="2145632" cy="59764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80210</xdr:colOff>
      <xdr:row>0</xdr:row>
      <xdr:rowOff>86895</xdr:rowOff>
    </xdr:from>
    <xdr:to>
      <xdr:col>1</xdr:col>
      <xdr:colOff>1276684</xdr:colOff>
      <xdr:row>1</xdr:row>
      <xdr:rowOff>247316</xdr:rowOff>
    </xdr:to>
    <xdr:pic>
      <xdr:nvPicPr>
        <xdr:cNvPr id="5" name="Picture 4">
          <a:extLst>
            <a:ext uri="{FF2B5EF4-FFF2-40B4-BE49-F238E27FC236}">
              <a16:creationId xmlns:a16="http://schemas.microsoft.com/office/drawing/2014/main" id="{7A3F5C5A-2E44-4C82-A8DF-EB58794560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210" y="86895"/>
          <a:ext cx="1804737" cy="54142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topLeftCell="A47" zoomScaleSheetLayoutView="100" workbookViewId="0">
      <selection activeCell="B47" sqref="B47"/>
    </sheetView>
  </sheetViews>
  <sheetFormatPr defaultColWidth="9.1796875" defaultRowHeight="15.5"/>
  <cols>
    <col min="1" max="2" width="9.1796875" style="2"/>
    <col min="3" max="3" width="30.1796875" style="2" customWidth="1"/>
    <col min="4" max="4" width="30.81640625" style="2" customWidth="1"/>
    <col min="5" max="5" width="21.1796875" style="2" customWidth="1"/>
    <col min="6" max="9" width="9.1796875" style="2"/>
    <col min="10" max="10" width="11.81640625" style="2" customWidth="1"/>
    <col min="11" max="11" width="17.36328125" style="2" customWidth="1"/>
    <col min="12" max="16384" width="9.1796875" style="2"/>
  </cols>
  <sheetData>
    <row r="1" spans="1:11">
      <c r="A1" s="1" t="s">
        <v>0</v>
      </c>
      <c r="C1" s="243" t="s">
        <v>760</v>
      </c>
      <c r="D1" s="244"/>
    </row>
    <row r="2" spans="1:11">
      <c r="C2" s="4" t="s">
        <v>761</v>
      </c>
      <c r="D2" s="5"/>
    </row>
    <row r="3" spans="1:11">
      <c r="D3" s="6"/>
    </row>
    <row r="4" spans="1:11">
      <c r="A4" s="1" t="s">
        <v>1</v>
      </c>
      <c r="D4" s="6"/>
    </row>
    <row r="5" spans="1:11" ht="15" customHeight="1">
      <c r="C5" s="7" t="s">
        <v>2</v>
      </c>
      <c r="D5" s="246" t="s">
        <v>762</v>
      </c>
      <c r="E5" s="246"/>
      <c r="F5" s="246"/>
      <c r="G5" s="246"/>
      <c r="H5" s="246"/>
      <c r="I5" s="246"/>
    </row>
    <row r="6" spans="1:11" ht="31">
      <c r="C6" s="9" t="s">
        <v>40</v>
      </c>
      <c r="D6" s="245" t="s">
        <v>763</v>
      </c>
      <c r="E6" s="245"/>
      <c r="F6" s="245"/>
      <c r="G6" s="245"/>
      <c r="H6" s="245"/>
      <c r="I6" s="245"/>
    </row>
    <row r="7" spans="1:11">
      <c r="C7" s="10" t="s">
        <v>3</v>
      </c>
      <c r="D7" s="246" t="s">
        <v>764</v>
      </c>
      <c r="E7" s="246"/>
      <c r="F7" s="246"/>
      <c r="G7" s="246"/>
      <c r="H7" s="246"/>
      <c r="I7" s="246"/>
    </row>
    <row r="8" spans="1:11" ht="15" customHeight="1">
      <c r="C8" s="11" t="s">
        <v>4</v>
      </c>
      <c r="D8" s="245" t="s">
        <v>765</v>
      </c>
      <c r="E8" s="245"/>
      <c r="F8" s="245"/>
      <c r="G8" s="245"/>
      <c r="H8" s="245"/>
      <c r="I8" s="245"/>
    </row>
    <row r="9" spans="1:11" ht="15" customHeight="1">
      <c r="C9" s="10" t="s">
        <v>5</v>
      </c>
      <c r="D9" s="246" t="s">
        <v>190</v>
      </c>
      <c r="E9" s="246"/>
      <c r="F9" s="246"/>
      <c r="G9" s="246"/>
      <c r="H9" s="246"/>
      <c r="I9" s="246"/>
    </row>
    <row r="10" spans="1:11" ht="15" customHeight="1">
      <c r="C10" s="8" t="s">
        <v>6</v>
      </c>
      <c r="D10" s="245" t="s">
        <v>766</v>
      </c>
      <c r="E10" s="245"/>
      <c r="F10" s="245"/>
      <c r="G10" s="245"/>
      <c r="H10" s="245"/>
      <c r="I10" s="245"/>
    </row>
    <row r="11" spans="1:11">
      <c r="C11" s="12" t="s">
        <v>7</v>
      </c>
      <c r="D11" s="246" t="s">
        <v>767</v>
      </c>
      <c r="E11" s="246"/>
      <c r="F11" s="246"/>
      <c r="G11" s="246"/>
      <c r="H11" s="246"/>
      <c r="I11" s="246"/>
    </row>
    <row r="12" spans="1:11">
      <c r="C12" s="13" t="s">
        <v>8</v>
      </c>
      <c r="D12" s="245" t="s">
        <v>768</v>
      </c>
      <c r="E12" s="245"/>
      <c r="F12" s="245"/>
      <c r="G12" s="245"/>
      <c r="H12" s="245"/>
      <c r="I12" s="245"/>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tr">
        <f>D5</f>
        <v>Công ty Cổ phần Quản lý Quỹ Đầu tư Dragon Capital Việt Nam</v>
      </c>
      <c r="G19" s="19"/>
      <c r="H19" s="19"/>
      <c r="I19" s="19"/>
      <c r="J19" s="19"/>
      <c r="K19" s="20"/>
    </row>
    <row r="20" spans="3:11">
      <c r="C20" s="23" t="s">
        <v>769</v>
      </c>
      <c r="D20" s="18"/>
      <c r="F20" s="22" t="s">
        <v>770</v>
      </c>
      <c r="G20" s="19"/>
      <c r="H20" s="19"/>
      <c r="I20" s="19"/>
      <c r="J20" s="19"/>
      <c r="K20" s="20"/>
    </row>
    <row r="21" spans="3:11">
      <c r="C21" s="24" t="s">
        <v>771</v>
      </c>
      <c r="D21" s="5"/>
      <c r="F21" s="25" t="s">
        <v>772</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8" t="s">
        <v>15</v>
      </c>
      <c r="C34" s="28" t="s">
        <v>16</v>
      </c>
      <c r="D34" s="29" t="s">
        <v>17</v>
      </c>
    </row>
    <row r="35" spans="2:12" s="30" customFormat="1">
      <c r="B35" s="204" t="s">
        <v>490</v>
      </c>
      <c r="C35" s="241" t="s">
        <v>782</v>
      </c>
      <c r="D35" s="242"/>
    </row>
    <row r="36" spans="2:12" s="30" customFormat="1">
      <c r="B36" s="205" t="s">
        <v>783</v>
      </c>
      <c r="C36" s="206" t="s">
        <v>784</v>
      </c>
      <c r="D36" s="207" t="s">
        <v>25</v>
      </c>
    </row>
    <row r="37" spans="2:12" s="30" customFormat="1">
      <c r="B37" s="205" t="s">
        <v>785</v>
      </c>
      <c r="C37" s="206" t="s">
        <v>22</v>
      </c>
      <c r="D37" s="207" t="s">
        <v>26</v>
      </c>
      <c r="J37" s="31"/>
      <c r="K37" s="32"/>
      <c r="L37" s="33"/>
    </row>
    <row r="38" spans="2:12">
      <c r="B38" s="205" t="s">
        <v>786</v>
      </c>
      <c r="C38" s="206" t="s">
        <v>34</v>
      </c>
      <c r="D38" s="207" t="s">
        <v>27</v>
      </c>
      <c r="J38" s="34"/>
      <c r="K38" s="35"/>
      <c r="L38" s="36"/>
    </row>
    <row r="39" spans="2:12" ht="31">
      <c r="B39" s="205" t="s">
        <v>787</v>
      </c>
      <c r="C39" s="206" t="s">
        <v>788</v>
      </c>
      <c r="D39" s="207" t="s">
        <v>789</v>
      </c>
    </row>
    <row r="40" spans="2:12">
      <c r="B40" s="205" t="s">
        <v>790</v>
      </c>
      <c r="C40" s="206" t="s">
        <v>23</v>
      </c>
      <c r="D40" s="207" t="s">
        <v>28</v>
      </c>
    </row>
    <row r="41" spans="2:12">
      <c r="B41" s="205" t="s">
        <v>791</v>
      </c>
      <c r="C41" s="206" t="s">
        <v>792</v>
      </c>
      <c r="D41" s="207" t="s">
        <v>793</v>
      </c>
    </row>
    <row r="42" spans="2:12" ht="46.5">
      <c r="B42" s="205">
        <v>5</v>
      </c>
      <c r="C42" s="206" t="s">
        <v>24</v>
      </c>
      <c r="D42" s="207" t="s">
        <v>29</v>
      </c>
    </row>
    <row r="43" spans="2:12" ht="31">
      <c r="B43" s="205">
        <v>6</v>
      </c>
      <c r="C43" s="206" t="s">
        <v>18</v>
      </c>
      <c r="D43" s="207" t="s">
        <v>30</v>
      </c>
    </row>
    <row r="44" spans="2:12" ht="31">
      <c r="B44" s="208">
        <v>7</v>
      </c>
      <c r="C44" s="209" t="s">
        <v>19</v>
      </c>
      <c r="D44" s="210" t="s">
        <v>31</v>
      </c>
    </row>
    <row r="45" spans="2:12" ht="46.5">
      <c r="B45" s="208">
        <v>8</v>
      </c>
      <c r="C45" s="209" t="s">
        <v>32</v>
      </c>
      <c r="D45" s="210" t="s">
        <v>33</v>
      </c>
    </row>
    <row r="46" spans="2:12">
      <c r="B46" s="208">
        <v>9</v>
      </c>
      <c r="C46" s="209" t="s">
        <v>34</v>
      </c>
      <c r="D46" s="210" t="s">
        <v>35</v>
      </c>
    </row>
    <row r="47" spans="2:12">
      <c r="B47" s="208">
        <v>10</v>
      </c>
      <c r="C47" s="209" t="s">
        <v>20</v>
      </c>
      <c r="D47" s="210" t="s">
        <v>36</v>
      </c>
    </row>
    <row r="48" spans="2:12">
      <c r="B48" s="205">
        <v>11</v>
      </c>
      <c r="C48" s="209" t="s">
        <v>37</v>
      </c>
      <c r="D48" s="210" t="s">
        <v>38</v>
      </c>
    </row>
    <row r="49" spans="2:4">
      <c r="B49" s="208">
        <v>12</v>
      </c>
      <c r="C49" s="209" t="s">
        <v>21</v>
      </c>
      <c r="D49" s="210" t="s">
        <v>39</v>
      </c>
    </row>
    <row r="50" spans="2:4" ht="46.5">
      <c r="B50" s="205" t="s">
        <v>794</v>
      </c>
      <c r="C50" s="209" t="s">
        <v>795</v>
      </c>
      <c r="D50" s="210" t="s">
        <v>796</v>
      </c>
    </row>
    <row r="51" spans="2:4" ht="46.5">
      <c r="B51" s="205" t="s">
        <v>797</v>
      </c>
      <c r="C51" s="209" t="s">
        <v>798</v>
      </c>
      <c r="D51" s="210" t="s">
        <v>796</v>
      </c>
    </row>
    <row r="52" spans="2:4" ht="46.5">
      <c r="B52" s="205" t="s">
        <v>491</v>
      </c>
      <c r="C52" s="209" t="s">
        <v>799</v>
      </c>
      <c r="D52" s="210" t="s">
        <v>800</v>
      </c>
    </row>
  </sheetData>
  <mergeCells count="10">
    <mergeCell ref="C35:D35"/>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95"/>
  <sheetViews>
    <sheetView view="pageBreakPreview" topLeftCell="A94" zoomScale="99" zoomScaleNormal="100" zoomScaleSheetLayoutView="86" workbookViewId="0">
      <selection activeCell="D116" sqref="D116"/>
    </sheetView>
  </sheetViews>
  <sheetFormatPr defaultColWidth="8.7265625" defaultRowHeight="12.5"/>
  <cols>
    <col min="1" max="1" width="53.1796875" style="51" customWidth="1"/>
    <col min="2" max="3" width="8.7265625" style="51"/>
    <col min="4" max="4" width="20.26953125" style="51" customWidth="1"/>
    <col min="5" max="5" width="20.7265625" style="51" customWidth="1"/>
    <col min="6" max="6" width="21.1796875" style="51" customWidth="1"/>
    <col min="7" max="7" width="21.26953125" style="51" customWidth="1"/>
    <col min="8" max="16384" width="8.7265625" style="93"/>
  </cols>
  <sheetData>
    <row r="1" spans="1:7" ht="22.5" customHeight="1">
      <c r="A1" s="257" t="s">
        <v>96</v>
      </c>
      <c r="B1" s="257"/>
      <c r="C1" s="257"/>
      <c r="D1" s="257"/>
      <c r="E1" s="257"/>
      <c r="F1" s="257"/>
      <c r="G1" s="257"/>
    </row>
    <row r="2" spans="1:7" ht="22.5" customHeight="1">
      <c r="A2" s="258" t="s">
        <v>97</v>
      </c>
      <c r="B2" s="258"/>
      <c r="C2" s="258"/>
      <c r="D2" s="258"/>
      <c r="E2" s="258"/>
      <c r="F2" s="258"/>
      <c r="G2" s="258"/>
    </row>
    <row r="3" spans="1:7" ht="43.9" customHeight="1">
      <c r="A3" s="259" t="s">
        <v>98</v>
      </c>
      <c r="B3" s="259"/>
      <c r="C3" s="259"/>
      <c r="D3" s="259"/>
      <c r="E3" s="259"/>
      <c r="F3" s="259"/>
      <c r="G3" s="259"/>
    </row>
    <row r="4" spans="1:7" ht="9.4" customHeight="1"/>
    <row r="5" spans="1:7">
      <c r="A5" s="260" t="s">
        <v>761</v>
      </c>
      <c r="B5" s="260"/>
      <c r="C5" s="260"/>
      <c r="D5" s="260"/>
      <c r="E5" s="260"/>
      <c r="F5" s="260"/>
      <c r="G5" s="260"/>
    </row>
    <row r="7" spans="1:7" ht="16.899999999999999" customHeight="1">
      <c r="A7" s="52" t="s">
        <v>2</v>
      </c>
      <c r="D7" s="261" t="s">
        <v>762</v>
      </c>
      <c r="E7" s="261"/>
      <c r="F7" s="261"/>
      <c r="G7" s="261"/>
    </row>
    <row r="8" spans="1:7" ht="16.899999999999999" customHeight="1">
      <c r="A8" s="115" t="s">
        <v>40</v>
      </c>
      <c r="D8" s="256" t="s">
        <v>763</v>
      </c>
      <c r="E8" s="256"/>
      <c r="F8" s="256"/>
      <c r="G8" s="256"/>
    </row>
    <row r="9" spans="1:7" ht="16.899999999999999" customHeight="1">
      <c r="A9" s="52" t="s">
        <v>3</v>
      </c>
      <c r="D9" s="261" t="s">
        <v>764</v>
      </c>
      <c r="E9" s="261"/>
      <c r="F9" s="261"/>
      <c r="G9" s="261"/>
    </row>
    <row r="10" spans="1:7" ht="16.899999999999999" customHeight="1">
      <c r="A10" s="115" t="s">
        <v>4</v>
      </c>
      <c r="D10" s="256" t="s">
        <v>765</v>
      </c>
      <c r="E10" s="256"/>
      <c r="F10" s="256"/>
      <c r="G10" s="256"/>
    </row>
    <row r="11" spans="1:7" ht="16.899999999999999" customHeight="1">
      <c r="A11" s="52" t="s">
        <v>5</v>
      </c>
      <c r="D11" s="261" t="s">
        <v>190</v>
      </c>
      <c r="E11" s="261"/>
      <c r="F11" s="261"/>
      <c r="G11" s="261"/>
    </row>
    <row r="12" spans="1:7" ht="16.899999999999999" customHeight="1">
      <c r="A12" s="115" t="s">
        <v>6</v>
      </c>
      <c r="D12" s="256" t="s">
        <v>766</v>
      </c>
      <c r="E12" s="256"/>
      <c r="F12" s="256"/>
      <c r="G12" s="256"/>
    </row>
    <row r="13" spans="1:7" ht="16.899999999999999" customHeight="1">
      <c r="A13" s="52" t="s">
        <v>7</v>
      </c>
      <c r="D13" s="261" t="s">
        <v>767</v>
      </c>
      <c r="E13" s="261"/>
      <c r="F13" s="261"/>
      <c r="G13" s="261"/>
    </row>
    <row r="14" spans="1:7" ht="16.899999999999999" customHeight="1">
      <c r="A14" s="115" t="s">
        <v>8</v>
      </c>
      <c r="D14" s="256" t="s">
        <v>768</v>
      </c>
      <c r="E14" s="256"/>
      <c r="F14" s="256"/>
      <c r="G14" s="256"/>
    </row>
    <row r="16" spans="1:7" ht="39" customHeight="1">
      <c r="A16" s="249" t="s">
        <v>99</v>
      </c>
      <c r="B16" s="251" t="s">
        <v>100</v>
      </c>
      <c r="C16" s="251" t="s">
        <v>101</v>
      </c>
      <c r="D16" s="254" t="s">
        <v>777</v>
      </c>
      <c r="E16" s="255"/>
      <c r="F16" s="254" t="s">
        <v>778</v>
      </c>
      <c r="G16" s="255"/>
    </row>
    <row r="17" spans="1:10" ht="39" customHeight="1">
      <c r="A17" s="250"/>
      <c r="B17" s="252"/>
      <c r="C17" s="253"/>
      <c r="D17" s="116" t="s">
        <v>775</v>
      </c>
      <c r="E17" s="117" t="s">
        <v>102</v>
      </c>
      <c r="F17" s="48" t="s">
        <v>779</v>
      </c>
      <c r="G17" s="117" t="s">
        <v>102</v>
      </c>
    </row>
    <row r="18" spans="1:10" s="107" customFormat="1" ht="39" customHeight="1">
      <c r="A18" s="118" t="s">
        <v>247</v>
      </c>
      <c r="B18" s="119" t="s">
        <v>103</v>
      </c>
      <c r="C18" s="120"/>
      <c r="D18" s="70">
        <v>-5235982578</v>
      </c>
      <c r="E18" s="70">
        <v>-5235982578</v>
      </c>
      <c r="F18" s="70">
        <v>-14764549981</v>
      </c>
      <c r="G18" s="70">
        <v>-14764549981</v>
      </c>
    </row>
    <row r="19" spans="1:10" ht="39" customHeight="1">
      <c r="A19" s="121" t="s">
        <v>248</v>
      </c>
      <c r="B19" s="122" t="s">
        <v>104</v>
      </c>
      <c r="C19" s="123"/>
      <c r="D19" s="75">
        <v>260000000</v>
      </c>
      <c r="E19" s="75">
        <v>260000000</v>
      </c>
      <c r="F19" s="75">
        <v>0</v>
      </c>
      <c r="G19" s="75">
        <v>0</v>
      </c>
      <c r="J19" s="107"/>
    </row>
    <row r="20" spans="1:10" ht="39" customHeight="1">
      <c r="A20" s="121" t="s">
        <v>249</v>
      </c>
      <c r="B20" s="122" t="s">
        <v>105</v>
      </c>
      <c r="C20" s="124"/>
      <c r="D20" s="75">
        <v>1628483</v>
      </c>
      <c r="E20" s="75">
        <v>1628483</v>
      </c>
      <c r="F20" s="75">
        <v>77398519</v>
      </c>
      <c r="G20" s="75">
        <v>77398519</v>
      </c>
      <c r="J20" s="107"/>
    </row>
    <row r="21" spans="1:10" ht="39" customHeight="1">
      <c r="A21" s="121" t="s">
        <v>193</v>
      </c>
      <c r="B21" s="122" t="s">
        <v>106</v>
      </c>
      <c r="C21" s="124"/>
      <c r="D21" s="75">
        <v>1628483</v>
      </c>
      <c r="E21" s="75">
        <v>1628483</v>
      </c>
      <c r="F21" s="75">
        <v>77398519</v>
      </c>
      <c r="G21" s="75">
        <v>77398519</v>
      </c>
      <c r="J21" s="107"/>
    </row>
    <row r="22" spans="1:10" ht="39" customHeight="1">
      <c r="A22" s="121" t="s">
        <v>201</v>
      </c>
      <c r="B22" s="122" t="s">
        <v>107</v>
      </c>
      <c r="C22" s="124"/>
      <c r="D22" s="75">
        <v>0</v>
      </c>
      <c r="E22" s="75">
        <v>0</v>
      </c>
      <c r="F22" s="75">
        <v>0</v>
      </c>
      <c r="G22" s="75">
        <v>0</v>
      </c>
      <c r="J22" s="107"/>
    </row>
    <row r="23" spans="1:10" ht="39" customHeight="1">
      <c r="A23" s="121" t="s">
        <v>250</v>
      </c>
      <c r="B23" s="122" t="s">
        <v>188</v>
      </c>
      <c r="C23" s="124"/>
      <c r="D23" s="75">
        <v>0</v>
      </c>
      <c r="E23" s="75">
        <v>0</v>
      </c>
      <c r="F23" s="75">
        <v>0</v>
      </c>
      <c r="G23" s="75">
        <v>0</v>
      </c>
      <c r="J23" s="107"/>
    </row>
    <row r="24" spans="1:10" ht="39" customHeight="1">
      <c r="A24" s="121" t="s">
        <v>192</v>
      </c>
      <c r="B24" s="122" t="s">
        <v>191</v>
      </c>
      <c r="C24" s="124"/>
      <c r="D24" s="75">
        <v>0</v>
      </c>
      <c r="E24" s="75">
        <v>0</v>
      </c>
      <c r="F24" s="75">
        <v>0</v>
      </c>
      <c r="G24" s="75">
        <v>0</v>
      </c>
      <c r="J24" s="107"/>
    </row>
    <row r="25" spans="1:10" ht="39" customHeight="1">
      <c r="A25" s="121" t="s">
        <v>194</v>
      </c>
      <c r="B25" s="125" t="s">
        <v>108</v>
      </c>
      <c r="C25" s="124"/>
      <c r="D25" s="75">
        <v>8468735946</v>
      </c>
      <c r="E25" s="75">
        <v>8468735946</v>
      </c>
      <c r="F25" s="75">
        <v>15622667731</v>
      </c>
      <c r="G25" s="75">
        <v>15622667731</v>
      </c>
      <c r="J25" s="107"/>
    </row>
    <row r="26" spans="1:10" ht="46.15" customHeight="1">
      <c r="A26" s="121" t="s">
        <v>195</v>
      </c>
      <c r="B26" s="125" t="s">
        <v>109</v>
      </c>
      <c r="C26" s="124"/>
      <c r="D26" s="75">
        <v>-13966347007</v>
      </c>
      <c r="E26" s="75">
        <v>-13966347007</v>
      </c>
      <c r="F26" s="75">
        <v>-30464616231</v>
      </c>
      <c r="G26" s="75">
        <v>-30464616231</v>
      </c>
      <c r="J26" s="107"/>
    </row>
    <row r="27" spans="1:10" ht="39" customHeight="1">
      <c r="A27" s="121" t="s">
        <v>251</v>
      </c>
      <c r="B27" s="125" t="s">
        <v>110</v>
      </c>
      <c r="C27" s="124"/>
      <c r="D27" s="75">
        <v>0</v>
      </c>
      <c r="E27" s="75">
        <v>0</v>
      </c>
      <c r="F27" s="75">
        <v>0</v>
      </c>
      <c r="G27" s="75">
        <v>0</v>
      </c>
      <c r="J27" s="107"/>
    </row>
    <row r="28" spans="1:10" ht="49.15" customHeight="1">
      <c r="A28" s="121" t="s">
        <v>196</v>
      </c>
      <c r="B28" s="125" t="s">
        <v>111</v>
      </c>
      <c r="C28" s="124"/>
      <c r="D28" s="75">
        <v>0</v>
      </c>
      <c r="E28" s="75">
        <v>0</v>
      </c>
      <c r="F28" s="75">
        <v>0</v>
      </c>
      <c r="G28" s="75">
        <v>0</v>
      </c>
      <c r="J28" s="107"/>
    </row>
    <row r="29" spans="1:10" ht="39" customHeight="1">
      <c r="A29" s="121" t="s">
        <v>252</v>
      </c>
      <c r="B29" s="125" t="s">
        <v>112</v>
      </c>
      <c r="C29" s="124"/>
      <c r="D29" s="75">
        <v>0</v>
      </c>
      <c r="E29" s="75">
        <v>0</v>
      </c>
      <c r="F29" s="75">
        <v>0</v>
      </c>
      <c r="G29" s="75">
        <v>0</v>
      </c>
      <c r="J29" s="107"/>
    </row>
    <row r="30" spans="1:10" ht="76.900000000000006" customHeight="1">
      <c r="A30" s="121" t="s">
        <v>253</v>
      </c>
      <c r="B30" s="125" t="s">
        <v>113</v>
      </c>
      <c r="C30" s="124"/>
      <c r="D30" s="75">
        <v>0</v>
      </c>
      <c r="E30" s="75">
        <v>0</v>
      </c>
      <c r="F30" s="75">
        <v>0</v>
      </c>
      <c r="G30" s="75">
        <v>0</v>
      </c>
      <c r="J30" s="107"/>
    </row>
    <row r="31" spans="1:10" s="107" customFormat="1" ht="39" customHeight="1">
      <c r="A31" s="118" t="s">
        <v>217</v>
      </c>
      <c r="B31" s="119" t="s">
        <v>114</v>
      </c>
      <c r="C31" s="120"/>
      <c r="D31" s="70">
        <v>109743663</v>
      </c>
      <c r="E31" s="70">
        <v>109743663</v>
      </c>
      <c r="F31" s="70">
        <v>219349330</v>
      </c>
      <c r="G31" s="70">
        <v>219349330</v>
      </c>
    </row>
    <row r="32" spans="1:10" ht="39" customHeight="1">
      <c r="A32" s="121" t="s">
        <v>115</v>
      </c>
      <c r="B32" s="125" t="s">
        <v>116</v>
      </c>
      <c r="C32" s="124"/>
      <c r="D32" s="75">
        <v>109743663</v>
      </c>
      <c r="E32" s="75">
        <v>109743663</v>
      </c>
      <c r="F32" s="75">
        <v>219349330</v>
      </c>
      <c r="G32" s="75">
        <v>219349330</v>
      </c>
      <c r="J32" s="107"/>
    </row>
    <row r="33" spans="1:10" ht="39" customHeight="1">
      <c r="A33" s="126" t="s">
        <v>117</v>
      </c>
      <c r="B33" s="122" t="s">
        <v>118</v>
      </c>
      <c r="C33" s="123"/>
      <c r="D33" s="75">
        <v>109107293</v>
      </c>
      <c r="E33" s="75">
        <v>109107293</v>
      </c>
      <c r="F33" s="75">
        <v>218504290</v>
      </c>
      <c r="G33" s="75">
        <v>218504290</v>
      </c>
      <c r="J33" s="107"/>
    </row>
    <row r="34" spans="1:10" ht="39" customHeight="1">
      <c r="A34" s="126" t="s">
        <v>68</v>
      </c>
      <c r="B34" s="122" t="s">
        <v>119</v>
      </c>
      <c r="C34" s="123"/>
      <c r="D34" s="75">
        <v>636370</v>
      </c>
      <c r="E34" s="75">
        <v>636370</v>
      </c>
      <c r="F34" s="75">
        <v>845040</v>
      </c>
      <c r="G34" s="75">
        <v>845040</v>
      </c>
      <c r="J34" s="107"/>
    </row>
    <row r="35" spans="1:10" ht="42" customHeight="1">
      <c r="A35" s="126" t="s">
        <v>120</v>
      </c>
      <c r="B35" s="122" t="s">
        <v>121</v>
      </c>
      <c r="C35" s="124"/>
      <c r="D35" s="75">
        <v>0</v>
      </c>
      <c r="E35" s="75">
        <v>0</v>
      </c>
      <c r="F35" s="75">
        <v>0</v>
      </c>
      <c r="G35" s="75">
        <v>0</v>
      </c>
      <c r="J35" s="107"/>
    </row>
    <row r="36" spans="1:10" ht="39" customHeight="1">
      <c r="A36" s="126" t="s">
        <v>122</v>
      </c>
      <c r="B36" s="122" t="s">
        <v>123</v>
      </c>
      <c r="C36" s="124"/>
      <c r="D36" s="75">
        <v>0</v>
      </c>
      <c r="E36" s="75">
        <v>0</v>
      </c>
      <c r="F36" s="75">
        <v>0</v>
      </c>
      <c r="G36" s="75">
        <v>0</v>
      </c>
      <c r="J36" s="107"/>
    </row>
    <row r="37" spans="1:10" ht="70.900000000000006" customHeight="1">
      <c r="A37" s="126" t="s">
        <v>124</v>
      </c>
      <c r="B37" s="122" t="s">
        <v>125</v>
      </c>
      <c r="C37" s="124"/>
      <c r="D37" s="75">
        <v>0</v>
      </c>
      <c r="E37" s="75">
        <v>0</v>
      </c>
      <c r="F37" s="75">
        <v>0</v>
      </c>
      <c r="G37" s="75">
        <v>0</v>
      </c>
      <c r="J37" s="107"/>
    </row>
    <row r="38" spans="1:10" ht="39" customHeight="1">
      <c r="A38" s="126" t="s">
        <v>218</v>
      </c>
      <c r="B38" s="122" t="s">
        <v>126</v>
      </c>
      <c r="C38" s="124"/>
      <c r="D38" s="75">
        <v>0</v>
      </c>
      <c r="E38" s="75">
        <v>0</v>
      </c>
      <c r="F38" s="75">
        <v>0</v>
      </c>
      <c r="G38" s="75">
        <v>0</v>
      </c>
      <c r="J38" s="107"/>
    </row>
    <row r="39" spans="1:10" s="107" customFormat="1" ht="39" customHeight="1">
      <c r="A39" s="118" t="s">
        <v>219</v>
      </c>
      <c r="B39" s="119" t="s">
        <v>127</v>
      </c>
      <c r="C39" s="120"/>
      <c r="D39" s="70">
        <v>841648882</v>
      </c>
      <c r="E39" s="70">
        <v>841648882</v>
      </c>
      <c r="F39" s="70">
        <v>1146082481</v>
      </c>
      <c r="G39" s="70">
        <v>1146082481</v>
      </c>
    </row>
    <row r="40" spans="1:10" ht="39" customHeight="1">
      <c r="A40" s="126" t="s">
        <v>254</v>
      </c>
      <c r="B40" s="122" t="s">
        <v>128</v>
      </c>
      <c r="C40" s="124"/>
      <c r="D40" s="75">
        <v>733657347</v>
      </c>
      <c r="E40" s="75">
        <v>733657347</v>
      </c>
      <c r="F40" s="75">
        <v>1025064025</v>
      </c>
      <c r="G40" s="75">
        <v>1025064025</v>
      </c>
      <c r="J40" s="107"/>
    </row>
    <row r="41" spans="1:10" ht="39" customHeight="1">
      <c r="A41" s="126" t="s">
        <v>129</v>
      </c>
      <c r="B41" s="122" t="s">
        <v>130</v>
      </c>
      <c r="C41" s="123"/>
      <c r="D41" s="75">
        <v>30894185</v>
      </c>
      <c r="E41" s="75">
        <v>30894185</v>
      </c>
      <c r="F41" s="75">
        <v>29170283</v>
      </c>
      <c r="G41" s="75">
        <v>29170283</v>
      </c>
      <c r="J41" s="107"/>
    </row>
    <row r="42" spans="1:10" ht="39" customHeight="1">
      <c r="A42" s="57" t="s">
        <v>49</v>
      </c>
      <c r="B42" s="127" t="s">
        <v>131</v>
      </c>
      <c r="C42" s="123"/>
      <c r="D42" s="75">
        <v>22000000</v>
      </c>
      <c r="E42" s="75">
        <v>22000000</v>
      </c>
      <c r="F42" s="75">
        <v>22000000</v>
      </c>
      <c r="G42" s="75">
        <v>22000000</v>
      </c>
      <c r="J42" s="107"/>
    </row>
    <row r="43" spans="1:10" ht="39" customHeight="1">
      <c r="A43" s="57" t="s">
        <v>50</v>
      </c>
      <c r="B43" s="127" t="s">
        <v>132</v>
      </c>
      <c r="C43" s="123"/>
      <c r="D43" s="75">
        <v>6100000</v>
      </c>
      <c r="E43" s="75">
        <v>6100000</v>
      </c>
      <c r="F43" s="75">
        <v>3000000</v>
      </c>
      <c r="G43" s="75">
        <v>3000000</v>
      </c>
      <c r="J43" s="107"/>
    </row>
    <row r="44" spans="1:10" ht="60" customHeight="1">
      <c r="A44" s="57" t="s">
        <v>229</v>
      </c>
      <c r="B44" s="127" t="s">
        <v>133</v>
      </c>
      <c r="C44" s="123"/>
      <c r="D44" s="75">
        <v>2794185</v>
      </c>
      <c r="E44" s="75">
        <v>2794185</v>
      </c>
      <c r="F44" s="75">
        <v>4170283</v>
      </c>
      <c r="G44" s="75">
        <v>4170283</v>
      </c>
      <c r="J44" s="107"/>
    </row>
    <row r="45" spans="1:10" ht="39" customHeight="1">
      <c r="A45" s="126" t="s">
        <v>134</v>
      </c>
      <c r="B45" s="122" t="s">
        <v>135</v>
      </c>
      <c r="C45" s="123"/>
      <c r="D45" s="75">
        <v>25300000</v>
      </c>
      <c r="E45" s="75">
        <v>25300000</v>
      </c>
      <c r="F45" s="75">
        <v>25300000</v>
      </c>
      <c r="G45" s="75">
        <v>25300000</v>
      </c>
      <c r="J45" s="107"/>
    </row>
    <row r="46" spans="1:10" ht="39" customHeight="1">
      <c r="A46" s="126" t="s">
        <v>136</v>
      </c>
      <c r="B46" s="122" t="s">
        <v>137</v>
      </c>
      <c r="C46" s="123"/>
      <c r="D46" s="75">
        <v>12544400</v>
      </c>
      <c r="E46" s="75">
        <v>12544400</v>
      </c>
      <c r="F46" s="75">
        <v>17527002</v>
      </c>
      <c r="G46" s="75">
        <v>17527002</v>
      </c>
      <c r="J46" s="107"/>
    </row>
    <row r="47" spans="1:10" ht="39" customHeight="1">
      <c r="A47" s="126" t="s">
        <v>138</v>
      </c>
      <c r="B47" s="122" t="s">
        <v>139</v>
      </c>
      <c r="C47" s="123"/>
      <c r="D47" s="75">
        <v>11000000</v>
      </c>
      <c r="E47" s="75">
        <v>11000000</v>
      </c>
      <c r="F47" s="75">
        <v>11000000</v>
      </c>
      <c r="G47" s="75">
        <v>11000000</v>
      </c>
      <c r="J47" s="107"/>
    </row>
    <row r="48" spans="1:10" ht="39" customHeight="1">
      <c r="A48" s="126" t="s">
        <v>140</v>
      </c>
      <c r="B48" s="122" t="s">
        <v>141</v>
      </c>
      <c r="C48" s="123"/>
      <c r="D48" s="75">
        <v>0</v>
      </c>
      <c r="E48" s="75">
        <v>0</v>
      </c>
      <c r="F48" s="75">
        <v>0</v>
      </c>
      <c r="G48" s="75">
        <v>0</v>
      </c>
      <c r="J48" s="107"/>
    </row>
    <row r="49" spans="1:10" ht="43.9" customHeight="1">
      <c r="A49" s="58" t="s">
        <v>255</v>
      </c>
      <c r="B49" s="127" t="s">
        <v>142</v>
      </c>
      <c r="C49" s="123"/>
      <c r="D49" s="75">
        <v>0</v>
      </c>
      <c r="E49" s="75">
        <v>0</v>
      </c>
      <c r="F49" s="75">
        <v>0</v>
      </c>
      <c r="G49" s="75">
        <v>0</v>
      </c>
      <c r="J49" s="107"/>
    </row>
    <row r="50" spans="1:10" ht="39" customHeight="1">
      <c r="A50" s="58" t="s">
        <v>256</v>
      </c>
      <c r="B50" s="127" t="s">
        <v>143</v>
      </c>
      <c r="C50" s="123"/>
      <c r="D50" s="75">
        <v>0</v>
      </c>
      <c r="E50" s="75">
        <v>0</v>
      </c>
      <c r="F50" s="75">
        <v>0</v>
      </c>
      <c r="G50" s="75">
        <v>0</v>
      </c>
      <c r="J50" s="107"/>
    </row>
    <row r="51" spans="1:10" ht="39" customHeight="1">
      <c r="A51" s="126" t="s">
        <v>144</v>
      </c>
      <c r="B51" s="122" t="s">
        <v>145</v>
      </c>
      <c r="C51" s="123"/>
      <c r="D51" s="75">
        <v>0</v>
      </c>
      <c r="E51" s="75">
        <v>0</v>
      </c>
      <c r="F51" s="75">
        <v>0</v>
      </c>
      <c r="G51" s="75">
        <v>0</v>
      </c>
      <c r="J51" s="107"/>
    </row>
    <row r="52" spans="1:10" ht="39" customHeight="1">
      <c r="A52" s="126" t="s">
        <v>220</v>
      </c>
      <c r="B52" s="122" t="s">
        <v>146</v>
      </c>
      <c r="C52" s="123"/>
      <c r="D52" s="75">
        <v>14480822</v>
      </c>
      <c r="E52" s="75">
        <v>14480822</v>
      </c>
      <c r="F52" s="75">
        <v>14441257</v>
      </c>
      <c r="G52" s="75">
        <v>14441257</v>
      </c>
      <c r="J52" s="107"/>
    </row>
    <row r="53" spans="1:10" ht="39" customHeight="1">
      <c r="A53" s="126" t="s">
        <v>147</v>
      </c>
      <c r="B53" s="122" t="s">
        <v>148</v>
      </c>
      <c r="C53" s="123"/>
      <c r="D53" s="75">
        <v>0</v>
      </c>
      <c r="E53" s="75">
        <v>0</v>
      </c>
      <c r="F53" s="75">
        <v>0</v>
      </c>
      <c r="G53" s="75">
        <v>0</v>
      </c>
      <c r="J53" s="107"/>
    </row>
    <row r="54" spans="1:10" ht="39" customHeight="1">
      <c r="A54" s="126" t="s">
        <v>221</v>
      </c>
      <c r="B54" s="128" t="s">
        <v>149</v>
      </c>
      <c r="C54" s="123"/>
      <c r="D54" s="75">
        <v>13772128</v>
      </c>
      <c r="E54" s="75">
        <v>13772128</v>
      </c>
      <c r="F54" s="75">
        <v>23579914</v>
      </c>
      <c r="G54" s="75">
        <v>23579914</v>
      </c>
      <c r="J54" s="107"/>
    </row>
    <row r="55" spans="1:10" ht="39" customHeight="1">
      <c r="A55" s="58" t="s">
        <v>64</v>
      </c>
      <c r="B55" s="129" t="s">
        <v>150</v>
      </c>
      <c r="C55" s="123"/>
      <c r="D55" s="75">
        <v>13019178</v>
      </c>
      <c r="E55" s="75">
        <v>13019178</v>
      </c>
      <c r="F55" s="75">
        <v>13016396</v>
      </c>
      <c r="G55" s="75">
        <v>13016396</v>
      </c>
      <c r="J55" s="107"/>
    </row>
    <row r="56" spans="1:10" ht="39" customHeight="1">
      <c r="A56" s="58" t="s">
        <v>151</v>
      </c>
      <c r="B56" s="129" t="s">
        <v>152</v>
      </c>
      <c r="C56" s="123"/>
      <c r="D56" s="75">
        <v>0</v>
      </c>
      <c r="E56" s="75">
        <v>0</v>
      </c>
      <c r="F56" s="75">
        <v>0</v>
      </c>
      <c r="G56" s="75">
        <v>0</v>
      </c>
      <c r="J56" s="107"/>
    </row>
    <row r="57" spans="1:10" ht="39" customHeight="1">
      <c r="A57" s="58" t="s">
        <v>153</v>
      </c>
      <c r="B57" s="129" t="s">
        <v>154</v>
      </c>
      <c r="C57" s="124"/>
      <c r="D57" s="75">
        <v>0</v>
      </c>
      <c r="E57" s="75">
        <v>0</v>
      </c>
      <c r="F57" s="75">
        <v>0</v>
      </c>
      <c r="G57" s="75">
        <v>0</v>
      </c>
      <c r="J57" s="107"/>
    </row>
    <row r="58" spans="1:10" ht="39" customHeight="1">
      <c r="A58" s="58" t="s">
        <v>222</v>
      </c>
      <c r="B58" s="129" t="s">
        <v>155</v>
      </c>
      <c r="C58" s="123"/>
      <c r="D58" s="75">
        <v>0</v>
      </c>
      <c r="E58" s="75">
        <v>0</v>
      </c>
      <c r="F58" s="75">
        <v>8100000</v>
      </c>
      <c r="G58" s="75">
        <v>8100000</v>
      </c>
      <c r="J58" s="107"/>
    </row>
    <row r="59" spans="1:10" ht="39" customHeight="1">
      <c r="A59" s="58" t="s">
        <v>65</v>
      </c>
      <c r="B59" s="129" t="s">
        <v>156</v>
      </c>
      <c r="C59" s="124"/>
      <c r="D59" s="75">
        <v>0</v>
      </c>
      <c r="E59" s="75">
        <v>0</v>
      </c>
      <c r="F59" s="75">
        <v>0</v>
      </c>
      <c r="G59" s="75">
        <v>0</v>
      </c>
      <c r="J59" s="107"/>
    </row>
    <row r="60" spans="1:10" ht="39" customHeight="1">
      <c r="A60" s="58" t="s">
        <v>223</v>
      </c>
      <c r="B60" s="129" t="s">
        <v>157</v>
      </c>
      <c r="C60" s="124"/>
      <c r="D60" s="75">
        <v>0</v>
      </c>
      <c r="E60" s="75">
        <v>0</v>
      </c>
      <c r="F60" s="75">
        <v>0</v>
      </c>
      <c r="G60" s="75">
        <v>0</v>
      </c>
      <c r="J60" s="107"/>
    </row>
    <row r="61" spans="1:10" ht="39" customHeight="1">
      <c r="A61" s="58" t="s">
        <v>224</v>
      </c>
      <c r="B61" s="129" t="s">
        <v>158</v>
      </c>
      <c r="C61" s="124"/>
      <c r="D61" s="75">
        <v>0</v>
      </c>
      <c r="E61" s="75">
        <v>0</v>
      </c>
      <c r="F61" s="75">
        <v>0</v>
      </c>
      <c r="G61" s="75">
        <v>0</v>
      </c>
      <c r="J61" s="107"/>
    </row>
    <row r="62" spans="1:10" ht="39" customHeight="1">
      <c r="A62" s="58" t="s">
        <v>72</v>
      </c>
      <c r="B62" s="129" t="s">
        <v>159</v>
      </c>
      <c r="C62" s="124"/>
      <c r="D62" s="75">
        <v>752950</v>
      </c>
      <c r="E62" s="75">
        <v>752950</v>
      </c>
      <c r="F62" s="75">
        <v>2463518</v>
      </c>
      <c r="G62" s="75">
        <v>2463518</v>
      </c>
      <c r="J62" s="107"/>
    </row>
    <row r="63" spans="1:10" ht="39" customHeight="1">
      <c r="A63" s="58" t="s">
        <v>66</v>
      </c>
      <c r="B63" s="129" t="s">
        <v>160</v>
      </c>
      <c r="C63" s="124"/>
      <c r="D63" s="75">
        <v>0</v>
      </c>
      <c r="E63" s="75">
        <v>0</v>
      </c>
      <c r="F63" s="75">
        <v>0</v>
      </c>
      <c r="G63" s="75">
        <v>0</v>
      </c>
      <c r="J63" s="107"/>
    </row>
    <row r="64" spans="1:10" ht="39" customHeight="1">
      <c r="A64" s="58" t="s">
        <v>209</v>
      </c>
      <c r="B64" s="129" t="s">
        <v>161</v>
      </c>
      <c r="C64" s="123"/>
      <c r="D64" s="75">
        <v>0</v>
      </c>
      <c r="E64" s="75">
        <v>0</v>
      </c>
      <c r="F64" s="75">
        <v>0</v>
      </c>
      <c r="G64" s="75">
        <v>0</v>
      </c>
      <c r="J64" s="107"/>
    </row>
    <row r="65" spans="1:10" ht="39" customHeight="1">
      <c r="A65" s="58" t="s">
        <v>238</v>
      </c>
      <c r="B65" s="129" t="s">
        <v>162</v>
      </c>
      <c r="C65" s="123"/>
      <c r="D65" s="75">
        <v>0</v>
      </c>
      <c r="E65" s="75">
        <v>0</v>
      </c>
      <c r="F65" s="75">
        <v>0</v>
      </c>
      <c r="G65" s="75">
        <v>0</v>
      </c>
      <c r="J65" s="107"/>
    </row>
    <row r="66" spans="1:10" ht="39" customHeight="1">
      <c r="A66" s="58" t="s">
        <v>225</v>
      </c>
      <c r="B66" s="129" t="s">
        <v>163</v>
      </c>
      <c r="C66" s="123"/>
      <c r="D66" s="75">
        <v>0</v>
      </c>
      <c r="E66" s="75">
        <v>0</v>
      </c>
      <c r="F66" s="75">
        <v>0</v>
      </c>
      <c r="G66" s="75">
        <v>0</v>
      </c>
      <c r="J66" s="107"/>
    </row>
    <row r="67" spans="1:10" ht="39" customHeight="1">
      <c r="A67" s="58" t="s">
        <v>226</v>
      </c>
      <c r="B67" s="129" t="s">
        <v>164</v>
      </c>
      <c r="C67" s="123"/>
      <c r="D67" s="75">
        <v>0</v>
      </c>
      <c r="E67" s="75">
        <v>0</v>
      </c>
      <c r="F67" s="75">
        <v>0</v>
      </c>
      <c r="G67" s="75">
        <v>0</v>
      </c>
      <c r="J67" s="107"/>
    </row>
    <row r="68" spans="1:10" ht="39" customHeight="1">
      <c r="A68" s="58" t="s">
        <v>165</v>
      </c>
      <c r="B68" s="129" t="s">
        <v>166</v>
      </c>
      <c r="C68" s="123"/>
      <c r="D68" s="75">
        <v>0</v>
      </c>
      <c r="E68" s="75">
        <v>0</v>
      </c>
      <c r="F68" s="75">
        <v>0</v>
      </c>
      <c r="G68" s="75">
        <v>0</v>
      </c>
      <c r="J68" s="107"/>
    </row>
    <row r="69" spans="1:10" s="107" customFormat="1" ht="45" customHeight="1">
      <c r="A69" s="118" t="s">
        <v>167</v>
      </c>
      <c r="B69" s="119" t="s">
        <v>168</v>
      </c>
      <c r="C69" s="120"/>
      <c r="D69" s="70">
        <v>-6187375123</v>
      </c>
      <c r="E69" s="70">
        <v>-6187375123</v>
      </c>
      <c r="F69" s="70">
        <v>-16129981792</v>
      </c>
      <c r="G69" s="70">
        <v>-16129981792</v>
      </c>
    </row>
    <row r="70" spans="1:10" s="107" customFormat="1" ht="39" customHeight="1">
      <c r="A70" s="118" t="s">
        <v>169</v>
      </c>
      <c r="B70" s="119" t="s">
        <v>170</v>
      </c>
      <c r="C70" s="120"/>
      <c r="D70" s="70">
        <v>0</v>
      </c>
      <c r="E70" s="70">
        <v>0</v>
      </c>
      <c r="F70" s="70">
        <v>0</v>
      </c>
      <c r="G70" s="70">
        <v>0</v>
      </c>
    </row>
    <row r="71" spans="1:10" ht="39" customHeight="1">
      <c r="A71" s="121" t="s">
        <v>257</v>
      </c>
      <c r="B71" s="125" t="s">
        <v>171</v>
      </c>
      <c r="C71" s="124"/>
      <c r="D71" s="75">
        <v>0</v>
      </c>
      <c r="E71" s="75">
        <v>0</v>
      </c>
      <c r="F71" s="75">
        <v>0</v>
      </c>
      <c r="G71" s="75">
        <v>0</v>
      </c>
      <c r="J71" s="107"/>
    </row>
    <row r="72" spans="1:10" ht="39" customHeight="1">
      <c r="A72" s="121" t="s">
        <v>227</v>
      </c>
      <c r="B72" s="125" t="s">
        <v>172</v>
      </c>
      <c r="C72" s="124"/>
      <c r="D72" s="75">
        <v>0</v>
      </c>
      <c r="E72" s="75">
        <v>0</v>
      </c>
      <c r="F72" s="75">
        <v>0</v>
      </c>
      <c r="G72" s="75">
        <v>0</v>
      </c>
      <c r="J72" s="107"/>
    </row>
    <row r="73" spans="1:10" s="107" customFormat="1" ht="48" customHeight="1">
      <c r="A73" s="118" t="s">
        <v>173</v>
      </c>
      <c r="B73" s="119" t="s">
        <v>174</v>
      </c>
      <c r="C73" s="120"/>
      <c r="D73" s="70">
        <v>-6187375123</v>
      </c>
      <c r="E73" s="70">
        <v>-6187375123</v>
      </c>
      <c r="F73" s="70">
        <v>-16129981792</v>
      </c>
      <c r="G73" s="70">
        <v>-16129981792</v>
      </c>
    </row>
    <row r="74" spans="1:10" ht="39" customHeight="1">
      <c r="A74" s="126" t="s">
        <v>175</v>
      </c>
      <c r="B74" s="122" t="s">
        <v>176</v>
      </c>
      <c r="C74" s="124"/>
      <c r="D74" s="75">
        <v>7778971884</v>
      </c>
      <c r="E74" s="75">
        <v>7778971884</v>
      </c>
      <c r="F74" s="75">
        <v>14334634439</v>
      </c>
      <c r="G74" s="75">
        <v>14334634439</v>
      </c>
      <c r="J74" s="107"/>
    </row>
    <row r="75" spans="1:10" ht="39" customHeight="1">
      <c r="A75" s="126" t="s">
        <v>177</v>
      </c>
      <c r="B75" s="122" t="s">
        <v>178</v>
      </c>
      <c r="C75" s="124"/>
      <c r="D75" s="75">
        <v>-13966347007</v>
      </c>
      <c r="E75" s="75">
        <v>-13966347007</v>
      </c>
      <c r="F75" s="75">
        <v>-30464616231</v>
      </c>
      <c r="G75" s="75">
        <v>-30464616231</v>
      </c>
      <c r="J75" s="107"/>
    </row>
    <row r="76" spans="1:10" s="107" customFormat="1" ht="39" customHeight="1">
      <c r="A76" s="118" t="s">
        <v>179</v>
      </c>
      <c r="B76" s="119" t="s">
        <v>180</v>
      </c>
      <c r="C76" s="120"/>
      <c r="D76" s="70">
        <v>0</v>
      </c>
      <c r="E76" s="70">
        <v>0</v>
      </c>
      <c r="F76" s="70">
        <v>0</v>
      </c>
      <c r="G76" s="70">
        <v>0</v>
      </c>
    </row>
    <row r="77" spans="1:10" s="107" customFormat="1" ht="43.5" customHeight="1">
      <c r="A77" s="118" t="s">
        <v>181</v>
      </c>
      <c r="B77" s="119" t="s">
        <v>182</v>
      </c>
      <c r="C77" s="120"/>
      <c r="D77" s="70">
        <v>-6187375123</v>
      </c>
      <c r="E77" s="70">
        <v>-6187375123</v>
      </c>
      <c r="F77" s="70">
        <v>-16129981792</v>
      </c>
      <c r="G77" s="70">
        <v>-16129981792</v>
      </c>
    </row>
    <row r="80" spans="1:10" s="107" customFormat="1" ht="16.899999999999999" customHeight="1">
      <c r="A80" s="200" t="s">
        <v>183</v>
      </c>
      <c r="B80" s="248" t="s">
        <v>184</v>
      </c>
      <c r="C80" s="248"/>
      <c r="D80" s="248"/>
      <c r="E80" s="248"/>
      <c r="F80" s="248"/>
      <c r="G80" s="248"/>
    </row>
    <row r="93" spans="1:7">
      <c r="A93" s="51" t="s">
        <v>492</v>
      </c>
      <c r="B93" s="247" t="s">
        <v>493</v>
      </c>
      <c r="C93" s="247"/>
      <c r="D93" s="247"/>
      <c r="E93" s="247"/>
      <c r="F93" s="247" t="s">
        <v>850</v>
      </c>
      <c r="G93" s="247"/>
    </row>
    <row r="94" spans="1:7" ht="16.899999999999999" customHeight="1">
      <c r="A94" s="200" t="s">
        <v>780</v>
      </c>
      <c r="C94" s="88"/>
      <c r="D94" s="200" t="s">
        <v>851</v>
      </c>
      <c r="E94" s="88"/>
      <c r="F94" s="248" t="s">
        <v>770</v>
      </c>
      <c r="G94" s="248"/>
    </row>
    <row r="95" spans="1:7" ht="16.899999999999999" customHeight="1">
      <c r="A95" s="201" t="s">
        <v>781</v>
      </c>
      <c r="D95" s="201" t="s">
        <v>852</v>
      </c>
      <c r="F95" s="247" t="s">
        <v>853</v>
      </c>
      <c r="G95" s="247"/>
    </row>
  </sheetData>
  <mergeCells count="22">
    <mergeCell ref="D14:G14"/>
    <mergeCell ref="D8:G8"/>
    <mergeCell ref="A1:G1"/>
    <mergeCell ref="A2:G2"/>
    <mergeCell ref="A3:G3"/>
    <mergeCell ref="A5:G5"/>
    <mergeCell ref="D7:G7"/>
    <mergeCell ref="D9:G9"/>
    <mergeCell ref="D10:G10"/>
    <mergeCell ref="D11:G11"/>
    <mergeCell ref="D12:G12"/>
    <mergeCell ref="D13:G13"/>
    <mergeCell ref="B93:E93"/>
    <mergeCell ref="F93:G93"/>
    <mergeCell ref="F94:G94"/>
    <mergeCell ref="F95:G95"/>
    <mergeCell ref="A16:A17"/>
    <mergeCell ref="B16:B17"/>
    <mergeCell ref="C16:C17"/>
    <mergeCell ref="D16:E16"/>
    <mergeCell ref="F16:G16"/>
    <mergeCell ref="B80:G80"/>
  </mergeCells>
  <printOptions horizontalCentered="1"/>
  <pageMargins left="0.3" right="0.3" top="0.5" bottom="0.5" header="0.3" footer="0.3"/>
  <pageSetup paperSize="9" scale="63" fitToHeight="6"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38"/>
  <sheetViews>
    <sheetView view="pageBreakPreview" topLeftCell="A87" zoomScale="98" zoomScaleNormal="100" zoomScaleSheetLayoutView="98" workbookViewId="0">
      <selection activeCell="C93" sqref="C93"/>
    </sheetView>
  </sheetViews>
  <sheetFormatPr defaultColWidth="8.7265625" defaultRowHeight="12.5"/>
  <cols>
    <col min="1" max="1" width="7.1796875" style="51" customWidth="1"/>
    <col min="2" max="2" width="45.453125" style="51" customWidth="1"/>
    <col min="3" max="3" width="10.54296875" style="51" customWidth="1"/>
    <col min="4" max="4" width="8.7265625" style="51"/>
    <col min="5" max="6" width="22.26953125" style="51" customWidth="1"/>
    <col min="7" max="7" width="8.7265625" style="37"/>
    <col min="8" max="16384" width="8.7265625" style="93"/>
  </cols>
  <sheetData>
    <row r="1" spans="1:6" ht="23.65" customHeight="1">
      <c r="A1" s="257" t="s">
        <v>185</v>
      </c>
      <c r="B1" s="257"/>
      <c r="C1" s="257"/>
      <c r="D1" s="257"/>
      <c r="E1" s="257"/>
      <c r="F1" s="257"/>
    </row>
    <row r="2" spans="1:6" ht="32.65" customHeight="1">
      <c r="A2" s="258" t="s">
        <v>97</v>
      </c>
      <c r="B2" s="258"/>
      <c r="C2" s="258"/>
      <c r="D2" s="258"/>
      <c r="E2" s="258"/>
      <c r="F2" s="258"/>
    </row>
    <row r="3" spans="1:6" ht="31.15" customHeight="1">
      <c r="A3" s="259" t="s">
        <v>186</v>
      </c>
      <c r="B3" s="259"/>
      <c r="C3" s="259"/>
      <c r="D3" s="259"/>
      <c r="E3" s="259"/>
      <c r="F3" s="259"/>
    </row>
    <row r="4" spans="1:6" ht="6" customHeight="1"/>
    <row r="5" spans="1:6" ht="16.899999999999999" customHeight="1">
      <c r="A5" s="260" t="s">
        <v>760</v>
      </c>
      <c r="B5" s="260"/>
      <c r="C5" s="260"/>
      <c r="D5" s="260"/>
      <c r="E5" s="260"/>
      <c r="F5" s="260"/>
    </row>
    <row r="6" spans="1:6" ht="16.899999999999999" customHeight="1"/>
    <row r="7" spans="1:6" ht="16.899999999999999" customHeight="1">
      <c r="A7" s="130" t="s">
        <v>2</v>
      </c>
      <c r="C7" s="261" t="s">
        <v>762</v>
      </c>
      <c r="D7" s="261"/>
      <c r="E7" s="261"/>
      <c r="F7" s="261"/>
    </row>
    <row r="8" spans="1:6" ht="16.899999999999999" customHeight="1">
      <c r="A8" s="51" t="s">
        <v>40</v>
      </c>
      <c r="C8" s="256" t="s">
        <v>763</v>
      </c>
      <c r="D8" s="256"/>
      <c r="E8" s="256"/>
      <c r="F8" s="256"/>
    </row>
    <row r="9" spans="1:6" ht="16.899999999999999" customHeight="1">
      <c r="A9" s="130" t="s">
        <v>3</v>
      </c>
      <c r="C9" s="261" t="s">
        <v>764</v>
      </c>
      <c r="D9" s="261"/>
      <c r="E9" s="261"/>
      <c r="F9" s="261"/>
    </row>
    <row r="10" spans="1:6" ht="16.899999999999999" customHeight="1">
      <c r="A10" s="51" t="s">
        <v>4</v>
      </c>
      <c r="C10" s="256" t="s">
        <v>765</v>
      </c>
      <c r="D10" s="256"/>
      <c r="E10" s="256"/>
      <c r="F10" s="256"/>
    </row>
    <row r="11" spans="1:6" ht="16.899999999999999" customHeight="1">
      <c r="A11" s="130" t="s">
        <v>5</v>
      </c>
      <c r="C11" s="261" t="s">
        <v>190</v>
      </c>
      <c r="D11" s="261"/>
      <c r="E11" s="261"/>
      <c r="F11" s="261"/>
    </row>
    <row r="12" spans="1:6" ht="16.899999999999999" customHeight="1">
      <c r="A12" s="51" t="s">
        <v>6</v>
      </c>
      <c r="C12" s="256" t="s">
        <v>766</v>
      </c>
      <c r="D12" s="256"/>
      <c r="E12" s="256"/>
      <c r="F12" s="256"/>
    </row>
    <row r="13" spans="1:6" ht="16.899999999999999" customHeight="1">
      <c r="A13" s="130" t="s">
        <v>7</v>
      </c>
      <c r="C13" s="261" t="s">
        <v>767</v>
      </c>
      <c r="D13" s="261"/>
      <c r="E13" s="261"/>
      <c r="F13" s="261"/>
    </row>
    <row r="14" spans="1:6" ht="16.899999999999999" customHeight="1">
      <c r="A14" s="51" t="s">
        <v>8</v>
      </c>
      <c r="C14" s="256" t="s">
        <v>768</v>
      </c>
      <c r="D14" s="256"/>
      <c r="E14" s="256"/>
      <c r="F14" s="256"/>
    </row>
    <row r="15" spans="1:6" ht="16.899999999999999" customHeight="1"/>
    <row r="16" spans="1:6" ht="46.9" customHeight="1">
      <c r="A16" s="94" t="s">
        <v>187</v>
      </c>
      <c r="B16" s="94" t="s">
        <v>99</v>
      </c>
      <c r="C16" s="94" t="s">
        <v>100</v>
      </c>
      <c r="D16" s="94" t="s">
        <v>101</v>
      </c>
      <c r="E16" s="94" t="s">
        <v>773</v>
      </c>
      <c r="F16" s="94" t="s">
        <v>774</v>
      </c>
    </row>
    <row r="17" spans="1:7" ht="39" customHeight="1">
      <c r="A17" s="53" t="s">
        <v>41</v>
      </c>
      <c r="B17" s="131" t="s">
        <v>271</v>
      </c>
      <c r="C17" s="47" t="s">
        <v>41</v>
      </c>
      <c r="D17" s="70"/>
      <c r="E17" s="70"/>
      <c r="F17" s="70"/>
    </row>
    <row r="18" spans="1:7" ht="39" customHeight="1">
      <c r="A18" s="133" t="s">
        <v>272</v>
      </c>
      <c r="B18" s="134" t="s">
        <v>273</v>
      </c>
      <c r="C18" s="135" t="s">
        <v>274</v>
      </c>
      <c r="D18" s="133"/>
      <c r="E18" s="132">
        <v>8010221487</v>
      </c>
      <c r="F18" s="132">
        <v>15350511753</v>
      </c>
    </row>
    <row r="19" spans="1:7" ht="39" customHeight="1">
      <c r="A19" s="133" t="s">
        <v>275</v>
      </c>
      <c r="B19" s="134" t="s">
        <v>276</v>
      </c>
      <c r="C19" s="135" t="s">
        <v>277</v>
      </c>
      <c r="D19" s="133"/>
      <c r="E19" s="132">
        <v>8010221487</v>
      </c>
      <c r="F19" s="132">
        <v>15350511753</v>
      </c>
    </row>
    <row r="20" spans="1:7" s="139" customFormat="1" ht="49.15" customHeight="1">
      <c r="A20" s="133" t="s">
        <v>278</v>
      </c>
      <c r="B20" s="136" t="s">
        <v>279</v>
      </c>
      <c r="C20" s="137" t="s">
        <v>280</v>
      </c>
      <c r="D20" s="133"/>
      <c r="E20" s="132">
        <v>0</v>
      </c>
      <c r="F20" s="132">
        <v>0</v>
      </c>
      <c r="G20" s="138"/>
    </row>
    <row r="21" spans="1:7" s="139" customFormat="1" ht="46.5" customHeight="1">
      <c r="A21" s="133" t="s">
        <v>278</v>
      </c>
      <c r="B21" s="136" t="s">
        <v>281</v>
      </c>
      <c r="C21" s="137" t="s">
        <v>282</v>
      </c>
      <c r="D21" s="133"/>
      <c r="E21" s="132">
        <v>14831598</v>
      </c>
      <c r="F21" s="132">
        <v>14779048</v>
      </c>
      <c r="G21" s="138"/>
    </row>
    <row r="22" spans="1:7" s="139" customFormat="1" ht="39" customHeight="1">
      <c r="A22" s="133" t="s">
        <v>278</v>
      </c>
      <c r="B22" s="136" t="s">
        <v>283</v>
      </c>
      <c r="C22" s="137" t="s">
        <v>284</v>
      </c>
      <c r="D22" s="133"/>
      <c r="E22" s="132">
        <v>7995389889</v>
      </c>
      <c r="F22" s="132">
        <v>15335732705</v>
      </c>
      <c r="G22" s="138"/>
    </row>
    <row r="23" spans="1:7" ht="47.65" customHeight="1">
      <c r="A23" s="133" t="s">
        <v>278</v>
      </c>
      <c r="B23" s="136" t="s">
        <v>45</v>
      </c>
      <c r="C23" s="137" t="s">
        <v>285</v>
      </c>
      <c r="D23" s="133"/>
      <c r="E23" s="132">
        <v>0</v>
      </c>
      <c r="F23" s="132">
        <v>0</v>
      </c>
    </row>
    <row r="24" spans="1:7" ht="39" customHeight="1">
      <c r="A24" s="133" t="s">
        <v>286</v>
      </c>
      <c r="B24" s="134" t="s">
        <v>287</v>
      </c>
      <c r="C24" s="135" t="s">
        <v>288</v>
      </c>
      <c r="D24" s="133"/>
      <c r="E24" s="132">
        <v>0</v>
      </c>
      <c r="F24" s="132">
        <v>0</v>
      </c>
    </row>
    <row r="25" spans="1:7" ht="39" customHeight="1">
      <c r="A25" s="133" t="s">
        <v>289</v>
      </c>
      <c r="B25" s="134" t="s">
        <v>290</v>
      </c>
      <c r="C25" s="135" t="s">
        <v>291</v>
      </c>
      <c r="D25" s="133"/>
      <c r="E25" s="132">
        <v>389349918939</v>
      </c>
      <c r="F25" s="132">
        <v>441310500000</v>
      </c>
    </row>
    <row r="26" spans="1:7" ht="39" customHeight="1">
      <c r="A26" s="133" t="s">
        <v>292</v>
      </c>
      <c r="B26" s="134" t="s">
        <v>293</v>
      </c>
      <c r="C26" s="135" t="s">
        <v>294</v>
      </c>
      <c r="D26" s="133"/>
      <c r="E26" s="132">
        <v>389349918939</v>
      </c>
      <c r="F26" s="132">
        <v>441310500000</v>
      </c>
    </row>
    <row r="27" spans="1:7" ht="39" customHeight="1">
      <c r="A27" s="133" t="s">
        <v>278</v>
      </c>
      <c r="B27" s="136" t="s">
        <v>295</v>
      </c>
      <c r="C27" s="137" t="s">
        <v>296</v>
      </c>
      <c r="D27" s="133"/>
      <c r="E27" s="132">
        <v>389184750400</v>
      </c>
      <c r="F27" s="132">
        <v>441310500000</v>
      </c>
    </row>
    <row r="28" spans="1:7" ht="39" customHeight="1">
      <c r="A28" s="133" t="s">
        <v>278</v>
      </c>
      <c r="B28" s="136" t="s">
        <v>297</v>
      </c>
      <c r="C28" s="137" t="s">
        <v>298</v>
      </c>
      <c r="D28" s="133"/>
      <c r="E28" s="132">
        <v>0</v>
      </c>
      <c r="F28" s="132">
        <v>0</v>
      </c>
    </row>
    <row r="29" spans="1:7" ht="39" customHeight="1">
      <c r="A29" s="133" t="s">
        <v>278</v>
      </c>
      <c r="B29" s="136" t="s">
        <v>299</v>
      </c>
      <c r="C29" s="137" t="s">
        <v>300</v>
      </c>
      <c r="D29" s="133"/>
      <c r="E29" s="132">
        <v>0</v>
      </c>
      <c r="F29" s="132">
        <v>0</v>
      </c>
    </row>
    <row r="30" spans="1:7" ht="39" customHeight="1">
      <c r="A30" s="133" t="s">
        <v>278</v>
      </c>
      <c r="B30" s="136" t="s">
        <v>301</v>
      </c>
      <c r="C30" s="137" t="s">
        <v>302</v>
      </c>
      <c r="D30" s="133"/>
      <c r="E30" s="132">
        <v>0</v>
      </c>
      <c r="F30" s="132">
        <v>0</v>
      </c>
    </row>
    <row r="31" spans="1:7" ht="39" customHeight="1">
      <c r="A31" s="133" t="s">
        <v>278</v>
      </c>
      <c r="B31" s="136" t="s">
        <v>303</v>
      </c>
      <c r="C31" s="137" t="s">
        <v>304</v>
      </c>
      <c r="D31" s="133"/>
      <c r="E31" s="132">
        <v>0</v>
      </c>
      <c r="F31" s="132">
        <v>0</v>
      </c>
    </row>
    <row r="32" spans="1:7" ht="39" customHeight="1">
      <c r="A32" s="133" t="s">
        <v>278</v>
      </c>
      <c r="B32" s="136" t="s">
        <v>258</v>
      </c>
      <c r="C32" s="137" t="s">
        <v>305</v>
      </c>
      <c r="D32" s="133"/>
      <c r="E32" s="132">
        <v>0</v>
      </c>
      <c r="F32" s="132">
        <v>0</v>
      </c>
    </row>
    <row r="33" spans="1:6" ht="39" customHeight="1">
      <c r="A33" s="133" t="s">
        <v>278</v>
      </c>
      <c r="B33" s="136" t="s">
        <v>259</v>
      </c>
      <c r="C33" s="137" t="s">
        <v>306</v>
      </c>
      <c r="D33" s="133"/>
      <c r="E33" s="132">
        <v>165168539</v>
      </c>
      <c r="F33" s="132">
        <v>0</v>
      </c>
    </row>
    <row r="34" spans="1:6" ht="39" customHeight="1">
      <c r="A34" s="133" t="s">
        <v>278</v>
      </c>
      <c r="B34" s="136" t="s">
        <v>260</v>
      </c>
      <c r="C34" s="137" t="s">
        <v>307</v>
      </c>
      <c r="D34" s="133"/>
      <c r="E34" s="132">
        <v>0</v>
      </c>
      <c r="F34" s="132">
        <v>0</v>
      </c>
    </row>
    <row r="35" spans="1:6" ht="39" customHeight="1">
      <c r="A35" s="133" t="s">
        <v>278</v>
      </c>
      <c r="B35" s="136" t="s">
        <v>308</v>
      </c>
      <c r="C35" s="137" t="s">
        <v>309</v>
      </c>
      <c r="D35" s="133"/>
      <c r="E35" s="132">
        <v>0</v>
      </c>
      <c r="F35" s="132">
        <v>0</v>
      </c>
    </row>
    <row r="36" spans="1:6" ht="39" customHeight="1">
      <c r="A36" s="133" t="s">
        <v>278</v>
      </c>
      <c r="B36" s="136" t="s">
        <v>261</v>
      </c>
      <c r="C36" s="137" t="s">
        <v>310</v>
      </c>
      <c r="D36" s="133"/>
      <c r="E36" s="132">
        <v>0</v>
      </c>
      <c r="F36" s="132">
        <v>0</v>
      </c>
    </row>
    <row r="37" spans="1:6" ht="39" customHeight="1">
      <c r="A37" s="133" t="s">
        <v>311</v>
      </c>
      <c r="B37" s="134" t="s">
        <v>312</v>
      </c>
      <c r="C37" s="135" t="s">
        <v>313</v>
      </c>
      <c r="D37" s="133"/>
      <c r="E37" s="132">
        <v>0</v>
      </c>
      <c r="F37" s="132">
        <v>0</v>
      </c>
    </row>
    <row r="38" spans="1:6" ht="39" customHeight="1">
      <c r="A38" s="133" t="s">
        <v>314</v>
      </c>
      <c r="B38" s="134" t="s">
        <v>315</v>
      </c>
      <c r="C38" s="135" t="s">
        <v>316</v>
      </c>
      <c r="D38" s="133"/>
      <c r="E38" s="132">
        <v>4951380450</v>
      </c>
      <c r="F38" s="132">
        <v>4110017135</v>
      </c>
    </row>
    <row r="39" spans="1:6" ht="39" customHeight="1">
      <c r="A39" s="133" t="s">
        <v>317</v>
      </c>
      <c r="B39" s="134" t="s">
        <v>318</v>
      </c>
      <c r="C39" s="135" t="s">
        <v>319</v>
      </c>
      <c r="D39" s="133"/>
      <c r="E39" s="132">
        <v>3816370000</v>
      </c>
      <c r="F39" s="132">
        <v>2623012135</v>
      </c>
    </row>
    <row r="40" spans="1:6" ht="43.15" customHeight="1">
      <c r="A40" s="133" t="s">
        <v>278</v>
      </c>
      <c r="B40" s="136" t="s">
        <v>320</v>
      </c>
      <c r="C40" s="137" t="s">
        <v>321</v>
      </c>
      <c r="D40" s="133"/>
      <c r="E40" s="132">
        <v>0</v>
      </c>
      <c r="F40" s="132">
        <v>0</v>
      </c>
    </row>
    <row r="41" spans="1:6" ht="46.9" customHeight="1">
      <c r="A41" s="133" t="s">
        <v>322</v>
      </c>
      <c r="B41" s="134" t="s">
        <v>323</v>
      </c>
      <c r="C41" s="135" t="s">
        <v>324</v>
      </c>
      <c r="D41" s="133"/>
      <c r="E41" s="132">
        <v>1135000000</v>
      </c>
      <c r="F41" s="132">
        <v>1487005000</v>
      </c>
    </row>
    <row r="42" spans="1:6" ht="43.9" customHeight="1">
      <c r="A42" s="133" t="s">
        <v>325</v>
      </c>
      <c r="B42" s="134" t="s">
        <v>326</v>
      </c>
      <c r="C42" s="135" t="s">
        <v>327</v>
      </c>
      <c r="D42" s="133"/>
      <c r="E42" s="132">
        <v>0</v>
      </c>
      <c r="F42" s="132">
        <v>0</v>
      </c>
    </row>
    <row r="43" spans="1:6" ht="39" customHeight="1">
      <c r="A43" s="133" t="s">
        <v>278</v>
      </c>
      <c r="B43" s="136" t="s">
        <v>262</v>
      </c>
      <c r="C43" s="137" t="s">
        <v>328</v>
      </c>
      <c r="D43" s="133"/>
      <c r="E43" s="132">
        <v>0</v>
      </c>
      <c r="F43" s="132">
        <v>0</v>
      </c>
    </row>
    <row r="44" spans="1:6" ht="39" customHeight="1">
      <c r="A44" s="133" t="s">
        <v>278</v>
      </c>
      <c r="B44" s="136" t="s">
        <v>263</v>
      </c>
      <c r="C44" s="137" t="s">
        <v>329</v>
      </c>
      <c r="D44" s="133"/>
      <c r="E44" s="132">
        <v>0</v>
      </c>
      <c r="F44" s="132">
        <v>0</v>
      </c>
    </row>
    <row r="45" spans="1:6" ht="46.15" customHeight="1">
      <c r="A45" s="133" t="s">
        <v>278</v>
      </c>
      <c r="B45" s="136" t="s">
        <v>330</v>
      </c>
      <c r="C45" s="137" t="s">
        <v>331</v>
      </c>
      <c r="D45" s="133"/>
      <c r="E45" s="132">
        <v>0</v>
      </c>
      <c r="F45" s="132">
        <v>0</v>
      </c>
    </row>
    <row r="46" spans="1:6" ht="44.65" customHeight="1">
      <c r="A46" s="133" t="s">
        <v>278</v>
      </c>
      <c r="B46" s="136" t="s">
        <v>332</v>
      </c>
      <c r="C46" s="137" t="s">
        <v>333</v>
      </c>
      <c r="D46" s="133"/>
      <c r="E46" s="132">
        <v>0</v>
      </c>
      <c r="F46" s="132">
        <v>0</v>
      </c>
    </row>
    <row r="47" spans="1:6" ht="39" customHeight="1">
      <c r="A47" s="133" t="s">
        <v>278</v>
      </c>
      <c r="B47" s="136" t="s">
        <v>334</v>
      </c>
      <c r="C47" s="137" t="s">
        <v>335</v>
      </c>
      <c r="D47" s="133"/>
      <c r="E47" s="132">
        <v>0</v>
      </c>
      <c r="F47" s="132">
        <v>0</v>
      </c>
    </row>
    <row r="48" spans="1:6" ht="55.9" customHeight="1">
      <c r="A48" s="133" t="s">
        <v>278</v>
      </c>
      <c r="B48" s="134" t="s">
        <v>336</v>
      </c>
      <c r="C48" s="135" t="s">
        <v>337</v>
      </c>
      <c r="D48" s="133"/>
      <c r="E48" s="132">
        <v>0</v>
      </c>
      <c r="F48" s="132">
        <v>0</v>
      </c>
    </row>
    <row r="49" spans="1:7" ht="39" customHeight="1">
      <c r="A49" s="133" t="s">
        <v>338</v>
      </c>
      <c r="B49" s="134" t="s">
        <v>339</v>
      </c>
      <c r="C49" s="135" t="s">
        <v>340</v>
      </c>
      <c r="D49" s="133"/>
      <c r="E49" s="132">
        <v>1135000000</v>
      </c>
      <c r="F49" s="132">
        <v>1487005000</v>
      </c>
    </row>
    <row r="50" spans="1:7" ht="39" customHeight="1">
      <c r="A50" s="133" t="s">
        <v>278</v>
      </c>
      <c r="B50" s="136" t="s">
        <v>341</v>
      </c>
      <c r="C50" s="137" t="s">
        <v>342</v>
      </c>
      <c r="D50" s="133"/>
      <c r="E50" s="132">
        <v>1135000000</v>
      </c>
      <c r="F50" s="132">
        <v>1487005000</v>
      </c>
    </row>
    <row r="51" spans="1:7" ht="39" customHeight="1">
      <c r="A51" s="133" t="s">
        <v>278</v>
      </c>
      <c r="B51" s="136" t="s">
        <v>343</v>
      </c>
      <c r="C51" s="137" t="s">
        <v>344</v>
      </c>
      <c r="D51" s="133"/>
      <c r="E51" s="132">
        <v>0</v>
      </c>
      <c r="F51" s="132">
        <v>0</v>
      </c>
    </row>
    <row r="52" spans="1:7" ht="46.15" customHeight="1">
      <c r="A52" s="133" t="s">
        <v>278</v>
      </c>
      <c r="B52" s="136" t="s">
        <v>345</v>
      </c>
      <c r="C52" s="137" t="s">
        <v>346</v>
      </c>
      <c r="D52" s="133"/>
      <c r="E52" s="132">
        <v>0</v>
      </c>
      <c r="F52" s="132">
        <v>0</v>
      </c>
    </row>
    <row r="53" spans="1:7" ht="42" customHeight="1">
      <c r="A53" s="133" t="s">
        <v>278</v>
      </c>
      <c r="B53" s="136" t="s">
        <v>347</v>
      </c>
      <c r="C53" s="137" t="s">
        <v>348</v>
      </c>
      <c r="D53" s="133"/>
      <c r="E53" s="132">
        <v>0</v>
      </c>
      <c r="F53" s="132">
        <v>0</v>
      </c>
    </row>
    <row r="54" spans="1:7" ht="39" customHeight="1">
      <c r="A54" s="133" t="s">
        <v>278</v>
      </c>
      <c r="B54" s="136" t="s">
        <v>349</v>
      </c>
      <c r="C54" s="137" t="s">
        <v>350</v>
      </c>
      <c r="D54" s="133"/>
      <c r="E54" s="132">
        <v>0</v>
      </c>
      <c r="F54" s="132">
        <v>0</v>
      </c>
    </row>
    <row r="55" spans="1:7" ht="39" customHeight="1">
      <c r="A55" s="133" t="s">
        <v>278</v>
      </c>
      <c r="B55" s="136" t="s">
        <v>351</v>
      </c>
      <c r="C55" s="137" t="s">
        <v>352</v>
      </c>
      <c r="D55" s="133"/>
      <c r="E55" s="132">
        <v>0</v>
      </c>
      <c r="F55" s="132">
        <v>0</v>
      </c>
    </row>
    <row r="56" spans="1:7" ht="39" customHeight="1">
      <c r="A56" s="133" t="s">
        <v>353</v>
      </c>
      <c r="B56" s="134" t="s">
        <v>354</v>
      </c>
      <c r="C56" s="135" t="s">
        <v>355</v>
      </c>
      <c r="D56" s="133"/>
      <c r="E56" s="132">
        <v>10450</v>
      </c>
      <c r="F56" s="132">
        <v>0</v>
      </c>
    </row>
    <row r="57" spans="1:7" s="139" customFormat="1" ht="46.9" customHeight="1">
      <c r="A57" s="133" t="s">
        <v>278</v>
      </c>
      <c r="B57" s="136" t="s">
        <v>356</v>
      </c>
      <c r="C57" s="137" t="s">
        <v>357</v>
      </c>
      <c r="D57" s="133"/>
      <c r="E57" s="132">
        <v>0</v>
      </c>
      <c r="F57" s="132">
        <v>0</v>
      </c>
      <c r="G57" s="138"/>
    </row>
    <row r="58" spans="1:7" ht="39" customHeight="1">
      <c r="A58" s="133" t="s">
        <v>278</v>
      </c>
      <c r="B58" s="136" t="s">
        <v>358</v>
      </c>
      <c r="C58" s="137" t="s">
        <v>359</v>
      </c>
      <c r="D58" s="133"/>
      <c r="E58" s="132">
        <v>0</v>
      </c>
      <c r="F58" s="132">
        <v>0</v>
      </c>
    </row>
    <row r="59" spans="1:7" ht="39" customHeight="1">
      <c r="A59" s="133" t="s">
        <v>278</v>
      </c>
      <c r="B59" s="136" t="s">
        <v>360</v>
      </c>
      <c r="C59" s="137" t="s">
        <v>361</v>
      </c>
      <c r="D59" s="133"/>
      <c r="E59" s="132">
        <v>10450</v>
      </c>
      <c r="F59" s="132">
        <v>0</v>
      </c>
    </row>
    <row r="60" spans="1:7" ht="39" customHeight="1">
      <c r="A60" s="133" t="s">
        <v>362</v>
      </c>
      <c r="B60" s="134" t="s">
        <v>363</v>
      </c>
      <c r="C60" s="135" t="s">
        <v>364</v>
      </c>
      <c r="D60" s="133"/>
      <c r="E60" s="132">
        <v>0</v>
      </c>
      <c r="F60" s="132">
        <v>0</v>
      </c>
    </row>
    <row r="61" spans="1:7" ht="39" customHeight="1">
      <c r="A61" s="53" t="s">
        <v>278</v>
      </c>
      <c r="B61" s="131" t="s">
        <v>264</v>
      </c>
      <c r="C61" s="47" t="s">
        <v>365</v>
      </c>
      <c r="D61" s="70"/>
      <c r="E61" s="70">
        <v>402311520876</v>
      </c>
      <c r="F61" s="70">
        <v>460771028888</v>
      </c>
    </row>
    <row r="62" spans="1:7" ht="39" customHeight="1">
      <c r="A62" s="53" t="s">
        <v>46</v>
      </c>
      <c r="B62" s="131" t="s">
        <v>366</v>
      </c>
      <c r="C62" s="47" t="s">
        <v>46</v>
      </c>
      <c r="D62" s="70"/>
      <c r="E62" s="70"/>
      <c r="F62" s="70"/>
    </row>
    <row r="63" spans="1:7" ht="39" customHeight="1">
      <c r="A63" s="133" t="s">
        <v>272</v>
      </c>
      <c r="B63" s="134" t="s">
        <v>367</v>
      </c>
      <c r="C63" s="135" t="s">
        <v>368</v>
      </c>
      <c r="D63" s="133"/>
      <c r="E63" s="132">
        <v>0</v>
      </c>
      <c r="F63" s="132">
        <v>0</v>
      </c>
    </row>
    <row r="64" spans="1:7" ht="39" customHeight="1">
      <c r="A64" s="133" t="s">
        <v>278</v>
      </c>
      <c r="B64" s="136" t="s">
        <v>369</v>
      </c>
      <c r="C64" s="137" t="s">
        <v>370</v>
      </c>
      <c r="D64" s="133"/>
      <c r="E64" s="132">
        <v>0</v>
      </c>
      <c r="F64" s="132">
        <v>0</v>
      </c>
    </row>
    <row r="65" spans="1:6" ht="39" customHeight="1">
      <c r="A65" s="133" t="s">
        <v>278</v>
      </c>
      <c r="B65" s="136" t="s">
        <v>371</v>
      </c>
      <c r="C65" s="137" t="s">
        <v>372</v>
      </c>
      <c r="D65" s="133"/>
      <c r="E65" s="132">
        <v>0</v>
      </c>
      <c r="F65" s="132">
        <v>0</v>
      </c>
    </row>
    <row r="66" spans="1:6" ht="39" customHeight="1">
      <c r="A66" s="133" t="s">
        <v>289</v>
      </c>
      <c r="B66" s="134" t="s">
        <v>373</v>
      </c>
      <c r="C66" s="135" t="s">
        <v>374</v>
      </c>
      <c r="D66" s="133"/>
      <c r="E66" s="132">
        <v>0</v>
      </c>
      <c r="F66" s="132">
        <v>2981700000</v>
      </c>
    </row>
    <row r="67" spans="1:6" ht="60" customHeight="1">
      <c r="A67" s="133" t="s">
        <v>314</v>
      </c>
      <c r="B67" s="134" t="s">
        <v>375</v>
      </c>
      <c r="C67" s="135" t="s">
        <v>376</v>
      </c>
      <c r="D67" s="133"/>
      <c r="E67" s="132">
        <v>368561261</v>
      </c>
      <c r="F67" s="132">
        <v>245501180</v>
      </c>
    </row>
    <row r="68" spans="1:6" ht="57.4" customHeight="1">
      <c r="A68" s="133" t="s">
        <v>278</v>
      </c>
      <c r="B68" s="136" t="s">
        <v>377</v>
      </c>
      <c r="C68" s="137" t="s">
        <v>378</v>
      </c>
      <c r="D68" s="133"/>
      <c r="E68" s="132">
        <v>26759236</v>
      </c>
      <c r="F68" s="132">
        <v>26266000</v>
      </c>
    </row>
    <row r="69" spans="1:6" ht="60" customHeight="1">
      <c r="A69" s="133" t="s">
        <v>278</v>
      </c>
      <c r="B69" s="136" t="s">
        <v>379</v>
      </c>
      <c r="C69" s="137" t="s">
        <v>380</v>
      </c>
      <c r="D69" s="133"/>
      <c r="E69" s="132">
        <v>341802025</v>
      </c>
      <c r="F69" s="132">
        <v>219235180</v>
      </c>
    </row>
    <row r="70" spans="1:6" ht="39" customHeight="1">
      <c r="A70" s="133" t="s">
        <v>381</v>
      </c>
      <c r="B70" s="134" t="s">
        <v>382</v>
      </c>
      <c r="C70" s="135" t="s">
        <v>383</v>
      </c>
      <c r="D70" s="133"/>
      <c r="E70" s="132">
        <v>61537952</v>
      </c>
      <c r="F70" s="132">
        <v>49453002</v>
      </c>
    </row>
    <row r="71" spans="1:6" ht="39" customHeight="1">
      <c r="A71" s="133" t="s">
        <v>384</v>
      </c>
      <c r="B71" s="134" t="s">
        <v>385</v>
      </c>
      <c r="C71" s="135" t="s">
        <v>386</v>
      </c>
      <c r="D71" s="133"/>
      <c r="E71" s="132">
        <v>83000000</v>
      </c>
      <c r="F71" s="132">
        <v>83000000</v>
      </c>
    </row>
    <row r="72" spans="1:6" ht="39" customHeight="1">
      <c r="A72" s="133" t="s">
        <v>387</v>
      </c>
      <c r="B72" s="134" t="s">
        <v>388</v>
      </c>
      <c r="C72" s="135" t="s">
        <v>389</v>
      </c>
      <c r="D72" s="133"/>
      <c r="E72" s="132">
        <v>115724555</v>
      </c>
      <c r="F72" s="132">
        <v>110423109</v>
      </c>
    </row>
    <row r="73" spans="1:6" ht="39" customHeight="1">
      <c r="A73" s="133" t="s">
        <v>278</v>
      </c>
      <c r="B73" s="136" t="s">
        <v>267</v>
      </c>
      <c r="C73" s="137" t="s">
        <v>390</v>
      </c>
      <c r="D73" s="133"/>
      <c r="E73" s="132">
        <v>5724555</v>
      </c>
      <c r="F73" s="132">
        <v>3923109</v>
      </c>
    </row>
    <row r="74" spans="1:6" ht="39" customHeight="1">
      <c r="A74" s="133" t="s">
        <v>278</v>
      </c>
      <c r="B74" s="136" t="s">
        <v>391</v>
      </c>
      <c r="C74" s="137" t="s">
        <v>392</v>
      </c>
      <c r="D74" s="133"/>
      <c r="E74" s="132">
        <v>5724555</v>
      </c>
      <c r="F74" s="132">
        <v>3923109</v>
      </c>
    </row>
    <row r="75" spans="1:6" ht="39" customHeight="1">
      <c r="A75" s="133" t="s">
        <v>278</v>
      </c>
      <c r="B75" s="136" t="s">
        <v>393</v>
      </c>
      <c r="C75" s="137" t="s">
        <v>394</v>
      </c>
      <c r="D75" s="133"/>
      <c r="E75" s="132">
        <v>0</v>
      </c>
      <c r="F75" s="132">
        <v>0</v>
      </c>
    </row>
    <row r="76" spans="1:6" ht="39" customHeight="1">
      <c r="A76" s="133" t="s">
        <v>278</v>
      </c>
      <c r="B76" s="136" t="s">
        <v>395</v>
      </c>
      <c r="C76" s="137" t="s">
        <v>396</v>
      </c>
      <c r="D76" s="133"/>
      <c r="E76" s="132">
        <v>96980822</v>
      </c>
      <c r="F76" s="132">
        <v>82500000</v>
      </c>
    </row>
    <row r="77" spans="1:6" ht="39" customHeight="1">
      <c r="A77" s="133" t="s">
        <v>278</v>
      </c>
      <c r="B77" s="136" t="s">
        <v>397</v>
      </c>
      <c r="C77" s="137" t="s">
        <v>398</v>
      </c>
      <c r="D77" s="133"/>
      <c r="E77" s="132">
        <v>0</v>
      </c>
      <c r="F77" s="132">
        <v>0</v>
      </c>
    </row>
    <row r="78" spans="1:6" ht="39" customHeight="1">
      <c r="A78" s="133" t="s">
        <v>278</v>
      </c>
      <c r="B78" s="136" t="s">
        <v>399</v>
      </c>
      <c r="C78" s="137" t="s">
        <v>400</v>
      </c>
      <c r="D78" s="133"/>
      <c r="E78" s="132">
        <v>0</v>
      </c>
      <c r="F78" s="132">
        <v>0</v>
      </c>
    </row>
    <row r="79" spans="1:6" ht="45.4" customHeight="1">
      <c r="A79" s="133" t="s">
        <v>278</v>
      </c>
      <c r="B79" s="136" t="s">
        <v>401</v>
      </c>
      <c r="C79" s="137" t="s">
        <v>402</v>
      </c>
      <c r="D79" s="133"/>
      <c r="E79" s="132">
        <v>13019178</v>
      </c>
      <c r="F79" s="132">
        <v>24000000</v>
      </c>
    </row>
    <row r="80" spans="1:6" ht="48.4" customHeight="1">
      <c r="A80" s="133" t="s">
        <v>278</v>
      </c>
      <c r="B80" s="136" t="s">
        <v>403</v>
      </c>
      <c r="C80" s="137" t="s">
        <v>404</v>
      </c>
      <c r="D80" s="133"/>
      <c r="E80" s="132">
        <v>0</v>
      </c>
      <c r="F80" s="132">
        <v>0</v>
      </c>
    </row>
    <row r="81" spans="1:6" ht="56.65" customHeight="1">
      <c r="A81" s="133" t="s">
        <v>278</v>
      </c>
      <c r="B81" s="136" t="s">
        <v>405</v>
      </c>
      <c r="C81" s="137" t="s">
        <v>406</v>
      </c>
      <c r="D81" s="133"/>
      <c r="E81" s="132">
        <v>0</v>
      </c>
      <c r="F81" s="132">
        <v>0</v>
      </c>
    </row>
    <row r="82" spans="1:6" ht="39" customHeight="1">
      <c r="A82" s="133" t="s">
        <v>407</v>
      </c>
      <c r="B82" s="134" t="s">
        <v>408</v>
      </c>
      <c r="C82" s="135" t="s">
        <v>409</v>
      </c>
      <c r="D82" s="133"/>
      <c r="E82" s="132">
        <v>167095900</v>
      </c>
      <c r="F82" s="132">
        <v>349698400</v>
      </c>
    </row>
    <row r="83" spans="1:6" ht="39" customHeight="1">
      <c r="A83" s="133" t="s">
        <v>278</v>
      </c>
      <c r="B83" s="136" t="s">
        <v>265</v>
      </c>
      <c r="C83" s="137" t="s">
        <v>410</v>
      </c>
      <c r="D83" s="133"/>
      <c r="E83" s="132">
        <v>167095900</v>
      </c>
      <c r="F83" s="132">
        <v>349698400</v>
      </c>
    </row>
    <row r="84" spans="1:6" ht="45" customHeight="1">
      <c r="A84" s="133" t="s">
        <v>278</v>
      </c>
      <c r="B84" s="136" t="s">
        <v>266</v>
      </c>
      <c r="C84" s="137" t="s">
        <v>411</v>
      </c>
      <c r="D84" s="133"/>
      <c r="E84" s="132">
        <v>0</v>
      </c>
      <c r="F84" s="132">
        <v>0</v>
      </c>
    </row>
    <row r="85" spans="1:6" ht="39" customHeight="1">
      <c r="A85" s="133" t="s">
        <v>412</v>
      </c>
      <c r="B85" s="134" t="s">
        <v>413</v>
      </c>
      <c r="C85" s="135" t="s">
        <v>414</v>
      </c>
      <c r="D85" s="133"/>
      <c r="E85" s="132">
        <v>9646339557</v>
      </c>
      <c r="F85" s="132">
        <v>3660643399</v>
      </c>
    </row>
    <row r="86" spans="1:6" ht="39" customHeight="1">
      <c r="A86" s="133" t="s">
        <v>415</v>
      </c>
      <c r="B86" s="134" t="s">
        <v>416</v>
      </c>
      <c r="C86" s="135" t="s">
        <v>417</v>
      </c>
      <c r="D86" s="133"/>
      <c r="E86" s="132">
        <v>810901747</v>
      </c>
      <c r="F86" s="132">
        <v>829298243</v>
      </c>
    </row>
    <row r="87" spans="1:6" ht="39" customHeight="1">
      <c r="A87" s="133" t="s">
        <v>278</v>
      </c>
      <c r="B87" s="136" t="s">
        <v>418</v>
      </c>
      <c r="C87" s="137" t="s">
        <v>419</v>
      </c>
      <c r="D87" s="133"/>
      <c r="E87" s="132">
        <v>733657347</v>
      </c>
      <c r="F87" s="132">
        <v>745943764</v>
      </c>
    </row>
    <row r="88" spans="1:6" ht="39" customHeight="1">
      <c r="A88" s="133" t="s">
        <v>278</v>
      </c>
      <c r="B88" s="136" t="s">
        <v>420</v>
      </c>
      <c r="C88" s="137" t="s">
        <v>421</v>
      </c>
      <c r="D88" s="133"/>
      <c r="E88" s="132">
        <v>28400000</v>
      </c>
      <c r="F88" s="132">
        <v>34300000</v>
      </c>
    </row>
    <row r="89" spans="1:6" ht="39" customHeight="1">
      <c r="A89" s="133" t="s">
        <v>278</v>
      </c>
      <c r="B89" s="136" t="s">
        <v>49</v>
      </c>
      <c r="C89" s="137" t="s">
        <v>422</v>
      </c>
      <c r="D89" s="133"/>
      <c r="E89" s="132">
        <v>22000000</v>
      </c>
      <c r="F89" s="132">
        <v>22000000</v>
      </c>
    </row>
    <row r="90" spans="1:6" ht="39" customHeight="1">
      <c r="A90" s="133" t="s">
        <v>278</v>
      </c>
      <c r="B90" s="136" t="s">
        <v>61</v>
      </c>
      <c r="C90" s="137" t="s">
        <v>423</v>
      </c>
      <c r="D90" s="133"/>
      <c r="E90" s="132">
        <v>6400000</v>
      </c>
      <c r="F90" s="132">
        <v>12300000</v>
      </c>
    </row>
    <row r="91" spans="1:6" ht="57" customHeight="1">
      <c r="A91" s="133" t="s">
        <v>278</v>
      </c>
      <c r="B91" s="136" t="s">
        <v>229</v>
      </c>
      <c r="C91" s="137" t="s">
        <v>424</v>
      </c>
      <c r="D91" s="133"/>
      <c r="E91" s="132">
        <v>0</v>
      </c>
      <c r="F91" s="132">
        <v>0</v>
      </c>
    </row>
    <row r="92" spans="1:6" ht="39" customHeight="1">
      <c r="A92" s="133" t="s">
        <v>278</v>
      </c>
      <c r="B92" s="136" t="s">
        <v>425</v>
      </c>
      <c r="C92" s="137" t="s">
        <v>426</v>
      </c>
      <c r="D92" s="133"/>
      <c r="E92" s="132">
        <v>12544400</v>
      </c>
      <c r="F92" s="132">
        <v>12754479</v>
      </c>
    </row>
    <row r="93" spans="1:6" ht="39" customHeight="1">
      <c r="A93" s="133" t="s">
        <v>278</v>
      </c>
      <c r="B93" s="136" t="s">
        <v>427</v>
      </c>
      <c r="C93" s="137" t="s">
        <v>428</v>
      </c>
      <c r="D93" s="133"/>
      <c r="E93" s="132">
        <v>25300000</v>
      </c>
      <c r="F93" s="132">
        <v>25300000</v>
      </c>
    </row>
    <row r="94" spans="1:6" ht="39" customHeight="1">
      <c r="A94" s="133" t="s">
        <v>278</v>
      </c>
      <c r="B94" s="136" t="s">
        <v>429</v>
      </c>
      <c r="C94" s="137" t="s">
        <v>430</v>
      </c>
      <c r="D94" s="133"/>
      <c r="E94" s="132">
        <v>11000000</v>
      </c>
      <c r="F94" s="132">
        <v>11000000</v>
      </c>
    </row>
    <row r="95" spans="1:6" ht="57.4" customHeight="1">
      <c r="A95" s="133" t="s">
        <v>278</v>
      </c>
      <c r="B95" s="136" t="s">
        <v>431</v>
      </c>
      <c r="C95" s="137" t="s">
        <v>432</v>
      </c>
      <c r="D95" s="133"/>
      <c r="E95" s="132">
        <v>0</v>
      </c>
      <c r="F95" s="132">
        <v>0</v>
      </c>
    </row>
    <row r="96" spans="1:6" ht="47.65" customHeight="1">
      <c r="A96" s="133" t="s">
        <v>278</v>
      </c>
      <c r="B96" s="136" t="s">
        <v>433</v>
      </c>
      <c r="C96" s="137" t="s">
        <v>434</v>
      </c>
      <c r="D96" s="133"/>
      <c r="E96" s="132">
        <v>0</v>
      </c>
      <c r="F96" s="132">
        <v>0</v>
      </c>
    </row>
    <row r="97" spans="1:6" ht="39" customHeight="1">
      <c r="A97" s="133" t="s">
        <v>114</v>
      </c>
      <c r="B97" s="134" t="s">
        <v>435</v>
      </c>
      <c r="C97" s="135" t="s">
        <v>436</v>
      </c>
      <c r="D97" s="133"/>
      <c r="E97" s="132">
        <v>0</v>
      </c>
      <c r="F97" s="132">
        <v>87250000</v>
      </c>
    </row>
    <row r="98" spans="1:6" ht="39" customHeight="1">
      <c r="A98" s="133" t="s">
        <v>278</v>
      </c>
      <c r="B98" s="136" t="s">
        <v>269</v>
      </c>
      <c r="C98" s="137" t="s">
        <v>437</v>
      </c>
      <c r="D98" s="133"/>
      <c r="E98" s="132">
        <v>0</v>
      </c>
      <c r="F98" s="132">
        <v>87250000</v>
      </c>
    </row>
    <row r="99" spans="1:6" ht="45.4" customHeight="1">
      <c r="A99" s="133" t="s">
        <v>278</v>
      </c>
      <c r="B99" s="136" t="s">
        <v>270</v>
      </c>
      <c r="C99" s="137" t="s">
        <v>438</v>
      </c>
      <c r="D99" s="133"/>
      <c r="E99" s="132">
        <v>0</v>
      </c>
      <c r="F99" s="132">
        <v>0</v>
      </c>
    </row>
    <row r="100" spans="1:6" ht="39" customHeight="1">
      <c r="A100" s="133" t="s">
        <v>278</v>
      </c>
      <c r="B100" s="136" t="s">
        <v>439</v>
      </c>
      <c r="C100" s="137" t="s">
        <v>440</v>
      </c>
      <c r="D100" s="133"/>
      <c r="E100" s="132">
        <v>0</v>
      </c>
      <c r="F100" s="132">
        <v>0</v>
      </c>
    </row>
    <row r="101" spans="1:6" ht="39" customHeight="1">
      <c r="A101" s="133" t="s">
        <v>278</v>
      </c>
      <c r="B101" s="136" t="s">
        <v>441</v>
      </c>
      <c r="C101" s="137" t="s">
        <v>442</v>
      </c>
      <c r="D101" s="133"/>
      <c r="E101" s="132">
        <v>0</v>
      </c>
      <c r="F101" s="132">
        <v>0</v>
      </c>
    </row>
    <row r="102" spans="1:6" ht="39" customHeight="1">
      <c r="A102" s="133" t="s">
        <v>278</v>
      </c>
      <c r="B102" s="136" t="s">
        <v>268</v>
      </c>
      <c r="C102" s="137" t="s">
        <v>443</v>
      </c>
      <c r="D102" s="133"/>
      <c r="E102" s="132">
        <v>0</v>
      </c>
      <c r="F102" s="132">
        <v>0</v>
      </c>
    </row>
    <row r="103" spans="1:6" ht="39" customHeight="1">
      <c r="A103" s="53" t="s">
        <v>278</v>
      </c>
      <c r="B103" s="131" t="s">
        <v>444</v>
      </c>
      <c r="C103" s="47" t="s">
        <v>445</v>
      </c>
      <c r="D103" s="70"/>
      <c r="E103" s="70">
        <v>11253160972</v>
      </c>
      <c r="F103" s="70">
        <v>8396967333</v>
      </c>
    </row>
    <row r="104" spans="1:6" ht="59.65" customHeight="1">
      <c r="A104" s="53" t="s">
        <v>52</v>
      </c>
      <c r="B104" s="131" t="s">
        <v>446</v>
      </c>
      <c r="C104" s="47" t="s">
        <v>447</v>
      </c>
      <c r="D104" s="70"/>
      <c r="E104" s="70">
        <v>391058359904</v>
      </c>
      <c r="F104" s="70">
        <v>452374061555</v>
      </c>
    </row>
    <row r="105" spans="1:6" ht="39" customHeight="1">
      <c r="A105" s="133" t="s">
        <v>272</v>
      </c>
      <c r="B105" s="134" t="s">
        <v>448</v>
      </c>
      <c r="C105" s="135" t="s">
        <v>449</v>
      </c>
      <c r="D105" s="133"/>
      <c r="E105" s="132">
        <v>193884301900</v>
      </c>
      <c r="F105" s="132">
        <v>218921277900</v>
      </c>
    </row>
    <row r="106" spans="1:6" ht="39" customHeight="1">
      <c r="A106" s="133" t="s">
        <v>275</v>
      </c>
      <c r="B106" s="134" t="s">
        <v>450</v>
      </c>
      <c r="C106" s="135" t="s">
        <v>451</v>
      </c>
      <c r="D106" s="133"/>
      <c r="E106" s="132">
        <v>2648219673700</v>
      </c>
      <c r="F106" s="132">
        <v>2645244774600</v>
      </c>
    </row>
    <row r="107" spans="1:6" ht="39" customHeight="1">
      <c r="A107" s="133" t="s">
        <v>286</v>
      </c>
      <c r="B107" s="134" t="s">
        <v>452</v>
      </c>
      <c r="C107" s="135" t="s">
        <v>453</v>
      </c>
      <c r="D107" s="133"/>
      <c r="E107" s="132">
        <v>-2454335371800</v>
      </c>
      <c r="F107" s="132">
        <v>-2426323496700</v>
      </c>
    </row>
    <row r="108" spans="1:6" ht="39" customHeight="1">
      <c r="A108" s="133" t="s">
        <v>289</v>
      </c>
      <c r="B108" s="134" t="s">
        <v>454</v>
      </c>
      <c r="C108" s="135" t="s">
        <v>455</v>
      </c>
      <c r="D108" s="133"/>
      <c r="E108" s="132">
        <v>133704962842</v>
      </c>
      <c r="F108" s="132">
        <v>163796313370</v>
      </c>
    </row>
    <row r="109" spans="1:6" ht="39" customHeight="1">
      <c r="A109" s="133" t="s">
        <v>314</v>
      </c>
      <c r="B109" s="134" t="s">
        <v>456</v>
      </c>
      <c r="C109" s="135" t="s">
        <v>457</v>
      </c>
      <c r="D109" s="133"/>
      <c r="E109" s="132">
        <v>63469095162</v>
      </c>
      <c r="F109" s="132">
        <v>69656470285</v>
      </c>
    </row>
    <row r="110" spans="1:6" ht="39" customHeight="1">
      <c r="A110" s="133" t="s">
        <v>317</v>
      </c>
      <c r="B110" s="134" t="s">
        <v>458</v>
      </c>
      <c r="C110" s="135" t="s">
        <v>459</v>
      </c>
      <c r="D110" s="133"/>
      <c r="E110" s="132">
        <v>69656470285</v>
      </c>
      <c r="F110" s="132">
        <v>31277786136</v>
      </c>
    </row>
    <row r="111" spans="1:6" ht="39" customHeight="1">
      <c r="A111" s="133" t="s">
        <v>322</v>
      </c>
      <c r="B111" s="134" t="s">
        <v>460</v>
      </c>
      <c r="C111" s="135" t="s">
        <v>461</v>
      </c>
      <c r="D111" s="133"/>
      <c r="E111" s="132">
        <v>-6187375123</v>
      </c>
      <c r="F111" s="132">
        <v>38378684149</v>
      </c>
    </row>
    <row r="112" spans="1:6" ht="47.65" customHeight="1">
      <c r="A112" s="53" t="s">
        <v>53</v>
      </c>
      <c r="B112" s="131" t="s">
        <v>462</v>
      </c>
      <c r="C112" s="47" t="s">
        <v>463</v>
      </c>
      <c r="D112" s="70"/>
      <c r="E112" s="143">
        <v>20169.669999999998</v>
      </c>
      <c r="F112" s="143">
        <v>20663.77</v>
      </c>
    </row>
    <row r="113" spans="1:7" ht="45.4" customHeight="1">
      <c r="A113" s="53" t="s">
        <v>54</v>
      </c>
      <c r="B113" s="131" t="s">
        <v>464</v>
      </c>
      <c r="C113" s="47" t="s">
        <v>465</v>
      </c>
      <c r="D113" s="70"/>
      <c r="E113" s="70">
        <v>0</v>
      </c>
      <c r="F113" s="70">
        <v>0</v>
      </c>
    </row>
    <row r="114" spans="1:7" ht="54" customHeight="1">
      <c r="A114" s="133" t="s">
        <v>272</v>
      </c>
      <c r="B114" s="134" t="s">
        <v>466</v>
      </c>
      <c r="C114" s="135" t="s">
        <v>467</v>
      </c>
      <c r="D114" s="133"/>
      <c r="E114" s="132">
        <v>0</v>
      </c>
      <c r="F114" s="132">
        <v>0</v>
      </c>
    </row>
    <row r="115" spans="1:7" ht="51.65" customHeight="1">
      <c r="A115" s="133" t="s">
        <v>289</v>
      </c>
      <c r="B115" s="134" t="s">
        <v>468</v>
      </c>
      <c r="C115" s="135" t="s">
        <v>469</v>
      </c>
      <c r="D115" s="133"/>
      <c r="E115" s="132">
        <v>0</v>
      </c>
      <c r="F115" s="132">
        <v>0</v>
      </c>
    </row>
    <row r="116" spans="1:7" ht="46.5" customHeight="1">
      <c r="A116" s="53" t="s">
        <v>55</v>
      </c>
      <c r="B116" s="131" t="s">
        <v>470</v>
      </c>
      <c r="C116" s="47" t="s">
        <v>55</v>
      </c>
      <c r="D116" s="70"/>
      <c r="E116" s="70"/>
      <c r="F116" s="70"/>
    </row>
    <row r="117" spans="1:7" ht="39" customHeight="1">
      <c r="A117" s="133" t="s">
        <v>272</v>
      </c>
      <c r="B117" s="134" t="s">
        <v>471</v>
      </c>
      <c r="C117" s="135" t="s">
        <v>472</v>
      </c>
      <c r="D117" s="133"/>
      <c r="E117" s="132">
        <v>0</v>
      </c>
      <c r="F117" s="132">
        <v>0</v>
      </c>
    </row>
    <row r="118" spans="1:7" ht="39" customHeight="1">
      <c r="A118" s="133" t="s">
        <v>289</v>
      </c>
      <c r="B118" s="134" t="s">
        <v>473</v>
      </c>
      <c r="C118" s="135" t="s">
        <v>474</v>
      </c>
      <c r="D118" s="133"/>
      <c r="E118" s="132">
        <v>0</v>
      </c>
      <c r="F118" s="132">
        <v>0</v>
      </c>
    </row>
    <row r="119" spans="1:7" ht="39" customHeight="1">
      <c r="A119" s="133" t="s">
        <v>314</v>
      </c>
      <c r="B119" s="134" t="s">
        <v>475</v>
      </c>
      <c r="C119" s="135" t="s">
        <v>476</v>
      </c>
      <c r="D119" s="133"/>
      <c r="E119" s="132">
        <v>0</v>
      </c>
      <c r="F119" s="132">
        <v>0</v>
      </c>
    </row>
    <row r="120" spans="1:7" ht="39" customHeight="1">
      <c r="A120" s="140" t="s">
        <v>381</v>
      </c>
      <c r="B120" s="141" t="s">
        <v>477</v>
      </c>
      <c r="C120" s="135" t="s">
        <v>478</v>
      </c>
      <c r="D120" s="140"/>
      <c r="E120" s="142">
        <v>19388430.190000001</v>
      </c>
      <c r="F120" s="142">
        <v>21892127.789999999</v>
      </c>
    </row>
    <row r="121" spans="1:7" s="107" customFormat="1" ht="13">
      <c r="A121" s="51"/>
      <c r="B121" s="51"/>
      <c r="C121" s="51"/>
      <c r="D121" s="51"/>
      <c r="E121" s="51"/>
      <c r="F121" s="51"/>
      <c r="G121" s="38"/>
    </row>
    <row r="123" spans="1:7" ht="16.899999999999999" customHeight="1">
      <c r="A123" s="88" t="s">
        <v>854</v>
      </c>
      <c r="B123" s="88"/>
      <c r="C123" s="262" t="s">
        <v>855</v>
      </c>
      <c r="D123" s="262"/>
      <c r="E123" s="262"/>
      <c r="F123" s="262"/>
    </row>
    <row r="136" spans="1:6">
      <c r="A136" s="51" t="s">
        <v>493</v>
      </c>
      <c r="C136" s="201" t="s">
        <v>856</v>
      </c>
      <c r="E136" s="247" t="s">
        <v>856</v>
      </c>
      <c r="F136" s="247"/>
    </row>
    <row r="137" spans="1:6" ht="16.899999999999999" customHeight="1">
      <c r="A137" s="88" t="s">
        <v>857</v>
      </c>
      <c r="B137" s="88"/>
      <c r="C137" s="200" t="s">
        <v>858</v>
      </c>
      <c r="D137" s="88"/>
      <c r="E137" s="248" t="s">
        <v>770</v>
      </c>
      <c r="F137" s="248" t="s">
        <v>770</v>
      </c>
    </row>
    <row r="138" spans="1:6" ht="16.899999999999999" customHeight="1">
      <c r="A138" s="51" t="s">
        <v>859</v>
      </c>
      <c r="C138" s="201" t="s">
        <v>860</v>
      </c>
      <c r="E138" s="247" t="s">
        <v>861</v>
      </c>
      <c r="F138" s="247" t="s">
        <v>861</v>
      </c>
    </row>
  </sheetData>
  <mergeCells count="16">
    <mergeCell ref="C123:F123"/>
    <mergeCell ref="E136:F136"/>
    <mergeCell ref="E137:F137"/>
    <mergeCell ref="E138:F138"/>
    <mergeCell ref="C14:F14"/>
    <mergeCell ref="A1:F1"/>
    <mergeCell ref="A2:F2"/>
    <mergeCell ref="A3:F3"/>
    <mergeCell ref="A5:F5"/>
    <mergeCell ref="C7:F7"/>
    <mergeCell ref="C13:F13"/>
    <mergeCell ref="C8:F8"/>
    <mergeCell ref="C9:F9"/>
    <mergeCell ref="C10:F10"/>
    <mergeCell ref="C11:F11"/>
    <mergeCell ref="C12:F12"/>
  </mergeCells>
  <printOptions horizontalCentered="1"/>
  <pageMargins left="0.3" right="0.3" top="0.75" bottom="0.5" header="0.3" footer="0.3"/>
  <pageSetup paperSize="9" scale="83" fitToHeight="6"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O108"/>
  <sheetViews>
    <sheetView view="pageBreakPreview" zoomScale="98" zoomScaleNormal="100" zoomScaleSheetLayoutView="98" workbookViewId="0">
      <selection activeCell="A3" sqref="A3:F4"/>
    </sheetView>
  </sheetViews>
  <sheetFormatPr defaultColWidth="8.7265625" defaultRowHeight="12.5"/>
  <cols>
    <col min="1" max="1" width="8.7265625" style="40"/>
    <col min="2" max="2" width="44.26953125" style="40" customWidth="1"/>
    <col min="3" max="3" width="10.26953125" style="40" customWidth="1"/>
    <col min="4" max="4" width="32.1796875" style="40" customWidth="1"/>
    <col min="5" max="5" width="30.90625" style="40" customWidth="1"/>
    <col min="6" max="6" width="27.36328125" style="40" customWidth="1"/>
    <col min="7" max="13" width="8.7265625" style="40" hidden="1" customWidth="1"/>
    <col min="14" max="14" width="1.453125" style="40" customWidth="1"/>
    <col min="15" max="15" width="16.36328125" style="40" bestFit="1" customWidth="1"/>
    <col min="16" max="16384" width="8.7265625" style="40"/>
  </cols>
  <sheetData>
    <row r="1" spans="1:6" s="41" customFormat="1" ht="22.9" customHeight="1">
      <c r="A1" s="263" t="s">
        <v>815</v>
      </c>
      <c r="B1" s="263"/>
      <c r="C1" s="263"/>
      <c r="D1" s="263"/>
      <c r="E1" s="263"/>
      <c r="F1" s="263"/>
    </row>
    <row r="2" spans="1:6" s="41" customFormat="1" ht="44" customHeight="1">
      <c r="A2" s="264" t="s">
        <v>865</v>
      </c>
      <c r="B2" s="264"/>
      <c r="C2" s="264"/>
      <c r="D2" s="264"/>
      <c r="E2" s="264"/>
      <c r="F2" s="264"/>
    </row>
    <row r="3" spans="1:6" s="41" customFormat="1">
      <c r="A3" s="265" t="s">
        <v>832</v>
      </c>
      <c r="B3" s="265"/>
      <c r="C3" s="265"/>
      <c r="D3" s="265"/>
      <c r="E3" s="265"/>
      <c r="F3" s="265"/>
    </row>
    <row r="4" spans="1:6" s="41" customFormat="1" ht="32.65" customHeight="1">
      <c r="A4" s="265"/>
      <c r="B4" s="265"/>
      <c r="C4" s="265"/>
      <c r="D4" s="265"/>
      <c r="E4" s="265"/>
      <c r="F4" s="265"/>
    </row>
    <row r="5" spans="1:6" s="41" customFormat="1" ht="16.899999999999999" customHeight="1">
      <c r="A5" s="266" t="s">
        <v>760</v>
      </c>
      <c r="B5" s="266"/>
      <c r="C5" s="266"/>
      <c r="D5" s="266"/>
      <c r="E5" s="266"/>
      <c r="F5" s="266"/>
    </row>
    <row r="6" spans="1:6">
      <c r="A6" s="51"/>
      <c r="B6" s="51"/>
      <c r="C6" s="51"/>
      <c r="D6" s="51"/>
      <c r="E6" s="51"/>
      <c r="F6" s="51"/>
    </row>
    <row r="7" spans="1:6" ht="16.899999999999999" customHeight="1">
      <c r="A7" s="261" t="s">
        <v>2</v>
      </c>
      <c r="B7" s="261"/>
      <c r="C7" s="261" t="s">
        <v>762</v>
      </c>
      <c r="D7" s="261"/>
      <c r="E7" s="261"/>
      <c r="F7" s="261"/>
    </row>
    <row r="8" spans="1:6" s="41" customFormat="1" ht="16.899999999999999" customHeight="1">
      <c r="A8" s="267" t="s">
        <v>40</v>
      </c>
      <c r="B8" s="267"/>
      <c r="C8" s="267" t="s">
        <v>763</v>
      </c>
      <c r="D8" s="267"/>
      <c r="E8" s="267"/>
      <c r="F8" s="267"/>
    </row>
    <row r="9" spans="1:6" ht="16.899999999999999" customHeight="1">
      <c r="A9" s="261" t="s">
        <v>3</v>
      </c>
      <c r="B9" s="261"/>
      <c r="C9" s="261" t="s">
        <v>764</v>
      </c>
      <c r="D9" s="261"/>
      <c r="E9" s="261"/>
      <c r="F9" s="261"/>
    </row>
    <row r="10" spans="1:6" s="41" customFormat="1" ht="16.899999999999999" customHeight="1">
      <c r="A10" s="267" t="s">
        <v>4</v>
      </c>
      <c r="B10" s="267"/>
      <c r="C10" s="267" t="s">
        <v>765</v>
      </c>
      <c r="D10" s="267"/>
      <c r="E10" s="267"/>
      <c r="F10" s="267"/>
    </row>
    <row r="11" spans="1:6" ht="16.899999999999999" customHeight="1">
      <c r="A11" s="261" t="s">
        <v>5</v>
      </c>
      <c r="B11" s="261"/>
      <c r="C11" s="261" t="s">
        <v>190</v>
      </c>
      <c r="D11" s="261"/>
      <c r="E11" s="261"/>
      <c r="F11" s="261"/>
    </row>
    <row r="12" spans="1:6" s="41" customFormat="1" ht="16.899999999999999" customHeight="1">
      <c r="A12" s="267" t="s">
        <v>6</v>
      </c>
      <c r="B12" s="267"/>
      <c r="C12" s="267" t="s">
        <v>766</v>
      </c>
      <c r="D12" s="267"/>
      <c r="E12" s="267"/>
      <c r="F12" s="267"/>
    </row>
    <row r="13" spans="1:6" ht="16.899999999999999" customHeight="1">
      <c r="A13" s="261" t="s">
        <v>7</v>
      </c>
      <c r="B13" s="261"/>
      <c r="C13" s="261" t="s">
        <v>767</v>
      </c>
      <c r="D13" s="261"/>
      <c r="E13" s="261"/>
      <c r="F13" s="261"/>
    </row>
    <row r="14" spans="1:6" s="41" customFormat="1" ht="16.899999999999999" customHeight="1">
      <c r="A14" s="267" t="s">
        <v>8</v>
      </c>
      <c r="B14" s="267"/>
      <c r="C14" s="267" t="s">
        <v>768</v>
      </c>
      <c r="D14" s="267"/>
      <c r="E14" s="267"/>
      <c r="F14" s="267"/>
    </row>
    <row r="15" spans="1:6" s="41" customFormat="1" ht="7.5" customHeight="1">
      <c r="A15" s="50"/>
      <c r="B15" s="50"/>
      <c r="C15" s="50"/>
      <c r="D15" s="50"/>
      <c r="E15" s="50"/>
      <c r="F15" s="50"/>
    </row>
    <row r="16" spans="1:6" s="41" customFormat="1" ht="16.899999999999999" customHeight="1">
      <c r="A16" s="211" t="s">
        <v>801</v>
      </c>
      <c r="B16" s="212" t="s">
        <v>802</v>
      </c>
      <c r="C16" s="50"/>
      <c r="D16" s="50"/>
      <c r="E16" s="50"/>
      <c r="F16" s="50"/>
    </row>
    <row r="17" spans="1:6" s="41" customFormat="1" ht="16.899999999999999" customHeight="1">
      <c r="A17" s="213" t="s">
        <v>41</v>
      </c>
      <c r="B17" s="214" t="s">
        <v>494</v>
      </c>
      <c r="C17" s="50"/>
      <c r="D17" s="50"/>
      <c r="E17" s="50"/>
      <c r="F17" s="50"/>
    </row>
    <row r="18" spans="1:6" s="41" customFormat="1" ht="50.65" customHeight="1">
      <c r="A18" s="49" t="s">
        <v>42</v>
      </c>
      <c r="B18" s="47" t="s">
        <v>43</v>
      </c>
      <c r="C18" s="240" t="s">
        <v>866</v>
      </c>
      <c r="D18" s="48" t="s">
        <v>773</v>
      </c>
      <c r="E18" s="48" t="s">
        <v>774</v>
      </c>
      <c r="F18" s="145" t="s">
        <v>44</v>
      </c>
    </row>
    <row r="19" spans="1:6" ht="39" customHeight="1">
      <c r="A19" s="195" t="s">
        <v>506</v>
      </c>
      <c r="B19" s="194" t="s">
        <v>507</v>
      </c>
      <c r="C19" s="195"/>
      <c r="D19" s="197"/>
      <c r="E19" s="197"/>
      <c r="F19" s="196"/>
    </row>
    <row r="20" spans="1:6" ht="39" customHeight="1">
      <c r="A20" s="190" t="s">
        <v>508</v>
      </c>
      <c r="B20" s="189" t="s">
        <v>509</v>
      </c>
      <c r="C20" s="190"/>
      <c r="D20" s="193">
        <v>8010221487</v>
      </c>
      <c r="E20" s="193">
        <v>15350511753</v>
      </c>
      <c r="F20" s="192">
        <v>0.165371563722823</v>
      </c>
    </row>
    <row r="21" spans="1:6" ht="39" customHeight="1">
      <c r="A21" s="190" t="s">
        <v>510</v>
      </c>
      <c r="B21" s="189" t="s">
        <v>511</v>
      </c>
      <c r="C21" s="190"/>
      <c r="D21" s="193">
        <v>8010221487</v>
      </c>
      <c r="E21" s="193">
        <v>15350511753</v>
      </c>
      <c r="F21" s="192">
        <v>0.43444750869511001</v>
      </c>
    </row>
    <row r="22" spans="1:6" ht="48" customHeight="1">
      <c r="A22" s="190" t="s">
        <v>512</v>
      </c>
      <c r="B22" s="189" t="s">
        <v>513</v>
      </c>
      <c r="C22" s="190"/>
      <c r="D22" s="193">
        <v>0</v>
      </c>
      <c r="E22" s="193">
        <v>0</v>
      </c>
      <c r="F22" s="192">
        <v>0</v>
      </c>
    </row>
    <row r="23" spans="1:6" ht="45" customHeight="1">
      <c r="A23" s="190" t="s">
        <v>514</v>
      </c>
      <c r="B23" s="189" t="s">
        <v>515</v>
      </c>
      <c r="C23" s="190"/>
      <c r="D23" s="193">
        <v>14831598</v>
      </c>
      <c r="E23" s="193">
        <v>14779048</v>
      </c>
      <c r="F23" s="192">
        <v>1.00284661453688</v>
      </c>
    </row>
    <row r="24" spans="1:6" ht="42" customHeight="1">
      <c r="A24" s="190" t="s">
        <v>516</v>
      </c>
      <c r="B24" s="189" t="s">
        <v>517</v>
      </c>
      <c r="C24" s="190"/>
      <c r="D24" s="193">
        <v>7995389889</v>
      </c>
      <c r="E24" s="193">
        <v>15335732705</v>
      </c>
      <c r="F24" s="192">
        <v>0.43454551058829599</v>
      </c>
    </row>
    <row r="25" spans="1:6" ht="48" customHeight="1">
      <c r="A25" s="190" t="s">
        <v>518</v>
      </c>
      <c r="B25" s="189" t="s">
        <v>519</v>
      </c>
      <c r="C25" s="190"/>
      <c r="D25" s="193">
        <v>0</v>
      </c>
      <c r="E25" s="193">
        <v>0</v>
      </c>
      <c r="F25" s="192"/>
    </row>
    <row r="26" spans="1:6" ht="39" customHeight="1">
      <c r="A26" s="190" t="s">
        <v>520</v>
      </c>
      <c r="B26" s="189" t="s">
        <v>803</v>
      </c>
      <c r="C26" s="190"/>
      <c r="D26" s="193">
        <v>0</v>
      </c>
      <c r="E26" s="193">
        <v>0</v>
      </c>
      <c r="F26" s="192">
        <v>0</v>
      </c>
    </row>
    <row r="27" spans="1:6" ht="39" customHeight="1">
      <c r="A27" s="190" t="s">
        <v>521</v>
      </c>
      <c r="B27" s="189" t="s">
        <v>522</v>
      </c>
      <c r="C27" s="190"/>
      <c r="D27" s="193">
        <v>389349918939</v>
      </c>
      <c r="E27" s="193">
        <v>441310500000</v>
      </c>
      <c r="F27" s="192">
        <v>0.70472263622430797</v>
      </c>
    </row>
    <row r="28" spans="1:6" ht="39" customHeight="1">
      <c r="A28" s="190" t="s">
        <v>523</v>
      </c>
      <c r="B28" s="189" t="s">
        <v>524</v>
      </c>
      <c r="C28" s="190"/>
      <c r="D28" s="193">
        <v>389184750400</v>
      </c>
      <c r="E28" s="193">
        <v>441310500000</v>
      </c>
      <c r="F28" s="192">
        <v>0.70442368147290402</v>
      </c>
    </row>
    <row r="29" spans="1:6" ht="39" customHeight="1">
      <c r="A29" s="190" t="s">
        <v>525</v>
      </c>
      <c r="B29" s="189" t="s">
        <v>526</v>
      </c>
      <c r="C29" s="190"/>
      <c r="D29" s="193">
        <v>0</v>
      </c>
      <c r="E29" s="193">
        <v>0</v>
      </c>
      <c r="F29" s="192"/>
    </row>
    <row r="30" spans="1:6" ht="39" customHeight="1">
      <c r="A30" s="190" t="s">
        <v>527</v>
      </c>
      <c r="B30" s="189" t="s">
        <v>528</v>
      </c>
      <c r="C30" s="190"/>
      <c r="D30" s="193">
        <v>0</v>
      </c>
      <c r="E30" s="193">
        <v>0</v>
      </c>
      <c r="F30" s="192"/>
    </row>
    <row r="31" spans="1:6" ht="39" customHeight="1">
      <c r="A31" s="190" t="s">
        <v>529</v>
      </c>
      <c r="B31" s="189" t="s">
        <v>530</v>
      </c>
      <c r="C31" s="190"/>
      <c r="D31" s="193">
        <v>0</v>
      </c>
      <c r="E31" s="193">
        <v>0</v>
      </c>
      <c r="F31" s="192"/>
    </row>
    <row r="32" spans="1:6" ht="39" customHeight="1">
      <c r="A32" s="190" t="s">
        <v>531</v>
      </c>
      <c r="B32" s="189" t="s">
        <v>532</v>
      </c>
      <c r="C32" s="190"/>
      <c r="D32" s="193">
        <v>0</v>
      </c>
      <c r="E32" s="193">
        <v>0</v>
      </c>
      <c r="F32" s="192"/>
    </row>
    <row r="33" spans="1:6" ht="39" customHeight="1">
      <c r="A33" s="190" t="s">
        <v>533</v>
      </c>
      <c r="B33" s="189" t="s">
        <v>534</v>
      </c>
      <c r="C33" s="190"/>
      <c r="D33" s="193">
        <v>165168539</v>
      </c>
      <c r="E33" s="193">
        <v>0</v>
      </c>
      <c r="F33" s="192"/>
    </row>
    <row r="34" spans="1:6" ht="39" customHeight="1">
      <c r="A34" s="190" t="s">
        <v>535</v>
      </c>
      <c r="B34" s="189" t="s">
        <v>536</v>
      </c>
      <c r="C34" s="190"/>
      <c r="D34" s="193">
        <v>0</v>
      </c>
      <c r="E34" s="193">
        <v>0</v>
      </c>
      <c r="F34" s="192"/>
    </row>
    <row r="35" spans="1:6" ht="39" customHeight="1">
      <c r="A35" s="190" t="s">
        <v>537</v>
      </c>
      <c r="B35" s="189" t="s">
        <v>538</v>
      </c>
      <c r="C35" s="190"/>
      <c r="D35" s="193">
        <v>0</v>
      </c>
      <c r="E35" s="193">
        <v>0</v>
      </c>
      <c r="F35" s="192"/>
    </row>
    <row r="36" spans="1:6" ht="39" customHeight="1">
      <c r="A36" s="190" t="s">
        <v>539</v>
      </c>
      <c r="B36" s="189" t="s">
        <v>540</v>
      </c>
      <c r="C36" s="190"/>
      <c r="D36" s="193">
        <v>0</v>
      </c>
      <c r="E36" s="193">
        <v>0</v>
      </c>
      <c r="F36" s="192"/>
    </row>
    <row r="37" spans="1:6" ht="56" customHeight="1">
      <c r="A37" s="215" t="s">
        <v>541</v>
      </c>
      <c r="B37" s="216" t="s">
        <v>804</v>
      </c>
      <c r="C37" s="215"/>
      <c r="D37" s="217"/>
      <c r="E37" s="217"/>
      <c r="F37" s="218"/>
    </row>
    <row r="38" spans="1:6" ht="39" customHeight="1">
      <c r="A38" s="190" t="s">
        <v>546</v>
      </c>
      <c r="B38" s="189" t="s">
        <v>805</v>
      </c>
      <c r="C38" s="190"/>
      <c r="D38" s="193">
        <v>1135000000</v>
      </c>
      <c r="E38" s="193">
        <v>1487005000</v>
      </c>
      <c r="F38" s="192">
        <v>1.6099290780141799</v>
      </c>
    </row>
    <row r="39" spans="1:6" ht="39" customHeight="1">
      <c r="A39" s="190" t="s">
        <v>542</v>
      </c>
      <c r="B39" s="189" t="s">
        <v>543</v>
      </c>
      <c r="C39" s="190"/>
      <c r="D39" s="193">
        <v>1135000000</v>
      </c>
      <c r="E39" s="193">
        <v>1487005000</v>
      </c>
      <c r="F39" s="192">
        <v>1.6099290780141799</v>
      </c>
    </row>
    <row r="40" spans="1:6" ht="39" customHeight="1">
      <c r="A40" s="190" t="s">
        <v>544</v>
      </c>
      <c r="B40" s="189" t="s">
        <v>545</v>
      </c>
      <c r="C40" s="190"/>
      <c r="D40" s="193">
        <v>0</v>
      </c>
      <c r="E40" s="193">
        <v>0</v>
      </c>
      <c r="F40" s="192"/>
    </row>
    <row r="41" spans="1:6" ht="39" customHeight="1">
      <c r="A41" s="190" t="s">
        <v>554</v>
      </c>
      <c r="B41" s="189" t="s">
        <v>547</v>
      </c>
      <c r="C41" s="190"/>
      <c r="D41" s="193">
        <v>0</v>
      </c>
      <c r="E41" s="193">
        <v>0</v>
      </c>
      <c r="F41" s="192">
        <v>0</v>
      </c>
    </row>
    <row r="42" spans="1:6" ht="39" customHeight="1">
      <c r="A42" s="190" t="s">
        <v>548</v>
      </c>
      <c r="B42" s="189" t="s">
        <v>549</v>
      </c>
      <c r="C42" s="190"/>
      <c r="D42" s="193">
        <v>0</v>
      </c>
      <c r="E42" s="193">
        <v>0</v>
      </c>
      <c r="F42" s="192">
        <v>0</v>
      </c>
    </row>
    <row r="43" spans="1:6" ht="39" customHeight="1">
      <c r="A43" s="190" t="s">
        <v>550</v>
      </c>
      <c r="B43" s="189" t="s">
        <v>551</v>
      </c>
      <c r="C43" s="190"/>
      <c r="D43" s="193">
        <v>0</v>
      </c>
      <c r="E43" s="193">
        <v>0</v>
      </c>
      <c r="F43" s="192"/>
    </row>
    <row r="44" spans="1:6" ht="39" customHeight="1">
      <c r="A44" s="190" t="s">
        <v>552</v>
      </c>
      <c r="B44" s="189" t="s">
        <v>553</v>
      </c>
      <c r="C44" s="190"/>
      <c r="D44" s="193">
        <v>0</v>
      </c>
      <c r="E44" s="193">
        <v>0</v>
      </c>
      <c r="F44" s="192"/>
    </row>
    <row r="45" spans="1:6" ht="39" customHeight="1">
      <c r="A45" s="215" t="s">
        <v>555</v>
      </c>
      <c r="B45" s="216" t="s">
        <v>806</v>
      </c>
      <c r="C45" s="215"/>
      <c r="D45" s="217"/>
      <c r="E45" s="217"/>
      <c r="F45" s="218"/>
    </row>
    <row r="46" spans="1:6" ht="39" customHeight="1">
      <c r="A46" s="190" t="s">
        <v>563</v>
      </c>
      <c r="B46" s="189" t="s">
        <v>807</v>
      </c>
      <c r="C46" s="190"/>
      <c r="D46" s="193">
        <v>3816370000</v>
      </c>
      <c r="E46" s="193">
        <v>2623012135</v>
      </c>
      <c r="F46" s="192">
        <v>0.41006980503694401</v>
      </c>
    </row>
    <row r="47" spans="1:6" ht="39" customHeight="1">
      <c r="A47" s="190" t="s">
        <v>565</v>
      </c>
      <c r="B47" s="189" t="s">
        <v>556</v>
      </c>
      <c r="C47" s="190"/>
      <c r="D47" s="193">
        <v>10450</v>
      </c>
      <c r="E47" s="193">
        <v>0</v>
      </c>
      <c r="F47" s="192"/>
    </row>
    <row r="48" spans="1:6" ht="39" customHeight="1">
      <c r="A48" s="190" t="s">
        <v>557</v>
      </c>
      <c r="B48" s="189" t="s">
        <v>558</v>
      </c>
      <c r="C48" s="190"/>
      <c r="D48" s="193">
        <v>0</v>
      </c>
      <c r="E48" s="193">
        <v>0</v>
      </c>
      <c r="F48" s="192"/>
    </row>
    <row r="49" spans="1:6" ht="39" customHeight="1">
      <c r="A49" s="190" t="s">
        <v>559</v>
      </c>
      <c r="B49" s="189" t="s">
        <v>560</v>
      </c>
      <c r="C49" s="190"/>
      <c r="D49" s="193">
        <v>0</v>
      </c>
      <c r="E49" s="193">
        <v>0</v>
      </c>
      <c r="F49" s="192"/>
    </row>
    <row r="50" spans="1:6" ht="39" customHeight="1">
      <c r="A50" s="190" t="s">
        <v>561</v>
      </c>
      <c r="B50" s="189" t="s">
        <v>562</v>
      </c>
      <c r="C50" s="190"/>
      <c r="D50" s="193">
        <v>10450</v>
      </c>
      <c r="E50" s="193">
        <v>0</v>
      </c>
      <c r="F50" s="192"/>
    </row>
    <row r="51" spans="1:6" ht="39" customHeight="1">
      <c r="A51" s="190" t="s">
        <v>808</v>
      </c>
      <c r="B51" s="189" t="s">
        <v>564</v>
      </c>
      <c r="C51" s="190"/>
      <c r="D51" s="193">
        <v>0</v>
      </c>
      <c r="E51" s="193">
        <v>0</v>
      </c>
      <c r="F51" s="192"/>
    </row>
    <row r="52" spans="1:6" ht="39" customHeight="1">
      <c r="A52" s="195" t="s">
        <v>809</v>
      </c>
      <c r="B52" s="194" t="s">
        <v>566</v>
      </c>
      <c r="C52" s="195"/>
      <c r="D52" s="197">
        <v>402311520876</v>
      </c>
      <c r="E52" s="197">
        <v>460771028888</v>
      </c>
      <c r="F52" s="196">
        <v>0.65848404261796101</v>
      </c>
    </row>
    <row r="53" spans="1:6" ht="39" customHeight="1">
      <c r="A53" s="195" t="s">
        <v>567</v>
      </c>
      <c r="B53" s="194" t="s">
        <v>568</v>
      </c>
      <c r="C53" s="195"/>
      <c r="D53" s="197"/>
      <c r="E53" s="197"/>
      <c r="F53" s="196"/>
    </row>
    <row r="54" spans="1:6" ht="39" customHeight="1">
      <c r="A54" s="222" t="s">
        <v>47</v>
      </c>
      <c r="B54" s="223" t="s">
        <v>810</v>
      </c>
      <c r="C54" s="219"/>
      <c r="D54" s="220"/>
      <c r="E54" s="220"/>
      <c r="F54" s="221"/>
    </row>
    <row r="55" spans="1:6" ht="39" customHeight="1">
      <c r="A55" s="190" t="s">
        <v>48</v>
      </c>
      <c r="B55" s="189" t="s">
        <v>569</v>
      </c>
      <c r="C55" s="190"/>
      <c r="D55" s="193">
        <v>0</v>
      </c>
      <c r="E55" s="193">
        <v>2981700000</v>
      </c>
      <c r="F55" s="192">
        <v>0</v>
      </c>
    </row>
    <row r="56" spans="1:6" ht="39" customHeight="1">
      <c r="A56" s="190" t="s">
        <v>639</v>
      </c>
      <c r="B56" s="189" t="s">
        <v>570</v>
      </c>
      <c r="C56" s="190"/>
      <c r="D56" s="193">
        <v>11253160972</v>
      </c>
      <c r="E56" s="193">
        <v>5415267333</v>
      </c>
      <c r="F56" s="192">
        <v>3.4313011095002102</v>
      </c>
    </row>
    <row r="57" spans="1:6" ht="39" customHeight="1">
      <c r="A57" s="190" t="s">
        <v>571</v>
      </c>
      <c r="B57" s="189" t="s">
        <v>572</v>
      </c>
      <c r="C57" s="190"/>
      <c r="D57" s="193">
        <v>9813435457</v>
      </c>
      <c r="E57" s="193">
        <v>4010341799</v>
      </c>
      <c r="F57" s="192">
        <v>5.8383081960916696</v>
      </c>
    </row>
    <row r="58" spans="1:6" ht="39" customHeight="1">
      <c r="A58" s="190" t="s">
        <v>573</v>
      </c>
      <c r="B58" s="189" t="s">
        <v>574</v>
      </c>
      <c r="C58" s="190"/>
      <c r="D58" s="193">
        <v>167095900</v>
      </c>
      <c r="E58" s="193">
        <v>349698400</v>
      </c>
      <c r="F58" s="192">
        <v>2.0733400173201999</v>
      </c>
    </row>
    <row r="59" spans="1:6" ht="48" customHeight="1">
      <c r="A59" s="190" t="s">
        <v>575</v>
      </c>
      <c r="B59" s="189" t="s">
        <v>576</v>
      </c>
      <c r="C59" s="190"/>
      <c r="D59" s="193">
        <v>0</v>
      </c>
      <c r="E59" s="193">
        <v>0</v>
      </c>
      <c r="F59" s="192"/>
    </row>
    <row r="60" spans="1:6" ht="39" customHeight="1">
      <c r="A60" s="190" t="s">
        <v>577</v>
      </c>
      <c r="B60" s="189" t="s">
        <v>578</v>
      </c>
      <c r="C60" s="190"/>
      <c r="D60" s="193">
        <v>0</v>
      </c>
      <c r="E60" s="193">
        <v>0</v>
      </c>
      <c r="F60" s="192"/>
    </row>
    <row r="61" spans="1:6" ht="39" customHeight="1">
      <c r="A61" s="190" t="s">
        <v>579</v>
      </c>
      <c r="B61" s="189" t="s">
        <v>580</v>
      </c>
      <c r="C61" s="190"/>
      <c r="D61" s="193">
        <v>9646339557</v>
      </c>
      <c r="E61" s="193">
        <v>3660643399</v>
      </c>
      <c r="F61" s="192">
        <v>6.0279182592640197</v>
      </c>
    </row>
    <row r="62" spans="1:6" ht="39" customHeight="1">
      <c r="A62" s="190" t="s">
        <v>581</v>
      </c>
      <c r="B62" s="189" t="s">
        <v>582</v>
      </c>
      <c r="C62" s="190"/>
      <c r="D62" s="193">
        <v>61537952</v>
      </c>
      <c r="E62" s="193">
        <v>49453002</v>
      </c>
      <c r="F62" s="192">
        <v>4.6255288078411398</v>
      </c>
    </row>
    <row r="63" spans="1:6" ht="61" customHeight="1">
      <c r="A63" s="190" t="s">
        <v>583</v>
      </c>
      <c r="B63" s="189" t="s">
        <v>584</v>
      </c>
      <c r="C63" s="190"/>
      <c r="D63" s="193">
        <v>368561261</v>
      </c>
      <c r="E63" s="193">
        <v>245501180</v>
      </c>
      <c r="F63" s="192">
        <v>4.5186200875882996</v>
      </c>
    </row>
    <row r="64" spans="1:6" ht="39" customHeight="1">
      <c r="A64" s="190" t="s">
        <v>585</v>
      </c>
      <c r="B64" s="189" t="s">
        <v>586</v>
      </c>
      <c r="C64" s="190"/>
      <c r="D64" s="193">
        <v>83000000</v>
      </c>
      <c r="E64" s="193">
        <v>83000000</v>
      </c>
      <c r="F64" s="192">
        <v>1</v>
      </c>
    </row>
    <row r="65" spans="1:6" ht="39" customHeight="1">
      <c r="A65" s="190" t="s">
        <v>587</v>
      </c>
      <c r="B65" s="189" t="s">
        <v>588</v>
      </c>
      <c r="C65" s="190"/>
      <c r="D65" s="193">
        <v>13019178</v>
      </c>
      <c r="E65" s="193">
        <v>24000000</v>
      </c>
      <c r="F65" s="192">
        <v>1.0002137304365999</v>
      </c>
    </row>
    <row r="66" spans="1:6" ht="39" customHeight="1">
      <c r="A66" s="190" t="s">
        <v>589</v>
      </c>
      <c r="B66" s="189" t="s">
        <v>590</v>
      </c>
      <c r="C66" s="190"/>
      <c r="D66" s="193">
        <v>733657347</v>
      </c>
      <c r="E66" s="193">
        <v>745943764</v>
      </c>
      <c r="F66" s="192">
        <v>0.71571855914073301</v>
      </c>
    </row>
    <row r="67" spans="1:6" ht="39" customHeight="1">
      <c r="A67" s="190" t="s">
        <v>591</v>
      </c>
      <c r="B67" s="189" t="s">
        <v>592</v>
      </c>
      <c r="C67" s="190"/>
      <c r="D67" s="193">
        <v>12544400</v>
      </c>
      <c r="E67" s="193">
        <v>12754479</v>
      </c>
      <c r="F67" s="192">
        <v>0.71571852390956503</v>
      </c>
    </row>
    <row r="68" spans="1:6" ht="39" customHeight="1">
      <c r="A68" s="190" t="s">
        <v>593</v>
      </c>
      <c r="B68" s="189" t="s">
        <v>594</v>
      </c>
      <c r="C68" s="190"/>
      <c r="D68" s="193">
        <v>25300000</v>
      </c>
      <c r="E68" s="193">
        <v>25300000</v>
      </c>
      <c r="F68" s="192">
        <v>1</v>
      </c>
    </row>
    <row r="69" spans="1:6" ht="39" customHeight="1">
      <c r="A69" s="190" t="s">
        <v>595</v>
      </c>
      <c r="B69" s="189" t="s">
        <v>596</v>
      </c>
      <c r="C69" s="190"/>
      <c r="D69" s="193">
        <v>5724555</v>
      </c>
      <c r="E69" s="193">
        <v>3923109</v>
      </c>
      <c r="F69" s="192">
        <v>0.484751824607983</v>
      </c>
    </row>
    <row r="70" spans="1:6" ht="39" customHeight="1">
      <c r="A70" s="190" t="s">
        <v>597</v>
      </c>
      <c r="B70" s="189" t="s">
        <v>598</v>
      </c>
      <c r="C70" s="190"/>
      <c r="D70" s="193">
        <v>5724555</v>
      </c>
      <c r="E70" s="193">
        <v>3923109</v>
      </c>
      <c r="F70" s="192">
        <v>0.484751824607983</v>
      </c>
    </row>
    <row r="71" spans="1:6" ht="46" customHeight="1">
      <c r="A71" s="190" t="s">
        <v>599</v>
      </c>
      <c r="B71" s="189" t="s">
        <v>600</v>
      </c>
      <c r="C71" s="190"/>
      <c r="D71" s="193">
        <v>0</v>
      </c>
      <c r="E71" s="193">
        <v>0</v>
      </c>
      <c r="F71" s="192"/>
    </row>
    <row r="72" spans="1:6" ht="39" customHeight="1">
      <c r="A72" s="190" t="s">
        <v>601</v>
      </c>
      <c r="B72" s="189" t="s">
        <v>602</v>
      </c>
      <c r="C72" s="190"/>
      <c r="D72" s="193">
        <v>28400000</v>
      </c>
      <c r="E72" s="193">
        <v>34300000</v>
      </c>
      <c r="F72" s="192">
        <v>1.12252964426877</v>
      </c>
    </row>
    <row r="73" spans="1:6" ht="39" customHeight="1">
      <c r="A73" s="190" t="s">
        <v>603</v>
      </c>
      <c r="B73" s="189" t="s">
        <v>604</v>
      </c>
      <c r="C73" s="190"/>
      <c r="D73" s="193">
        <v>22000000</v>
      </c>
      <c r="E73" s="193">
        <v>22000000</v>
      </c>
      <c r="F73" s="192">
        <v>1</v>
      </c>
    </row>
    <row r="74" spans="1:6" ht="39" customHeight="1">
      <c r="A74" s="190" t="s">
        <v>605</v>
      </c>
      <c r="B74" s="189" t="s">
        <v>606</v>
      </c>
      <c r="C74" s="190"/>
      <c r="D74" s="193">
        <v>6400000</v>
      </c>
      <c r="E74" s="193">
        <v>12300000</v>
      </c>
      <c r="F74" s="192">
        <v>1.9393939393939399</v>
      </c>
    </row>
    <row r="75" spans="1:6" ht="60" customHeight="1">
      <c r="A75" s="190" t="s">
        <v>607</v>
      </c>
      <c r="B75" s="189" t="s">
        <v>608</v>
      </c>
      <c r="C75" s="190"/>
      <c r="D75" s="193">
        <v>0</v>
      </c>
      <c r="E75" s="193">
        <v>0</v>
      </c>
      <c r="F75" s="192"/>
    </row>
    <row r="76" spans="1:6" ht="39" customHeight="1">
      <c r="A76" s="190" t="s">
        <v>609</v>
      </c>
      <c r="B76" s="189" t="s">
        <v>610</v>
      </c>
      <c r="C76" s="190"/>
      <c r="D76" s="193">
        <v>96980822</v>
      </c>
      <c r="E76" s="193">
        <v>82500000</v>
      </c>
      <c r="F76" s="192">
        <v>0.52438716797518004</v>
      </c>
    </row>
    <row r="77" spans="1:6" ht="39" customHeight="1">
      <c r="A77" s="190" t="s">
        <v>611</v>
      </c>
      <c r="B77" s="189" t="s">
        <v>612</v>
      </c>
      <c r="C77" s="190"/>
      <c r="D77" s="193">
        <v>0</v>
      </c>
      <c r="E77" s="193">
        <v>0</v>
      </c>
      <c r="F77" s="192">
        <v>0</v>
      </c>
    </row>
    <row r="78" spans="1:6" ht="39" customHeight="1">
      <c r="A78" s="190" t="s">
        <v>613</v>
      </c>
      <c r="B78" s="189" t="s">
        <v>614</v>
      </c>
      <c r="C78" s="190"/>
      <c r="D78" s="193">
        <v>0</v>
      </c>
      <c r="E78" s="193">
        <v>0</v>
      </c>
      <c r="F78" s="192">
        <v>0</v>
      </c>
    </row>
    <row r="79" spans="1:6" ht="39" customHeight="1">
      <c r="A79" s="190" t="s">
        <v>615</v>
      </c>
      <c r="B79" s="189" t="s">
        <v>616</v>
      </c>
      <c r="C79" s="190"/>
      <c r="D79" s="193">
        <v>11000000</v>
      </c>
      <c r="E79" s="193">
        <v>11000000</v>
      </c>
      <c r="F79" s="192">
        <v>1</v>
      </c>
    </row>
    <row r="80" spans="1:6" ht="48" customHeight="1">
      <c r="A80" s="190" t="s">
        <v>617</v>
      </c>
      <c r="B80" s="189" t="s">
        <v>618</v>
      </c>
      <c r="C80" s="190"/>
      <c r="D80" s="193">
        <v>0</v>
      </c>
      <c r="E80" s="193">
        <v>0</v>
      </c>
      <c r="F80" s="192"/>
    </row>
    <row r="81" spans="1:15" ht="39" customHeight="1">
      <c r="A81" s="190" t="s">
        <v>619</v>
      </c>
      <c r="B81" s="189" t="s">
        <v>620</v>
      </c>
      <c r="C81" s="190"/>
      <c r="D81" s="193">
        <v>0</v>
      </c>
      <c r="E81" s="193">
        <v>0</v>
      </c>
      <c r="F81" s="192"/>
    </row>
    <row r="82" spans="1:15" ht="39" customHeight="1">
      <c r="A82" s="190" t="s">
        <v>621</v>
      </c>
      <c r="B82" s="189" t="s">
        <v>622</v>
      </c>
      <c r="C82" s="190"/>
      <c r="D82" s="193">
        <v>0</v>
      </c>
      <c r="E82" s="193">
        <v>87250000</v>
      </c>
      <c r="F82" s="192">
        <v>0</v>
      </c>
    </row>
    <row r="83" spans="1:15" ht="39" customHeight="1">
      <c r="A83" s="190" t="s">
        <v>623</v>
      </c>
      <c r="B83" s="189" t="s">
        <v>624</v>
      </c>
      <c r="C83" s="190"/>
      <c r="D83" s="193">
        <v>0</v>
      </c>
      <c r="E83" s="193">
        <v>87250000</v>
      </c>
      <c r="F83" s="192"/>
    </row>
    <row r="84" spans="1:15" ht="48" customHeight="1">
      <c r="A84" s="190" t="s">
        <v>625</v>
      </c>
      <c r="B84" s="189" t="s">
        <v>626</v>
      </c>
      <c r="C84" s="190"/>
      <c r="D84" s="193">
        <v>0</v>
      </c>
      <c r="E84" s="193">
        <v>0</v>
      </c>
      <c r="F84" s="192">
        <v>0</v>
      </c>
    </row>
    <row r="85" spans="1:15" ht="45" customHeight="1">
      <c r="A85" s="190" t="s">
        <v>627</v>
      </c>
      <c r="B85" s="189" t="s">
        <v>628</v>
      </c>
      <c r="C85" s="190"/>
      <c r="D85" s="193">
        <v>0</v>
      </c>
      <c r="E85" s="193">
        <v>0</v>
      </c>
      <c r="F85" s="192"/>
    </row>
    <row r="86" spans="1:15" ht="39" customHeight="1">
      <c r="A86" s="190" t="s">
        <v>629</v>
      </c>
      <c r="B86" s="189" t="s">
        <v>630</v>
      </c>
      <c r="C86" s="190"/>
      <c r="D86" s="193">
        <v>0</v>
      </c>
      <c r="E86" s="193">
        <v>0</v>
      </c>
      <c r="F86" s="192"/>
    </row>
    <row r="87" spans="1:15" ht="39" customHeight="1">
      <c r="A87" s="190" t="s">
        <v>631</v>
      </c>
      <c r="B87" s="189" t="s">
        <v>632</v>
      </c>
      <c r="C87" s="190"/>
      <c r="D87" s="193">
        <v>0</v>
      </c>
      <c r="E87" s="193">
        <v>0</v>
      </c>
      <c r="F87" s="192"/>
    </row>
    <row r="88" spans="1:15" ht="39" customHeight="1">
      <c r="A88" s="190" t="s">
        <v>633</v>
      </c>
      <c r="B88" s="189" t="s">
        <v>634</v>
      </c>
      <c r="C88" s="190"/>
      <c r="D88" s="193">
        <v>0</v>
      </c>
      <c r="E88" s="193">
        <v>0</v>
      </c>
      <c r="F88" s="192"/>
    </row>
    <row r="89" spans="1:15" ht="39" customHeight="1">
      <c r="A89" s="190" t="s">
        <v>635</v>
      </c>
      <c r="B89" s="189" t="s">
        <v>636</v>
      </c>
      <c r="C89" s="190"/>
      <c r="D89" s="193">
        <v>0</v>
      </c>
      <c r="E89" s="193">
        <v>0</v>
      </c>
      <c r="F89" s="192"/>
    </row>
    <row r="90" spans="1:15" ht="39" customHeight="1">
      <c r="A90" s="190" t="s">
        <v>637</v>
      </c>
      <c r="B90" s="189" t="s">
        <v>638</v>
      </c>
      <c r="C90" s="190"/>
      <c r="D90" s="193">
        <v>0</v>
      </c>
      <c r="E90" s="193">
        <v>0</v>
      </c>
      <c r="F90" s="192"/>
    </row>
    <row r="91" spans="1:15" ht="39" customHeight="1">
      <c r="A91" s="195" t="s">
        <v>811</v>
      </c>
      <c r="B91" s="194" t="s">
        <v>640</v>
      </c>
      <c r="C91" s="195"/>
      <c r="D91" s="197">
        <v>11253160972</v>
      </c>
      <c r="E91" s="197">
        <v>8396967333</v>
      </c>
      <c r="F91" s="196">
        <v>1.0377998948465399</v>
      </c>
    </row>
    <row r="92" spans="1:15" ht="39" customHeight="1">
      <c r="A92" s="190" t="s">
        <v>641</v>
      </c>
      <c r="B92" s="189" t="s">
        <v>812</v>
      </c>
      <c r="C92" s="190"/>
      <c r="D92" s="193">
        <v>391058359904</v>
      </c>
      <c r="E92" s="193">
        <v>452374061555</v>
      </c>
      <c r="F92" s="192">
        <v>0.65163039672280398</v>
      </c>
      <c r="O92" s="224"/>
    </row>
    <row r="93" spans="1:15" ht="39" customHeight="1">
      <c r="A93" s="190" t="s">
        <v>642</v>
      </c>
      <c r="B93" s="189" t="s">
        <v>813</v>
      </c>
      <c r="C93" s="190"/>
      <c r="D93" s="198">
        <v>19388430.190000001</v>
      </c>
      <c r="E93" s="198">
        <v>21892127.789999999</v>
      </c>
      <c r="F93" s="192">
        <v>0.55163799854680895</v>
      </c>
    </row>
    <row r="94" spans="1:15" ht="39" customHeight="1">
      <c r="A94" s="190" t="s">
        <v>643</v>
      </c>
      <c r="B94" s="189" t="s">
        <v>814</v>
      </c>
      <c r="C94" s="190"/>
      <c r="D94" s="198">
        <v>20169.669999999998</v>
      </c>
      <c r="E94" s="198">
        <v>20663.77</v>
      </c>
      <c r="F94" s="192">
        <v>1.18126472944671</v>
      </c>
    </row>
    <row r="95" spans="1:15" s="41" customFormat="1" ht="16.899999999999999" customHeight="1"/>
    <row r="96" spans="1:15" s="41" customFormat="1" ht="16.899999999999999" customHeight="1">
      <c r="A96" s="61" t="s">
        <v>10</v>
      </c>
      <c r="B96" s="42"/>
      <c r="C96" s="42"/>
      <c r="E96" s="61" t="s">
        <v>11</v>
      </c>
      <c r="F96" s="42"/>
    </row>
    <row r="97" spans="1:6" s="45" customFormat="1" ht="16.899999999999999" customHeight="1">
      <c r="A97" s="62" t="s">
        <v>12</v>
      </c>
      <c r="B97" s="46"/>
      <c r="C97" s="46"/>
      <c r="E97" s="62" t="s">
        <v>13</v>
      </c>
      <c r="F97" s="46"/>
    </row>
    <row r="98" spans="1:6" s="41" customFormat="1" ht="16.899999999999999" customHeight="1">
      <c r="A98" s="42"/>
      <c r="B98" s="42"/>
      <c r="C98" s="42"/>
      <c r="D98" s="42"/>
      <c r="E98" s="42"/>
      <c r="F98" s="42"/>
    </row>
    <row r="99" spans="1:6" s="41" customFormat="1" ht="16.899999999999999" customHeight="1">
      <c r="A99" s="42"/>
      <c r="B99" s="42"/>
      <c r="C99" s="42"/>
      <c r="D99" s="42"/>
      <c r="E99" s="42"/>
      <c r="F99" s="42"/>
    </row>
    <row r="100" spans="1:6" s="41" customFormat="1" ht="16.899999999999999" customHeight="1">
      <c r="A100" s="42"/>
      <c r="B100" s="42"/>
      <c r="C100" s="42"/>
      <c r="D100" s="42"/>
      <c r="E100" s="42"/>
      <c r="F100" s="42"/>
    </row>
    <row r="101" spans="1:6" s="41" customFormat="1" ht="16.899999999999999" customHeight="1">
      <c r="A101" s="42"/>
      <c r="B101" s="42"/>
      <c r="C101" s="42"/>
      <c r="D101" s="42"/>
      <c r="E101" s="42"/>
      <c r="F101" s="42"/>
    </row>
    <row r="102" spans="1:6" s="41" customFormat="1" ht="16.899999999999999" customHeight="1">
      <c r="A102" s="42"/>
      <c r="B102" s="42"/>
      <c r="C102" s="42"/>
      <c r="D102" s="42"/>
      <c r="E102" s="42"/>
      <c r="F102" s="42"/>
    </row>
    <row r="103" spans="1:6" s="41" customFormat="1" ht="16.899999999999999" customHeight="1">
      <c r="A103" s="42"/>
      <c r="B103" s="42"/>
      <c r="C103" s="42"/>
      <c r="D103" s="42"/>
      <c r="E103" s="42"/>
      <c r="F103" s="42"/>
    </row>
    <row r="104" spans="1:6" s="41" customFormat="1" ht="16.899999999999999" customHeight="1">
      <c r="A104" s="187"/>
      <c r="B104" s="187"/>
      <c r="C104" s="42"/>
      <c r="D104" s="44"/>
      <c r="E104" s="187"/>
      <c r="F104" s="187"/>
    </row>
    <row r="105" spans="1:6" s="41" customFormat="1" ht="16.899999999999999" customHeight="1">
      <c r="A105" s="60" t="s">
        <v>14</v>
      </c>
      <c r="B105" s="186"/>
      <c r="C105" s="42"/>
      <c r="D105" s="43"/>
      <c r="E105" s="60" t="s">
        <v>762</v>
      </c>
      <c r="F105" s="186"/>
    </row>
    <row r="106" spans="1:6" s="41" customFormat="1" ht="16.899999999999999" customHeight="1">
      <c r="A106" s="185" t="s">
        <v>769</v>
      </c>
      <c r="B106" s="44"/>
      <c r="C106" s="42"/>
      <c r="E106" s="185" t="s">
        <v>770</v>
      </c>
      <c r="F106" s="44"/>
    </row>
    <row r="107" spans="1:6" s="41" customFormat="1" ht="16.899999999999999" customHeight="1">
      <c r="A107" s="42" t="s">
        <v>771</v>
      </c>
      <c r="B107" s="42"/>
      <c r="C107" s="42"/>
      <c r="E107" s="42" t="s">
        <v>772</v>
      </c>
      <c r="F107" s="42"/>
    </row>
    <row r="108"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8" bottom="0.5" header="0.3" footer="0.3"/>
  <pageSetup paperSize="9" scale="63" fitToHeight="6"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96"/>
  <sheetViews>
    <sheetView view="pageBreakPreview" topLeftCell="A81" zoomScaleNormal="100" zoomScaleSheetLayoutView="100" workbookViewId="0">
      <selection activeCell="A81" sqref="A81"/>
    </sheetView>
  </sheetViews>
  <sheetFormatPr defaultColWidth="8.7265625" defaultRowHeight="12.5"/>
  <cols>
    <col min="1" max="1" width="8.7265625" style="51"/>
    <col min="2" max="2" width="47.1796875" style="51" customWidth="1"/>
    <col min="3" max="3" width="10.7265625" style="51" bestFit="1" customWidth="1"/>
    <col min="4" max="4" width="21.26953125" style="51" customWidth="1"/>
    <col min="5" max="5" width="21" style="51" customWidth="1"/>
    <col min="6" max="6" width="22" style="51" customWidth="1"/>
    <col min="7" max="7" width="8.7265625" style="51"/>
    <col min="8" max="16384" width="8.7265625" style="65"/>
  </cols>
  <sheetData>
    <row r="1" spans="1:7" ht="22.9" customHeight="1">
      <c r="A1" s="263" t="s">
        <v>815</v>
      </c>
      <c r="B1" s="263"/>
      <c r="C1" s="263"/>
      <c r="D1" s="263"/>
      <c r="E1" s="263"/>
      <c r="F1" s="263"/>
    </row>
    <row r="2" spans="1:7" ht="45" customHeight="1">
      <c r="A2" s="264" t="s">
        <v>867</v>
      </c>
      <c r="B2" s="264"/>
      <c r="C2" s="264"/>
      <c r="D2" s="264"/>
      <c r="E2" s="264"/>
      <c r="F2" s="264"/>
    </row>
    <row r="3" spans="1:7" ht="22.5" customHeight="1">
      <c r="A3" s="259" t="s">
        <v>832</v>
      </c>
      <c r="B3" s="259"/>
      <c r="C3" s="259"/>
      <c r="D3" s="259"/>
      <c r="E3" s="259"/>
      <c r="F3" s="259"/>
    </row>
    <row r="4" spans="1:7" ht="21" customHeight="1">
      <c r="A4" s="259"/>
      <c r="B4" s="259"/>
      <c r="C4" s="259"/>
      <c r="D4" s="259"/>
      <c r="E4" s="259"/>
      <c r="F4" s="259"/>
    </row>
    <row r="5" spans="1:7" ht="16.149999999999999" customHeight="1">
      <c r="A5" s="260" t="s">
        <v>761</v>
      </c>
      <c r="B5" s="260"/>
      <c r="C5" s="260"/>
      <c r="D5" s="260"/>
      <c r="E5" s="260"/>
      <c r="F5" s="260"/>
    </row>
    <row r="7" spans="1:7" ht="16.899999999999999" customHeight="1">
      <c r="A7" s="63" t="s">
        <v>2</v>
      </c>
      <c r="C7" s="269" t="s">
        <v>762</v>
      </c>
      <c r="D7" s="269"/>
      <c r="E7" s="269"/>
      <c r="F7" s="269"/>
    </row>
    <row r="8" spans="1:7" ht="16.899999999999999" customHeight="1">
      <c r="A8" s="51" t="s">
        <v>40</v>
      </c>
      <c r="C8" s="268" t="s">
        <v>763</v>
      </c>
      <c r="D8" s="268"/>
      <c r="E8" s="268"/>
      <c r="F8" s="268"/>
    </row>
    <row r="9" spans="1:7" ht="16.899999999999999" customHeight="1">
      <c r="A9" s="63" t="s">
        <v>3</v>
      </c>
      <c r="C9" s="269" t="s">
        <v>764</v>
      </c>
      <c r="D9" s="269"/>
      <c r="E9" s="269"/>
      <c r="F9" s="269"/>
    </row>
    <row r="10" spans="1:7" ht="16.899999999999999" customHeight="1">
      <c r="A10" s="51" t="s">
        <v>4</v>
      </c>
      <c r="C10" s="268" t="s">
        <v>765</v>
      </c>
      <c r="D10" s="268"/>
      <c r="E10" s="268"/>
      <c r="F10" s="268"/>
    </row>
    <row r="11" spans="1:7" ht="16.899999999999999" customHeight="1">
      <c r="A11" s="63" t="s">
        <v>5</v>
      </c>
      <c r="C11" s="269" t="s">
        <v>190</v>
      </c>
      <c r="D11" s="269"/>
      <c r="E11" s="269"/>
      <c r="F11" s="269"/>
    </row>
    <row r="12" spans="1:7" ht="16.899999999999999" customHeight="1">
      <c r="A12" s="51" t="s">
        <v>6</v>
      </c>
      <c r="C12" s="268" t="s">
        <v>766</v>
      </c>
      <c r="D12" s="268"/>
      <c r="E12" s="268"/>
      <c r="F12" s="268"/>
    </row>
    <row r="13" spans="1:7" ht="16.899999999999999" customHeight="1">
      <c r="A13" s="63" t="s">
        <v>7</v>
      </c>
      <c r="C13" s="269" t="s">
        <v>767</v>
      </c>
      <c r="D13" s="269"/>
      <c r="E13" s="269"/>
      <c r="F13" s="269"/>
    </row>
    <row r="14" spans="1:7" ht="16.899999999999999" customHeight="1">
      <c r="A14" s="51" t="s">
        <v>8</v>
      </c>
      <c r="C14" s="268" t="s">
        <v>768</v>
      </c>
      <c r="D14" s="268"/>
      <c r="E14" s="268"/>
      <c r="F14" s="268"/>
    </row>
    <row r="15" spans="1:7" ht="16.899999999999999" customHeight="1"/>
    <row r="16" spans="1:7" s="225" customFormat="1" ht="16.899999999999999" customHeight="1">
      <c r="A16" s="211" t="s">
        <v>801</v>
      </c>
      <c r="B16" s="212" t="s">
        <v>802</v>
      </c>
      <c r="C16" s="51"/>
      <c r="D16" s="51"/>
      <c r="E16" s="51"/>
      <c r="F16" s="51"/>
      <c r="G16" s="51"/>
    </row>
    <row r="17" spans="1:7" s="225" customFormat="1" ht="16.899999999999999" customHeight="1">
      <c r="A17" s="211" t="s">
        <v>46</v>
      </c>
      <c r="B17" s="212" t="s">
        <v>51</v>
      </c>
      <c r="C17" s="51"/>
      <c r="D17" s="51"/>
      <c r="E17" s="51"/>
      <c r="F17" s="51"/>
      <c r="G17" s="51"/>
    </row>
    <row r="18" spans="1:7" ht="44.65" customHeight="1">
      <c r="A18" s="49" t="s">
        <v>42</v>
      </c>
      <c r="B18" s="47" t="s">
        <v>43</v>
      </c>
      <c r="C18" s="240" t="s">
        <v>866</v>
      </c>
      <c r="D18" s="48" t="s">
        <v>775</v>
      </c>
      <c r="E18" s="48" t="s">
        <v>776</v>
      </c>
      <c r="F18" s="66" t="s">
        <v>189</v>
      </c>
      <c r="G18" s="67"/>
    </row>
    <row r="19" spans="1:7" s="72" customFormat="1" ht="39" customHeight="1">
      <c r="A19" s="53" t="s">
        <v>41</v>
      </c>
      <c r="B19" s="68" t="s">
        <v>59</v>
      </c>
      <c r="C19" s="69"/>
      <c r="D19" s="70">
        <v>261628483</v>
      </c>
      <c r="E19" s="70">
        <v>1893518288</v>
      </c>
      <c r="F19" s="70">
        <v>261628483</v>
      </c>
      <c r="G19" s="71"/>
    </row>
    <row r="20" spans="1:7" ht="39" customHeight="1">
      <c r="A20" s="56">
        <v>1</v>
      </c>
      <c r="B20" s="73" t="s">
        <v>816</v>
      </c>
      <c r="C20" s="74"/>
      <c r="D20" s="75"/>
      <c r="E20" s="75"/>
      <c r="F20" s="75"/>
      <c r="G20" s="67"/>
    </row>
    <row r="21" spans="1:7" ht="39" customHeight="1">
      <c r="A21" s="56">
        <v>2</v>
      </c>
      <c r="B21" s="73" t="s">
        <v>197</v>
      </c>
      <c r="C21" s="74"/>
      <c r="D21" s="75">
        <v>260000000</v>
      </c>
      <c r="E21" s="75">
        <v>1890559573</v>
      </c>
      <c r="F21" s="75">
        <v>260000000</v>
      </c>
      <c r="G21" s="67"/>
    </row>
    <row r="22" spans="1:7" ht="39" customHeight="1">
      <c r="A22" s="76"/>
      <c r="B22" s="77" t="s">
        <v>198</v>
      </c>
      <c r="C22" s="78"/>
      <c r="D22" s="75">
        <v>260000000</v>
      </c>
      <c r="E22" s="75">
        <v>1890559573</v>
      </c>
      <c r="F22" s="75">
        <v>260000000</v>
      </c>
      <c r="G22" s="67"/>
    </row>
    <row r="23" spans="1:7" ht="39" customHeight="1">
      <c r="A23" s="76"/>
      <c r="B23" s="77" t="s">
        <v>199</v>
      </c>
      <c r="C23" s="78"/>
      <c r="D23" s="75">
        <v>0</v>
      </c>
      <c r="E23" s="75">
        <v>0</v>
      </c>
      <c r="F23" s="75">
        <v>0</v>
      </c>
      <c r="G23" s="67"/>
    </row>
    <row r="24" spans="1:7" ht="39" customHeight="1">
      <c r="A24" s="56">
        <v>3</v>
      </c>
      <c r="B24" s="73" t="s">
        <v>200</v>
      </c>
      <c r="C24" s="74"/>
      <c r="D24" s="75">
        <v>1628483</v>
      </c>
      <c r="E24" s="75">
        <v>2958715</v>
      </c>
      <c r="F24" s="75">
        <v>1628483</v>
      </c>
      <c r="G24" s="67"/>
    </row>
    <row r="25" spans="1:7" ht="39" customHeight="1">
      <c r="A25" s="76"/>
      <c r="B25" s="77" t="s">
        <v>193</v>
      </c>
      <c r="C25" s="78"/>
      <c r="D25" s="75">
        <v>1628483</v>
      </c>
      <c r="E25" s="75">
        <v>2958715</v>
      </c>
      <c r="F25" s="75">
        <v>1628483</v>
      </c>
      <c r="G25" s="67"/>
    </row>
    <row r="26" spans="1:7" ht="39" customHeight="1">
      <c r="A26" s="76"/>
      <c r="B26" s="77" t="s">
        <v>201</v>
      </c>
      <c r="C26" s="78"/>
      <c r="D26" s="75">
        <v>0</v>
      </c>
      <c r="E26" s="75">
        <v>0</v>
      </c>
      <c r="F26" s="75">
        <v>0</v>
      </c>
      <c r="G26" s="67"/>
    </row>
    <row r="27" spans="1:7" ht="39" customHeight="1">
      <c r="A27" s="76"/>
      <c r="B27" s="77" t="s">
        <v>228</v>
      </c>
      <c r="C27" s="78"/>
      <c r="D27" s="75">
        <v>0</v>
      </c>
      <c r="E27" s="75">
        <v>0</v>
      </c>
      <c r="F27" s="75">
        <v>0</v>
      </c>
      <c r="G27" s="67"/>
    </row>
    <row r="28" spans="1:7" ht="39" customHeight="1">
      <c r="A28" s="56">
        <v>4</v>
      </c>
      <c r="B28" s="73" t="s">
        <v>202</v>
      </c>
      <c r="C28" s="74"/>
      <c r="D28" s="75">
        <v>0</v>
      </c>
      <c r="E28" s="75">
        <v>0</v>
      </c>
      <c r="F28" s="75">
        <v>0</v>
      </c>
      <c r="G28" s="67"/>
    </row>
    <row r="29" spans="1:7" ht="39" customHeight="1">
      <c r="A29" s="79"/>
      <c r="B29" s="80" t="s">
        <v>203</v>
      </c>
      <c r="C29" s="81"/>
      <c r="D29" s="82">
        <v>0</v>
      </c>
      <c r="E29" s="82">
        <v>0</v>
      </c>
      <c r="F29" s="75">
        <v>0</v>
      </c>
      <c r="G29" s="83"/>
    </row>
    <row r="30" spans="1:7" ht="39" customHeight="1">
      <c r="A30" s="79"/>
      <c r="B30" s="80" t="s">
        <v>204</v>
      </c>
      <c r="C30" s="81"/>
      <c r="D30" s="82">
        <v>0</v>
      </c>
      <c r="E30" s="82">
        <v>0</v>
      </c>
      <c r="F30" s="75">
        <v>0</v>
      </c>
      <c r="G30" s="83"/>
    </row>
    <row r="31" spans="1:7" ht="77.650000000000006" customHeight="1">
      <c r="A31" s="79"/>
      <c r="B31" s="80" t="s">
        <v>60</v>
      </c>
      <c r="C31" s="81"/>
      <c r="D31" s="82">
        <v>0</v>
      </c>
      <c r="E31" s="82">
        <v>0</v>
      </c>
      <c r="F31" s="75">
        <v>0</v>
      </c>
      <c r="G31" s="83"/>
    </row>
    <row r="32" spans="1:7" s="72" customFormat="1" ht="39" customHeight="1">
      <c r="A32" s="53" t="s">
        <v>46</v>
      </c>
      <c r="B32" s="68" t="s">
        <v>205</v>
      </c>
      <c r="C32" s="69"/>
      <c r="D32" s="70">
        <v>951392545</v>
      </c>
      <c r="E32" s="70">
        <v>1063343024</v>
      </c>
      <c r="F32" s="70">
        <v>951392545</v>
      </c>
      <c r="G32" s="71"/>
    </row>
    <row r="33" spans="1:7" ht="39" customHeight="1">
      <c r="A33" s="56">
        <v>1</v>
      </c>
      <c r="B33" s="73" t="s">
        <v>817</v>
      </c>
      <c r="C33" s="74"/>
      <c r="D33" s="75">
        <v>733657347</v>
      </c>
      <c r="E33" s="75">
        <v>745943764</v>
      </c>
      <c r="F33" s="75">
        <v>733657347</v>
      </c>
      <c r="G33" s="67"/>
    </row>
    <row r="34" spans="1:7" ht="51" customHeight="1">
      <c r="A34" s="56">
        <v>2</v>
      </c>
      <c r="B34" s="73" t="s">
        <v>818</v>
      </c>
      <c r="C34" s="74"/>
      <c r="D34" s="84">
        <v>56194185</v>
      </c>
      <c r="E34" s="84">
        <v>60653345</v>
      </c>
      <c r="F34" s="75">
        <v>56194185</v>
      </c>
      <c r="G34" s="67"/>
    </row>
    <row r="35" spans="1:7" ht="39" customHeight="1">
      <c r="A35" s="59"/>
      <c r="B35" s="77" t="s">
        <v>819</v>
      </c>
      <c r="C35" s="78"/>
      <c r="D35" s="84">
        <v>22000000</v>
      </c>
      <c r="E35" s="84">
        <v>22000000</v>
      </c>
      <c r="F35" s="75">
        <v>22000000</v>
      </c>
      <c r="G35" s="67"/>
    </row>
    <row r="36" spans="1:7" ht="39" customHeight="1">
      <c r="A36" s="59"/>
      <c r="B36" s="77" t="s">
        <v>820</v>
      </c>
      <c r="C36" s="78"/>
      <c r="D36" s="84">
        <v>6100000</v>
      </c>
      <c r="E36" s="84">
        <v>10300000</v>
      </c>
      <c r="F36" s="75">
        <v>6100000</v>
      </c>
      <c r="G36" s="67"/>
    </row>
    <row r="37" spans="1:7" ht="57" customHeight="1">
      <c r="A37" s="59"/>
      <c r="B37" s="77" t="s">
        <v>821</v>
      </c>
      <c r="C37" s="78"/>
      <c r="D37" s="84">
        <v>2794185</v>
      </c>
      <c r="E37" s="84">
        <v>3053345</v>
      </c>
      <c r="F37" s="84">
        <v>2794185</v>
      </c>
      <c r="G37" s="67"/>
    </row>
    <row r="38" spans="1:7" ht="39" customHeight="1">
      <c r="A38" s="59"/>
      <c r="B38" s="77" t="s">
        <v>822</v>
      </c>
      <c r="C38" s="78"/>
      <c r="D38" s="75">
        <v>25300000</v>
      </c>
      <c r="E38" s="75">
        <v>25300000</v>
      </c>
      <c r="F38" s="75">
        <v>25300000</v>
      </c>
      <c r="G38" s="67"/>
    </row>
    <row r="39" spans="1:7" ht="73.5" customHeight="1">
      <c r="A39" s="56">
        <v>3</v>
      </c>
      <c r="B39" s="55" t="s">
        <v>823</v>
      </c>
      <c r="C39" s="74"/>
      <c r="D39" s="75">
        <v>23544400</v>
      </c>
      <c r="E39" s="75">
        <v>23754479</v>
      </c>
      <c r="F39" s="75">
        <v>23544400</v>
      </c>
      <c r="G39" s="67"/>
    </row>
    <row r="40" spans="1:7" ht="39" customHeight="1">
      <c r="A40" s="59"/>
      <c r="B40" s="57" t="s">
        <v>230</v>
      </c>
      <c r="C40" s="78"/>
      <c r="D40" s="75">
        <v>12544400</v>
      </c>
      <c r="E40" s="75">
        <v>12754479</v>
      </c>
      <c r="F40" s="75">
        <v>12544400</v>
      </c>
      <c r="G40" s="67"/>
    </row>
    <row r="41" spans="1:7" ht="39" customHeight="1">
      <c r="A41" s="59"/>
      <c r="B41" s="57" t="s">
        <v>62</v>
      </c>
      <c r="C41" s="78"/>
      <c r="D41" s="84">
        <v>11000000</v>
      </c>
      <c r="E41" s="84">
        <v>11000000</v>
      </c>
      <c r="F41" s="84">
        <v>11000000</v>
      </c>
      <c r="G41" s="67"/>
    </row>
    <row r="42" spans="1:7" ht="39" customHeight="1">
      <c r="A42" s="59">
        <v>4</v>
      </c>
      <c r="B42" s="57" t="s">
        <v>824</v>
      </c>
      <c r="C42" s="78"/>
      <c r="D42" s="84"/>
      <c r="E42" s="84"/>
      <c r="F42" s="84"/>
      <c r="G42" s="67"/>
    </row>
    <row r="43" spans="1:7" ht="39" customHeight="1">
      <c r="A43" s="59">
        <v>5</v>
      </c>
      <c r="B43" s="57" t="s">
        <v>825</v>
      </c>
      <c r="C43" s="78"/>
      <c r="D43" s="84"/>
      <c r="E43" s="84"/>
      <c r="F43" s="84"/>
      <c r="G43" s="67"/>
    </row>
    <row r="44" spans="1:7" ht="39" customHeight="1">
      <c r="A44" s="56">
        <v>6</v>
      </c>
      <c r="B44" s="73" t="s">
        <v>63</v>
      </c>
      <c r="C44" s="74"/>
      <c r="D44" s="75">
        <v>14480822</v>
      </c>
      <c r="E44" s="75">
        <v>14441257</v>
      </c>
      <c r="F44" s="75">
        <v>14480822</v>
      </c>
      <c r="G44" s="67"/>
    </row>
    <row r="45" spans="1:7" ht="77.650000000000006" customHeight="1">
      <c r="A45" s="56">
        <v>7</v>
      </c>
      <c r="B45" s="73" t="s">
        <v>231</v>
      </c>
      <c r="C45" s="74"/>
      <c r="D45" s="75">
        <v>13019178</v>
      </c>
      <c r="E45" s="75">
        <v>100266393</v>
      </c>
      <c r="F45" s="75">
        <v>13019178</v>
      </c>
      <c r="G45" s="67"/>
    </row>
    <row r="46" spans="1:7" ht="39" customHeight="1">
      <c r="A46" s="59"/>
      <c r="B46" s="58" t="s">
        <v>232</v>
      </c>
      <c r="C46" s="78"/>
      <c r="D46" s="75">
        <v>13019178</v>
      </c>
      <c r="E46" s="75">
        <v>13016393</v>
      </c>
      <c r="F46" s="75">
        <v>13019178</v>
      </c>
      <c r="G46" s="67"/>
    </row>
    <row r="47" spans="1:7" ht="39" customHeight="1">
      <c r="A47" s="59"/>
      <c r="B47" s="58" t="s">
        <v>206</v>
      </c>
      <c r="C47" s="78"/>
      <c r="D47" s="75">
        <v>0</v>
      </c>
      <c r="E47" s="75">
        <v>87250000</v>
      </c>
      <c r="F47" s="75">
        <v>0</v>
      </c>
      <c r="G47" s="67"/>
    </row>
    <row r="48" spans="1:7" ht="39" customHeight="1">
      <c r="A48" s="59"/>
      <c r="B48" s="58" t="s">
        <v>65</v>
      </c>
      <c r="C48" s="78"/>
      <c r="D48" s="84">
        <v>0</v>
      </c>
      <c r="E48" s="84">
        <v>0</v>
      </c>
      <c r="F48" s="75">
        <v>0</v>
      </c>
      <c r="G48" s="67"/>
    </row>
    <row r="49" spans="1:7" ht="148.9" customHeight="1">
      <c r="A49" s="56">
        <v>8</v>
      </c>
      <c r="B49" s="55" t="s">
        <v>233</v>
      </c>
      <c r="C49" s="74"/>
      <c r="D49" s="75">
        <v>0</v>
      </c>
      <c r="E49" s="75">
        <v>-105506552</v>
      </c>
      <c r="F49" s="75">
        <v>0</v>
      </c>
      <c r="G49" s="67"/>
    </row>
    <row r="50" spans="1:7" ht="39" customHeight="1">
      <c r="A50" s="59"/>
      <c r="B50" s="57" t="s">
        <v>207</v>
      </c>
      <c r="C50" s="78"/>
      <c r="D50" s="75">
        <v>0</v>
      </c>
      <c r="E50" s="75">
        <v>-35386313</v>
      </c>
      <c r="F50" s="75">
        <v>0</v>
      </c>
      <c r="G50" s="67"/>
    </row>
    <row r="51" spans="1:7" ht="39" customHeight="1">
      <c r="A51" s="59"/>
      <c r="B51" s="57" t="s">
        <v>153</v>
      </c>
      <c r="C51" s="78"/>
      <c r="D51" s="75">
        <v>0</v>
      </c>
      <c r="E51" s="75">
        <v>-33066000</v>
      </c>
      <c r="F51" s="75">
        <v>0</v>
      </c>
      <c r="G51" s="67"/>
    </row>
    <row r="52" spans="1:7" ht="39" customHeight="1">
      <c r="A52" s="59"/>
      <c r="B52" s="57" t="s">
        <v>234</v>
      </c>
      <c r="C52" s="78"/>
      <c r="D52" s="75">
        <v>0</v>
      </c>
      <c r="E52" s="75">
        <v>-37054239</v>
      </c>
      <c r="F52" s="75">
        <v>0</v>
      </c>
      <c r="G52" s="67"/>
    </row>
    <row r="53" spans="1:7" ht="39" customHeight="1">
      <c r="A53" s="59"/>
      <c r="B53" s="58" t="s">
        <v>208</v>
      </c>
      <c r="C53" s="78"/>
      <c r="D53" s="75">
        <v>0</v>
      </c>
      <c r="E53" s="75">
        <v>0</v>
      </c>
      <c r="F53" s="75">
        <v>0</v>
      </c>
      <c r="G53" s="67"/>
    </row>
    <row r="54" spans="1:7" ht="39" customHeight="1">
      <c r="A54" s="59"/>
      <c r="B54" s="58" t="s">
        <v>826</v>
      </c>
      <c r="C54" s="78"/>
      <c r="D54" s="75">
        <v>0</v>
      </c>
      <c r="E54" s="75">
        <v>0</v>
      </c>
      <c r="F54" s="75">
        <v>0</v>
      </c>
      <c r="G54" s="67"/>
    </row>
    <row r="55" spans="1:7" ht="66" customHeight="1">
      <c r="A55" s="56">
        <v>9</v>
      </c>
      <c r="B55" s="73" t="s">
        <v>235</v>
      </c>
      <c r="C55" s="74"/>
      <c r="D55" s="84">
        <v>109743663</v>
      </c>
      <c r="E55" s="84">
        <v>216095958</v>
      </c>
      <c r="F55" s="84">
        <v>109743663</v>
      </c>
      <c r="G55" s="67"/>
    </row>
    <row r="56" spans="1:7" ht="39" customHeight="1">
      <c r="A56" s="59"/>
      <c r="B56" s="77" t="s">
        <v>67</v>
      </c>
      <c r="C56" s="78"/>
      <c r="D56" s="84">
        <v>109107293</v>
      </c>
      <c r="E56" s="84">
        <v>215771385</v>
      </c>
      <c r="F56" s="75">
        <v>109107293</v>
      </c>
      <c r="G56" s="67"/>
    </row>
    <row r="57" spans="1:7" ht="39" customHeight="1">
      <c r="A57" s="59"/>
      <c r="B57" s="77" t="s">
        <v>68</v>
      </c>
      <c r="C57" s="78"/>
      <c r="D57" s="84">
        <v>636370</v>
      </c>
      <c r="E57" s="84">
        <v>324573</v>
      </c>
      <c r="F57" s="75">
        <v>636370</v>
      </c>
      <c r="G57" s="67"/>
    </row>
    <row r="58" spans="1:7" ht="39" customHeight="1">
      <c r="A58" s="59"/>
      <c r="B58" s="77" t="s">
        <v>69</v>
      </c>
      <c r="C58" s="78"/>
      <c r="D58" s="84">
        <v>0</v>
      </c>
      <c r="E58" s="84">
        <v>0</v>
      </c>
      <c r="F58" s="75">
        <v>0</v>
      </c>
      <c r="G58" s="67"/>
    </row>
    <row r="59" spans="1:7" ht="39" customHeight="1">
      <c r="A59" s="56">
        <v>10</v>
      </c>
      <c r="B59" s="73" t="s">
        <v>827</v>
      </c>
      <c r="C59" s="74"/>
      <c r="D59" s="84">
        <v>752950</v>
      </c>
      <c r="E59" s="84">
        <v>7694380</v>
      </c>
      <c r="F59" s="84">
        <v>752950</v>
      </c>
      <c r="G59" s="67"/>
    </row>
    <row r="60" spans="1:7" ht="39" customHeight="1">
      <c r="A60" s="56"/>
      <c r="B60" s="77" t="s">
        <v>70</v>
      </c>
      <c r="C60" s="78"/>
      <c r="D60" s="84">
        <v>0</v>
      </c>
      <c r="E60" s="84">
        <v>0</v>
      </c>
      <c r="F60" s="84">
        <v>0</v>
      </c>
      <c r="G60" s="85"/>
    </row>
    <row r="61" spans="1:7" ht="39" customHeight="1">
      <c r="A61" s="56"/>
      <c r="B61" s="77" t="s">
        <v>236</v>
      </c>
      <c r="C61" s="78"/>
      <c r="D61" s="84">
        <v>0</v>
      </c>
      <c r="E61" s="84">
        <v>0</v>
      </c>
      <c r="F61" s="84">
        <v>0</v>
      </c>
      <c r="G61" s="85"/>
    </row>
    <row r="62" spans="1:7" ht="39" customHeight="1">
      <c r="A62" s="56"/>
      <c r="B62" s="77" t="s">
        <v>71</v>
      </c>
      <c r="C62" s="78"/>
      <c r="D62" s="84">
        <v>0</v>
      </c>
      <c r="E62" s="84">
        <v>6739726</v>
      </c>
      <c r="F62" s="84">
        <v>0</v>
      </c>
      <c r="G62" s="85"/>
    </row>
    <row r="63" spans="1:7" ht="39" customHeight="1">
      <c r="A63" s="56"/>
      <c r="B63" s="77" t="s">
        <v>72</v>
      </c>
      <c r="C63" s="78"/>
      <c r="D63" s="84">
        <v>752950</v>
      </c>
      <c r="E63" s="84">
        <v>954654</v>
      </c>
      <c r="F63" s="84">
        <v>752950</v>
      </c>
      <c r="G63" s="85"/>
    </row>
    <row r="64" spans="1:7" ht="39" customHeight="1">
      <c r="A64" s="56"/>
      <c r="B64" s="77" t="s">
        <v>237</v>
      </c>
      <c r="C64" s="78"/>
      <c r="D64" s="84">
        <v>0</v>
      </c>
      <c r="E64" s="84">
        <v>0</v>
      </c>
      <c r="F64" s="84">
        <v>0</v>
      </c>
      <c r="G64" s="85"/>
    </row>
    <row r="65" spans="1:7" ht="39" customHeight="1">
      <c r="A65" s="56"/>
      <c r="B65" s="77" t="s">
        <v>69</v>
      </c>
      <c r="C65" s="78"/>
      <c r="D65" s="84">
        <v>0</v>
      </c>
      <c r="E65" s="84">
        <v>0</v>
      </c>
      <c r="F65" s="84">
        <v>0</v>
      </c>
      <c r="G65" s="85"/>
    </row>
    <row r="66" spans="1:7" ht="39" customHeight="1">
      <c r="A66" s="56"/>
      <c r="B66" s="77" t="s">
        <v>238</v>
      </c>
      <c r="C66" s="78"/>
      <c r="D66" s="84">
        <v>0</v>
      </c>
      <c r="E66" s="84">
        <v>0</v>
      </c>
      <c r="F66" s="84">
        <v>0</v>
      </c>
      <c r="G66" s="85"/>
    </row>
    <row r="67" spans="1:7" s="72" customFormat="1" ht="45.75" customHeight="1">
      <c r="A67" s="86" t="s">
        <v>52</v>
      </c>
      <c r="B67" s="68" t="s">
        <v>239</v>
      </c>
      <c r="C67" s="69"/>
      <c r="D67" s="70">
        <v>-689764062</v>
      </c>
      <c r="E67" s="70">
        <v>830175264</v>
      </c>
      <c r="F67" s="70">
        <v>-689764062</v>
      </c>
      <c r="G67" s="71"/>
    </row>
    <row r="68" spans="1:7" s="72" customFormat="1" ht="39" customHeight="1">
      <c r="A68" s="86" t="s">
        <v>53</v>
      </c>
      <c r="B68" s="68" t="s">
        <v>210</v>
      </c>
      <c r="C68" s="69"/>
      <c r="D68" s="70">
        <v>-5497611061</v>
      </c>
      <c r="E68" s="70">
        <v>37548508885</v>
      </c>
      <c r="F68" s="70">
        <v>-5497611061</v>
      </c>
      <c r="G68" s="71"/>
    </row>
    <row r="69" spans="1:7" ht="54" customHeight="1">
      <c r="A69" s="56">
        <v>1</v>
      </c>
      <c r="B69" s="73" t="s">
        <v>828</v>
      </c>
      <c r="C69" s="74"/>
      <c r="D69" s="75">
        <v>8468735946</v>
      </c>
      <c r="E69" s="75">
        <v>20250822753</v>
      </c>
      <c r="F69" s="75">
        <v>8468735946</v>
      </c>
      <c r="G69" s="67"/>
    </row>
    <row r="70" spans="1:7" ht="39" customHeight="1">
      <c r="A70" s="56">
        <v>2</v>
      </c>
      <c r="B70" s="73" t="s">
        <v>73</v>
      </c>
      <c r="C70" s="74"/>
      <c r="D70" s="75">
        <v>-13966347007</v>
      </c>
      <c r="E70" s="75">
        <v>17297686132</v>
      </c>
      <c r="F70" s="75">
        <v>-13966347007</v>
      </c>
      <c r="G70" s="67"/>
    </row>
    <row r="71" spans="1:7" s="72" customFormat="1" ht="75" customHeight="1">
      <c r="A71" s="86" t="s">
        <v>54</v>
      </c>
      <c r="B71" s="68" t="s">
        <v>240</v>
      </c>
      <c r="C71" s="69"/>
      <c r="D71" s="70">
        <v>-6187375123</v>
      </c>
      <c r="E71" s="70">
        <v>38378684149</v>
      </c>
      <c r="F71" s="70">
        <v>-6187375123</v>
      </c>
      <c r="G71" s="71"/>
    </row>
    <row r="72" spans="1:7" s="72" customFormat="1" ht="39" customHeight="1">
      <c r="A72" s="86" t="s">
        <v>55</v>
      </c>
      <c r="B72" s="68" t="s">
        <v>74</v>
      </c>
      <c r="C72" s="69"/>
      <c r="D72" s="70">
        <v>452374061555</v>
      </c>
      <c r="E72" s="70">
        <v>457026378595</v>
      </c>
      <c r="F72" s="70">
        <v>452374061555</v>
      </c>
      <c r="G72" s="71"/>
    </row>
    <row r="73" spans="1:7" s="72" customFormat="1" ht="46.5" customHeight="1">
      <c r="A73" s="86" t="s">
        <v>56</v>
      </c>
      <c r="B73" s="68" t="s">
        <v>75</v>
      </c>
      <c r="C73" s="69"/>
      <c r="D73" s="70">
        <v>-61315701651</v>
      </c>
      <c r="E73" s="70">
        <v>-4652317040</v>
      </c>
      <c r="F73" s="70">
        <v>-61315701651</v>
      </c>
      <c r="G73" s="71"/>
    </row>
    <row r="74" spans="1:7" ht="39" customHeight="1">
      <c r="A74" s="56"/>
      <c r="B74" s="73" t="s">
        <v>76</v>
      </c>
      <c r="C74" s="74"/>
      <c r="D74" s="75"/>
      <c r="E74" s="75"/>
      <c r="F74" s="75"/>
      <c r="G74" s="67"/>
    </row>
    <row r="75" spans="1:7" ht="58.5" customHeight="1">
      <c r="A75" s="56">
        <v>1</v>
      </c>
      <c r="B75" s="73" t="s">
        <v>829</v>
      </c>
      <c r="C75" s="74"/>
      <c r="D75" s="75">
        <v>-6187375123</v>
      </c>
      <c r="E75" s="75">
        <v>38378684149</v>
      </c>
      <c r="F75" s="84">
        <v>-6187375123</v>
      </c>
      <c r="G75" s="67"/>
    </row>
    <row r="76" spans="1:7" ht="58.5" customHeight="1">
      <c r="A76" s="56">
        <v>2</v>
      </c>
      <c r="B76" s="73" t="s">
        <v>830</v>
      </c>
      <c r="C76" s="74"/>
      <c r="D76" s="75">
        <v>0</v>
      </c>
      <c r="E76" s="75">
        <v>0</v>
      </c>
      <c r="F76" s="84">
        <v>0</v>
      </c>
      <c r="G76" s="67"/>
    </row>
    <row r="77" spans="1:7" ht="58.5" customHeight="1">
      <c r="A77" s="226">
        <v>3</v>
      </c>
      <c r="B77" s="227" t="s">
        <v>831</v>
      </c>
      <c r="C77" s="74"/>
      <c r="D77" s="75">
        <v>-55128326528</v>
      </c>
      <c r="E77" s="75">
        <v>-43031001189</v>
      </c>
      <c r="F77" s="75">
        <v>-55128326528</v>
      </c>
      <c r="G77" s="67"/>
    </row>
    <row r="78" spans="1:7" ht="62.65" customHeight="1">
      <c r="A78" s="56"/>
      <c r="B78" s="73" t="s">
        <v>241</v>
      </c>
      <c r="C78" s="74"/>
      <c r="D78" s="84">
        <v>6409626218</v>
      </c>
      <c r="E78" s="84">
        <v>6422000030</v>
      </c>
      <c r="F78" s="84">
        <v>6409626218</v>
      </c>
      <c r="G78" s="67"/>
    </row>
    <row r="79" spans="1:7" ht="46.9" customHeight="1">
      <c r="A79" s="56"/>
      <c r="B79" s="73" t="s">
        <v>242</v>
      </c>
      <c r="C79" s="74"/>
      <c r="D79" s="84">
        <v>-61537952746</v>
      </c>
      <c r="E79" s="84">
        <v>-49453001219</v>
      </c>
      <c r="F79" s="75">
        <v>-61537952746</v>
      </c>
      <c r="G79" s="67"/>
    </row>
    <row r="80" spans="1:7" s="72" customFormat="1" ht="37.9" customHeight="1">
      <c r="A80" s="53" t="s">
        <v>57</v>
      </c>
      <c r="B80" s="68" t="s">
        <v>77</v>
      </c>
      <c r="C80" s="69"/>
      <c r="D80" s="70">
        <v>391058359904</v>
      </c>
      <c r="E80" s="70">
        <v>452374061555</v>
      </c>
      <c r="F80" s="70">
        <v>391058359904</v>
      </c>
      <c r="G80" s="71"/>
    </row>
    <row r="81" spans="1:7" s="72" customFormat="1" ht="57.4" customHeight="1">
      <c r="A81" s="53" t="s">
        <v>58</v>
      </c>
      <c r="B81" s="68" t="s">
        <v>211</v>
      </c>
      <c r="C81" s="69"/>
      <c r="D81" s="70">
        <v>0</v>
      </c>
      <c r="E81" s="70">
        <v>0</v>
      </c>
      <c r="F81" s="70">
        <v>0</v>
      </c>
      <c r="G81" s="87"/>
    </row>
    <row r="82" spans="1:7" ht="57" customHeight="1">
      <c r="A82" s="54"/>
      <c r="B82" s="73" t="s">
        <v>212</v>
      </c>
      <c r="C82" s="74"/>
      <c r="D82" s="95">
        <v>0</v>
      </c>
      <c r="E82" s="95">
        <v>0</v>
      </c>
      <c r="F82" s="95">
        <v>0</v>
      </c>
      <c r="G82" s="87"/>
    </row>
    <row r="85" spans="1:7" ht="16.899999999999999" customHeight="1">
      <c r="A85" s="88" t="s">
        <v>10</v>
      </c>
      <c r="D85" s="88" t="s">
        <v>11</v>
      </c>
    </row>
    <row r="86" spans="1:7" s="90" customFormat="1" ht="16.899999999999999" customHeight="1">
      <c r="A86" s="89" t="s">
        <v>12</v>
      </c>
      <c r="B86" s="89"/>
      <c r="C86" s="89"/>
      <c r="D86" s="89" t="s">
        <v>13</v>
      </c>
      <c r="E86" s="89"/>
      <c r="F86" s="89"/>
      <c r="G86" s="89"/>
    </row>
    <row r="87" spans="1:7" ht="16.899999999999999" customHeight="1"/>
    <row r="88" spans="1:7" ht="16.899999999999999" customHeight="1"/>
    <row r="89" spans="1:7" ht="16.899999999999999" customHeight="1"/>
    <row r="90" spans="1:7" ht="16.899999999999999" customHeight="1"/>
    <row r="91" spans="1:7" ht="16.899999999999999" customHeight="1"/>
    <row r="92" spans="1:7" ht="16.899999999999999" customHeight="1"/>
    <row r="93" spans="1:7" ht="16.899999999999999" customHeight="1"/>
    <row r="94" spans="1:7" ht="16.899999999999999" customHeight="1">
      <c r="A94" s="91" t="s">
        <v>14</v>
      </c>
      <c r="B94" s="92"/>
      <c r="D94" s="91" t="s">
        <v>762</v>
      </c>
      <c r="E94" s="92"/>
      <c r="F94" s="92"/>
    </row>
    <row r="95" spans="1:7" ht="16.899999999999999" customHeight="1">
      <c r="A95" s="88" t="s">
        <v>769</v>
      </c>
      <c r="D95" s="88" t="s">
        <v>770</v>
      </c>
    </row>
    <row r="96" spans="1:7" ht="16.899999999999999" customHeight="1">
      <c r="A96" s="51" t="s">
        <v>771</v>
      </c>
      <c r="D96" s="51" t="s">
        <v>772</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4" fitToHeight="6"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2"/>
  <sheetViews>
    <sheetView view="pageBreakPreview" zoomScale="95" zoomScaleNormal="100" zoomScaleSheetLayoutView="95" workbookViewId="0">
      <selection activeCell="A2" sqref="A2:G2"/>
    </sheetView>
  </sheetViews>
  <sheetFormatPr defaultColWidth="8.7265625" defaultRowHeight="12.5"/>
  <cols>
    <col min="1" max="1" width="9" style="51" customWidth="1"/>
    <col min="2" max="2" width="44.36328125" style="51" customWidth="1"/>
    <col min="3" max="3" width="9.26953125" style="51" customWidth="1"/>
    <col min="4" max="4" width="17.81640625" style="51" customWidth="1"/>
    <col min="5" max="5" width="19.6328125" style="51" customWidth="1"/>
    <col min="6" max="6" width="22.7265625" style="51" customWidth="1"/>
    <col min="7" max="7" width="17.54296875" style="51" customWidth="1"/>
    <col min="8" max="16384" width="8.7265625" style="93"/>
  </cols>
  <sheetData>
    <row r="1" spans="1:7" ht="25.9" customHeight="1">
      <c r="A1" s="257" t="s">
        <v>815</v>
      </c>
      <c r="B1" s="257"/>
      <c r="C1" s="257"/>
      <c r="D1" s="257"/>
      <c r="E1" s="257"/>
      <c r="F1" s="257"/>
      <c r="G1" s="257"/>
    </row>
    <row r="2" spans="1:7" ht="44.5" customHeight="1">
      <c r="A2" s="258" t="s">
        <v>865</v>
      </c>
      <c r="B2" s="258"/>
      <c r="C2" s="258"/>
      <c r="D2" s="258"/>
      <c r="E2" s="258"/>
      <c r="F2" s="258"/>
      <c r="G2" s="258"/>
    </row>
    <row r="3" spans="1:7" ht="15" customHeight="1">
      <c r="A3" s="259" t="s">
        <v>832</v>
      </c>
      <c r="B3" s="259"/>
      <c r="C3" s="259"/>
      <c r="D3" s="259"/>
      <c r="E3" s="259"/>
      <c r="F3" s="259"/>
      <c r="G3" s="259"/>
    </row>
    <row r="4" spans="1:7" ht="27.4" customHeight="1">
      <c r="A4" s="259"/>
      <c r="B4" s="259"/>
      <c r="C4" s="259"/>
      <c r="D4" s="259"/>
      <c r="E4" s="259"/>
      <c r="F4" s="259"/>
      <c r="G4" s="259"/>
    </row>
    <row r="5" spans="1:7" ht="16.899999999999999" customHeight="1">
      <c r="A5" s="260" t="s">
        <v>760</v>
      </c>
      <c r="B5" s="260"/>
      <c r="C5" s="260"/>
      <c r="D5" s="260"/>
      <c r="E5" s="260"/>
      <c r="F5" s="260"/>
      <c r="G5" s="260"/>
    </row>
    <row r="6" spans="1:7" ht="16.899999999999999" customHeight="1"/>
    <row r="7" spans="1:7" ht="16.899999999999999" customHeight="1">
      <c r="A7" s="144" t="s">
        <v>2</v>
      </c>
      <c r="C7" s="269" t="s">
        <v>762</v>
      </c>
      <c r="D7" s="269"/>
      <c r="E7" s="269"/>
      <c r="F7" s="269"/>
      <c r="G7" s="269"/>
    </row>
    <row r="8" spans="1:7" ht="16.899999999999999" customHeight="1">
      <c r="A8" s="51" t="s">
        <v>40</v>
      </c>
      <c r="C8" s="268" t="s">
        <v>763</v>
      </c>
      <c r="D8" s="268"/>
      <c r="E8" s="268"/>
      <c r="F8" s="268"/>
      <c r="G8" s="268"/>
    </row>
    <row r="9" spans="1:7" ht="16.899999999999999" customHeight="1">
      <c r="A9" s="144" t="s">
        <v>3</v>
      </c>
      <c r="C9" s="269" t="s">
        <v>764</v>
      </c>
      <c r="D9" s="269"/>
      <c r="E9" s="269"/>
      <c r="F9" s="269"/>
      <c r="G9" s="269"/>
    </row>
    <row r="10" spans="1:7" ht="16.899999999999999" customHeight="1">
      <c r="A10" s="51" t="s">
        <v>4</v>
      </c>
      <c r="C10" s="268" t="s">
        <v>765</v>
      </c>
      <c r="D10" s="268"/>
      <c r="E10" s="268"/>
      <c r="F10" s="268"/>
      <c r="G10" s="268"/>
    </row>
    <row r="11" spans="1:7" ht="16.899999999999999" customHeight="1">
      <c r="A11" s="147" t="s">
        <v>5</v>
      </c>
      <c r="C11" s="269" t="s">
        <v>190</v>
      </c>
      <c r="D11" s="269"/>
      <c r="E11" s="269"/>
      <c r="F11" s="269"/>
      <c r="G11" s="269"/>
    </row>
    <row r="12" spans="1:7" ht="16.899999999999999" customHeight="1">
      <c r="A12" s="51" t="s">
        <v>6</v>
      </c>
      <c r="C12" s="268" t="s">
        <v>766</v>
      </c>
      <c r="D12" s="268"/>
      <c r="E12" s="268"/>
      <c r="F12" s="268"/>
      <c r="G12" s="268"/>
    </row>
    <row r="13" spans="1:7" ht="16.899999999999999" customHeight="1">
      <c r="A13" s="144" t="s">
        <v>7</v>
      </c>
      <c r="C13" s="269" t="s">
        <v>767</v>
      </c>
      <c r="D13" s="269"/>
      <c r="E13" s="269"/>
      <c r="F13" s="269"/>
      <c r="G13" s="269"/>
    </row>
    <row r="14" spans="1:7" ht="16.899999999999999" customHeight="1">
      <c r="A14" s="51" t="s">
        <v>8</v>
      </c>
      <c r="C14" s="268" t="s">
        <v>768</v>
      </c>
      <c r="D14" s="268"/>
      <c r="E14" s="268"/>
      <c r="F14" s="268"/>
      <c r="G14" s="268"/>
    </row>
    <row r="15" spans="1:7" ht="18" hidden="1" customHeight="1"/>
    <row r="16" spans="1:7" s="228" customFormat="1" ht="16.899999999999999" customHeight="1">
      <c r="A16" s="211" t="s">
        <v>801</v>
      </c>
      <c r="B16" s="212" t="s">
        <v>802</v>
      </c>
      <c r="C16" s="51"/>
      <c r="D16" s="51"/>
      <c r="E16" s="51"/>
      <c r="F16" s="51"/>
      <c r="G16" s="51"/>
    </row>
    <row r="17" spans="1:7" s="228" customFormat="1" ht="16.899999999999999" customHeight="1">
      <c r="A17" s="211" t="s">
        <v>52</v>
      </c>
      <c r="B17" s="212" t="s">
        <v>495</v>
      </c>
      <c r="C17" s="51"/>
      <c r="D17" s="51"/>
      <c r="E17" s="51"/>
      <c r="F17" s="51"/>
      <c r="G17" s="51"/>
    </row>
    <row r="18" spans="1:7" ht="75.400000000000006" customHeight="1">
      <c r="A18" s="94" t="s">
        <v>187</v>
      </c>
      <c r="B18" s="94" t="s">
        <v>78</v>
      </c>
      <c r="C18" s="94" t="s">
        <v>866</v>
      </c>
      <c r="D18" s="94" t="s">
        <v>79</v>
      </c>
      <c r="E18" s="94" t="s">
        <v>80</v>
      </c>
      <c r="F18" s="94" t="s">
        <v>81</v>
      </c>
      <c r="G18" s="94" t="s">
        <v>82</v>
      </c>
    </row>
    <row r="19" spans="1:7" ht="52" customHeight="1">
      <c r="A19" s="195" t="s">
        <v>41</v>
      </c>
      <c r="B19" s="194" t="s">
        <v>833</v>
      </c>
      <c r="C19" s="195"/>
      <c r="D19" s="197"/>
      <c r="E19" s="197"/>
      <c r="F19" s="197"/>
      <c r="G19" s="196"/>
    </row>
    <row r="20" spans="1:7" ht="57" customHeight="1">
      <c r="A20" s="195" t="s">
        <v>46</v>
      </c>
      <c r="B20" s="236" t="s">
        <v>863</v>
      </c>
      <c r="C20" s="195"/>
      <c r="D20" s="197"/>
      <c r="E20" s="197"/>
      <c r="F20" s="197"/>
      <c r="G20" s="196"/>
    </row>
    <row r="21" spans="1:7" ht="34" customHeight="1">
      <c r="A21" s="190" t="s">
        <v>644</v>
      </c>
      <c r="B21" s="189" t="s">
        <v>645</v>
      </c>
      <c r="C21" s="191"/>
      <c r="D21" s="193">
        <v>310000</v>
      </c>
      <c r="E21" s="199">
        <v>26800</v>
      </c>
      <c r="F21" s="193">
        <v>8308000000</v>
      </c>
      <c r="G21" s="192">
        <v>2.0650663898239899E-2</v>
      </c>
    </row>
    <row r="22" spans="1:7" ht="34" customHeight="1">
      <c r="A22" s="190" t="s">
        <v>646</v>
      </c>
      <c r="B22" s="189" t="s">
        <v>647</v>
      </c>
      <c r="C22" s="191"/>
      <c r="D22" s="193">
        <v>60000</v>
      </c>
      <c r="E22" s="199">
        <v>70100</v>
      </c>
      <c r="F22" s="193">
        <v>4206000000</v>
      </c>
      <c r="G22" s="192">
        <v>1.0454585021184E-2</v>
      </c>
    </row>
    <row r="23" spans="1:7" ht="34" customHeight="1">
      <c r="A23" s="190" t="s">
        <v>648</v>
      </c>
      <c r="B23" s="189" t="s">
        <v>649</v>
      </c>
      <c r="C23" s="191"/>
      <c r="D23" s="193">
        <v>300000</v>
      </c>
      <c r="E23" s="199">
        <v>17050</v>
      </c>
      <c r="F23" s="193">
        <v>5115000000</v>
      </c>
      <c r="G23" s="192">
        <v>1.27140281463044E-2</v>
      </c>
    </row>
    <row r="24" spans="1:7" ht="34" customHeight="1">
      <c r="A24" s="190" t="s">
        <v>650</v>
      </c>
      <c r="B24" s="189" t="s">
        <v>651</v>
      </c>
      <c r="C24" s="191"/>
      <c r="D24" s="193">
        <v>580000</v>
      </c>
      <c r="E24" s="199">
        <v>39900</v>
      </c>
      <c r="F24" s="193">
        <v>23142000000</v>
      </c>
      <c r="G24" s="192">
        <v>5.7522588340523297E-2</v>
      </c>
    </row>
    <row r="25" spans="1:7" ht="34" customHeight="1">
      <c r="A25" s="190" t="s">
        <v>652</v>
      </c>
      <c r="B25" s="189" t="s">
        <v>653</v>
      </c>
      <c r="C25" s="191"/>
      <c r="D25" s="193">
        <v>520000</v>
      </c>
      <c r="E25" s="199">
        <v>30500</v>
      </c>
      <c r="F25" s="193">
        <v>15860000000</v>
      </c>
      <c r="G25" s="192">
        <v>3.9422186979548003E-2</v>
      </c>
    </row>
    <row r="26" spans="1:7" ht="34" customHeight="1">
      <c r="A26" s="190" t="s">
        <v>654</v>
      </c>
      <c r="B26" s="189" t="s">
        <v>655</v>
      </c>
      <c r="C26" s="191"/>
      <c r="D26" s="193">
        <v>150000</v>
      </c>
      <c r="E26" s="199">
        <v>19600</v>
      </c>
      <c r="F26" s="193">
        <v>2940000000</v>
      </c>
      <c r="G26" s="192">
        <v>7.3077698436236497E-3</v>
      </c>
    </row>
    <row r="27" spans="1:7" ht="34" customHeight="1">
      <c r="A27" s="190" t="s">
        <v>656</v>
      </c>
      <c r="B27" s="189" t="s">
        <v>657</v>
      </c>
      <c r="C27" s="191"/>
      <c r="D27" s="193">
        <v>480000</v>
      </c>
      <c r="E27" s="199">
        <v>62700</v>
      </c>
      <c r="F27" s="193">
        <v>30096000000</v>
      </c>
      <c r="G27" s="192">
        <v>7.4807701093094398E-2</v>
      </c>
    </row>
    <row r="28" spans="1:7" ht="34" customHeight="1">
      <c r="A28" s="190" t="s">
        <v>658</v>
      </c>
      <c r="B28" s="189" t="s">
        <v>659</v>
      </c>
      <c r="C28" s="191"/>
      <c r="D28" s="193">
        <v>70000</v>
      </c>
      <c r="E28" s="199">
        <v>76300</v>
      </c>
      <c r="F28" s="193">
        <v>5341000000</v>
      </c>
      <c r="G28" s="192">
        <v>1.3275781882583E-2</v>
      </c>
    </row>
    <row r="29" spans="1:7" ht="34" customHeight="1">
      <c r="A29" s="190" t="s">
        <v>660</v>
      </c>
      <c r="B29" s="189" t="s">
        <v>661</v>
      </c>
      <c r="C29" s="191"/>
      <c r="D29" s="193">
        <v>100000</v>
      </c>
      <c r="E29" s="199">
        <v>46000</v>
      </c>
      <c r="F29" s="193">
        <v>4600000000</v>
      </c>
      <c r="G29" s="192">
        <v>1.1433925605669699E-2</v>
      </c>
    </row>
    <row r="30" spans="1:7" ht="34" customHeight="1">
      <c r="A30" s="190" t="s">
        <v>662</v>
      </c>
      <c r="B30" s="189" t="s">
        <v>663</v>
      </c>
      <c r="C30" s="191"/>
      <c r="D30" s="193">
        <v>150000</v>
      </c>
      <c r="E30" s="199">
        <v>35550</v>
      </c>
      <c r="F30" s="193">
        <v>5332500000</v>
      </c>
      <c r="G30" s="192">
        <v>1.32546539765725E-2</v>
      </c>
    </row>
    <row r="31" spans="1:7" ht="34" customHeight="1">
      <c r="A31" s="190" t="s">
        <v>664</v>
      </c>
      <c r="B31" s="189" t="s">
        <v>665</v>
      </c>
      <c r="C31" s="191"/>
      <c r="D31" s="193">
        <v>1400000</v>
      </c>
      <c r="E31" s="199">
        <v>39150</v>
      </c>
      <c r="F31" s="193">
        <v>54810000000</v>
      </c>
      <c r="G31" s="192">
        <v>0.13623770922755499</v>
      </c>
    </row>
    <row r="32" spans="1:7" ht="34" customHeight="1">
      <c r="A32" s="190" t="s">
        <v>666</v>
      </c>
      <c r="B32" s="189" t="s">
        <v>667</v>
      </c>
      <c r="C32" s="191"/>
      <c r="D32" s="193">
        <v>220000</v>
      </c>
      <c r="E32" s="199">
        <v>23350</v>
      </c>
      <c r="F32" s="193">
        <v>5137000000</v>
      </c>
      <c r="G32" s="192">
        <v>1.2768712138331501E-2</v>
      </c>
    </row>
    <row r="33" spans="1:7" ht="34" customHeight="1">
      <c r="A33" s="190" t="s">
        <v>668</v>
      </c>
      <c r="B33" s="189" t="s">
        <v>669</v>
      </c>
      <c r="C33" s="191"/>
      <c r="D33" s="193">
        <v>270000</v>
      </c>
      <c r="E33" s="199">
        <v>36850</v>
      </c>
      <c r="F33" s="193">
        <v>9949500000</v>
      </c>
      <c r="G33" s="192">
        <v>2.4730835394263101E-2</v>
      </c>
    </row>
    <row r="34" spans="1:7" ht="34" customHeight="1">
      <c r="A34" s="190" t="s">
        <v>670</v>
      </c>
      <c r="B34" s="189" t="s">
        <v>671</v>
      </c>
      <c r="C34" s="191"/>
      <c r="D34" s="193">
        <v>230000</v>
      </c>
      <c r="E34" s="199">
        <v>31900</v>
      </c>
      <c r="F34" s="193">
        <v>7337000000</v>
      </c>
      <c r="G34" s="192">
        <v>1.82371113410431E-2</v>
      </c>
    </row>
    <row r="35" spans="1:7" ht="34" customHeight="1">
      <c r="A35" s="190" t="s">
        <v>672</v>
      </c>
      <c r="B35" s="189" t="s">
        <v>673</v>
      </c>
      <c r="C35" s="191"/>
      <c r="D35" s="193">
        <v>460000</v>
      </c>
      <c r="E35" s="199">
        <v>26500</v>
      </c>
      <c r="F35" s="193">
        <v>12190000000</v>
      </c>
      <c r="G35" s="192">
        <v>3.02999028550246E-2</v>
      </c>
    </row>
    <row r="36" spans="1:7" ht="34" customHeight="1">
      <c r="A36" s="190" t="s">
        <v>674</v>
      </c>
      <c r="B36" s="189" t="s">
        <v>675</v>
      </c>
      <c r="C36" s="191"/>
      <c r="D36" s="193">
        <v>130000</v>
      </c>
      <c r="E36" s="199">
        <v>31500</v>
      </c>
      <c r="F36" s="193">
        <v>4095000000</v>
      </c>
      <c r="G36" s="192">
        <v>1.01786794250472E-2</v>
      </c>
    </row>
    <row r="37" spans="1:7" ht="34" customHeight="1">
      <c r="A37" s="190" t="s">
        <v>676</v>
      </c>
      <c r="B37" s="189" t="s">
        <v>677</v>
      </c>
      <c r="C37" s="191"/>
      <c r="D37" s="193">
        <v>230032</v>
      </c>
      <c r="E37" s="199">
        <v>23450</v>
      </c>
      <c r="F37" s="193">
        <v>5394250400</v>
      </c>
      <c r="G37" s="192">
        <v>1.3408142993902999E-2</v>
      </c>
    </row>
    <row r="38" spans="1:7" ht="34" customHeight="1">
      <c r="A38" s="190" t="s">
        <v>678</v>
      </c>
      <c r="B38" s="189" t="s">
        <v>679</v>
      </c>
      <c r="C38" s="191"/>
      <c r="D38" s="193">
        <v>25000</v>
      </c>
      <c r="E38" s="199">
        <v>85500</v>
      </c>
      <c r="F38" s="193">
        <v>2137500000</v>
      </c>
      <c r="G38" s="192">
        <v>5.3130469526345399E-3</v>
      </c>
    </row>
    <row r="39" spans="1:7" ht="34" customHeight="1">
      <c r="A39" s="190" t="s">
        <v>680</v>
      </c>
      <c r="B39" s="189" t="s">
        <v>681</v>
      </c>
      <c r="C39" s="191"/>
      <c r="D39" s="193">
        <v>160000</v>
      </c>
      <c r="E39" s="199">
        <v>132700</v>
      </c>
      <c r="F39" s="193">
        <v>21232000000</v>
      </c>
      <c r="G39" s="192">
        <v>5.2775023578169197E-2</v>
      </c>
    </row>
    <row r="40" spans="1:7" ht="34" customHeight="1">
      <c r="A40" s="190" t="s">
        <v>682</v>
      </c>
      <c r="B40" s="189" t="s">
        <v>683</v>
      </c>
      <c r="C40" s="191"/>
      <c r="D40" s="193">
        <v>170000</v>
      </c>
      <c r="E40" s="199">
        <v>32500</v>
      </c>
      <c r="F40" s="193">
        <v>5525000000</v>
      </c>
      <c r="G40" s="192">
        <v>1.37331389068098E-2</v>
      </c>
    </row>
    <row r="41" spans="1:7" ht="34" customHeight="1">
      <c r="A41" s="190" t="s">
        <v>684</v>
      </c>
      <c r="B41" s="189" t="s">
        <v>685</v>
      </c>
      <c r="C41" s="191"/>
      <c r="D41" s="193">
        <v>25000</v>
      </c>
      <c r="E41" s="199">
        <v>213600</v>
      </c>
      <c r="F41" s="193">
        <v>5340000000</v>
      </c>
      <c r="G41" s="192">
        <v>1.32732962465817E-2</v>
      </c>
    </row>
    <row r="42" spans="1:7" ht="34" customHeight="1">
      <c r="A42" s="190" t="s">
        <v>686</v>
      </c>
      <c r="B42" s="189" t="s">
        <v>687</v>
      </c>
      <c r="C42" s="191"/>
      <c r="D42" s="193">
        <v>100000</v>
      </c>
      <c r="E42" s="199">
        <v>80200</v>
      </c>
      <c r="F42" s="193">
        <v>8020000000</v>
      </c>
      <c r="G42" s="192">
        <v>1.9934800729884902E-2</v>
      </c>
    </row>
    <row r="43" spans="1:7" ht="34" customHeight="1">
      <c r="A43" s="190" t="s">
        <v>688</v>
      </c>
      <c r="B43" s="189" t="s">
        <v>689</v>
      </c>
      <c r="C43" s="191"/>
      <c r="D43" s="193">
        <v>60000</v>
      </c>
      <c r="E43" s="199">
        <v>83100</v>
      </c>
      <c r="F43" s="193">
        <v>4986000000</v>
      </c>
      <c r="G43" s="192">
        <v>1.23933811021454E-2</v>
      </c>
    </row>
    <row r="44" spans="1:7" ht="34" customHeight="1">
      <c r="A44" s="190" t="s">
        <v>690</v>
      </c>
      <c r="B44" s="189" t="s">
        <v>691</v>
      </c>
      <c r="C44" s="191"/>
      <c r="D44" s="193">
        <v>100000</v>
      </c>
      <c r="E44" s="199">
        <v>64000</v>
      </c>
      <c r="F44" s="193">
        <v>6400000000</v>
      </c>
      <c r="G44" s="192">
        <v>1.5908070407888199E-2</v>
      </c>
    </row>
    <row r="45" spans="1:7" ht="34" customHeight="1">
      <c r="A45" s="190" t="s">
        <v>692</v>
      </c>
      <c r="B45" s="189" t="s">
        <v>693</v>
      </c>
      <c r="C45" s="191"/>
      <c r="D45" s="193">
        <v>100000</v>
      </c>
      <c r="E45" s="199">
        <v>51000</v>
      </c>
      <c r="F45" s="193">
        <v>5100000000</v>
      </c>
      <c r="G45" s="192">
        <v>1.2676743606285901E-2</v>
      </c>
    </row>
    <row r="46" spans="1:7" ht="34" customHeight="1">
      <c r="A46" s="190" t="s">
        <v>694</v>
      </c>
      <c r="B46" s="189" t="s">
        <v>695</v>
      </c>
      <c r="C46" s="191"/>
      <c r="D46" s="193">
        <v>20000</v>
      </c>
      <c r="E46" s="199">
        <v>161700</v>
      </c>
      <c r="F46" s="193">
        <v>3234000000</v>
      </c>
      <c r="G46" s="192">
        <v>8.0385468279860206E-3</v>
      </c>
    </row>
    <row r="47" spans="1:7" ht="34" customHeight="1">
      <c r="A47" s="190" t="s">
        <v>696</v>
      </c>
      <c r="B47" s="189" t="s">
        <v>697</v>
      </c>
      <c r="C47" s="191"/>
      <c r="D47" s="193">
        <v>220000</v>
      </c>
      <c r="E47" s="199">
        <v>42000</v>
      </c>
      <c r="F47" s="193">
        <v>9240000000</v>
      </c>
      <c r="G47" s="192">
        <v>2.2967276651388601E-2</v>
      </c>
    </row>
    <row r="48" spans="1:7" ht="34" customHeight="1">
      <c r="A48" s="190" t="s">
        <v>698</v>
      </c>
      <c r="B48" s="189" t="s">
        <v>699</v>
      </c>
      <c r="C48" s="191"/>
      <c r="D48" s="193">
        <v>376000</v>
      </c>
      <c r="E48" s="199">
        <v>32000</v>
      </c>
      <c r="F48" s="193">
        <v>12032000000</v>
      </c>
      <c r="G48" s="192">
        <v>2.9907172366829899E-2</v>
      </c>
    </row>
    <row r="49" spans="1:7" ht="34" customHeight="1">
      <c r="A49" s="190" t="s">
        <v>700</v>
      </c>
      <c r="B49" s="189" t="s">
        <v>701</v>
      </c>
      <c r="C49" s="191"/>
      <c r="D49" s="193">
        <v>160000</v>
      </c>
      <c r="E49" s="199">
        <v>49900</v>
      </c>
      <c r="F49" s="193">
        <v>7984000000</v>
      </c>
      <c r="G49" s="192">
        <v>1.9845317833840598E-2</v>
      </c>
    </row>
    <row r="50" spans="1:7" ht="34" customHeight="1">
      <c r="A50" s="190" t="s">
        <v>702</v>
      </c>
      <c r="B50" s="189" t="s">
        <v>703</v>
      </c>
      <c r="C50" s="191"/>
      <c r="D50" s="193">
        <v>420000</v>
      </c>
      <c r="E50" s="199">
        <v>93000</v>
      </c>
      <c r="F50" s="193">
        <v>39060000000</v>
      </c>
      <c r="G50" s="192">
        <v>9.7088942208142806E-2</v>
      </c>
    </row>
    <row r="51" spans="1:7" ht="34" customHeight="1">
      <c r="A51" s="190" t="s">
        <v>704</v>
      </c>
      <c r="B51" s="189" t="s">
        <v>705</v>
      </c>
      <c r="C51" s="191"/>
      <c r="D51" s="193">
        <v>180000</v>
      </c>
      <c r="E51" s="199">
        <v>93500</v>
      </c>
      <c r="F51" s="193">
        <v>16830000000</v>
      </c>
      <c r="G51" s="192">
        <v>4.1833253900743599E-2</v>
      </c>
    </row>
    <row r="52" spans="1:7" ht="34" customHeight="1">
      <c r="A52" s="190" t="s">
        <v>706</v>
      </c>
      <c r="B52" s="189" t="s">
        <v>707</v>
      </c>
      <c r="C52" s="191"/>
      <c r="D52" s="193">
        <v>90000</v>
      </c>
      <c r="E52" s="199">
        <v>99400</v>
      </c>
      <c r="F52" s="193">
        <v>8946000000</v>
      </c>
      <c r="G52" s="192">
        <v>2.2236499667026299E-2</v>
      </c>
    </row>
    <row r="53" spans="1:7" ht="34" customHeight="1">
      <c r="A53" s="190" t="s">
        <v>708</v>
      </c>
      <c r="B53" s="189" t="s">
        <v>709</v>
      </c>
      <c r="C53" s="191"/>
      <c r="D53" s="193">
        <v>50000</v>
      </c>
      <c r="E53" s="199">
        <v>102800</v>
      </c>
      <c r="F53" s="193">
        <v>5140000000</v>
      </c>
      <c r="G53" s="192">
        <v>1.27761690463352E-2</v>
      </c>
    </row>
    <row r="54" spans="1:7" ht="34" customHeight="1">
      <c r="A54" s="190" t="s">
        <v>710</v>
      </c>
      <c r="B54" s="189" t="s">
        <v>711</v>
      </c>
      <c r="C54" s="191"/>
      <c r="D54" s="193">
        <v>420000</v>
      </c>
      <c r="E54" s="199">
        <v>30000</v>
      </c>
      <c r="F54" s="193">
        <v>12600000000</v>
      </c>
      <c r="G54" s="192">
        <v>3.1319013615529898E-2</v>
      </c>
    </row>
    <row r="55" spans="1:7" ht="34" customHeight="1">
      <c r="A55" s="190" t="s">
        <v>712</v>
      </c>
      <c r="B55" s="189" t="s">
        <v>713</v>
      </c>
      <c r="C55" s="191"/>
      <c r="D55" s="193">
        <v>200000</v>
      </c>
      <c r="E55" s="199">
        <v>32050</v>
      </c>
      <c r="F55" s="193">
        <v>6410000000</v>
      </c>
      <c r="G55" s="192">
        <v>1.59329267679005E-2</v>
      </c>
    </row>
    <row r="56" spans="1:7" ht="34" customHeight="1">
      <c r="A56" s="190" t="s">
        <v>714</v>
      </c>
      <c r="B56" s="189" t="s">
        <v>715</v>
      </c>
      <c r="C56" s="191"/>
      <c r="D56" s="193">
        <v>50000</v>
      </c>
      <c r="E56" s="199">
        <v>102300</v>
      </c>
      <c r="F56" s="193">
        <v>5115000000</v>
      </c>
      <c r="G56" s="192">
        <v>1.27140281463044E-2</v>
      </c>
    </row>
    <row r="57" spans="1:7" ht="39" customHeight="1">
      <c r="A57" s="195"/>
      <c r="B57" s="194" t="s">
        <v>716</v>
      </c>
      <c r="C57" s="195"/>
      <c r="D57" s="197"/>
      <c r="E57" s="197"/>
      <c r="F57" s="197">
        <v>389184750400</v>
      </c>
      <c r="G57" s="196">
        <v>0.96737162672493804</v>
      </c>
    </row>
    <row r="58" spans="1:7" ht="61.5" customHeight="1">
      <c r="A58" s="195" t="s">
        <v>52</v>
      </c>
      <c r="B58" s="237" t="s">
        <v>864</v>
      </c>
      <c r="C58" s="195"/>
      <c r="D58" s="197"/>
      <c r="E58" s="197"/>
      <c r="F58" s="197"/>
      <c r="G58" s="196"/>
    </row>
    <row r="59" spans="1:7" ht="39" customHeight="1">
      <c r="A59" s="195"/>
      <c r="B59" s="194" t="s">
        <v>717</v>
      </c>
      <c r="C59" s="195"/>
      <c r="D59" s="197"/>
      <c r="E59" s="197"/>
      <c r="F59" s="197">
        <v>0</v>
      </c>
      <c r="G59" s="196">
        <v>0</v>
      </c>
    </row>
    <row r="60" spans="1:7" ht="39" customHeight="1">
      <c r="A60" s="195"/>
      <c r="B60" s="194" t="s">
        <v>718</v>
      </c>
      <c r="C60" s="195"/>
      <c r="D60" s="197"/>
      <c r="E60" s="197"/>
      <c r="F60" s="197">
        <v>389184750400</v>
      </c>
      <c r="G60" s="196">
        <v>0.96737162672493804</v>
      </c>
    </row>
    <row r="61" spans="1:7" ht="39" customHeight="1">
      <c r="A61" s="195" t="s">
        <v>53</v>
      </c>
      <c r="B61" s="194" t="s">
        <v>719</v>
      </c>
      <c r="C61" s="195"/>
      <c r="D61" s="197"/>
      <c r="E61" s="197"/>
      <c r="F61" s="197"/>
      <c r="G61" s="196"/>
    </row>
    <row r="62" spans="1:7" ht="39" customHeight="1">
      <c r="A62" s="190" t="s">
        <v>720</v>
      </c>
      <c r="B62" s="189" t="s">
        <v>721</v>
      </c>
      <c r="C62" s="191"/>
      <c r="D62" s="193"/>
      <c r="E62" s="199"/>
      <c r="F62" s="193">
        <v>0</v>
      </c>
      <c r="G62" s="192">
        <v>0</v>
      </c>
    </row>
    <row r="63" spans="1:7" ht="39" customHeight="1">
      <c r="A63" s="190" t="s">
        <v>722</v>
      </c>
      <c r="B63" s="189" t="s">
        <v>723</v>
      </c>
      <c r="C63" s="191"/>
      <c r="D63" s="193"/>
      <c r="E63" s="199"/>
      <c r="F63" s="193">
        <v>0</v>
      </c>
      <c r="G63" s="192">
        <v>0</v>
      </c>
    </row>
    <row r="64" spans="1:7" ht="39" customHeight="1">
      <c r="A64" s="195"/>
      <c r="B64" s="194" t="s">
        <v>724</v>
      </c>
      <c r="C64" s="195"/>
      <c r="D64" s="197"/>
      <c r="E64" s="197"/>
      <c r="F64" s="197">
        <v>0</v>
      </c>
      <c r="G64" s="196">
        <v>0</v>
      </c>
    </row>
    <row r="65" spans="1:7" ht="39" customHeight="1">
      <c r="A65" s="195" t="s">
        <v>54</v>
      </c>
      <c r="B65" s="194" t="s">
        <v>725</v>
      </c>
      <c r="C65" s="195"/>
      <c r="D65" s="197"/>
      <c r="E65" s="197"/>
      <c r="F65" s="197"/>
      <c r="G65" s="196"/>
    </row>
    <row r="66" spans="1:7" ht="39" customHeight="1">
      <c r="A66" s="190" t="s">
        <v>726</v>
      </c>
      <c r="B66" s="189" t="s">
        <v>727</v>
      </c>
      <c r="C66" s="191"/>
      <c r="D66" s="193">
        <v>100000</v>
      </c>
      <c r="E66" s="199"/>
      <c r="F66" s="193">
        <v>165168539</v>
      </c>
      <c r="G66" s="192">
        <v>4.1054886680938002E-4</v>
      </c>
    </row>
    <row r="67" spans="1:7" ht="27.5" customHeight="1">
      <c r="A67" s="190" t="s">
        <v>728</v>
      </c>
      <c r="B67" s="239" t="s">
        <v>729</v>
      </c>
      <c r="C67" s="191"/>
      <c r="D67" s="193">
        <v>100000</v>
      </c>
      <c r="E67" s="199">
        <v>1651.69</v>
      </c>
      <c r="F67" s="193">
        <v>165168539</v>
      </c>
      <c r="G67" s="192">
        <v>4.1054886680938002E-4</v>
      </c>
    </row>
    <row r="68" spans="1:7" ht="39" customHeight="1">
      <c r="A68" s="190" t="s">
        <v>730</v>
      </c>
      <c r="B68" s="189" t="s">
        <v>731</v>
      </c>
      <c r="C68" s="191"/>
      <c r="D68" s="193"/>
      <c r="E68" s="199"/>
      <c r="F68" s="193">
        <v>0</v>
      </c>
      <c r="G68" s="192">
        <v>0</v>
      </c>
    </row>
    <row r="69" spans="1:7" ht="34" customHeight="1">
      <c r="A69" s="195"/>
      <c r="B69" s="194" t="s">
        <v>732</v>
      </c>
      <c r="C69" s="195"/>
      <c r="D69" s="197"/>
      <c r="E69" s="197"/>
      <c r="F69" s="197">
        <v>165168539</v>
      </c>
      <c r="G69" s="196">
        <v>4.1054886680938002E-4</v>
      </c>
    </row>
    <row r="70" spans="1:7" ht="39" customHeight="1">
      <c r="A70" s="195"/>
      <c r="B70" s="194" t="s">
        <v>733</v>
      </c>
      <c r="C70" s="195"/>
      <c r="D70" s="197"/>
      <c r="E70" s="197"/>
      <c r="F70" s="197">
        <v>389349918939</v>
      </c>
      <c r="G70" s="196">
        <v>0.96778217559174695</v>
      </c>
    </row>
    <row r="71" spans="1:7" ht="39" customHeight="1">
      <c r="A71" s="195" t="s">
        <v>55</v>
      </c>
      <c r="B71" s="194" t="s">
        <v>734</v>
      </c>
      <c r="C71" s="195"/>
      <c r="D71" s="197"/>
      <c r="E71" s="197"/>
      <c r="F71" s="197"/>
      <c r="G71" s="196"/>
    </row>
    <row r="72" spans="1:7" ht="39" customHeight="1">
      <c r="A72" s="190" t="s">
        <v>735</v>
      </c>
      <c r="B72" s="189" t="s">
        <v>736</v>
      </c>
      <c r="C72" s="191"/>
      <c r="D72" s="193"/>
      <c r="E72" s="199"/>
      <c r="F72" s="193">
        <v>1135000000</v>
      </c>
      <c r="G72" s="192">
        <v>2.8211968613989298E-3</v>
      </c>
    </row>
    <row r="73" spans="1:7" ht="39" customHeight="1">
      <c r="A73" s="190" t="s">
        <v>737</v>
      </c>
      <c r="B73" s="189" t="s">
        <v>738</v>
      </c>
      <c r="C73" s="191"/>
      <c r="D73" s="193"/>
      <c r="E73" s="199"/>
      <c r="F73" s="193">
        <v>0</v>
      </c>
      <c r="G73" s="192">
        <v>0</v>
      </c>
    </row>
    <row r="74" spans="1:7" ht="47" customHeight="1">
      <c r="A74" s="190" t="s">
        <v>739</v>
      </c>
      <c r="B74" s="189" t="s">
        <v>740</v>
      </c>
      <c r="C74" s="191"/>
      <c r="D74" s="193"/>
      <c r="E74" s="199"/>
      <c r="F74" s="193">
        <v>0</v>
      </c>
      <c r="G74" s="192">
        <v>0</v>
      </c>
    </row>
    <row r="75" spans="1:7" ht="45" customHeight="1">
      <c r="A75" s="190" t="s">
        <v>741</v>
      </c>
      <c r="B75" s="189" t="s">
        <v>742</v>
      </c>
      <c r="C75" s="191"/>
      <c r="D75" s="193"/>
      <c r="E75" s="199"/>
      <c r="F75" s="193">
        <v>3816370000</v>
      </c>
      <c r="G75" s="192">
        <v>9.4861066660238101E-3</v>
      </c>
    </row>
    <row r="76" spans="1:7" ht="57" customHeight="1">
      <c r="A76" s="190" t="s">
        <v>743</v>
      </c>
      <c r="B76" s="189" t="s">
        <v>744</v>
      </c>
      <c r="C76" s="191"/>
      <c r="D76" s="193"/>
      <c r="E76" s="199"/>
      <c r="F76" s="193">
        <v>0</v>
      </c>
      <c r="G76" s="192">
        <v>0</v>
      </c>
    </row>
    <row r="77" spans="1:7" ht="39" customHeight="1">
      <c r="A77" s="190" t="s">
        <v>745</v>
      </c>
      <c r="B77" s="189" t="s">
        <v>746</v>
      </c>
      <c r="C77" s="191"/>
      <c r="D77" s="193"/>
      <c r="E77" s="199"/>
      <c r="F77" s="193">
        <v>10450</v>
      </c>
      <c r="G77" s="192">
        <v>2.5974896212879999E-8</v>
      </c>
    </row>
    <row r="78" spans="1:7" ht="39" customHeight="1">
      <c r="A78" s="190" t="s">
        <v>747</v>
      </c>
      <c r="B78" s="189" t="s">
        <v>748</v>
      </c>
      <c r="C78" s="191"/>
      <c r="D78" s="193"/>
      <c r="E78" s="199"/>
      <c r="F78" s="193">
        <v>0</v>
      </c>
      <c r="G78" s="192">
        <v>0</v>
      </c>
    </row>
    <row r="79" spans="1:7" ht="39" customHeight="1">
      <c r="A79" s="195"/>
      <c r="B79" s="194" t="s">
        <v>749</v>
      </c>
      <c r="C79" s="195"/>
      <c r="D79" s="197"/>
      <c r="E79" s="197"/>
      <c r="F79" s="197">
        <v>4951380450</v>
      </c>
      <c r="G79" s="196">
        <v>1.2307329502318901E-2</v>
      </c>
    </row>
    <row r="80" spans="1:7" ht="39" customHeight="1">
      <c r="A80" s="195" t="s">
        <v>56</v>
      </c>
      <c r="B80" s="194" t="s">
        <v>750</v>
      </c>
      <c r="C80" s="195"/>
      <c r="D80" s="197"/>
      <c r="E80" s="197"/>
      <c r="F80" s="197"/>
      <c r="G80" s="196"/>
    </row>
    <row r="81" spans="1:7" ht="39" customHeight="1">
      <c r="A81" s="190" t="s">
        <v>272</v>
      </c>
      <c r="B81" s="189" t="s">
        <v>834</v>
      </c>
      <c r="C81" s="191"/>
      <c r="D81" s="193"/>
      <c r="E81" s="199"/>
      <c r="F81" s="193">
        <v>8010221487</v>
      </c>
      <c r="G81" s="192">
        <v>1.99104949059336E-2</v>
      </c>
    </row>
    <row r="82" spans="1:7" ht="39" customHeight="1">
      <c r="A82" s="190" t="s">
        <v>751</v>
      </c>
      <c r="B82" s="189" t="s">
        <v>752</v>
      </c>
      <c r="C82" s="191"/>
      <c r="D82" s="193"/>
      <c r="E82" s="199"/>
      <c r="F82" s="193">
        <v>8010221487</v>
      </c>
      <c r="G82" s="192">
        <v>1.99104949059336E-2</v>
      </c>
    </row>
    <row r="83" spans="1:7" ht="39" customHeight="1">
      <c r="A83" s="190" t="s">
        <v>753</v>
      </c>
      <c r="B83" s="189" t="s">
        <v>754</v>
      </c>
      <c r="C83" s="191"/>
      <c r="D83" s="193"/>
      <c r="E83" s="199"/>
      <c r="F83" s="193">
        <v>0</v>
      </c>
      <c r="G83" s="192">
        <v>0</v>
      </c>
    </row>
    <row r="84" spans="1:7" ht="39" customHeight="1">
      <c r="A84" s="229">
        <v>2</v>
      </c>
      <c r="B84" s="189" t="s">
        <v>835</v>
      </c>
      <c r="C84" s="191"/>
      <c r="D84" s="193"/>
      <c r="E84" s="199"/>
      <c r="F84" s="193">
        <v>0</v>
      </c>
      <c r="G84" s="192">
        <v>0</v>
      </c>
    </row>
    <row r="85" spans="1:7" ht="39" customHeight="1">
      <c r="A85" s="229">
        <v>3</v>
      </c>
      <c r="B85" s="189" t="s">
        <v>755</v>
      </c>
      <c r="C85" s="191"/>
      <c r="D85" s="193"/>
      <c r="E85" s="199"/>
      <c r="F85" s="193">
        <v>0</v>
      </c>
      <c r="G85" s="192">
        <v>0</v>
      </c>
    </row>
    <row r="86" spans="1:7" ht="39" customHeight="1">
      <c r="A86" s="229">
        <v>4</v>
      </c>
      <c r="B86" s="189" t="s">
        <v>756</v>
      </c>
      <c r="C86" s="191"/>
      <c r="D86" s="193"/>
      <c r="E86" s="199"/>
      <c r="F86" s="193">
        <v>0</v>
      </c>
      <c r="G86" s="192">
        <v>0</v>
      </c>
    </row>
    <row r="87" spans="1:7" ht="39" customHeight="1">
      <c r="A87" s="195"/>
      <c r="B87" s="194" t="s">
        <v>757</v>
      </c>
      <c r="C87" s="195"/>
      <c r="D87" s="197"/>
      <c r="E87" s="197"/>
      <c r="F87" s="197">
        <v>8010221487</v>
      </c>
      <c r="G87" s="196">
        <v>1.99104949059336E-2</v>
      </c>
    </row>
    <row r="88" spans="1:7" ht="39" customHeight="1">
      <c r="A88" s="195" t="s">
        <v>758</v>
      </c>
      <c r="B88" s="194" t="s">
        <v>759</v>
      </c>
      <c r="C88" s="195"/>
      <c r="D88" s="197"/>
      <c r="E88" s="197"/>
      <c r="F88" s="197">
        <v>402311520876</v>
      </c>
      <c r="G88" s="196">
        <v>1</v>
      </c>
    </row>
    <row r="89" spans="1:7" ht="16.899999999999999" customHeight="1">
      <c r="A89" s="146"/>
      <c r="B89" s="96"/>
      <c r="C89" s="96"/>
      <c r="D89" s="96"/>
      <c r="E89" s="61"/>
      <c r="F89" s="96"/>
    </row>
    <row r="90" spans="1:7" ht="16.899999999999999" customHeight="1">
      <c r="A90" s="61" t="s">
        <v>10</v>
      </c>
      <c r="B90" s="96"/>
      <c r="C90" s="96"/>
      <c r="D90" s="96"/>
      <c r="E90" s="61" t="s">
        <v>11</v>
      </c>
      <c r="F90" s="96"/>
    </row>
    <row r="91" spans="1:7" ht="16.899999999999999" customHeight="1">
      <c r="A91" s="62" t="s">
        <v>12</v>
      </c>
      <c r="B91" s="96"/>
      <c r="C91" s="96"/>
      <c r="D91" s="96"/>
      <c r="E91" s="62" t="s">
        <v>13</v>
      </c>
      <c r="F91" s="96"/>
    </row>
    <row r="92" spans="1:7" ht="16.899999999999999" customHeight="1"/>
    <row r="93" spans="1:7" ht="16.899999999999999" customHeight="1">
      <c r="A93" s="88"/>
      <c r="E93" s="88"/>
    </row>
    <row r="94" spans="1:7" ht="16.899999999999999" customHeight="1"/>
    <row r="95" spans="1:7" ht="16.899999999999999" customHeight="1"/>
    <row r="96" spans="1:7" ht="16.899999999999999" customHeight="1"/>
    <row r="97" spans="1:7" ht="16.899999999999999" customHeight="1"/>
    <row r="98" spans="1:7" ht="16.899999999999999" customHeight="1"/>
    <row r="99" spans="1:7" ht="16.899999999999999" customHeight="1"/>
    <row r="100" spans="1:7" ht="16.899999999999999" customHeight="1">
      <c r="A100" s="97" t="s">
        <v>14</v>
      </c>
      <c r="B100" s="92"/>
      <c r="C100" s="92"/>
      <c r="E100" s="97" t="s">
        <v>762</v>
      </c>
      <c r="F100" s="92"/>
      <c r="G100" s="92"/>
    </row>
    <row r="101" spans="1:7" ht="16.899999999999999" customHeight="1">
      <c r="A101" s="98" t="s">
        <v>769</v>
      </c>
      <c r="E101" s="98" t="s">
        <v>770</v>
      </c>
    </row>
    <row r="102" spans="1:7" ht="16.899999999999999" customHeight="1">
      <c r="A102" s="99" t="s">
        <v>771</v>
      </c>
      <c r="E102" s="100" t="s">
        <v>772</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5" bottom="0.2" header="0.3" footer="0.3"/>
  <pageSetup paperSize="9" scale="69" fitToHeight="6"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topLeftCell="A36" zoomScale="85" zoomScaleNormal="85" zoomScaleSheetLayoutView="85" workbookViewId="0">
      <selection activeCell="A38" sqref="A38"/>
    </sheetView>
  </sheetViews>
  <sheetFormatPr defaultColWidth="9.1796875" defaultRowHeight="14.5"/>
  <cols>
    <col min="1" max="1" width="4.81640625" style="184" customWidth="1"/>
    <col min="2" max="2" width="34.453125" style="149" customWidth="1"/>
    <col min="3" max="4" width="9.1796875" style="149"/>
    <col min="5" max="5" width="12.26953125" style="149" customWidth="1"/>
    <col min="6" max="6" width="9.1796875" style="149"/>
    <col min="7" max="7" width="15.26953125" style="149" customWidth="1"/>
    <col min="8" max="11" width="19" style="149" customWidth="1"/>
    <col min="12" max="16384" width="9.1796875" style="149"/>
  </cols>
  <sheetData>
    <row r="1" spans="1:11" s="148" customFormat="1" ht="25" customHeight="1">
      <c r="A1" s="284" t="s">
        <v>815</v>
      </c>
      <c r="B1" s="284"/>
      <c r="C1" s="284"/>
      <c r="D1" s="284"/>
      <c r="E1" s="284"/>
      <c r="F1" s="284"/>
      <c r="G1" s="284"/>
      <c r="H1" s="284"/>
      <c r="I1" s="284"/>
      <c r="J1" s="284"/>
      <c r="K1" s="284"/>
    </row>
    <row r="2" spans="1:11" ht="49" customHeight="1">
      <c r="A2" s="285" t="s">
        <v>865</v>
      </c>
      <c r="B2" s="285"/>
      <c r="C2" s="285"/>
      <c r="D2" s="285"/>
      <c r="E2" s="285"/>
      <c r="F2" s="285"/>
      <c r="G2" s="285"/>
      <c r="H2" s="285"/>
      <c r="I2" s="285"/>
      <c r="J2" s="285"/>
      <c r="K2" s="285"/>
    </row>
    <row r="3" spans="1:11" ht="19.149999999999999" customHeight="1">
      <c r="A3" s="286" t="s">
        <v>832</v>
      </c>
      <c r="B3" s="286"/>
      <c r="C3" s="286"/>
      <c r="D3" s="286"/>
      <c r="E3" s="286"/>
      <c r="F3" s="286"/>
      <c r="G3" s="286"/>
      <c r="H3" s="286"/>
      <c r="I3" s="286"/>
      <c r="J3" s="286"/>
      <c r="K3" s="286"/>
    </row>
    <row r="4" spans="1:11" ht="21.65" customHeight="1">
      <c r="A4" s="286"/>
      <c r="B4" s="286"/>
      <c r="C4" s="286"/>
      <c r="D4" s="286"/>
      <c r="E4" s="286"/>
      <c r="F4" s="286"/>
      <c r="G4" s="286"/>
      <c r="H4" s="286"/>
      <c r="I4" s="286"/>
      <c r="J4" s="286"/>
      <c r="K4" s="286"/>
    </row>
    <row r="5" spans="1:11">
      <c r="A5" s="287" t="s">
        <v>761</v>
      </c>
      <c r="B5" s="287"/>
      <c r="C5" s="287"/>
      <c r="D5" s="287"/>
      <c r="E5" s="287"/>
      <c r="F5" s="287"/>
      <c r="G5" s="287"/>
      <c r="H5" s="287"/>
      <c r="I5" s="287"/>
      <c r="J5" s="287"/>
      <c r="K5" s="287"/>
    </row>
    <row r="6" spans="1:11">
      <c r="A6" s="150"/>
      <c r="B6" s="150"/>
      <c r="C6" s="150"/>
      <c r="D6" s="150"/>
      <c r="E6" s="150"/>
      <c r="F6" s="151"/>
      <c r="G6" s="152"/>
      <c r="H6" s="152"/>
      <c r="I6" s="152"/>
      <c r="J6" s="152"/>
      <c r="K6" s="152"/>
    </row>
    <row r="7" spans="1:11">
      <c r="A7" s="288" t="s">
        <v>2</v>
      </c>
      <c r="B7" s="289"/>
      <c r="C7" s="153"/>
      <c r="D7" s="153"/>
      <c r="E7" s="153"/>
      <c r="F7" s="153"/>
      <c r="G7" s="276" t="s">
        <v>762</v>
      </c>
      <c r="H7" s="276"/>
      <c r="I7" s="276"/>
      <c r="J7" s="276"/>
      <c r="K7" s="152"/>
    </row>
    <row r="8" spans="1:11" ht="15" customHeight="1">
      <c r="A8" s="281" t="s">
        <v>40</v>
      </c>
      <c r="B8" s="281"/>
      <c r="C8" s="153"/>
      <c r="D8" s="153"/>
      <c r="E8" s="153"/>
      <c r="F8" s="153"/>
      <c r="G8" s="277" t="s">
        <v>763</v>
      </c>
      <c r="H8" s="277"/>
      <c r="I8" s="277"/>
      <c r="J8" s="277"/>
      <c r="K8" s="152"/>
    </row>
    <row r="9" spans="1:11">
      <c r="A9" s="274" t="s">
        <v>3</v>
      </c>
      <c r="B9" s="282"/>
      <c r="C9" s="153"/>
      <c r="D9" s="153"/>
      <c r="E9" s="153"/>
      <c r="F9" s="153"/>
      <c r="G9" s="283" t="s">
        <v>764</v>
      </c>
      <c r="H9" s="283"/>
      <c r="I9" s="283"/>
      <c r="J9" s="283"/>
      <c r="K9" s="152"/>
    </row>
    <row r="10" spans="1:11" ht="15" customHeight="1">
      <c r="A10" s="282" t="s">
        <v>4</v>
      </c>
      <c r="B10" s="282"/>
      <c r="C10" s="153"/>
      <c r="D10" s="153"/>
      <c r="E10" s="153"/>
      <c r="F10" s="153"/>
      <c r="G10" s="277" t="s">
        <v>765</v>
      </c>
      <c r="H10" s="277"/>
      <c r="I10" s="277"/>
      <c r="J10" s="277"/>
      <c r="K10" s="152"/>
    </row>
    <row r="11" spans="1:11" ht="15" customHeight="1">
      <c r="A11" s="274" t="s">
        <v>5</v>
      </c>
      <c r="B11" s="275"/>
      <c r="C11" s="153"/>
      <c r="D11" s="153"/>
      <c r="E11" s="153"/>
      <c r="F11" s="153"/>
      <c r="G11" s="276" t="s">
        <v>190</v>
      </c>
      <c r="H11" s="276"/>
      <c r="I11" s="276"/>
      <c r="J11" s="276"/>
      <c r="K11" s="152"/>
    </row>
    <row r="12" spans="1:11" ht="15" customHeight="1">
      <c r="A12" s="154" t="s">
        <v>479</v>
      </c>
      <c r="B12" s="155"/>
      <c r="C12" s="153"/>
      <c r="D12" s="153"/>
      <c r="E12" s="153"/>
      <c r="F12" s="153"/>
      <c r="G12" s="277" t="s">
        <v>766</v>
      </c>
      <c r="H12" s="277"/>
      <c r="I12" s="277"/>
      <c r="J12" s="277"/>
      <c r="K12" s="152"/>
    </row>
    <row r="13" spans="1:11" ht="15" customHeight="1">
      <c r="A13" s="156" t="s">
        <v>7</v>
      </c>
      <c r="B13" s="157"/>
      <c r="C13" s="153"/>
      <c r="D13" s="153"/>
      <c r="E13" s="153"/>
      <c r="F13" s="153"/>
      <c r="G13" s="276" t="s">
        <v>767</v>
      </c>
      <c r="H13" s="276"/>
      <c r="I13" s="276"/>
      <c r="J13" s="276"/>
      <c r="K13" s="152"/>
    </row>
    <row r="14" spans="1:11">
      <c r="A14" s="158" t="s">
        <v>8</v>
      </c>
      <c r="B14" s="158"/>
      <c r="C14" s="153"/>
      <c r="D14" s="153"/>
      <c r="E14" s="153"/>
      <c r="F14" s="153"/>
      <c r="G14" s="278" t="s">
        <v>768</v>
      </c>
      <c r="H14" s="278"/>
      <c r="I14" s="278"/>
      <c r="J14" s="278"/>
      <c r="K14" s="152"/>
    </row>
    <row r="15" spans="1:11" s="234" customFormat="1">
      <c r="A15" s="231" t="s">
        <v>801</v>
      </c>
      <c r="B15" s="232" t="s">
        <v>802</v>
      </c>
      <c r="C15" s="233"/>
      <c r="D15" s="233"/>
      <c r="E15" s="233"/>
      <c r="F15" s="233"/>
      <c r="G15" s="203"/>
      <c r="H15" s="203"/>
      <c r="I15" s="203"/>
      <c r="J15" s="203"/>
      <c r="K15" s="233"/>
    </row>
    <row r="16" spans="1:11" s="234" customFormat="1">
      <c r="A16" s="231" t="s">
        <v>53</v>
      </c>
      <c r="B16" s="232" t="s">
        <v>496</v>
      </c>
      <c r="C16" s="233"/>
      <c r="D16" s="233"/>
      <c r="E16" s="233"/>
      <c r="F16" s="233"/>
      <c r="G16" s="233"/>
      <c r="H16" s="233"/>
      <c r="I16" s="233"/>
      <c r="J16" s="233"/>
      <c r="K16" s="233"/>
    </row>
    <row r="17" spans="1:11" s="160" customFormat="1" ht="37.5" customHeight="1">
      <c r="A17" s="270" t="s">
        <v>187</v>
      </c>
      <c r="B17" s="270" t="s">
        <v>480</v>
      </c>
      <c r="C17" s="279" t="s">
        <v>866</v>
      </c>
      <c r="D17" s="270" t="s">
        <v>481</v>
      </c>
      <c r="E17" s="270" t="s">
        <v>482</v>
      </c>
      <c r="F17" s="270" t="s">
        <v>483</v>
      </c>
      <c r="G17" s="270" t="s">
        <v>484</v>
      </c>
      <c r="H17" s="272" t="s">
        <v>485</v>
      </c>
      <c r="I17" s="273"/>
      <c r="J17" s="272" t="s">
        <v>486</v>
      </c>
      <c r="K17" s="273"/>
    </row>
    <row r="18" spans="1:11" s="160" customFormat="1" ht="73.5" customHeight="1">
      <c r="A18" s="271"/>
      <c r="B18" s="271"/>
      <c r="C18" s="280"/>
      <c r="D18" s="271"/>
      <c r="E18" s="271"/>
      <c r="F18" s="271"/>
      <c r="G18" s="271"/>
      <c r="H18" s="161" t="s">
        <v>487</v>
      </c>
      <c r="I18" s="161" t="s">
        <v>488</v>
      </c>
      <c r="J18" s="161" t="s">
        <v>489</v>
      </c>
      <c r="K18" s="161" t="s">
        <v>488</v>
      </c>
    </row>
    <row r="19" spans="1:11" s="160" customFormat="1" ht="47.25" customHeight="1">
      <c r="A19" s="162" t="s">
        <v>272</v>
      </c>
      <c r="B19" s="163" t="s">
        <v>497</v>
      </c>
      <c r="C19" s="162"/>
      <c r="D19" s="164"/>
      <c r="E19" s="164"/>
      <c r="F19" s="165"/>
      <c r="G19" s="166"/>
      <c r="H19" s="163"/>
      <c r="I19" s="167"/>
      <c r="J19" s="168"/>
      <c r="K19" s="169"/>
    </row>
    <row r="20" spans="1:11" s="160" customFormat="1" ht="45.75" customHeight="1">
      <c r="A20" s="162" t="s">
        <v>41</v>
      </c>
      <c r="B20" s="163" t="s">
        <v>498</v>
      </c>
      <c r="C20" s="162"/>
      <c r="D20" s="165"/>
      <c r="E20" s="165"/>
      <c r="F20" s="165"/>
      <c r="G20" s="166"/>
      <c r="H20" s="163"/>
      <c r="I20" s="167"/>
      <c r="J20" s="163"/>
      <c r="K20" s="167"/>
    </row>
    <row r="21" spans="1:11" s="160" customFormat="1" ht="45.75" customHeight="1">
      <c r="A21" s="162" t="s">
        <v>289</v>
      </c>
      <c r="B21" s="163" t="s">
        <v>499</v>
      </c>
      <c r="C21" s="162"/>
      <c r="D21" s="165"/>
      <c r="E21" s="165"/>
      <c r="F21" s="165"/>
      <c r="G21" s="164"/>
      <c r="H21" s="163"/>
      <c r="I21" s="170"/>
      <c r="J21" s="163"/>
      <c r="K21" s="170"/>
    </row>
    <row r="22" spans="1:11" s="160" customFormat="1" ht="44.25" customHeight="1">
      <c r="A22" s="162" t="s">
        <v>46</v>
      </c>
      <c r="B22" s="163" t="s">
        <v>500</v>
      </c>
      <c r="C22" s="162"/>
      <c r="D22" s="165"/>
      <c r="E22" s="165"/>
      <c r="F22" s="165"/>
      <c r="G22" s="166"/>
      <c r="H22" s="163"/>
      <c r="I22" s="167"/>
      <c r="J22" s="163"/>
      <c r="K22" s="167"/>
    </row>
    <row r="23" spans="1:11" s="160" customFormat="1" ht="44.25" customHeight="1">
      <c r="A23" s="162" t="s">
        <v>490</v>
      </c>
      <c r="B23" s="163" t="s">
        <v>501</v>
      </c>
      <c r="C23" s="162"/>
      <c r="D23" s="165"/>
      <c r="E23" s="165"/>
      <c r="F23" s="165"/>
      <c r="G23" s="166"/>
      <c r="H23" s="163"/>
      <c r="I23" s="167"/>
      <c r="J23" s="163"/>
      <c r="K23" s="167"/>
    </row>
    <row r="24" spans="1:11" s="160" customFormat="1" ht="57.75" customHeight="1">
      <c r="A24" s="162" t="s">
        <v>314</v>
      </c>
      <c r="B24" s="188" t="s">
        <v>502</v>
      </c>
      <c r="C24" s="162"/>
      <c r="D24" s="165"/>
      <c r="E24" s="165"/>
      <c r="F24" s="165"/>
      <c r="G24" s="166"/>
      <c r="H24" s="163"/>
      <c r="I24" s="167"/>
      <c r="J24" s="163"/>
      <c r="K24" s="167"/>
    </row>
    <row r="25" spans="1:11" s="160" customFormat="1" ht="44.25" customHeight="1">
      <c r="A25" s="162" t="s">
        <v>52</v>
      </c>
      <c r="B25" s="163" t="s">
        <v>503</v>
      </c>
      <c r="C25" s="162"/>
      <c r="D25" s="165"/>
      <c r="E25" s="165"/>
      <c r="F25" s="165"/>
      <c r="G25" s="166"/>
      <c r="H25" s="163"/>
      <c r="I25" s="167"/>
      <c r="J25" s="163"/>
      <c r="K25" s="167"/>
    </row>
    <row r="26" spans="1:11" s="160" customFormat="1" ht="51" customHeight="1">
      <c r="A26" s="162" t="s">
        <v>381</v>
      </c>
      <c r="B26" s="163" t="s">
        <v>504</v>
      </c>
      <c r="C26" s="162"/>
      <c r="D26" s="165"/>
      <c r="E26" s="165"/>
      <c r="F26" s="165"/>
      <c r="G26" s="166"/>
      <c r="H26" s="163"/>
      <c r="I26" s="167"/>
      <c r="J26" s="163"/>
      <c r="K26" s="167"/>
    </row>
    <row r="27" spans="1:11" s="160" customFormat="1" ht="44.25" customHeight="1">
      <c r="A27" s="162" t="s">
        <v>53</v>
      </c>
      <c r="B27" s="163" t="s">
        <v>503</v>
      </c>
      <c r="C27" s="162"/>
      <c r="D27" s="165"/>
      <c r="E27" s="165"/>
      <c r="F27" s="165"/>
      <c r="G27" s="166"/>
      <c r="H27" s="163"/>
      <c r="I27" s="167"/>
      <c r="J27" s="163"/>
      <c r="K27" s="167"/>
    </row>
    <row r="28" spans="1:11" s="160" customFormat="1" ht="44.25" customHeight="1">
      <c r="A28" s="162" t="s">
        <v>491</v>
      </c>
      <c r="B28" s="163" t="s">
        <v>505</v>
      </c>
      <c r="C28" s="162"/>
      <c r="D28" s="165"/>
      <c r="E28" s="165"/>
      <c r="F28" s="165"/>
      <c r="G28" s="166"/>
      <c r="H28" s="163"/>
      <c r="I28" s="167"/>
      <c r="J28" s="163"/>
      <c r="K28" s="167"/>
    </row>
    <row r="29" spans="1:11" s="160" customFormat="1" ht="12.5">
      <c r="A29" s="171"/>
      <c r="B29" s="172"/>
      <c r="C29" s="172"/>
      <c r="D29" s="165"/>
      <c r="E29" s="165"/>
      <c r="F29" s="165"/>
      <c r="G29" s="166"/>
      <c r="H29" s="163"/>
      <c r="I29" s="167"/>
      <c r="J29" s="168"/>
      <c r="K29" s="169"/>
    </row>
    <row r="30" spans="1:11" s="160" customFormat="1" ht="12.5">
      <c r="A30" s="173"/>
      <c r="B30" s="174"/>
      <c r="C30" s="174"/>
      <c r="D30" s="174"/>
      <c r="E30" s="174"/>
      <c r="F30" s="174"/>
      <c r="G30" s="174"/>
      <c r="H30" s="174"/>
      <c r="I30" s="174"/>
      <c r="J30" s="174"/>
      <c r="K30" s="174"/>
    </row>
    <row r="31" spans="1:11" s="160" customFormat="1" ht="12.5">
      <c r="A31" s="173"/>
      <c r="B31" s="174"/>
      <c r="C31" s="174"/>
      <c r="D31" s="174"/>
      <c r="E31" s="174"/>
      <c r="F31" s="174"/>
      <c r="G31" s="174"/>
      <c r="H31" s="174"/>
      <c r="I31" s="174"/>
      <c r="J31" s="174"/>
      <c r="K31" s="174"/>
    </row>
    <row r="32" spans="1:11" s="160" customFormat="1" ht="12.5">
      <c r="A32" s="173"/>
      <c r="B32" s="174"/>
      <c r="C32" s="174"/>
      <c r="D32" s="174"/>
      <c r="E32" s="174"/>
      <c r="F32" s="174"/>
      <c r="G32" s="174"/>
      <c r="H32" s="174"/>
      <c r="I32" s="174"/>
      <c r="J32" s="174"/>
      <c r="K32" s="174"/>
    </row>
    <row r="33" spans="1:11" s="160" customFormat="1" ht="12.5">
      <c r="A33" s="175" t="s">
        <v>10</v>
      </c>
      <c r="B33" s="176"/>
      <c r="C33" s="177"/>
      <c r="D33" s="174"/>
      <c r="E33" s="174"/>
      <c r="F33" s="174"/>
      <c r="G33" s="174"/>
      <c r="H33" s="174"/>
      <c r="I33" s="178" t="s">
        <v>11</v>
      </c>
      <c r="J33" s="174"/>
      <c r="K33" s="174"/>
    </row>
    <row r="34" spans="1:11" s="160" customFormat="1" ht="12.5">
      <c r="A34" s="179" t="s">
        <v>12</v>
      </c>
      <c r="B34" s="176"/>
      <c r="C34" s="177"/>
      <c r="D34" s="174"/>
      <c r="E34" s="174"/>
      <c r="F34" s="174"/>
      <c r="G34" s="174"/>
      <c r="H34" s="174"/>
      <c r="I34" s="180" t="s">
        <v>13</v>
      </c>
      <c r="J34" s="174"/>
      <c r="K34" s="174"/>
    </row>
    <row r="35" spans="1:11">
      <c r="A35" s="176"/>
      <c r="B35" s="176"/>
      <c r="C35" s="177"/>
      <c r="D35" s="152"/>
      <c r="E35" s="152"/>
      <c r="F35" s="152"/>
      <c r="G35" s="152"/>
      <c r="H35" s="152"/>
      <c r="I35" s="177"/>
      <c r="J35" s="152"/>
      <c r="K35" s="152"/>
    </row>
    <row r="36" spans="1:11">
      <c r="A36" s="176"/>
      <c r="B36" s="176"/>
      <c r="C36" s="177"/>
      <c r="D36" s="152"/>
      <c r="E36" s="152"/>
      <c r="F36" s="152"/>
      <c r="G36" s="152"/>
      <c r="H36" s="152"/>
      <c r="I36" s="177"/>
      <c r="J36" s="152"/>
      <c r="K36" s="152"/>
    </row>
    <row r="37" spans="1:11">
      <c r="A37" s="176"/>
      <c r="B37" s="176"/>
      <c r="C37" s="177"/>
      <c r="D37" s="152"/>
      <c r="E37" s="152"/>
      <c r="F37" s="152"/>
      <c r="G37" s="152"/>
      <c r="H37" s="152"/>
      <c r="I37" s="177"/>
      <c r="J37" s="152"/>
      <c r="K37" s="152"/>
    </row>
    <row r="38" spans="1:11">
      <c r="A38" s="176"/>
      <c r="B38" s="176"/>
      <c r="C38" s="177"/>
      <c r="D38" s="152"/>
      <c r="E38" s="152"/>
      <c r="F38" s="152"/>
      <c r="G38" s="152"/>
      <c r="H38" s="152"/>
      <c r="I38" s="177"/>
      <c r="J38" s="152"/>
      <c r="K38" s="152"/>
    </row>
    <row r="39" spans="1:11">
      <c r="A39" s="176"/>
      <c r="B39" s="176"/>
      <c r="C39" s="177"/>
      <c r="D39" s="152"/>
      <c r="E39" s="152"/>
      <c r="F39" s="152"/>
      <c r="G39" s="152"/>
      <c r="H39" s="152"/>
      <c r="I39" s="177"/>
      <c r="J39" s="152"/>
      <c r="K39" s="152"/>
    </row>
    <row r="40" spans="1:11">
      <c r="A40" s="176"/>
      <c r="B40" s="176"/>
      <c r="C40" s="177"/>
      <c r="D40" s="152"/>
      <c r="E40" s="152"/>
      <c r="F40" s="152"/>
      <c r="G40" s="152"/>
      <c r="H40" s="152"/>
      <c r="I40" s="177"/>
      <c r="J40" s="152"/>
      <c r="K40" s="152"/>
    </row>
    <row r="41" spans="1:11">
      <c r="A41" s="176"/>
      <c r="B41" s="176"/>
      <c r="C41" s="177"/>
      <c r="D41" s="152"/>
      <c r="E41" s="152"/>
      <c r="F41" s="152"/>
      <c r="G41" s="152"/>
      <c r="H41" s="152"/>
      <c r="I41" s="177"/>
      <c r="J41" s="152"/>
      <c r="K41" s="152"/>
    </row>
    <row r="42" spans="1:11">
      <c r="A42" s="176"/>
      <c r="B42" s="176"/>
      <c r="C42" s="177"/>
      <c r="D42" s="152"/>
      <c r="E42" s="152"/>
      <c r="F42" s="152"/>
      <c r="G42" s="152"/>
      <c r="H42" s="152"/>
      <c r="I42" s="177"/>
      <c r="J42" s="152"/>
      <c r="K42" s="152"/>
    </row>
    <row r="43" spans="1:11">
      <c r="A43" s="181"/>
      <c r="B43" s="181"/>
      <c r="C43" s="182"/>
      <c r="D43" s="183"/>
      <c r="E43" s="152"/>
      <c r="F43" s="152"/>
      <c r="G43" s="152"/>
      <c r="H43" s="152"/>
      <c r="I43" s="182"/>
      <c r="J43" s="183"/>
      <c r="K43" s="183"/>
    </row>
    <row r="44" spans="1:11">
      <c r="A44" s="175" t="s">
        <v>14</v>
      </c>
      <c r="B44" s="176"/>
      <c r="C44" s="177"/>
      <c r="D44" s="152"/>
      <c r="E44" s="152"/>
      <c r="F44" s="152"/>
      <c r="G44" s="152"/>
      <c r="H44" s="152"/>
      <c r="I44" s="178" t="s">
        <v>762</v>
      </c>
      <c r="J44" s="152"/>
      <c r="K44" s="152"/>
    </row>
    <row r="45" spans="1:11">
      <c r="A45" s="175" t="s">
        <v>769</v>
      </c>
      <c r="B45" s="176"/>
      <c r="C45" s="177"/>
      <c r="D45" s="152"/>
      <c r="E45" s="152"/>
      <c r="F45" s="152"/>
      <c r="G45" s="152"/>
      <c r="H45" s="152"/>
      <c r="I45" s="178" t="s">
        <v>770</v>
      </c>
      <c r="J45" s="152"/>
      <c r="K45" s="152"/>
    </row>
    <row r="46" spans="1:11">
      <c r="A46" s="176" t="s">
        <v>771</v>
      </c>
      <c r="B46" s="176"/>
      <c r="C46" s="177"/>
      <c r="D46" s="152"/>
      <c r="E46" s="152"/>
      <c r="F46" s="152"/>
      <c r="G46" s="152"/>
      <c r="H46" s="152"/>
      <c r="I46" s="177" t="s">
        <v>772</v>
      </c>
      <c r="J46" s="152"/>
      <c r="K46" s="152"/>
    </row>
    <row r="47" spans="1:11">
      <c r="A47" s="159"/>
      <c r="B47" s="152"/>
      <c r="C47" s="152"/>
      <c r="D47" s="152"/>
      <c r="E47" s="152"/>
      <c r="F47" s="152"/>
      <c r="G47" s="152"/>
      <c r="H47" s="152"/>
      <c r="I47" s="152"/>
      <c r="J47" s="152"/>
      <c r="K47" s="152"/>
    </row>
  </sheetData>
  <mergeCells count="26">
    <mergeCell ref="A1:K1"/>
    <mergeCell ref="A2:K2"/>
    <mergeCell ref="A3:K4"/>
    <mergeCell ref="A5:K5"/>
    <mergeCell ref="A7:B7"/>
    <mergeCell ref="G7:J7"/>
    <mergeCell ref="A8:B8"/>
    <mergeCell ref="G8:J8"/>
    <mergeCell ref="A9:B9"/>
    <mergeCell ref="G9:J9"/>
    <mergeCell ref="A10:B10"/>
    <mergeCell ref="G10:J10"/>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s>
  <printOptions horizontalCentered="1"/>
  <pageMargins left="0.3" right="0.3" top="0.75" bottom="0.5" header="0.3" footer="0.3"/>
  <pageSetup paperSize="9" scale="57" fitToHeight="2" orientation="portrait"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7"/>
  <sheetViews>
    <sheetView tabSelected="1" view="pageBreakPreview" topLeftCell="A55" zoomScale="95" zoomScaleNormal="100" zoomScaleSheetLayoutView="95" workbookViewId="0">
      <selection activeCell="A56" sqref="A56"/>
    </sheetView>
  </sheetViews>
  <sheetFormatPr defaultColWidth="8.7265625" defaultRowHeight="12.5"/>
  <cols>
    <col min="1" max="1" width="8.7265625" style="51"/>
    <col min="2" max="2" width="58.1796875" style="51" customWidth="1"/>
    <col min="3" max="3" width="10.7265625" style="51" bestFit="1" customWidth="1"/>
    <col min="4" max="4" width="30.1796875" style="51" customWidth="1"/>
    <col min="5" max="5" width="30.90625" style="51" customWidth="1"/>
    <col min="6" max="6" width="8.453125" style="93" customWidth="1"/>
    <col min="7" max="16384" width="8.7265625" style="93"/>
  </cols>
  <sheetData>
    <row r="1" spans="1:6" ht="30" customHeight="1">
      <c r="A1" s="257" t="s">
        <v>815</v>
      </c>
      <c r="B1" s="257"/>
      <c r="C1" s="257"/>
      <c r="D1" s="257"/>
      <c r="E1" s="257"/>
      <c r="F1" s="101"/>
    </row>
    <row r="2" spans="1:6" ht="50.15" customHeight="1">
      <c r="A2" s="258" t="s">
        <v>865</v>
      </c>
      <c r="B2" s="258"/>
      <c r="C2" s="258"/>
      <c r="D2" s="258"/>
      <c r="E2" s="258"/>
      <c r="F2" s="102"/>
    </row>
    <row r="3" spans="1:6" ht="13">
      <c r="A3" s="259" t="s">
        <v>832</v>
      </c>
      <c r="B3" s="259"/>
      <c r="C3" s="259"/>
      <c r="D3" s="259"/>
      <c r="E3" s="259"/>
      <c r="F3" s="101"/>
    </row>
    <row r="4" spans="1:6" ht="20.65" customHeight="1">
      <c r="A4" s="259"/>
      <c r="B4" s="259"/>
      <c r="C4" s="259"/>
      <c r="D4" s="259"/>
      <c r="E4" s="259"/>
      <c r="F4" s="101"/>
    </row>
    <row r="5" spans="1:6" ht="16.899999999999999" customHeight="1">
      <c r="A5" s="260" t="s">
        <v>761</v>
      </c>
      <c r="B5" s="260"/>
      <c r="C5" s="260"/>
      <c r="D5" s="260"/>
      <c r="E5" s="260"/>
      <c r="F5" s="103"/>
    </row>
    <row r="7" spans="1:6" ht="16.899999999999999" customHeight="1">
      <c r="A7" s="64" t="s">
        <v>2</v>
      </c>
      <c r="C7" s="269" t="s">
        <v>762</v>
      </c>
      <c r="D7" s="269"/>
      <c r="E7" s="269"/>
    </row>
    <row r="8" spans="1:6" ht="16.899999999999999" customHeight="1">
      <c r="A8" s="51" t="s">
        <v>40</v>
      </c>
      <c r="C8" s="268" t="s">
        <v>763</v>
      </c>
      <c r="D8" s="268"/>
      <c r="E8" s="268"/>
    </row>
    <row r="9" spans="1:6" ht="16.899999999999999" customHeight="1">
      <c r="A9" s="64" t="s">
        <v>3</v>
      </c>
      <c r="C9" s="269" t="s">
        <v>764</v>
      </c>
      <c r="D9" s="269"/>
      <c r="E9" s="269"/>
    </row>
    <row r="10" spans="1:6" ht="16.899999999999999" customHeight="1">
      <c r="A10" s="51" t="s">
        <v>4</v>
      </c>
      <c r="C10" s="268" t="s">
        <v>765</v>
      </c>
      <c r="D10" s="268"/>
      <c r="E10" s="268"/>
    </row>
    <row r="11" spans="1:6" ht="16.899999999999999" customHeight="1">
      <c r="A11" s="64" t="s">
        <v>5</v>
      </c>
      <c r="C11" s="269" t="s">
        <v>190</v>
      </c>
      <c r="D11" s="269"/>
      <c r="E11" s="269"/>
    </row>
    <row r="12" spans="1:6" ht="16.899999999999999" customHeight="1">
      <c r="A12" s="51" t="s">
        <v>6</v>
      </c>
      <c r="C12" s="268" t="s">
        <v>766</v>
      </c>
      <c r="D12" s="268"/>
      <c r="E12" s="268"/>
    </row>
    <row r="13" spans="1:6" ht="16.899999999999999" customHeight="1">
      <c r="A13" s="64" t="s">
        <v>7</v>
      </c>
      <c r="C13" s="269" t="s">
        <v>767</v>
      </c>
      <c r="D13" s="269"/>
      <c r="E13" s="269"/>
    </row>
    <row r="14" spans="1:6" ht="16.899999999999999" customHeight="1">
      <c r="A14" s="51" t="s">
        <v>8</v>
      </c>
      <c r="C14" s="268" t="s">
        <v>768</v>
      </c>
      <c r="D14" s="268"/>
      <c r="E14" s="268"/>
    </row>
    <row r="16" spans="1:6" s="230" customFormat="1" ht="16.899999999999999" customHeight="1">
      <c r="A16" s="211" t="s">
        <v>801</v>
      </c>
      <c r="B16" s="212" t="s">
        <v>802</v>
      </c>
      <c r="C16" s="51"/>
      <c r="D16" s="51"/>
      <c r="E16" s="51"/>
    </row>
    <row r="17" spans="1:5" s="230" customFormat="1" ht="16.899999999999999" customHeight="1">
      <c r="A17" s="211" t="s">
        <v>54</v>
      </c>
      <c r="B17" s="212" t="s">
        <v>243</v>
      </c>
      <c r="C17" s="51"/>
      <c r="D17" s="51"/>
      <c r="E17" s="51"/>
    </row>
    <row r="18" spans="1:5" ht="42" customHeight="1">
      <c r="A18" s="94" t="s">
        <v>42</v>
      </c>
      <c r="B18" s="94" t="s">
        <v>244</v>
      </c>
      <c r="C18" s="94" t="s">
        <v>866</v>
      </c>
      <c r="D18" s="94" t="s">
        <v>775</v>
      </c>
      <c r="E18" s="94" t="s">
        <v>776</v>
      </c>
    </row>
    <row r="19" spans="1:5" s="107" customFormat="1" ht="39" customHeight="1">
      <c r="A19" s="104" t="s">
        <v>41</v>
      </c>
      <c r="B19" s="105" t="s">
        <v>83</v>
      </c>
      <c r="C19" s="106"/>
      <c r="D19" s="192"/>
      <c r="E19" s="192"/>
    </row>
    <row r="20" spans="1:5" ht="58.5" customHeight="1">
      <c r="A20" s="108">
        <v>1</v>
      </c>
      <c r="B20" s="39" t="s">
        <v>836</v>
      </c>
      <c r="C20" s="109"/>
      <c r="D20" s="192">
        <v>1.96723442841902E-2</v>
      </c>
      <c r="E20" s="192">
        <v>1.9618376625463799E-2</v>
      </c>
    </row>
    <row r="21" spans="1:5" ht="55.5" customHeight="1">
      <c r="A21" s="108">
        <v>2</v>
      </c>
      <c r="B21" s="39" t="s">
        <v>837</v>
      </c>
      <c r="C21" s="109"/>
      <c r="D21" s="192">
        <v>1.4318716892448102E-3</v>
      </c>
      <c r="E21" s="192">
        <v>1.5148842957908447E-3</v>
      </c>
    </row>
    <row r="22" spans="1:5" ht="74.5" customHeight="1">
      <c r="A22" s="108">
        <v>3</v>
      </c>
      <c r="B22" s="39" t="s">
        <v>838</v>
      </c>
      <c r="C22" s="109"/>
      <c r="D22" s="192">
        <v>7.0624483513610531E-4</v>
      </c>
      <c r="E22" s="192">
        <v>7.0504777051952957E-4</v>
      </c>
    </row>
    <row r="23" spans="1:5" ht="37.5">
      <c r="A23" s="108">
        <v>4</v>
      </c>
      <c r="B23" s="39" t="s">
        <v>245</v>
      </c>
      <c r="C23" s="109"/>
      <c r="D23" s="192">
        <v>3.88289870014858E-4</v>
      </c>
      <c r="E23" s="192">
        <v>3.7980613612464601E-4</v>
      </c>
    </row>
    <row r="24" spans="1:5" ht="59.5" customHeight="1">
      <c r="A24" s="202">
        <v>5</v>
      </c>
      <c r="B24" s="39" t="s">
        <v>839</v>
      </c>
      <c r="C24" s="109"/>
      <c r="D24" s="235"/>
      <c r="E24" s="235"/>
    </row>
    <row r="25" spans="1:5" ht="64.5" customHeight="1">
      <c r="A25" s="202">
        <v>6</v>
      </c>
      <c r="B25" s="39" t="s">
        <v>840</v>
      </c>
      <c r="C25" s="109"/>
      <c r="D25" s="235"/>
      <c r="E25" s="235"/>
    </row>
    <row r="26" spans="1:5" ht="79.5" customHeight="1">
      <c r="A26" s="108">
        <v>7</v>
      </c>
      <c r="B26" s="39" t="s">
        <v>246</v>
      </c>
      <c r="C26" s="109"/>
      <c r="D26" s="192">
        <v>3.49097235869642E-4</v>
      </c>
      <c r="E26" s="192">
        <v>2.63701361373773E-3</v>
      </c>
    </row>
    <row r="27" spans="1:5" ht="39" customHeight="1">
      <c r="A27" s="108">
        <v>8</v>
      </c>
      <c r="B27" s="39" t="s">
        <v>841</v>
      </c>
      <c r="C27" s="109"/>
      <c r="D27" s="192">
        <v>2.5510712557004999E-2</v>
      </c>
      <c r="E27" s="192">
        <v>2.7966000835006E-2</v>
      </c>
    </row>
    <row r="28" spans="1:5" ht="74.5" customHeight="1">
      <c r="A28" s="108">
        <v>9</v>
      </c>
      <c r="B28" s="39" t="s">
        <v>842</v>
      </c>
      <c r="C28" s="109"/>
      <c r="D28" s="192">
        <v>1.0967812689288701</v>
      </c>
      <c r="E28" s="192">
        <v>2.2360458252747701</v>
      </c>
    </row>
    <row r="29" spans="1:5" ht="64" customHeight="1">
      <c r="A29" s="238">
        <v>10</v>
      </c>
      <c r="B29" s="39" t="s">
        <v>843</v>
      </c>
      <c r="C29" s="109"/>
      <c r="D29" s="192"/>
      <c r="E29" s="192"/>
    </row>
    <row r="30" spans="1:5" ht="39" customHeight="1">
      <c r="A30" s="104" t="s">
        <v>46</v>
      </c>
      <c r="B30" s="105" t="s">
        <v>84</v>
      </c>
      <c r="C30" s="106"/>
      <c r="D30" s="110"/>
      <c r="E30" s="110"/>
    </row>
    <row r="31" spans="1:5" ht="40.9" customHeight="1">
      <c r="A31" s="290">
        <v>1</v>
      </c>
      <c r="B31" s="39" t="s">
        <v>85</v>
      </c>
      <c r="C31" s="109"/>
      <c r="D31" s="110">
        <v>218921277900</v>
      </c>
      <c r="E31" s="110">
        <v>240541217700</v>
      </c>
    </row>
    <row r="32" spans="1:5" ht="42.4" customHeight="1">
      <c r="A32" s="290"/>
      <c r="B32" s="39" t="s">
        <v>86</v>
      </c>
      <c r="C32" s="109"/>
      <c r="D32" s="110">
        <v>218921277900</v>
      </c>
      <c r="E32" s="110">
        <v>240541217700</v>
      </c>
    </row>
    <row r="33" spans="1:5" s="107" customFormat="1" ht="44.65" customHeight="1">
      <c r="A33" s="290"/>
      <c r="B33" s="39" t="s">
        <v>844</v>
      </c>
      <c r="C33" s="109"/>
      <c r="D33" s="112">
        <v>21892127.789999999</v>
      </c>
      <c r="E33" s="112">
        <v>24054121.77</v>
      </c>
    </row>
    <row r="34" spans="1:5" ht="43.5" customHeight="1">
      <c r="A34" s="290">
        <v>2</v>
      </c>
      <c r="B34" s="39" t="s">
        <v>87</v>
      </c>
      <c r="C34" s="109"/>
      <c r="D34" s="110">
        <v>-25036976000</v>
      </c>
      <c r="E34" s="110">
        <v>-21619939800</v>
      </c>
    </row>
    <row r="35" spans="1:5" ht="39" customHeight="1">
      <c r="A35" s="290"/>
      <c r="B35" s="39" t="s">
        <v>88</v>
      </c>
      <c r="C35" s="109"/>
      <c r="D35" s="112">
        <v>-2503697.6</v>
      </c>
      <c r="E35" s="112">
        <v>-2161993.98</v>
      </c>
    </row>
    <row r="36" spans="1:5" ht="39" customHeight="1">
      <c r="A36" s="290"/>
      <c r="B36" s="39" t="s">
        <v>89</v>
      </c>
      <c r="C36" s="109"/>
      <c r="D36" s="110">
        <v>-25036976000</v>
      </c>
      <c r="E36" s="110">
        <v>-21619939800</v>
      </c>
    </row>
    <row r="37" spans="1:5" ht="39" customHeight="1">
      <c r="A37" s="290"/>
      <c r="B37" s="39" t="s">
        <v>845</v>
      </c>
      <c r="C37" s="109"/>
      <c r="D37" s="111">
        <v>297489.90999999997</v>
      </c>
      <c r="E37" s="111">
        <v>323420.74</v>
      </c>
    </row>
    <row r="38" spans="1:5" ht="39" customHeight="1">
      <c r="A38" s="290"/>
      <c r="B38" s="39" t="s">
        <v>213</v>
      </c>
      <c r="C38" s="109"/>
      <c r="D38" s="110">
        <v>2974899100</v>
      </c>
      <c r="E38" s="110">
        <v>3234207400</v>
      </c>
    </row>
    <row r="39" spans="1:5" ht="39" customHeight="1">
      <c r="A39" s="290"/>
      <c r="B39" s="39" t="s">
        <v>846</v>
      </c>
      <c r="C39" s="109"/>
      <c r="D39" s="112">
        <v>-2801187.51</v>
      </c>
      <c r="E39" s="112">
        <v>-2485414.7200000002</v>
      </c>
    </row>
    <row r="40" spans="1:5" ht="44.65" customHeight="1">
      <c r="A40" s="290"/>
      <c r="B40" s="39" t="s">
        <v>214</v>
      </c>
      <c r="C40" s="109"/>
      <c r="D40" s="110">
        <v>-28011875100</v>
      </c>
      <c r="E40" s="110">
        <v>-24854147200</v>
      </c>
    </row>
    <row r="41" spans="1:5" ht="39" customHeight="1">
      <c r="A41" s="290">
        <v>3</v>
      </c>
      <c r="B41" s="39" t="s">
        <v>215</v>
      </c>
      <c r="C41" s="109"/>
      <c r="D41" s="110">
        <v>193884301900</v>
      </c>
      <c r="E41" s="110">
        <v>218921277900</v>
      </c>
    </row>
    <row r="42" spans="1:5" ht="55.5" customHeight="1">
      <c r="A42" s="290"/>
      <c r="B42" s="39" t="s">
        <v>847</v>
      </c>
      <c r="C42" s="109"/>
      <c r="D42" s="110">
        <v>193884301900</v>
      </c>
      <c r="E42" s="110">
        <v>218921277900</v>
      </c>
    </row>
    <row r="43" spans="1:5" ht="39" customHeight="1">
      <c r="A43" s="290"/>
      <c r="B43" s="39" t="s">
        <v>848</v>
      </c>
      <c r="C43" s="109"/>
      <c r="D43" s="112">
        <v>19388430.190000001</v>
      </c>
      <c r="E43" s="112">
        <v>21892127.789999999</v>
      </c>
    </row>
    <row r="44" spans="1:5" ht="60" customHeight="1">
      <c r="A44" s="108">
        <v>4</v>
      </c>
      <c r="B44" s="39" t="s">
        <v>90</v>
      </c>
      <c r="C44" s="109"/>
      <c r="D44" s="192">
        <v>1.0781300907373799E-3</v>
      </c>
      <c r="E44" s="192">
        <v>9.4201213321165296E-4</v>
      </c>
    </row>
    <row r="45" spans="1:5" ht="39" customHeight="1">
      <c r="A45" s="108">
        <v>5</v>
      </c>
      <c r="B45" s="39" t="s">
        <v>91</v>
      </c>
      <c r="C45" s="109"/>
      <c r="D45" s="192">
        <v>0.58830000000000005</v>
      </c>
      <c r="E45" s="192">
        <v>0.52990000000000004</v>
      </c>
    </row>
    <row r="46" spans="1:5" ht="39" customHeight="1">
      <c r="A46" s="108">
        <v>6</v>
      </c>
      <c r="B46" s="39" t="s">
        <v>92</v>
      </c>
      <c r="C46" s="109"/>
      <c r="D46" s="192">
        <v>0.36149999999999999</v>
      </c>
      <c r="E46" s="192">
        <v>0.32019999999999998</v>
      </c>
    </row>
    <row r="47" spans="1:5" ht="39" customHeight="1">
      <c r="A47" s="202">
        <v>7</v>
      </c>
      <c r="B47" s="39" t="s">
        <v>216</v>
      </c>
      <c r="C47" s="109"/>
      <c r="D47" s="112">
        <v>20169.669999999998</v>
      </c>
      <c r="E47" s="112">
        <v>20663.77</v>
      </c>
    </row>
    <row r="48" spans="1:5" ht="46.5" customHeight="1">
      <c r="A48" s="108">
        <v>8</v>
      </c>
      <c r="B48" s="39" t="s">
        <v>849</v>
      </c>
      <c r="C48" s="109"/>
      <c r="D48" s="110"/>
      <c r="E48" s="110"/>
    </row>
    <row r="49" spans="1:5" ht="36.5" customHeight="1">
      <c r="A49" s="108">
        <v>9</v>
      </c>
      <c r="B49" s="39" t="s">
        <v>93</v>
      </c>
      <c r="C49" s="109"/>
      <c r="D49" s="112">
        <v>1776</v>
      </c>
      <c r="E49" s="112">
        <v>1846</v>
      </c>
    </row>
    <row r="50" spans="1:5" ht="16.899999999999999" customHeight="1">
      <c r="A50" s="88" t="s">
        <v>94</v>
      </c>
    </row>
    <row r="51" spans="1:5" ht="60.4" customHeight="1">
      <c r="A51" s="256" t="s">
        <v>862</v>
      </c>
      <c r="B51" s="256"/>
      <c r="C51" s="256"/>
      <c r="D51" s="256"/>
      <c r="E51" s="256"/>
    </row>
    <row r="52" spans="1:5" ht="28.5" customHeight="1">
      <c r="A52" s="256" t="s">
        <v>95</v>
      </c>
      <c r="B52" s="268"/>
      <c r="C52" s="268"/>
      <c r="D52" s="268"/>
      <c r="E52" s="268"/>
    </row>
    <row r="53" spans="1:5" ht="9.5" customHeight="1"/>
    <row r="54" spans="1:5" ht="16.899999999999999" customHeight="1">
      <c r="A54" s="88" t="s">
        <v>10</v>
      </c>
      <c r="D54" s="88" t="s">
        <v>11</v>
      </c>
    </row>
    <row r="55" spans="1:5" s="113" customFormat="1" ht="16.899999999999999" customHeight="1">
      <c r="A55" s="89" t="s">
        <v>12</v>
      </c>
      <c r="B55" s="89"/>
      <c r="C55" s="89"/>
      <c r="D55" s="89" t="s">
        <v>13</v>
      </c>
      <c r="E55" s="89"/>
    </row>
    <row r="56" spans="1:5" ht="16.899999999999999" customHeight="1"/>
    <row r="57" spans="1:5" ht="16.899999999999999" customHeight="1"/>
    <row r="64" spans="1:5">
      <c r="A64" s="114"/>
      <c r="B64" s="114"/>
      <c r="D64" s="114"/>
      <c r="E64" s="114"/>
    </row>
    <row r="65" spans="1:4" ht="16.899999999999999" customHeight="1">
      <c r="A65" s="88" t="s">
        <v>14</v>
      </c>
      <c r="D65" s="88" t="s">
        <v>762</v>
      </c>
    </row>
    <row r="66" spans="1:4" ht="16.899999999999999" customHeight="1">
      <c r="A66" s="88" t="s">
        <v>769</v>
      </c>
      <c r="D66" s="88" t="s">
        <v>770</v>
      </c>
    </row>
    <row r="67" spans="1:4" ht="16.899999999999999" customHeight="1">
      <c r="A67" s="51" t="s">
        <v>771</v>
      </c>
      <c r="D67" s="51" t="s">
        <v>772</v>
      </c>
    </row>
  </sheetData>
  <mergeCells count="17">
    <mergeCell ref="C14:E14"/>
    <mergeCell ref="A1:E1"/>
    <mergeCell ref="A2:E2"/>
    <mergeCell ref="A3:E4"/>
    <mergeCell ref="A5:E5"/>
    <mergeCell ref="C7:E7"/>
    <mergeCell ref="C8:E8"/>
    <mergeCell ref="C9:E9"/>
    <mergeCell ref="C10:E10"/>
    <mergeCell ref="C11:E11"/>
    <mergeCell ref="C12:E12"/>
    <mergeCell ref="C13:E13"/>
    <mergeCell ref="A31:A33"/>
    <mergeCell ref="A34:A40"/>
    <mergeCell ref="A41:A43"/>
    <mergeCell ref="A51:E51"/>
    <mergeCell ref="A52:E52"/>
  </mergeCells>
  <printOptions horizontalCentered="1"/>
  <pageMargins left="0.3" right="0.3" top="0.5" bottom="0.1" header="0.3" footer="0.3"/>
  <pageSetup paperSize="9" scale="70" fitToHeight="6"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G5J0PhhMqPMlYQ/bLpXbZ1QYRdM=</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YzESVDAWi8eFlW0INwJNDzWo6jM=</DigestValue>
    </Reference>
  </SignedInfo>
  <SignatureValue>UzUNc+z2ShYHc1nwH2t8CRpRHZgZLqzpQJ7OuqSA7Td+dfPhtbwgSgANbxct7PQIQzuQ8BM/6HvI
AqdsFbEQ05n+DHLuP0t8ropZeQOrbqWLHcaCCnqh+zli9rBRij9IEzaOD6U8hqX84ZdlQMKL65rt
d+zyGjomHfXIeE/7ueXtnEt4QiEEbPv3ELdWuE4SCqvmCkONdVH8jbjH+nq727zRAPT8vuyAYn6n
VdkJLn9xyhP/xmcplkCbUcOgeqZ+hMh7Womxzvy/SFbWniWwLooQX+whe1l/w3mKioUy0JdQpER4
RAACfF+HD8b+Tjt0usm9b8IoL0R9RiZq/tAkVA==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Transform>
          <Transform Algorithm="http://www.w3.org/TR/2001/REC-xml-c14n-20010315"/>
        </Transforms>
        <DigestMethod Algorithm="http://www.w3.org/2000/09/xmldsig#sha1"/>
        <DigestValue>EQCQ1owCM9q3zhS2PcLF8hRqIe8=</DigestValue>
      </Reference>
      <Reference URI="/xl/calcChain.xml?ContentType=application/vnd.openxmlformats-officedocument.spreadsheetml.calcChain+xml">
        <DigestMethod Algorithm="http://www.w3.org/2000/09/xmldsig#sha1"/>
        <DigestValue>xiSGNR5xbmmEmuxN6IInxrY4BmE=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cbB4satkHaf++fR6nbZUYlCGVDg=</DigestValue>
      </Reference>
      <Reference URI="/xl/drawings/drawing2.xml?ContentType=application/vnd.openxmlformats-officedocument.drawing+xml">
        <DigestMethod Algorithm="http://www.w3.org/2000/09/xmldsig#sha1"/>
        <DigestValue>5f2ZKrFSNwlNpf+Z4i4KTXEdvZw=</DigestValue>
      </Reference>
      <Reference URI="/xl/drawings/drawing3.xml?ContentType=application/vnd.openxmlformats-officedocument.drawing+xml">
        <DigestMethod Algorithm="http://www.w3.org/2000/09/xmldsig#sha1"/>
        <DigestValue>kXMeTxmfwDaDvhg/Jxz9gRg6Xro=</DigestValue>
      </Reference>
      <Reference URI="/xl/drawings/drawing4.xml?ContentType=application/vnd.openxmlformats-officedocument.drawing+xml">
        <DigestMethod Algorithm="http://www.w3.org/2000/09/xmldsig#sha1"/>
        <DigestValue>d9sbopaCHGIzHIXxvJv65AXpHyQ=</DigestValue>
      </Reference>
      <Reference URI="/xl/drawings/drawing5.xml?ContentType=application/vnd.openxmlformats-officedocument.drawing+xml">
        <DigestMethod Algorithm="http://www.w3.org/2000/09/xmldsig#sha1"/>
        <DigestValue>0gkIWD3O066e1Bm2uq639VvNZXE=</DigestValue>
      </Reference>
      <Reference URI="/xl/drawings/drawing6.xml?ContentType=application/vnd.openxmlformats-officedocument.drawing+xml">
        <DigestMethod Algorithm="http://www.w3.org/2000/09/xmldsig#sha1"/>
        <DigestValue>H0lyh7/ymauPg1HcdNMHSVGjoqo=</DigestValue>
      </Reference>
      <Reference URI="/xl/drawings/drawing7.xml?ContentType=application/vnd.openxmlformats-officedocument.drawing+xml">
        <DigestMethod Algorithm="http://www.w3.org/2000/09/xmldsig#sha1"/>
        <DigestValue>+n6ui6/m15cUbvQe8OCEsKPNOac=</DigestValue>
      </Reference>
      <Reference URI="/xl/media/image1.jpeg?ContentType=image/jpeg">
        <DigestMethod Algorithm="http://www.w3.org/2000/09/xmldsig#sha1"/>
        <DigestValue>IuY7f9k/Zk2SzMFv+ta2kfKJYr0=</DigestValue>
      </Reference>
      <Reference URI="/xl/media/image2.jpeg?ContentType=image/jpeg">
        <DigestMethod Algorithm="http://www.w3.org/2000/09/xmldsig#sha1"/>
        <DigestValue>VFZcP/Vh3GSVZtNJ4IcJONvgsEE=</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9k3QcDOhi4ZWRD2lOjX1GnZx6sY=</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t71+vZj1s+FLRygP6twJuQy9DVw=</DigestValue>
      </Reference>
      <Reference URI="/xl/printerSettings/printerSettings6.bin?ContentType=application/vnd.openxmlformats-officedocument.spreadsheetml.printerSettings">
        <DigestMethod Algorithm="http://www.w3.org/2000/09/xmldsig#sha1"/>
        <DigestValue>9k3QcDOhi4ZWRD2lOjX1GnZx6sY=</DigestValue>
      </Reference>
      <Reference URI="/xl/printerSettings/printerSettings7.bin?ContentType=application/vnd.openxmlformats-officedocument.spreadsheetml.printerSettings">
        <DigestMethod Algorithm="http://www.w3.org/2000/09/xmldsig#sha1"/>
        <DigestValue>9k3QcDOhi4ZWRD2lOjX1GnZx6sY=</DigestValue>
      </Reference>
      <Reference URI="/xl/printerSettings/printerSettings8.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EQX2uVPcJ17EJYqmhKKXRqTUwGw=</DigestValue>
      </Reference>
      <Reference URI="/xl/styles.xml?ContentType=application/vnd.openxmlformats-officedocument.spreadsheetml.styles+xml">
        <DigestMethod Algorithm="http://www.w3.org/2000/09/xmldsig#sha1"/>
        <DigestValue>V0qKCL160DgpjgGRt9nA5kZ/RpA=</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UqCWeBVmV5lzzeUcSEvB0tPyCTo=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c9oH5MRBsnk6tjU7Tm3knJwJR4A=</DigestValue>
      </Reference>
      <Reference URI="/xl/worksheets/sheet2.xml?ContentType=application/vnd.openxmlformats-officedocument.spreadsheetml.worksheet+xml">
        <DigestMethod Algorithm="http://www.w3.org/2000/09/xmldsig#sha1"/>
        <DigestValue>mWF8bq5h8dfB8+tTPadK0kEwyfI=</DigestValue>
      </Reference>
      <Reference URI="/xl/worksheets/sheet3.xml?ContentType=application/vnd.openxmlformats-officedocument.spreadsheetml.worksheet+xml">
        <DigestMethod Algorithm="http://www.w3.org/2000/09/xmldsig#sha1"/>
        <DigestValue>crlj7lRjEszNXnlDnRv6G4hd0b4=</DigestValue>
      </Reference>
      <Reference URI="/xl/worksheets/sheet4.xml?ContentType=application/vnd.openxmlformats-officedocument.spreadsheetml.worksheet+xml">
        <DigestMethod Algorithm="http://www.w3.org/2000/09/xmldsig#sha1"/>
        <DigestValue>RSKLxdp7nE0eHgx0InShIJruMsY=</DigestValue>
      </Reference>
      <Reference URI="/xl/worksheets/sheet5.xml?ContentType=application/vnd.openxmlformats-officedocument.spreadsheetml.worksheet+xml">
        <DigestMethod Algorithm="http://www.w3.org/2000/09/xmldsig#sha1"/>
        <DigestValue>PsqRwxo8A1pmgAwFsTxNpSC1Yws=</DigestValue>
      </Reference>
      <Reference URI="/xl/worksheets/sheet6.xml?ContentType=application/vnd.openxmlformats-officedocument.spreadsheetml.worksheet+xml">
        <DigestMethod Algorithm="http://www.w3.org/2000/09/xmldsig#sha1"/>
        <DigestValue>+VZTNeLDta26shHeuY92Fk3qDFU=</DigestValue>
      </Reference>
      <Reference URI="/xl/worksheets/sheet7.xml?ContentType=application/vnd.openxmlformats-officedocument.spreadsheetml.worksheet+xml">
        <DigestMethod Algorithm="http://www.w3.org/2000/09/xmldsig#sha1"/>
        <DigestValue>6dcy0d/nPkJL6NcJ/gtXxm3db60=</DigestValue>
      </Reference>
      <Reference URI="/xl/worksheets/sheet8.xml?ContentType=application/vnd.openxmlformats-officedocument.spreadsheetml.worksheet+xml">
        <DigestMethod Algorithm="http://www.w3.org/2000/09/xmldsig#sha1"/>
        <DigestValue>AVmbNQuHVB5BDHnuz4SXz+JQlOw=</DigestValue>
      </Reference>
    </Manifest>
    <SignatureProperties>
      <SignatureProperty Id="idSignatureTime" Target="#idPackageSignature">
        <mdssi:SignatureTime xmlns:mdssi="http://schemas.openxmlformats.org/package/2006/digital-signature">
          <mdssi:Format>YYYY-MM-DDThh:mm:ssTZD</mdssi:Format>
          <mdssi:Value>2021-02-04T07:57:58Z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2021-02-04T07:57:58Z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Bui, Trang</cp:lastModifiedBy>
  <cp:lastPrinted>2021-02-03T08:58:31Z</cp:lastPrinted>
  <dcterms:created xsi:type="dcterms:W3CDTF">2019-03-13T13:30:00Z</dcterms:created>
  <dcterms:modified xsi:type="dcterms:W3CDTF">2021-02-04T07:57:18Z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2021-02-03T08:44:12.3519744Z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4f6b5c5b-650f-4f5d-a8b7-88f5f9353ce7</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