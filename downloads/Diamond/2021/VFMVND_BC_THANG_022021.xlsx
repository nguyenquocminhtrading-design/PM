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225" windowWidth="14805" windowHeight="7890" firstSheet="4" activeTab="7"/>
  </bookViews>
  <sheets>
    <sheet name="TONGQUAN" sheetId="15" r:id="rId1"/>
    <sheet name="BCTaiSan_06134" sheetId="11" r:id="rId2"/>
    <sheet name="BCKetQuaHoatDong_06135" sheetId="9" r:id="rId3"/>
    <sheet name="BCDanhMucDauTu_06136" sheetId="8" r:id="rId4"/>
    <sheet name="BCGiaodichTaiSan_06141" sheetId="17" r:id="rId5"/>
    <sheet name="Khac_06137" sheetId="10" r:id="rId6"/>
    <sheet name="BCThuNhap_06203" sheetId="13" r:id="rId7"/>
    <sheet name="BCTinhHinhTaiChinh_06105" sheetId="14" r:id="rId8"/>
    <sheet name="GTTSRong_06107" sheetId="12" r:id="rId9"/>
    <sheet name="Sheet10" sheetId="16" r:id="rId10"/>
  </sheets>
  <definedNames>
    <definedName name="_xlnm.Print_Area" localSheetId="4">BCGiaodichTaiSan_06141!$A$1:$K$36</definedName>
    <definedName name="_xlnm.Print_Area" localSheetId="0">TONGQUAN!$A$1:$I$47</definedName>
  </definedNames>
  <calcPr calcId="145621"/>
</workbook>
</file>

<file path=xl/calcChain.xml><?xml version="1.0" encoding="utf-8"?>
<calcChain xmlns="http://schemas.openxmlformats.org/spreadsheetml/2006/main">
  <c r="C13" i="17" l="1"/>
  <c r="C12" i="17"/>
  <c r="A4" i="17"/>
  <c r="E13" i="15"/>
  <c r="F117" i="14" l="1"/>
  <c r="E117" i="14"/>
  <c r="F113" i="14"/>
  <c r="E113" i="14"/>
  <c r="F109" i="14"/>
  <c r="E109" i="14"/>
  <c r="F101" i="14"/>
  <c r="F98" i="14" s="1"/>
  <c r="E101" i="14"/>
  <c r="E98" i="14"/>
  <c r="F88" i="14"/>
  <c r="F86" i="14" s="1"/>
  <c r="E88" i="14"/>
  <c r="E86" i="14"/>
  <c r="F76" i="14"/>
  <c r="E76" i="14"/>
  <c r="F71" i="14"/>
  <c r="F107" i="14" s="1"/>
  <c r="E71" i="14"/>
  <c r="E107" i="14" s="1"/>
  <c r="F58" i="14"/>
  <c r="E58" i="14"/>
  <c r="E56" i="14" s="1"/>
  <c r="F56" i="14"/>
  <c r="F50" i="14"/>
  <c r="E50" i="14"/>
  <c r="E42" i="14" s="1"/>
  <c r="F43" i="14"/>
  <c r="F42" i="14" s="1"/>
  <c r="F39" i="14" s="1"/>
  <c r="E43" i="14"/>
  <c r="F28" i="14"/>
  <c r="E28" i="14"/>
  <c r="E27" i="14" s="1"/>
  <c r="F27" i="14"/>
  <c r="F20" i="14"/>
  <c r="E20" i="14"/>
  <c r="E19" i="14" s="1"/>
  <c r="F19" i="14"/>
  <c r="G75" i="13"/>
  <c r="F75" i="13"/>
  <c r="E75" i="13"/>
  <c r="D75" i="13"/>
  <c r="G59" i="13"/>
  <c r="F59" i="13"/>
  <c r="E59" i="13"/>
  <c r="D59" i="13"/>
  <c r="G53" i="13"/>
  <c r="F53" i="13"/>
  <c r="E53" i="13"/>
  <c r="D53" i="13"/>
  <c r="G45" i="13"/>
  <c r="F45" i="13"/>
  <c r="F43" i="13" s="1"/>
  <c r="E45" i="13"/>
  <c r="E43" i="13" s="1"/>
  <c r="D45" i="13"/>
  <c r="G43" i="13"/>
  <c r="D43" i="13"/>
  <c r="G36" i="13"/>
  <c r="F36" i="13"/>
  <c r="E36" i="13"/>
  <c r="E35" i="13" s="1"/>
  <c r="D36" i="13"/>
  <c r="G35" i="13"/>
  <c r="F35" i="13"/>
  <c r="D35" i="13"/>
  <c r="G26" i="13"/>
  <c r="F26" i="13"/>
  <c r="E26" i="13"/>
  <c r="D26" i="13"/>
  <c r="G23" i="13"/>
  <c r="F23" i="13"/>
  <c r="E23" i="13"/>
  <c r="D23" i="13"/>
  <c r="G20" i="13"/>
  <c r="F20" i="13"/>
  <c r="E20" i="13"/>
  <c r="E19" i="13" s="1"/>
  <c r="D20" i="13"/>
  <c r="G19" i="13"/>
  <c r="G74" i="13" s="1"/>
  <c r="G78" i="13" s="1"/>
  <c r="G82" i="13" s="1"/>
  <c r="F19" i="13"/>
  <c r="D19" i="13"/>
  <c r="D74" i="13" s="1"/>
  <c r="D78" i="13" s="1"/>
  <c r="D82" i="13" s="1"/>
  <c r="E74" i="13" l="1"/>
  <c r="E78" i="13" s="1"/>
  <c r="E82" i="13" s="1"/>
  <c r="F65" i="14"/>
  <c r="F108" i="14" s="1"/>
  <c r="E39" i="14"/>
  <c r="E65" i="14" s="1"/>
  <c r="E108" i="14" s="1"/>
  <c r="F74" i="13"/>
  <c r="F78" i="13" s="1"/>
  <c r="F82" i="13" s="1"/>
</calcChain>
</file>

<file path=xl/sharedStrings.xml><?xml version="1.0" encoding="utf-8"?>
<sst xmlns="http://schemas.openxmlformats.org/spreadsheetml/2006/main" count="1386" uniqueCount="1035">
  <si>
    <t>Phụ lục XXVI. Mẫu báo cáo về hoạt động của Quỹ
Appendix XXVI. Report on Fund's Activities</t>
  </si>
  <si>
    <t>(Ban hành kèm theo Thông tư số 98/2020/TT-BTC ngày 16 tháng 11  năm 2020 của Bộ trưởng Bộ Tài chính)
(Issued in association with Circular 98/2020/TT-BTC dated 16 Nov 2020 by Ministry of Finance)</t>
  </si>
  <si>
    <t>BÁO CÁO VỀ HOẠT ĐỘNG ĐẦU TƯ
REPORT ON INVESTMENT ACTIVITIES</t>
  </si>
  <si>
    <t>Tại ngày 28 tháng 02 năm 2021 / As at 28 Feb 2021</t>
  </si>
  <si>
    <t>1</t>
  </si>
  <si>
    <t>Tên quỹ:</t>
  </si>
  <si>
    <t>QUỸ ETF VFMVN DIAMOND</t>
  </si>
  <si>
    <t>Fund name:</t>
  </si>
  <si>
    <t>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</si>
  <si>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</si>
  <si>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</si>
  <si>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</si>
  <si>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</si>
  <si>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</si>
  <si>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</si>
  <si>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</si>
  <si>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</si>
  <si>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</si>
  <si>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</si>
  <si>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</si>
  <si>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</si>
  <si>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</si>
  <si>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</si>
  <si>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</si>
  <si>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</si>
  <si>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</si>
  <si>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</si>
  <si>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</si>
  <si>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</si>
  <si>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</si>
  <si>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</si>
  <si>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</si>
  <si>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</si>
  <si>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</si>
  <si>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</si>
  <si>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</si>
  <si>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CTD</t>
  </si>
  <si>
    <t>CTG</t>
  </si>
  <si>
    <t>FPT</t>
  </si>
  <si>
    <t>GMD</t>
  </si>
  <si>
    <t>5</t>
  </si>
  <si>
    <t>KDH</t>
  </si>
  <si>
    <t>6</t>
  </si>
  <si>
    <t>MBB</t>
  </si>
  <si>
    <t>7</t>
  </si>
  <si>
    <t>MWG</t>
  </si>
  <si>
    <t>8</t>
  </si>
  <si>
    <t>NLG</t>
  </si>
  <si>
    <t>9</t>
  </si>
  <si>
    <t>PNJ</t>
  </si>
  <si>
    <t>10</t>
  </si>
  <si>
    <t>REE</t>
  </si>
  <si>
    <t>11</t>
  </si>
  <si>
    <t>TCB</t>
  </si>
  <si>
    <t>12</t>
  </si>
  <si>
    <t>TPB</t>
  </si>
  <si>
    <t>13</t>
  </si>
  <si>
    <t>VPB</t>
  </si>
  <si>
    <t>Tổng
Total</t>
  </si>
  <si>
    <t>III</t>
  </si>
  <si>
    <t>Cổ phiếu chưa niêm yết, đăng ký giao dịch, chứng chỉ quỹ không niêm yết
Unlisted shares, trading registration, unlisted fund certificates</t>
  </si>
  <si>
    <t>Tổng các loại cổ phiếu
Total shares</t>
  </si>
  <si>
    <t>IV</t>
  </si>
  <si>
    <t>Trái phiếu
Bonds</t>
  </si>
  <si>
    <t>V</t>
  </si>
  <si>
    <t>Các loại chứng khoán khác
Other sercurities</t>
  </si>
  <si>
    <t>Quyền mua chứng khoán
Investments - Rights</t>
  </si>
  <si>
    <t>Chi tiết loại hợp đồng phái sinh(*)
Index future contracts</t>
  </si>
  <si>
    <t>Tổng các loại chứng khoán
Total investment</t>
  </si>
  <si>
    <t>VI</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</si>
  <si>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</si>
  <si>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</si>
  <si>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</si>
  <si>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</si>
  <si>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(kê chi tiết)
Receivables from investments sold but not yet settled (in details)</t>
  </si>
  <si>
    <t>Phải thu cho khoản cổ phiếu hạn chế chờ mua
Receivable from AP/Investors on bought investments</t>
  </si>
  <si>
    <t>Phải thu khác
Other receivables</t>
  </si>
  <si>
    <t>Tài sản khác
Other assets</t>
  </si>
  <si>
    <t>VII</t>
  </si>
  <si>
    <t>Tiền
Cash</t>
  </si>
  <si>
    <t>Tiền, tương đương tiền
Cash, Cash Equivalents</t>
  </si>
  <si>
    <t>Tiền mặt
Cash</t>
  </si>
  <si>
    <t>Tiền gửi ngân hàng cho hoạt động của Quỹ
Cash at bank for Fund's operation</t>
  </si>
  <si>
    <t>Tiền gửi ngân hàng có kỳ hạn dưới 3 tháng
Deposits with term less than three (03) months</t>
  </si>
  <si>
    <t>Tiền gửi ngân hàng có kỳ hạn trên 3 tháng
Deposits with term over three (03) months</t>
  </si>
  <si>
    <t>Chứng chỉ tiền gửi 
Certificates of deposit</t>
  </si>
  <si>
    <t>Công cụ chuyển nhượng… 
Transferable instruments…</t>
  </si>
  <si>
    <t>VIII</t>
  </si>
  <si>
    <t>Tổng giá trị danh mục
Total value of portfolio</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</si>
  <si>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</si>
  <si>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</si>
  <si>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</si>
  <si>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</si>
  <si>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</si>
  <si>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</si>
  <si>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</si>
  <si>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</si>
  <si>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</si>
  <si>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</si>
  <si>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</si>
  <si>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</si>
  <si>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</si>
  <si>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</si>
  <si>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</si>
  <si>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</si>
  <si>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</si>
  <si>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</si>
  <si>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</si>
  <si>
    <t>(Ban hành kèm theo Thông tư số 98/2020/TT-BTC ngày 16 tháng 11 năm 2020 của Bộ Tài về hướng dẫn hoạt động và quản lý quỹ đầu tư chứng khoán)
(Issued in association with Circular 98/2020/TT-BTC dated 16 November 2020 of the Minister of Finance on guiding the operation and management of the securities investment funds)</t>
  </si>
  <si>
    <t>Tháng 02 năm 2021 / Feb 2021</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</si>
  <si>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</si>
  <si>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</si>
  <si>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</si>
  <si>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</si>
  <si>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</si>
  <si>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02 năm 2021
Feb 2021</t>
  </si>
  <si>
    <t>Tháng 01 năm 2021
Jan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</si>
  <si>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</si>
  <si>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</si>
  <si>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</si>
  <si>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</si>
  <si>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</si>
  <si>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</si>
  <si>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</si>
  <si>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</si>
  <si>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</si>
  <si>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</si>
  <si>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</si>
  <si>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</si>
  <si>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</si>
  <si>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</si>
  <si>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</si>
  <si>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</si>
  <si>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</si>
  <si>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</si>
  <si>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</si>
  <si>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</si>
  <si>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</si>
  <si>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</si>
  <si>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</si>
  <si>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</si>
  <si>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</si>
  <si>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</si>
  <si>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</si>
  <si>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</si>
  <si>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</si>
  <si>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</si>
  <si>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</si>
  <si>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</si>
  <si>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</si>
  <si>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</si>
  <si>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</si>
  <si>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</si>
  <si>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</si>
  <si>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</si>
  <si>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</si>
  <si>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</si>
  <si>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</si>
  <si>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</si>
  <si>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</si>
  <si>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</si>
  <si>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</si>
  <si>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</si>
  <si>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</si>
  <si>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</si>
  <si>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</si>
  <si>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</si>
  <si>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</si>
  <si>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</si>
  <si>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</si>
  <si>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</si>
  <si>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</si>
  <si>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</si>
  <si>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</si>
  <si>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</si>
  <si>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</si>
  <si>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</si>
  <si>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</si>
  <si>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</si>
  <si>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</si>
  <si>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</si>
  <si>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</si>
  <si>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</si>
  <si>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</si>
  <si>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</si>
  <si>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</si>
  <si>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</si>
  <si>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</si>
  <si>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</si>
  <si>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</si>
  <si>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</si>
  <si>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</si>
  <si>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</si>
  <si>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</si>
  <si>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</si>
  <si>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</si>
  <si>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</si>
  <si>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</si>
  <si>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</si>
  <si>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</si>
  <si>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</si>
  <si>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</si>
  <si>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</si>
  <si>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</si>
  <si>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</si>
  <si>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</si>
  <si>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</si>
  <si>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</si>
  <si>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</si>
  <si>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</si>
  <si>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</si>
  <si>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</si>
  <si>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</si>
  <si>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</si>
  <si>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</si>
  <si>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</si>
  <si>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</si>
  <si>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</si>
  <si>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</si>
  <si>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</si>
  <si>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</si>
  <si>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</si>
  <si>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</si>
  <si>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</si>
  <si>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</si>
  <si>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</si>
  <si>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</si>
  <si>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</si>
  <si>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</si>
  <si>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</si>
  <si>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</si>
  <si>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</si>
  <si>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</si>
  <si>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</si>
  <si>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</si>
  <si>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</si>
  <si>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</si>
  <si>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</si>
  <si>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</si>
  <si>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</si>
  <si>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</si>
  <si>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</si>
  <si>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</si>
  <si>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</si>
  <si>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</si>
  <si>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</si>
  <si>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</si>
  <si>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</si>
  <si>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</si>
  <si>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</si>
  <si>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</si>
  <si>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</si>
  <si>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</si>
  <si>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</si>
  <si>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</si>
  <si>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V. MỘT SỐ CHỈ TIÊU KHÁC / OTHER INDICATORS</t>
  </si>
  <si>
    <t>TT
No.</t>
  </si>
  <si>
    <t>Các chỉ tiêu về hiệu quả hoạt động  
Investment performance indicators (*)</t>
  </si>
  <si>
    <t>Tỷ lệ giá dịch vụ quản lý trả cho công ty quản lý quỹ/Giá trị tài sản ròng trung bình trong kỳ (%)  
Management expense over average NAV ratio (%)</t>
  </si>
  <si>
    <t>Tỷ lệ giá dịch vụ lưu ký, giám sát trả cho NHGS/Giá trị tài sản ròng trung bình trong kỳ (%)  
Custodian and supervising fee expense over average NAV ratio (%)</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</si>
  <si>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</si>
  <si>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Chi phí kiểm toán trả cho tổ chức kiểm toán (nếu phát sinh)/Giá trị tài sản ròng trung bình trong kỳ  (%)  
Audit fee expense over average NAV ratio (%)</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</si>
  <si>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</si>
  <si>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</si>
  <si>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</si>
  <si>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Tỷ lệ chi phí/Giá trị tài sản ròng trung bình trong kỳ  (%)  
Operating expense over average NAV ratio (%)</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</si>
  <si>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</si>
  <si>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</si>
  <si>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</si>
  <si>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Quy mô quỹ đầu kỳ 
Fund scale at the beginning of the period</t>
  </si>
  <si>
    <t>Tổng giá trị chứng chỉ quỹ đang lưu hành đầu kỳ 
Total value of outstanding Fund Certificate at the beginning of period</t>
  </si>
  <si>
    <t>Tổng số lượng chứng chỉ quỹ đang lưu hành đầu kỳ 
Total number of outstanding Fund Certificate at the beginning of period</t>
  </si>
  <si>
    <t>Thay đổi quy mô quỹ trong kỳ 
Change of Fund scale during the period</t>
  </si>
  <si>
    <t>Thay đổi số lượng chứng chỉ quỹ trong kỳ 
Change of Number of Fund Certificates during the period</t>
  </si>
  <si>
    <t>Thay đổi giá trị vốn trong kỳ (theo mệnh giá) 
Change in capital amount during the period (based on par value)</t>
  </si>
  <si>
    <t>Số lượng chứng chỉ quỹ phát hành thêm trong kỳ 
Number of Fund Certificates subscribed during the period</t>
  </si>
  <si>
    <t>Giá trị vốn thực huy động thêm trong kỳ (theo mệnh giá)  
Net subscription amount in period (based on par value)</t>
  </si>
  <si>
    <t>Số lượng chứng chỉ quỹ mua lại trong kỳ 
Number of Fund Certificates redeemed during the period</t>
  </si>
  <si>
    <t>Giá trị vốn thực thanh toán trong kỳ (theo mệnh giá) 
Net redemption amount in period (based on par value)</t>
  </si>
  <si>
    <t>Quy mô quỹ cuối kỳ 
Fund scale at the end of the period</t>
  </si>
  <si>
    <t>Tổng giá trị chứng chỉ quỹ đang lưu hành cuối kỳ 
Total value of outstanding Fund Certificate at the end of the period</t>
  </si>
  <si>
    <t>Tổng số lượng chứng chỉ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</si>
  <si>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</si>
  <si>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</si>
  <si>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</si>
  <si>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Giá trị tài sản ròng trên một chứng chỉ quỹ cuối kỳ 
Net asset value per Fund Certificate at the end of period</t>
  </si>
  <si>
    <t>Giá trị thị trường trên một chứng chỉ quỹ cuối kỳ 
Market value per Fund Certificate at the end of period</t>
  </si>
  <si>
    <t>Số nhà đầu tư tham gia vào quỹ, kể cả giao dịch ký danh  
Number of investors of the Fund at the end of the period</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</si>
  <si>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</si>
  <si>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</si>
  <si>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</si>
  <si>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</si>
  <si>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Phó Trưởng phòng DVKHTC2</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</si>
  <si>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</si>
  <si>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HOẠT ĐỘNG ĐẦU TƯ
REPORT ON INVESTMENT ACTIVITIES</t>
  </si>
  <si>
    <t>Tên Quỹ:</t>
  </si>
  <si>
    <t>I. BÁO CÁO VỀ TÀI SẢN CỦA QUỸ/ ASSET REPORT</t>
  </si>
  <si>
    <t>Tại ngày 28 tháng 02  năm2021 
As at 28 Feb 2021</t>
  </si>
  <si>
    <t>Tại ngày 31 tháng 01  năm 2021 
As at 31 Jan 2021</t>
  </si>
  <si>
    <t>%/cùng kỳ năm trước
%/against last year (*)</t>
  </si>
  <si>
    <t>I.1</t>
  </si>
  <si>
    <t>Tiền, tương đương tiền
Cash, cash equivalents</t>
  </si>
  <si>
    <t>I.2</t>
  </si>
  <si>
    <t>Đầu tư khác
Other Investments</t>
  </si>
  <si>
    <t>I.3</t>
  </si>
  <si>
    <t>Thu từ cho thuê bất động sản đầu tư (không áp dụng)
Receivables from rental of investment property (not applicable)</t>
  </si>
  <si>
    <t>I.4</t>
  </si>
  <si>
    <t>I.5</t>
  </si>
  <si>
    <t>I.6</t>
  </si>
  <si>
    <t>Tiền bán bất động sản chờ thu (không áp dụng)
Real Estate Proceeds Receivables (not applicale)</t>
  </si>
  <si>
    <t>I.7</t>
  </si>
  <si>
    <t>I.8</t>
  </si>
  <si>
    <t>I.9</t>
  </si>
  <si>
    <t>I.10</t>
  </si>
  <si>
    <t>II.1</t>
  </si>
  <si>
    <t>Tiền phải thanh toán mua bất động sản (không áp dụng)
Real Estate Trading Payables (not applicable)</t>
  </si>
  <si>
    <t>II.2</t>
  </si>
  <si>
    <t>II.3</t>
  </si>
  <si>
    <t>II.4</t>
  </si>
  <si>
    <t>(*) Quỹ được cấp phép thành lập ngày 22/04/2020 nên không có số liệu tại tháng 2 năm 2020
Fund Registration Certificate was granted on 22 April 2020, so data for Feb 2020 is left blank.</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</si>
  <si>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</si>
  <si>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</si>
  <si>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</si>
  <si>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</si>
  <si>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</si>
  <si>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</si>
  <si>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</si>
  <si>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</si>
  <si>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</si>
  <si>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</si>
  <si>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</si>
  <si>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</si>
  <si>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</si>
  <si>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</si>
  <si>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</si>
  <si>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</si>
  <si>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</si>
  <si>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</si>
  <si>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</si>
  <si>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</si>
  <si>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</si>
  <si>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</si>
  <si>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</si>
  <si>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</si>
  <si>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</si>
  <si>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</si>
  <si>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</si>
  <si>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</si>
  <si>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</si>
  <si>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</si>
  <si>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</si>
  <si>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</si>
  <si>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</si>
  <si>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Phó TGĐ - Phụ trách CBTT</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</si>
  <si>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</si>
  <si>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</si>
  <si>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</si>
  <si>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</si>
  <si>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</si>
  <si>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</si>
  <si>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</si>
  <si>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</si>
  <si>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</si>
  <si>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</si>
  <si>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2021
YEAR 2021</t>
  </si>
  <si>
    <t>NĂM 2020
YEAR 2020</t>
  </si>
  <si>
    <t>Số lũy kế
Year-to-date</t>
  </si>
  <si>
    <t>Tháng 02 năm 2020
Feb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</si>
  <si>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</si>
  <si>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</si>
  <si>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</si>
  <si>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</si>
  <si>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</si>
  <si>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</si>
  <si>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</si>
  <si>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</si>
  <si>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</si>
  <si>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</si>
  <si>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</si>
  <si>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</si>
  <si>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</si>
  <si>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</si>
  <si>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</si>
  <si>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</si>
  <si>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</si>
  <si>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</si>
  <si>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</si>
  <si>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</si>
  <si>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</si>
  <si>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</si>
  <si>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</si>
  <si>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</si>
  <si>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</si>
  <si>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</si>
  <si>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</si>
  <si>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</si>
  <si>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</si>
  <si>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</si>
  <si>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</si>
  <si>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</si>
  <si>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</si>
  <si>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</si>
  <si>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</si>
  <si>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</si>
  <si>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</si>
  <si>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</si>
  <si>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</si>
  <si>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</si>
  <si>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</si>
  <si>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14</t>
  </si>
  <si>
    <t>2.5. Chi phí đầu tư khác
Other investments expense</t>
  </si>
  <si>
    <t>15</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</si>
  <si>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</si>
  <si>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</si>
  <si>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</si>
  <si>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</si>
  <si>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</si>
  <si>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</si>
  <si>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</si>
  <si>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</si>
  <si>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</si>
  <si>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</si>
  <si>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</si>
  <si>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</si>
  <si>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</si>
  <si>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</si>
  <si>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</si>
  <si>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</si>
  <si>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</si>
  <si>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</si>
  <si>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</si>
  <si>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</si>
  <si>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</si>
  <si>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</si>
  <si>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</si>
  <si>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</si>
  <si>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</si>
  <si>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</si>
  <si>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</si>
  <si>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</si>
  <si>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</si>
  <si>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</si>
  <si>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</si>
  <si>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</si>
  <si>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</si>
  <si>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</si>
  <si>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</si>
  <si>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</si>
  <si>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</si>
  <si>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</si>
  <si>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</si>
  <si>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</si>
  <si>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</si>
  <si>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</si>
  <si>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</si>
  <si>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</si>
  <si>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</si>
  <si>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</si>
  <si>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</si>
  <si>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</si>
  <si>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</si>
  <si>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</si>
  <si>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</si>
  <si>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</si>
  <si>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</si>
  <si>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</si>
  <si>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</si>
  <si>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</si>
  <si>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</si>
  <si>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</si>
  <si>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</si>
  <si>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</si>
  <si>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</si>
  <si>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</si>
  <si>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</si>
  <si>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</si>
  <si>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</si>
  <si>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</si>
  <si>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</si>
  <si>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</si>
  <si>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</si>
  <si>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</si>
  <si>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</si>
  <si>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</si>
  <si>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</si>
  <si>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</si>
  <si>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</si>
  <si>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</si>
  <si>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</si>
  <si>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</si>
  <si>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</si>
  <si>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</si>
  <si>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Phó Tổng giám đốc - Phụ trách CBTT</t>
  </si>
  <si>
    <t>Mẫu số B02 - ETF. Báo cáo tình hình tài chính
Template B02 - ETF. Statement of Financial Position</t>
  </si>
  <si>
    <t>BÁO CÁO TÌNH HÌNH TÀI CHÍNH
STATEMENT OF FINANCIAL POSITION</t>
  </si>
  <si>
    <t>Tại ngày: 28 tháng 02 năm 2021 / As at 28 Feb 2021</t>
  </si>
  <si>
    <t>CHỈ TIÊU
Indicators</t>
  </si>
  <si>
    <t>Thuyết minh
Notes</t>
  </si>
  <si>
    <t>Tại ngày 28 tháng 02  năm 2021 
As at 28 Feb 2021</t>
  </si>
  <si>
    <t>Tại ngày 31 tháng 01  năm 2021 
As at 31 Jan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</si>
  <si>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</si>
  <si>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</si>
  <si>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</si>
  <si>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</si>
  <si>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</si>
  <si>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</si>
  <si>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</si>
  <si>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</si>
  <si>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</si>
  <si>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</si>
  <si>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</si>
  <si>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</si>
  <si>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</si>
  <si>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</si>
  <si>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</si>
  <si>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</si>
  <si>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</si>
  <si>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</si>
  <si>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</si>
  <si>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</si>
  <si>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</si>
  <si>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</si>
  <si>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</si>
  <si>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</si>
  <si>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</si>
  <si>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</si>
  <si>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</si>
  <si>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</si>
  <si>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</si>
  <si>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</si>
  <si>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</si>
  <si>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</si>
  <si>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</si>
  <si>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</si>
  <si>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</si>
  <si>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</si>
  <si>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</si>
  <si>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</si>
  <si>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</si>
  <si>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</si>
  <si>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</si>
  <si>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</si>
  <si>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</si>
  <si>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</si>
  <si>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</si>
  <si>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</si>
  <si>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</si>
  <si>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</si>
  <si>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</si>
  <si>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</si>
  <si>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</si>
  <si>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</si>
  <si>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</si>
  <si>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</si>
  <si>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</si>
  <si>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</si>
  <si>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</si>
  <si>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</si>
  <si>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</si>
  <si>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</si>
  <si>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</si>
  <si>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</si>
  <si>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</si>
  <si>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</si>
  <si>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</si>
  <si>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</si>
  <si>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</si>
  <si>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</si>
  <si>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</si>
  <si>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</si>
  <si>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</si>
  <si>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</si>
  <si>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</si>
  <si>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</si>
  <si>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</si>
  <si>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</si>
  <si>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</si>
  <si>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</si>
  <si>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</si>
  <si>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</si>
  <si>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</si>
  <si>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</si>
  <si>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</si>
  <si>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</si>
  <si>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</si>
  <si>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</si>
  <si>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</si>
  <si>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Trả trước phí đăng ký chứng khoán tại VSD
Prepaid expense for security registration at VSD</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</si>
  <si>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</si>
  <si>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</si>
  <si>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</si>
  <si>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</si>
  <si>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</si>
  <si>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Trả trước lệ phí cấp giấy chứng nhận hoạt động Quỹ ETF
Prepaid expense for Register fee for ETF operation payable to SSC</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</si>
  <si>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</si>
  <si>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</si>
  <si>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</si>
  <si>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</si>
  <si>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</si>
  <si>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</si>
  <si>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</si>
  <si>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</si>
  <si>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</si>
  <si>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</si>
  <si>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</si>
  <si>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</si>
  <si>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</si>
  <si>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</si>
  <si>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</si>
  <si>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</si>
  <si>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</si>
  <si>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</si>
  <si>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</si>
  <si>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</si>
  <si>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</si>
  <si>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</si>
  <si>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</si>
  <si>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</si>
  <si>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</si>
  <si>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</si>
  <si>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</si>
  <si>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</si>
  <si>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</si>
  <si>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</si>
  <si>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</si>
  <si>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</si>
  <si>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</si>
  <si>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</si>
  <si>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</si>
  <si>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</si>
  <si>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</si>
  <si>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</si>
  <si>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</si>
  <si>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</si>
  <si>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</si>
  <si>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</si>
  <si>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</si>
  <si>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</si>
  <si>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</si>
  <si>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</si>
  <si>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</si>
  <si>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</si>
  <si>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</si>
  <si>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</si>
  <si>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</si>
  <si>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</si>
  <si>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</si>
  <si>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mở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</si>
  <si>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</si>
  <si>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</si>
  <si>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</si>
  <si>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</si>
  <si>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</si>
  <si>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</si>
  <si>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</si>
  <si>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</si>
  <si>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</si>
  <si>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</si>
  <si>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</si>
  <si>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</si>
  <si>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</si>
  <si>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</si>
  <si>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</si>
  <si>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</si>
  <si>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</si>
  <si>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</si>
  <si>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</si>
  <si>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</si>
  <si>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</si>
  <si>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</si>
  <si>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</si>
  <si>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</si>
  <si>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</si>
  <si>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</si>
  <si>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</si>
  <si>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</si>
  <si>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</si>
  <si>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</si>
  <si>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</si>
  <si>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</si>
  <si>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</si>
  <si>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</si>
  <si>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</si>
  <si>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</si>
  <si>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</si>
  <si>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</si>
  <si>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</si>
  <si>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</si>
  <si>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</si>
  <si>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</si>
  <si>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</si>
  <si>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</si>
  <si>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</si>
  <si>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</si>
  <si>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</si>
  <si>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MỞ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</si>
  <si>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</si>
  <si>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</si>
  <si>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</si>
  <si>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</si>
  <si>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</si>
  <si>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</si>
  <si>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</si>
  <si>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</si>
  <si>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</si>
  <si>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</si>
  <si>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</si>
  <si>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</si>
  <si>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</si>
  <si>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</si>
  <si>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</si>
  <si>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MỞ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</si>
  <si>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</si>
  <si>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</si>
  <si>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</si>
  <si>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</si>
  <si>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</si>
  <si>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</si>
  <si>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</si>
  <si>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</si>
  <si>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</si>
  <si>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</si>
  <si>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</si>
  <si>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</si>
  <si>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</si>
  <si>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</si>
  <si>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</si>
  <si>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</si>
  <si>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</si>
  <si>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</si>
  <si>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</si>
  <si>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</si>
  <si>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</si>
  <si>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VFMVN Diamond (FUEVFVND)</t>
  </si>
  <si>
    <t xml:space="preserve">Fund name: </t>
  </si>
  <si>
    <t>VFMVN Diamond ETF (FUEVFVND)</t>
  </si>
  <si>
    <t>Người ký báo cáo:</t>
  </si>
  <si>
    <t>Đại diện có thẩm quyền của Công ty quản lý Quỹ</t>
  </si>
  <si>
    <t>Trưởng Phòng DVKHTC2</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</si>
  <si>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</si>
  <si>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</si>
  <si>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</si>
  <si>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</si>
  <si>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</si>
  <si>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</si>
  <si>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</si>
  <si>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</si>
  <si>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</si>
  <si>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</si>
  <si>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</si>
  <si>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</si>
  <si>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</si>
  <si>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</si>
  <si>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</si>
  <si>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</si>
  <si>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</si>
  <si>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</si>
  <si>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</si>
  <si>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</si>
  <si>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</si>
  <si>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</si>
  <si>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</si>
  <si>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</si>
  <si>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</si>
  <si>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</si>
  <si>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</si>
  <si>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</si>
  <si>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</si>
  <si>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</si>
  <si>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</si>
  <si>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</si>
  <si>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</si>
  <si>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</si>
  <si>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</si>
  <si>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</si>
  <si>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</si>
  <si>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Tại ngày 28 tháng 02 năm 2021/ As at 28 Feb 2021</t>
  </si>
  <si>
    <t>Tháng 02 năm 2021/ Feb 2021</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</si>
  <si>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</si>
  <si>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</si>
  <si>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</si>
  <si>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</si>
  <si>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</si>
  <si>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</si>
  <si>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</si>
  <si>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</si>
  <si>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</si>
  <si>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</si>
  <si>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</si>
  <si>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</si>
  <si>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</si>
  <si>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</si>
  <si>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</si>
  <si>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</si>
  <si>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</si>
  <si>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</si>
  <si>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</si>
  <si>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</si>
  <si>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</si>
  <si>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</si>
  <si>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</si>
  <si>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</si>
  <si>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</si>
  <si>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</si>
  <si>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</si>
  <si>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</si>
  <si>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</si>
  <si>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</si>
  <si>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</si>
  <si>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</si>
  <si>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</si>
  <si>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</si>
  <si>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</si>
  <si>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</si>
  <si>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Tiền gửi của nhà đầu tư cho hoạt động mua chứng chỉ quỹ
Cash at bank for Fund's subscription</t>
  </si>
  <si>
    <t>Tài sản
Assets</t>
  </si>
  <si>
    <t>Tiền và các khoản tương đương tiền
Cash and cash equivalents</t>
  </si>
  <si>
    <t>Tiền gửi ngân hàng
Cash at Bank</t>
  </si>
  <si>
    <t>Tiền phải trả cho Nhà đầu tư về mua lại chứng chỉ quỹ
Cash at bank for Fund's redemption</t>
  </si>
  <si>
    <t>Tài khoản phong tỏa
Escrow account</t>
  </si>
  <si>
    <t>Các khoản đầu tư (kê chi tiết)
Investments</t>
  </si>
  <si>
    <t>Cổ phiếu niêm yết
Listed shares</t>
  </si>
  <si>
    <t>Cổ phiếu chưa niêm yết
Unlisted shares</t>
  </si>
  <si>
    <t>Chứng chỉ tiền gửi 
Certificates of Deposit</t>
  </si>
  <si>
    <t>Quyền mua chứng khoán
Investment - Rights</t>
  </si>
  <si>
    <t>Cổ tức, trái tức được nhận
Dividend, Coupon Receivables</t>
  </si>
  <si>
    <t>Phải thu cổ tức
Dividend receivables</t>
  </si>
  <si>
    <t>Lãi được nhận
Interest receivables</t>
  </si>
  <si>
    <t>Phải thu lãi tiền gửi có kỳ hạn dưới 3 tháng
Interest receivable from deposit with term less than three (03) months</t>
  </si>
  <si>
    <t>Phải thu lãi chứng chỉ tiền gửi 
Interest receivable from Certificates of Deposits</t>
  </si>
  <si>
    <t>Tiền bán chứng khoán chờ thu
Securities Trading Receivables</t>
  </si>
  <si>
    <t>Các khoản phải thu khác
Other receivables</t>
  </si>
  <si>
    <t>Dự phòng giảm giá tài sản nhận thế chấp
Impairment of devaluation of assets as pledge</t>
  </si>
  <si>
    <t>Dự phòng nợ phải thu khó đòi
Provision for doubtful debt</t>
  </si>
  <si>
    <t>Phải thu cho khoản cổ phiếu hạn chế chờ mua
Receivable from AP/Investors on securities on hold</t>
  </si>
  <si>
    <t>Trả trước giá dịch vụ đăng ký niêm yết gửi HOSE
Prepaid expense for listed registration at HOSE</t>
  </si>
  <si>
    <t>Trả trước giá dịch vụ quản lý niêm yết gửi HOSE
Prepaid expense for listed management at HOSE</t>
  </si>
  <si>
    <t>Trả trước lệ phí cấp giấy chứng nhận hoạt động Quỹ ETF
Prepaid expense for Prepaid expense for Register fee for ETF operation to SSC</t>
  </si>
  <si>
    <t>Nợ
Liabilities</t>
  </si>
  <si>
    <t>Tiền phải thanh toán mua chứng khoán
Securities Trading Payables</t>
  </si>
  <si>
    <t>Các khoản phải trả khác
Other payables</t>
  </si>
  <si>
    <t>Phải trả nhà đầu tư
Payables to investors</t>
  </si>
  <si>
    <t>Phải trả cho nhà đầu tư về mua chứng chỉ quỹ
Payables to investors for subscription</t>
  </si>
  <si>
    <t>Phải trả nhà đầu tư trên cổ tức đã thu
Payables to investors for collected dividend</t>
  </si>
  <si>
    <t>Phải trả cho Nhà đầu tư về mua lại Chứng chỉ quỹ
Redemption payable to investors</t>
  </si>
  <si>
    <t>Thuế và các khoản phải nộp Nhà nước
Taxes Payables and obligations to the State Budget</t>
  </si>
  <si>
    <t>Phải trả phí phát hành, mua lại chứng chỉ quỹ cho Đại lý phân phối và Công ty quản lý quỹ
Subscription and Redemption fee payable to distributors and Fund Management Company</t>
  </si>
  <si>
    <t>Phải trả phí cho các Đại lý phân phối về mua bán Chứng chỉ quỹ
Subscription and Redemption fee payable to distributors</t>
  </si>
  <si>
    <t>Phải trả phí cho Công ty quản lý quỹ về mua bán Chứng chỉ quỹ
Subscription and Redemption fee payable to fund management company</t>
  </si>
  <si>
    <t>Phải trả thu nhập cho nhà đầu tư
Profit distribution payables</t>
  </si>
  <si>
    <t>Phải trả thù lao ban đại diện quỹ
Remuneration Payable to Fund's Board of Representatives</t>
  </si>
  <si>
    <t>Phải trả phí quản lý cho công ty quản lý quỹ
Management fee payable</t>
  </si>
  <si>
    <t>Phải trả phí quản trị quỹ
Fund Administration fee payable</t>
  </si>
  <si>
    <t>Phải trả phí giám sát
Supervisory service fee payable</t>
  </si>
  <si>
    <t>Phí giao dịch
Transaction fee</t>
  </si>
  <si>
    <t>Phải trả phí môi giới
Broker fee payable</t>
  </si>
  <si>
    <t>Phải trả phí thanh toán bù trừ chứng khoán
Clearing settlement fee payables</t>
  </si>
  <si>
    <t>Trích trước phí lưu ký tài sản Quỹ ETF
Accrued expenses for Custion services</t>
  </si>
  <si>
    <t>Phí dịch vụ lưu ký - bảo quản tài sản
Custodian service - Safe Custody Fee</t>
  </si>
  <si>
    <t>Phí dịch vụ lưu ký - giao dịch chứng khoán
Custodian service - Transaction fee</t>
  </si>
  <si>
    <t>Phí dịch vụ lưu ký - phí VSD
Custodian service -VSD fee</t>
  </si>
  <si>
    <t>Phí dịch vụ lưu ký - phí VSD về quản lý vị thế và tài sản ký quỹ cho các hợp đồng phái sinh
Custodian service -VSD fee for position and margin management of index future contracts</t>
  </si>
  <si>
    <t>Phải trả phí kiểm toán
Audit fee payable</t>
  </si>
  <si>
    <t>Phải trả phí họp đại hội thường niên
General meeting expense payable</t>
  </si>
  <si>
    <t>Phải trả phí báo cáo thường niên
Annual report expense payable</t>
  </si>
  <si>
    <t>Phải trả phí dịch vụ đại lý chuyển nhượng
Transfer Agency fee payable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</si>
  <si>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</si>
  <si>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</si>
  <si>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Phải trả khác
Other payable</t>
  </si>
  <si>
    <t>Phải trả phí báo giá
Price feed fee payable</t>
  </si>
  <si>
    <t>Trích trước phí công tác, họp của Ban đại diện
Accrued expenses for Fund's Board of Representatives travelling, meeting</t>
  </si>
  <si>
    <t>Trích trước phí quản lý thường niên trả UBCKNN
Accrued expenses for annual fee pay to SSC</t>
  </si>
  <si>
    <t>Trích trước phí đăng ký chứng khoán tại VSD
Accrued expense for security registration at VSD</t>
  </si>
  <si>
    <t>Chi phí phải trả khác của công ty QLQ
Other expenses</t>
  </si>
  <si>
    <t>Vay ngắn hạn 
Short-term loans</t>
  </si>
  <si>
    <t>Gốc khoản vay ngắn hạn 
Short-term loans Principal</t>
  </si>
  <si>
    <t>Trich trước lãi vay ngắn hạn
Accrued Interest Expense</t>
  </si>
  <si>
    <t>TỔNG NỢ
TOTAL LIABILITIES</t>
  </si>
  <si>
    <t>Tài sản ròng của Quỹ ( = I.10 - II.4)
Net Asset Value ( = I.10 - II.4)</t>
  </si>
  <si>
    <t>Tổng số chứng chỉ quỹ đang lưu hành
Total Outstanding Fund Certificates</t>
  </si>
  <si>
    <t>Giá trị tài sản ròng trên một chứng chỉ quỹ (III/V)
Net asset value per Fund certificate (III/V)</t>
  </si>
  <si>
    <t>2215.1.1</t>
  </si>
  <si>
    <t>2215.1.2</t>
  </si>
  <si>
    <t>2215.1.3</t>
  </si>
  <si>
    <t>2215.3.1</t>
  </si>
  <si>
    <t>2215.3.2</t>
  </si>
  <si>
    <t>2215.9.1</t>
  </si>
  <si>
    <t>2215.9.2</t>
  </si>
  <si>
    <t>2215.10.1</t>
  </si>
  <si>
    <t>2215.10.2</t>
  </si>
  <si>
    <t>2215.10.3</t>
  </si>
  <si>
    <t>2215.10.4</t>
  </si>
  <si>
    <t>2215.17.1</t>
  </si>
  <si>
    <t>2215.17.2</t>
  </si>
  <si>
    <t>2215.17.3</t>
  </si>
  <si>
    <t>2215.17.4</t>
  </si>
  <si>
    <t>2215.17.5</t>
  </si>
  <si>
    <t>2215.17.6</t>
  </si>
  <si>
    <t>2215.17.7</t>
  </si>
  <si>
    <t>2215.17.8</t>
  </si>
  <si>
    <t>2215.18.1</t>
  </si>
  <si>
    <t>2215.18.2</t>
  </si>
  <si>
    <t>2258.1.1</t>
  </si>
  <si>
    <t>2258.1.2</t>
  </si>
  <si>
    <t>2258.1.3</t>
  </si>
  <si>
    <t>2200</t>
  </si>
  <si>
    <t>2201</t>
  </si>
  <si>
    <t>2202</t>
  </si>
  <si>
    <t>2203</t>
  </si>
  <si>
    <t>2203.1</t>
  </si>
  <si>
    <t>2203.2</t>
  </si>
  <si>
    <t>2203.3</t>
  </si>
  <si>
    <t>2203.4</t>
  </si>
  <si>
    <t>2203.5</t>
  </si>
  <si>
    <t>2205</t>
  </si>
  <si>
    <t>2205.1</t>
  </si>
  <si>
    <t>2205.2</t>
  </si>
  <si>
    <t>2205.3</t>
  </si>
  <si>
    <t>2205.4</t>
  </si>
  <si>
    <t>2205.5</t>
  </si>
  <si>
    <t>2205.6</t>
  </si>
  <si>
    <t>2205.7</t>
  </si>
  <si>
    <t>2205.8</t>
  </si>
  <si>
    <t>2206</t>
  </si>
  <si>
    <t>2206.1</t>
  </si>
  <si>
    <t>2206.2</t>
  </si>
  <si>
    <t>2207</t>
  </si>
  <si>
    <t>2207.1</t>
  </si>
  <si>
    <t>2207.2</t>
  </si>
  <si>
    <t>2207.3</t>
  </si>
  <si>
    <t>2208</t>
  </si>
  <si>
    <t>2210</t>
  </si>
  <si>
    <t>2210.1</t>
  </si>
  <si>
    <t>2210.2</t>
  </si>
  <si>
    <t>2210.3</t>
  </si>
  <si>
    <t>2211</t>
  </si>
  <si>
    <t>2211.1</t>
  </si>
  <si>
    <t>2211.2</t>
  </si>
  <si>
    <t>2211.3</t>
  </si>
  <si>
    <t>2211.4</t>
  </si>
  <si>
    <t>2211.5</t>
  </si>
  <si>
    <t>2212</t>
  </si>
  <si>
    <t>2213</t>
  </si>
  <si>
    <t>2214</t>
  </si>
  <si>
    <t>2215</t>
  </si>
  <si>
    <t>2215.1</t>
  </si>
  <si>
    <t>2215.2</t>
  </si>
  <si>
    <t>2215.3</t>
  </si>
  <si>
    <t>2215.4</t>
  </si>
  <si>
    <t>2215.5</t>
  </si>
  <si>
    <t>2215.6</t>
  </si>
  <si>
    <t>2215.7</t>
  </si>
  <si>
    <t>2215.8</t>
  </si>
  <si>
    <t>2215.9</t>
  </si>
  <si>
    <t>2215.10</t>
  </si>
  <si>
    <t>2215.11</t>
  </si>
  <si>
    <t>2215.12</t>
  </si>
  <si>
    <t>2215.13</t>
  </si>
  <si>
    <t>2215.14</t>
  </si>
  <si>
    <t>2215.15</t>
  </si>
  <si>
    <t>2215.16</t>
  </si>
  <si>
    <t>2215.17</t>
  </si>
  <si>
    <t>2215.18</t>
  </si>
  <si>
    <t>2216</t>
  </si>
  <si>
    <t>2217</t>
  </si>
  <si>
    <t>2218</t>
  </si>
  <si>
    <t>2219</t>
  </si>
  <si>
    <t>2246</t>
  </si>
  <si>
    <t>2246.1</t>
  </si>
  <si>
    <t>2246.2</t>
  </si>
  <si>
    <t>2246.3</t>
  </si>
  <si>
    <t>2246.4</t>
  </si>
  <si>
    <t>2246.5</t>
  </si>
  <si>
    <t>2246.6</t>
  </si>
  <si>
    <t>2246.7</t>
  </si>
  <si>
    <t>2246.8</t>
  </si>
  <si>
    <t>2246.9</t>
  </si>
  <si>
    <t>2246.10</t>
  </si>
  <si>
    <t>2246.11</t>
  </si>
  <si>
    <t>2246.12</t>
  </si>
  <si>
    <t>2246.13</t>
  </si>
  <si>
    <t>2247</t>
  </si>
  <si>
    <t>2248</t>
  </si>
  <si>
    <t>2249</t>
  </si>
  <si>
    <t>2250</t>
  </si>
  <si>
    <t>2251</t>
  </si>
  <si>
    <t>2252</t>
  </si>
  <si>
    <t>2253</t>
  </si>
  <si>
    <t>2253.1</t>
  </si>
  <si>
    <t>2253.2</t>
  </si>
  <si>
    <t>2254</t>
  </si>
  <si>
    <t>2255</t>
  </si>
  <si>
    <t>2256</t>
  </si>
  <si>
    <t>2256.1</t>
  </si>
  <si>
    <t>2256.2</t>
  </si>
  <si>
    <t>2256.3</t>
  </si>
  <si>
    <t>2256.4</t>
  </si>
  <si>
    <t>2256.5</t>
  </si>
  <si>
    <t>2256.6</t>
  </si>
  <si>
    <t>2256.7</t>
  </si>
  <si>
    <t>2257</t>
  </si>
  <si>
    <t>2258</t>
  </si>
  <si>
    <t>2258.1</t>
  </si>
  <si>
    <t>2258.2</t>
  </si>
  <si>
    <t>2260</t>
  </si>
  <si>
    <t>2261</t>
  </si>
  <si>
    <t>2262</t>
  </si>
  <si>
    <t>2263</t>
  </si>
  <si>
    <t>2264</t>
  </si>
  <si>
    <t>2265</t>
  </si>
  <si>
    <t>2266</t>
  </si>
  <si>
    <t>22661</t>
  </si>
  <si>
    <t>2267</t>
  </si>
  <si>
    <t>2268</t>
  </si>
  <si>
    <t>2269</t>
  </si>
  <si>
    <t>2270</t>
  </si>
  <si>
    <t>2272</t>
  </si>
  <si>
    <t>2273</t>
  </si>
  <si>
    <t>2274</t>
  </si>
  <si>
    <t>2275</t>
  </si>
  <si>
    <t>2276</t>
  </si>
  <si>
    <t>2277</t>
  </si>
  <si>
    <t>2278</t>
  </si>
  <si>
    <t>2277.1</t>
  </si>
  <si>
    <t>2278.1</t>
  </si>
  <si>
    <t>2277.2</t>
  </si>
  <si>
    <t>2278.2</t>
  </si>
  <si>
    <t>2279</t>
  </si>
  <si>
    <t>2280</t>
  </si>
  <si>
    <t>2281</t>
  </si>
  <si>
    <t>2282</t>
  </si>
  <si>
    <t>2283</t>
  </si>
  <si>
    <t>2284</t>
  </si>
  <si>
    <t>2285</t>
  </si>
  <si>
    <t>2286</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</si>
</sst>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_(* #,##0_);_(* \(#,##0\);_(* &quot;-&quot;??_);_(@_)"/>
    <numFmt numFmtId="167" formatCode="&quot;&quot;#,##0"/>
    <numFmt numFmtId="168" formatCode="[$-409]d\-mmm\-yyyy;@"/>
    <numFmt numFmtId="169" formatCode="dd/mmm/yyyy"/>
    <numFmt numFmtId="170" formatCode="_-* #,##0.00\ _₫_-;\-* #,##0.00\ _₫_-;_-* &quot;-&quot;??\ _₫_-;_-@_-"/>
    <numFmt numFmtId="171" formatCode="_-* #,##0.00&quot; &quot;_₫_-;\-* #,##0.00&quot; &quot;_₫_-;_-* &quot;-&quot;??&quot; &quot;_₫_-;_-@_-"/>
    <numFmt numFmtId="172" formatCode="[$-1010000]d/m/yyyy;@"/>
  </numFmts>
  <fonts count="42"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8"/>
      <color indexed="8"/>
      <name val="Tahoma"/>
      <family val="2"/>
    </font>
    <font>
      <b/>
      <sz val="8"/>
      <color indexed="8"/>
      <name val="Tahoma"/>
      <family val="2"/>
    </font>
    <font>
      <i/>
      <sz val="7"/>
      <color indexed="8"/>
      <name val="Tahoma"/>
      <family val="2"/>
    </font>
    <font>
      <i/>
      <sz val="8"/>
      <color indexed="8"/>
      <name val="Tahoma"/>
      <family val="2"/>
    </font>
    <font>
      <b/>
      <sz val="9"/>
      <color indexed="8"/>
      <name val="Tahoma"/>
      <family val="2"/>
    </font>
    <font>
      <sz val="9.75"/>
      <color indexed="8"/>
      <name val="Times New Roman"/>
      <family val="2"/>
    </font>
    <font>
      <i/>
      <sz val="9.75"/>
      <color indexed="8"/>
      <name val="Times New Roman"/>
      <family val="2"/>
    </font>
    <font>
      <b/>
      <sz val="11"/>
      <color indexed="8"/>
      <name val="Calibri"/>
      <family val="2"/>
      <scheme val="minor"/>
    </font>
    <font>
      <sz val="10"/>
      <color indexed="8"/>
      <name val="Arial"/>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1"/>
      <name val="Times New Roman"/>
      <family val="1"/>
    </font>
    <font>
      <sz val="10"/>
      <color theme="1"/>
      <name val="Arial"/>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
      <i/>
      <sz val="7.5"/>
      <color indexed="8"/>
      <name val="Tahoma"/>
      <family val="2"/>
    </font>
    <font>
      <sz val="8"/>
      <color theme="0"/>
      <name val="Tahoma"/>
      <family val="2"/>
    </font>
    <font>
      <b/>
      <sz val="8"/>
      <color theme="0"/>
      <name val="Tahoma"/>
      <family val="2"/>
    </font>
    <font>
      <i/>
      <sz val="8"/>
      <color theme="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40">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theme="0" tint="-0.14996795556505021"/>
      </right>
      <top style="thin">
        <color indexed="8"/>
      </top>
      <bottom style="thin">
        <color theme="0" tint="-0.14996795556505021"/>
      </bottom>
      <diagonal/>
    </border>
    <border>
      <left style="thin">
        <color theme="0" tint="-0.14996795556505021"/>
      </left>
      <right style="thin">
        <color theme="0" tint="-0.14996795556505021"/>
      </right>
      <top style="thin">
        <color indexed="8"/>
      </top>
      <bottom style="thin">
        <color theme="0" tint="-0.14996795556505021"/>
      </bottom>
      <diagonal/>
    </border>
    <border>
      <left style="thin">
        <color theme="0" tint="-0.14996795556505021"/>
      </left>
      <right style="thin">
        <color indexed="8"/>
      </right>
      <top style="thin">
        <color indexed="8"/>
      </top>
      <bottom style="thin">
        <color theme="0" tint="-0.14996795556505021"/>
      </bottom>
      <diagonal/>
    </border>
    <border>
      <left style="thin">
        <color indexed="8"/>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8"/>
      </right>
      <top style="thin">
        <color theme="0" tint="-0.14996795556505021"/>
      </top>
      <bottom style="thin">
        <color theme="0" tint="-0.14996795556505021"/>
      </bottom>
      <diagonal/>
    </border>
    <border>
      <left style="thin">
        <color indexed="8"/>
      </left>
      <right style="thin">
        <color theme="0" tint="-0.14996795556505021"/>
      </right>
      <top style="thin">
        <color theme="0" tint="-0.14996795556505021"/>
      </top>
      <bottom style="thin">
        <color indexed="8"/>
      </bottom>
      <diagonal/>
    </border>
    <border>
      <left style="thin">
        <color theme="0" tint="-0.14996795556505021"/>
      </left>
      <right style="thin">
        <color theme="0" tint="-0.14996795556505021"/>
      </right>
      <top style="thin">
        <color theme="0" tint="-0.14996795556505021"/>
      </top>
      <bottom style="thin">
        <color indexed="8"/>
      </bottom>
      <diagonal/>
    </border>
    <border>
      <left style="thin">
        <color theme="0" tint="-0.14996795556505021"/>
      </left>
      <right style="thin">
        <color indexed="8"/>
      </right>
      <top style="thin">
        <color theme="0" tint="-0.14996795556505021"/>
      </top>
      <bottom style="thin">
        <color indexed="8"/>
      </bottom>
      <diagonal/>
    </border>
    <border>
      <left/>
      <right/>
      <top style="thin">
        <color indexed="8"/>
      </top>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8">
    <xf numFmtId="0" fontId="0" fillId="0" borderId="0"/>
    <xf numFmtId="0" fontId="1" fillId="0" borderId="0"/>
    <xf numFmtId="0" fontId="3" fillId="0" borderId="0">
      <alignment vertical="center"/>
    </xf>
    <xf numFmtId="43" fontId="12" fillId="0" borderId="0" applyFont="0" applyFill="0" applyBorder="0" applyAlignment="0" applyProtection="0">
      <alignment vertical="center"/>
    </xf>
    <xf numFmtId="0" fontId="17" fillId="0" borderId="0">
      <alignment vertical="center"/>
    </xf>
    <xf numFmtId="0" fontId="21" fillId="0" borderId="0"/>
    <xf numFmtId="0" fontId="25" fillId="0" borderId="0" applyNumberFormat="0" applyFill="0" applyBorder="0" applyAlignment="0" applyProtection="0"/>
    <xf numFmtId="170" fontId="29" fillId="0" borderId="0" quotePrefix="1" applyFont="0" applyFill="0" applyBorder="0" applyAlignment="0">
      <protection locked="0"/>
    </xf>
    <xf numFmtId="171" fontId="30" fillId="0" borderId="0" applyFont="0" applyFill="0" applyBorder="0" applyAlignment="0" applyProtection="0"/>
    <xf numFmtId="0" fontId="29" fillId="0" borderId="0"/>
    <xf numFmtId="0" fontId="29" fillId="0" borderId="0"/>
    <xf numFmtId="0" fontId="31" fillId="0" borderId="0"/>
    <xf numFmtId="0" fontId="31" fillId="0" borderId="0"/>
    <xf numFmtId="0" fontId="2" fillId="0" borderId="0"/>
    <xf numFmtId="0" fontId="3" fillId="0" borderId="0">
      <alignment vertical="center"/>
    </xf>
    <xf numFmtId="0" fontId="1" fillId="0" borderId="0"/>
    <xf numFmtId="0" fontId="21" fillId="0" borderId="0"/>
    <xf numFmtId="4" fontId="2" fillId="0" borderId="0" applyFont="0" applyFill="0" applyBorder="0" applyAlignment="0" applyProtection="0"/>
  </cellStyleXfs>
  <cellXfs count="343">
    <xf numFmtId="0" fontId="0" fillId="0" borderId="0" xfId="0"/>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right" vertical="center"/>
    </xf>
    <xf numFmtId="0" fontId="4" fillId="0" borderId="0" xfId="2" applyFont="1">
      <alignment vertical="center"/>
    </xf>
    <xf numFmtId="0" fontId="5"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left" vertical="center"/>
    </xf>
    <xf numFmtId="0" fontId="4"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center" vertical="top"/>
    </xf>
    <xf numFmtId="0" fontId="7" fillId="2" borderId="0" xfId="2" applyNumberFormat="1" applyFont="1" applyFill="1" applyBorder="1" applyAlignment="1" applyProtection="1">
      <alignment horizontal="right" vertical="center"/>
    </xf>
    <xf numFmtId="0" fontId="4" fillId="2" borderId="1" xfId="2" applyNumberFormat="1" applyFont="1" applyFill="1" applyBorder="1" applyAlignment="1" applyProtection="1">
      <alignment horizontal="left" vertical="top"/>
    </xf>
    <xf numFmtId="0" fontId="4" fillId="2" borderId="1" xfId="2" applyNumberFormat="1" applyFont="1" applyFill="1" applyBorder="1" applyAlignment="1" applyProtection="1">
      <alignment horizontal="right" vertical="center"/>
    </xf>
    <xf numFmtId="0" fontId="5" fillId="3" borderId="2" xfId="2" applyNumberFormat="1" applyFont="1" applyFill="1" applyBorder="1" applyAlignment="1" applyProtection="1">
      <alignment horizontal="center" vertical="center" wrapText="1"/>
    </xf>
    <xf numFmtId="0" fontId="5" fillId="3" borderId="3"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0" fontId="5" fillId="2" borderId="5" xfId="2" applyNumberFormat="1" applyFont="1" applyFill="1" applyBorder="1" applyAlignment="1" applyProtection="1">
      <alignment horizontal="center" vertical="top"/>
    </xf>
    <xf numFmtId="0" fontId="5" fillId="2" borderId="6" xfId="2" applyNumberFormat="1" applyFont="1" applyFill="1" applyBorder="1" applyAlignment="1" applyProtection="1">
      <alignment horizontal="left" vertical="top" wrapText="1"/>
    </xf>
    <xf numFmtId="0" fontId="5" fillId="2" borderId="6" xfId="2" applyNumberFormat="1" applyFont="1" applyFill="1" applyBorder="1" applyAlignment="1" applyProtection="1">
      <alignment horizontal="center" vertical="top"/>
    </xf>
    <xf numFmtId="4" fontId="5" fillId="2" borderId="6" xfId="2" applyNumberFormat="1" applyFont="1" applyFill="1" applyBorder="1" applyAlignment="1" applyProtection="1">
      <alignment horizontal="right" vertical="top"/>
    </xf>
    <xf numFmtId="164" fontId="5" fillId="2" borderId="6" xfId="2" applyNumberFormat="1" applyFont="1" applyFill="1" applyBorder="1" applyAlignment="1" applyProtection="1">
      <alignment horizontal="right" vertical="top"/>
    </xf>
    <xf numFmtId="165" fontId="5" fillId="2" borderId="7" xfId="2" applyNumberFormat="1" applyFont="1" applyFill="1" applyBorder="1" applyAlignment="1" applyProtection="1">
      <alignment horizontal="right" vertical="top"/>
    </xf>
    <xf numFmtId="0" fontId="5" fillId="0" borderId="0" xfId="2" applyFont="1">
      <alignment vertical="center"/>
    </xf>
    <xf numFmtId="0" fontId="4" fillId="2" borderId="5" xfId="2" applyNumberFormat="1" applyFont="1" applyFill="1" applyBorder="1" applyAlignment="1" applyProtection="1">
      <alignment horizontal="center" vertical="top"/>
    </xf>
    <xf numFmtId="0" fontId="4" fillId="2" borderId="6" xfId="2" applyNumberFormat="1" applyFont="1" applyFill="1" applyBorder="1" applyAlignment="1" applyProtection="1">
      <alignment horizontal="left" vertical="top" wrapText="1"/>
    </xf>
    <xf numFmtId="0" fontId="4" fillId="2" borderId="6" xfId="2" applyNumberFormat="1" applyFont="1" applyFill="1" applyBorder="1" applyAlignment="1" applyProtection="1">
      <alignment horizontal="center" vertical="top"/>
    </xf>
    <xf numFmtId="4" fontId="4" fillId="2" borderId="6" xfId="2" applyNumberFormat="1" applyFont="1" applyFill="1" applyBorder="1" applyAlignment="1" applyProtection="1">
      <alignment horizontal="right" vertical="top"/>
    </xf>
    <xf numFmtId="164" fontId="4" fillId="2" borderId="6" xfId="2" applyNumberFormat="1" applyFont="1" applyFill="1" applyBorder="1" applyAlignment="1" applyProtection="1">
      <alignment horizontal="right" vertical="top"/>
    </xf>
    <xf numFmtId="165" fontId="4" fillId="2" borderId="7" xfId="2" applyNumberFormat="1" applyFont="1" applyFill="1" applyBorder="1" applyAlignment="1" applyProtection="1">
      <alignment horizontal="right" vertical="top"/>
    </xf>
    <xf numFmtId="0" fontId="5" fillId="2" borderId="8" xfId="2" applyNumberFormat="1" applyFont="1" applyFill="1" applyBorder="1" applyAlignment="1" applyProtection="1">
      <alignment horizontal="center" vertical="top"/>
    </xf>
    <xf numFmtId="0" fontId="5" fillId="2" borderId="9" xfId="2" applyNumberFormat="1" applyFont="1" applyFill="1" applyBorder="1" applyAlignment="1" applyProtection="1">
      <alignment horizontal="left" vertical="top" wrapText="1"/>
    </xf>
    <xf numFmtId="0" fontId="5" fillId="2" borderId="9" xfId="2" applyNumberFormat="1" applyFont="1" applyFill="1" applyBorder="1" applyAlignment="1" applyProtection="1">
      <alignment horizontal="center" vertical="top"/>
    </xf>
    <xf numFmtId="4" fontId="5" fillId="2" borderId="9" xfId="2" applyNumberFormat="1" applyFont="1" applyFill="1" applyBorder="1" applyAlignment="1" applyProtection="1">
      <alignment horizontal="right" vertical="top"/>
    </xf>
    <xf numFmtId="164" fontId="5" fillId="2" borderId="9" xfId="2" applyNumberFormat="1" applyFont="1" applyFill="1" applyBorder="1" applyAlignment="1" applyProtection="1">
      <alignment horizontal="right" vertical="top"/>
    </xf>
    <xf numFmtId="165" fontId="5" fillId="2" borderId="10" xfId="2" applyNumberFormat="1" applyFont="1" applyFill="1" applyBorder="1" applyAlignment="1" applyProtection="1">
      <alignment horizontal="right" vertical="top"/>
    </xf>
    <xf numFmtId="0" fontId="5" fillId="3" borderId="11" xfId="2" applyNumberFormat="1" applyFont="1" applyFill="1" applyBorder="1" applyAlignment="1" applyProtection="1">
      <alignment horizontal="center" vertical="center" wrapText="1"/>
    </xf>
    <xf numFmtId="0" fontId="5" fillId="3" borderId="12" xfId="2" applyNumberFormat="1" applyFont="1" applyFill="1" applyBorder="1" applyAlignment="1" applyProtection="1">
      <alignment horizontal="center" vertical="center" wrapText="1"/>
    </xf>
    <xf numFmtId="0" fontId="5" fillId="3" borderId="13" xfId="2" applyNumberFormat="1" applyFont="1" applyFill="1" applyBorder="1" applyAlignment="1" applyProtection="1">
      <alignment horizontal="center" vertical="center" wrapText="1"/>
    </xf>
    <xf numFmtId="0" fontId="3" fillId="0" borderId="0" xfId="2" applyFont="1">
      <alignment vertical="center"/>
    </xf>
    <xf numFmtId="0" fontId="5" fillId="2" borderId="0" xfId="2" applyNumberFormat="1" applyFont="1" applyFill="1" applyBorder="1" applyAlignment="1" applyProtection="1">
      <alignment horizontal="left" vertical="top"/>
    </xf>
    <xf numFmtId="0" fontId="4" fillId="2" borderId="1" xfId="2" applyNumberFormat="1" applyFont="1" applyFill="1" applyBorder="1" applyAlignment="1" applyProtection="1">
      <alignment horizontal="right" vertical="top"/>
    </xf>
    <xf numFmtId="164" fontId="5" fillId="2" borderId="5" xfId="2" applyNumberFormat="1" applyFont="1" applyFill="1" applyBorder="1" applyAlignment="1" applyProtection="1">
      <alignment horizontal="center" vertical="top"/>
    </xf>
    <xf numFmtId="164" fontId="5" fillId="2" borderId="6" xfId="2" applyNumberFormat="1" applyFont="1" applyFill="1" applyBorder="1" applyAlignment="1" applyProtection="1">
      <alignment horizontal="left" vertical="top" wrapText="1"/>
    </xf>
    <xf numFmtId="164" fontId="5" fillId="2" borderId="6" xfId="2" applyNumberFormat="1" applyFont="1" applyFill="1" applyBorder="1" applyAlignment="1" applyProtection="1">
      <alignment horizontal="center" vertical="top"/>
    </xf>
    <xf numFmtId="164" fontId="5" fillId="2" borderId="7" xfId="2" applyNumberFormat="1" applyFont="1" applyFill="1" applyBorder="1" applyAlignment="1" applyProtection="1">
      <alignment horizontal="right" vertical="top"/>
    </xf>
    <xf numFmtId="164" fontId="4" fillId="2" borderId="5" xfId="2" applyNumberFormat="1" applyFont="1" applyFill="1" applyBorder="1" applyAlignment="1" applyProtection="1">
      <alignment horizontal="center" vertical="top"/>
    </xf>
    <xf numFmtId="164" fontId="4" fillId="2" borderId="6" xfId="2" applyNumberFormat="1" applyFont="1" applyFill="1" applyBorder="1" applyAlignment="1" applyProtection="1">
      <alignment horizontal="left" vertical="top" wrapText="1"/>
    </xf>
    <xf numFmtId="164" fontId="4" fillId="2" borderId="6" xfId="2" applyNumberFormat="1" applyFont="1" applyFill="1" applyBorder="1" applyAlignment="1" applyProtection="1">
      <alignment horizontal="center" vertical="top"/>
    </xf>
    <xf numFmtId="164" fontId="4" fillId="2" borderId="7" xfId="2" applyNumberFormat="1" applyFont="1" applyFill="1" applyBorder="1" applyAlignment="1" applyProtection="1">
      <alignment horizontal="right" vertical="top"/>
    </xf>
    <xf numFmtId="164" fontId="7" fillId="2" borderId="5" xfId="2" applyNumberFormat="1" applyFont="1" applyFill="1" applyBorder="1" applyAlignment="1" applyProtection="1">
      <alignment horizontal="center" vertical="top"/>
    </xf>
    <xf numFmtId="164" fontId="7" fillId="2" borderId="6" xfId="2" applyNumberFormat="1" applyFont="1" applyFill="1" applyBorder="1" applyAlignment="1" applyProtection="1">
      <alignment horizontal="left" vertical="top" wrapText="1"/>
    </xf>
    <xf numFmtId="164" fontId="7" fillId="2" borderId="6" xfId="2" applyNumberFormat="1" applyFont="1" applyFill="1" applyBorder="1" applyAlignment="1" applyProtection="1">
      <alignment horizontal="right" vertical="top"/>
    </xf>
    <xf numFmtId="164" fontId="7" fillId="2" borderId="7" xfId="2" applyNumberFormat="1" applyFont="1" applyFill="1" applyBorder="1" applyAlignment="1" applyProtection="1">
      <alignment horizontal="right" vertical="top"/>
    </xf>
    <xf numFmtId="164" fontId="4" fillId="2" borderId="8" xfId="2" applyNumberFormat="1" applyFont="1" applyFill="1" applyBorder="1" applyAlignment="1" applyProtection="1">
      <alignment horizontal="center" vertical="top"/>
    </xf>
    <xf numFmtId="164" fontId="4" fillId="2" borderId="9" xfId="2" applyNumberFormat="1" applyFont="1" applyFill="1" applyBorder="1" applyAlignment="1" applyProtection="1">
      <alignment horizontal="left" vertical="top" wrapText="1"/>
    </xf>
    <xf numFmtId="164" fontId="4" fillId="2" borderId="9" xfId="2" applyNumberFormat="1" applyFont="1" applyFill="1" applyBorder="1" applyAlignment="1" applyProtection="1">
      <alignment horizontal="right" vertical="top"/>
    </xf>
    <xf numFmtId="164" fontId="4" fillId="2" borderId="1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xf>
    <xf numFmtId="0" fontId="9"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vertical="top"/>
    </xf>
    <xf numFmtId="0" fontId="4" fillId="2" borderId="0" xfId="2" applyNumberFormat="1" applyFont="1" applyFill="1" applyBorder="1" applyAlignment="1" applyProtection="1">
      <alignment vertical="top"/>
    </xf>
    <xf numFmtId="0" fontId="9" fillId="2" borderId="1" xfId="2" applyNumberFormat="1" applyFont="1" applyFill="1" applyBorder="1" applyAlignment="1" applyProtection="1">
      <alignment horizontal="left" vertical="top"/>
    </xf>
    <xf numFmtId="0" fontId="10" fillId="2" borderId="1" xfId="2" applyNumberFormat="1" applyFont="1" applyFill="1" applyBorder="1" applyAlignment="1" applyProtection="1">
      <alignment horizontal="right" vertical="top"/>
    </xf>
    <xf numFmtId="0" fontId="5" fillId="3" borderId="14" xfId="2" applyNumberFormat="1" applyFont="1" applyFill="1" applyBorder="1" applyAlignment="1" applyProtection="1">
      <alignment horizontal="center" vertical="center" wrapText="1"/>
    </xf>
    <xf numFmtId="0" fontId="5" fillId="3" borderId="15" xfId="2" applyNumberFormat="1" applyFont="1" applyFill="1" applyBorder="1" applyAlignment="1" applyProtection="1">
      <alignment vertical="center" wrapText="1"/>
    </xf>
    <xf numFmtId="0" fontId="5" fillId="3" borderId="15" xfId="2" applyNumberFormat="1" applyFont="1" applyFill="1" applyBorder="1" applyAlignment="1" applyProtection="1">
      <alignment horizontal="center" vertical="center" wrapText="1"/>
    </xf>
    <xf numFmtId="0" fontId="5" fillId="3" borderId="16" xfId="2" applyNumberFormat="1" applyFont="1" applyFill="1" applyBorder="1" applyAlignment="1" applyProtection="1">
      <alignment horizontal="center" vertical="center" wrapText="1"/>
    </xf>
    <xf numFmtId="0" fontId="5" fillId="2" borderId="17" xfId="2" applyNumberFormat="1" applyFont="1" applyFill="1" applyBorder="1" applyAlignment="1" applyProtection="1">
      <alignment horizontal="center" vertical="top"/>
    </xf>
    <xf numFmtId="0" fontId="5" fillId="2" borderId="18" xfId="2" applyNumberFormat="1" applyFont="1" applyFill="1" applyBorder="1" applyAlignment="1" applyProtection="1">
      <alignment vertical="top" wrapText="1"/>
    </xf>
    <xf numFmtId="3" fontId="5" fillId="2" borderId="18" xfId="2" applyNumberFormat="1" applyFont="1" applyFill="1" applyBorder="1" applyAlignment="1" applyProtection="1">
      <alignment horizontal="right" vertical="top"/>
    </xf>
    <xf numFmtId="3" fontId="5" fillId="2" borderId="19" xfId="2" applyNumberFormat="1" applyFont="1" applyFill="1" applyBorder="1" applyAlignment="1" applyProtection="1">
      <alignment horizontal="right" vertical="top"/>
    </xf>
    <xf numFmtId="0" fontId="11" fillId="0" borderId="0" xfId="2" applyFont="1">
      <alignment vertical="center"/>
    </xf>
    <xf numFmtId="0" fontId="4" fillId="2" borderId="17" xfId="2" applyNumberFormat="1" applyFont="1" applyFill="1" applyBorder="1" applyAlignment="1" applyProtection="1">
      <alignment horizontal="center" vertical="top"/>
    </xf>
    <xf numFmtId="0" fontId="4" fillId="2" borderId="18" xfId="2" applyNumberFormat="1" applyFont="1" applyFill="1" applyBorder="1" applyAlignment="1" applyProtection="1">
      <alignment vertical="top" wrapText="1"/>
    </xf>
    <xf numFmtId="165" fontId="4" fillId="2" borderId="18" xfId="2" applyNumberFormat="1" applyFont="1" applyFill="1" applyBorder="1" applyAlignment="1" applyProtection="1">
      <alignment horizontal="right" vertical="top"/>
    </xf>
    <xf numFmtId="165" fontId="4" fillId="2" borderId="19" xfId="2" applyNumberFormat="1" applyFont="1" applyFill="1" applyBorder="1" applyAlignment="1" applyProtection="1">
      <alignment horizontal="right" vertical="top"/>
    </xf>
    <xf numFmtId="3" fontId="4" fillId="2" borderId="18" xfId="2" applyNumberFormat="1" applyFont="1" applyFill="1" applyBorder="1" applyAlignment="1" applyProtection="1">
      <alignment horizontal="right" vertical="top"/>
    </xf>
    <xf numFmtId="3" fontId="4" fillId="2" borderId="19" xfId="2" applyNumberFormat="1" applyFont="1" applyFill="1" applyBorder="1" applyAlignment="1" applyProtection="1">
      <alignment horizontal="right" vertical="top"/>
    </xf>
    <xf numFmtId="166" fontId="4" fillId="2" borderId="18" xfId="3" applyNumberFormat="1" applyFont="1" applyFill="1" applyBorder="1" applyAlignment="1" applyProtection="1">
      <alignment horizontal="right" vertical="top"/>
    </xf>
    <xf numFmtId="4" fontId="4" fillId="2" borderId="18" xfId="2" applyNumberFormat="1" applyFont="1" applyFill="1" applyBorder="1" applyAlignment="1" applyProtection="1">
      <alignment horizontal="right" vertical="top"/>
    </xf>
    <xf numFmtId="4" fontId="4" fillId="2" borderId="19" xfId="2" applyNumberFormat="1" applyFont="1" applyFill="1" applyBorder="1" applyAlignment="1" applyProtection="1">
      <alignment horizontal="right" vertical="top"/>
    </xf>
    <xf numFmtId="0" fontId="4" fillId="2" borderId="20" xfId="2" applyNumberFormat="1" applyFont="1" applyFill="1" applyBorder="1" applyAlignment="1" applyProtection="1">
      <alignment horizontal="center" vertical="top"/>
    </xf>
    <xf numFmtId="0" fontId="4" fillId="2" borderId="21" xfId="2" applyNumberFormat="1" applyFont="1" applyFill="1" applyBorder="1" applyAlignment="1" applyProtection="1">
      <alignment vertical="top" wrapText="1"/>
    </xf>
    <xf numFmtId="3" fontId="4" fillId="2" borderId="21" xfId="2" applyNumberFormat="1" applyFont="1" applyFill="1" applyBorder="1" applyAlignment="1" applyProtection="1">
      <alignment horizontal="right" vertical="top"/>
    </xf>
    <xf numFmtId="3" fontId="4" fillId="2" borderId="22" xfId="2" applyNumberFormat="1" applyFont="1" applyFill="1" applyBorder="1" applyAlignment="1" applyProtection="1">
      <alignment horizontal="right" vertical="top"/>
    </xf>
    <xf numFmtId="0" fontId="10" fillId="2" borderId="0" xfId="2" applyNumberFormat="1" applyFont="1" applyFill="1" applyBorder="1" applyAlignment="1" applyProtection="1">
      <alignment horizontal="center"/>
    </xf>
    <xf numFmtId="0" fontId="4" fillId="2" borderId="5" xfId="2" applyNumberFormat="1" applyFont="1" applyFill="1" applyBorder="1" applyAlignment="1" applyProtection="1">
      <alignment horizontal="center" vertical="center"/>
    </xf>
    <xf numFmtId="0" fontId="4" fillId="2" borderId="6" xfId="2" applyNumberFormat="1" applyFont="1" applyFill="1" applyBorder="1" applyAlignment="1" applyProtection="1">
      <alignment horizontal="left" vertical="center" wrapText="1"/>
    </xf>
    <xf numFmtId="0" fontId="4" fillId="2" borderId="6" xfId="2" applyNumberFormat="1" applyFont="1" applyFill="1" applyBorder="1" applyAlignment="1" applyProtection="1">
      <alignment horizontal="center" vertical="center"/>
    </xf>
    <xf numFmtId="3" fontId="5" fillId="2" borderId="6" xfId="2" applyNumberFormat="1" applyFont="1" applyFill="1" applyBorder="1" applyAlignment="1" applyProtection="1">
      <alignment horizontal="right" vertical="center"/>
    </xf>
    <xf numFmtId="165" fontId="4" fillId="2" borderId="7" xfId="2" applyNumberFormat="1" applyFont="1" applyFill="1" applyBorder="1" applyAlignment="1" applyProtection="1">
      <alignment horizontal="right" vertical="center"/>
    </xf>
    <xf numFmtId="3" fontId="4" fillId="2" borderId="6" xfId="2" applyNumberFormat="1" applyFont="1" applyFill="1" applyBorder="1" applyAlignment="1" applyProtection="1">
      <alignment horizontal="right" vertical="center"/>
    </xf>
    <xf numFmtId="3" fontId="7" fillId="2" borderId="6" xfId="2" applyNumberFormat="1" applyFont="1" applyFill="1" applyBorder="1" applyAlignment="1" applyProtection="1">
      <alignment horizontal="right" vertical="center"/>
    </xf>
    <xf numFmtId="0" fontId="5" fillId="2" borderId="5" xfId="2" applyNumberFormat="1" applyFont="1" applyFill="1" applyBorder="1" applyAlignment="1" applyProtection="1">
      <alignment horizontal="center" vertical="center"/>
    </xf>
    <xf numFmtId="0" fontId="5" fillId="2" borderId="6" xfId="2" applyNumberFormat="1" applyFont="1" applyFill="1" applyBorder="1" applyAlignment="1" applyProtection="1">
      <alignment horizontal="left" vertical="center" wrapText="1"/>
    </xf>
    <xf numFmtId="0" fontId="5" fillId="2" borderId="6" xfId="2" applyNumberFormat="1" applyFont="1" applyFill="1" applyBorder="1" applyAlignment="1" applyProtection="1">
      <alignment horizontal="center" vertical="center"/>
    </xf>
    <xf numFmtId="165" fontId="5" fillId="2" borderId="7" xfId="2" applyNumberFormat="1" applyFont="1" applyFill="1" applyBorder="1" applyAlignment="1" applyProtection="1">
      <alignment horizontal="right" vertical="center"/>
    </xf>
    <xf numFmtId="0" fontId="5" fillId="2" borderId="8" xfId="2" applyNumberFormat="1" applyFont="1" applyFill="1" applyBorder="1" applyAlignment="1" applyProtection="1">
      <alignment horizontal="center" vertical="center"/>
    </xf>
    <xf numFmtId="0" fontId="5" fillId="2" borderId="9" xfId="2" applyNumberFormat="1" applyFont="1" applyFill="1" applyBorder="1" applyAlignment="1" applyProtection="1">
      <alignment horizontal="left" vertical="center" wrapText="1"/>
    </xf>
    <xf numFmtId="0" fontId="5" fillId="2" borderId="9" xfId="2" applyNumberFormat="1" applyFont="1" applyFill="1" applyBorder="1" applyAlignment="1" applyProtection="1">
      <alignment horizontal="center" vertical="center"/>
    </xf>
    <xf numFmtId="4" fontId="5" fillId="2" borderId="9" xfId="2" applyNumberFormat="1" applyFont="1" applyFill="1" applyBorder="1" applyAlignment="1" applyProtection="1">
      <alignment horizontal="right" vertical="center"/>
    </xf>
    <xf numFmtId="165" fontId="5" fillId="2" borderId="10" xfId="2" applyNumberFormat="1" applyFont="1" applyFill="1" applyBorder="1" applyAlignment="1" applyProtection="1">
      <alignment horizontal="right" vertical="center"/>
    </xf>
    <xf numFmtId="4" fontId="5" fillId="2" borderId="8" xfId="2" applyNumberFormat="1" applyFont="1" applyFill="1" applyBorder="1" applyAlignment="1" applyProtection="1">
      <alignment horizontal="center" vertical="top"/>
    </xf>
    <xf numFmtId="4" fontId="5" fillId="2" borderId="9" xfId="2" applyNumberFormat="1" applyFont="1" applyFill="1" applyBorder="1" applyAlignment="1" applyProtection="1">
      <alignment horizontal="left" vertical="top" wrapText="1"/>
    </xf>
    <xf numFmtId="4" fontId="5" fillId="2" borderId="9" xfId="2" applyNumberFormat="1" applyFont="1" applyFill="1" applyBorder="1" applyAlignment="1" applyProtection="1">
      <alignment horizontal="center" vertical="top"/>
    </xf>
    <xf numFmtId="4" fontId="5" fillId="2" borderId="1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vertical="center"/>
    </xf>
    <xf numFmtId="0" fontId="5" fillId="3" borderId="25" xfId="2" applyNumberFormat="1" applyFont="1" applyFill="1" applyBorder="1" applyAlignment="1" applyProtection="1">
      <alignment horizontal="center" vertical="center" wrapText="1"/>
    </xf>
    <xf numFmtId="0" fontId="5" fillId="3" borderId="26" xfId="2" applyNumberFormat="1" applyFont="1" applyFill="1" applyBorder="1" applyAlignment="1" applyProtection="1">
      <alignment horizontal="center" vertical="center" wrapText="1"/>
    </xf>
    <xf numFmtId="0" fontId="5" fillId="2" borderId="5" xfId="2" applyNumberFormat="1" applyFont="1" applyFill="1" applyBorder="1" applyAlignment="1" applyProtection="1">
      <alignment horizontal="left" vertical="top" wrapText="1"/>
    </xf>
    <xf numFmtId="0" fontId="4" fillId="2" borderId="5" xfId="2" applyNumberFormat="1" applyFont="1" applyFill="1" applyBorder="1" applyAlignment="1" applyProtection="1">
      <alignment horizontal="left" vertical="top" wrapText="1"/>
    </xf>
    <xf numFmtId="0" fontId="7" fillId="2" borderId="5" xfId="2" applyNumberFormat="1" applyFont="1" applyFill="1" applyBorder="1" applyAlignment="1" applyProtection="1">
      <alignment horizontal="left" vertical="top" wrapText="1"/>
    </xf>
    <xf numFmtId="0" fontId="7" fillId="2" borderId="6" xfId="2" applyNumberFormat="1" applyFont="1" applyFill="1" applyBorder="1" applyAlignment="1" applyProtection="1">
      <alignment horizontal="center" vertical="top"/>
    </xf>
    <xf numFmtId="0" fontId="7" fillId="2" borderId="6" xfId="2" applyNumberFormat="1" applyFont="1" applyFill="1" applyBorder="1" applyAlignment="1" applyProtection="1">
      <alignment horizontal="center" vertical="center"/>
    </xf>
    <xf numFmtId="0" fontId="5" fillId="2" borderId="8" xfId="2" applyNumberFormat="1" applyFont="1" applyFill="1" applyBorder="1" applyAlignment="1" applyProtection="1">
      <alignment horizontal="left" vertical="top" wrapText="1"/>
    </xf>
    <xf numFmtId="164" fontId="5" fillId="2" borderId="1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vertical="top"/>
    </xf>
    <xf numFmtId="0" fontId="7" fillId="2" borderId="0" xfId="2" applyNumberFormat="1" applyFont="1" applyFill="1" applyBorder="1" applyAlignment="1" applyProtection="1">
      <alignment horizontal="right" vertical="top"/>
    </xf>
    <xf numFmtId="14" fontId="5" fillId="3" borderId="3" xfId="2" applyNumberFormat="1" applyFont="1" applyFill="1" applyBorder="1" applyAlignment="1" applyProtection="1">
      <alignment horizontal="center" vertical="center" wrapText="1"/>
    </xf>
    <xf numFmtId="167" fontId="5" fillId="2" borderId="5" xfId="2" applyNumberFormat="1" applyFont="1" applyFill="1" applyBorder="1" applyAlignment="1" applyProtection="1">
      <alignment horizontal="center" vertical="top"/>
    </xf>
    <xf numFmtId="167" fontId="5" fillId="2" borderId="6" xfId="2" applyNumberFormat="1" applyFont="1" applyFill="1" applyBorder="1" applyAlignment="1" applyProtection="1">
      <alignment horizontal="left" vertical="top" wrapText="1"/>
    </xf>
    <xf numFmtId="167" fontId="5" fillId="2" borderId="6" xfId="2" applyNumberFormat="1" applyFont="1" applyFill="1" applyBorder="1" applyAlignment="1" applyProtection="1">
      <alignment horizontal="center" vertical="top"/>
    </xf>
    <xf numFmtId="167" fontId="5" fillId="2" borderId="6" xfId="2" applyNumberFormat="1" applyFont="1" applyFill="1" applyBorder="1" applyAlignment="1" applyProtection="1">
      <alignment horizontal="right" vertical="top"/>
    </xf>
    <xf numFmtId="167" fontId="5" fillId="2" borderId="7" xfId="2" applyNumberFormat="1" applyFont="1" applyFill="1" applyBorder="1" applyAlignment="1" applyProtection="1">
      <alignment horizontal="right" vertical="top"/>
    </xf>
    <xf numFmtId="167" fontId="4" fillId="2" borderId="5" xfId="2" applyNumberFormat="1" applyFont="1" applyFill="1" applyBorder="1" applyAlignment="1" applyProtection="1">
      <alignment horizontal="center" vertical="top"/>
    </xf>
    <xf numFmtId="167" fontId="4" fillId="2" borderId="6" xfId="2" applyNumberFormat="1" applyFont="1" applyFill="1" applyBorder="1" applyAlignment="1" applyProtection="1">
      <alignment horizontal="left" vertical="top" wrapText="1"/>
    </xf>
    <xf numFmtId="167" fontId="4" fillId="2" borderId="6" xfId="2" applyNumberFormat="1" applyFont="1" applyFill="1" applyBorder="1" applyAlignment="1" applyProtection="1">
      <alignment horizontal="center" vertical="top"/>
    </xf>
    <xf numFmtId="167" fontId="4" fillId="2" borderId="6" xfId="2" applyNumberFormat="1" applyFont="1" applyFill="1" applyBorder="1" applyAlignment="1" applyProtection="1">
      <alignment horizontal="right" vertical="top"/>
    </xf>
    <xf numFmtId="167" fontId="4" fillId="2" borderId="7" xfId="2" applyNumberFormat="1" applyFont="1" applyFill="1" applyBorder="1" applyAlignment="1" applyProtection="1">
      <alignment horizontal="right" vertical="top"/>
    </xf>
    <xf numFmtId="167" fontId="7" fillId="2" borderId="5" xfId="2" applyNumberFormat="1" applyFont="1" applyFill="1" applyBorder="1" applyAlignment="1" applyProtection="1">
      <alignment horizontal="center" vertical="top"/>
    </xf>
    <xf numFmtId="167" fontId="7" fillId="2" borderId="6" xfId="2" applyNumberFormat="1" applyFont="1" applyFill="1" applyBorder="1" applyAlignment="1" applyProtection="1">
      <alignment horizontal="left" vertical="top" wrapText="1"/>
    </xf>
    <xf numFmtId="167" fontId="7" fillId="2" borderId="6" xfId="2" applyNumberFormat="1" applyFont="1" applyFill="1" applyBorder="1" applyAlignment="1" applyProtection="1">
      <alignment horizontal="center" vertical="top"/>
    </xf>
    <xf numFmtId="167" fontId="7" fillId="2" borderId="6" xfId="2" applyNumberFormat="1" applyFont="1" applyFill="1" applyBorder="1" applyAlignment="1" applyProtection="1">
      <alignment horizontal="right" vertical="top"/>
    </xf>
    <xf numFmtId="167" fontId="7" fillId="2" borderId="7" xfId="2" applyNumberFormat="1" applyFont="1" applyFill="1" applyBorder="1" applyAlignment="1" applyProtection="1">
      <alignment horizontal="right" vertical="top"/>
    </xf>
    <xf numFmtId="166" fontId="4" fillId="2" borderId="6" xfId="3" applyNumberFormat="1" applyFont="1" applyFill="1" applyBorder="1" applyAlignment="1" applyProtection="1">
      <alignment horizontal="right" vertical="top"/>
    </xf>
    <xf numFmtId="166" fontId="4" fillId="2" borderId="7" xfId="3" applyNumberFormat="1" applyFont="1" applyFill="1" applyBorder="1" applyAlignment="1" applyProtection="1">
      <alignment horizontal="right" vertical="top"/>
    </xf>
    <xf numFmtId="4" fontId="5" fillId="2" borderId="5" xfId="2" applyNumberFormat="1" applyFont="1" applyFill="1" applyBorder="1" applyAlignment="1" applyProtection="1">
      <alignment horizontal="center" vertical="top"/>
    </xf>
    <xf numFmtId="4" fontId="5" fillId="2" borderId="6" xfId="2" applyNumberFormat="1" applyFont="1" applyFill="1" applyBorder="1" applyAlignment="1" applyProtection="1">
      <alignment horizontal="left" vertical="top" wrapText="1"/>
    </xf>
    <xf numFmtId="4" fontId="5" fillId="2" borderId="6" xfId="2" applyNumberFormat="1" applyFont="1" applyFill="1" applyBorder="1" applyAlignment="1" applyProtection="1">
      <alignment horizontal="center" vertical="top"/>
    </xf>
    <xf numFmtId="4" fontId="5" fillId="2" borderId="7" xfId="2" applyNumberFormat="1" applyFont="1" applyFill="1" applyBorder="1" applyAlignment="1" applyProtection="1">
      <alignment horizontal="right" vertical="top"/>
    </xf>
    <xf numFmtId="167" fontId="4" fillId="2" borderId="8" xfId="2" applyNumberFormat="1" applyFont="1" applyFill="1" applyBorder="1" applyAlignment="1" applyProtection="1">
      <alignment horizontal="center" vertical="top"/>
    </xf>
    <xf numFmtId="167" fontId="4" fillId="2" borderId="9" xfId="2" applyNumberFormat="1" applyFont="1" applyFill="1" applyBorder="1" applyAlignment="1" applyProtection="1">
      <alignment horizontal="left" vertical="top" wrapText="1"/>
    </xf>
    <xf numFmtId="167" fontId="4" fillId="2" borderId="9" xfId="2" applyNumberFormat="1" applyFont="1" applyFill="1" applyBorder="1" applyAlignment="1" applyProtection="1">
      <alignment horizontal="center" vertical="top"/>
    </xf>
    <xf numFmtId="167" fontId="4" fillId="2" borderId="9" xfId="2" applyNumberFormat="1" applyFont="1" applyFill="1" applyBorder="1" applyAlignment="1" applyProtection="1">
      <alignment horizontal="right" vertical="top"/>
    </xf>
    <xf numFmtId="167" fontId="4" fillId="2" borderId="10" xfId="2" applyNumberFormat="1" applyFont="1" applyFill="1" applyBorder="1" applyAlignment="1" applyProtection="1">
      <alignment horizontal="right" vertical="top"/>
    </xf>
    <xf numFmtId="0" fontId="14" fillId="4" borderId="0" xfId="0" applyFont="1" applyFill="1"/>
    <xf numFmtId="0" fontId="15" fillId="4" borderId="0" xfId="0" applyFont="1" applyFill="1" applyAlignment="1">
      <alignment horizontal="left"/>
    </xf>
    <xf numFmtId="0" fontId="14" fillId="4" borderId="0" xfId="0" applyFont="1" applyFill="1" applyAlignment="1">
      <alignment horizontal="left"/>
    </xf>
    <xf numFmtId="0" fontId="15" fillId="4" borderId="0" xfId="0" applyFont="1" applyFill="1"/>
    <xf numFmtId="0" fontId="13" fillId="5" borderId="28" xfId="0" applyFont="1" applyFill="1" applyBorder="1" applyAlignment="1">
      <alignment vertical="center"/>
    </xf>
    <xf numFmtId="0" fontId="13" fillId="5" borderId="28" xfId="0" applyFont="1" applyFill="1" applyBorder="1" applyAlignment="1">
      <alignment vertical="center" wrapText="1"/>
    </xf>
    <xf numFmtId="0" fontId="13" fillId="5" borderId="29" xfId="0" applyFont="1" applyFill="1" applyBorder="1" applyAlignment="1">
      <alignment vertical="center" wrapText="1"/>
    </xf>
    <xf numFmtId="0" fontId="15" fillId="5" borderId="0" xfId="0" applyFont="1" applyFill="1" applyBorder="1" applyAlignment="1">
      <alignment vertical="center"/>
    </xf>
    <xf numFmtId="0" fontId="15" fillId="5" borderId="0" xfId="0" applyFont="1" applyFill="1" applyBorder="1" applyAlignment="1">
      <alignment vertical="center" wrapText="1"/>
    </xf>
    <xf numFmtId="0" fontId="15" fillId="5" borderId="34" xfId="0" applyFont="1" applyFill="1" applyBorder="1" applyAlignment="1">
      <alignment vertical="center" wrapText="1"/>
    </xf>
    <xf numFmtId="0" fontId="16" fillId="4" borderId="0" xfId="0" applyFont="1" applyFill="1" applyBorder="1"/>
    <xf numFmtId="0" fontId="13" fillId="5" borderId="0" xfId="0" applyFont="1" applyFill="1" applyBorder="1" applyAlignment="1">
      <alignment vertical="center"/>
    </xf>
    <xf numFmtId="0" fontId="13" fillId="5" borderId="0" xfId="0" applyFont="1" applyFill="1" applyBorder="1" applyAlignment="1">
      <alignment vertical="center" wrapText="1"/>
    </xf>
    <xf numFmtId="0" fontId="13" fillId="5" borderId="34" xfId="0" applyFont="1" applyFill="1" applyBorder="1" applyAlignment="1">
      <alignment vertical="center" wrapText="1"/>
    </xf>
    <xf numFmtId="14" fontId="13" fillId="5" borderId="0" xfId="0" applyNumberFormat="1" applyFont="1" applyFill="1" applyBorder="1" applyAlignment="1">
      <alignment horizontal="left" vertical="center"/>
    </xf>
    <xf numFmtId="169" fontId="15" fillId="5" borderId="32" xfId="0" applyNumberFormat="1" applyFont="1" applyFill="1" applyBorder="1" applyAlignment="1"/>
    <xf numFmtId="0" fontId="19" fillId="4" borderId="0" xfId="0" applyFont="1" applyFill="1"/>
    <xf numFmtId="0" fontId="24" fillId="4" borderId="0" xfId="5" applyFont="1" applyFill="1" applyBorder="1" applyAlignment="1">
      <alignment horizontal="center" vertical="center"/>
    </xf>
    <xf numFmtId="0" fontId="23" fillId="4" borderId="0" xfId="5" applyFont="1" applyFill="1" applyBorder="1" applyAlignment="1">
      <alignment horizontal="center" vertical="center"/>
    </xf>
    <xf numFmtId="0" fontId="13" fillId="4" borderId="35" xfId="0" applyFont="1" applyFill="1" applyBorder="1" applyAlignment="1">
      <alignment horizontal="center" vertical="center"/>
    </xf>
    <xf numFmtId="0" fontId="13" fillId="4" borderId="35" xfId="0" applyFont="1" applyFill="1" applyBorder="1" applyAlignment="1">
      <alignment horizontal="left" vertical="center"/>
    </xf>
    <xf numFmtId="0" fontId="15" fillId="4" borderId="35" xfId="0" applyFont="1" applyFill="1" applyBorder="1" applyAlignment="1">
      <alignment horizontal="center" vertical="center"/>
    </xf>
    <xf numFmtId="0" fontId="26" fillId="4" borderId="35" xfId="6" applyFont="1" applyFill="1" applyBorder="1" applyAlignment="1">
      <alignment horizontal="center" vertical="center"/>
    </xf>
    <xf numFmtId="0" fontId="27" fillId="4" borderId="35" xfId="6" quotePrefix="1" applyFont="1" applyFill="1" applyBorder="1" applyAlignment="1">
      <alignment horizontal="center" vertical="center"/>
    </xf>
    <xf numFmtId="0" fontId="23" fillId="4" borderId="35" xfId="5" applyFont="1" applyFill="1" applyBorder="1" applyAlignment="1">
      <alignment horizontal="center" vertical="center"/>
    </xf>
    <xf numFmtId="0" fontId="27" fillId="4" borderId="35" xfId="6" applyFont="1" applyFill="1" applyBorder="1" applyAlignment="1">
      <alignment horizontal="center" vertical="center"/>
    </xf>
    <xf numFmtId="0" fontId="28" fillId="4" borderId="0" xfId="0" applyFont="1" applyFill="1" applyBorder="1"/>
    <xf numFmtId="0" fontId="19" fillId="4" borderId="0" xfId="0" applyFont="1" applyFill="1" applyBorder="1" applyAlignment="1">
      <alignment vertical="center"/>
    </xf>
    <xf numFmtId="0" fontId="32" fillId="5" borderId="0" xfId="13" applyFont="1" applyFill="1"/>
    <xf numFmtId="0" fontId="33" fillId="5" borderId="0" xfId="13" applyFont="1" applyFill="1" applyAlignment="1">
      <alignment wrapText="1"/>
    </xf>
    <xf numFmtId="0" fontId="7" fillId="5" borderId="0" xfId="13" applyFont="1" applyFill="1" applyAlignment="1">
      <alignment horizontal="center"/>
    </xf>
    <xf numFmtId="0" fontId="5" fillId="5" borderId="0" xfId="13" applyFont="1" applyFill="1" applyAlignment="1">
      <alignment horizontal="center"/>
    </xf>
    <xf numFmtId="166" fontId="5" fillId="5" borderId="0" xfId="8" applyNumberFormat="1" applyFont="1" applyFill="1" applyAlignment="1">
      <alignment horizontal="center"/>
    </xf>
    <xf numFmtId="0" fontId="5" fillId="5" borderId="0" xfId="13" applyFont="1" applyFill="1" applyAlignment="1">
      <alignment horizontal="center" vertical="center" wrapText="1"/>
    </xf>
    <xf numFmtId="0" fontId="5" fillId="5" borderId="0" xfId="13" applyFont="1" applyFill="1" applyAlignment="1">
      <alignment horizontal="left" vertical="center"/>
    </xf>
    <xf numFmtId="0" fontId="4" fillId="5" borderId="0" xfId="13" applyFont="1" applyFill="1" applyAlignment="1">
      <alignment horizontal="left" vertical="center"/>
    </xf>
    <xf numFmtId="166" fontId="4" fillId="5" borderId="0" xfId="8" applyNumberFormat="1" applyFont="1" applyFill="1" applyAlignment="1">
      <alignment horizontal="center"/>
    </xf>
    <xf numFmtId="0" fontId="4" fillId="5" borderId="0" xfId="13" applyFont="1" applyFill="1" applyAlignment="1">
      <alignment horizontal="center"/>
    </xf>
    <xf numFmtId="0" fontId="5" fillId="5" borderId="0" xfId="13" applyFont="1" applyFill="1" applyAlignment="1">
      <alignment horizontal="center" vertical="center"/>
    </xf>
    <xf numFmtId="0" fontId="5" fillId="5" borderId="0" xfId="13" applyFont="1" applyFill="1" applyAlignment="1">
      <alignment horizontal="left" wrapText="1"/>
    </xf>
    <xf numFmtId="0" fontId="5" fillId="5" borderId="0" xfId="13" applyFont="1" applyFill="1" applyAlignment="1">
      <alignment vertical="center"/>
    </xf>
    <xf numFmtId="48" fontId="4" fillId="5" borderId="0" xfId="13" applyNumberFormat="1" applyFont="1" applyFill="1" applyAlignment="1" applyProtection="1">
      <alignment horizontal="left" vertical="center" wrapText="1"/>
      <protection locked="0"/>
    </xf>
    <xf numFmtId="0" fontId="4" fillId="5" borderId="0" xfId="13" applyFont="1" applyFill="1" applyAlignment="1">
      <alignment horizontal="left" wrapText="1"/>
    </xf>
    <xf numFmtId="0" fontId="34" fillId="6" borderId="0" xfId="15" applyNumberFormat="1" applyFont="1" applyFill="1" applyBorder="1" applyAlignment="1" applyProtection="1">
      <alignment vertical="top"/>
    </xf>
    <xf numFmtId="0" fontId="4" fillId="5" borderId="0" xfId="13" applyFont="1" applyFill="1" applyAlignment="1">
      <alignment vertical="center"/>
    </xf>
    <xf numFmtId="3" fontId="4" fillId="5" borderId="0" xfId="13" applyNumberFormat="1" applyFont="1" applyFill="1" applyAlignment="1">
      <alignment horizontal="left" vertical="center" wrapText="1"/>
    </xf>
    <xf numFmtId="48" fontId="5" fillId="5" borderId="0" xfId="13" applyNumberFormat="1" applyFont="1" applyFill="1" applyAlignment="1" applyProtection="1">
      <alignment horizontal="left" vertical="center" wrapText="1"/>
      <protection locked="0"/>
    </xf>
    <xf numFmtId="48" fontId="4" fillId="5" borderId="0" xfId="13" applyNumberFormat="1" applyFont="1" applyFill="1" applyAlignment="1" applyProtection="1">
      <alignment vertical="center" wrapText="1"/>
      <protection locked="0"/>
    </xf>
    <xf numFmtId="0" fontId="35" fillId="5" borderId="0" xfId="0" applyFont="1" applyFill="1" applyAlignment="1">
      <alignment vertical="center"/>
    </xf>
    <xf numFmtId="170" fontId="4" fillId="5" borderId="0" xfId="13" applyNumberFormat="1" applyFont="1" applyFill="1" applyAlignment="1">
      <alignment horizontal="left" vertical="center" wrapText="1"/>
    </xf>
    <xf numFmtId="0" fontId="4" fillId="5" borderId="0" xfId="13" applyFont="1" applyFill="1" applyAlignment="1">
      <alignment horizontal="left" vertical="center" wrapText="1"/>
    </xf>
    <xf numFmtId="0" fontId="32" fillId="5" borderId="0" xfId="13" applyFont="1" applyFill="1" applyAlignment="1">
      <alignment horizontal="left"/>
    </xf>
    <xf numFmtId="3" fontId="4" fillId="5" borderId="0" xfId="13" applyNumberFormat="1" applyFont="1" applyFill="1" applyAlignment="1">
      <alignment wrapText="1"/>
    </xf>
    <xf numFmtId="3" fontId="5" fillId="5" borderId="0" xfId="13" applyNumberFormat="1" applyFont="1" applyFill="1" applyAlignment="1">
      <alignment wrapText="1"/>
    </xf>
    <xf numFmtId="0" fontId="36" fillId="5" borderId="0" xfId="13" applyFont="1" applyFill="1"/>
    <xf numFmtId="0" fontId="35" fillId="7" borderId="35" xfId="13" applyFont="1" applyFill="1" applyBorder="1" applyAlignment="1">
      <alignment horizontal="center" vertical="center" wrapText="1"/>
    </xf>
    <xf numFmtId="0" fontId="32" fillId="0" borderId="35" xfId="13" applyFont="1" applyFill="1" applyBorder="1" applyAlignment="1">
      <alignment horizontal="center" vertical="center"/>
    </xf>
    <xf numFmtId="49" fontId="32" fillId="0" borderId="35" xfId="13" applyNumberFormat="1" applyFont="1" applyFill="1" applyBorder="1" applyAlignment="1" applyProtection="1">
      <alignment horizontal="left" vertical="center" wrapText="1"/>
    </xf>
    <xf numFmtId="49" fontId="36" fillId="0" borderId="35" xfId="13" applyNumberFormat="1" applyFont="1" applyFill="1" applyBorder="1" applyAlignment="1" applyProtection="1">
      <alignment horizontal="center" vertical="center" wrapText="1"/>
    </xf>
    <xf numFmtId="49" fontId="36" fillId="0" borderId="35" xfId="13" applyNumberFormat="1" applyFont="1" applyFill="1" applyBorder="1" applyAlignment="1" applyProtection="1">
      <alignment horizontal="left" vertical="center" wrapText="1"/>
    </xf>
    <xf numFmtId="49" fontId="32" fillId="0" borderId="35" xfId="13" applyNumberFormat="1" applyFont="1" applyFill="1" applyBorder="1" applyAlignment="1" applyProtection="1">
      <alignment horizontal="center" vertical="center" wrapText="1"/>
    </xf>
    <xf numFmtId="0" fontId="7" fillId="5" borderId="0" xfId="13" applyFont="1" applyFill="1"/>
    <xf numFmtId="172" fontId="37" fillId="5" borderId="0" xfId="16" applyNumberFormat="1" applyFont="1" applyFill="1" applyAlignment="1">
      <alignment vertical="center" wrapText="1"/>
    </xf>
    <xf numFmtId="0" fontId="36" fillId="5" borderId="0" xfId="16" applyFont="1" applyFill="1" applyBorder="1" applyAlignment="1">
      <alignment vertical="center"/>
    </xf>
    <xf numFmtId="166" fontId="37" fillId="5" borderId="0" xfId="8" applyNumberFormat="1" applyFont="1" applyFill="1" applyBorder="1" applyAlignment="1">
      <alignment vertical="center" wrapText="1"/>
    </xf>
    <xf numFmtId="0" fontId="37" fillId="5" borderId="0" xfId="16" applyFont="1" applyFill="1" applyBorder="1" applyAlignment="1">
      <alignment vertical="center"/>
    </xf>
    <xf numFmtId="0" fontId="37" fillId="5" borderId="0" xfId="16" applyFont="1" applyFill="1" applyBorder="1" applyAlignment="1">
      <alignment vertical="center" wrapText="1"/>
    </xf>
    <xf numFmtId="166" fontId="37" fillId="5" borderId="0" xfId="8" applyNumberFormat="1" applyFont="1" applyFill="1" applyBorder="1" applyAlignment="1">
      <alignment horizontal="right" vertical="center" wrapText="1"/>
    </xf>
    <xf numFmtId="166" fontId="37" fillId="5" borderId="0" xfId="8" applyNumberFormat="1" applyFont="1" applyFill="1" applyBorder="1" applyAlignment="1">
      <alignment horizontal="left" vertical="center"/>
    </xf>
    <xf numFmtId="2" fontId="36" fillId="5" borderId="0" xfId="16" applyNumberFormat="1" applyFont="1" applyFill="1" applyAlignment="1">
      <alignment vertical="center"/>
    </xf>
    <xf numFmtId="166" fontId="37" fillId="5" borderId="0" xfId="8" applyNumberFormat="1" applyFont="1" applyFill="1" applyBorder="1" applyAlignment="1">
      <alignment horizontal="right" vertical="center"/>
    </xf>
    <xf numFmtId="166" fontId="37" fillId="5" borderId="0" xfId="8" applyNumberFormat="1" applyFont="1" applyFill="1" applyAlignment="1">
      <alignment horizontal="right" vertical="center"/>
    </xf>
    <xf numFmtId="2" fontId="36" fillId="5" borderId="0" xfId="16" applyNumberFormat="1" applyFont="1" applyFill="1" applyAlignment="1">
      <alignment horizontal="right" vertical="center"/>
    </xf>
    <xf numFmtId="166" fontId="36" fillId="5" borderId="0" xfId="8" applyNumberFormat="1" applyFont="1" applyFill="1" applyAlignment="1">
      <alignment horizontal="right" vertical="center"/>
    </xf>
    <xf numFmtId="2" fontId="37" fillId="5" borderId="0" xfId="16" applyNumberFormat="1" applyFont="1" applyFill="1" applyAlignment="1">
      <alignment vertical="center"/>
    </xf>
    <xf numFmtId="2" fontId="36" fillId="5" borderId="31" xfId="16" applyNumberFormat="1" applyFont="1" applyFill="1" applyBorder="1" applyAlignment="1">
      <alignment vertical="center"/>
    </xf>
    <xf numFmtId="166" fontId="36" fillId="5" borderId="31" xfId="8" applyNumberFormat="1" applyFont="1" applyFill="1" applyBorder="1" applyAlignment="1">
      <alignment horizontal="right" vertical="center"/>
    </xf>
    <xf numFmtId="2" fontId="36" fillId="5" borderId="0" xfId="16" applyNumberFormat="1" applyFont="1" applyFill="1" applyBorder="1" applyAlignment="1">
      <alignment horizontal="right" vertical="center"/>
    </xf>
    <xf numFmtId="0" fontId="32" fillId="5" borderId="0" xfId="13" applyFont="1" applyFill="1" applyBorder="1"/>
    <xf numFmtId="2" fontId="36" fillId="5" borderId="0" xfId="16" applyNumberFormat="1" applyFont="1" applyFill="1" applyBorder="1" applyAlignment="1">
      <alignment vertical="center"/>
    </xf>
    <xf numFmtId="0" fontId="32" fillId="5" borderId="0" xfId="13" applyFont="1" applyFill="1" applyAlignment="1">
      <alignment vertical="center"/>
    </xf>
    <xf numFmtId="2" fontId="32" fillId="5" borderId="0" xfId="16" applyNumberFormat="1" applyFont="1" applyFill="1" applyAlignment="1">
      <alignment vertical="center"/>
    </xf>
    <xf numFmtId="0" fontId="37" fillId="0" borderId="0" xfId="13" applyFont="1" applyFill="1" applyAlignment="1">
      <alignment vertical="center"/>
    </xf>
    <xf numFmtId="0" fontId="37" fillId="5" borderId="0" xfId="13" applyFont="1" applyFill="1" applyAlignment="1">
      <alignment vertical="center"/>
    </xf>
    <xf numFmtId="0" fontId="38" fillId="2" borderId="6" xfId="2" applyNumberFormat="1" applyFont="1" applyFill="1" applyBorder="1" applyAlignment="1" applyProtection="1">
      <alignment horizontal="center" vertical="top"/>
    </xf>
    <xf numFmtId="0" fontId="4" fillId="2" borderId="6" xfId="0" applyNumberFormat="1" applyFont="1" applyFill="1" applyBorder="1" applyAlignment="1" applyProtection="1">
      <alignment horizontal="center" vertical="center"/>
    </xf>
    <xf numFmtId="0" fontId="5" fillId="2" borderId="6" xfId="0" applyNumberFormat="1" applyFont="1" applyFill="1" applyBorder="1" applyAlignment="1" applyProtection="1">
      <alignment horizontal="center" vertical="center"/>
    </xf>
    <xf numFmtId="0" fontId="5" fillId="2" borderId="9" xfId="0" applyNumberFormat="1" applyFont="1" applyFill="1" applyBorder="1" applyAlignment="1" applyProtection="1">
      <alignment horizontal="center" vertical="center"/>
    </xf>
    <xf numFmtId="14" fontId="5" fillId="2" borderId="0" xfId="2" applyNumberFormat="1" applyFont="1" applyFill="1" applyBorder="1" applyAlignment="1" applyProtection="1">
      <alignment horizontal="left" vertical="top"/>
    </xf>
    <xf numFmtId="15" fontId="4" fillId="2" borderId="0" xfId="2" applyNumberFormat="1" applyFont="1" applyFill="1" applyBorder="1" applyAlignment="1" applyProtection="1">
      <alignment horizontal="left" vertical="top"/>
    </xf>
    <xf numFmtId="0" fontId="15" fillId="5" borderId="33" xfId="0" applyFont="1" applyFill="1" applyBorder="1" applyAlignment="1">
      <alignment horizontal="left" vertical="center" wrapText="1"/>
    </xf>
    <xf numFmtId="0" fontId="15" fillId="5" borderId="0" xfId="0" applyFont="1" applyFill="1" applyBorder="1" applyAlignment="1">
      <alignment horizontal="left" vertical="center" wrapText="1"/>
    </xf>
    <xf numFmtId="0" fontId="13" fillId="4" borderId="0" xfId="0" applyFont="1" applyFill="1" applyBorder="1" applyAlignment="1">
      <alignment horizontal="left"/>
    </xf>
    <xf numFmtId="0" fontId="15" fillId="5" borderId="27" xfId="0" applyFont="1" applyFill="1" applyBorder="1" applyAlignment="1">
      <alignment horizontal="left" wrapText="1"/>
    </xf>
    <xf numFmtId="0" fontId="15" fillId="5" borderId="28" xfId="0" applyFont="1" applyFill="1" applyBorder="1" applyAlignment="1">
      <alignment horizontal="left"/>
    </xf>
    <xf numFmtId="0" fontId="15" fillId="5" borderId="29" xfId="0" applyFont="1" applyFill="1" applyBorder="1" applyAlignment="1">
      <alignment horizontal="left"/>
    </xf>
    <xf numFmtId="0" fontId="15" fillId="5" borderId="30" xfId="0" applyFont="1" applyFill="1" applyBorder="1" applyAlignment="1">
      <alignment horizontal="left" wrapText="1"/>
    </xf>
    <xf numFmtId="0" fontId="15" fillId="5" borderId="31" xfId="0" applyFont="1" applyFill="1" applyBorder="1" applyAlignment="1">
      <alignment horizontal="left"/>
    </xf>
    <xf numFmtId="0" fontId="15" fillId="5" borderId="32" xfId="0" applyFont="1" applyFill="1" applyBorder="1" applyAlignment="1">
      <alignment horizontal="left"/>
    </xf>
    <xf numFmtId="0" fontId="13" fillId="4" borderId="0" xfId="0" applyFont="1" applyFill="1" applyAlignment="1">
      <alignment horizontal="left"/>
    </xf>
    <xf numFmtId="0" fontId="13" fillId="5" borderId="27" xfId="0" applyFont="1" applyFill="1" applyBorder="1" applyAlignment="1">
      <alignment horizontal="left" vertical="center" wrapText="1"/>
    </xf>
    <xf numFmtId="0" fontId="13" fillId="5" borderId="28" xfId="0" applyFont="1" applyFill="1" applyBorder="1" applyAlignment="1">
      <alignment horizontal="left" vertical="center" wrapText="1"/>
    </xf>
    <xf numFmtId="0" fontId="13" fillId="5" borderId="33" xfId="0" applyFont="1" applyFill="1" applyBorder="1" applyAlignment="1">
      <alignment horizontal="left" vertical="center" wrapText="1"/>
    </xf>
    <xf numFmtId="0" fontId="13" fillId="5" borderId="0" xfId="0" applyFont="1" applyFill="1" applyBorder="1" applyAlignment="1">
      <alignment horizontal="left" vertical="center" wrapText="1"/>
    </xf>
    <xf numFmtId="168" fontId="18" fillId="2" borderId="31" xfId="4" applyNumberFormat="1" applyFont="1" applyFill="1" applyBorder="1" applyAlignment="1" applyProtection="1">
      <alignment horizontal="left" vertical="top"/>
    </xf>
    <xf numFmtId="0" fontId="20" fillId="5" borderId="27" xfId="0" applyFont="1" applyFill="1" applyBorder="1" applyAlignment="1">
      <alignment horizontal="center" vertical="center"/>
    </xf>
    <xf numFmtId="0" fontId="20" fillId="5" borderId="28" xfId="0" applyFont="1" applyFill="1" applyBorder="1" applyAlignment="1">
      <alignment horizontal="center" vertical="center"/>
    </xf>
    <xf numFmtId="0" fontId="20" fillId="5" borderId="29" xfId="0" applyFont="1" applyFill="1" applyBorder="1" applyAlignment="1">
      <alignment horizontal="center" vertical="center"/>
    </xf>
    <xf numFmtId="0" fontId="22" fillId="5" borderId="33" xfId="5" applyFont="1" applyFill="1" applyBorder="1" applyAlignment="1">
      <alignment horizontal="center" vertical="center"/>
    </xf>
    <xf numFmtId="0" fontId="22" fillId="5" borderId="0" xfId="5" applyFont="1" applyFill="1" applyBorder="1" applyAlignment="1">
      <alignment horizontal="center" vertical="center"/>
    </xf>
    <xf numFmtId="0" fontId="22" fillId="5" borderId="34" xfId="5" applyFont="1" applyFill="1" applyBorder="1" applyAlignment="1">
      <alignment horizontal="center" vertical="center"/>
    </xf>
    <xf numFmtId="0" fontId="15" fillId="5" borderId="30" xfId="0" applyFont="1" applyFill="1" applyBorder="1" applyAlignment="1">
      <alignment horizontal="left"/>
    </xf>
    <xf numFmtId="0" fontId="15" fillId="4" borderId="35" xfId="0" applyFont="1" applyFill="1" applyBorder="1" applyAlignment="1">
      <alignment horizontal="left" vertical="center"/>
    </xf>
    <xf numFmtId="0" fontId="23" fillId="5" borderId="33" xfId="5" applyFont="1" applyFill="1" applyBorder="1" applyAlignment="1">
      <alignment horizontal="center" vertical="center"/>
    </xf>
    <xf numFmtId="0" fontId="23" fillId="5" borderId="0" xfId="5" applyFont="1" applyFill="1" applyBorder="1" applyAlignment="1">
      <alignment horizontal="center" vertical="center"/>
    </xf>
    <xf numFmtId="0" fontId="23" fillId="5" borderId="34" xfId="5" applyFont="1" applyFill="1" applyBorder="1" applyAlignment="1">
      <alignment horizontal="center" vertical="center"/>
    </xf>
    <xf numFmtId="0" fontId="24" fillId="5" borderId="33" xfId="5" applyFont="1" applyFill="1" applyBorder="1" applyAlignment="1">
      <alignment horizontal="center" vertical="center"/>
    </xf>
    <xf numFmtId="0" fontId="24" fillId="5" borderId="0" xfId="5" applyFont="1" applyFill="1" applyBorder="1" applyAlignment="1">
      <alignment horizontal="center" vertical="center"/>
    </xf>
    <xf numFmtId="0" fontId="24" fillId="5" borderId="34" xfId="5" applyFont="1" applyFill="1" applyBorder="1" applyAlignment="1">
      <alignment horizontal="center" vertical="center"/>
    </xf>
    <xf numFmtId="0" fontId="24" fillId="5" borderId="30" xfId="5" applyFont="1" applyFill="1" applyBorder="1" applyAlignment="1">
      <alignment horizontal="center" vertical="center"/>
    </xf>
    <xf numFmtId="0" fontId="24" fillId="5" borderId="31" xfId="5" applyFont="1" applyFill="1" applyBorder="1" applyAlignment="1">
      <alignment horizontal="center" vertical="center"/>
    </xf>
    <xf numFmtId="0" fontId="24" fillId="5" borderId="32" xfId="5" applyFont="1" applyFill="1" applyBorder="1" applyAlignment="1">
      <alignment horizontal="center" vertical="center"/>
    </xf>
    <xf numFmtId="0" fontId="13" fillId="4" borderId="35" xfId="0" applyFont="1" applyFill="1" applyBorder="1" applyAlignment="1">
      <alignment horizontal="left" vertical="center"/>
    </xf>
    <xf numFmtId="0" fontId="13" fillId="4" borderId="35" xfId="0" applyFont="1" applyFill="1" applyBorder="1" applyAlignment="1">
      <alignment horizontal="left" wrapText="1"/>
    </xf>
    <xf numFmtId="0" fontId="5" fillId="2" borderId="0" xfId="2" applyNumberFormat="1" applyFont="1" applyFill="1" applyBorder="1" applyAlignment="1" applyProtection="1">
      <alignment horizontal="left" vertical="top"/>
    </xf>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center" vertical="center" wrapText="1"/>
    </xf>
    <xf numFmtId="0" fontId="8" fillId="2" borderId="0" xfId="2" applyNumberFormat="1" applyFont="1" applyFill="1" applyBorder="1" applyAlignment="1" applyProtection="1">
      <alignment horizontal="center" vertical="center" wrapText="1"/>
    </xf>
    <xf numFmtId="0" fontId="4" fillId="2" borderId="0" xfId="2" applyNumberFormat="1" applyFont="1" applyFill="1" applyBorder="1" applyAlignment="1" applyProtection="1">
      <alignment horizontal="center" vertical="top"/>
    </xf>
    <xf numFmtId="0" fontId="5" fillId="2" borderId="0" xfId="2" applyNumberFormat="1" applyFont="1" applyFill="1" applyBorder="1" applyAlignment="1" applyProtection="1">
      <alignment horizontal="center" vertical="center"/>
    </xf>
    <xf numFmtId="14" fontId="5" fillId="2" borderId="0" xfId="2" applyNumberFormat="1" applyFont="1" applyFill="1" applyBorder="1" applyAlignment="1" applyProtection="1">
      <alignment horizontal="left" vertical="top"/>
    </xf>
    <xf numFmtId="15"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left" vertical="top" wrapText="1"/>
    </xf>
    <xf numFmtId="0" fontId="4" fillId="2" borderId="1" xfId="2" applyNumberFormat="1" applyFont="1" applyFill="1" applyBorder="1" applyAlignment="1" applyProtection="1">
      <alignment horizontal="right" vertical="top"/>
    </xf>
    <xf numFmtId="0" fontId="4" fillId="2" borderId="0" xfId="2" applyNumberFormat="1" applyFont="1" applyFill="1" applyBorder="1" applyAlignment="1" applyProtection="1">
      <alignment horizontal="left" vertical="center" wrapText="1"/>
    </xf>
    <xf numFmtId="0" fontId="5" fillId="2" borderId="0" xfId="2" applyNumberFormat="1" applyFont="1" applyFill="1" applyBorder="1" applyAlignment="1" applyProtection="1">
      <alignment horizontal="center" vertical="top"/>
    </xf>
    <xf numFmtId="0" fontId="4"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right" vertical="center" wrapText="1"/>
    </xf>
    <xf numFmtId="0" fontId="4"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left" vertical="center" wrapText="1"/>
    </xf>
    <xf numFmtId="0" fontId="7" fillId="2" borderId="0" xfId="2" applyNumberFormat="1" applyFont="1" applyFill="1" applyBorder="1" applyAlignment="1" applyProtection="1">
      <alignment horizontal="left" vertical="top"/>
    </xf>
    <xf numFmtId="0" fontId="7" fillId="2" borderId="0" xfId="2" applyNumberFormat="1" applyFont="1" applyFill="1" applyBorder="1" applyAlignment="1" applyProtection="1">
      <alignment horizontal="left" vertical="top" wrapText="1"/>
    </xf>
    <xf numFmtId="168" fontId="4" fillId="2" borderId="0" xfId="4" applyNumberFormat="1" applyFont="1" applyFill="1" applyBorder="1" applyAlignment="1" applyProtection="1">
      <alignment horizontal="left" vertical="top"/>
    </xf>
    <xf numFmtId="0" fontId="32" fillId="5" borderId="0" xfId="13" applyFont="1" applyFill="1" applyAlignment="1">
      <alignment horizontal="left"/>
    </xf>
    <xf numFmtId="0" fontId="33" fillId="5" borderId="0" xfId="13" applyFont="1" applyFill="1" applyAlignment="1">
      <alignment horizontal="center" vertical="center" wrapText="1"/>
    </xf>
    <xf numFmtId="0" fontId="6" fillId="5" borderId="0" xfId="13" applyFont="1" applyFill="1" applyAlignment="1">
      <alignment horizontal="center" vertical="center" wrapText="1"/>
    </xf>
    <xf numFmtId="0" fontId="5" fillId="5" borderId="0" xfId="13" applyFont="1" applyFill="1" applyAlignment="1">
      <alignment horizontal="center" vertical="center" wrapText="1"/>
    </xf>
    <xf numFmtId="3" fontId="33" fillId="5" borderId="0" xfId="13" applyNumberFormat="1" applyFont="1" applyFill="1" applyAlignment="1">
      <alignment horizontal="center" vertical="center" wrapText="1"/>
    </xf>
    <xf numFmtId="0" fontId="33" fillId="5" borderId="0" xfId="13" applyFont="1" applyFill="1" applyAlignment="1">
      <alignment horizontal="center" vertical="center"/>
    </xf>
    <xf numFmtId="14" fontId="5" fillId="5" borderId="0" xfId="13" applyNumberFormat="1" applyFont="1" applyFill="1" applyAlignment="1">
      <alignment horizontal="left" vertical="center"/>
    </xf>
    <xf numFmtId="0" fontId="35" fillId="7" borderId="36" xfId="13" applyFont="1" applyFill="1" applyBorder="1" applyAlignment="1">
      <alignment horizontal="center" vertical="center" wrapText="1"/>
    </xf>
    <xf numFmtId="0" fontId="35" fillId="7" borderId="39" xfId="13" applyFont="1" applyFill="1" applyBorder="1" applyAlignment="1">
      <alignment horizontal="center" vertical="center" wrapText="1"/>
    </xf>
    <xf numFmtId="0" fontId="35" fillId="7" borderId="37" xfId="13" applyFont="1" applyFill="1" applyBorder="1" applyAlignment="1">
      <alignment horizontal="center" vertical="center" wrapText="1"/>
    </xf>
    <xf numFmtId="0" fontId="35" fillId="7" borderId="38" xfId="13" applyFont="1" applyFill="1" applyBorder="1" applyAlignment="1">
      <alignment horizontal="center" vertical="center" wrapText="1"/>
    </xf>
    <xf numFmtId="0" fontId="32" fillId="0" borderId="27" xfId="13" applyFont="1" applyBorder="1" applyAlignment="1">
      <alignment horizontal="center" vertical="center" wrapText="1"/>
    </xf>
    <xf numFmtId="0" fontId="32" fillId="0" borderId="28" xfId="13" applyFont="1" applyBorder="1" applyAlignment="1">
      <alignment horizontal="center" vertical="center" wrapText="1"/>
    </xf>
    <xf numFmtId="0" fontId="32" fillId="0" borderId="29" xfId="13" applyFont="1" applyBorder="1" applyAlignment="1">
      <alignment horizontal="center" vertical="center" wrapText="1"/>
    </xf>
    <xf numFmtId="0" fontId="32" fillId="0" borderId="33" xfId="13" applyFont="1" applyBorder="1" applyAlignment="1">
      <alignment horizontal="center" vertical="center" wrapText="1"/>
    </xf>
    <xf numFmtId="0" fontId="32" fillId="0" borderId="0" xfId="13" applyFont="1" applyBorder="1" applyAlignment="1">
      <alignment horizontal="center" vertical="center" wrapText="1"/>
    </xf>
    <xf numFmtId="0" fontId="32" fillId="0" borderId="34" xfId="13" applyFont="1" applyBorder="1" applyAlignment="1">
      <alignment horizontal="center" vertical="center" wrapText="1"/>
    </xf>
    <xf numFmtId="0" fontId="32" fillId="0" borderId="30" xfId="13" applyFont="1" applyBorder="1" applyAlignment="1">
      <alignment horizontal="center" vertical="center" wrapText="1"/>
    </xf>
    <xf numFmtId="0" fontId="32" fillId="0" borderId="31" xfId="13" applyFont="1" applyBorder="1" applyAlignment="1">
      <alignment horizontal="center" vertical="center" wrapText="1"/>
    </xf>
    <xf numFmtId="0" fontId="32" fillId="0" borderId="32" xfId="13" applyFont="1" applyBorder="1" applyAlignment="1">
      <alignment horizontal="center" vertical="center" wrapText="1"/>
    </xf>
    <xf numFmtId="0" fontId="37" fillId="5" borderId="0" xfId="16" applyFont="1" applyFill="1" applyAlignment="1">
      <alignment horizontal="center" vertical="center"/>
    </xf>
    <xf numFmtId="172" fontId="37" fillId="5" borderId="0" xfId="16" applyNumberFormat="1" applyFont="1" applyFill="1" applyAlignment="1">
      <alignment horizontal="center" vertical="center"/>
    </xf>
    <xf numFmtId="0" fontId="35" fillId="7" borderId="35" xfId="13" applyFont="1" applyFill="1" applyBorder="1" applyAlignment="1">
      <alignment horizontal="center" vertical="center" wrapText="1"/>
    </xf>
    <xf numFmtId="0" fontId="37" fillId="7" borderId="36" xfId="13" applyFont="1" applyFill="1" applyBorder="1" applyAlignment="1" applyProtection="1">
      <alignment horizontal="center" vertical="center" wrapText="1"/>
    </xf>
    <xf numFmtId="0" fontId="37" fillId="7" borderId="39" xfId="13" applyFont="1" applyFill="1" applyBorder="1" applyAlignment="1" applyProtection="1">
      <alignment horizontal="center" vertical="center" wrapText="1"/>
    </xf>
    <xf numFmtId="0" fontId="37" fillId="5" borderId="0" xfId="16" applyFont="1" applyFill="1" applyBorder="1" applyAlignment="1">
      <alignment horizontal="center" vertical="center"/>
    </xf>
    <xf numFmtId="166" fontId="37" fillId="5" borderId="0" xfId="8" applyNumberFormat="1" applyFont="1" applyFill="1" applyBorder="1" applyAlignment="1">
      <alignment horizontal="center" vertical="center"/>
    </xf>
    <xf numFmtId="0" fontId="37" fillId="5" borderId="28" xfId="16" applyFont="1" applyFill="1" applyBorder="1" applyAlignment="1">
      <alignment horizontal="center" vertical="center"/>
    </xf>
    <xf numFmtId="0" fontId="9" fillId="2" borderId="0" xfId="2" applyNumberFormat="1" applyFont="1" applyFill="1" applyBorder="1" applyAlignment="1" applyProtection="1">
      <alignment horizontal="left" vertical="top"/>
    </xf>
    <xf numFmtId="0" fontId="10" fillId="2" borderId="0" xfId="2" applyNumberFormat="1" applyFont="1" applyFill="1" applyBorder="1" applyAlignment="1" applyProtection="1">
      <alignment horizontal="right" vertical="top"/>
    </xf>
    <xf numFmtId="0" fontId="6" fillId="2" borderId="0" xfId="2" applyNumberFormat="1" applyFont="1" applyFill="1" applyBorder="1" applyAlignment="1" applyProtection="1">
      <alignment horizontal="center" vertical="top" wrapText="1"/>
    </xf>
    <xf numFmtId="0" fontId="8" fillId="2" borderId="0" xfId="2" applyNumberFormat="1" applyFont="1" applyFill="1" applyBorder="1" applyAlignment="1" applyProtection="1">
      <alignment horizontal="center" vertical="center"/>
    </xf>
    <xf numFmtId="0" fontId="8" fillId="2" borderId="0" xfId="2" applyNumberFormat="1" applyFont="1" applyFill="1" applyBorder="1" applyAlignment="1" applyProtection="1">
      <alignment horizontal="center" vertical="top"/>
    </xf>
    <xf numFmtId="0" fontId="5" fillId="3" borderId="2" xfId="2" applyNumberFormat="1" applyFont="1" applyFill="1" applyBorder="1" applyAlignment="1" applyProtection="1">
      <alignment horizontal="center" vertical="center" wrapText="1"/>
    </xf>
    <xf numFmtId="0" fontId="5" fillId="3" borderId="24" xfId="2" applyNumberFormat="1" applyFont="1" applyFill="1" applyBorder="1" applyAlignment="1" applyProtection="1">
      <alignment horizontal="center" vertical="center" wrapText="1"/>
    </xf>
    <xf numFmtId="0" fontId="5" fillId="3" borderId="3" xfId="2" applyNumberFormat="1" applyFont="1" applyFill="1" applyBorder="1" applyAlignment="1" applyProtection="1">
      <alignment horizontal="center" vertical="center" wrapText="1"/>
    </xf>
    <xf numFmtId="0" fontId="5" fillId="3" borderId="25"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center"/>
    </xf>
    <xf numFmtId="0" fontId="7" fillId="2" borderId="0" xfId="2" applyNumberFormat="1" applyFont="1" applyFill="1" applyBorder="1" applyAlignment="1" applyProtection="1">
      <alignment horizontal="center"/>
    </xf>
    <xf numFmtId="0" fontId="4" fillId="2" borderId="1"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xf>
    <xf numFmtId="0" fontId="4" fillId="2" borderId="23" xfId="2" applyNumberFormat="1" applyFont="1" applyFill="1" applyBorder="1" applyAlignment="1" applyProtection="1">
      <alignment horizontal="left" vertical="top"/>
    </xf>
    <xf numFmtId="0" fontId="39" fillId="2" borderId="6" xfId="0" applyNumberFormat="1" applyFont="1" applyFill="1" applyBorder="1" applyAlignment="1" applyProtection="1">
      <alignment horizontal="center" vertical="center"/>
    </xf>
    <xf numFmtId="164" fontId="40" fillId="2" borderId="6" xfId="2" applyNumberFormat="1" applyFont="1" applyFill="1" applyBorder="1" applyAlignment="1" applyProtection="1">
      <alignment horizontal="center" vertical="top"/>
    </xf>
    <xf numFmtId="164" fontId="39" fillId="2" borderId="6" xfId="2" applyNumberFormat="1" applyFont="1" applyFill="1" applyBorder="1" applyAlignment="1" applyProtection="1">
      <alignment horizontal="center" vertical="top"/>
    </xf>
    <xf numFmtId="164" fontId="41" fillId="2" borderId="6" xfId="2" applyNumberFormat="1" applyFont="1" applyFill="1" applyBorder="1" applyAlignment="1" applyProtection="1">
      <alignment horizontal="center" vertical="top"/>
    </xf>
    <xf numFmtId="164" fontId="39" fillId="2" borderId="9" xfId="2" applyNumberFormat="1" applyFont="1" applyFill="1" applyBorder="1" applyAlignment="1" applyProtection="1">
      <alignment horizontal="center" vertical="top"/>
    </xf>
    <xf numFmtId="0" fontId="40" fillId="2" borderId="6" xfId="0" applyNumberFormat="1" applyFont="1" applyFill="1" applyBorder="1" applyAlignment="1" applyProtection="1">
      <alignment horizontal="center" vertical="top"/>
    </xf>
    <xf numFmtId="0" fontId="39" fillId="2" borderId="6" xfId="0" applyNumberFormat="1" applyFont="1" applyFill="1" applyBorder="1" applyAlignment="1" applyProtection="1">
      <alignment horizontal="center" vertical="top"/>
    </xf>
    <xf numFmtId="0" fontId="40" fillId="2" borderId="9" xfId="0" applyNumberFormat="1" applyFont="1" applyFill="1" applyBorder="1" applyAlignment="1" applyProtection="1">
      <alignment horizontal="center" vertical="top"/>
    </xf>
    <xf numFmtId="0" fontId="39" fillId="2" borderId="9" xfId="0" applyNumberFormat="1" applyFont="1" applyFill="1" applyBorder="1" applyAlignment="1" applyProtection="1">
      <alignment horizontal="center" vertical="top"/>
    </xf>
    <xf numFmtId="14" fontId="5" fillId="2" borderId="0" xfId="2" applyNumberFormat="1" applyFont="1" applyFill="1" applyBorder="1" applyAlignment="1" applyProtection="1">
      <alignment horizontal="left" vertical="center"/>
    </xf>
    <xf numFmtId="15" fontId="4" fillId="2" borderId="0" xfId="2" applyNumberFormat="1" applyFont="1" applyFill="1" applyBorder="1" applyAlignment="1" applyProtection="1">
      <alignment horizontal="left" vertical="center"/>
    </xf>
    <xf numFmtId="14" fontId="5" fillId="2" borderId="0" xfId="2" applyNumberFormat="1" applyFont="1" applyFill="1" applyBorder="1" applyAlignment="1" applyProtection="1">
      <alignment horizontal="left" vertical="top" wrapText="1"/>
    </xf>
  </cellXfs>
  <cellStyles count="18">
    <cellStyle name="Comma 13" xfId="7"/>
    <cellStyle name="Comma 2" xfId="3"/>
    <cellStyle name="Comma 4" xfId="8"/>
    <cellStyle name="Currency [0] 2" xfId="9"/>
    <cellStyle name="Hyperlink" xfId="6" builtinId="8"/>
    <cellStyle name="Normal" xfId="0" builtinId="0"/>
    <cellStyle name="Normal 2" xfId="1"/>
    <cellStyle name="Normal 2 2" xfId="10"/>
    <cellStyle name="Normal 3" xfId="2"/>
    <cellStyle name="Normal 3 2" xfId="11"/>
    <cellStyle name="Normal 3 2 2" xfId="12"/>
    <cellStyle name="Normal 3 2 3" xfId="13"/>
    <cellStyle name="Normal 4" xfId="14"/>
    <cellStyle name="Normal 5" xfId="15"/>
    <cellStyle name="Normal 6" xfId="4"/>
    <cellStyle name="Normal_Bao cao tai chinh 280405" xfId="5"/>
    <cellStyle name="Normal_Bao cao tai chinh 280405 2" xfId="16"/>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809625</xdr:colOff>
      <xdr:row>0</xdr:row>
      <xdr:rowOff>19050</xdr:rowOff>
    </xdr:from>
    <xdr:to>
      <xdr:col>1</xdr:col>
      <xdr:colOff>1724025</xdr:colOff>
      <xdr:row>0</xdr:row>
      <xdr:rowOff>533400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5375" y="19050"/>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266700</xdr:colOff>
      <xdr:row>0</xdr:row>
      <xdr:rowOff>19050</xdr:rowOff>
    </xdr:from>
    <xdr:to>
      <xdr:col>1</xdr:col>
      <xdr:colOff>847725</xdr:colOff>
      <xdr:row>0</xdr:row>
      <xdr:rowOff>504825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1905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0</xdr:row>
      <xdr:rowOff>38100</xdr:rowOff>
    </xdr:from>
    <xdr:to>
      <xdr:col>1</xdr:col>
      <xdr:colOff>838200</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38100"/>
          <a:ext cx="7905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4200525"/>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123825</xdr:colOff>
      <xdr:row>0</xdr:row>
      <xdr:rowOff>47626</xdr:rowOff>
    </xdr:from>
    <xdr:to>
      <xdr:col>1</xdr:col>
      <xdr:colOff>1009651</xdr:colOff>
      <xdr:row>1</xdr:row>
      <xdr:rowOff>236872</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 y="47626"/>
          <a:ext cx="885826" cy="4940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371475</xdr:colOff>
      <xdr:row>0</xdr:row>
      <xdr:rowOff>19050</xdr:rowOff>
    </xdr:from>
    <xdr:to>
      <xdr:col>1</xdr:col>
      <xdr:colOff>933450</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19050"/>
          <a:ext cx="9429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1685925</xdr:colOff>
      <xdr:row>0</xdr:row>
      <xdr:rowOff>581025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0"/>
          <a:ext cx="10001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66675</xdr:colOff>
      <xdr:row>0</xdr:row>
      <xdr:rowOff>66675</xdr:rowOff>
    </xdr:from>
    <xdr:to>
      <xdr:col>1</xdr:col>
      <xdr:colOff>1028700</xdr:colOff>
      <xdr:row>1</xdr:row>
      <xdr:rowOff>38100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66675"/>
          <a:ext cx="9620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1</xdr:col>
      <xdr:colOff>914400</xdr:colOff>
      <xdr:row>0</xdr:row>
      <xdr:rowOff>457200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0"/>
          <a:ext cx="866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H41" sqref="H41"/>
    </sheetView>
  </sheetViews>
  <sheetFormatPr defaultRowHeight="15" x14ac:dyDescent="0.25"/>
  <cols>
    <col min="1" max="1" width="11.85546875" style="143" customWidth="1"/>
    <col min="2" max="2" width="6.140625" style="143" customWidth="1"/>
    <col min="3" max="3" width="11.42578125" style="143" customWidth="1"/>
    <col min="4" max="4" width="24.28515625" style="143" customWidth="1"/>
    <col min="5" max="5" width="23.140625" style="143" customWidth="1"/>
    <col min="6" max="6" width="5.28515625" style="143" customWidth="1"/>
    <col min="7" max="7" width="24.5703125" style="143" customWidth="1"/>
    <col min="8" max="8" width="21.42578125" style="143" customWidth="1"/>
    <col min="9" max="9" width="12.85546875" style="143" customWidth="1"/>
    <col min="10" max="16384" width="9.140625" style="143"/>
  </cols>
  <sheetData>
    <row r="1" spans="1:10" ht="15.75" x14ac:dyDescent="0.25">
      <c r="A1" s="235" t="s">
        <v>728</v>
      </c>
      <c r="B1" s="235"/>
    </row>
    <row r="2" spans="1:10" ht="15.75" x14ac:dyDescent="0.25">
      <c r="C2" s="236" t="s">
        <v>776</v>
      </c>
      <c r="D2" s="237"/>
      <c r="E2" s="238"/>
    </row>
    <row r="3" spans="1:10" ht="15.75" x14ac:dyDescent="0.25">
      <c r="A3" s="144"/>
      <c r="B3" s="144"/>
      <c r="C3" s="239" t="s">
        <v>777</v>
      </c>
      <c r="D3" s="240"/>
      <c r="E3" s="241"/>
    </row>
    <row r="4" spans="1:10" x14ac:dyDescent="0.25">
      <c r="A4" s="145"/>
      <c r="B4" s="145"/>
    </row>
    <row r="5" spans="1:10" ht="15.75" x14ac:dyDescent="0.25">
      <c r="A5" s="242" t="s">
        <v>729</v>
      </c>
      <c r="B5" s="242"/>
      <c r="E5" s="146"/>
      <c r="F5" s="146"/>
      <c r="G5" s="146"/>
      <c r="H5" s="146"/>
      <c r="I5" s="146"/>
    </row>
    <row r="6" spans="1:10" ht="15.75" x14ac:dyDescent="0.25">
      <c r="A6" s="144"/>
      <c r="B6" s="144"/>
      <c r="C6" s="243" t="s">
        <v>10</v>
      </c>
      <c r="D6" s="244"/>
      <c r="E6" s="147" t="s">
        <v>730</v>
      </c>
      <c r="F6" s="148"/>
      <c r="G6" s="148"/>
      <c r="H6" s="148"/>
      <c r="I6" s="149"/>
    </row>
    <row r="7" spans="1:10" ht="15.75" x14ac:dyDescent="0.25">
      <c r="A7" s="144"/>
      <c r="B7" s="144"/>
      <c r="C7" s="233" t="s">
        <v>12</v>
      </c>
      <c r="D7" s="234"/>
      <c r="E7" s="150" t="s">
        <v>13</v>
      </c>
      <c r="F7" s="151"/>
      <c r="G7" s="151"/>
      <c r="H7" s="151"/>
      <c r="I7" s="152"/>
      <c r="J7" s="153"/>
    </row>
    <row r="8" spans="1:10" ht="15.75" x14ac:dyDescent="0.25">
      <c r="A8" s="144"/>
      <c r="B8" s="144"/>
      <c r="C8" s="245" t="s">
        <v>15</v>
      </c>
      <c r="D8" s="246"/>
      <c r="E8" s="154" t="s">
        <v>731</v>
      </c>
      <c r="F8" s="155"/>
      <c r="G8" s="155"/>
      <c r="H8" s="155"/>
      <c r="I8" s="156"/>
      <c r="J8" s="153"/>
    </row>
    <row r="9" spans="1:10" ht="15.75" x14ac:dyDescent="0.25">
      <c r="A9" s="144"/>
      <c r="B9" s="144"/>
      <c r="C9" s="233" t="s">
        <v>732</v>
      </c>
      <c r="D9" s="234"/>
      <c r="E9" s="150" t="s">
        <v>361</v>
      </c>
      <c r="F9" s="151"/>
      <c r="G9" s="151"/>
      <c r="H9" s="151"/>
      <c r="I9" s="152"/>
      <c r="J9" s="153"/>
    </row>
    <row r="10" spans="1:10" ht="15.75" x14ac:dyDescent="0.25">
      <c r="A10" s="144"/>
      <c r="B10" s="144"/>
      <c r="C10" s="245" t="s">
        <v>295</v>
      </c>
      <c r="D10" s="246"/>
      <c r="E10" s="154" t="s">
        <v>733</v>
      </c>
      <c r="F10" s="155"/>
      <c r="G10" s="155"/>
      <c r="H10" s="155"/>
      <c r="I10" s="156"/>
      <c r="J10" s="153"/>
    </row>
    <row r="11" spans="1:10" ht="15.75" x14ac:dyDescent="0.25">
      <c r="A11" s="144"/>
      <c r="B11" s="144"/>
      <c r="C11" s="233" t="s">
        <v>734</v>
      </c>
      <c r="D11" s="234"/>
      <c r="E11" s="150" t="s">
        <v>735</v>
      </c>
      <c r="F11" s="151"/>
      <c r="G11" s="151"/>
      <c r="H11" s="151"/>
      <c r="I11" s="152"/>
      <c r="J11" s="153"/>
    </row>
    <row r="12" spans="1:10" ht="15.75" x14ac:dyDescent="0.25">
      <c r="A12" s="144"/>
      <c r="B12" s="144"/>
      <c r="C12" s="245" t="s">
        <v>20</v>
      </c>
      <c r="D12" s="246"/>
      <c r="E12" s="157">
        <v>44259</v>
      </c>
      <c r="F12" s="155"/>
      <c r="G12" s="155"/>
      <c r="H12" s="155"/>
      <c r="I12" s="156"/>
      <c r="J12" s="153"/>
    </row>
    <row r="13" spans="1:10" ht="15.75" x14ac:dyDescent="0.25">
      <c r="A13" s="144"/>
      <c r="B13" s="144"/>
      <c r="C13" s="254" t="s">
        <v>21</v>
      </c>
      <c r="D13" s="240"/>
      <c r="E13" s="247">
        <f>+E12</f>
        <v>44259</v>
      </c>
      <c r="F13" s="247"/>
      <c r="G13" s="247"/>
      <c r="H13" s="247"/>
      <c r="I13" s="158"/>
      <c r="J13" s="153"/>
    </row>
    <row r="14" spans="1:10" ht="15.75" x14ac:dyDescent="0.25">
      <c r="C14" s="146"/>
      <c r="D14" s="159"/>
      <c r="E14" s="146"/>
      <c r="F14" s="146"/>
      <c r="G14" s="146"/>
      <c r="H14" s="146"/>
      <c r="I14" s="146"/>
      <c r="J14" s="146"/>
    </row>
    <row r="15" spans="1:10" ht="15.75" x14ac:dyDescent="0.25">
      <c r="A15" s="242" t="s">
        <v>736</v>
      </c>
      <c r="B15" s="242"/>
      <c r="E15" s="146"/>
      <c r="F15" s="146"/>
      <c r="G15" s="146"/>
      <c r="H15" s="146"/>
      <c r="I15" s="146"/>
      <c r="J15" s="146"/>
    </row>
    <row r="16" spans="1:10" ht="15.75" x14ac:dyDescent="0.25">
      <c r="C16" s="248" t="s">
        <v>98</v>
      </c>
      <c r="D16" s="249"/>
      <c r="E16" s="250"/>
      <c r="G16" s="248" t="s">
        <v>737</v>
      </c>
      <c r="H16" s="249"/>
      <c r="I16" s="250"/>
    </row>
    <row r="17" spans="1:9" ht="15.75" x14ac:dyDescent="0.25">
      <c r="A17" s="146"/>
      <c r="B17" s="146"/>
      <c r="C17" s="251" t="s">
        <v>100</v>
      </c>
      <c r="D17" s="252"/>
      <c r="E17" s="253"/>
      <c r="G17" s="251" t="s">
        <v>101</v>
      </c>
      <c r="H17" s="252"/>
      <c r="I17" s="253"/>
    </row>
    <row r="18" spans="1:9" ht="15.75" x14ac:dyDescent="0.25">
      <c r="A18" s="146"/>
      <c r="B18" s="146"/>
      <c r="C18" s="251"/>
      <c r="D18" s="252"/>
      <c r="E18" s="253"/>
      <c r="G18" s="256"/>
      <c r="H18" s="257"/>
      <c r="I18" s="258"/>
    </row>
    <row r="19" spans="1:9" ht="27" customHeight="1" x14ac:dyDescent="0.25">
      <c r="A19" s="146"/>
      <c r="B19" s="146"/>
      <c r="C19" s="251"/>
      <c r="D19" s="252"/>
      <c r="E19" s="253"/>
      <c r="G19" s="256"/>
      <c r="H19" s="257"/>
      <c r="I19" s="258"/>
    </row>
    <row r="20" spans="1:9" ht="15.75" x14ac:dyDescent="0.25">
      <c r="A20" s="146"/>
      <c r="B20" s="146"/>
      <c r="C20" s="251"/>
      <c r="D20" s="252"/>
      <c r="E20" s="253"/>
      <c r="G20" s="256"/>
      <c r="H20" s="257"/>
      <c r="I20" s="258"/>
    </row>
    <row r="21" spans="1:9" ht="15.75" x14ac:dyDescent="0.25">
      <c r="A21" s="146"/>
      <c r="B21" s="146"/>
      <c r="C21" s="251"/>
      <c r="D21" s="252"/>
      <c r="E21" s="253"/>
      <c r="G21" s="256"/>
      <c r="H21" s="257"/>
      <c r="I21" s="258"/>
    </row>
    <row r="22" spans="1:9" ht="15.75" x14ac:dyDescent="0.25">
      <c r="A22" s="146"/>
      <c r="B22" s="146"/>
      <c r="C22" s="251"/>
      <c r="D22" s="252"/>
      <c r="E22" s="253"/>
      <c r="G22" s="256"/>
      <c r="H22" s="257"/>
      <c r="I22" s="258"/>
    </row>
    <row r="23" spans="1:9" ht="15.75" x14ac:dyDescent="0.25">
      <c r="A23" s="146"/>
      <c r="B23" s="146"/>
      <c r="C23" s="251"/>
      <c r="D23" s="252"/>
      <c r="E23" s="253"/>
      <c r="G23" s="256"/>
      <c r="H23" s="257"/>
      <c r="I23" s="258"/>
    </row>
    <row r="24" spans="1:9" ht="15.75" x14ac:dyDescent="0.25">
      <c r="A24" s="146"/>
      <c r="B24" s="146"/>
      <c r="C24" s="259" t="s">
        <v>731</v>
      </c>
      <c r="D24" s="260"/>
      <c r="E24" s="261"/>
      <c r="G24" s="259" t="s">
        <v>730</v>
      </c>
      <c r="H24" s="260"/>
      <c r="I24" s="261"/>
    </row>
    <row r="25" spans="1:9" ht="15.75" x14ac:dyDescent="0.25">
      <c r="A25" s="146"/>
      <c r="B25" s="146"/>
      <c r="C25" s="259" t="s">
        <v>738</v>
      </c>
      <c r="D25" s="260"/>
      <c r="E25" s="261"/>
      <c r="G25" s="259" t="s">
        <v>105</v>
      </c>
      <c r="H25" s="260"/>
      <c r="I25" s="261"/>
    </row>
    <row r="26" spans="1:9" ht="15.75" x14ac:dyDescent="0.25">
      <c r="A26" s="146"/>
      <c r="B26" s="146"/>
      <c r="C26" s="262" t="s">
        <v>739</v>
      </c>
      <c r="D26" s="263"/>
      <c r="E26" s="264"/>
      <c r="G26" s="262" t="s">
        <v>740</v>
      </c>
      <c r="H26" s="263"/>
      <c r="I26" s="264"/>
    </row>
    <row r="27" spans="1:9" ht="15.75" x14ac:dyDescent="0.25">
      <c r="A27" s="146"/>
      <c r="B27" s="146"/>
      <c r="C27" s="160"/>
      <c r="D27" s="160"/>
      <c r="E27" s="160"/>
      <c r="G27" s="161"/>
      <c r="H27" s="161"/>
      <c r="I27" s="161"/>
    </row>
    <row r="28" spans="1:9" ht="15.75" x14ac:dyDescent="0.25">
      <c r="A28" s="146"/>
      <c r="B28" s="146"/>
      <c r="C28" s="160"/>
      <c r="D28" s="160"/>
      <c r="E28" s="160"/>
      <c r="G28" s="161"/>
      <c r="H28" s="161"/>
      <c r="I28" s="161"/>
    </row>
    <row r="29" spans="1:9" ht="15.75" x14ac:dyDescent="0.25">
      <c r="A29" s="146"/>
      <c r="B29" s="146"/>
      <c r="C29" s="162" t="s">
        <v>91</v>
      </c>
      <c r="D29" s="265" t="s">
        <v>741</v>
      </c>
      <c r="E29" s="265"/>
      <c r="F29" s="265"/>
      <c r="G29" s="265"/>
      <c r="H29" s="163" t="s">
        <v>742</v>
      </c>
      <c r="I29" s="161"/>
    </row>
    <row r="30" spans="1:9" ht="15.75" x14ac:dyDescent="0.25">
      <c r="A30" s="146"/>
      <c r="B30" s="146"/>
      <c r="C30" s="162" t="s">
        <v>743</v>
      </c>
      <c r="D30" s="265" t="s">
        <v>744</v>
      </c>
      <c r="E30" s="265"/>
      <c r="F30" s="265"/>
      <c r="G30" s="265"/>
      <c r="H30" s="163"/>
      <c r="I30" s="161"/>
    </row>
    <row r="31" spans="1:9" ht="15.75" x14ac:dyDescent="0.25">
      <c r="A31" s="146"/>
      <c r="B31" s="146"/>
      <c r="C31" s="164" t="s">
        <v>745</v>
      </c>
      <c r="D31" s="255" t="s">
        <v>746</v>
      </c>
      <c r="E31" s="255"/>
      <c r="F31" s="255"/>
      <c r="G31" s="255"/>
      <c r="H31" s="165" t="s">
        <v>747</v>
      </c>
      <c r="I31" s="161"/>
    </row>
    <row r="32" spans="1:9" ht="15.75" x14ac:dyDescent="0.25">
      <c r="A32" s="146"/>
      <c r="B32" s="146"/>
      <c r="C32" s="164" t="s">
        <v>748</v>
      </c>
      <c r="D32" s="255" t="s">
        <v>749</v>
      </c>
      <c r="E32" s="255"/>
      <c r="F32" s="255"/>
      <c r="G32" s="255"/>
      <c r="H32" s="165" t="s">
        <v>750</v>
      </c>
      <c r="I32" s="161"/>
    </row>
    <row r="33" spans="1:9" ht="15.75" x14ac:dyDescent="0.25">
      <c r="A33" s="146"/>
      <c r="B33" s="146"/>
      <c r="C33" s="164" t="s">
        <v>751</v>
      </c>
      <c r="D33" s="255" t="s">
        <v>752</v>
      </c>
      <c r="E33" s="255"/>
      <c r="F33" s="255"/>
      <c r="G33" s="255"/>
      <c r="H33" s="165" t="s">
        <v>753</v>
      </c>
      <c r="I33" s="161"/>
    </row>
    <row r="34" spans="1:9" ht="15.75" x14ac:dyDescent="0.25">
      <c r="A34" s="146"/>
      <c r="B34" s="146"/>
      <c r="C34" s="164" t="s">
        <v>754</v>
      </c>
      <c r="D34" s="255" t="s">
        <v>755</v>
      </c>
      <c r="E34" s="255"/>
      <c r="F34" s="255"/>
      <c r="G34" s="255"/>
      <c r="H34" s="165" t="s">
        <v>756</v>
      </c>
      <c r="I34" s="161"/>
    </row>
    <row r="35" spans="1:9" ht="15.75" x14ac:dyDescent="0.25">
      <c r="A35" s="146"/>
      <c r="B35" s="146"/>
      <c r="C35" s="164" t="s">
        <v>757</v>
      </c>
      <c r="D35" s="255" t="s">
        <v>758</v>
      </c>
      <c r="E35" s="255"/>
      <c r="F35" s="255"/>
      <c r="G35" s="255"/>
      <c r="H35" s="165" t="s">
        <v>759</v>
      </c>
      <c r="I35" s="161"/>
    </row>
    <row r="36" spans="1:9" ht="15.75" x14ac:dyDescent="0.25">
      <c r="A36" s="146"/>
      <c r="B36" s="146"/>
      <c r="C36" s="164" t="s">
        <v>760</v>
      </c>
      <c r="D36" s="255" t="s">
        <v>761</v>
      </c>
      <c r="E36" s="255"/>
      <c r="F36" s="255"/>
      <c r="G36" s="255"/>
      <c r="H36" s="166" t="s">
        <v>762</v>
      </c>
      <c r="I36" s="161"/>
    </row>
    <row r="37" spans="1:9" ht="15.75" x14ac:dyDescent="0.25">
      <c r="A37" s="146"/>
      <c r="B37" s="146"/>
      <c r="C37" s="164" t="s">
        <v>763</v>
      </c>
      <c r="D37" s="255" t="s">
        <v>764</v>
      </c>
      <c r="E37" s="255"/>
      <c r="F37" s="255"/>
      <c r="G37" s="255"/>
      <c r="H37" s="167" t="s">
        <v>765</v>
      </c>
      <c r="I37" s="161"/>
    </row>
    <row r="38" spans="1:9" ht="15.75" x14ac:dyDescent="0.25">
      <c r="A38" s="146"/>
      <c r="B38" s="146"/>
      <c r="C38" s="164" t="s">
        <v>766</v>
      </c>
      <c r="D38" s="255" t="s">
        <v>767</v>
      </c>
      <c r="E38" s="255"/>
      <c r="F38" s="255"/>
      <c r="G38" s="255"/>
      <c r="H38" s="167" t="s">
        <v>765</v>
      </c>
      <c r="I38" s="161"/>
    </row>
    <row r="39" spans="1:9" ht="15.75" x14ac:dyDescent="0.25">
      <c r="A39" s="146"/>
      <c r="B39" s="146"/>
      <c r="C39" s="162" t="s">
        <v>768</v>
      </c>
      <c r="D39" s="266" t="s">
        <v>769</v>
      </c>
      <c r="E39" s="266"/>
      <c r="F39" s="266"/>
      <c r="G39" s="266"/>
      <c r="H39" s="167" t="s">
        <v>765</v>
      </c>
      <c r="I39" s="161"/>
    </row>
    <row r="40" spans="1:9" ht="15.75" x14ac:dyDescent="0.25">
      <c r="A40" s="146"/>
      <c r="B40" s="146"/>
      <c r="C40" s="164">
        <v>6</v>
      </c>
      <c r="D40" s="255" t="s">
        <v>770</v>
      </c>
      <c r="E40" s="255"/>
      <c r="F40" s="255"/>
      <c r="G40" s="255"/>
      <c r="H40" s="165" t="s">
        <v>771</v>
      </c>
      <c r="I40" s="161"/>
    </row>
    <row r="41" spans="1:9" ht="15.75" x14ac:dyDescent="0.25">
      <c r="A41" s="146"/>
      <c r="B41" s="146"/>
      <c r="C41" s="164">
        <v>7</v>
      </c>
      <c r="D41" s="255" t="s">
        <v>772</v>
      </c>
      <c r="E41" s="255"/>
      <c r="F41" s="255"/>
      <c r="G41" s="255"/>
      <c r="H41" s="165" t="s">
        <v>773</v>
      </c>
      <c r="I41" s="161"/>
    </row>
    <row r="42" spans="1:9" ht="15.75" x14ac:dyDescent="0.25">
      <c r="A42" s="146"/>
      <c r="B42" s="146"/>
      <c r="C42" s="164">
        <v>8</v>
      </c>
      <c r="D42" s="255" t="s">
        <v>774</v>
      </c>
      <c r="E42" s="255"/>
      <c r="F42" s="255"/>
      <c r="G42" s="255"/>
      <c r="H42" s="168" t="s">
        <v>775</v>
      </c>
      <c r="I42" s="161"/>
    </row>
    <row r="43" spans="1:9" ht="15.75" x14ac:dyDescent="0.25">
      <c r="A43" s="146"/>
      <c r="B43" s="146"/>
      <c r="C43" s="160"/>
      <c r="D43" s="160"/>
      <c r="E43" s="160"/>
      <c r="G43" s="161"/>
      <c r="H43" s="161"/>
      <c r="I43" s="161"/>
    </row>
    <row r="44" spans="1:9" ht="15.75" x14ac:dyDescent="0.25">
      <c r="A44" s="146"/>
      <c r="B44" s="146"/>
      <c r="C44" s="160"/>
      <c r="D44" s="160"/>
      <c r="E44" s="160"/>
      <c r="G44" s="161"/>
      <c r="H44" s="161"/>
      <c r="I44" s="161"/>
    </row>
    <row r="45" spans="1:9" ht="15.75" x14ac:dyDescent="0.25">
      <c r="A45" s="146"/>
      <c r="B45" s="146"/>
      <c r="C45" s="160"/>
      <c r="D45" s="160"/>
      <c r="E45" s="160"/>
      <c r="G45" s="161"/>
      <c r="H45" s="161"/>
      <c r="I45" s="161"/>
    </row>
    <row r="46" spans="1:9" ht="15.75" x14ac:dyDescent="0.25">
      <c r="A46" s="146"/>
      <c r="B46" s="146"/>
      <c r="C46" s="160"/>
      <c r="D46" s="160"/>
      <c r="E46" s="160"/>
      <c r="G46" s="161"/>
      <c r="H46" s="161"/>
      <c r="I46" s="161"/>
    </row>
    <row r="47" spans="1:9" ht="15.75" x14ac:dyDescent="0.25">
      <c r="A47" s="146"/>
      <c r="B47" s="146"/>
      <c r="C47" s="160"/>
      <c r="D47" s="160"/>
      <c r="E47" s="160"/>
      <c r="G47" s="161"/>
      <c r="H47" s="161"/>
      <c r="I47" s="161"/>
    </row>
    <row r="48" spans="1:9" ht="15.75" x14ac:dyDescent="0.25">
      <c r="A48" s="146"/>
      <c r="B48" s="146"/>
      <c r="C48" s="160"/>
      <c r="D48" s="160"/>
      <c r="E48" s="160"/>
      <c r="G48" s="161"/>
      <c r="H48" s="161"/>
      <c r="I48" s="161"/>
    </row>
    <row r="49" spans="1:9" ht="15.75" x14ac:dyDescent="0.25">
      <c r="A49" s="146"/>
      <c r="B49" s="146"/>
      <c r="C49" s="160"/>
      <c r="D49" s="160"/>
      <c r="E49" s="160"/>
      <c r="G49" s="161"/>
      <c r="H49" s="161"/>
      <c r="I49" s="161"/>
    </row>
    <row r="50" spans="1:9" ht="15.75" x14ac:dyDescent="0.25">
      <c r="A50" s="146"/>
      <c r="B50" s="146"/>
      <c r="C50" s="160"/>
      <c r="D50" s="160"/>
      <c r="E50" s="160"/>
      <c r="G50" s="161"/>
      <c r="H50" s="161"/>
      <c r="I50" s="161"/>
    </row>
    <row r="51" spans="1:9" ht="15.75" x14ac:dyDescent="0.25">
      <c r="B51" s="169"/>
      <c r="C51" s="170"/>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6"/>
  <sheetViews>
    <sheetView showGridLines="0" showZeros="0" showOutlineSymbols="0" view="pageBreakPreview" topLeftCell="A15" zoomScaleNormal="100" zoomScaleSheetLayoutView="100" workbookViewId="0">
      <selection activeCell="D34" sqref="D34"/>
    </sheetView>
  </sheetViews>
  <sheetFormatPr defaultRowHeight="10.5" x14ac:dyDescent="0.25"/>
  <cols>
    <col min="1" max="1" width="4.28515625" style="3" customWidth="1"/>
    <col min="2" max="2" width="41.5703125" style="3" customWidth="1"/>
    <col min="3" max="3" width="8.42578125" style="3" customWidth="1"/>
    <col min="4" max="5" width="18.5703125" style="3" customWidth="1"/>
    <col min="6" max="6" width="11.42578125" style="3" customWidth="1"/>
    <col min="7" max="256" width="9.140625" style="3"/>
    <col min="257" max="257" width="4.28515625" style="3" customWidth="1"/>
    <col min="258" max="258" width="42.28515625" style="3" customWidth="1"/>
    <col min="259" max="259" width="9.140625" style="3"/>
    <col min="260" max="261" width="18.5703125" style="3" customWidth="1"/>
    <col min="262" max="262" width="11.42578125" style="3" customWidth="1"/>
    <col min="263" max="512" width="9.140625" style="3"/>
    <col min="513" max="513" width="4.28515625" style="3" customWidth="1"/>
    <col min="514" max="514" width="42.28515625" style="3" customWidth="1"/>
    <col min="515" max="515" width="9.140625" style="3"/>
    <col min="516" max="517" width="18.5703125" style="3" customWidth="1"/>
    <col min="518" max="518" width="11.42578125" style="3" customWidth="1"/>
    <col min="519" max="768" width="9.140625" style="3"/>
    <col min="769" max="769" width="4.28515625" style="3" customWidth="1"/>
    <col min="770" max="770" width="42.28515625" style="3" customWidth="1"/>
    <col min="771" max="771" width="9.140625" style="3"/>
    <col min="772" max="773" width="18.5703125" style="3" customWidth="1"/>
    <col min="774" max="774" width="11.42578125" style="3" customWidth="1"/>
    <col min="775" max="1024" width="9.140625" style="3"/>
    <col min="1025" max="1025" width="4.28515625" style="3" customWidth="1"/>
    <col min="1026" max="1026" width="42.28515625" style="3" customWidth="1"/>
    <col min="1027" max="1027" width="9.140625" style="3"/>
    <col min="1028" max="1029" width="18.5703125" style="3" customWidth="1"/>
    <col min="1030" max="1030" width="11.42578125" style="3" customWidth="1"/>
    <col min="1031" max="1280" width="9.140625" style="3"/>
    <col min="1281" max="1281" width="4.28515625" style="3" customWidth="1"/>
    <col min="1282" max="1282" width="42.28515625" style="3" customWidth="1"/>
    <col min="1283" max="1283" width="9.140625" style="3"/>
    <col min="1284" max="1285" width="18.5703125" style="3" customWidth="1"/>
    <col min="1286" max="1286" width="11.42578125" style="3" customWidth="1"/>
    <col min="1287" max="1536" width="9.140625" style="3"/>
    <col min="1537" max="1537" width="4.28515625" style="3" customWidth="1"/>
    <col min="1538" max="1538" width="42.28515625" style="3" customWidth="1"/>
    <col min="1539" max="1539" width="9.140625" style="3"/>
    <col min="1540" max="1541" width="18.5703125" style="3" customWidth="1"/>
    <col min="1542" max="1542" width="11.42578125" style="3" customWidth="1"/>
    <col min="1543" max="1792" width="9.140625" style="3"/>
    <col min="1793" max="1793" width="4.28515625" style="3" customWidth="1"/>
    <col min="1794" max="1794" width="42.28515625" style="3" customWidth="1"/>
    <col min="1795" max="1795" width="9.140625" style="3"/>
    <col min="1796" max="1797" width="18.5703125" style="3" customWidth="1"/>
    <col min="1798" max="1798" width="11.42578125" style="3" customWidth="1"/>
    <col min="1799" max="2048" width="9.140625" style="3"/>
    <col min="2049" max="2049" width="4.28515625" style="3" customWidth="1"/>
    <col min="2050" max="2050" width="42.28515625" style="3" customWidth="1"/>
    <col min="2051" max="2051" width="9.140625" style="3"/>
    <col min="2052" max="2053" width="18.5703125" style="3" customWidth="1"/>
    <col min="2054" max="2054" width="11.42578125" style="3" customWidth="1"/>
    <col min="2055" max="2304" width="9.140625" style="3"/>
    <col min="2305" max="2305" width="4.28515625" style="3" customWidth="1"/>
    <col min="2306" max="2306" width="42.28515625" style="3" customWidth="1"/>
    <col min="2307" max="2307" width="9.140625" style="3"/>
    <col min="2308" max="2309" width="18.5703125" style="3" customWidth="1"/>
    <col min="2310" max="2310" width="11.42578125" style="3" customWidth="1"/>
    <col min="2311" max="2560" width="9.140625" style="3"/>
    <col min="2561" max="2561" width="4.28515625" style="3" customWidth="1"/>
    <col min="2562" max="2562" width="42.28515625" style="3" customWidth="1"/>
    <col min="2563" max="2563" width="9.140625" style="3"/>
    <col min="2564" max="2565" width="18.5703125" style="3" customWidth="1"/>
    <col min="2566" max="2566" width="11.42578125" style="3" customWidth="1"/>
    <col min="2567" max="2816" width="9.140625" style="3"/>
    <col min="2817" max="2817" width="4.28515625" style="3" customWidth="1"/>
    <col min="2818" max="2818" width="42.28515625" style="3" customWidth="1"/>
    <col min="2819" max="2819" width="9.140625" style="3"/>
    <col min="2820" max="2821" width="18.5703125" style="3" customWidth="1"/>
    <col min="2822" max="2822" width="11.42578125" style="3" customWidth="1"/>
    <col min="2823" max="3072" width="9.140625" style="3"/>
    <col min="3073" max="3073" width="4.28515625" style="3" customWidth="1"/>
    <col min="3074" max="3074" width="42.28515625" style="3" customWidth="1"/>
    <col min="3075" max="3075" width="9.140625" style="3"/>
    <col min="3076" max="3077" width="18.5703125" style="3" customWidth="1"/>
    <col min="3078" max="3078" width="11.42578125" style="3" customWidth="1"/>
    <col min="3079" max="3328" width="9.140625" style="3"/>
    <col min="3329" max="3329" width="4.28515625" style="3" customWidth="1"/>
    <col min="3330" max="3330" width="42.28515625" style="3" customWidth="1"/>
    <col min="3331" max="3331" width="9.140625" style="3"/>
    <col min="3332" max="3333" width="18.5703125" style="3" customWidth="1"/>
    <col min="3334" max="3334" width="11.42578125" style="3" customWidth="1"/>
    <col min="3335" max="3584" width="9.140625" style="3"/>
    <col min="3585" max="3585" width="4.28515625" style="3" customWidth="1"/>
    <col min="3586" max="3586" width="42.28515625" style="3" customWidth="1"/>
    <col min="3587" max="3587" width="9.140625" style="3"/>
    <col min="3588" max="3589" width="18.5703125" style="3" customWidth="1"/>
    <col min="3590" max="3590" width="11.42578125" style="3" customWidth="1"/>
    <col min="3591" max="3840" width="9.140625" style="3"/>
    <col min="3841" max="3841" width="4.28515625" style="3" customWidth="1"/>
    <col min="3842" max="3842" width="42.28515625" style="3" customWidth="1"/>
    <col min="3843" max="3843" width="9.140625" style="3"/>
    <col min="3844" max="3845" width="18.5703125" style="3" customWidth="1"/>
    <col min="3846" max="3846" width="11.42578125" style="3" customWidth="1"/>
    <col min="3847" max="4096" width="9.140625" style="3"/>
    <col min="4097" max="4097" width="4.28515625" style="3" customWidth="1"/>
    <col min="4098" max="4098" width="42.28515625" style="3" customWidth="1"/>
    <col min="4099" max="4099" width="9.140625" style="3"/>
    <col min="4100" max="4101" width="18.5703125" style="3" customWidth="1"/>
    <col min="4102" max="4102" width="11.42578125" style="3" customWidth="1"/>
    <col min="4103" max="4352" width="9.140625" style="3"/>
    <col min="4353" max="4353" width="4.28515625" style="3" customWidth="1"/>
    <col min="4354" max="4354" width="42.28515625" style="3" customWidth="1"/>
    <col min="4355" max="4355" width="9.140625" style="3"/>
    <col min="4356" max="4357" width="18.5703125" style="3" customWidth="1"/>
    <col min="4358" max="4358" width="11.42578125" style="3" customWidth="1"/>
    <col min="4359" max="4608" width="9.140625" style="3"/>
    <col min="4609" max="4609" width="4.28515625" style="3" customWidth="1"/>
    <col min="4610" max="4610" width="42.28515625" style="3" customWidth="1"/>
    <col min="4611" max="4611" width="9.140625" style="3"/>
    <col min="4612" max="4613" width="18.5703125" style="3" customWidth="1"/>
    <col min="4614" max="4614" width="11.42578125" style="3" customWidth="1"/>
    <col min="4615" max="4864" width="9.140625" style="3"/>
    <col min="4865" max="4865" width="4.28515625" style="3" customWidth="1"/>
    <col min="4866" max="4866" width="42.28515625" style="3" customWidth="1"/>
    <col min="4867" max="4867" width="9.140625" style="3"/>
    <col min="4868" max="4869" width="18.5703125" style="3" customWidth="1"/>
    <col min="4870" max="4870" width="11.42578125" style="3" customWidth="1"/>
    <col min="4871" max="5120" width="9.140625" style="3"/>
    <col min="5121" max="5121" width="4.28515625" style="3" customWidth="1"/>
    <col min="5122" max="5122" width="42.28515625" style="3" customWidth="1"/>
    <col min="5123" max="5123" width="9.140625" style="3"/>
    <col min="5124" max="5125" width="18.5703125" style="3" customWidth="1"/>
    <col min="5126" max="5126" width="11.42578125" style="3" customWidth="1"/>
    <col min="5127" max="5376" width="9.140625" style="3"/>
    <col min="5377" max="5377" width="4.28515625" style="3" customWidth="1"/>
    <col min="5378" max="5378" width="42.28515625" style="3" customWidth="1"/>
    <col min="5379" max="5379" width="9.140625" style="3"/>
    <col min="5380" max="5381" width="18.5703125" style="3" customWidth="1"/>
    <col min="5382" max="5382" width="11.42578125" style="3" customWidth="1"/>
    <col min="5383" max="5632" width="9.140625" style="3"/>
    <col min="5633" max="5633" width="4.28515625" style="3" customWidth="1"/>
    <col min="5634" max="5634" width="42.28515625" style="3" customWidth="1"/>
    <col min="5635" max="5635" width="9.140625" style="3"/>
    <col min="5636" max="5637" width="18.5703125" style="3" customWidth="1"/>
    <col min="5638" max="5638" width="11.42578125" style="3" customWidth="1"/>
    <col min="5639" max="5888" width="9.140625" style="3"/>
    <col min="5889" max="5889" width="4.28515625" style="3" customWidth="1"/>
    <col min="5890" max="5890" width="42.28515625" style="3" customWidth="1"/>
    <col min="5891" max="5891" width="9.140625" style="3"/>
    <col min="5892" max="5893" width="18.5703125" style="3" customWidth="1"/>
    <col min="5894" max="5894" width="11.42578125" style="3" customWidth="1"/>
    <col min="5895" max="6144" width="9.140625" style="3"/>
    <col min="6145" max="6145" width="4.28515625" style="3" customWidth="1"/>
    <col min="6146" max="6146" width="42.28515625" style="3" customWidth="1"/>
    <col min="6147" max="6147" width="9.140625" style="3"/>
    <col min="6148" max="6149" width="18.5703125" style="3" customWidth="1"/>
    <col min="6150" max="6150" width="11.42578125" style="3" customWidth="1"/>
    <col min="6151" max="6400" width="9.140625" style="3"/>
    <col min="6401" max="6401" width="4.28515625" style="3" customWidth="1"/>
    <col min="6402" max="6402" width="42.28515625" style="3" customWidth="1"/>
    <col min="6403" max="6403" width="9.140625" style="3"/>
    <col min="6404" max="6405" width="18.5703125" style="3" customWidth="1"/>
    <col min="6406" max="6406" width="11.42578125" style="3" customWidth="1"/>
    <col min="6407" max="6656" width="9.140625" style="3"/>
    <col min="6657" max="6657" width="4.28515625" style="3" customWidth="1"/>
    <col min="6658" max="6658" width="42.28515625" style="3" customWidth="1"/>
    <col min="6659" max="6659" width="9.140625" style="3"/>
    <col min="6660" max="6661" width="18.5703125" style="3" customWidth="1"/>
    <col min="6662" max="6662" width="11.42578125" style="3" customWidth="1"/>
    <col min="6663" max="6912" width="9.140625" style="3"/>
    <col min="6913" max="6913" width="4.28515625" style="3" customWidth="1"/>
    <col min="6914" max="6914" width="42.28515625" style="3" customWidth="1"/>
    <col min="6915" max="6915" width="9.140625" style="3"/>
    <col min="6916" max="6917" width="18.5703125" style="3" customWidth="1"/>
    <col min="6918" max="6918" width="11.42578125" style="3" customWidth="1"/>
    <col min="6919" max="7168" width="9.140625" style="3"/>
    <col min="7169" max="7169" width="4.28515625" style="3" customWidth="1"/>
    <col min="7170" max="7170" width="42.28515625" style="3" customWidth="1"/>
    <col min="7171" max="7171" width="9.140625" style="3"/>
    <col min="7172" max="7173" width="18.5703125" style="3" customWidth="1"/>
    <col min="7174" max="7174" width="11.42578125" style="3" customWidth="1"/>
    <col min="7175" max="7424" width="9.140625" style="3"/>
    <col min="7425" max="7425" width="4.28515625" style="3" customWidth="1"/>
    <col min="7426" max="7426" width="42.28515625" style="3" customWidth="1"/>
    <col min="7427" max="7427" width="9.140625" style="3"/>
    <col min="7428" max="7429" width="18.5703125" style="3" customWidth="1"/>
    <col min="7430" max="7430" width="11.42578125" style="3" customWidth="1"/>
    <col min="7431" max="7680" width="9.140625" style="3"/>
    <col min="7681" max="7681" width="4.28515625" style="3" customWidth="1"/>
    <col min="7682" max="7682" width="42.28515625" style="3" customWidth="1"/>
    <col min="7683" max="7683" width="9.140625" style="3"/>
    <col min="7684" max="7685" width="18.5703125" style="3" customWidth="1"/>
    <col min="7686" max="7686" width="11.42578125" style="3" customWidth="1"/>
    <col min="7687" max="7936" width="9.140625" style="3"/>
    <col min="7937" max="7937" width="4.28515625" style="3" customWidth="1"/>
    <col min="7938" max="7938" width="42.28515625" style="3" customWidth="1"/>
    <col min="7939" max="7939" width="9.140625" style="3"/>
    <col min="7940" max="7941" width="18.5703125" style="3" customWidth="1"/>
    <col min="7942" max="7942" width="11.42578125" style="3" customWidth="1"/>
    <col min="7943" max="8192" width="9.140625" style="3"/>
    <col min="8193" max="8193" width="4.28515625" style="3" customWidth="1"/>
    <col min="8194" max="8194" width="42.28515625" style="3" customWidth="1"/>
    <col min="8195" max="8195" width="9.140625" style="3"/>
    <col min="8196" max="8197" width="18.5703125" style="3" customWidth="1"/>
    <col min="8198" max="8198" width="11.42578125" style="3" customWidth="1"/>
    <col min="8199" max="8448" width="9.140625" style="3"/>
    <col min="8449" max="8449" width="4.28515625" style="3" customWidth="1"/>
    <col min="8450" max="8450" width="42.28515625" style="3" customWidth="1"/>
    <col min="8451" max="8451" width="9.140625" style="3"/>
    <col min="8452" max="8453" width="18.5703125" style="3" customWidth="1"/>
    <col min="8454" max="8454" width="11.42578125" style="3" customWidth="1"/>
    <col min="8455" max="8704" width="9.140625" style="3"/>
    <col min="8705" max="8705" width="4.28515625" style="3" customWidth="1"/>
    <col min="8706" max="8706" width="42.28515625" style="3" customWidth="1"/>
    <col min="8707" max="8707" width="9.140625" style="3"/>
    <col min="8708" max="8709" width="18.5703125" style="3" customWidth="1"/>
    <col min="8710" max="8710" width="11.42578125" style="3" customWidth="1"/>
    <col min="8711" max="8960" width="9.140625" style="3"/>
    <col min="8961" max="8961" width="4.28515625" style="3" customWidth="1"/>
    <col min="8962" max="8962" width="42.28515625" style="3" customWidth="1"/>
    <col min="8963" max="8963" width="9.140625" style="3"/>
    <col min="8964" max="8965" width="18.5703125" style="3" customWidth="1"/>
    <col min="8966" max="8966" width="11.42578125" style="3" customWidth="1"/>
    <col min="8967" max="9216" width="9.140625" style="3"/>
    <col min="9217" max="9217" width="4.28515625" style="3" customWidth="1"/>
    <col min="9218" max="9218" width="42.28515625" style="3" customWidth="1"/>
    <col min="9219" max="9219" width="9.140625" style="3"/>
    <col min="9220" max="9221" width="18.5703125" style="3" customWidth="1"/>
    <col min="9222" max="9222" width="11.42578125" style="3" customWidth="1"/>
    <col min="9223" max="9472" width="9.140625" style="3"/>
    <col min="9473" max="9473" width="4.28515625" style="3" customWidth="1"/>
    <col min="9474" max="9474" width="42.28515625" style="3" customWidth="1"/>
    <col min="9475" max="9475" width="9.140625" style="3"/>
    <col min="9476" max="9477" width="18.5703125" style="3" customWidth="1"/>
    <col min="9478" max="9478" width="11.42578125" style="3" customWidth="1"/>
    <col min="9479" max="9728" width="9.140625" style="3"/>
    <col min="9729" max="9729" width="4.28515625" style="3" customWidth="1"/>
    <col min="9730" max="9730" width="42.28515625" style="3" customWidth="1"/>
    <col min="9731" max="9731" width="9.140625" style="3"/>
    <col min="9732" max="9733" width="18.5703125" style="3" customWidth="1"/>
    <col min="9734" max="9734" width="11.42578125" style="3" customWidth="1"/>
    <col min="9735" max="9984" width="9.140625" style="3"/>
    <col min="9985" max="9985" width="4.28515625" style="3" customWidth="1"/>
    <col min="9986" max="9986" width="42.28515625" style="3" customWidth="1"/>
    <col min="9987" max="9987" width="9.140625" style="3"/>
    <col min="9988" max="9989" width="18.5703125" style="3" customWidth="1"/>
    <col min="9990" max="9990" width="11.42578125" style="3" customWidth="1"/>
    <col min="9991" max="10240" width="9.140625" style="3"/>
    <col min="10241" max="10241" width="4.28515625" style="3" customWidth="1"/>
    <col min="10242" max="10242" width="42.28515625" style="3" customWidth="1"/>
    <col min="10243" max="10243" width="9.140625" style="3"/>
    <col min="10244" max="10245" width="18.5703125" style="3" customWidth="1"/>
    <col min="10246" max="10246" width="11.42578125" style="3" customWidth="1"/>
    <col min="10247" max="10496" width="9.140625" style="3"/>
    <col min="10497" max="10497" width="4.28515625" style="3" customWidth="1"/>
    <col min="10498" max="10498" width="42.28515625" style="3" customWidth="1"/>
    <col min="10499" max="10499" width="9.140625" style="3"/>
    <col min="10500" max="10501" width="18.5703125" style="3" customWidth="1"/>
    <col min="10502" max="10502" width="11.42578125" style="3" customWidth="1"/>
    <col min="10503" max="10752" width="9.140625" style="3"/>
    <col min="10753" max="10753" width="4.28515625" style="3" customWidth="1"/>
    <col min="10754" max="10754" width="42.28515625" style="3" customWidth="1"/>
    <col min="10755" max="10755" width="9.140625" style="3"/>
    <col min="10756" max="10757" width="18.5703125" style="3" customWidth="1"/>
    <col min="10758" max="10758" width="11.42578125" style="3" customWidth="1"/>
    <col min="10759" max="11008" width="9.140625" style="3"/>
    <col min="11009" max="11009" width="4.28515625" style="3" customWidth="1"/>
    <col min="11010" max="11010" width="42.28515625" style="3" customWidth="1"/>
    <col min="11011" max="11011" width="9.140625" style="3"/>
    <col min="11012" max="11013" width="18.5703125" style="3" customWidth="1"/>
    <col min="11014" max="11014" width="11.42578125" style="3" customWidth="1"/>
    <col min="11015" max="11264" width="9.140625" style="3"/>
    <col min="11265" max="11265" width="4.28515625" style="3" customWidth="1"/>
    <col min="11266" max="11266" width="42.28515625" style="3" customWidth="1"/>
    <col min="11267" max="11267" width="9.140625" style="3"/>
    <col min="11268" max="11269" width="18.5703125" style="3" customWidth="1"/>
    <col min="11270" max="11270" width="11.42578125" style="3" customWidth="1"/>
    <col min="11271" max="11520" width="9.140625" style="3"/>
    <col min="11521" max="11521" width="4.28515625" style="3" customWidth="1"/>
    <col min="11522" max="11522" width="42.28515625" style="3" customWidth="1"/>
    <col min="11523" max="11523" width="9.140625" style="3"/>
    <col min="11524" max="11525" width="18.5703125" style="3" customWidth="1"/>
    <col min="11526" max="11526" width="11.42578125" style="3" customWidth="1"/>
    <col min="11527" max="11776" width="9.140625" style="3"/>
    <col min="11777" max="11777" width="4.28515625" style="3" customWidth="1"/>
    <col min="11778" max="11778" width="42.28515625" style="3" customWidth="1"/>
    <col min="11779" max="11779" width="9.140625" style="3"/>
    <col min="11780" max="11781" width="18.5703125" style="3" customWidth="1"/>
    <col min="11782" max="11782" width="11.42578125" style="3" customWidth="1"/>
    <col min="11783" max="12032" width="9.140625" style="3"/>
    <col min="12033" max="12033" width="4.28515625" style="3" customWidth="1"/>
    <col min="12034" max="12034" width="42.28515625" style="3" customWidth="1"/>
    <col min="12035" max="12035" width="9.140625" style="3"/>
    <col min="12036" max="12037" width="18.5703125" style="3" customWidth="1"/>
    <col min="12038" max="12038" width="11.42578125" style="3" customWidth="1"/>
    <col min="12039" max="12288" width="9.140625" style="3"/>
    <col min="12289" max="12289" width="4.28515625" style="3" customWidth="1"/>
    <col min="12290" max="12290" width="42.28515625" style="3" customWidth="1"/>
    <col min="12291" max="12291" width="9.140625" style="3"/>
    <col min="12292" max="12293" width="18.5703125" style="3" customWidth="1"/>
    <col min="12294" max="12294" width="11.42578125" style="3" customWidth="1"/>
    <col min="12295" max="12544" width="9.140625" style="3"/>
    <col min="12545" max="12545" width="4.28515625" style="3" customWidth="1"/>
    <col min="12546" max="12546" width="42.28515625" style="3" customWidth="1"/>
    <col min="12547" max="12547" width="9.140625" style="3"/>
    <col min="12548" max="12549" width="18.5703125" style="3" customWidth="1"/>
    <col min="12550" max="12550" width="11.42578125" style="3" customWidth="1"/>
    <col min="12551" max="12800" width="9.140625" style="3"/>
    <col min="12801" max="12801" width="4.28515625" style="3" customWidth="1"/>
    <col min="12802" max="12802" width="42.28515625" style="3" customWidth="1"/>
    <col min="12803" max="12803" width="9.140625" style="3"/>
    <col min="12804" max="12805" width="18.5703125" style="3" customWidth="1"/>
    <col min="12806" max="12806" width="11.42578125" style="3" customWidth="1"/>
    <col min="12807" max="13056" width="9.140625" style="3"/>
    <col min="13057" max="13057" width="4.28515625" style="3" customWidth="1"/>
    <col min="13058" max="13058" width="42.28515625" style="3" customWidth="1"/>
    <col min="13059" max="13059" width="9.140625" style="3"/>
    <col min="13060" max="13061" width="18.5703125" style="3" customWidth="1"/>
    <col min="13062" max="13062" width="11.42578125" style="3" customWidth="1"/>
    <col min="13063" max="13312" width="9.140625" style="3"/>
    <col min="13313" max="13313" width="4.28515625" style="3" customWidth="1"/>
    <col min="13314" max="13314" width="42.28515625" style="3" customWidth="1"/>
    <col min="13315" max="13315" width="9.140625" style="3"/>
    <col min="13316" max="13317" width="18.5703125" style="3" customWidth="1"/>
    <col min="13318" max="13318" width="11.42578125" style="3" customWidth="1"/>
    <col min="13319" max="13568" width="9.140625" style="3"/>
    <col min="13569" max="13569" width="4.28515625" style="3" customWidth="1"/>
    <col min="13570" max="13570" width="42.28515625" style="3" customWidth="1"/>
    <col min="13571" max="13571" width="9.140625" style="3"/>
    <col min="13572" max="13573" width="18.5703125" style="3" customWidth="1"/>
    <col min="13574" max="13574" width="11.42578125" style="3" customWidth="1"/>
    <col min="13575" max="13824" width="9.140625" style="3"/>
    <col min="13825" max="13825" width="4.28515625" style="3" customWidth="1"/>
    <col min="13826" max="13826" width="42.28515625" style="3" customWidth="1"/>
    <col min="13827" max="13827" width="9.140625" style="3"/>
    <col min="13828" max="13829" width="18.5703125" style="3" customWidth="1"/>
    <col min="13830" max="13830" width="11.42578125" style="3" customWidth="1"/>
    <col min="13831" max="14080" width="9.140625" style="3"/>
    <col min="14081" max="14081" width="4.28515625" style="3" customWidth="1"/>
    <col min="14082" max="14082" width="42.28515625" style="3" customWidth="1"/>
    <col min="14083" max="14083" width="9.140625" style="3"/>
    <col min="14084" max="14085" width="18.5703125" style="3" customWidth="1"/>
    <col min="14086" max="14086" width="11.42578125" style="3" customWidth="1"/>
    <col min="14087" max="14336" width="9.140625" style="3"/>
    <col min="14337" max="14337" width="4.28515625" style="3" customWidth="1"/>
    <col min="14338" max="14338" width="42.28515625" style="3" customWidth="1"/>
    <col min="14339" max="14339" width="9.140625" style="3"/>
    <col min="14340" max="14341" width="18.5703125" style="3" customWidth="1"/>
    <col min="14342" max="14342" width="11.42578125" style="3" customWidth="1"/>
    <col min="14343" max="14592" width="9.140625" style="3"/>
    <col min="14593" max="14593" width="4.28515625" style="3" customWidth="1"/>
    <col min="14594" max="14594" width="42.28515625" style="3" customWidth="1"/>
    <col min="14595" max="14595" width="9.140625" style="3"/>
    <col min="14596" max="14597" width="18.5703125" style="3" customWidth="1"/>
    <col min="14598" max="14598" width="11.42578125" style="3" customWidth="1"/>
    <col min="14599" max="14848" width="9.140625" style="3"/>
    <col min="14849" max="14849" width="4.28515625" style="3" customWidth="1"/>
    <col min="14850" max="14850" width="42.28515625" style="3" customWidth="1"/>
    <col min="14851" max="14851" width="9.140625" style="3"/>
    <col min="14852" max="14853" width="18.5703125" style="3" customWidth="1"/>
    <col min="14854" max="14854" width="11.42578125" style="3" customWidth="1"/>
    <col min="14855" max="15104" width="9.140625" style="3"/>
    <col min="15105" max="15105" width="4.28515625" style="3" customWidth="1"/>
    <col min="15106" max="15106" width="42.28515625" style="3" customWidth="1"/>
    <col min="15107" max="15107" width="9.140625" style="3"/>
    <col min="15108" max="15109" width="18.5703125" style="3" customWidth="1"/>
    <col min="15110" max="15110" width="11.42578125" style="3" customWidth="1"/>
    <col min="15111" max="15360" width="9.140625" style="3"/>
    <col min="15361" max="15361" width="4.28515625" style="3" customWidth="1"/>
    <col min="15362" max="15362" width="42.28515625" style="3" customWidth="1"/>
    <col min="15363" max="15363" width="9.140625" style="3"/>
    <col min="15364" max="15365" width="18.5703125" style="3" customWidth="1"/>
    <col min="15366" max="15366" width="11.42578125" style="3" customWidth="1"/>
    <col min="15367" max="15616" width="9.140625" style="3"/>
    <col min="15617" max="15617" width="4.28515625" style="3" customWidth="1"/>
    <col min="15618" max="15618" width="42.28515625" style="3" customWidth="1"/>
    <col min="15619" max="15619" width="9.140625" style="3"/>
    <col min="15620" max="15621" width="18.5703125" style="3" customWidth="1"/>
    <col min="15622" max="15622" width="11.42578125" style="3" customWidth="1"/>
    <col min="15623" max="15872" width="9.140625" style="3"/>
    <col min="15873" max="15873" width="4.28515625" style="3" customWidth="1"/>
    <col min="15874" max="15874" width="42.28515625" style="3" customWidth="1"/>
    <col min="15875" max="15875" width="9.140625" style="3"/>
    <col min="15876" max="15877" width="18.5703125" style="3" customWidth="1"/>
    <col min="15878" max="15878" width="11.42578125" style="3" customWidth="1"/>
    <col min="15879" max="16128" width="9.140625" style="3"/>
    <col min="16129" max="16129" width="4.28515625" style="3" customWidth="1"/>
    <col min="16130" max="16130" width="42.28515625" style="3" customWidth="1"/>
    <col min="16131" max="16131" width="9.140625" style="3"/>
    <col min="16132" max="16133" width="18.5703125" style="3" customWidth="1"/>
    <col min="16134" max="16134" width="11.42578125" style="3" customWidth="1"/>
    <col min="16135" max="16384" width="9.140625" style="3"/>
  </cols>
  <sheetData>
    <row r="1" spans="1:6" ht="43.5" customHeight="1" x14ac:dyDescent="0.25">
      <c r="A1" s="268"/>
      <c r="B1" s="268"/>
      <c r="C1" s="2"/>
      <c r="D1" s="269" t="s">
        <v>0</v>
      </c>
      <c r="E1" s="269"/>
      <c r="F1" s="269"/>
    </row>
    <row r="2" spans="1:6" ht="19.5" customHeight="1" x14ac:dyDescent="0.25">
      <c r="A2" s="270" t="s">
        <v>293</v>
      </c>
      <c r="B2" s="270"/>
      <c r="C2" s="270"/>
      <c r="D2" s="270"/>
      <c r="E2" s="270"/>
      <c r="F2" s="270"/>
    </row>
    <row r="3" spans="1:6" ht="11.25" customHeight="1" x14ac:dyDescent="0.25">
      <c r="A3" s="1"/>
      <c r="B3" s="1"/>
      <c r="C3" s="1"/>
      <c r="D3" s="1"/>
      <c r="E3" s="1"/>
      <c r="F3" s="1"/>
    </row>
    <row r="4" spans="1:6" ht="27" customHeight="1" x14ac:dyDescent="0.25">
      <c r="A4" s="271" t="s">
        <v>294</v>
      </c>
      <c r="B4" s="271"/>
      <c r="C4" s="271"/>
      <c r="D4" s="271"/>
      <c r="E4" s="271"/>
      <c r="F4" s="271"/>
    </row>
    <row r="5" spans="1:6" ht="22.5" customHeight="1" x14ac:dyDescent="0.25">
      <c r="A5" s="272" t="s">
        <v>109</v>
      </c>
      <c r="B5" s="272"/>
      <c r="C5" s="272"/>
      <c r="D5" s="272"/>
      <c r="E5" s="272"/>
      <c r="F5" s="272"/>
    </row>
    <row r="6" spans="1:6" ht="15.75" customHeight="1" x14ac:dyDescent="0.25">
      <c r="A6" s="7" t="s">
        <v>4</v>
      </c>
      <c r="B6" s="37" t="s">
        <v>295</v>
      </c>
      <c r="C6" s="267" t="s">
        <v>6</v>
      </c>
      <c r="D6" s="267"/>
      <c r="E6" s="267"/>
      <c r="F6" s="267"/>
    </row>
    <row r="7" spans="1:6" ht="15.75" customHeight="1" x14ac:dyDescent="0.25">
      <c r="A7" s="1"/>
      <c r="B7" s="1" t="s">
        <v>7</v>
      </c>
      <c r="C7" s="268" t="s">
        <v>8</v>
      </c>
      <c r="D7" s="268"/>
      <c r="E7" s="268"/>
      <c r="F7" s="268"/>
    </row>
    <row r="8" spans="1:6" ht="15.75" customHeight="1" x14ac:dyDescent="0.25">
      <c r="A8" s="7" t="s">
        <v>9</v>
      </c>
      <c r="B8" s="37" t="s">
        <v>10</v>
      </c>
      <c r="C8" s="267" t="s">
        <v>11</v>
      </c>
      <c r="D8" s="267"/>
      <c r="E8" s="267"/>
      <c r="F8" s="267"/>
    </row>
    <row r="9" spans="1:6" ht="15.75" customHeight="1" x14ac:dyDescent="0.25">
      <c r="A9" s="1"/>
      <c r="B9" s="1" t="s">
        <v>12</v>
      </c>
      <c r="C9" s="268" t="s">
        <v>13</v>
      </c>
      <c r="D9" s="268"/>
      <c r="E9" s="268"/>
      <c r="F9" s="268"/>
    </row>
    <row r="10" spans="1:6" ht="15.75" customHeight="1" x14ac:dyDescent="0.25">
      <c r="A10" s="7" t="s">
        <v>14</v>
      </c>
      <c r="B10" s="37" t="s">
        <v>110</v>
      </c>
      <c r="C10" s="267" t="s">
        <v>16</v>
      </c>
      <c r="D10" s="267"/>
      <c r="E10" s="267"/>
      <c r="F10" s="267"/>
    </row>
    <row r="11" spans="1:6" ht="15.75" customHeight="1" x14ac:dyDescent="0.25">
      <c r="A11" s="1"/>
      <c r="B11" s="1" t="s">
        <v>17</v>
      </c>
      <c r="C11" s="268" t="s">
        <v>18</v>
      </c>
      <c r="D11" s="268"/>
      <c r="E11" s="268"/>
      <c r="F11" s="268"/>
    </row>
    <row r="12" spans="1:6" ht="15.75" customHeight="1" x14ac:dyDescent="0.25">
      <c r="A12" s="7" t="s">
        <v>19</v>
      </c>
      <c r="B12" s="37" t="s">
        <v>20</v>
      </c>
      <c r="C12" s="274">
        <v>44259</v>
      </c>
      <c r="D12" s="267"/>
      <c r="E12" s="267"/>
      <c r="F12" s="267"/>
    </row>
    <row r="13" spans="1:6" ht="15.75" customHeight="1" x14ac:dyDescent="0.25">
      <c r="A13" s="1"/>
      <c r="B13" s="1" t="s">
        <v>21</v>
      </c>
      <c r="C13" s="275">
        <v>44259</v>
      </c>
      <c r="D13" s="268"/>
      <c r="E13" s="268"/>
      <c r="F13" s="268"/>
    </row>
    <row r="14" spans="1:6" ht="15" customHeight="1" x14ac:dyDescent="0.25">
      <c r="A14" s="1"/>
      <c r="B14" s="1"/>
      <c r="C14" s="1"/>
      <c r="D14" s="1"/>
      <c r="E14" s="1"/>
      <c r="F14" s="1"/>
    </row>
    <row r="15" spans="1:6" ht="18" customHeight="1" x14ac:dyDescent="0.25">
      <c r="A15" s="276" t="s">
        <v>111</v>
      </c>
      <c r="B15" s="276"/>
      <c r="C15" s="276"/>
      <c r="D15" s="276"/>
      <c r="E15" s="276"/>
      <c r="F15" s="276"/>
    </row>
    <row r="16" spans="1:6" ht="15.75" customHeight="1" x14ac:dyDescent="0.25">
      <c r="A16" s="267" t="s">
        <v>296</v>
      </c>
      <c r="B16" s="267"/>
      <c r="C16" s="267"/>
      <c r="D16" s="267"/>
      <c r="E16" s="267"/>
      <c r="F16" s="267"/>
    </row>
    <row r="17" spans="1:6" ht="15.75" customHeight="1" x14ac:dyDescent="0.25">
      <c r="A17" s="9"/>
      <c r="B17" s="38"/>
      <c r="C17" s="9"/>
      <c r="D17" s="9"/>
      <c r="E17" s="277" t="s">
        <v>24</v>
      </c>
      <c r="F17" s="277"/>
    </row>
    <row r="18" spans="1:6" ht="50.25" customHeight="1" x14ac:dyDescent="0.25">
      <c r="A18" s="11" t="s">
        <v>113</v>
      </c>
      <c r="B18" s="12" t="s">
        <v>114</v>
      </c>
      <c r="C18" s="12" t="s">
        <v>27</v>
      </c>
      <c r="D18" s="12" t="s">
        <v>297</v>
      </c>
      <c r="E18" s="12" t="s">
        <v>298</v>
      </c>
      <c r="F18" s="13" t="s">
        <v>299</v>
      </c>
    </row>
    <row r="19" spans="1:6" s="20" customFormat="1" ht="24" customHeight="1" x14ac:dyDescent="0.25">
      <c r="A19" s="91" t="s">
        <v>32</v>
      </c>
      <c r="B19" s="92" t="s">
        <v>815</v>
      </c>
      <c r="C19" s="331" t="s">
        <v>905</v>
      </c>
      <c r="D19" s="87">
        <v>0</v>
      </c>
      <c r="E19" s="87">
        <v>0</v>
      </c>
      <c r="F19" s="94">
        <v>0</v>
      </c>
    </row>
    <row r="20" spans="1:6" s="20" customFormat="1" ht="24" customHeight="1" x14ac:dyDescent="0.25">
      <c r="A20" s="91" t="s">
        <v>300</v>
      </c>
      <c r="B20" s="92" t="s">
        <v>816</v>
      </c>
      <c r="C20" s="331" t="s">
        <v>906</v>
      </c>
      <c r="D20" s="87">
        <v>65404675326</v>
      </c>
      <c r="E20" s="87">
        <v>156282888021</v>
      </c>
      <c r="F20" s="94">
        <v>0</v>
      </c>
    </row>
    <row r="21" spans="1:6" ht="24" customHeight="1" x14ac:dyDescent="0.25">
      <c r="A21" s="84"/>
      <c r="B21" s="85" t="s">
        <v>301</v>
      </c>
      <c r="C21" s="331" t="s">
        <v>907</v>
      </c>
      <c r="D21" s="89">
        <v>0</v>
      </c>
      <c r="E21" s="89">
        <v>0</v>
      </c>
      <c r="F21" s="88">
        <v>0</v>
      </c>
    </row>
    <row r="22" spans="1:6" ht="24" customHeight="1" x14ac:dyDescent="0.25">
      <c r="A22" s="84"/>
      <c r="B22" s="85" t="s">
        <v>817</v>
      </c>
      <c r="C22" s="331" t="s">
        <v>908</v>
      </c>
      <c r="D22" s="89">
        <v>65404675326</v>
      </c>
      <c r="E22" s="89">
        <v>156282888021</v>
      </c>
      <c r="F22" s="88">
        <v>0</v>
      </c>
    </row>
    <row r="23" spans="1:6" ht="24" customHeight="1" x14ac:dyDescent="0.25">
      <c r="A23" s="84"/>
      <c r="B23" s="85" t="s">
        <v>814</v>
      </c>
      <c r="C23" s="331" t="s">
        <v>909</v>
      </c>
      <c r="D23" s="90">
        <v>10837920</v>
      </c>
      <c r="E23" s="90">
        <v>0</v>
      </c>
      <c r="F23" s="88">
        <v>0</v>
      </c>
    </row>
    <row r="24" spans="1:6" ht="24" customHeight="1" x14ac:dyDescent="0.25">
      <c r="A24" s="84"/>
      <c r="B24" s="85" t="s">
        <v>818</v>
      </c>
      <c r="C24" s="331" t="s">
        <v>910</v>
      </c>
      <c r="D24" s="90">
        <v>0</v>
      </c>
      <c r="E24" s="90">
        <v>0</v>
      </c>
      <c r="F24" s="88">
        <v>0</v>
      </c>
    </row>
    <row r="25" spans="1:6" ht="24" customHeight="1" x14ac:dyDescent="0.25">
      <c r="A25" s="84"/>
      <c r="B25" s="85" t="s">
        <v>82</v>
      </c>
      <c r="C25" s="331" t="s">
        <v>911</v>
      </c>
      <c r="D25" s="90">
        <v>65393837406</v>
      </c>
      <c r="E25" s="90">
        <v>156282888021</v>
      </c>
      <c r="F25" s="88">
        <v>0</v>
      </c>
    </row>
    <row r="26" spans="1:6" ht="33.75" customHeight="1" x14ac:dyDescent="0.25">
      <c r="A26" s="84"/>
      <c r="B26" s="85" t="s">
        <v>511</v>
      </c>
      <c r="C26" s="331" t="s">
        <v>912</v>
      </c>
      <c r="D26" s="90">
        <v>0</v>
      </c>
      <c r="E26" s="90">
        <v>0</v>
      </c>
      <c r="F26" s="88">
        <v>0</v>
      </c>
    </row>
    <row r="27" spans="1:6" ht="24" customHeight="1" x14ac:dyDescent="0.25">
      <c r="A27" s="84"/>
      <c r="B27" s="85" t="s">
        <v>819</v>
      </c>
      <c r="C27" s="331" t="s">
        <v>913</v>
      </c>
      <c r="D27" s="90"/>
      <c r="E27" s="90">
        <v>0</v>
      </c>
      <c r="F27" s="88">
        <v>0</v>
      </c>
    </row>
    <row r="28" spans="1:6" s="20" customFormat="1" ht="24" customHeight="1" x14ac:dyDescent="0.25">
      <c r="A28" s="91" t="s">
        <v>302</v>
      </c>
      <c r="B28" s="92" t="s">
        <v>820</v>
      </c>
      <c r="C28" s="331" t="s">
        <v>914</v>
      </c>
      <c r="D28" s="87">
        <v>8792806471500</v>
      </c>
      <c r="E28" s="87">
        <v>6366473276200</v>
      </c>
      <c r="F28" s="94">
        <v>0</v>
      </c>
    </row>
    <row r="29" spans="1:6" ht="24" customHeight="1" x14ac:dyDescent="0.25">
      <c r="A29" s="84"/>
      <c r="B29" s="85" t="s">
        <v>821</v>
      </c>
      <c r="C29" s="331" t="s">
        <v>915</v>
      </c>
      <c r="D29" s="89">
        <v>8792806471500</v>
      </c>
      <c r="E29" s="89">
        <v>6366473276200</v>
      </c>
      <c r="F29" s="88">
        <v>0</v>
      </c>
    </row>
    <row r="30" spans="1:6" ht="24" customHeight="1" x14ac:dyDescent="0.25">
      <c r="A30" s="84"/>
      <c r="B30" s="85" t="s">
        <v>822</v>
      </c>
      <c r="C30" s="331" t="s">
        <v>916</v>
      </c>
      <c r="D30" s="89">
        <v>0</v>
      </c>
      <c r="E30" s="89">
        <v>0</v>
      </c>
      <c r="F30" s="88">
        <v>0</v>
      </c>
    </row>
    <row r="31" spans="1:6" ht="24" customHeight="1" x14ac:dyDescent="0.25">
      <c r="A31" s="84"/>
      <c r="B31" s="85" t="s">
        <v>63</v>
      </c>
      <c r="C31" s="331" t="s">
        <v>917</v>
      </c>
      <c r="D31" s="89">
        <v>0</v>
      </c>
      <c r="E31" s="89">
        <v>0</v>
      </c>
      <c r="F31" s="88">
        <v>0</v>
      </c>
    </row>
    <row r="32" spans="1:6" ht="24" customHeight="1" x14ac:dyDescent="0.25">
      <c r="A32" s="84"/>
      <c r="B32" s="85" t="s">
        <v>823</v>
      </c>
      <c r="C32" s="331" t="s">
        <v>918</v>
      </c>
      <c r="D32" s="89">
        <v>0</v>
      </c>
      <c r="E32" s="89">
        <v>0</v>
      </c>
      <c r="F32" s="88">
        <v>0</v>
      </c>
    </row>
    <row r="33" spans="1:6" ht="24" customHeight="1" x14ac:dyDescent="0.25">
      <c r="A33" s="84"/>
      <c r="B33" s="85" t="s">
        <v>534</v>
      </c>
      <c r="C33" s="331" t="s">
        <v>919</v>
      </c>
      <c r="D33" s="89">
        <v>0</v>
      </c>
      <c r="E33" s="89">
        <v>0</v>
      </c>
      <c r="F33" s="88">
        <v>0</v>
      </c>
    </row>
    <row r="34" spans="1:6" ht="24" customHeight="1" x14ac:dyDescent="0.25">
      <c r="A34" s="84"/>
      <c r="B34" s="85" t="s">
        <v>824</v>
      </c>
      <c r="C34" s="331" t="s">
        <v>920</v>
      </c>
      <c r="D34" s="89">
        <v>0</v>
      </c>
      <c r="E34" s="89">
        <v>0</v>
      </c>
      <c r="F34" s="88">
        <v>0</v>
      </c>
    </row>
    <row r="35" spans="1:6" ht="24" customHeight="1" x14ac:dyDescent="0.25">
      <c r="A35" s="84"/>
      <c r="B35" s="85" t="s">
        <v>537</v>
      </c>
      <c r="C35" s="331" t="s">
        <v>921</v>
      </c>
      <c r="D35" s="89">
        <v>0</v>
      </c>
      <c r="E35" s="89">
        <v>0</v>
      </c>
      <c r="F35" s="88">
        <v>0</v>
      </c>
    </row>
    <row r="36" spans="1:6" ht="24" customHeight="1" x14ac:dyDescent="0.25">
      <c r="A36" s="84"/>
      <c r="B36" s="85" t="s">
        <v>303</v>
      </c>
      <c r="C36" s="331" t="s">
        <v>922</v>
      </c>
      <c r="D36" s="89">
        <v>0</v>
      </c>
      <c r="E36" s="89">
        <v>0</v>
      </c>
      <c r="F36" s="88">
        <v>0</v>
      </c>
    </row>
    <row r="37" spans="1:6" s="20" customFormat="1" ht="45" customHeight="1" x14ac:dyDescent="0.25">
      <c r="A37" s="91" t="s">
        <v>304</v>
      </c>
      <c r="B37" s="92" t="s">
        <v>305</v>
      </c>
      <c r="C37" s="228"/>
      <c r="D37" s="87">
        <v>0</v>
      </c>
      <c r="E37" s="87">
        <v>0</v>
      </c>
      <c r="F37" s="94">
        <v>0</v>
      </c>
    </row>
    <row r="38" spans="1:6" s="20" customFormat="1" ht="24" customHeight="1" x14ac:dyDescent="0.25">
      <c r="A38" s="91" t="s">
        <v>306</v>
      </c>
      <c r="B38" s="92" t="s">
        <v>825</v>
      </c>
      <c r="C38" s="228" t="s">
        <v>923</v>
      </c>
      <c r="D38" s="87">
        <v>0</v>
      </c>
      <c r="E38" s="87">
        <v>0</v>
      </c>
      <c r="F38" s="94">
        <v>0</v>
      </c>
    </row>
    <row r="39" spans="1:6" ht="24" customHeight="1" x14ac:dyDescent="0.25">
      <c r="A39" s="84"/>
      <c r="B39" s="85" t="s">
        <v>826</v>
      </c>
      <c r="C39" s="228" t="s">
        <v>924</v>
      </c>
      <c r="D39" s="89">
        <v>0</v>
      </c>
      <c r="E39" s="89">
        <v>0</v>
      </c>
      <c r="F39" s="88">
        <v>0</v>
      </c>
    </row>
    <row r="40" spans="1:6" ht="24" customHeight="1" x14ac:dyDescent="0.25">
      <c r="A40" s="84"/>
      <c r="B40" s="85" t="s">
        <v>558</v>
      </c>
      <c r="C40" s="228" t="s">
        <v>925</v>
      </c>
      <c r="D40" s="89">
        <v>0</v>
      </c>
      <c r="E40" s="89">
        <v>0</v>
      </c>
      <c r="F40" s="88">
        <v>0</v>
      </c>
    </row>
    <row r="41" spans="1:6" s="20" customFormat="1" ht="24" customHeight="1" x14ac:dyDescent="0.25">
      <c r="A41" s="91" t="s">
        <v>307</v>
      </c>
      <c r="B41" s="92" t="s">
        <v>827</v>
      </c>
      <c r="C41" s="228" t="s">
        <v>926</v>
      </c>
      <c r="D41" s="87">
        <v>0</v>
      </c>
      <c r="E41" s="87">
        <v>0</v>
      </c>
      <c r="F41" s="94">
        <v>0</v>
      </c>
    </row>
    <row r="42" spans="1:6" ht="33.75" customHeight="1" x14ac:dyDescent="0.25">
      <c r="A42" s="84"/>
      <c r="B42" s="85" t="s">
        <v>828</v>
      </c>
      <c r="C42" s="228" t="s">
        <v>927</v>
      </c>
      <c r="D42" s="89">
        <v>0</v>
      </c>
      <c r="E42" s="89">
        <v>0</v>
      </c>
      <c r="F42" s="88">
        <v>0</v>
      </c>
    </row>
    <row r="43" spans="1:6" ht="33.75" customHeight="1" x14ac:dyDescent="0.25">
      <c r="A43" s="84"/>
      <c r="B43" s="85" t="s">
        <v>562</v>
      </c>
      <c r="C43" s="228" t="s">
        <v>928</v>
      </c>
      <c r="D43" s="89">
        <v>0</v>
      </c>
      <c r="E43" s="89">
        <v>0</v>
      </c>
      <c r="F43" s="88">
        <v>0</v>
      </c>
    </row>
    <row r="44" spans="1:6" ht="24" customHeight="1" x14ac:dyDescent="0.25">
      <c r="A44" s="84"/>
      <c r="B44" s="85" t="s">
        <v>829</v>
      </c>
      <c r="C44" s="228" t="s">
        <v>929</v>
      </c>
      <c r="D44" s="89">
        <v>0</v>
      </c>
      <c r="E44" s="89">
        <v>0</v>
      </c>
      <c r="F44" s="88">
        <v>0</v>
      </c>
    </row>
    <row r="45" spans="1:6" s="20" customFormat="1" ht="24" customHeight="1" x14ac:dyDescent="0.25">
      <c r="A45" s="91" t="s">
        <v>308</v>
      </c>
      <c r="B45" s="92" t="s">
        <v>309</v>
      </c>
      <c r="C45" s="228"/>
      <c r="D45" s="87">
        <v>0</v>
      </c>
      <c r="E45" s="87">
        <v>0</v>
      </c>
      <c r="F45" s="94">
        <v>0</v>
      </c>
    </row>
    <row r="46" spans="1:6" s="20" customFormat="1" ht="24" customHeight="1" x14ac:dyDescent="0.25">
      <c r="A46" s="91" t="s">
        <v>310</v>
      </c>
      <c r="B46" s="92" t="s">
        <v>830</v>
      </c>
      <c r="C46" s="228" t="s">
        <v>930</v>
      </c>
      <c r="D46" s="87">
        <v>0</v>
      </c>
      <c r="E46" s="87">
        <v>189584795000</v>
      </c>
      <c r="F46" s="94">
        <v>0</v>
      </c>
    </row>
    <row r="47" spans="1:6" s="20" customFormat="1" ht="24" customHeight="1" x14ac:dyDescent="0.25">
      <c r="A47" s="91" t="s">
        <v>311</v>
      </c>
      <c r="B47" s="92" t="s">
        <v>831</v>
      </c>
      <c r="C47" s="228" t="s">
        <v>931</v>
      </c>
      <c r="D47" s="87">
        <v>0</v>
      </c>
      <c r="E47" s="87">
        <v>0</v>
      </c>
      <c r="F47" s="94">
        <v>0</v>
      </c>
    </row>
    <row r="48" spans="1:6" ht="24" customHeight="1" x14ac:dyDescent="0.25">
      <c r="A48" s="84"/>
      <c r="B48" s="85" t="s">
        <v>832</v>
      </c>
      <c r="C48" s="228" t="s">
        <v>932</v>
      </c>
      <c r="D48" s="89">
        <v>0</v>
      </c>
      <c r="E48" s="89">
        <v>0</v>
      </c>
      <c r="F48" s="88">
        <v>0</v>
      </c>
    </row>
    <row r="49" spans="1:6" ht="24" customHeight="1" x14ac:dyDescent="0.25">
      <c r="A49" s="84"/>
      <c r="B49" s="85" t="s">
        <v>833</v>
      </c>
      <c r="C49" s="228" t="s">
        <v>933</v>
      </c>
      <c r="D49" s="89">
        <v>0</v>
      </c>
      <c r="E49" s="89">
        <v>0</v>
      </c>
      <c r="F49" s="88">
        <v>0</v>
      </c>
    </row>
    <row r="50" spans="1:6" ht="24" customHeight="1" x14ac:dyDescent="0.25">
      <c r="A50" s="84"/>
      <c r="B50" s="85" t="s">
        <v>595</v>
      </c>
      <c r="C50" s="228" t="s">
        <v>934</v>
      </c>
      <c r="D50" s="89">
        <v>0</v>
      </c>
      <c r="E50" s="89">
        <v>0</v>
      </c>
      <c r="F50" s="88">
        <v>0</v>
      </c>
    </row>
    <row r="51" spans="1:6" s="20" customFormat="1" ht="24" customHeight="1" x14ac:dyDescent="0.25">
      <c r="A51" s="91" t="s">
        <v>312</v>
      </c>
      <c r="B51" s="92" t="s">
        <v>70</v>
      </c>
      <c r="C51" s="228" t="s">
        <v>935</v>
      </c>
      <c r="D51" s="87">
        <v>0</v>
      </c>
      <c r="E51" s="87">
        <v>0</v>
      </c>
      <c r="F51" s="94">
        <v>0</v>
      </c>
    </row>
    <row r="52" spans="1:6" ht="24" customHeight="1" x14ac:dyDescent="0.25">
      <c r="A52" s="84"/>
      <c r="B52" s="85" t="s">
        <v>834</v>
      </c>
      <c r="C52" s="228" t="s">
        <v>936</v>
      </c>
      <c r="D52" s="89">
        <v>0</v>
      </c>
      <c r="E52" s="89">
        <v>0</v>
      </c>
      <c r="F52" s="88">
        <v>0</v>
      </c>
    </row>
    <row r="53" spans="1:6" ht="24" customHeight="1" x14ac:dyDescent="0.25">
      <c r="A53" s="84"/>
      <c r="B53" s="85" t="s">
        <v>587</v>
      </c>
      <c r="C53" s="228" t="s">
        <v>937</v>
      </c>
      <c r="D53" s="89">
        <v>0</v>
      </c>
      <c r="E53" s="89">
        <v>0</v>
      </c>
      <c r="F53" s="88">
        <v>0</v>
      </c>
    </row>
    <row r="54" spans="1:6" ht="24" customHeight="1" x14ac:dyDescent="0.25">
      <c r="A54" s="84"/>
      <c r="B54" s="85" t="s">
        <v>835</v>
      </c>
      <c r="C54" s="228" t="s">
        <v>938</v>
      </c>
      <c r="D54" s="89">
        <v>0</v>
      </c>
      <c r="E54" s="89">
        <v>0</v>
      </c>
      <c r="F54" s="88">
        <v>0</v>
      </c>
    </row>
    <row r="55" spans="1:6" ht="24" customHeight="1" x14ac:dyDescent="0.25">
      <c r="A55" s="84"/>
      <c r="B55" s="85" t="s">
        <v>836</v>
      </c>
      <c r="C55" s="228" t="s">
        <v>939</v>
      </c>
      <c r="D55" s="89">
        <v>0</v>
      </c>
      <c r="E55" s="89">
        <v>0</v>
      </c>
      <c r="F55" s="88">
        <v>0</v>
      </c>
    </row>
    <row r="56" spans="1:6" ht="33.75" customHeight="1" x14ac:dyDescent="0.25">
      <c r="A56" s="84"/>
      <c r="B56" s="85" t="s">
        <v>837</v>
      </c>
      <c r="C56" s="228" t="s">
        <v>940</v>
      </c>
      <c r="D56" s="89">
        <v>0</v>
      </c>
      <c r="E56" s="89">
        <v>0</v>
      </c>
      <c r="F56" s="88">
        <v>0</v>
      </c>
    </row>
    <row r="57" spans="1:6" s="20" customFormat="1" ht="24" customHeight="1" x14ac:dyDescent="0.25">
      <c r="A57" s="91" t="s">
        <v>313</v>
      </c>
      <c r="B57" s="92" t="s">
        <v>600</v>
      </c>
      <c r="C57" s="229" t="s">
        <v>941</v>
      </c>
      <c r="D57" s="87">
        <v>8858211146826</v>
      </c>
      <c r="E57" s="87">
        <v>6712340959221</v>
      </c>
      <c r="F57" s="94">
        <v>0</v>
      </c>
    </row>
    <row r="58" spans="1:6" ht="24" customHeight="1" x14ac:dyDescent="0.25">
      <c r="A58" s="84" t="s">
        <v>34</v>
      </c>
      <c r="B58" s="85" t="s">
        <v>838</v>
      </c>
      <c r="C58" s="228" t="s">
        <v>942</v>
      </c>
      <c r="D58" s="87">
        <v>0</v>
      </c>
      <c r="E58" s="87">
        <v>0</v>
      </c>
      <c r="F58" s="88">
        <v>0</v>
      </c>
    </row>
    <row r="59" spans="1:6" ht="24" customHeight="1" x14ac:dyDescent="0.25">
      <c r="A59" s="84" t="s">
        <v>314</v>
      </c>
      <c r="B59" s="85" t="s">
        <v>315</v>
      </c>
      <c r="C59" s="228"/>
      <c r="D59" s="89">
        <v>0</v>
      </c>
      <c r="E59" s="89">
        <v>0</v>
      </c>
      <c r="F59" s="88">
        <v>0</v>
      </c>
    </row>
    <row r="60" spans="1:6" ht="24" customHeight="1" x14ac:dyDescent="0.25">
      <c r="A60" s="84" t="s">
        <v>316</v>
      </c>
      <c r="B60" s="85" t="s">
        <v>839</v>
      </c>
      <c r="C60" s="228" t="s">
        <v>943</v>
      </c>
      <c r="D60" s="89">
        <v>0</v>
      </c>
      <c r="E60" s="89">
        <v>77068200000</v>
      </c>
      <c r="F60" s="88">
        <v>0</v>
      </c>
    </row>
    <row r="61" spans="1:6" ht="24" customHeight="1" x14ac:dyDescent="0.25">
      <c r="A61" s="84" t="s">
        <v>317</v>
      </c>
      <c r="B61" s="85" t="s">
        <v>840</v>
      </c>
      <c r="C61" s="228" t="s">
        <v>944</v>
      </c>
      <c r="D61" s="89">
        <v>6759586048</v>
      </c>
      <c r="E61" s="89">
        <v>5674866649</v>
      </c>
      <c r="F61" s="88">
        <v>0</v>
      </c>
    </row>
    <row r="62" spans="1:6" ht="24" customHeight="1" x14ac:dyDescent="0.25">
      <c r="A62" s="84"/>
      <c r="B62" s="85" t="s">
        <v>841</v>
      </c>
      <c r="C62" s="228" t="s">
        <v>945</v>
      </c>
      <c r="D62" s="89">
        <v>0</v>
      </c>
      <c r="E62" s="89">
        <v>0</v>
      </c>
      <c r="F62" s="88">
        <v>0</v>
      </c>
    </row>
    <row r="63" spans="1:6" ht="24" customHeight="1" x14ac:dyDescent="0.25">
      <c r="A63" s="84"/>
      <c r="B63" s="85" t="s">
        <v>842</v>
      </c>
      <c r="C63" s="228" t="s">
        <v>881</v>
      </c>
      <c r="D63" s="90">
        <v>0</v>
      </c>
      <c r="E63" s="90">
        <v>0</v>
      </c>
      <c r="F63" s="88">
        <v>0</v>
      </c>
    </row>
    <row r="64" spans="1:6" ht="24" customHeight="1" x14ac:dyDescent="0.25">
      <c r="A64" s="84"/>
      <c r="B64" s="85" t="s">
        <v>843</v>
      </c>
      <c r="C64" s="228" t="s">
        <v>882</v>
      </c>
      <c r="D64" s="90">
        <v>0</v>
      </c>
      <c r="E64" s="90">
        <v>0</v>
      </c>
      <c r="F64" s="88">
        <v>0</v>
      </c>
    </row>
    <row r="65" spans="1:6" ht="24" customHeight="1" x14ac:dyDescent="0.25">
      <c r="A65" s="84"/>
      <c r="B65" s="85" t="s">
        <v>844</v>
      </c>
      <c r="C65" s="228" t="s">
        <v>883</v>
      </c>
      <c r="D65" s="90">
        <v>0</v>
      </c>
      <c r="E65" s="90">
        <v>0</v>
      </c>
      <c r="F65" s="88">
        <v>0</v>
      </c>
    </row>
    <row r="66" spans="1:6" ht="24" customHeight="1" x14ac:dyDescent="0.25">
      <c r="A66" s="84"/>
      <c r="B66" s="85" t="s">
        <v>845</v>
      </c>
      <c r="C66" s="228" t="s">
        <v>946</v>
      </c>
      <c r="D66" s="89">
        <v>0</v>
      </c>
      <c r="E66" s="89">
        <v>0</v>
      </c>
      <c r="F66" s="88">
        <v>0</v>
      </c>
    </row>
    <row r="67" spans="1:6" ht="45" customHeight="1" x14ac:dyDescent="0.25">
      <c r="A67" s="84"/>
      <c r="B67" s="85" t="s">
        <v>846</v>
      </c>
      <c r="C67" s="228" t="s">
        <v>947</v>
      </c>
      <c r="D67" s="89">
        <v>0</v>
      </c>
      <c r="E67" s="89">
        <v>0</v>
      </c>
      <c r="F67" s="88">
        <v>0</v>
      </c>
    </row>
    <row r="68" spans="1:6" ht="33.75" customHeight="1" x14ac:dyDescent="0.25">
      <c r="A68" s="84"/>
      <c r="B68" s="85" t="s">
        <v>847</v>
      </c>
      <c r="C68" s="228" t="s">
        <v>884</v>
      </c>
      <c r="D68" s="90">
        <v>0</v>
      </c>
      <c r="E68" s="90">
        <v>0</v>
      </c>
      <c r="F68" s="88">
        <v>0</v>
      </c>
    </row>
    <row r="69" spans="1:6" ht="24" customHeight="1" x14ac:dyDescent="0.25">
      <c r="A69" s="84"/>
      <c r="B69" s="85" t="s">
        <v>848</v>
      </c>
      <c r="C69" s="228" t="s">
        <v>885</v>
      </c>
      <c r="D69" s="90">
        <v>0</v>
      </c>
      <c r="E69" s="90">
        <v>0</v>
      </c>
      <c r="F69" s="88">
        <v>0</v>
      </c>
    </row>
    <row r="70" spans="1:6" ht="24" customHeight="1" x14ac:dyDescent="0.25">
      <c r="A70" s="84"/>
      <c r="B70" s="85" t="s">
        <v>849</v>
      </c>
      <c r="C70" s="228" t="s">
        <v>948</v>
      </c>
      <c r="D70" s="89">
        <v>0</v>
      </c>
      <c r="E70" s="89">
        <v>0</v>
      </c>
      <c r="F70" s="88">
        <v>0</v>
      </c>
    </row>
    <row r="71" spans="1:6" ht="24" customHeight="1" x14ac:dyDescent="0.25">
      <c r="A71" s="84"/>
      <c r="B71" s="85" t="s">
        <v>850</v>
      </c>
      <c r="C71" s="228" t="s">
        <v>949</v>
      </c>
      <c r="D71" s="89">
        <v>10454775</v>
      </c>
      <c r="E71" s="89">
        <v>9764372</v>
      </c>
      <c r="F71" s="88">
        <v>0</v>
      </c>
    </row>
    <row r="72" spans="1:6" ht="24" customHeight="1" x14ac:dyDescent="0.25">
      <c r="A72" s="84"/>
      <c r="B72" s="85" t="s">
        <v>851</v>
      </c>
      <c r="C72" s="228" t="s">
        <v>950</v>
      </c>
      <c r="D72" s="89">
        <v>5047597452</v>
      </c>
      <c r="E72" s="89">
        <v>4232955988</v>
      </c>
      <c r="F72" s="88">
        <v>0</v>
      </c>
    </row>
    <row r="73" spans="1:6" ht="24" customHeight="1" x14ac:dyDescent="0.25">
      <c r="A73" s="84"/>
      <c r="B73" s="85" t="s">
        <v>852</v>
      </c>
      <c r="C73" s="228" t="s">
        <v>951</v>
      </c>
      <c r="D73" s="89">
        <v>138808931</v>
      </c>
      <c r="E73" s="89">
        <v>116406287</v>
      </c>
      <c r="F73" s="88">
        <v>0</v>
      </c>
    </row>
    <row r="74" spans="1:6" ht="24" customHeight="1" x14ac:dyDescent="0.25">
      <c r="A74" s="84"/>
      <c r="B74" s="85" t="s">
        <v>853</v>
      </c>
      <c r="C74" s="228" t="s">
        <v>952</v>
      </c>
      <c r="D74" s="89">
        <v>277617859</v>
      </c>
      <c r="E74" s="89">
        <v>232812582</v>
      </c>
      <c r="F74" s="88">
        <v>0</v>
      </c>
    </row>
    <row r="75" spans="1:6" ht="24" customHeight="1" x14ac:dyDescent="0.25">
      <c r="A75" s="84"/>
      <c r="B75" s="85" t="s">
        <v>854</v>
      </c>
      <c r="C75" s="228" t="s">
        <v>953</v>
      </c>
      <c r="D75" s="89">
        <v>0</v>
      </c>
      <c r="E75" s="89">
        <v>399979500</v>
      </c>
      <c r="F75" s="88">
        <v>0</v>
      </c>
    </row>
    <row r="76" spans="1:6" ht="24" customHeight="1" x14ac:dyDescent="0.25">
      <c r="A76" s="84"/>
      <c r="B76" s="85" t="s">
        <v>855</v>
      </c>
      <c r="C76" s="228" t="s">
        <v>886</v>
      </c>
      <c r="D76" s="90">
        <v>0</v>
      </c>
      <c r="E76" s="90">
        <v>399979500</v>
      </c>
      <c r="F76" s="88">
        <v>0</v>
      </c>
    </row>
    <row r="77" spans="1:6" ht="24" customHeight="1" x14ac:dyDescent="0.25">
      <c r="A77" s="84"/>
      <c r="B77" s="85" t="s">
        <v>856</v>
      </c>
      <c r="C77" s="228" t="s">
        <v>887</v>
      </c>
      <c r="D77" s="90">
        <v>0</v>
      </c>
      <c r="E77" s="90">
        <v>0</v>
      </c>
      <c r="F77" s="88">
        <v>0</v>
      </c>
    </row>
    <row r="78" spans="1:6" ht="24" customHeight="1" x14ac:dyDescent="0.25">
      <c r="A78" s="84"/>
      <c r="B78" s="85" t="s">
        <v>857</v>
      </c>
      <c r="C78" s="228" t="s">
        <v>954</v>
      </c>
      <c r="D78" s="89">
        <v>129889937</v>
      </c>
      <c r="E78" s="89">
        <v>109523898</v>
      </c>
      <c r="F78" s="88">
        <v>0</v>
      </c>
    </row>
    <row r="79" spans="1:6" ht="24" customHeight="1" x14ac:dyDescent="0.25">
      <c r="A79" s="84"/>
      <c r="B79" s="85" t="s">
        <v>858</v>
      </c>
      <c r="C79" s="228" t="s">
        <v>888</v>
      </c>
      <c r="D79" s="90">
        <v>126189937</v>
      </c>
      <c r="E79" s="90">
        <v>105823898</v>
      </c>
      <c r="F79" s="88">
        <v>0</v>
      </c>
    </row>
    <row r="80" spans="1:6" ht="24" customHeight="1" x14ac:dyDescent="0.25">
      <c r="A80" s="84"/>
      <c r="B80" s="85" t="s">
        <v>859</v>
      </c>
      <c r="C80" s="228" t="s">
        <v>889</v>
      </c>
      <c r="D80" s="90">
        <v>3700000</v>
      </c>
      <c r="E80" s="90">
        <v>3700000</v>
      </c>
      <c r="F80" s="88">
        <v>0</v>
      </c>
    </row>
    <row r="81" spans="1:6" ht="24" customHeight="1" x14ac:dyDescent="0.25">
      <c r="A81" s="84"/>
      <c r="B81" s="85" t="s">
        <v>860</v>
      </c>
      <c r="C81" s="228" t="s">
        <v>890</v>
      </c>
      <c r="D81" s="90">
        <v>0</v>
      </c>
      <c r="E81" s="90">
        <v>0</v>
      </c>
      <c r="F81" s="88">
        <v>0</v>
      </c>
    </row>
    <row r="82" spans="1:6" ht="45" customHeight="1" x14ac:dyDescent="0.25">
      <c r="A82" s="84"/>
      <c r="B82" s="85" t="s">
        <v>861</v>
      </c>
      <c r="C82" s="228" t="s">
        <v>891</v>
      </c>
      <c r="D82" s="90">
        <v>0</v>
      </c>
      <c r="E82" s="90">
        <v>0</v>
      </c>
      <c r="F82" s="88">
        <v>0</v>
      </c>
    </row>
    <row r="83" spans="1:6" ht="24" customHeight="1" x14ac:dyDescent="0.25">
      <c r="A83" s="84"/>
      <c r="B83" s="85" t="s">
        <v>862</v>
      </c>
      <c r="C83" s="228" t="s">
        <v>955</v>
      </c>
      <c r="D83" s="89">
        <v>94780826</v>
      </c>
      <c r="E83" s="89">
        <v>86342467</v>
      </c>
      <c r="F83" s="88">
        <v>0</v>
      </c>
    </row>
    <row r="84" spans="1:6" ht="24" customHeight="1" x14ac:dyDescent="0.25">
      <c r="A84" s="84"/>
      <c r="B84" s="85" t="s">
        <v>863</v>
      </c>
      <c r="C84" s="228" t="s">
        <v>956</v>
      </c>
      <c r="D84" s="89">
        <v>0</v>
      </c>
      <c r="E84" s="89">
        <v>0</v>
      </c>
      <c r="F84" s="88">
        <v>0</v>
      </c>
    </row>
    <row r="85" spans="1:6" ht="24" customHeight="1" x14ac:dyDescent="0.25">
      <c r="A85" s="84"/>
      <c r="B85" s="85" t="s">
        <v>864</v>
      </c>
      <c r="C85" s="228" t="s">
        <v>957</v>
      </c>
      <c r="D85" s="89">
        <v>0</v>
      </c>
      <c r="E85" s="89">
        <v>0</v>
      </c>
      <c r="F85" s="88">
        <v>0</v>
      </c>
    </row>
    <row r="86" spans="1:6" ht="24" customHeight="1" x14ac:dyDescent="0.25">
      <c r="A86" s="84"/>
      <c r="B86" s="85" t="s">
        <v>865</v>
      </c>
      <c r="C86" s="228" t="s">
        <v>958</v>
      </c>
      <c r="D86" s="89">
        <v>11000000</v>
      </c>
      <c r="E86" s="89">
        <v>5500000</v>
      </c>
      <c r="F86" s="88">
        <v>0</v>
      </c>
    </row>
    <row r="87" spans="1:6" ht="33.75" customHeight="1" x14ac:dyDescent="0.25">
      <c r="A87" s="84"/>
      <c r="B87" s="85" t="s">
        <v>866</v>
      </c>
      <c r="C87" s="228" t="s">
        <v>959</v>
      </c>
      <c r="D87" s="89">
        <v>580034589</v>
      </c>
      <c r="E87" s="89">
        <v>264559748</v>
      </c>
      <c r="F87" s="88">
        <v>0</v>
      </c>
    </row>
    <row r="88" spans="1:6" ht="24" customHeight="1" x14ac:dyDescent="0.25">
      <c r="A88" s="84"/>
      <c r="B88" s="85" t="s">
        <v>867</v>
      </c>
      <c r="C88" s="228" t="s">
        <v>960</v>
      </c>
      <c r="D88" s="89">
        <v>464027674</v>
      </c>
      <c r="E88" s="89">
        <v>211647802</v>
      </c>
      <c r="F88" s="88">
        <v>0</v>
      </c>
    </row>
    <row r="89" spans="1:6" ht="24" customHeight="1" x14ac:dyDescent="0.25">
      <c r="A89" s="84"/>
      <c r="B89" s="85" t="s">
        <v>868</v>
      </c>
      <c r="C89" s="228" t="s">
        <v>961</v>
      </c>
      <c r="D89" s="89">
        <v>5374005</v>
      </c>
      <c r="E89" s="89">
        <v>5374005</v>
      </c>
      <c r="F89" s="88">
        <v>0</v>
      </c>
    </row>
    <row r="90" spans="1:6" ht="24" customHeight="1" x14ac:dyDescent="0.25">
      <c r="A90" s="84"/>
      <c r="B90" s="85" t="s">
        <v>869</v>
      </c>
      <c r="C90" s="228" t="s">
        <v>892</v>
      </c>
      <c r="D90" s="90">
        <v>0</v>
      </c>
      <c r="E90" s="90">
        <v>0</v>
      </c>
      <c r="F90" s="88">
        <v>0</v>
      </c>
    </row>
    <row r="91" spans="1:6" ht="32.25" customHeight="1" x14ac:dyDescent="0.25">
      <c r="A91" s="84"/>
      <c r="B91" s="85" t="s">
        <v>870</v>
      </c>
      <c r="C91" s="228" t="s">
        <v>893</v>
      </c>
      <c r="D91" s="90">
        <v>0</v>
      </c>
      <c r="E91" s="90">
        <v>0</v>
      </c>
      <c r="F91" s="88">
        <v>0</v>
      </c>
    </row>
    <row r="92" spans="1:6" ht="24" customHeight="1" x14ac:dyDescent="0.25">
      <c r="A92" s="84"/>
      <c r="B92" s="85" t="s">
        <v>871</v>
      </c>
      <c r="C92" s="228" t="s">
        <v>894</v>
      </c>
      <c r="D92" s="90">
        <v>5374005</v>
      </c>
      <c r="E92" s="90">
        <v>5374005</v>
      </c>
      <c r="F92" s="88">
        <v>0</v>
      </c>
    </row>
    <row r="93" spans="1:6" ht="24" customHeight="1" x14ac:dyDescent="0.25">
      <c r="A93" s="84"/>
      <c r="B93" s="85" t="s">
        <v>872</v>
      </c>
      <c r="C93" s="228" t="s">
        <v>895</v>
      </c>
      <c r="D93" s="90">
        <v>0</v>
      </c>
      <c r="E93" s="90">
        <v>0</v>
      </c>
      <c r="F93" s="88">
        <v>0</v>
      </c>
    </row>
    <row r="94" spans="1:6" ht="24" customHeight="1" x14ac:dyDescent="0.25">
      <c r="A94" s="84"/>
      <c r="B94" s="85" t="s">
        <v>683</v>
      </c>
      <c r="C94" s="228" t="s">
        <v>896</v>
      </c>
      <c r="D94" s="90">
        <v>0</v>
      </c>
      <c r="E94" s="90">
        <v>0</v>
      </c>
      <c r="F94" s="88">
        <v>0</v>
      </c>
    </row>
    <row r="95" spans="1:6" ht="24" customHeight="1" x14ac:dyDescent="0.25">
      <c r="A95" s="84"/>
      <c r="B95" s="85" t="s">
        <v>685</v>
      </c>
      <c r="C95" s="228" t="s">
        <v>897</v>
      </c>
      <c r="D95" s="90">
        <v>0</v>
      </c>
      <c r="E95" s="90">
        <v>0</v>
      </c>
      <c r="F95" s="88">
        <v>0</v>
      </c>
    </row>
    <row r="96" spans="1:6" ht="24" customHeight="1" x14ac:dyDescent="0.25">
      <c r="A96" s="84"/>
      <c r="B96" s="85" t="s">
        <v>689</v>
      </c>
      <c r="C96" s="228" t="s">
        <v>898</v>
      </c>
      <c r="D96" s="90">
        <v>0</v>
      </c>
      <c r="E96" s="90">
        <v>0</v>
      </c>
      <c r="F96" s="88">
        <v>0</v>
      </c>
    </row>
    <row r="97" spans="1:6" ht="24" customHeight="1" x14ac:dyDescent="0.25">
      <c r="A97" s="84"/>
      <c r="B97" s="85" t="s">
        <v>873</v>
      </c>
      <c r="C97" s="228" t="s">
        <v>899</v>
      </c>
      <c r="D97" s="90">
        <v>0</v>
      </c>
      <c r="E97" s="90">
        <v>0</v>
      </c>
      <c r="F97" s="88">
        <v>0</v>
      </c>
    </row>
    <row r="98" spans="1:6" ht="24" customHeight="1" x14ac:dyDescent="0.25">
      <c r="A98" s="84"/>
      <c r="B98" s="85" t="s">
        <v>874</v>
      </c>
      <c r="C98" s="228" t="s">
        <v>962</v>
      </c>
      <c r="D98" s="89">
        <v>0</v>
      </c>
      <c r="E98" s="89">
        <v>0</v>
      </c>
      <c r="F98" s="88">
        <v>0</v>
      </c>
    </row>
    <row r="99" spans="1:6" ht="24" customHeight="1" x14ac:dyDescent="0.25">
      <c r="A99" s="84"/>
      <c r="B99" s="85" t="s">
        <v>875</v>
      </c>
      <c r="C99" s="228" t="s">
        <v>900</v>
      </c>
      <c r="D99" s="90">
        <v>0</v>
      </c>
      <c r="E99" s="90">
        <v>0</v>
      </c>
      <c r="F99" s="88">
        <v>0</v>
      </c>
    </row>
    <row r="100" spans="1:6" ht="24" customHeight="1" x14ac:dyDescent="0.25">
      <c r="A100" s="84"/>
      <c r="B100" s="85" t="s">
        <v>876</v>
      </c>
      <c r="C100" s="228" t="s">
        <v>901</v>
      </c>
      <c r="D100" s="90">
        <v>0</v>
      </c>
      <c r="E100" s="90">
        <v>0</v>
      </c>
      <c r="F100" s="88">
        <v>0</v>
      </c>
    </row>
    <row r="101" spans="1:6" s="20" customFormat="1" ht="24" customHeight="1" x14ac:dyDescent="0.25">
      <c r="A101" s="91" t="s">
        <v>318</v>
      </c>
      <c r="B101" s="92" t="s">
        <v>877</v>
      </c>
      <c r="C101" s="229" t="s">
        <v>963</v>
      </c>
      <c r="D101" s="87">
        <v>6759586048</v>
      </c>
      <c r="E101" s="87">
        <v>82743066649</v>
      </c>
      <c r="F101" s="94">
        <v>0</v>
      </c>
    </row>
    <row r="102" spans="1:6" s="20" customFormat="1" ht="24" customHeight="1" x14ac:dyDescent="0.25">
      <c r="A102" s="91"/>
      <c r="B102" s="92" t="s">
        <v>878</v>
      </c>
      <c r="C102" s="229" t="s">
        <v>964</v>
      </c>
      <c r="D102" s="87">
        <v>8851451560778</v>
      </c>
      <c r="E102" s="87">
        <v>6629597892572</v>
      </c>
      <c r="F102" s="94">
        <v>0</v>
      </c>
    </row>
    <row r="103" spans="1:6" s="20" customFormat="1" ht="24" customHeight="1" x14ac:dyDescent="0.25">
      <c r="A103" s="91"/>
      <c r="B103" s="92" t="s">
        <v>879</v>
      </c>
      <c r="C103" s="229" t="s">
        <v>965</v>
      </c>
      <c r="D103" s="87">
        <v>451300000</v>
      </c>
      <c r="E103" s="87">
        <v>383400000</v>
      </c>
      <c r="F103" s="94"/>
    </row>
    <row r="104" spans="1:6" s="20" customFormat="1" ht="24" customHeight="1" x14ac:dyDescent="0.25">
      <c r="A104" s="95"/>
      <c r="B104" s="96" t="s">
        <v>880</v>
      </c>
      <c r="C104" s="230" t="s">
        <v>966</v>
      </c>
      <c r="D104" s="98">
        <v>19613.23</v>
      </c>
      <c r="E104" s="98">
        <v>17291.59</v>
      </c>
      <c r="F104" s="99">
        <v>0</v>
      </c>
    </row>
    <row r="105" spans="1:6" ht="30.75" customHeight="1" x14ac:dyDescent="0.25">
      <c r="A105" s="278" t="s">
        <v>319</v>
      </c>
      <c r="B105" s="278"/>
      <c r="C105" s="278"/>
      <c r="D105" s="278"/>
      <c r="E105" s="278"/>
      <c r="F105" s="278"/>
    </row>
    <row r="106" spans="1:6" ht="6" customHeight="1" x14ac:dyDescent="0.15">
      <c r="A106" s="1"/>
      <c r="B106" s="1"/>
      <c r="C106" s="55"/>
      <c r="D106" s="1"/>
      <c r="E106" s="1"/>
      <c r="F106" s="1"/>
    </row>
    <row r="107" spans="1:6" ht="15.75" customHeight="1" x14ac:dyDescent="0.25">
      <c r="A107" s="273" t="s">
        <v>98</v>
      </c>
      <c r="B107" s="273"/>
      <c r="C107" s="273"/>
      <c r="D107" s="273" t="s">
        <v>99</v>
      </c>
      <c r="E107" s="273"/>
      <c r="F107" s="273"/>
    </row>
    <row r="108" spans="1:6" ht="15.75" customHeight="1" x14ac:dyDescent="0.25">
      <c r="A108" s="272" t="s">
        <v>100</v>
      </c>
      <c r="B108" s="272"/>
      <c r="C108" s="272"/>
      <c r="D108" s="280" t="s">
        <v>101</v>
      </c>
      <c r="E108" s="280"/>
      <c r="F108" s="280"/>
    </row>
    <row r="109" spans="1:6" ht="15.75" customHeight="1" x14ac:dyDescent="0.25">
      <c r="A109" s="1"/>
      <c r="B109" s="1"/>
      <c r="C109" s="1"/>
      <c r="D109" s="1"/>
      <c r="E109" s="1"/>
      <c r="F109" s="1"/>
    </row>
    <row r="110" spans="1:6" ht="15.75" customHeight="1" x14ac:dyDescent="0.25">
      <c r="A110" s="1"/>
      <c r="B110" s="1"/>
      <c r="C110" s="1"/>
      <c r="D110" s="1"/>
      <c r="E110" s="1"/>
      <c r="F110" s="1"/>
    </row>
    <row r="111" spans="1:6" ht="15" customHeight="1" x14ac:dyDescent="0.25">
      <c r="A111" s="1"/>
      <c r="B111" s="1"/>
      <c r="C111" s="1"/>
      <c r="D111" s="1"/>
      <c r="E111" s="1"/>
      <c r="F111" s="1"/>
    </row>
    <row r="112" spans="1:6" ht="15.75" customHeight="1" x14ac:dyDescent="0.25">
      <c r="A112" s="1"/>
      <c r="B112" s="1"/>
      <c r="C112" s="1"/>
      <c r="D112" s="1"/>
      <c r="E112" s="1"/>
      <c r="F112" s="1"/>
    </row>
    <row r="113" spans="1:6" ht="15.75" customHeight="1" x14ac:dyDescent="0.25">
      <c r="A113" s="1"/>
      <c r="B113" s="1"/>
      <c r="C113" s="1"/>
      <c r="D113" s="1"/>
      <c r="E113" s="1"/>
      <c r="F113" s="1"/>
    </row>
    <row r="114" spans="1:6" ht="15.75" customHeight="1" x14ac:dyDescent="0.25">
      <c r="A114" s="273" t="s">
        <v>102</v>
      </c>
      <c r="B114" s="273"/>
      <c r="C114" s="273"/>
      <c r="D114" s="273" t="s">
        <v>103</v>
      </c>
      <c r="E114" s="273"/>
      <c r="F114" s="273"/>
    </row>
    <row r="115" spans="1:6" ht="15.75" customHeight="1" x14ac:dyDescent="0.25">
      <c r="A115" s="279" t="s">
        <v>104</v>
      </c>
      <c r="B115" s="279"/>
      <c r="C115" s="279"/>
      <c r="D115" s="279" t="s">
        <v>105</v>
      </c>
      <c r="E115" s="279"/>
      <c r="F115" s="279"/>
    </row>
    <row r="116" spans="1:6" ht="15.75" customHeight="1" x14ac:dyDescent="0.25">
      <c r="A116" s="279" t="s">
        <v>106</v>
      </c>
      <c r="B116" s="279"/>
      <c r="C116" s="279"/>
      <c r="D116" s="279" t="s">
        <v>107</v>
      </c>
      <c r="E116" s="279"/>
      <c r="F116" s="279"/>
    </row>
  </sheetData>
  <mergeCells count="27">
    <mergeCell ref="A116:C116"/>
    <mergeCell ref="D116:F116"/>
    <mergeCell ref="A108:C108"/>
    <mergeCell ref="D108:F108"/>
    <mergeCell ref="A114:C114"/>
    <mergeCell ref="D114:F114"/>
    <mergeCell ref="A115:C115"/>
    <mergeCell ref="D115:F115"/>
    <mergeCell ref="A107:C107"/>
    <mergeCell ref="D107:F107"/>
    <mergeCell ref="C7:F7"/>
    <mergeCell ref="C8:F8"/>
    <mergeCell ref="C9:F9"/>
    <mergeCell ref="C10:F10"/>
    <mergeCell ref="C11:F11"/>
    <mergeCell ref="C12:F12"/>
    <mergeCell ref="C13:F13"/>
    <mergeCell ref="A15:F15"/>
    <mergeCell ref="A16:F16"/>
    <mergeCell ref="E17:F17"/>
    <mergeCell ref="A105:F105"/>
    <mergeCell ref="C6:F6"/>
    <mergeCell ref="A1:B1"/>
    <mergeCell ref="D1:F1"/>
    <mergeCell ref="A2:F2"/>
    <mergeCell ref="A4:F4"/>
    <mergeCell ref="A5:F5"/>
  </mergeCells>
  <printOptions horizontalCentered="1"/>
  <pageMargins left="0" right="0" top="0.42" bottom="0.4" header="0.41" footer="0.37"/>
  <pageSetup paperSize="9" scale="9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8"/>
  <sheetViews>
    <sheetView showGridLines="0" showZeros="0" showOutlineSymbols="0" view="pageBreakPreview" topLeftCell="A5" zoomScaleNormal="100" zoomScaleSheetLayoutView="100" workbookViewId="0">
      <selection activeCell="D28" sqref="D28"/>
    </sheetView>
  </sheetViews>
  <sheetFormatPr defaultRowHeight="10.5" x14ac:dyDescent="0.25"/>
  <cols>
    <col min="1" max="1" width="4.28515625" style="3" customWidth="1"/>
    <col min="2" max="2" width="38.7109375" style="3" customWidth="1"/>
    <col min="3" max="3" width="8.42578125" style="3" customWidth="1"/>
    <col min="4" max="6" width="17.140625" style="3" customWidth="1"/>
    <col min="7" max="256" width="9.140625" style="3"/>
    <col min="257" max="257" width="4.28515625" style="3" customWidth="1"/>
    <col min="258" max="258" width="38.7109375" style="3" customWidth="1"/>
    <col min="259" max="259" width="8.42578125" style="3" customWidth="1"/>
    <col min="260" max="262" width="17.140625" style="3" customWidth="1"/>
    <col min="263" max="512" width="9.140625" style="3"/>
    <col min="513" max="513" width="4.28515625" style="3" customWidth="1"/>
    <col min="514" max="514" width="38.7109375" style="3" customWidth="1"/>
    <col min="515" max="515" width="8.42578125" style="3" customWidth="1"/>
    <col min="516" max="518" width="17.140625" style="3" customWidth="1"/>
    <col min="519" max="768" width="9.140625" style="3"/>
    <col min="769" max="769" width="4.28515625" style="3" customWidth="1"/>
    <col min="770" max="770" width="38.7109375" style="3" customWidth="1"/>
    <col min="771" max="771" width="8.42578125" style="3" customWidth="1"/>
    <col min="772" max="774" width="17.140625" style="3" customWidth="1"/>
    <col min="775" max="1024" width="9.140625" style="3"/>
    <col min="1025" max="1025" width="4.28515625" style="3" customWidth="1"/>
    <col min="1026" max="1026" width="38.7109375" style="3" customWidth="1"/>
    <col min="1027" max="1027" width="8.42578125" style="3" customWidth="1"/>
    <col min="1028" max="1030" width="17.140625" style="3" customWidth="1"/>
    <col min="1031" max="1280" width="9.140625" style="3"/>
    <col min="1281" max="1281" width="4.28515625" style="3" customWidth="1"/>
    <col min="1282" max="1282" width="38.7109375" style="3" customWidth="1"/>
    <col min="1283" max="1283" width="8.42578125" style="3" customWidth="1"/>
    <col min="1284" max="1286" width="17.140625" style="3" customWidth="1"/>
    <col min="1287" max="1536" width="9.140625" style="3"/>
    <col min="1537" max="1537" width="4.28515625" style="3" customWidth="1"/>
    <col min="1538" max="1538" width="38.7109375" style="3" customWidth="1"/>
    <col min="1539" max="1539" width="8.42578125" style="3" customWidth="1"/>
    <col min="1540" max="1542" width="17.140625" style="3" customWidth="1"/>
    <col min="1543" max="1792" width="9.140625" style="3"/>
    <col min="1793" max="1793" width="4.28515625" style="3" customWidth="1"/>
    <col min="1794" max="1794" width="38.7109375" style="3" customWidth="1"/>
    <col min="1795" max="1795" width="8.42578125" style="3" customWidth="1"/>
    <col min="1796" max="1798" width="17.140625" style="3" customWidth="1"/>
    <col min="1799" max="2048" width="9.140625" style="3"/>
    <col min="2049" max="2049" width="4.28515625" style="3" customWidth="1"/>
    <col min="2050" max="2050" width="38.7109375" style="3" customWidth="1"/>
    <col min="2051" max="2051" width="8.42578125" style="3" customWidth="1"/>
    <col min="2052" max="2054" width="17.140625" style="3" customWidth="1"/>
    <col min="2055" max="2304" width="9.140625" style="3"/>
    <col min="2305" max="2305" width="4.28515625" style="3" customWidth="1"/>
    <col min="2306" max="2306" width="38.7109375" style="3" customWidth="1"/>
    <col min="2307" max="2307" width="8.42578125" style="3" customWidth="1"/>
    <col min="2308" max="2310" width="17.140625" style="3" customWidth="1"/>
    <col min="2311" max="2560" width="9.140625" style="3"/>
    <col min="2561" max="2561" width="4.28515625" style="3" customWidth="1"/>
    <col min="2562" max="2562" width="38.7109375" style="3" customWidth="1"/>
    <col min="2563" max="2563" width="8.42578125" style="3" customWidth="1"/>
    <col min="2564" max="2566" width="17.140625" style="3" customWidth="1"/>
    <col min="2567" max="2816" width="9.140625" style="3"/>
    <col min="2817" max="2817" width="4.28515625" style="3" customWidth="1"/>
    <col min="2818" max="2818" width="38.7109375" style="3" customWidth="1"/>
    <col min="2819" max="2819" width="8.42578125" style="3" customWidth="1"/>
    <col min="2820" max="2822" width="17.140625" style="3" customWidth="1"/>
    <col min="2823" max="3072" width="9.140625" style="3"/>
    <col min="3073" max="3073" width="4.28515625" style="3" customWidth="1"/>
    <col min="3074" max="3074" width="38.7109375" style="3" customWidth="1"/>
    <col min="3075" max="3075" width="8.42578125" style="3" customWidth="1"/>
    <col min="3076" max="3078" width="17.140625" style="3" customWidth="1"/>
    <col min="3079" max="3328" width="9.140625" style="3"/>
    <col min="3329" max="3329" width="4.28515625" style="3" customWidth="1"/>
    <col min="3330" max="3330" width="38.7109375" style="3" customWidth="1"/>
    <col min="3331" max="3331" width="8.42578125" style="3" customWidth="1"/>
    <col min="3332" max="3334" width="17.140625" style="3" customWidth="1"/>
    <col min="3335" max="3584" width="9.140625" style="3"/>
    <col min="3585" max="3585" width="4.28515625" style="3" customWidth="1"/>
    <col min="3586" max="3586" width="38.7109375" style="3" customWidth="1"/>
    <col min="3587" max="3587" width="8.42578125" style="3" customWidth="1"/>
    <col min="3588" max="3590" width="17.140625" style="3" customWidth="1"/>
    <col min="3591" max="3840" width="9.140625" style="3"/>
    <col min="3841" max="3841" width="4.28515625" style="3" customWidth="1"/>
    <col min="3842" max="3842" width="38.7109375" style="3" customWidth="1"/>
    <col min="3843" max="3843" width="8.42578125" style="3" customWidth="1"/>
    <col min="3844" max="3846" width="17.140625" style="3" customWidth="1"/>
    <col min="3847" max="4096" width="9.140625" style="3"/>
    <col min="4097" max="4097" width="4.28515625" style="3" customWidth="1"/>
    <col min="4098" max="4098" width="38.7109375" style="3" customWidth="1"/>
    <col min="4099" max="4099" width="8.42578125" style="3" customWidth="1"/>
    <col min="4100" max="4102" width="17.140625" style="3" customWidth="1"/>
    <col min="4103" max="4352" width="9.140625" style="3"/>
    <col min="4353" max="4353" width="4.28515625" style="3" customWidth="1"/>
    <col min="4354" max="4354" width="38.7109375" style="3" customWidth="1"/>
    <col min="4355" max="4355" width="8.42578125" style="3" customWidth="1"/>
    <col min="4356" max="4358" width="17.140625" style="3" customWidth="1"/>
    <col min="4359" max="4608" width="9.140625" style="3"/>
    <col min="4609" max="4609" width="4.28515625" style="3" customWidth="1"/>
    <col min="4610" max="4610" width="38.7109375" style="3" customWidth="1"/>
    <col min="4611" max="4611" width="8.42578125" style="3" customWidth="1"/>
    <col min="4612" max="4614" width="17.140625" style="3" customWidth="1"/>
    <col min="4615" max="4864" width="9.140625" style="3"/>
    <col min="4865" max="4865" width="4.28515625" style="3" customWidth="1"/>
    <col min="4866" max="4866" width="38.7109375" style="3" customWidth="1"/>
    <col min="4867" max="4867" width="8.42578125" style="3" customWidth="1"/>
    <col min="4868" max="4870" width="17.140625" style="3" customWidth="1"/>
    <col min="4871" max="5120" width="9.140625" style="3"/>
    <col min="5121" max="5121" width="4.28515625" style="3" customWidth="1"/>
    <col min="5122" max="5122" width="38.7109375" style="3" customWidth="1"/>
    <col min="5123" max="5123" width="8.42578125" style="3" customWidth="1"/>
    <col min="5124" max="5126" width="17.140625" style="3" customWidth="1"/>
    <col min="5127" max="5376" width="9.140625" style="3"/>
    <col min="5377" max="5377" width="4.28515625" style="3" customWidth="1"/>
    <col min="5378" max="5378" width="38.7109375" style="3" customWidth="1"/>
    <col min="5379" max="5379" width="8.42578125" style="3" customWidth="1"/>
    <col min="5380" max="5382" width="17.140625" style="3" customWidth="1"/>
    <col min="5383" max="5632" width="9.140625" style="3"/>
    <col min="5633" max="5633" width="4.28515625" style="3" customWidth="1"/>
    <col min="5634" max="5634" width="38.7109375" style="3" customWidth="1"/>
    <col min="5635" max="5635" width="8.42578125" style="3" customWidth="1"/>
    <col min="5636" max="5638" width="17.140625" style="3" customWidth="1"/>
    <col min="5639" max="5888" width="9.140625" style="3"/>
    <col min="5889" max="5889" width="4.28515625" style="3" customWidth="1"/>
    <col min="5890" max="5890" width="38.7109375" style="3" customWidth="1"/>
    <col min="5891" max="5891" width="8.42578125" style="3" customWidth="1"/>
    <col min="5892" max="5894" width="17.140625" style="3" customWidth="1"/>
    <col min="5895" max="6144" width="9.140625" style="3"/>
    <col min="6145" max="6145" width="4.28515625" style="3" customWidth="1"/>
    <col min="6146" max="6146" width="38.7109375" style="3" customWidth="1"/>
    <col min="6147" max="6147" width="8.42578125" style="3" customWidth="1"/>
    <col min="6148" max="6150" width="17.140625" style="3" customWidth="1"/>
    <col min="6151" max="6400" width="9.140625" style="3"/>
    <col min="6401" max="6401" width="4.28515625" style="3" customWidth="1"/>
    <col min="6402" max="6402" width="38.7109375" style="3" customWidth="1"/>
    <col min="6403" max="6403" width="8.42578125" style="3" customWidth="1"/>
    <col min="6404" max="6406" width="17.140625" style="3" customWidth="1"/>
    <col min="6407" max="6656" width="9.140625" style="3"/>
    <col min="6657" max="6657" width="4.28515625" style="3" customWidth="1"/>
    <col min="6658" max="6658" width="38.7109375" style="3" customWidth="1"/>
    <col min="6659" max="6659" width="8.42578125" style="3" customWidth="1"/>
    <col min="6660" max="6662" width="17.140625" style="3" customWidth="1"/>
    <col min="6663" max="6912" width="9.140625" style="3"/>
    <col min="6913" max="6913" width="4.28515625" style="3" customWidth="1"/>
    <col min="6914" max="6914" width="38.7109375" style="3" customWidth="1"/>
    <col min="6915" max="6915" width="8.42578125" style="3" customWidth="1"/>
    <col min="6916" max="6918" width="17.140625" style="3" customWidth="1"/>
    <col min="6919" max="7168" width="9.140625" style="3"/>
    <col min="7169" max="7169" width="4.28515625" style="3" customWidth="1"/>
    <col min="7170" max="7170" width="38.7109375" style="3" customWidth="1"/>
    <col min="7171" max="7171" width="8.42578125" style="3" customWidth="1"/>
    <col min="7172" max="7174" width="17.140625" style="3" customWidth="1"/>
    <col min="7175" max="7424" width="9.140625" style="3"/>
    <col min="7425" max="7425" width="4.28515625" style="3" customWidth="1"/>
    <col min="7426" max="7426" width="38.7109375" style="3" customWidth="1"/>
    <col min="7427" max="7427" width="8.42578125" style="3" customWidth="1"/>
    <col min="7428" max="7430" width="17.140625" style="3" customWidth="1"/>
    <col min="7431" max="7680" width="9.140625" style="3"/>
    <col min="7681" max="7681" width="4.28515625" style="3" customWidth="1"/>
    <col min="7682" max="7682" width="38.7109375" style="3" customWidth="1"/>
    <col min="7683" max="7683" width="8.42578125" style="3" customWidth="1"/>
    <col min="7684" max="7686" width="17.140625" style="3" customWidth="1"/>
    <col min="7687" max="7936" width="9.140625" style="3"/>
    <col min="7937" max="7937" width="4.28515625" style="3" customWidth="1"/>
    <col min="7938" max="7938" width="38.7109375" style="3" customWidth="1"/>
    <col min="7939" max="7939" width="8.42578125" style="3" customWidth="1"/>
    <col min="7940" max="7942" width="17.140625" style="3" customWidth="1"/>
    <col min="7943" max="8192" width="9.140625" style="3"/>
    <col min="8193" max="8193" width="4.28515625" style="3" customWidth="1"/>
    <col min="8194" max="8194" width="38.7109375" style="3" customWidth="1"/>
    <col min="8195" max="8195" width="8.42578125" style="3" customWidth="1"/>
    <col min="8196" max="8198" width="17.140625" style="3" customWidth="1"/>
    <col min="8199" max="8448" width="9.140625" style="3"/>
    <col min="8449" max="8449" width="4.28515625" style="3" customWidth="1"/>
    <col min="8450" max="8450" width="38.7109375" style="3" customWidth="1"/>
    <col min="8451" max="8451" width="8.42578125" style="3" customWidth="1"/>
    <col min="8452" max="8454" width="17.140625" style="3" customWidth="1"/>
    <col min="8455" max="8704" width="9.140625" style="3"/>
    <col min="8705" max="8705" width="4.28515625" style="3" customWidth="1"/>
    <col min="8706" max="8706" width="38.7109375" style="3" customWidth="1"/>
    <col min="8707" max="8707" width="8.42578125" style="3" customWidth="1"/>
    <col min="8708" max="8710" width="17.140625" style="3" customWidth="1"/>
    <col min="8711" max="8960" width="9.140625" style="3"/>
    <col min="8961" max="8961" width="4.28515625" style="3" customWidth="1"/>
    <col min="8962" max="8962" width="38.7109375" style="3" customWidth="1"/>
    <col min="8963" max="8963" width="8.42578125" style="3" customWidth="1"/>
    <col min="8964" max="8966" width="17.140625" style="3" customWidth="1"/>
    <col min="8967" max="9216" width="9.140625" style="3"/>
    <col min="9217" max="9217" width="4.28515625" style="3" customWidth="1"/>
    <col min="9218" max="9218" width="38.7109375" style="3" customWidth="1"/>
    <col min="9219" max="9219" width="8.42578125" style="3" customWidth="1"/>
    <col min="9220" max="9222" width="17.140625" style="3" customWidth="1"/>
    <col min="9223" max="9472" width="9.140625" style="3"/>
    <col min="9473" max="9473" width="4.28515625" style="3" customWidth="1"/>
    <col min="9474" max="9474" width="38.7109375" style="3" customWidth="1"/>
    <col min="9475" max="9475" width="8.42578125" style="3" customWidth="1"/>
    <col min="9476" max="9478" width="17.140625" style="3" customWidth="1"/>
    <col min="9479" max="9728" width="9.140625" style="3"/>
    <col min="9729" max="9729" width="4.28515625" style="3" customWidth="1"/>
    <col min="9730" max="9730" width="38.7109375" style="3" customWidth="1"/>
    <col min="9731" max="9731" width="8.42578125" style="3" customWidth="1"/>
    <col min="9732" max="9734" width="17.140625" style="3" customWidth="1"/>
    <col min="9735" max="9984" width="9.140625" style="3"/>
    <col min="9985" max="9985" width="4.28515625" style="3" customWidth="1"/>
    <col min="9986" max="9986" width="38.7109375" style="3" customWidth="1"/>
    <col min="9987" max="9987" width="8.42578125" style="3" customWidth="1"/>
    <col min="9988" max="9990" width="17.140625" style="3" customWidth="1"/>
    <col min="9991" max="10240" width="9.140625" style="3"/>
    <col min="10241" max="10241" width="4.28515625" style="3" customWidth="1"/>
    <col min="10242" max="10242" width="38.7109375" style="3" customWidth="1"/>
    <col min="10243" max="10243" width="8.42578125" style="3" customWidth="1"/>
    <col min="10244" max="10246" width="17.140625" style="3" customWidth="1"/>
    <col min="10247" max="10496" width="9.140625" style="3"/>
    <col min="10497" max="10497" width="4.28515625" style="3" customWidth="1"/>
    <col min="10498" max="10498" width="38.7109375" style="3" customWidth="1"/>
    <col min="10499" max="10499" width="8.42578125" style="3" customWidth="1"/>
    <col min="10500" max="10502" width="17.140625" style="3" customWidth="1"/>
    <col min="10503" max="10752" width="9.140625" style="3"/>
    <col min="10753" max="10753" width="4.28515625" style="3" customWidth="1"/>
    <col min="10754" max="10754" width="38.7109375" style="3" customWidth="1"/>
    <col min="10755" max="10755" width="8.42578125" style="3" customWidth="1"/>
    <col min="10756" max="10758" width="17.140625" style="3" customWidth="1"/>
    <col min="10759" max="11008" width="9.140625" style="3"/>
    <col min="11009" max="11009" width="4.28515625" style="3" customWidth="1"/>
    <col min="11010" max="11010" width="38.7109375" style="3" customWidth="1"/>
    <col min="11011" max="11011" width="8.42578125" style="3" customWidth="1"/>
    <col min="11012" max="11014" width="17.140625" style="3" customWidth="1"/>
    <col min="11015" max="11264" width="9.140625" style="3"/>
    <col min="11265" max="11265" width="4.28515625" style="3" customWidth="1"/>
    <col min="11266" max="11266" width="38.7109375" style="3" customWidth="1"/>
    <col min="11267" max="11267" width="8.42578125" style="3" customWidth="1"/>
    <col min="11268" max="11270" width="17.140625" style="3" customWidth="1"/>
    <col min="11271" max="11520" width="9.140625" style="3"/>
    <col min="11521" max="11521" width="4.28515625" style="3" customWidth="1"/>
    <col min="11522" max="11522" width="38.7109375" style="3" customWidth="1"/>
    <col min="11523" max="11523" width="8.42578125" style="3" customWidth="1"/>
    <col min="11524" max="11526" width="17.140625" style="3" customWidth="1"/>
    <col min="11527" max="11776" width="9.140625" style="3"/>
    <col min="11777" max="11777" width="4.28515625" style="3" customWidth="1"/>
    <col min="11778" max="11778" width="38.7109375" style="3" customWidth="1"/>
    <col min="11779" max="11779" width="8.42578125" style="3" customWidth="1"/>
    <col min="11780" max="11782" width="17.140625" style="3" customWidth="1"/>
    <col min="11783" max="12032" width="9.140625" style="3"/>
    <col min="12033" max="12033" width="4.28515625" style="3" customWidth="1"/>
    <col min="12034" max="12034" width="38.7109375" style="3" customWidth="1"/>
    <col min="12035" max="12035" width="8.42578125" style="3" customWidth="1"/>
    <col min="12036" max="12038" width="17.140625" style="3" customWidth="1"/>
    <col min="12039" max="12288" width="9.140625" style="3"/>
    <col min="12289" max="12289" width="4.28515625" style="3" customWidth="1"/>
    <col min="12290" max="12290" width="38.7109375" style="3" customWidth="1"/>
    <col min="12291" max="12291" width="8.42578125" style="3" customWidth="1"/>
    <col min="12292" max="12294" width="17.140625" style="3" customWidth="1"/>
    <col min="12295" max="12544" width="9.140625" style="3"/>
    <col min="12545" max="12545" width="4.28515625" style="3" customWidth="1"/>
    <col min="12546" max="12546" width="38.7109375" style="3" customWidth="1"/>
    <col min="12547" max="12547" width="8.42578125" style="3" customWidth="1"/>
    <col min="12548" max="12550" width="17.140625" style="3" customWidth="1"/>
    <col min="12551" max="12800" width="9.140625" style="3"/>
    <col min="12801" max="12801" width="4.28515625" style="3" customWidth="1"/>
    <col min="12802" max="12802" width="38.7109375" style="3" customWidth="1"/>
    <col min="12803" max="12803" width="8.42578125" style="3" customWidth="1"/>
    <col min="12804" max="12806" width="17.140625" style="3" customWidth="1"/>
    <col min="12807" max="13056" width="9.140625" style="3"/>
    <col min="13057" max="13057" width="4.28515625" style="3" customWidth="1"/>
    <col min="13058" max="13058" width="38.7109375" style="3" customWidth="1"/>
    <col min="13059" max="13059" width="8.42578125" style="3" customWidth="1"/>
    <col min="13060" max="13062" width="17.140625" style="3" customWidth="1"/>
    <col min="13063" max="13312" width="9.140625" style="3"/>
    <col min="13313" max="13313" width="4.28515625" style="3" customWidth="1"/>
    <col min="13314" max="13314" width="38.7109375" style="3" customWidth="1"/>
    <col min="13315" max="13315" width="8.42578125" style="3" customWidth="1"/>
    <col min="13316" max="13318" width="17.140625" style="3" customWidth="1"/>
    <col min="13319" max="13568" width="9.140625" style="3"/>
    <col min="13569" max="13569" width="4.28515625" style="3" customWidth="1"/>
    <col min="13570" max="13570" width="38.7109375" style="3" customWidth="1"/>
    <col min="13571" max="13571" width="8.42578125" style="3" customWidth="1"/>
    <col min="13572" max="13574" width="17.140625" style="3" customWidth="1"/>
    <col min="13575" max="13824" width="9.140625" style="3"/>
    <col min="13825" max="13825" width="4.28515625" style="3" customWidth="1"/>
    <col min="13826" max="13826" width="38.7109375" style="3" customWidth="1"/>
    <col min="13827" max="13827" width="8.42578125" style="3" customWidth="1"/>
    <col min="13828" max="13830" width="17.140625" style="3" customWidth="1"/>
    <col min="13831" max="14080" width="9.140625" style="3"/>
    <col min="14081" max="14081" width="4.28515625" style="3" customWidth="1"/>
    <col min="14082" max="14082" width="38.7109375" style="3" customWidth="1"/>
    <col min="14083" max="14083" width="8.42578125" style="3" customWidth="1"/>
    <col min="14084" max="14086" width="17.140625" style="3" customWidth="1"/>
    <col min="14087" max="14336" width="9.140625" style="3"/>
    <col min="14337" max="14337" width="4.28515625" style="3" customWidth="1"/>
    <col min="14338" max="14338" width="38.7109375" style="3" customWidth="1"/>
    <col min="14339" max="14339" width="8.42578125" style="3" customWidth="1"/>
    <col min="14340" max="14342" width="17.140625" style="3" customWidth="1"/>
    <col min="14343" max="14592" width="9.140625" style="3"/>
    <col min="14593" max="14593" width="4.28515625" style="3" customWidth="1"/>
    <col min="14594" max="14594" width="38.7109375" style="3" customWidth="1"/>
    <col min="14595" max="14595" width="8.42578125" style="3" customWidth="1"/>
    <col min="14596" max="14598" width="17.140625" style="3" customWidth="1"/>
    <col min="14599" max="14848" width="9.140625" style="3"/>
    <col min="14849" max="14849" width="4.28515625" style="3" customWidth="1"/>
    <col min="14850" max="14850" width="38.7109375" style="3" customWidth="1"/>
    <col min="14851" max="14851" width="8.42578125" style="3" customWidth="1"/>
    <col min="14852" max="14854" width="17.140625" style="3" customWidth="1"/>
    <col min="14855" max="15104" width="9.140625" style="3"/>
    <col min="15105" max="15105" width="4.28515625" style="3" customWidth="1"/>
    <col min="15106" max="15106" width="38.7109375" style="3" customWidth="1"/>
    <col min="15107" max="15107" width="8.42578125" style="3" customWidth="1"/>
    <col min="15108" max="15110" width="17.140625" style="3" customWidth="1"/>
    <col min="15111" max="15360" width="9.140625" style="3"/>
    <col min="15361" max="15361" width="4.28515625" style="3" customWidth="1"/>
    <col min="15362" max="15362" width="38.7109375" style="3" customWidth="1"/>
    <col min="15363" max="15363" width="8.42578125" style="3" customWidth="1"/>
    <col min="15364" max="15366" width="17.140625" style="3" customWidth="1"/>
    <col min="15367" max="15616" width="9.140625" style="3"/>
    <col min="15617" max="15617" width="4.28515625" style="3" customWidth="1"/>
    <col min="15618" max="15618" width="38.7109375" style="3" customWidth="1"/>
    <col min="15619" max="15619" width="8.42578125" style="3" customWidth="1"/>
    <col min="15620" max="15622" width="17.140625" style="3" customWidth="1"/>
    <col min="15623" max="15872" width="9.140625" style="3"/>
    <col min="15873" max="15873" width="4.28515625" style="3" customWidth="1"/>
    <col min="15874" max="15874" width="38.7109375" style="3" customWidth="1"/>
    <col min="15875" max="15875" width="8.42578125" style="3" customWidth="1"/>
    <col min="15876" max="15878" width="17.140625" style="3" customWidth="1"/>
    <col min="15879" max="16128" width="9.140625" style="3"/>
    <col min="16129" max="16129" width="4.28515625" style="3" customWidth="1"/>
    <col min="16130" max="16130" width="38.7109375" style="3" customWidth="1"/>
    <col min="16131" max="16131" width="8.42578125" style="3" customWidth="1"/>
    <col min="16132" max="16134" width="17.140625" style="3" customWidth="1"/>
    <col min="16135" max="16384" width="9.140625" style="3"/>
  </cols>
  <sheetData>
    <row r="1" spans="1:6" ht="41.25" customHeight="1" x14ac:dyDescent="0.25">
      <c r="A1" s="268"/>
      <c r="B1" s="268"/>
      <c r="C1" s="2"/>
      <c r="D1" s="281" t="s">
        <v>0</v>
      </c>
      <c r="E1" s="281"/>
      <c r="F1" s="281"/>
    </row>
    <row r="2" spans="1:6" ht="27.75" customHeight="1" x14ac:dyDescent="0.25">
      <c r="A2" s="270" t="s">
        <v>108</v>
      </c>
      <c r="B2" s="270"/>
      <c r="C2" s="270"/>
      <c r="D2" s="270"/>
      <c r="E2" s="270"/>
      <c r="F2" s="270"/>
    </row>
    <row r="3" spans="1:6" ht="11.25" customHeight="1" x14ac:dyDescent="0.25">
      <c r="A3" s="1"/>
      <c r="B3" s="1"/>
      <c r="C3" s="1"/>
      <c r="D3" s="1"/>
      <c r="E3" s="1"/>
      <c r="F3" s="1"/>
    </row>
    <row r="4" spans="1:6" ht="22.5" customHeight="1" x14ac:dyDescent="0.25">
      <c r="A4" s="271" t="s">
        <v>2</v>
      </c>
      <c r="B4" s="271"/>
      <c r="C4" s="271"/>
      <c r="D4" s="271"/>
      <c r="E4" s="271"/>
      <c r="F4" s="271"/>
    </row>
    <row r="5" spans="1:6" ht="15.75" customHeight="1" x14ac:dyDescent="0.25">
      <c r="A5" s="280" t="s">
        <v>109</v>
      </c>
      <c r="B5" s="280"/>
      <c r="C5" s="280"/>
      <c r="D5" s="280"/>
      <c r="E5" s="280"/>
      <c r="F5" s="280"/>
    </row>
    <row r="6" spans="1:6" ht="15" customHeight="1" x14ac:dyDescent="0.25">
      <c r="A6" s="4" t="s">
        <v>4</v>
      </c>
      <c r="B6" s="37" t="s">
        <v>5</v>
      </c>
      <c r="C6" s="267" t="s">
        <v>6</v>
      </c>
      <c r="D6" s="267"/>
      <c r="E6" s="267"/>
      <c r="F6" s="267"/>
    </row>
    <row r="7" spans="1:6" ht="15" customHeight="1" x14ac:dyDescent="0.25">
      <c r="A7" s="1"/>
      <c r="B7" s="1" t="s">
        <v>7</v>
      </c>
      <c r="C7" s="268" t="s">
        <v>8</v>
      </c>
      <c r="D7" s="268"/>
      <c r="E7" s="268"/>
      <c r="F7" s="268"/>
    </row>
    <row r="8" spans="1:6" ht="15" customHeight="1" x14ac:dyDescent="0.25">
      <c r="A8" s="7" t="s">
        <v>9</v>
      </c>
      <c r="B8" s="37" t="s">
        <v>10</v>
      </c>
      <c r="C8" s="267" t="s">
        <v>11</v>
      </c>
      <c r="D8" s="267"/>
      <c r="E8" s="267"/>
      <c r="F8" s="267"/>
    </row>
    <row r="9" spans="1:6" ht="15" customHeight="1" x14ac:dyDescent="0.25">
      <c r="A9" s="1"/>
      <c r="B9" s="1" t="s">
        <v>12</v>
      </c>
      <c r="C9" s="268" t="s">
        <v>13</v>
      </c>
      <c r="D9" s="268"/>
      <c r="E9" s="268"/>
      <c r="F9" s="268"/>
    </row>
    <row r="10" spans="1:6" ht="15" customHeight="1" x14ac:dyDescent="0.25">
      <c r="A10" s="7" t="s">
        <v>14</v>
      </c>
      <c r="B10" s="37" t="s">
        <v>110</v>
      </c>
      <c r="C10" s="267" t="s">
        <v>16</v>
      </c>
      <c r="D10" s="267"/>
      <c r="E10" s="267"/>
      <c r="F10" s="267"/>
    </row>
    <row r="11" spans="1:6" ht="15" customHeight="1" x14ac:dyDescent="0.25">
      <c r="A11" s="1"/>
      <c r="B11" s="1" t="s">
        <v>17</v>
      </c>
      <c r="C11" s="268" t="s">
        <v>18</v>
      </c>
      <c r="D11" s="268"/>
      <c r="E11" s="268"/>
      <c r="F11" s="268"/>
    </row>
    <row r="12" spans="1:6" ht="15" customHeight="1" x14ac:dyDescent="0.25">
      <c r="A12" s="7" t="s">
        <v>19</v>
      </c>
      <c r="B12" s="37" t="s">
        <v>20</v>
      </c>
      <c r="C12" s="274">
        <v>44259</v>
      </c>
      <c r="D12" s="267"/>
      <c r="E12" s="267"/>
      <c r="F12" s="267"/>
    </row>
    <row r="13" spans="1:6" ht="15" customHeight="1" x14ac:dyDescent="0.25">
      <c r="A13" s="1"/>
      <c r="B13" s="1" t="s">
        <v>21</v>
      </c>
      <c r="C13" s="275">
        <v>44259</v>
      </c>
      <c r="D13" s="268"/>
      <c r="E13" s="268"/>
      <c r="F13" s="268"/>
    </row>
    <row r="14" spans="1:6" ht="15" customHeight="1" x14ac:dyDescent="0.25">
      <c r="A14" s="1"/>
      <c r="B14" s="1"/>
      <c r="C14" s="1"/>
      <c r="D14" s="1"/>
      <c r="E14" s="1"/>
      <c r="F14" s="1"/>
    </row>
    <row r="15" spans="1:6" ht="15.75" customHeight="1" x14ac:dyDescent="0.25">
      <c r="A15" s="276" t="s">
        <v>111</v>
      </c>
      <c r="B15" s="276"/>
      <c r="C15" s="276"/>
      <c r="D15" s="276"/>
      <c r="E15" s="276"/>
      <c r="F15" s="276"/>
    </row>
    <row r="16" spans="1:6" ht="15.75" customHeight="1" x14ac:dyDescent="0.25">
      <c r="A16" s="267" t="s">
        <v>112</v>
      </c>
      <c r="B16" s="267"/>
      <c r="C16" s="267"/>
      <c r="D16" s="267"/>
      <c r="E16" s="267"/>
      <c r="F16" s="267"/>
    </row>
    <row r="17" spans="1:6" ht="15.75" customHeight="1" x14ac:dyDescent="0.25">
      <c r="A17" s="9"/>
      <c r="B17" s="38"/>
      <c r="C17" s="9"/>
      <c r="D17" s="9"/>
      <c r="E17" s="277" t="s">
        <v>24</v>
      </c>
      <c r="F17" s="277"/>
    </row>
    <row r="18" spans="1:6" ht="52.5" x14ac:dyDescent="0.25">
      <c r="A18" s="11" t="s">
        <v>113</v>
      </c>
      <c r="B18" s="12" t="s">
        <v>114</v>
      </c>
      <c r="C18" s="12" t="s">
        <v>27</v>
      </c>
      <c r="D18" s="12" t="s">
        <v>115</v>
      </c>
      <c r="E18" s="12" t="s">
        <v>116</v>
      </c>
      <c r="F18" s="13" t="s">
        <v>117</v>
      </c>
    </row>
    <row r="19" spans="1:6" ht="21" x14ac:dyDescent="0.25">
      <c r="A19" s="39" t="s">
        <v>32</v>
      </c>
      <c r="B19" s="40" t="s">
        <v>118</v>
      </c>
      <c r="C19" s="332" t="s">
        <v>119</v>
      </c>
      <c r="D19" s="18">
        <v>17812210</v>
      </c>
      <c r="E19" s="18">
        <v>41863658</v>
      </c>
      <c r="F19" s="42">
        <v>59675868</v>
      </c>
    </row>
    <row r="20" spans="1:6" ht="21" x14ac:dyDescent="0.25">
      <c r="A20" s="43" t="s">
        <v>4</v>
      </c>
      <c r="B20" s="44" t="s">
        <v>120</v>
      </c>
      <c r="C20" s="333"/>
      <c r="D20" s="25">
        <v>0</v>
      </c>
      <c r="E20" s="25">
        <v>0</v>
      </c>
      <c r="F20" s="46">
        <v>0</v>
      </c>
    </row>
    <row r="21" spans="1:6" ht="21" x14ac:dyDescent="0.25">
      <c r="A21" s="43" t="s">
        <v>9</v>
      </c>
      <c r="B21" s="44" t="s">
        <v>121</v>
      </c>
      <c r="C21" s="333" t="s">
        <v>122</v>
      </c>
      <c r="D21" s="25">
        <v>0</v>
      </c>
      <c r="E21" s="25">
        <v>0</v>
      </c>
      <c r="F21" s="46">
        <v>0</v>
      </c>
    </row>
    <row r="22" spans="1:6" ht="21" x14ac:dyDescent="0.25">
      <c r="A22" s="47"/>
      <c r="B22" s="48" t="s">
        <v>123</v>
      </c>
      <c r="C22" s="334" t="s">
        <v>124</v>
      </c>
      <c r="D22" s="49">
        <v>0</v>
      </c>
      <c r="E22" s="49">
        <v>0</v>
      </c>
      <c r="F22" s="50">
        <v>0</v>
      </c>
    </row>
    <row r="23" spans="1:6" ht="21" x14ac:dyDescent="0.25">
      <c r="A23" s="47"/>
      <c r="B23" s="48" t="s">
        <v>125</v>
      </c>
      <c r="C23" s="334" t="s">
        <v>126</v>
      </c>
      <c r="D23" s="49">
        <v>0</v>
      </c>
      <c r="E23" s="49">
        <v>0</v>
      </c>
      <c r="F23" s="50">
        <v>0</v>
      </c>
    </row>
    <row r="24" spans="1:6" ht="21" x14ac:dyDescent="0.25">
      <c r="A24" s="43" t="s">
        <v>14</v>
      </c>
      <c r="B24" s="44" t="s">
        <v>127</v>
      </c>
      <c r="C24" s="333" t="s">
        <v>128</v>
      </c>
      <c r="D24" s="25">
        <v>17812210</v>
      </c>
      <c r="E24" s="25">
        <v>41863658</v>
      </c>
      <c r="F24" s="46">
        <v>59675868</v>
      </c>
    </row>
    <row r="25" spans="1:6" ht="21" x14ac:dyDescent="0.25">
      <c r="A25" s="47"/>
      <c r="B25" s="48" t="s">
        <v>129</v>
      </c>
      <c r="C25" s="334" t="s">
        <v>130</v>
      </c>
      <c r="D25" s="49">
        <v>17812210</v>
      </c>
      <c r="E25" s="49">
        <v>41863658</v>
      </c>
      <c r="F25" s="50">
        <v>59675868</v>
      </c>
    </row>
    <row r="26" spans="1:6" ht="21" x14ac:dyDescent="0.25">
      <c r="A26" s="47"/>
      <c r="B26" s="48" t="s">
        <v>131</v>
      </c>
      <c r="C26" s="334" t="s">
        <v>132</v>
      </c>
      <c r="D26" s="49">
        <v>0</v>
      </c>
      <c r="E26" s="49">
        <v>0</v>
      </c>
      <c r="F26" s="50">
        <v>0</v>
      </c>
    </row>
    <row r="27" spans="1:6" ht="21" x14ac:dyDescent="0.25">
      <c r="A27" s="43" t="s">
        <v>19</v>
      </c>
      <c r="B27" s="44" t="s">
        <v>133</v>
      </c>
      <c r="C27" s="333" t="s">
        <v>134</v>
      </c>
      <c r="D27" s="25">
        <v>0</v>
      </c>
      <c r="E27" s="25">
        <v>0</v>
      </c>
      <c r="F27" s="46">
        <v>0</v>
      </c>
    </row>
    <row r="28" spans="1:6" ht="21" x14ac:dyDescent="0.25">
      <c r="A28" s="47"/>
      <c r="B28" s="48" t="s">
        <v>135</v>
      </c>
      <c r="C28" s="334" t="s">
        <v>136</v>
      </c>
      <c r="D28" s="49">
        <v>0</v>
      </c>
      <c r="E28" s="49">
        <v>0</v>
      </c>
      <c r="F28" s="50">
        <v>0</v>
      </c>
    </row>
    <row r="29" spans="1:6" ht="21" x14ac:dyDescent="0.25">
      <c r="A29" s="47"/>
      <c r="B29" s="48" t="s">
        <v>137</v>
      </c>
      <c r="C29" s="334" t="s">
        <v>138</v>
      </c>
      <c r="D29" s="49">
        <v>0</v>
      </c>
      <c r="E29" s="49">
        <v>0</v>
      </c>
      <c r="F29" s="50">
        <v>0</v>
      </c>
    </row>
    <row r="30" spans="1:6" ht="53.25" customHeight="1" x14ac:dyDescent="0.25">
      <c r="A30" s="47"/>
      <c r="B30" s="48" t="s">
        <v>139</v>
      </c>
      <c r="C30" s="334" t="s">
        <v>140</v>
      </c>
      <c r="D30" s="49">
        <v>0</v>
      </c>
      <c r="E30" s="49">
        <v>0</v>
      </c>
      <c r="F30" s="50">
        <v>0</v>
      </c>
    </row>
    <row r="31" spans="1:6" ht="21" x14ac:dyDescent="0.25">
      <c r="A31" s="39" t="s">
        <v>34</v>
      </c>
      <c r="B31" s="40" t="s">
        <v>141</v>
      </c>
      <c r="C31" s="332" t="s">
        <v>142</v>
      </c>
      <c r="D31" s="18">
        <v>6696505173</v>
      </c>
      <c r="E31" s="18">
        <v>5771272892</v>
      </c>
      <c r="F31" s="42">
        <v>12467778065</v>
      </c>
    </row>
    <row r="32" spans="1:6" ht="22.5" customHeight="1" x14ac:dyDescent="0.25">
      <c r="A32" s="43" t="s">
        <v>4</v>
      </c>
      <c r="B32" s="44" t="s">
        <v>143</v>
      </c>
      <c r="C32" s="333" t="s">
        <v>144</v>
      </c>
      <c r="D32" s="25">
        <v>5047597452</v>
      </c>
      <c r="E32" s="25">
        <v>4232955988</v>
      </c>
      <c r="F32" s="46">
        <v>9280553440</v>
      </c>
    </row>
    <row r="33" spans="1:6" ht="21" x14ac:dyDescent="0.25">
      <c r="A33" s="43" t="s">
        <v>9</v>
      </c>
      <c r="B33" s="44" t="s">
        <v>145</v>
      </c>
      <c r="C33" s="333" t="s">
        <v>146</v>
      </c>
      <c r="D33" s="25">
        <v>449015803</v>
      </c>
      <c r="E33" s="25">
        <v>374353416</v>
      </c>
      <c r="F33" s="46">
        <v>823369219</v>
      </c>
    </row>
    <row r="34" spans="1:6" ht="21" x14ac:dyDescent="0.25">
      <c r="A34" s="47"/>
      <c r="B34" s="48" t="s">
        <v>147</v>
      </c>
      <c r="C34" s="334" t="s">
        <v>148</v>
      </c>
      <c r="D34" s="49">
        <v>126189937</v>
      </c>
      <c r="E34" s="49">
        <v>105823898</v>
      </c>
      <c r="F34" s="50">
        <v>232013835</v>
      </c>
    </row>
    <row r="35" spans="1:6" ht="21" x14ac:dyDescent="0.25">
      <c r="A35" s="47"/>
      <c r="B35" s="48" t="s">
        <v>149</v>
      </c>
      <c r="C35" s="334" t="s">
        <v>150</v>
      </c>
      <c r="D35" s="49">
        <v>3700000</v>
      </c>
      <c r="E35" s="49">
        <v>3700000</v>
      </c>
      <c r="F35" s="50">
        <v>7400000</v>
      </c>
    </row>
    <row r="36" spans="1:6" ht="21" x14ac:dyDescent="0.25">
      <c r="A36" s="47"/>
      <c r="B36" s="48" t="s">
        <v>151</v>
      </c>
      <c r="C36" s="334" t="s">
        <v>152</v>
      </c>
      <c r="D36" s="49">
        <v>41508007</v>
      </c>
      <c r="E36" s="49">
        <v>32016936</v>
      </c>
      <c r="F36" s="50">
        <v>73524943</v>
      </c>
    </row>
    <row r="37" spans="1:6" ht="21" x14ac:dyDescent="0.25">
      <c r="A37" s="47"/>
      <c r="B37" s="48" t="s">
        <v>153</v>
      </c>
      <c r="C37" s="334" t="s">
        <v>154</v>
      </c>
      <c r="D37" s="49">
        <v>277617859</v>
      </c>
      <c r="E37" s="49">
        <v>232812582</v>
      </c>
      <c r="F37" s="50">
        <v>510430441</v>
      </c>
    </row>
    <row r="38" spans="1:6" ht="42" x14ac:dyDescent="0.25">
      <c r="A38" s="47"/>
      <c r="B38" s="48" t="s">
        <v>155</v>
      </c>
      <c r="C38" s="334" t="s">
        <v>156</v>
      </c>
      <c r="D38" s="49">
        <v>0</v>
      </c>
      <c r="E38" s="49">
        <v>0</v>
      </c>
      <c r="F38" s="50">
        <v>0</v>
      </c>
    </row>
    <row r="39" spans="1:6" ht="52.5" x14ac:dyDescent="0.25">
      <c r="A39" s="43" t="s">
        <v>14</v>
      </c>
      <c r="B39" s="44" t="s">
        <v>157</v>
      </c>
      <c r="C39" s="333" t="s">
        <v>158</v>
      </c>
      <c r="D39" s="25">
        <v>712163644</v>
      </c>
      <c r="E39" s="25">
        <v>598113837</v>
      </c>
      <c r="F39" s="46">
        <v>1310277481</v>
      </c>
    </row>
    <row r="40" spans="1:6" ht="21" x14ac:dyDescent="0.25">
      <c r="A40" s="47"/>
      <c r="B40" s="48" t="s">
        <v>159</v>
      </c>
      <c r="C40" s="334" t="s">
        <v>160</v>
      </c>
      <c r="D40" s="49">
        <v>138808931</v>
      </c>
      <c r="E40" s="49">
        <v>116406287</v>
      </c>
      <c r="F40" s="50">
        <v>255215218</v>
      </c>
    </row>
    <row r="41" spans="1:6" ht="21" x14ac:dyDescent="0.25">
      <c r="A41" s="47"/>
      <c r="B41" s="48" t="s">
        <v>161</v>
      </c>
      <c r="C41" s="334" t="s">
        <v>162</v>
      </c>
      <c r="D41" s="49">
        <v>5500000</v>
      </c>
      <c r="E41" s="49">
        <v>5500000</v>
      </c>
      <c r="F41" s="50">
        <v>11000000</v>
      </c>
    </row>
    <row r="42" spans="1:6" ht="31.5" x14ac:dyDescent="0.25">
      <c r="A42" s="47"/>
      <c r="B42" s="48" t="s">
        <v>163</v>
      </c>
      <c r="C42" s="334" t="s">
        <v>164</v>
      </c>
      <c r="D42" s="49">
        <v>315474841</v>
      </c>
      <c r="E42" s="49">
        <v>264559748</v>
      </c>
      <c r="F42" s="50">
        <v>580034589</v>
      </c>
    </row>
    <row r="43" spans="1:6" ht="21" x14ac:dyDescent="0.25">
      <c r="A43" s="47"/>
      <c r="B43" s="48" t="s">
        <v>165</v>
      </c>
      <c r="C43" s="334" t="s">
        <v>166</v>
      </c>
      <c r="D43" s="49">
        <v>252379872</v>
      </c>
      <c r="E43" s="49">
        <v>211647802</v>
      </c>
      <c r="F43" s="50">
        <v>464027674</v>
      </c>
    </row>
    <row r="44" spans="1:6" ht="21" x14ac:dyDescent="0.25">
      <c r="A44" s="43" t="s">
        <v>19</v>
      </c>
      <c r="B44" s="44" t="s">
        <v>167</v>
      </c>
      <c r="C44" s="333"/>
      <c r="D44" s="25">
        <v>0</v>
      </c>
      <c r="E44" s="25">
        <v>0</v>
      </c>
      <c r="F44" s="46">
        <v>0</v>
      </c>
    </row>
    <row r="45" spans="1:6" ht="21" x14ac:dyDescent="0.25">
      <c r="A45" s="43" t="s">
        <v>40</v>
      </c>
      <c r="B45" s="44" t="s">
        <v>168</v>
      </c>
      <c r="C45" s="333"/>
      <c r="D45" s="25">
        <v>0</v>
      </c>
      <c r="E45" s="25">
        <v>0</v>
      </c>
      <c r="F45" s="46">
        <v>0</v>
      </c>
    </row>
    <row r="46" spans="1:6" ht="21" x14ac:dyDescent="0.25">
      <c r="A46" s="43" t="s">
        <v>42</v>
      </c>
      <c r="B46" s="44" t="s">
        <v>169</v>
      </c>
      <c r="C46" s="333" t="s">
        <v>170</v>
      </c>
      <c r="D46" s="25">
        <v>8438359</v>
      </c>
      <c r="E46" s="25">
        <v>9342470</v>
      </c>
      <c r="F46" s="46">
        <v>17780829</v>
      </c>
    </row>
    <row r="47" spans="1:6" ht="54" customHeight="1" x14ac:dyDescent="0.25">
      <c r="A47" s="43" t="s">
        <v>44</v>
      </c>
      <c r="B47" s="44" t="s">
        <v>171</v>
      </c>
      <c r="C47" s="333" t="s">
        <v>172</v>
      </c>
      <c r="D47" s="25">
        <v>9690403</v>
      </c>
      <c r="E47" s="25">
        <v>9764372</v>
      </c>
      <c r="F47" s="46">
        <v>19454775</v>
      </c>
    </row>
    <row r="48" spans="1:6" ht="21" x14ac:dyDescent="0.25">
      <c r="A48" s="47"/>
      <c r="B48" s="48" t="s">
        <v>173</v>
      </c>
      <c r="C48" s="334" t="s">
        <v>174</v>
      </c>
      <c r="D48" s="49">
        <v>9690403</v>
      </c>
      <c r="E48" s="49">
        <v>9764372</v>
      </c>
      <c r="F48" s="50">
        <v>19454775</v>
      </c>
    </row>
    <row r="49" spans="1:6" ht="21" x14ac:dyDescent="0.25">
      <c r="A49" s="47"/>
      <c r="B49" s="48" t="s">
        <v>175</v>
      </c>
      <c r="C49" s="334" t="s">
        <v>176</v>
      </c>
      <c r="D49" s="49">
        <v>0</v>
      </c>
      <c r="E49" s="49">
        <v>0</v>
      </c>
      <c r="F49" s="50">
        <v>0</v>
      </c>
    </row>
    <row r="50" spans="1:6" ht="21" x14ac:dyDescent="0.25">
      <c r="A50" s="47"/>
      <c r="B50" s="48" t="s">
        <v>177</v>
      </c>
      <c r="C50" s="334" t="s">
        <v>178</v>
      </c>
      <c r="D50" s="49">
        <v>0</v>
      </c>
      <c r="E50" s="49">
        <v>0</v>
      </c>
      <c r="F50" s="50">
        <v>0</v>
      </c>
    </row>
    <row r="51" spans="1:6" ht="115.5" x14ac:dyDescent="0.25">
      <c r="A51" s="43" t="s">
        <v>46</v>
      </c>
      <c r="B51" s="44" t="s">
        <v>179</v>
      </c>
      <c r="C51" s="333" t="s">
        <v>180</v>
      </c>
      <c r="D51" s="25">
        <v>0</v>
      </c>
      <c r="E51" s="25">
        <v>0</v>
      </c>
      <c r="F51" s="46">
        <v>0</v>
      </c>
    </row>
    <row r="52" spans="1:6" ht="21" x14ac:dyDescent="0.25">
      <c r="A52" s="47"/>
      <c r="B52" s="48" t="s">
        <v>181</v>
      </c>
      <c r="C52" s="334" t="s">
        <v>182</v>
      </c>
      <c r="D52" s="49">
        <v>0</v>
      </c>
      <c r="E52" s="49">
        <v>0</v>
      </c>
      <c r="F52" s="50">
        <v>0</v>
      </c>
    </row>
    <row r="53" spans="1:6" ht="21" x14ac:dyDescent="0.25">
      <c r="A53" s="47"/>
      <c r="B53" s="48" t="s">
        <v>183</v>
      </c>
      <c r="C53" s="334" t="s">
        <v>184</v>
      </c>
      <c r="D53" s="49">
        <v>0</v>
      </c>
      <c r="E53" s="49">
        <v>0</v>
      </c>
      <c r="F53" s="50">
        <v>0</v>
      </c>
    </row>
    <row r="54" spans="1:6" ht="31.5" x14ac:dyDescent="0.25">
      <c r="A54" s="47"/>
      <c r="B54" s="48" t="s">
        <v>185</v>
      </c>
      <c r="C54" s="334" t="s">
        <v>186</v>
      </c>
      <c r="D54" s="49">
        <v>0</v>
      </c>
      <c r="E54" s="49">
        <v>0</v>
      </c>
      <c r="F54" s="50">
        <v>0</v>
      </c>
    </row>
    <row r="55" spans="1:6" ht="21" x14ac:dyDescent="0.25">
      <c r="A55" s="47"/>
      <c r="B55" s="48" t="s">
        <v>187</v>
      </c>
      <c r="C55" s="334" t="s">
        <v>188</v>
      </c>
      <c r="D55" s="49">
        <v>0</v>
      </c>
      <c r="E55" s="49">
        <v>0</v>
      </c>
      <c r="F55" s="50">
        <v>0</v>
      </c>
    </row>
    <row r="56" spans="1:6" ht="21" x14ac:dyDescent="0.25">
      <c r="A56" s="47"/>
      <c r="B56" s="48" t="s">
        <v>189</v>
      </c>
      <c r="C56" s="334" t="s">
        <v>190</v>
      </c>
      <c r="D56" s="49">
        <v>0</v>
      </c>
      <c r="E56" s="49">
        <v>0</v>
      </c>
      <c r="F56" s="50">
        <v>0</v>
      </c>
    </row>
    <row r="57" spans="1:6" ht="42" x14ac:dyDescent="0.25">
      <c r="A57" s="43" t="s">
        <v>48</v>
      </c>
      <c r="B57" s="44" t="s">
        <v>191</v>
      </c>
      <c r="C57" s="333" t="s">
        <v>192</v>
      </c>
      <c r="D57" s="25">
        <v>466616142</v>
      </c>
      <c r="E57" s="25">
        <v>513349630</v>
      </c>
      <c r="F57" s="46">
        <v>979965772</v>
      </c>
    </row>
    <row r="58" spans="1:6" ht="21" x14ac:dyDescent="0.25">
      <c r="A58" s="47"/>
      <c r="B58" s="48" t="s">
        <v>193</v>
      </c>
      <c r="C58" s="334" t="s">
        <v>194</v>
      </c>
      <c r="D58" s="49">
        <v>466616142</v>
      </c>
      <c r="E58" s="49">
        <v>513349630</v>
      </c>
      <c r="F58" s="50">
        <v>979965772</v>
      </c>
    </row>
    <row r="59" spans="1:6" ht="21" x14ac:dyDescent="0.25">
      <c r="A59" s="47"/>
      <c r="B59" s="48" t="s">
        <v>195</v>
      </c>
      <c r="C59" s="334" t="s">
        <v>196</v>
      </c>
      <c r="D59" s="49">
        <v>0</v>
      </c>
      <c r="E59" s="49">
        <v>0</v>
      </c>
      <c r="F59" s="50">
        <v>0</v>
      </c>
    </row>
    <row r="60" spans="1:6" ht="21" x14ac:dyDescent="0.25">
      <c r="A60" s="43" t="s">
        <v>50</v>
      </c>
      <c r="B60" s="44" t="s">
        <v>197</v>
      </c>
      <c r="C60" s="333" t="s">
        <v>198</v>
      </c>
      <c r="D60" s="25">
        <v>2983370</v>
      </c>
      <c r="E60" s="25">
        <v>33393179</v>
      </c>
      <c r="F60" s="46">
        <v>36376549</v>
      </c>
    </row>
    <row r="61" spans="1:6" ht="21" x14ac:dyDescent="0.25">
      <c r="A61" s="47"/>
      <c r="B61" s="48" t="s">
        <v>199</v>
      </c>
      <c r="C61" s="334" t="s">
        <v>200</v>
      </c>
      <c r="D61" s="49">
        <v>0</v>
      </c>
      <c r="E61" s="49">
        <v>0</v>
      </c>
      <c r="F61" s="50">
        <v>0</v>
      </c>
    </row>
    <row r="62" spans="1:6" ht="21" x14ac:dyDescent="0.25">
      <c r="A62" s="47"/>
      <c r="B62" s="48" t="s">
        <v>201</v>
      </c>
      <c r="C62" s="334" t="s">
        <v>202</v>
      </c>
      <c r="D62" s="49">
        <v>0</v>
      </c>
      <c r="E62" s="49">
        <v>30000000</v>
      </c>
      <c r="F62" s="50">
        <v>30000000</v>
      </c>
    </row>
    <row r="63" spans="1:6" ht="21" x14ac:dyDescent="0.25">
      <c r="A63" s="47"/>
      <c r="B63" s="48" t="s">
        <v>203</v>
      </c>
      <c r="C63" s="334" t="s">
        <v>204</v>
      </c>
      <c r="D63" s="49">
        <v>0</v>
      </c>
      <c r="E63" s="49">
        <v>0</v>
      </c>
      <c r="F63" s="50">
        <v>0</v>
      </c>
    </row>
    <row r="64" spans="1:6" ht="21" x14ac:dyDescent="0.25">
      <c r="A64" s="47"/>
      <c r="B64" s="48" t="s">
        <v>205</v>
      </c>
      <c r="C64" s="334" t="s">
        <v>206</v>
      </c>
      <c r="D64" s="49">
        <v>2983370</v>
      </c>
      <c r="E64" s="49">
        <v>3393179</v>
      </c>
      <c r="F64" s="50">
        <v>6376549</v>
      </c>
    </row>
    <row r="65" spans="1:6" ht="21" x14ac:dyDescent="0.25">
      <c r="A65" s="47"/>
      <c r="B65" s="48" t="s">
        <v>207</v>
      </c>
      <c r="C65" s="334" t="s">
        <v>208</v>
      </c>
      <c r="D65" s="49">
        <v>0</v>
      </c>
      <c r="E65" s="49">
        <v>0</v>
      </c>
      <c r="F65" s="50">
        <v>0</v>
      </c>
    </row>
    <row r="66" spans="1:6" ht="21" x14ac:dyDescent="0.25">
      <c r="A66" s="47"/>
      <c r="B66" s="48" t="s">
        <v>209</v>
      </c>
      <c r="C66" s="334" t="s">
        <v>210</v>
      </c>
      <c r="D66" s="49">
        <v>0</v>
      </c>
      <c r="E66" s="49">
        <v>0</v>
      </c>
      <c r="F66" s="50">
        <v>0</v>
      </c>
    </row>
    <row r="67" spans="1:6" ht="21" x14ac:dyDescent="0.25">
      <c r="A67" s="47"/>
      <c r="B67" s="48" t="s">
        <v>211</v>
      </c>
      <c r="C67" s="334" t="s">
        <v>212</v>
      </c>
      <c r="D67" s="49">
        <v>0</v>
      </c>
      <c r="E67" s="49">
        <v>0</v>
      </c>
      <c r="F67" s="50">
        <v>0</v>
      </c>
    </row>
    <row r="68" spans="1:6" ht="21" x14ac:dyDescent="0.25">
      <c r="A68" s="47"/>
      <c r="B68" s="48" t="s">
        <v>213</v>
      </c>
      <c r="C68" s="334" t="s">
        <v>214</v>
      </c>
      <c r="D68" s="49">
        <v>0</v>
      </c>
      <c r="E68" s="49">
        <v>0</v>
      </c>
      <c r="F68" s="50">
        <v>0</v>
      </c>
    </row>
    <row r="69" spans="1:6" ht="31.5" x14ac:dyDescent="0.25">
      <c r="A69" s="39" t="s">
        <v>59</v>
      </c>
      <c r="B69" s="40" t="s">
        <v>215</v>
      </c>
      <c r="C69" s="332" t="s">
        <v>216</v>
      </c>
      <c r="D69" s="18">
        <v>-6678692963</v>
      </c>
      <c r="E69" s="18">
        <v>-5729409234</v>
      </c>
      <c r="F69" s="42">
        <v>-12408102197</v>
      </c>
    </row>
    <row r="70" spans="1:6" ht="21" x14ac:dyDescent="0.25">
      <c r="A70" s="39" t="s">
        <v>62</v>
      </c>
      <c r="B70" s="40" t="s">
        <v>217</v>
      </c>
      <c r="C70" s="332" t="s">
        <v>218</v>
      </c>
      <c r="D70" s="18">
        <v>988232720300</v>
      </c>
      <c r="E70" s="18">
        <v>32238975050</v>
      </c>
      <c r="F70" s="42">
        <v>1020471695350</v>
      </c>
    </row>
    <row r="71" spans="1:6" ht="42" x14ac:dyDescent="0.25">
      <c r="A71" s="43" t="s">
        <v>4</v>
      </c>
      <c r="B71" s="44" t="s">
        <v>219</v>
      </c>
      <c r="C71" s="333" t="s">
        <v>220</v>
      </c>
      <c r="D71" s="25">
        <v>11041577203.280001</v>
      </c>
      <c r="E71" s="25">
        <v>52836849897</v>
      </c>
      <c r="F71" s="46">
        <v>63878427100.279999</v>
      </c>
    </row>
    <row r="72" spans="1:6" ht="21" x14ac:dyDescent="0.25">
      <c r="A72" s="47"/>
      <c r="B72" s="48" t="s">
        <v>221</v>
      </c>
      <c r="C72" s="334" t="s">
        <v>222</v>
      </c>
      <c r="D72" s="49">
        <v>9612450201</v>
      </c>
      <c r="E72" s="49">
        <v>52836849897</v>
      </c>
      <c r="F72" s="50">
        <v>62449300098</v>
      </c>
    </row>
    <row r="73" spans="1:6" ht="31.5" x14ac:dyDescent="0.25">
      <c r="A73" s="47"/>
      <c r="B73" s="48" t="s">
        <v>223</v>
      </c>
      <c r="C73" s="334" t="s">
        <v>224</v>
      </c>
      <c r="D73" s="49">
        <v>1429127002.28</v>
      </c>
      <c r="E73" s="49">
        <v>0</v>
      </c>
      <c r="F73" s="50">
        <v>1429127002.28</v>
      </c>
    </row>
    <row r="74" spans="1:6" ht="42" x14ac:dyDescent="0.25">
      <c r="A74" s="47"/>
      <c r="B74" s="48" t="s">
        <v>225</v>
      </c>
      <c r="C74" s="334" t="s">
        <v>226</v>
      </c>
      <c r="D74" s="49">
        <v>0</v>
      </c>
      <c r="E74" s="49">
        <v>0</v>
      </c>
      <c r="F74" s="50">
        <v>0</v>
      </c>
    </row>
    <row r="75" spans="1:6" ht="21" x14ac:dyDescent="0.25">
      <c r="A75" s="43" t="s">
        <v>9</v>
      </c>
      <c r="B75" s="44" t="s">
        <v>227</v>
      </c>
      <c r="C75" s="333" t="s">
        <v>228</v>
      </c>
      <c r="D75" s="25">
        <v>977191143096.71997</v>
      </c>
      <c r="E75" s="25">
        <v>-20597874847</v>
      </c>
      <c r="F75" s="46">
        <v>956593268249.71997</v>
      </c>
    </row>
    <row r="76" spans="1:6" ht="52.5" x14ac:dyDescent="0.25">
      <c r="A76" s="39" t="s">
        <v>64</v>
      </c>
      <c r="B76" s="40" t="s">
        <v>229</v>
      </c>
      <c r="C76" s="332" t="s">
        <v>230</v>
      </c>
      <c r="D76" s="18">
        <v>981554027337</v>
      </c>
      <c r="E76" s="18">
        <v>26509565816</v>
      </c>
      <c r="F76" s="42">
        <v>1008063593153</v>
      </c>
    </row>
    <row r="77" spans="1:6" ht="21" x14ac:dyDescent="0.25">
      <c r="A77" s="39" t="s">
        <v>69</v>
      </c>
      <c r="B77" s="40" t="s">
        <v>231</v>
      </c>
      <c r="C77" s="332" t="s">
        <v>232</v>
      </c>
      <c r="D77" s="18">
        <v>6629597892572</v>
      </c>
      <c r="E77" s="18">
        <v>5280430128341</v>
      </c>
      <c r="F77" s="42">
        <v>5280430128341</v>
      </c>
    </row>
    <row r="78" spans="1:6" ht="31.5" x14ac:dyDescent="0.25">
      <c r="A78" s="39" t="s">
        <v>78</v>
      </c>
      <c r="B78" s="40" t="s">
        <v>233</v>
      </c>
      <c r="C78" s="332" t="s">
        <v>234</v>
      </c>
      <c r="D78" s="18">
        <v>2221853668206</v>
      </c>
      <c r="E78" s="18">
        <v>1349167764231</v>
      </c>
      <c r="F78" s="42">
        <v>3571021432437</v>
      </c>
    </row>
    <row r="79" spans="1:6" ht="21" x14ac:dyDescent="0.25">
      <c r="A79" s="43"/>
      <c r="B79" s="44" t="s">
        <v>235</v>
      </c>
      <c r="C79" s="333" t="s">
        <v>236</v>
      </c>
      <c r="D79" s="25">
        <v>0</v>
      </c>
      <c r="E79" s="25">
        <v>0</v>
      </c>
      <c r="F79" s="46">
        <v>0</v>
      </c>
    </row>
    <row r="80" spans="1:6" ht="42" x14ac:dyDescent="0.25">
      <c r="A80" s="43" t="s">
        <v>4</v>
      </c>
      <c r="B80" s="44" t="s">
        <v>237</v>
      </c>
      <c r="C80" s="333" t="s">
        <v>238</v>
      </c>
      <c r="D80" s="25">
        <v>981554027337</v>
      </c>
      <c r="E80" s="25">
        <v>26509565816</v>
      </c>
      <c r="F80" s="46">
        <v>1008063593153</v>
      </c>
    </row>
    <row r="81" spans="1:6" ht="42" x14ac:dyDescent="0.25">
      <c r="A81" s="43" t="s">
        <v>9</v>
      </c>
      <c r="B81" s="44" t="s">
        <v>239</v>
      </c>
      <c r="C81" s="333"/>
      <c r="D81" s="25">
        <v>0</v>
      </c>
      <c r="E81" s="25">
        <v>0</v>
      </c>
      <c r="F81" s="46">
        <v>0</v>
      </c>
    </row>
    <row r="82" spans="1:6" ht="42" x14ac:dyDescent="0.25">
      <c r="A82" s="43" t="s">
        <v>14</v>
      </c>
      <c r="B82" s="44" t="s">
        <v>240</v>
      </c>
      <c r="C82" s="333" t="s">
        <v>241</v>
      </c>
      <c r="D82" s="25">
        <v>1240299640869</v>
      </c>
      <c r="E82" s="25">
        <v>1322658198415</v>
      </c>
      <c r="F82" s="46">
        <v>2562957839284</v>
      </c>
    </row>
    <row r="83" spans="1:6" ht="44.25" customHeight="1" x14ac:dyDescent="0.25">
      <c r="A83" s="47"/>
      <c r="B83" s="48" t="s">
        <v>242</v>
      </c>
      <c r="C83" s="334" t="s">
        <v>243</v>
      </c>
      <c r="D83" s="49">
        <v>1247795950981</v>
      </c>
      <c r="E83" s="49">
        <v>1322658198415</v>
      </c>
      <c r="F83" s="50">
        <v>2570454149396</v>
      </c>
    </row>
    <row r="84" spans="1:6" ht="33" customHeight="1" x14ac:dyDescent="0.25">
      <c r="A84" s="47"/>
      <c r="B84" s="48" t="s">
        <v>244</v>
      </c>
      <c r="C84" s="334" t="s">
        <v>245</v>
      </c>
      <c r="D84" s="49">
        <v>-7496310112</v>
      </c>
      <c r="E84" s="49">
        <v>0</v>
      </c>
      <c r="F84" s="50">
        <v>-7496310112</v>
      </c>
    </row>
    <row r="85" spans="1:6" ht="21" x14ac:dyDescent="0.25">
      <c r="A85" s="39" t="s">
        <v>87</v>
      </c>
      <c r="B85" s="40" t="s">
        <v>246</v>
      </c>
      <c r="C85" s="332" t="s">
        <v>247</v>
      </c>
      <c r="D85" s="18">
        <v>8851451560778</v>
      </c>
      <c r="E85" s="18">
        <v>6629597892572</v>
      </c>
      <c r="F85" s="42">
        <v>8851451560778</v>
      </c>
    </row>
    <row r="86" spans="1:6" ht="42" x14ac:dyDescent="0.25">
      <c r="A86" s="39" t="s">
        <v>248</v>
      </c>
      <c r="B86" s="40" t="s">
        <v>249</v>
      </c>
      <c r="C86" s="332" t="s">
        <v>250</v>
      </c>
      <c r="D86" s="18">
        <v>0</v>
      </c>
      <c r="E86" s="18">
        <v>0</v>
      </c>
      <c r="F86" s="42">
        <v>0</v>
      </c>
    </row>
    <row r="87" spans="1:6" ht="42" x14ac:dyDescent="0.25">
      <c r="A87" s="51"/>
      <c r="B87" s="52" t="s">
        <v>251</v>
      </c>
      <c r="C87" s="335" t="s">
        <v>252</v>
      </c>
      <c r="D87" s="53">
        <v>0</v>
      </c>
      <c r="E87" s="53">
        <v>0</v>
      </c>
      <c r="F87" s="54">
        <v>0</v>
      </c>
    </row>
    <row r="88" spans="1:6" ht="11.25" customHeight="1" x14ac:dyDescent="0.15">
      <c r="A88" s="1"/>
      <c r="B88" s="1"/>
      <c r="C88" s="55"/>
      <c r="D88" s="1"/>
      <c r="E88" s="1"/>
      <c r="F88" s="1"/>
    </row>
    <row r="89" spans="1:6" ht="15.75" customHeight="1" x14ac:dyDescent="0.25">
      <c r="A89" s="269" t="s">
        <v>98</v>
      </c>
      <c r="B89" s="269"/>
      <c r="C89" s="269"/>
      <c r="D89" s="269" t="s">
        <v>99</v>
      </c>
      <c r="E89" s="269"/>
      <c r="F89" s="269"/>
    </row>
    <row r="90" spans="1:6" ht="15.75" customHeight="1" x14ac:dyDescent="0.25">
      <c r="A90" s="272" t="s">
        <v>100</v>
      </c>
      <c r="B90" s="272"/>
      <c r="C90" s="272"/>
      <c r="D90" s="280" t="s">
        <v>101</v>
      </c>
      <c r="E90" s="280"/>
      <c r="F90" s="280"/>
    </row>
    <row r="91" spans="1:6" ht="15.75" customHeight="1" x14ac:dyDescent="0.25">
      <c r="A91" s="1"/>
      <c r="B91" s="1"/>
      <c r="C91" s="1"/>
      <c r="D91" s="1"/>
      <c r="E91" s="1"/>
      <c r="F91" s="1"/>
    </row>
    <row r="92" spans="1:6" ht="15.75" customHeight="1" x14ac:dyDescent="0.25">
      <c r="A92" s="1"/>
      <c r="B92" s="1"/>
      <c r="C92" s="1"/>
      <c r="D92" s="1"/>
      <c r="E92" s="1"/>
      <c r="F92" s="1"/>
    </row>
    <row r="93" spans="1:6" ht="15" customHeight="1" x14ac:dyDescent="0.25">
      <c r="A93" s="1"/>
      <c r="B93" s="1"/>
      <c r="C93" s="1"/>
      <c r="D93" s="1"/>
      <c r="E93" s="1"/>
      <c r="F93" s="1"/>
    </row>
    <row r="94" spans="1:6" ht="15" customHeight="1" x14ac:dyDescent="0.25">
      <c r="A94" s="1"/>
      <c r="B94" s="1"/>
      <c r="C94" s="1"/>
      <c r="D94" s="1"/>
      <c r="E94" s="1"/>
      <c r="F94" s="1"/>
    </row>
    <row r="95" spans="1:6" ht="15.75" customHeight="1" x14ac:dyDescent="0.25">
      <c r="A95" s="1"/>
      <c r="B95" s="1"/>
      <c r="C95" s="1"/>
      <c r="D95" s="1"/>
      <c r="E95" s="1"/>
      <c r="F95" s="1"/>
    </row>
    <row r="96" spans="1:6" ht="15.75" customHeight="1" x14ac:dyDescent="0.25">
      <c r="A96" s="269" t="s">
        <v>102</v>
      </c>
      <c r="B96" s="269"/>
      <c r="C96" s="269"/>
      <c r="D96" s="269" t="s">
        <v>103</v>
      </c>
      <c r="E96" s="269"/>
      <c r="F96" s="269"/>
    </row>
    <row r="97" spans="1:6" ht="15.75" customHeight="1" x14ac:dyDescent="0.25">
      <c r="A97" s="279" t="s">
        <v>104</v>
      </c>
      <c r="B97" s="279"/>
      <c r="C97" s="279"/>
      <c r="D97" s="279" t="s">
        <v>105</v>
      </c>
      <c r="E97" s="279"/>
      <c r="F97" s="279"/>
    </row>
    <row r="98" spans="1:6" ht="15.75" customHeight="1" x14ac:dyDescent="0.25">
      <c r="A98" s="279" t="s">
        <v>106</v>
      </c>
      <c r="B98" s="279"/>
      <c r="C98" s="279"/>
      <c r="D98" s="279" t="s">
        <v>107</v>
      </c>
      <c r="E98" s="279"/>
      <c r="F98" s="279"/>
    </row>
  </sheetData>
  <mergeCells count="26">
    <mergeCell ref="A98:C98"/>
    <mergeCell ref="D98:F98"/>
    <mergeCell ref="A90:C90"/>
    <mergeCell ref="D90:F90"/>
    <mergeCell ref="A96:C96"/>
    <mergeCell ref="D96:F96"/>
    <mergeCell ref="A97:C97"/>
    <mergeCell ref="D97:F97"/>
    <mergeCell ref="C13:F13"/>
    <mergeCell ref="A15:F15"/>
    <mergeCell ref="A16:F16"/>
    <mergeCell ref="E17:F17"/>
    <mergeCell ref="A89:C89"/>
    <mergeCell ref="D89:F89"/>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66" bottom="0.24" header="0.67" footer="0.22"/>
  <pageSetup paperSize="9" scale="9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V79"/>
  <sheetViews>
    <sheetView showGridLines="0" showZeros="0" showOutlineSymbols="0" view="pageBreakPreview" zoomScaleNormal="100" zoomScaleSheetLayoutView="100" workbookViewId="0">
      <selection activeCell="D79" sqref="A1:G79"/>
    </sheetView>
  </sheetViews>
  <sheetFormatPr defaultRowHeight="10.5" x14ac:dyDescent="0.25"/>
  <cols>
    <col min="1" max="1" width="5.7109375" style="3" customWidth="1"/>
    <col min="2" max="2" width="28.140625" style="3" customWidth="1"/>
    <col min="3" max="4" width="11.42578125" style="3" customWidth="1"/>
    <col min="5" max="7" width="16.42578125" style="3" customWidth="1"/>
    <col min="8" max="256" width="9.140625" style="3"/>
    <col min="257" max="257" width="5.7109375" style="3" customWidth="1"/>
    <col min="258" max="258" width="35.7109375" style="3" customWidth="1"/>
    <col min="259" max="259" width="8.5703125" style="3" customWidth="1"/>
    <col min="260" max="260" width="13.42578125" style="3" bestFit="1" customWidth="1"/>
    <col min="261" max="261" width="13" style="3" customWidth="1"/>
    <col min="262" max="262" width="16.85546875" style="3" customWidth="1"/>
    <col min="263" max="263" width="12.140625" style="3" customWidth="1"/>
    <col min="264" max="512" width="9.140625" style="3"/>
    <col min="513" max="513" width="5.7109375" style="3" customWidth="1"/>
    <col min="514" max="514" width="35.7109375" style="3" customWidth="1"/>
    <col min="515" max="515" width="8.5703125" style="3" customWidth="1"/>
    <col min="516" max="516" width="13.42578125" style="3" bestFit="1" customWidth="1"/>
    <col min="517" max="517" width="13" style="3" customWidth="1"/>
    <col min="518" max="518" width="16.85546875" style="3" customWidth="1"/>
    <col min="519" max="519" width="12.140625" style="3" customWidth="1"/>
    <col min="520" max="768" width="9.140625" style="3"/>
    <col min="769" max="769" width="5.7109375" style="3" customWidth="1"/>
    <col min="770" max="770" width="35.7109375" style="3" customWidth="1"/>
    <col min="771" max="771" width="8.5703125" style="3" customWidth="1"/>
    <col min="772" max="772" width="13.42578125" style="3" bestFit="1" customWidth="1"/>
    <col min="773" max="773" width="13" style="3" customWidth="1"/>
    <col min="774" max="774" width="16.85546875" style="3" customWidth="1"/>
    <col min="775" max="775" width="12.140625" style="3" customWidth="1"/>
    <col min="776" max="1024" width="9.140625" style="3"/>
    <col min="1025" max="1025" width="5.7109375" style="3" customWidth="1"/>
    <col min="1026" max="1026" width="35.7109375" style="3" customWidth="1"/>
    <col min="1027" max="1027" width="8.5703125" style="3" customWidth="1"/>
    <col min="1028" max="1028" width="13.42578125" style="3" bestFit="1" customWidth="1"/>
    <col min="1029" max="1029" width="13" style="3" customWidth="1"/>
    <col min="1030" max="1030" width="16.85546875" style="3" customWidth="1"/>
    <col min="1031" max="1031" width="12.140625" style="3" customWidth="1"/>
    <col min="1032" max="1280" width="9.140625" style="3"/>
    <col min="1281" max="1281" width="5.7109375" style="3" customWidth="1"/>
    <col min="1282" max="1282" width="35.7109375" style="3" customWidth="1"/>
    <col min="1283" max="1283" width="8.5703125" style="3" customWidth="1"/>
    <col min="1284" max="1284" width="13.42578125" style="3" bestFit="1" customWidth="1"/>
    <col min="1285" max="1285" width="13" style="3" customWidth="1"/>
    <col min="1286" max="1286" width="16.85546875" style="3" customWidth="1"/>
    <col min="1287" max="1287" width="12.140625" style="3" customWidth="1"/>
    <col min="1288" max="1536" width="9.140625" style="3"/>
    <col min="1537" max="1537" width="5.7109375" style="3" customWidth="1"/>
    <col min="1538" max="1538" width="35.7109375" style="3" customWidth="1"/>
    <col min="1539" max="1539" width="8.5703125" style="3" customWidth="1"/>
    <col min="1540" max="1540" width="13.42578125" style="3" bestFit="1" customWidth="1"/>
    <col min="1541" max="1541" width="13" style="3" customWidth="1"/>
    <col min="1542" max="1542" width="16.85546875" style="3" customWidth="1"/>
    <col min="1543" max="1543" width="12.140625" style="3" customWidth="1"/>
    <col min="1544" max="1792" width="9.140625" style="3"/>
    <col min="1793" max="1793" width="5.7109375" style="3" customWidth="1"/>
    <col min="1794" max="1794" width="35.7109375" style="3" customWidth="1"/>
    <col min="1795" max="1795" width="8.5703125" style="3" customWidth="1"/>
    <col min="1796" max="1796" width="13.42578125" style="3" bestFit="1" customWidth="1"/>
    <col min="1797" max="1797" width="13" style="3" customWidth="1"/>
    <col min="1798" max="1798" width="16.85546875" style="3" customWidth="1"/>
    <col min="1799" max="1799" width="12.140625" style="3" customWidth="1"/>
    <col min="1800" max="2048" width="9.140625" style="3"/>
    <col min="2049" max="2049" width="5.7109375" style="3" customWidth="1"/>
    <col min="2050" max="2050" width="35.7109375" style="3" customWidth="1"/>
    <col min="2051" max="2051" width="8.5703125" style="3" customWidth="1"/>
    <col min="2052" max="2052" width="13.42578125" style="3" bestFit="1" customWidth="1"/>
    <col min="2053" max="2053" width="13" style="3" customWidth="1"/>
    <col min="2054" max="2054" width="16.85546875" style="3" customWidth="1"/>
    <col min="2055" max="2055" width="12.140625" style="3" customWidth="1"/>
    <col min="2056" max="2304" width="9.140625" style="3"/>
    <col min="2305" max="2305" width="5.7109375" style="3" customWidth="1"/>
    <col min="2306" max="2306" width="35.7109375" style="3" customWidth="1"/>
    <col min="2307" max="2307" width="8.5703125" style="3" customWidth="1"/>
    <col min="2308" max="2308" width="13.42578125" style="3" bestFit="1" customWidth="1"/>
    <col min="2309" max="2309" width="13" style="3" customWidth="1"/>
    <col min="2310" max="2310" width="16.85546875" style="3" customWidth="1"/>
    <col min="2311" max="2311" width="12.140625" style="3" customWidth="1"/>
    <col min="2312" max="2560" width="9.140625" style="3"/>
    <col min="2561" max="2561" width="5.7109375" style="3" customWidth="1"/>
    <col min="2562" max="2562" width="35.7109375" style="3" customWidth="1"/>
    <col min="2563" max="2563" width="8.5703125" style="3" customWidth="1"/>
    <col min="2564" max="2564" width="13.42578125" style="3" bestFit="1" customWidth="1"/>
    <col min="2565" max="2565" width="13" style="3" customWidth="1"/>
    <col min="2566" max="2566" width="16.85546875" style="3" customWidth="1"/>
    <col min="2567" max="2567" width="12.140625" style="3" customWidth="1"/>
    <col min="2568" max="2816" width="9.140625" style="3"/>
    <col min="2817" max="2817" width="5.7109375" style="3" customWidth="1"/>
    <col min="2818" max="2818" width="35.7109375" style="3" customWidth="1"/>
    <col min="2819" max="2819" width="8.5703125" style="3" customWidth="1"/>
    <col min="2820" max="2820" width="13.42578125" style="3" bestFit="1" customWidth="1"/>
    <col min="2821" max="2821" width="13" style="3" customWidth="1"/>
    <col min="2822" max="2822" width="16.85546875" style="3" customWidth="1"/>
    <col min="2823" max="2823" width="12.140625" style="3" customWidth="1"/>
    <col min="2824" max="3072" width="9.140625" style="3"/>
    <col min="3073" max="3073" width="5.7109375" style="3" customWidth="1"/>
    <col min="3074" max="3074" width="35.7109375" style="3" customWidth="1"/>
    <col min="3075" max="3075" width="8.5703125" style="3" customWidth="1"/>
    <col min="3076" max="3076" width="13.42578125" style="3" bestFit="1" customWidth="1"/>
    <col min="3077" max="3077" width="13" style="3" customWidth="1"/>
    <col min="3078" max="3078" width="16.85546875" style="3" customWidth="1"/>
    <col min="3079" max="3079" width="12.140625" style="3" customWidth="1"/>
    <col min="3080" max="3328" width="9.140625" style="3"/>
    <col min="3329" max="3329" width="5.7109375" style="3" customWidth="1"/>
    <col min="3330" max="3330" width="35.7109375" style="3" customWidth="1"/>
    <col min="3331" max="3331" width="8.5703125" style="3" customWidth="1"/>
    <col min="3332" max="3332" width="13.42578125" style="3" bestFit="1" customWidth="1"/>
    <col min="3333" max="3333" width="13" style="3" customWidth="1"/>
    <col min="3334" max="3334" width="16.85546875" style="3" customWidth="1"/>
    <col min="3335" max="3335" width="12.140625" style="3" customWidth="1"/>
    <col min="3336" max="3584" width="9.140625" style="3"/>
    <col min="3585" max="3585" width="5.7109375" style="3" customWidth="1"/>
    <col min="3586" max="3586" width="35.7109375" style="3" customWidth="1"/>
    <col min="3587" max="3587" width="8.5703125" style="3" customWidth="1"/>
    <col min="3588" max="3588" width="13.42578125" style="3" bestFit="1" customWidth="1"/>
    <col min="3589" max="3589" width="13" style="3" customWidth="1"/>
    <col min="3590" max="3590" width="16.85546875" style="3" customWidth="1"/>
    <col min="3591" max="3591" width="12.140625" style="3" customWidth="1"/>
    <col min="3592" max="3840" width="9.140625" style="3"/>
    <col min="3841" max="3841" width="5.7109375" style="3" customWidth="1"/>
    <col min="3842" max="3842" width="35.7109375" style="3" customWidth="1"/>
    <col min="3843" max="3843" width="8.5703125" style="3" customWidth="1"/>
    <col min="3844" max="3844" width="13.42578125" style="3" bestFit="1" customWidth="1"/>
    <col min="3845" max="3845" width="13" style="3" customWidth="1"/>
    <col min="3846" max="3846" width="16.85546875" style="3" customWidth="1"/>
    <col min="3847" max="3847" width="12.140625" style="3" customWidth="1"/>
    <col min="3848" max="4096" width="9.140625" style="3"/>
    <col min="4097" max="4097" width="5.7109375" style="3" customWidth="1"/>
    <col min="4098" max="4098" width="35.7109375" style="3" customWidth="1"/>
    <col min="4099" max="4099" width="8.5703125" style="3" customWidth="1"/>
    <col min="4100" max="4100" width="13.42578125" style="3" bestFit="1" customWidth="1"/>
    <col min="4101" max="4101" width="13" style="3" customWidth="1"/>
    <col min="4102" max="4102" width="16.85546875" style="3" customWidth="1"/>
    <col min="4103" max="4103" width="12.140625" style="3" customWidth="1"/>
    <col min="4104" max="4352" width="9.140625" style="3"/>
    <col min="4353" max="4353" width="5.7109375" style="3" customWidth="1"/>
    <col min="4354" max="4354" width="35.7109375" style="3" customWidth="1"/>
    <col min="4355" max="4355" width="8.5703125" style="3" customWidth="1"/>
    <col min="4356" max="4356" width="13.42578125" style="3" bestFit="1" customWidth="1"/>
    <col min="4357" max="4357" width="13" style="3" customWidth="1"/>
    <col min="4358" max="4358" width="16.85546875" style="3" customWidth="1"/>
    <col min="4359" max="4359" width="12.140625" style="3" customWidth="1"/>
    <col min="4360" max="4608" width="9.140625" style="3"/>
    <col min="4609" max="4609" width="5.7109375" style="3" customWidth="1"/>
    <col min="4610" max="4610" width="35.7109375" style="3" customWidth="1"/>
    <col min="4611" max="4611" width="8.5703125" style="3" customWidth="1"/>
    <col min="4612" max="4612" width="13.42578125" style="3" bestFit="1" customWidth="1"/>
    <col min="4613" max="4613" width="13" style="3" customWidth="1"/>
    <col min="4614" max="4614" width="16.85546875" style="3" customWidth="1"/>
    <col min="4615" max="4615" width="12.140625" style="3" customWidth="1"/>
    <col min="4616" max="4864" width="9.140625" style="3"/>
    <col min="4865" max="4865" width="5.7109375" style="3" customWidth="1"/>
    <col min="4866" max="4866" width="35.7109375" style="3" customWidth="1"/>
    <col min="4867" max="4867" width="8.5703125" style="3" customWidth="1"/>
    <col min="4868" max="4868" width="13.42578125" style="3" bestFit="1" customWidth="1"/>
    <col min="4869" max="4869" width="13" style="3" customWidth="1"/>
    <col min="4870" max="4870" width="16.85546875" style="3" customWidth="1"/>
    <col min="4871" max="4871" width="12.140625" style="3" customWidth="1"/>
    <col min="4872" max="5120" width="9.140625" style="3"/>
    <col min="5121" max="5121" width="5.7109375" style="3" customWidth="1"/>
    <col min="5122" max="5122" width="35.7109375" style="3" customWidth="1"/>
    <col min="5123" max="5123" width="8.5703125" style="3" customWidth="1"/>
    <col min="5124" max="5124" width="13.42578125" style="3" bestFit="1" customWidth="1"/>
    <col min="5125" max="5125" width="13" style="3" customWidth="1"/>
    <col min="5126" max="5126" width="16.85546875" style="3" customWidth="1"/>
    <col min="5127" max="5127" width="12.140625" style="3" customWidth="1"/>
    <col min="5128" max="5376" width="9.140625" style="3"/>
    <col min="5377" max="5377" width="5.7109375" style="3" customWidth="1"/>
    <col min="5378" max="5378" width="35.7109375" style="3" customWidth="1"/>
    <col min="5379" max="5379" width="8.5703125" style="3" customWidth="1"/>
    <col min="5380" max="5380" width="13.42578125" style="3" bestFit="1" customWidth="1"/>
    <col min="5381" max="5381" width="13" style="3" customWidth="1"/>
    <col min="5382" max="5382" width="16.85546875" style="3" customWidth="1"/>
    <col min="5383" max="5383" width="12.140625" style="3" customWidth="1"/>
    <col min="5384" max="5632" width="9.140625" style="3"/>
    <col min="5633" max="5633" width="5.7109375" style="3" customWidth="1"/>
    <col min="5634" max="5634" width="35.7109375" style="3" customWidth="1"/>
    <col min="5635" max="5635" width="8.5703125" style="3" customWidth="1"/>
    <col min="5636" max="5636" width="13.42578125" style="3" bestFit="1" customWidth="1"/>
    <col min="5637" max="5637" width="13" style="3" customWidth="1"/>
    <col min="5638" max="5638" width="16.85546875" style="3" customWidth="1"/>
    <col min="5639" max="5639" width="12.140625" style="3" customWidth="1"/>
    <col min="5640" max="5888" width="9.140625" style="3"/>
    <col min="5889" max="5889" width="5.7109375" style="3" customWidth="1"/>
    <col min="5890" max="5890" width="35.7109375" style="3" customWidth="1"/>
    <col min="5891" max="5891" width="8.5703125" style="3" customWidth="1"/>
    <col min="5892" max="5892" width="13.42578125" style="3" bestFit="1" customWidth="1"/>
    <col min="5893" max="5893" width="13" style="3" customWidth="1"/>
    <col min="5894" max="5894" width="16.85546875" style="3" customWidth="1"/>
    <col min="5895" max="5895" width="12.140625" style="3" customWidth="1"/>
    <col min="5896" max="6144" width="9.140625" style="3"/>
    <col min="6145" max="6145" width="5.7109375" style="3" customWidth="1"/>
    <col min="6146" max="6146" width="35.7109375" style="3" customWidth="1"/>
    <col min="6147" max="6147" width="8.5703125" style="3" customWidth="1"/>
    <col min="6148" max="6148" width="13.42578125" style="3" bestFit="1" customWidth="1"/>
    <col min="6149" max="6149" width="13" style="3" customWidth="1"/>
    <col min="6150" max="6150" width="16.85546875" style="3" customWidth="1"/>
    <col min="6151" max="6151" width="12.140625" style="3" customWidth="1"/>
    <col min="6152" max="6400" width="9.140625" style="3"/>
    <col min="6401" max="6401" width="5.7109375" style="3" customWidth="1"/>
    <col min="6402" max="6402" width="35.7109375" style="3" customWidth="1"/>
    <col min="6403" max="6403" width="8.5703125" style="3" customWidth="1"/>
    <col min="6404" max="6404" width="13.42578125" style="3" bestFit="1" customWidth="1"/>
    <col min="6405" max="6405" width="13" style="3" customWidth="1"/>
    <col min="6406" max="6406" width="16.85546875" style="3" customWidth="1"/>
    <col min="6407" max="6407" width="12.140625" style="3" customWidth="1"/>
    <col min="6408" max="6656" width="9.140625" style="3"/>
    <col min="6657" max="6657" width="5.7109375" style="3" customWidth="1"/>
    <col min="6658" max="6658" width="35.7109375" style="3" customWidth="1"/>
    <col min="6659" max="6659" width="8.5703125" style="3" customWidth="1"/>
    <col min="6660" max="6660" width="13.42578125" style="3" bestFit="1" customWidth="1"/>
    <col min="6661" max="6661" width="13" style="3" customWidth="1"/>
    <col min="6662" max="6662" width="16.85546875" style="3" customWidth="1"/>
    <col min="6663" max="6663" width="12.140625" style="3" customWidth="1"/>
    <col min="6664" max="6912" width="9.140625" style="3"/>
    <col min="6913" max="6913" width="5.7109375" style="3" customWidth="1"/>
    <col min="6914" max="6914" width="35.7109375" style="3" customWidth="1"/>
    <col min="6915" max="6915" width="8.5703125" style="3" customWidth="1"/>
    <col min="6916" max="6916" width="13.42578125" style="3" bestFit="1" customWidth="1"/>
    <col min="6917" max="6917" width="13" style="3" customWidth="1"/>
    <col min="6918" max="6918" width="16.85546875" style="3" customWidth="1"/>
    <col min="6919" max="6919" width="12.140625" style="3" customWidth="1"/>
    <col min="6920" max="7168" width="9.140625" style="3"/>
    <col min="7169" max="7169" width="5.7109375" style="3" customWidth="1"/>
    <col min="7170" max="7170" width="35.7109375" style="3" customWidth="1"/>
    <col min="7171" max="7171" width="8.5703125" style="3" customWidth="1"/>
    <col min="7172" max="7172" width="13.42578125" style="3" bestFit="1" customWidth="1"/>
    <col min="7173" max="7173" width="13" style="3" customWidth="1"/>
    <col min="7174" max="7174" width="16.85546875" style="3" customWidth="1"/>
    <col min="7175" max="7175" width="12.140625" style="3" customWidth="1"/>
    <col min="7176" max="7424" width="9.140625" style="3"/>
    <col min="7425" max="7425" width="5.7109375" style="3" customWidth="1"/>
    <col min="7426" max="7426" width="35.7109375" style="3" customWidth="1"/>
    <col min="7427" max="7427" width="8.5703125" style="3" customWidth="1"/>
    <col min="7428" max="7428" width="13.42578125" style="3" bestFit="1" customWidth="1"/>
    <col min="7429" max="7429" width="13" style="3" customWidth="1"/>
    <col min="7430" max="7430" width="16.85546875" style="3" customWidth="1"/>
    <col min="7431" max="7431" width="12.140625" style="3" customWidth="1"/>
    <col min="7432" max="7680" width="9.140625" style="3"/>
    <col min="7681" max="7681" width="5.7109375" style="3" customWidth="1"/>
    <col min="7682" max="7682" width="35.7109375" style="3" customWidth="1"/>
    <col min="7683" max="7683" width="8.5703125" style="3" customWidth="1"/>
    <col min="7684" max="7684" width="13.42578125" style="3" bestFit="1" customWidth="1"/>
    <col min="7685" max="7685" width="13" style="3" customWidth="1"/>
    <col min="7686" max="7686" width="16.85546875" style="3" customWidth="1"/>
    <col min="7687" max="7687" width="12.140625" style="3" customWidth="1"/>
    <col min="7688" max="7936" width="9.140625" style="3"/>
    <col min="7937" max="7937" width="5.7109375" style="3" customWidth="1"/>
    <col min="7938" max="7938" width="35.7109375" style="3" customWidth="1"/>
    <col min="7939" max="7939" width="8.5703125" style="3" customWidth="1"/>
    <col min="7940" max="7940" width="13.42578125" style="3" bestFit="1" customWidth="1"/>
    <col min="7941" max="7941" width="13" style="3" customWidth="1"/>
    <col min="7942" max="7942" width="16.85546875" style="3" customWidth="1"/>
    <col min="7943" max="7943" width="12.140625" style="3" customWidth="1"/>
    <col min="7944" max="8192" width="9.140625" style="3"/>
    <col min="8193" max="8193" width="5.7109375" style="3" customWidth="1"/>
    <col min="8194" max="8194" width="35.7109375" style="3" customWidth="1"/>
    <col min="8195" max="8195" width="8.5703125" style="3" customWidth="1"/>
    <col min="8196" max="8196" width="13.42578125" style="3" bestFit="1" customWidth="1"/>
    <col min="8197" max="8197" width="13" style="3" customWidth="1"/>
    <col min="8198" max="8198" width="16.85546875" style="3" customWidth="1"/>
    <col min="8199" max="8199" width="12.140625" style="3" customWidth="1"/>
    <col min="8200" max="8448" width="9.140625" style="3"/>
    <col min="8449" max="8449" width="5.7109375" style="3" customWidth="1"/>
    <col min="8450" max="8450" width="35.7109375" style="3" customWidth="1"/>
    <col min="8451" max="8451" width="8.5703125" style="3" customWidth="1"/>
    <col min="8452" max="8452" width="13.42578125" style="3" bestFit="1" customWidth="1"/>
    <col min="8453" max="8453" width="13" style="3" customWidth="1"/>
    <col min="8454" max="8454" width="16.85546875" style="3" customWidth="1"/>
    <col min="8455" max="8455" width="12.140625" style="3" customWidth="1"/>
    <col min="8456" max="8704" width="9.140625" style="3"/>
    <col min="8705" max="8705" width="5.7109375" style="3" customWidth="1"/>
    <col min="8706" max="8706" width="35.7109375" style="3" customWidth="1"/>
    <col min="8707" max="8707" width="8.5703125" style="3" customWidth="1"/>
    <col min="8708" max="8708" width="13.42578125" style="3" bestFit="1" customWidth="1"/>
    <col min="8709" max="8709" width="13" style="3" customWidth="1"/>
    <col min="8710" max="8710" width="16.85546875" style="3" customWidth="1"/>
    <col min="8711" max="8711" width="12.140625" style="3" customWidth="1"/>
    <col min="8712" max="8960" width="9.140625" style="3"/>
    <col min="8961" max="8961" width="5.7109375" style="3" customWidth="1"/>
    <col min="8962" max="8962" width="35.7109375" style="3" customWidth="1"/>
    <col min="8963" max="8963" width="8.5703125" style="3" customWidth="1"/>
    <col min="8964" max="8964" width="13.42578125" style="3" bestFit="1" customWidth="1"/>
    <col min="8965" max="8965" width="13" style="3" customWidth="1"/>
    <col min="8966" max="8966" width="16.85546875" style="3" customWidth="1"/>
    <col min="8967" max="8967" width="12.140625" style="3" customWidth="1"/>
    <col min="8968" max="9216" width="9.140625" style="3"/>
    <col min="9217" max="9217" width="5.7109375" style="3" customWidth="1"/>
    <col min="9218" max="9218" width="35.7109375" style="3" customWidth="1"/>
    <col min="9219" max="9219" width="8.5703125" style="3" customWidth="1"/>
    <col min="9220" max="9220" width="13.42578125" style="3" bestFit="1" customWidth="1"/>
    <col min="9221" max="9221" width="13" style="3" customWidth="1"/>
    <col min="9222" max="9222" width="16.85546875" style="3" customWidth="1"/>
    <col min="9223" max="9223" width="12.140625" style="3" customWidth="1"/>
    <col min="9224" max="9472" width="9.140625" style="3"/>
    <col min="9473" max="9473" width="5.7109375" style="3" customWidth="1"/>
    <col min="9474" max="9474" width="35.7109375" style="3" customWidth="1"/>
    <col min="9475" max="9475" width="8.5703125" style="3" customWidth="1"/>
    <col min="9476" max="9476" width="13.42578125" style="3" bestFit="1" customWidth="1"/>
    <col min="9477" max="9477" width="13" style="3" customWidth="1"/>
    <col min="9478" max="9478" width="16.85546875" style="3" customWidth="1"/>
    <col min="9479" max="9479" width="12.140625" style="3" customWidth="1"/>
    <col min="9480" max="9728" width="9.140625" style="3"/>
    <col min="9729" max="9729" width="5.7109375" style="3" customWidth="1"/>
    <col min="9730" max="9730" width="35.7109375" style="3" customWidth="1"/>
    <col min="9731" max="9731" width="8.5703125" style="3" customWidth="1"/>
    <col min="9732" max="9732" width="13.42578125" style="3" bestFit="1" customWidth="1"/>
    <col min="9733" max="9733" width="13" style="3" customWidth="1"/>
    <col min="9734" max="9734" width="16.85546875" style="3" customWidth="1"/>
    <col min="9735" max="9735" width="12.140625" style="3" customWidth="1"/>
    <col min="9736" max="9984" width="9.140625" style="3"/>
    <col min="9985" max="9985" width="5.7109375" style="3" customWidth="1"/>
    <col min="9986" max="9986" width="35.7109375" style="3" customWidth="1"/>
    <col min="9987" max="9987" width="8.5703125" style="3" customWidth="1"/>
    <col min="9988" max="9988" width="13.42578125" style="3" bestFit="1" customWidth="1"/>
    <col min="9989" max="9989" width="13" style="3" customWidth="1"/>
    <col min="9990" max="9990" width="16.85546875" style="3" customWidth="1"/>
    <col min="9991" max="9991" width="12.140625" style="3" customWidth="1"/>
    <col min="9992" max="10240" width="9.140625" style="3"/>
    <col min="10241" max="10241" width="5.7109375" style="3" customWidth="1"/>
    <col min="10242" max="10242" width="35.7109375" style="3" customWidth="1"/>
    <col min="10243" max="10243" width="8.5703125" style="3" customWidth="1"/>
    <col min="10244" max="10244" width="13.42578125" style="3" bestFit="1" customWidth="1"/>
    <col min="10245" max="10245" width="13" style="3" customWidth="1"/>
    <col min="10246" max="10246" width="16.85546875" style="3" customWidth="1"/>
    <col min="10247" max="10247" width="12.140625" style="3" customWidth="1"/>
    <col min="10248" max="10496" width="9.140625" style="3"/>
    <col min="10497" max="10497" width="5.7109375" style="3" customWidth="1"/>
    <col min="10498" max="10498" width="35.7109375" style="3" customWidth="1"/>
    <col min="10499" max="10499" width="8.5703125" style="3" customWidth="1"/>
    <col min="10500" max="10500" width="13.42578125" style="3" bestFit="1" customWidth="1"/>
    <col min="10501" max="10501" width="13" style="3" customWidth="1"/>
    <col min="10502" max="10502" width="16.85546875" style="3" customWidth="1"/>
    <col min="10503" max="10503" width="12.140625" style="3" customWidth="1"/>
    <col min="10504" max="10752" width="9.140625" style="3"/>
    <col min="10753" max="10753" width="5.7109375" style="3" customWidth="1"/>
    <col min="10754" max="10754" width="35.7109375" style="3" customWidth="1"/>
    <col min="10755" max="10755" width="8.5703125" style="3" customWidth="1"/>
    <col min="10756" max="10756" width="13.42578125" style="3" bestFit="1" customWidth="1"/>
    <col min="10757" max="10757" width="13" style="3" customWidth="1"/>
    <col min="10758" max="10758" width="16.85546875" style="3" customWidth="1"/>
    <col min="10759" max="10759" width="12.140625" style="3" customWidth="1"/>
    <col min="10760" max="11008" width="9.140625" style="3"/>
    <col min="11009" max="11009" width="5.7109375" style="3" customWidth="1"/>
    <col min="11010" max="11010" width="35.7109375" style="3" customWidth="1"/>
    <col min="11011" max="11011" width="8.5703125" style="3" customWidth="1"/>
    <col min="11012" max="11012" width="13.42578125" style="3" bestFit="1" customWidth="1"/>
    <col min="11013" max="11013" width="13" style="3" customWidth="1"/>
    <col min="11014" max="11014" width="16.85546875" style="3" customWidth="1"/>
    <col min="11015" max="11015" width="12.140625" style="3" customWidth="1"/>
    <col min="11016" max="11264" width="9.140625" style="3"/>
    <col min="11265" max="11265" width="5.7109375" style="3" customWidth="1"/>
    <col min="11266" max="11266" width="35.7109375" style="3" customWidth="1"/>
    <col min="11267" max="11267" width="8.5703125" style="3" customWidth="1"/>
    <col min="11268" max="11268" width="13.42578125" style="3" bestFit="1" customWidth="1"/>
    <col min="11269" max="11269" width="13" style="3" customWidth="1"/>
    <col min="11270" max="11270" width="16.85546875" style="3" customWidth="1"/>
    <col min="11271" max="11271" width="12.140625" style="3" customWidth="1"/>
    <col min="11272" max="11520" width="9.140625" style="3"/>
    <col min="11521" max="11521" width="5.7109375" style="3" customWidth="1"/>
    <col min="11522" max="11522" width="35.7109375" style="3" customWidth="1"/>
    <col min="11523" max="11523" width="8.5703125" style="3" customWidth="1"/>
    <col min="11524" max="11524" width="13.42578125" style="3" bestFit="1" customWidth="1"/>
    <col min="11525" max="11525" width="13" style="3" customWidth="1"/>
    <col min="11526" max="11526" width="16.85546875" style="3" customWidth="1"/>
    <col min="11527" max="11527" width="12.140625" style="3" customWidth="1"/>
    <col min="11528" max="11776" width="9.140625" style="3"/>
    <col min="11777" max="11777" width="5.7109375" style="3" customWidth="1"/>
    <col min="11778" max="11778" width="35.7109375" style="3" customWidth="1"/>
    <col min="11779" max="11779" width="8.5703125" style="3" customWidth="1"/>
    <col min="11780" max="11780" width="13.42578125" style="3" bestFit="1" customWidth="1"/>
    <col min="11781" max="11781" width="13" style="3" customWidth="1"/>
    <col min="11782" max="11782" width="16.85546875" style="3" customWidth="1"/>
    <col min="11783" max="11783" width="12.140625" style="3" customWidth="1"/>
    <col min="11784" max="12032" width="9.140625" style="3"/>
    <col min="12033" max="12033" width="5.7109375" style="3" customWidth="1"/>
    <col min="12034" max="12034" width="35.7109375" style="3" customWidth="1"/>
    <col min="12035" max="12035" width="8.5703125" style="3" customWidth="1"/>
    <col min="12036" max="12036" width="13.42578125" style="3" bestFit="1" customWidth="1"/>
    <col min="12037" max="12037" width="13" style="3" customWidth="1"/>
    <col min="12038" max="12038" width="16.85546875" style="3" customWidth="1"/>
    <col min="12039" max="12039" width="12.140625" style="3" customWidth="1"/>
    <col min="12040" max="12288" width="9.140625" style="3"/>
    <col min="12289" max="12289" width="5.7109375" style="3" customWidth="1"/>
    <col min="12290" max="12290" width="35.7109375" style="3" customWidth="1"/>
    <col min="12291" max="12291" width="8.5703125" style="3" customWidth="1"/>
    <col min="12292" max="12292" width="13.42578125" style="3" bestFit="1" customWidth="1"/>
    <col min="12293" max="12293" width="13" style="3" customWidth="1"/>
    <col min="12294" max="12294" width="16.85546875" style="3" customWidth="1"/>
    <col min="12295" max="12295" width="12.140625" style="3" customWidth="1"/>
    <col min="12296" max="12544" width="9.140625" style="3"/>
    <col min="12545" max="12545" width="5.7109375" style="3" customWidth="1"/>
    <col min="12546" max="12546" width="35.7109375" style="3" customWidth="1"/>
    <col min="12547" max="12547" width="8.5703125" style="3" customWidth="1"/>
    <col min="12548" max="12548" width="13.42578125" style="3" bestFit="1" customWidth="1"/>
    <col min="12549" max="12549" width="13" style="3" customWidth="1"/>
    <col min="12550" max="12550" width="16.85546875" style="3" customWidth="1"/>
    <col min="12551" max="12551" width="12.140625" style="3" customWidth="1"/>
    <col min="12552" max="12800" width="9.140625" style="3"/>
    <col min="12801" max="12801" width="5.7109375" style="3" customWidth="1"/>
    <col min="12802" max="12802" width="35.7109375" style="3" customWidth="1"/>
    <col min="12803" max="12803" width="8.5703125" style="3" customWidth="1"/>
    <col min="12804" max="12804" width="13.42578125" style="3" bestFit="1" customWidth="1"/>
    <col min="12805" max="12805" width="13" style="3" customWidth="1"/>
    <col min="12806" max="12806" width="16.85546875" style="3" customWidth="1"/>
    <col min="12807" max="12807" width="12.140625" style="3" customWidth="1"/>
    <col min="12808" max="13056" width="9.140625" style="3"/>
    <col min="13057" max="13057" width="5.7109375" style="3" customWidth="1"/>
    <col min="13058" max="13058" width="35.7109375" style="3" customWidth="1"/>
    <col min="13059" max="13059" width="8.5703125" style="3" customWidth="1"/>
    <col min="13060" max="13060" width="13.42578125" style="3" bestFit="1" customWidth="1"/>
    <col min="13061" max="13061" width="13" style="3" customWidth="1"/>
    <col min="13062" max="13062" width="16.85546875" style="3" customWidth="1"/>
    <col min="13063" max="13063" width="12.140625" style="3" customWidth="1"/>
    <col min="13064" max="13312" width="9.140625" style="3"/>
    <col min="13313" max="13313" width="5.7109375" style="3" customWidth="1"/>
    <col min="13314" max="13314" width="35.7109375" style="3" customWidth="1"/>
    <col min="13315" max="13315" width="8.5703125" style="3" customWidth="1"/>
    <col min="13316" max="13316" width="13.42578125" style="3" bestFit="1" customWidth="1"/>
    <col min="13317" max="13317" width="13" style="3" customWidth="1"/>
    <col min="13318" max="13318" width="16.85546875" style="3" customWidth="1"/>
    <col min="13319" max="13319" width="12.140625" style="3" customWidth="1"/>
    <col min="13320" max="13568" width="9.140625" style="3"/>
    <col min="13569" max="13569" width="5.7109375" style="3" customWidth="1"/>
    <col min="13570" max="13570" width="35.7109375" style="3" customWidth="1"/>
    <col min="13571" max="13571" width="8.5703125" style="3" customWidth="1"/>
    <col min="13572" max="13572" width="13.42578125" style="3" bestFit="1" customWidth="1"/>
    <col min="13573" max="13573" width="13" style="3" customWidth="1"/>
    <col min="13574" max="13574" width="16.85546875" style="3" customWidth="1"/>
    <col min="13575" max="13575" width="12.140625" style="3" customWidth="1"/>
    <col min="13576" max="13824" width="9.140625" style="3"/>
    <col min="13825" max="13825" width="5.7109375" style="3" customWidth="1"/>
    <col min="13826" max="13826" width="35.7109375" style="3" customWidth="1"/>
    <col min="13827" max="13827" width="8.5703125" style="3" customWidth="1"/>
    <col min="13828" max="13828" width="13.42578125" style="3" bestFit="1" customWidth="1"/>
    <col min="13829" max="13829" width="13" style="3" customWidth="1"/>
    <col min="13830" max="13830" width="16.85546875" style="3" customWidth="1"/>
    <col min="13831" max="13831" width="12.140625" style="3" customWidth="1"/>
    <col min="13832" max="14080" width="9.140625" style="3"/>
    <col min="14081" max="14081" width="5.7109375" style="3" customWidth="1"/>
    <col min="14082" max="14082" width="35.7109375" style="3" customWidth="1"/>
    <col min="14083" max="14083" width="8.5703125" style="3" customWidth="1"/>
    <col min="14084" max="14084" width="13.42578125" style="3" bestFit="1" customWidth="1"/>
    <col min="14085" max="14085" width="13" style="3" customWidth="1"/>
    <col min="14086" max="14086" width="16.85546875" style="3" customWidth="1"/>
    <col min="14087" max="14087" width="12.140625" style="3" customWidth="1"/>
    <col min="14088" max="14336" width="9.140625" style="3"/>
    <col min="14337" max="14337" width="5.7109375" style="3" customWidth="1"/>
    <col min="14338" max="14338" width="35.7109375" style="3" customWidth="1"/>
    <col min="14339" max="14339" width="8.5703125" style="3" customWidth="1"/>
    <col min="14340" max="14340" width="13.42578125" style="3" bestFit="1" customWidth="1"/>
    <col min="14341" max="14341" width="13" style="3" customWidth="1"/>
    <col min="14342" max="14342" width="16.85546875" style="3" customWidth="1"/>
    <col min="14343" max="14343" width="12.140625" style="3" customWidth="1"/>
    <col min="14344" max="14592" width="9.140625" style="3"/>
    <col min="14593" max="14593" width="5.7109375" style="3" customWidth="1"/>
    <col min="14594" max="14594" width="35.7109375" style="3" customWidth="1"/>
    <col min="14595" max="14595" width="8.5703125" style="3" customWidth="1"/>
    <col min="14596" max="14596" width="13.42578125" style="3" bestFit="1" customWidth="1"/>
    <col min="14597" max="14597" width="13" style="3" customWidth="1"/>
    <col min="14598" max="14598" width="16.85546875" style="3" customWidth="1"/>
    <col min="14599" max="14599" width="12.140625" style="3" customWidth="1"/>
    <col min="14600" max="14848" width="9.140625" style="3"/>
    <col min="14849" max="14849" width="5.7109375" style="3" customWidth="1"/>
    <col min="14850" max="14850" width="35.7109375" style="3" customWidth="1"/>
    <col min="14851" max="14851" width="8.5703125" style="3" customWidth="1"/>
    <col min="14852" max="14852" width="13.42578125" style="3" bestFit="1" customWidth="1"/>
    <col min="14853" max="14853" width="13" style="3" customWidth="1"/>
    <col min="14854" max="14854" width="16.85546875" style="3" customWidth="1"/>
    <col min="14855" max="14855" width="12.140625" style="3" customWidth="1"/>
    <col min="14856" max="15104" width="9.140625" style="3"/>
    <col min="15105" max="15105" width="5.7109375" style="3" customWidth="1"/>
    <col min="15106" max="15106" width="35.7109375" style="3" customWidth="1"/>
    <col min="15107" max="15107" width="8.5703125" style="3" customWidth="1"/>
    <col min="15108" max="15108" width="13.42578125" style="3" bestFit="1" customWidth="1"/>
    <col min="15109" max="15109" width="13" style="3" customWidth="1"/>
    <col min="15110" max="15110" width="16.85546875" style="3" customWidth="1"/>
    <col min="15111" max="15111" width="12.140625" style="3" customWidth="1"/>
    <col min="15112" max="15360" width="9.140625" style="3"/>
    <col min="15361" max="15361" width="5.7109375" style="3" customWidth="1"/>
    <col min="15362" max="15362" width="35.7109375" style="3" customWidth="1"/>
    <col min="15363" max="15363" width="8.5703125" style="3" customWidth="1"/>
    <col min="15364" max="15364" width="13.42578125" style="3" bestFit="1" customWidth="1"/>
    <col min="15365" max="15365" width="13" style="3" customWidth="1"/>
    <col min="15366" max="15366" width="16.85546875" style="3" customWidth="1"/>
    <col min="15367" max="15367" width="12.140625" style="3" customWidth="1"/>
    <col min="15368" max="15616" width="9.140625" style="3"/>
    <col min="15617" max="15617" width="5.7109375" style="3" customWidth="1"/>
    <col min="15618" max="15618" width="35.7109375" style="3" customWidth="1"/>
    <col min="15619" max="15619" width="8.5703125" style="3" customWidth="1"/>
    <col min="15620" max="15620" width="13.42578125" style="3" bestFit="1" customWidth="1"/>
    <col min="15621" max="15621" width="13" style="3" customWidth="1"/>
    <col min="15622" max="15622" width="16.85546875" style="3" customWidth="1"/>
    <col min="15623" max="15623" width="12.140625" style="3" customWidth="1"/>
    <col min="15624" max="15872" width="9.140625" style="3"/>
    <col min="15873" max="15873" width="5.7109375" style="3" customWidth="1"/>
    <col min="15874" max="15874" width="35.7109375" style="3" customWidth="1"/>
    <col min="15875" max="15875" width="8.5703125" style="3" customWidth="1"/>
    <col min="15876" max="15876" width="13.42578125" style="3" bestFit="1" customWidth="1"/>
    <col min="15877" max="15877" width="13" style="3" customWidth="1"/>
    <col min="15878" max="15878" width="16.85546875" style="3" customWidth="1"/>
    <col min="15879" max="15879" width="12.140625" style="3" customWidth="1"/>
    <col min="15880" max="16128" width="9.140625" style="3"/>
    <col min="16129" max="16129" width="5.7109375" style="3" customWidth="1"/>
    <col min="16130" max="16130" width="35.7109375" style="3" customWidth="1"/>
    <col min="16131" max="16131" width="8.5703125" style="3" customWidth="1"/>
    <col min="16132" max="16132" width="13.42578125" style="3" bestFit="1" customWidth="1"/>
    <col min="16133" max="16133" width="13" style="3" customWidth="1"/>
    <col min="16134" max="16134" width="16.85546875" style="3" customWidth="1"/>
    <col min="16135" max="16135" width="12.140625" style="3" customWidth="1"/>
    <col min="16136" max="16384" width="9.140625" style="3"/>
  </cols>
  <sheetData>
    <row r="1" spans="1:7" ht="36" customHeight="1" x14ac:dyDescent="0.25">
      <c r="A1" s="1"/>
      <c r="B1" s="1"/>
      <c r="C1" s="2"/>
      <c r="D1" s="269" t="s">
        <v>0</v>
      </c>
      <c r="E1" s="269"/>
      <c r="F1" s="269"/>
      <c r="G1" s="269"/>
    </row>
    <row r="2" spans="1:7" ht="27" customHeight="1" x14ac:dyDescent="0.25">
      <c r="A2" s="270" t="s">
        <v>1</v>
      </c>
      <c r="B2" s="270"/>
      <c r="C2" s="270"/>
      <c r="D2" s="270"/>
      <c r="E2" s="270"/>
      <c r="F2" s="270"/>
      <c r="G2" s="270"/>
    </row>
    <row r="3" spans="1:7" ht="7.5" customHeight="1" x14ac:dyDescent="0.25">
      <c r="A3" s="1"/>
      <c r="B3" s="1"/>
      <c r="C3" s="1"/>
      <c r="D3" s="1"/>
      <c r="E3" s="1"/>
      <c r="F3" s="1"/>
      <c r="G3" s="1"/>
    </row>
    <row r="4" spans="1:7" ht="26.25" customHeight="1" x14ac:dyDescent="0.25">
      <c r="A4" s="269" t="s">
        <v>2</v>
      </c>
      <c r="B4" s="269"/>
      <c r="C4" s="269"/>
      <c r="D4" s="269"/>
      <c r="E4" s="269"/>
      <c r="F4" s="269"/>
      <c r="G4" s="269"/>
    </row>
    <row r="5" spans="1:7" ht="18.75" customHeight="1" x14ac:dyDescent="0.25">
      <c r="A5" s="280" t="s">
        <v>3</v>
      </c>
      <c r="B5" s="280"/>
      <c r="C5" s="280"/>
      <c r="D5" s="280"/>
      <c r="E5" s="280"/>
      <c r="F5" s="280"/>
      <c r="G5" s="280"/>
    </row>
    <row r="6" spans="1:7" ht="13.5" customHeight="1" x14ac:dyDescent="0.25">
      <c r="A6" s="4" t="s">
        <v>4</v>
      </c>
      <c r="B6" s="5" t="s">
        <v>5</v>
      </c>
      <c r="C6" s="283" t="s">
        <v>6</v>
      </c>
      <c r="D6" s="283"/>
      <c r="E6" s="283"/>
      <c r="F6" s="283"/>
      <c r="G6" s="283"/>
    </row>
    <row r="7" spans="1:7" ht="13.5" customHeight="1" x14ac:dyDescent="0.25">
      <c r="A7" s="1"/>
      <c r="B7" s="6" t="s">
        <v>7</v>
      </c>
      <c r="C7" s="282" t="s">
        <v>8</v>
      </c>
      <c r="D7" s="282"/>
      <c r="E7" s="282"/>
      <c r="F7" s="282"/>
      <c r="G7" s="282"/>
    </row>
    <row r="8" spans="1:7" ht="13.5" customHeight="1" x14ac:dyDescent="0.25">
      <c r="A8" s="7" t="s">
        <v>9</v>
      </c>
      <c r="B8" s="5" t="s">
        <v>10</v>
      </c>
      <c r="C8" s="283" t="s">
        <v>11</v>
      </c>
      <c r="D8" s="283"/>
      <c r="E8" s="283"/>
      <c r="F8" s="283"/>
      <c r="G8" s="283"/>
    </row>
    <row r="9" spans="1:7" ht="13.5" customHeight="1" x14ac:dyDescent="0.25">
      <c r="A9" s="1"/>
      <c r="B9" s="6" t="s">
        <v>12</v>
      </c>
      <c r="C9" s="282" t="s">
        <v>13</v>
      </c>
      <c r="D9" s="282"/>
      <c r="E9" s="282"/>
      <c r="F9" s="282"/>
      <c r="G9" s="282"/>
    </row>
    <row r="10" spans="1:7" ht="13.5" customHeight="1" x14ac:dyDescent="0.25">
      <c r="A10" s="7" t="s">
        <v>14</v>
      </c>
      <c r="B10" s="5" t="s">
        <v>15</v>
      </c>
      <c r="C10" s="283" t="s">
        <v>16</v>
      </c>
      <c r="D10" s="283"/>
      <c r="E10" s="283"/>
      <c r="F10" s="283"/>
      <c r="G10" s="283"/>
    </row>
    <row r="11" spans="1:7" ht="13.5" customHeight="1" x14ac:dyDescent="0.25">
      <c r="A11" s="1"/>
      <c r="B11" s="6" t="s">
        <v>17</v>
      </c>
      <c r="C11" s="282" t="s">
        <v>18</v>
      </c>
      <c r="D11" s="282"/>
      <c r="E11" s="282"/>
      <c r="F11" s="282"/>
      <c r="G11" s="282"/>
    </row>
    <row r="12" spans="1:7" ht="13.5" customHeight="1" x14ac:dyDescent="0.25">
      <c r="A12" s="7" t="s">
        <v>19</v>
      </c>
      <c r="B12" s="5" t="s">
        <v>20</v>
      </c>
      <c r="C12" s="340">
        <v>44259</v>
      </c>
      <c r="D12" s="283"/>
      <c r="E12" s="283"/>
      <c r="F12" s="283"/>
      <c r="G12" s="283"/>
    </row>
    <row r="13" spans="1:7" ht="13.5" customHeight="1" x14ac:dyDescent="0.25">
      <c r="A13" s="1"/>
      <c r="B13" s="6" t="s">
        <v>21</v>
      </c>
      <c r="C13" s="341">
        <v>44259</v>
      </c>
      <c r="D13" s="282"/>
      <c r="E13" s="282"/>
      <c r="F13" s="282"/>
      <c r="G13" s="282"/>
    </row>
    <row r="14" spans="1:7" ht="7.5" customHeight="1" x14ac:dyDescent="0.25">
      <c r="A14" s="1"/>
      <c r="B14" s="1"/>
      <c r="C14" s="8"/>
      <c r="D14" s="1"/>
      <c r="E14" s="1"/>
      <c r="F14" s="1"/>
      <c r="G14" s="1"/>
    </row>
    <row r="15" spans="1:7" x14ac:dyDescent="0.25">
      <c r="A15" s="284" t="s">
        <v>22</v>
      </c>
      <c r="B15" s="284"/>
      <c r="C15" s="284"/>
      <c r="D15" s="284"/>
      <c r="E15" s="284"/>
      <c r="F15" s="284"/>
      <c r="G15" s="284"/>
    </row>
    <row r="16" spans="1:7" ht="15.75" customHeight="1" x14ac:dyDescent="0.25">
      <c r="A16" s="283" t="s">
        <v>23</v>
      </c>
      <c r="B16" s="283"/>
      <c r="C16" s="283"/>
      <c r="D16" s="283"/>
      <c r="E16" s="283"/>
      <c r="F16" s="283"/>
      <c r="G16" s="283"/>
    </row>
    <row r="17" spans="1:7" ht="15.75" customHeight="1" x14ac:dyDescent="0.25">
      <c r="A17" s="9"/>
      <c r="B17" s="9"/>
      <c r="C17" s="10"/>
      <c r="D17" s="9"/>
      <c r="E17" s="9"/>
      <c r="F17" s="277" t="s">
        <v>24</v>
      </c>
      <c r="G17" s="277"/>
    </row>
    <row r="18" spans="1:7" ht="42" x14ac:dyDescent="0.25">
      <c r="A18" s="11" t="s">
        <v>25</v>
      </c>
      <c r="B18" s="12" t="s">
        <v>26</v>
      </c>
      <c r="C18" s="12" t="s">
        <v>27</v>
      </c>
      <c r="D18" s="12" t="s">
        <v>28</v>
      </c>
      <c r="E18" s="12" t="s">
        <v>29</v>
      </c>
      <c r="F18" s="12" t="s">
        <v>30</v>
      </c>
      <c r="G18" s="13" t="s">
        <v>31</v>
      </c>
    </row>
    <row r="19" spans="1:7" s="20" customFormat="1" ht="44.25" customHeight="1" x14ac:dyDescent="0.25">
      <c r="A19" s="14" t="s">
        <v>32</v>
      </c>
      <c r="B19" s="15" t="s">
        <v>33</v>
      </c>
      <c r="C19" s="16"/>
      <c r="D19" s="17">
        <v>0</v>
      </c>
      <c r="E19" s="18">
        <v>0</v>
      </c>
      <c r="F19" s="18">
        <v>0</v>
      </c>
      <c r="G19" s="19">
        <v>0</v>
      </c>
    </row>
    <row r="20" spans="1:7" s="20" customFormat="1" ht="44.25" customHeight="1" x14ac:dyDescent="0.25">
      <c r="A20" s="14" t="s">
        <v>34</v>
      </c>
      <c r="B20" s="15" t="s">
        <v>35</v>
      </c>
      <c r="C20" s="336" t="s">
        <v>967</v>
      </c>
      <c r="D20" s="17">
        <v>0</v>
      </c>
      <c r="E20" s="18">
        <v>0</v>
      </c>
      <c r="F20" s="18">
        <v>0</v>
      </c>
      <c r="G20" s="19">
        <v>0</v>
      </c>
    </row>
    <row r="21" spans="1:7" ht="15" customHeight="1" x14ac:dyDescent="0.25">
      <c r="A21" s="21" t="s">
        <v>4</v>
      </c>
      <c r="B21" s="22" t="s">
        <v>36</v>
      </c>
      <c r="C21" s="337" t="s">
        <v>968</v>
      </c>
      <c r="D21" s="24">
        <v>1941260</v>
      </c>
      <c r="E21" s="25">
        <v>73900</v>
      </c>
      <c r="F21" s="25">
        <v>143459114000</v>
      </c>
      <c r="G21" s="26">
        <v>1.6199999999999999E-2</v>
      </c>
    </row>
    <row r="22" spans="1:7" ht="15" customHeight="1" x14ac:dyDescent="0.25">
      <c r="A22" s="21" t="s">
        <v>9</v>
      </c>
      <c r="B22" s="22" t="s">
        <v>37</v>
      </c>
      <c r="C22" s="337" t="s">
        <v>969</v>
      </c>
      <c r="D22" s="24">
        <v>10606350</v>
      </c>
      <c r="E22" s="25">
        <v>37250</v>
      </c>
      <c r="F22" s="25">
        <v>395086537500</v>
      </c>
      <c r="G22" s="26">
        <v>4.4600000000000001E-2</v>
      </c>
    </row>
    <row r="23" spans="1:7" ht="15" customHeight="1" x14ac:dyDescent="0.25">
      <c r="A23" s="21" t="s">
        <v>14</v>
      </c>
      <c r="B23" s="22" t="s">
        <v>38</v>
      </c>
      <c r="C23" s="337" t="s">
        <v>970</v>
      </c>
      <c r="D23" s="24">
        <v>18846460</v>
      </c>
      <c r="E23" s="25">
        <v>76200</v>
      </c>
      <c r="F23" s="25">
        <v>1436100252000</v>
      </c>
      <c r="G23" s="26">
        <v>0.16209999999999999</v>
      </c>
    </row>
    <row r="24" spans="1:7" ht="15" customHeight="1" x14ac:dyDescent="0.25">
      <c r="A24" s="21" t="s">
        <v>19</v>
      </c>
      <c r="B24" s="22" t="s">
        <v>39</v>
      </c>
      <c r="C24" s="337" t="s">
        <v>971</v>
      </c>
      <c r="D24" s="24">
        <v>12518450</v>
      </c>
      <c r="E24" s="25">
        <v>33500</v>
      </c>
      <c r="F24" s="25">
        <v>419368075000</v>
      </c>
      <c r="G24" s="26">
        <v>4.7300000000000002E-2</v>
      </c>
    </row>
    <row r="25" spans="1:7" ht="15" customHeight="1" x14ac:dyDescent="0.25">
      <c r="A25" s="21" t="s">
        <v>40</v>
      </c>
      <c r="B25" s="22" t="s">
        <v>41</v>
      </c>
      <c r="C25" s="337" t="s">
        <v>972</v>
      </c>
      <c r="D25" s="24">
        <v>16639223</v>
      </c>
      <c r="E25" s="25">
        <v>31900</v>
      </c>
      <c r="F25" s="25">
        <v>530791213700</v>
      </c>
      <c r="G25" s="26">
        <v>5.9900000000000002E-2</v>
      </c>
    </row>
    <row r="26" spans="1:7" ht="15" customHeight="1" x14ac:dyDescent="0.25">
      <c r="A26" s="21" t="s">
        <v>42</v>
      </c>
      <c r="B26" s="22" t="s">
        <v>43</v>
      </c>
      <c r="C26" s="337" t="s">
        <v>973</v>
      </c>
      <c r="D26" s="24">
        <v>31829896</v>
      </c>
      <c r="E26" s="25">
        <v>27650</v>
      </c>
      <c r="F26" s="25">
        <v>880096624400</v>
      </c>
      <c r="G26" s="26">
        <v>9.9400000000000002E-2</v>
      </c>
    </row>
    <row r="27" spans="1:7" ht="15" customHeight="1" x14ac:dyDescent="0.25">
      <c r="A27" s="21" t="s">
        <v>44</v>
      </c>
      <c r="B27" s="22" t="s">
        <v>45</v>
      </c>
      <c r="C27" s="337" t="s">
        <v>974</v>
      </c>
      <c r="D27" s="24">
        <v>10109056</v>
      </c>
      <c r="E27" s="25">
        <v>135000</v>
      </c>
      <c r="F27" s="25">
        <v>1364722560000</v>
      </c>
      <c r="G27" s="26">
        <v>0.15409999999999999</v>
      </c>
    </row>
    <row r="28" spans="1:7" ht="15" customHeight="1" x14ac:dyDescent="0.25">
      <c r="A28" s="21" t="s">
        <v>46</v>
      </c>
      <c r="B28" s="22" t="s">
        <v>47</v>
      </c>
      <c r="C28" s="337" t="s">
        <v>975</v>
      </c>
      <c r="D28" s="24">
        <v>7722962</v>
      </c>
      <c r="E28" s="25">
        <v>36200</v>
      </c>
      <c r="F28" s="25">
        <v>279571224400</v>
      </c>
      <c r="G28" s="26">
        <v>3.1600000000000003E-2</v>
      </c>
    </row>
    <row r="29" spans="1:7" ht="15" customHeight="1" x14ac:dyDescent="0.25">
      <c r="A29" s="21" t="s">
        <v>48</v>
      </c>
      <c r="B29" s="22" t="s">
        <v>49</v>
      </c>
      <c r="C29" s="337" t="s">
        <v>976</v>
      </c>
      <c r="D29" s="24">
        <v>9032636</v>
      </c>
      <c r="E29" s="25">
        <v>84900</v>
      </c>
      <c r="F29" s="25">
        <v>766870796400</v>
      </c>
      <c r="G29" s="26">
        <v>8.6599999999999996E-2</v>
      </c>
    </row>
    <row r="30" spans="1:7" ht="15" customHeight="1" x14ac:dyDescent="0.25">
      <c r="A30" s="21" t="s">
        <v>50</v>
      </c>
      <c r="B30" s="22" t="s">
        <v>51</v>
      </c>
      <c r="C30" s="337" t="s">
        <v>977</v>
      </c>
      <c r="D30" s="24">
        <v>6537153</v>
      </c>
      <c r="E30" s="25">
        <v>56700</v>
      </c>
      <c r="F30" s="25">
        <v>370656575100</v>
      </c>
      <c r="G30" s="26">
        <v>4.1799999999999997E-2</v>
      </c>
    </row>
    <row r="31" spans="1:7" ht="15" customHeight="1" x14ac:dyDescent="0.25">
      <c r="A31" s="21" t="s">
        <v>52</v>
      </c>
      <c r="B31" s="22" t="s">
        <v>53</v>
      </c>
      <c r="C31" s="337" t="s">
        <v>978</v>
      </c>
      <c r="D31" s="24">
        <v>24082830</v>
      </c>
      <c r="E31" s="25">
        <v>39250</v>
      </c>
      <c r="F31" s="25">
        <v>945251077500</v>
      </c>
      <c r="G31" s="26">
        <v>0.1067</v>
      </c>
    </row>
    <row r="32" spans="1:7" ht="15" customHeight="1" x14ac:dyDescent="0.25">
      <c r="A32" s="21" t="s">
        <v>54</v>
      </c>
      <c r="B32" s="22" t="s">
        <v>55</v>
      </c>
      <c r="C32" s="337" t="s">
        <v>979</v>
      </c>
      <c r="D32" s="24">
        <v>11216930</v>
      </c>
      <c r="E32" s="25">
        <v>27550</v>
      </c>
      <c r="F32" s="25">
        <v>309026421500</v>
      </c>
      <c r="G32" s="26">
        <v>3.49E-2</v>
      </c>
    </row>
    <row r="33" spans="1:7" ht="15" customHeight="1" x14ac:dyDescent="0.25">
      <c r="A33" s="21" t="s">
        <v>56</v>
      </c>
      <c r="B33" s="22" t="s">
        <v>57</v>
      </c>
      <c r="C33" s="337" t="s">
        <v>980</v>
      </c>
      <c r="D33" s="24">
        <v>23795150</v>
      </c>
      <c r="E33" s="25">
        <v>40000</v>
      </c>
      <c r="F33" s="25">
        <v>951806000000</v>
      </c>
      <c r="G33" s="26">
        <v>0.1074</v>
      </c>
    </row>
    <row r="34" spans="1:7" s="20" customFormat="1" ht="21" x14ac:dyDescent="0.25">
      <c r="A34" s="14"/>
      <c r="B34" s="15" t="s">
        <v>58</v>
      </c>
      <c r="C34" s="336" t="s">
        <v>981</v>
      </c>
      <c r="D34" s="17"/>
      <c r="E34" s="18">
        <v>0</v>
      </c>
      <c r="F34" s="18">
        <v>8792806471500</v>
      </c>
      <c r="G34" s="19">
        <v>0.99260000000000004</v>
      </c>
    </row>
    <row r="35" spans="1:7" s="20" customFormat="1" ht="52.5" customHeight="1" x14ac:dyDescent="0.25">
      <c r="A35" s="14" t="s">
        <v>59</v>
      </c>
      <c r="B35" s="15" t="s">
        <v>60</v>
      </c>
      <c r="C35" s="336" t="s">
        <v>982</v>
      </c>
      <c r="D35" s="17">
        <v>0</v>
      </c>
      <c r="E35" s="18">
        <v>0</v>
      </c>
      <c r="F35" s="18">
        <v>0</v>
      </c>
      <c r="G35" s="19">
        <v>0</v>
      </c>
    </row>
    <row r="36" spans="1:7" s="20" customFormat="1" ht="21" x14ac:dyDescent="0.25">
      <c r="A36" s="14"/>
      <c r="B36" s="15" t="s">
        <v>58</v>
      </c>
      <c r="C36" s="336" t="s">
        <v>983</v>
      </c>
      <c r="D36" s="17">
        <v>0</v>
      </c>
      <c r="E36" s="18">
        <v>0</v>
      </c>
      <c r="F36" s="18">
        <v>0</v>
      </c>
      <c r="G36" s="19">
        <v>0</v>
      </c>
    </row>
    <row r="37" spans="1:7" s="20" customFormat="1" ht="24" customHeight="1" x14ac:dyDescent="0.25">
      <c r="A37" s="14"/>
      <c r="B37" s="15" t="s">
        <v>61</v>
      </c>
      <c r="C37" s="336" t="s">
        <v>984</v>
      </c>
      <c r="D37" s="17"/>
      <c r="E37" s="18">
        <v>0</v>
      </c>
      <c r="F37" s="18">
        <v>8792806471500</v>
      </c>
      <c r="G37" s="19">
        <v>0.99260000000000004</v>
      </c>
    </row>
    <row r="38" spans="1:7" s="20" customFormat="1" ht="24" customHeight="1" x14ac:dyDescent="0.25">
      <c r="A38" s="14" t="s">
        <v>62</v>
      </c>
      <c r="B38" s="15" t="s">
        <v>63</v>
      </c>
      <c r="C38" s="336" t="s">
        <v>985</v>
      </c>
      <c r="D38" s="17">
        <v>0</v>
      </c>
      <c r="E38" s="18">
        <v>0</v>
      </c>
      <c r="F38" s="18">
        <v>0</v>
      </c>
      <c r="G38" s="19">
        <v>0</v>
      </c>
    </row>
    <row r="39" spans="1:7" ht="21" x14ac:dyDescent="0.25">
      <c r="A39" s="21"/>
      <c r="B39" s="22" t="s">
        <v>58</v>
      </c>
      <c r="C39" s="337" t="s">
        <v>986</v>
      </c>
      <c r="D39" s="24">
        <v>0</v>
      </c>
      <c r="E39" s="25">
        <v>0</v>
      </c>
      <c r="F39" s="25">
        <v>0</v>
      </c>
      <c r="G39" s="26">
        <v>0</v>
      </c>
    </row>
    <row r="40" spans="1:7" s="20" customFormat="1" ht="24" customHeight="1" x14ac:dyDescent="0.25">
      <c r="A40" s="14" t="s">
        <v>64</v>
      </c>
      <c r="B40" s="15" t="s">
        <v>65</v>
      </c>
      <c r="C40" s="336" t="s">
        <v>987</v>
      </c>
      <c r="D40" s="17">
        <v>0</v>
      </c>
      <c r="E40" s="18">
        <v>0</v>
      </c>
      <c r="F40" s="18">
        <v>0</v>
      </c>
      <c r="G40" s="19">
        <v>0</v>
      </c>
    </row>
    <row r="41" spans="1:7" ht="24" customHeight="1" x14ac:dyDescent="0.25">
      <c r="A41" s="21" t="s">
        <v>4</v>
      </c>
      <c r="B41" s="22" t="s">
        <v>66</v>
      </c>
      <c r="C41" s="337" t="s">
        <v>988</v>
      </c>
      <c r="D41" s="24">
        <v>0</v>
      </c>
      <c r="E41" s="25">
        <v>0</v>
      </c>
      <c r="F41" s="25">
        <v>0</v>
      </c>
      <c r="G41" s="26">
        <v>0</v>
      </c>
    </row>
    <row r="42" spans="1:7" ht="24" customHeight="1" x14ac:dyDescent="0.25">
      <c r="A42" s="21" t="s">
        <v>9</v>
      </c>
      <c r="B42" s="22" t="s">
        <v>67</v>
      </c>
      <c r="C42" s="337" t="s">
        <v>989</v>
      </c>
      <c r="D42" s="24">
        <v>0</v>
      </c>
      <c r="E42" s="25">
        <v>0</v>
      </c>
      <c r="F42" s="25">
        <v>0</v>
      </c>
      <c r="G42" s="26">
        <v>0</v>
      </c>
    </row>
    <row r="43" spans="1:7" s="20" customFormat="1" ht="21" x14ac:dyDescent="0.25">
      <c r="A43" s="14"/>
      <c r="B43" s="15" t="s">
        <v>58</v>
      </c>
      <c r="C43" s="336" t="s">
        <v>990</v>
      </c>
      <c r="D43" s="17">
        <v>0</v>
      </c>
      <c r="E43" s="18">
        <v>0</v>
      </c>
      <c r="F43" s="18">
        <v>0</v>
      </c>
      <c r="G43" s="19">
        <v>0</v>
      </c>
    </row>
    <row r="44" spans="1:7" s="20" customFormat="1" ht="24" customHeight="1" x14ac:dyDescent="0.25">
      <c r="A44" s="14"/>
      <c r="B44" s="15" t="s">
        <v>68</v>
      </c>
      <c r="C44" s="336" t="s">
        <v>991</v>
      </c>
      <c r="D44" s="17"/>
      <c r="E44" s="18">
        <v>0</v>
      </c>
      <c r="F44" s="18">
        <v>8792806471500</v>
      </c>
      <c r="G44" s="19">
        <v>0.99260000000000004</v>
      </c>
    </row>
    <row r="45" spans="1:7" s="20" customFormat="1" ht="24" customHeight="1" x14ac:dyDescent="0.25">
      <c r="A45" s="14" t="s">
        <v>69</v>
      </c>
      <c r="B45" s="15" t="s">
        <v>70</v>
      </c>
      <c r="C45" s="336" t="s">
        <v>992</v>
      </c>
      <c r="D45" s="17">
        <v>0</v>
      </c>
      <c r="E45" s="18">
        <v>0</v>
      </c>
      <c r="F45" s="18">
        <v>0</v>
      </c>
      <c r="G45" s="19">
        <v>0</v>
      </c>
    </row>
    <row r="46" spans="1:7" ht="24" customHeight="1" x14ac:dyDescent="0.25">
      <c r="A46" s="21" t="s">
        <v>4</v>
      </c>
      <c r="B46" s="22" t="s">
        <v>71</v>
      </c>
      <c r="C46" s="337" t="s">
        <v>993</v>
      </c>
      <c r="D46" s="24">
        <v>0</v>
      </c>
      <c r="E46" s="25">
        <v>0</v>
      </c>
      <c r="F46" s="25">
        <v>0</v>
      </c>
      <c r="G46" s="26">
        <v>0</v>
      </c>
    </row>
    <row r="47" spans="1:7" ht="24" customHeight="1" x14ac:dyDescent="0.25">
      <c r="A47" s="21" t="s">
        <v>9</v>
      </c>
      <c r="B47" s="22" t="s">
        <v>72</v>
      </c>
      <c r="C47" s="337" t="s">
        <v>994</v>
      </c>
      <c r="D47" s="24">
        <v>0</v>
      </c>
      <c r="E47" s="25">
        <v>0</v>
      </c>
      <c r="F47" s="25">
        <v>0</v>
      </c>
      <c r="G47" s="26">
        <v>0</v>
      </c>
    </row>
    <row r="48" spans="1:7" ht="24" customHeight="1" x14ac:dyDescent="0.25">
      <c r="A48" s="21" t="s">
        <v>14</v>
      </c>
      <c r="B48" s="22" t="s">
        <v>73</v>
      </c>
      <c r="C48" s="337" t="s">
        <v>995</v>
      </c>
      <c r="D48" s="24">
        <v>0</v>
      </c>
      <c r="E48" s="25">
        <v>0</v>
      </c>
      <c r="F48" s="25">
        <v>0</v>
      </c>
      <c r="G48" s="26">
        <v>0</v>
      </c>
    </row>
    <row r="49" spans="1:7" ht="45" customHeight="1" x14ac:dyDescent="0.25">
      <c r="A49" s="21" t="s">
        <v>19</v>
      </c>
      <c r="B49" s="22" t="s">
        <v>74</v>
      </c>
      <c r="C49" s="337" t="s">
        <v>996</v>
      </c>
      <c r="D49" s="24">
        <v>0</v>
      </c>
      <c r="E49" s="25">
        <v>0</v>
      </c>
      <c r="F49" s="25">
        <v>0</v>
      </c>
      <c r="G49" s="26">
        <v>0</v>
      </c>
    </row>
    <row r="50" spans="1:7" ht="45" customHeight="1" x14ac:dyDescent="0.25">
      <c r="A50" s="21" t="s">
        <v>40</v>
      </c>
      <c r="B50" s="22" t="s">
        <v>75</v>
      </c>
      <c r="C50" s="337" t="s">
        <v>997</v>
      </c>
      <c r="D50" s="24">
        <v>0</v>
      </c>
      <c r="E50" s="25">
        <v>0</v>
      </c>
      <c r="F50" s="25">
        <v>0</v>
      </c>
      <c r="G50" s="26">
        <v>0</v>
      </c>
    </row>
    <row r="51" spans="1:7" ht="22.5" customHeight="1" x14ac:dyDescent="0.25">
      <c r="A51" s="21" t="s">
        <v>42</v>
      </c>
      <c r="B51" s="22" t="s">
        <v>76</v>
      </c>
      <c r="C51" s="337" t="s">
        <v>998</v>
      </c>
      <c r="D51" s="24">
        <v>0</v>
      </c>
      <c r="E51" s="25">
        <v>0</v>
      </c>
      <c r="F51" s="25">
        <v>0</v>
      </c>
      <c r="G51" s="26">
        <v>0</v>
      </c>
    </row>
    <row r="52" spans="1:7" ht="22.5" customHeight="1" x14ac:dyDescent="0.25">
      <c r="A52" s="21" t="s">
        <v>44</v>
      </c>
      <c r="B52" s="22" t="s">
        <v>77</v>
      </c>
      <c r="C52" s="337" t="s">
        <v>999</v>
      </c>
      <c r="D52" s="24">
        <v>0</v>
      </c>
      <c r="E52" s="25">
        <v>0</v>
      </c>
      <c r="F52" s="25">
        <v>0</v>
      </c>
      <c r="G52" s="26">
        <v>0</v>
      </c>
    </row>
    <row r="53" spans="1:7" s="20" customFormat="1" ht="22.5" customHeight="1" x14ac:dyDescent="0.25">
      <c r="A53" s="14"/>
      <c r="B53" s="15" t="s">
        <v>58</v>
      </c>
      <c r="C53" s="336" t="s">
        <v>1000</v>
      </c>
      <c r="D53" s="17">
        <v>0</v>
      </c>
      <c r="E53" s="18">
        <v>0</v>
      </c>
      <c r="F53" s="18">
        <v>0</v>
      </c>
      <c r="G53" s="19">
        <v>0</v>
      </c>
    </row>
    <row r="54" spans="1:7" s="20" customFormat="1" ht="22.5" customHeight="1" x14ac:dyDescent="0.25">
      <c r="A54" s="14" t="s">
        <v>78</v>
      </c>
      <c r="B54" s="15" t="s">
        <v>79</v>
      </c>
      <c r="C54" s="336" t="s">
        <v>1001</v>
      </c>
      <c r="D54" s="17">
        <v>0</v>
      </c>
      <c r="E54" s="18">
        <v>0</v>
      </c>
      <c r="F54" s="18">
        <v>0</v>
      </c>
      <c r="G54" s="19">
        <v>0</v>
      </c>
    </row>
    <row r="55" spans="1:7" ht="22.5" customHeight="1" x14ac:dyDescent="0.25">
      <c r="A55" s="21" t="s">
        <v>4</v>
      </c>
      <c r="B55" s="22" t="s">
        <v>80</v>
      </c>
      <c r="C55" s="337" t="s">
        <v>1002</v>
      </c>
      <c r="D55" s="24">
        <v>0</v>
      </c>
      <c r="E55" s="25">
        <v>0</v>
      </c>
      <c r="F55" s="25">
        <v>65404675326</v>
      </c>
      <c r="G55" s="26">
        <v>7.4000000000000003E-3</v>
      </c>
    </row>
    <row r="56" spans="1:7" ht="22.5" customHeight="1" x14ac:dyDescent="0.25">
      <c r="A56" s="21"/>
      <c r="B56" s="22" t="s">
        <v>81</v>
      </c>
      <c r="C56" s="337" t="s">
        <v>902</v>
      </c>
      <c r="D56" s="24">
        <v>0</v>
      </c>
      <c r="E56" s="25">
        <v>0</v>
      </c>
      <c r="F56" s="25">
        <v>0</v>
      </c>
      <c r="G56" s="26">
        <v>0</v>
      </c>
    </row>
    <row r="57" spans="1:7" ht="33.75" customHeight="1" x14ac:dyDescent="0.25">
      <c r="A57" s="21"/>
      <c r="B57" s="22" t="s">
        <v>82</v>
      </c>
      <c r="C57" s="337" t="s">
        <v>903</v>
      </c>
      <c r="D57" s="24">
        <v>0</v>
      </c>
      <c r="E57" s="25">
        <v>0</v>
      </c>
      <c r="F57" s="25">
        <v>65404675326</v>
      </c>
      <c r="G57" s="26">
        <v>7.4000000000000003E-3</v>
      </c>
    </row>
    <row r="58" spans="1:7" ht="45" customHeight="1" x14ac:dyDescent="0.25">
      <c r="A58" s="21"/>
      <c r="B58" s="22" t="s">
        <v>83</v>
      </c>
      <c r="C58" s="337" t="s">
        <v>904</v>
      </c>
      <c r="D58" s="24">
        <v>0</v>
      </c>
      <c r="E58" s="25">
        <v>0</v>
      </c>
      <c r="F58" s="25">
        <v>0</v>
      </c>
      <c r="G58" s="26">
        <v>0</v>
      </c>
    </row>
    <row r="59" spans="1:7" ht="24" customHeight="1" x14ac:dyDescent="0.25">
      <c r="A59" s="21">
        <v>2</v>
      </c>
      <c r="B59" s="22" t="s">
        <v>84</v>
      </c>
      <c r="C59" s="337" t="s">
        <v>1003</v>
      </c>
      <c r="D59" s="24">
        <v>0</v>
      </c>
      <c r="E59" s="25">
        <v>0</v>
      </c>
      <c r="F59" s="25">
        <v>0</v>
      </c>
      <c r="G59" s="26">
        <v>0</v>
      </c>
    </row>
    <row r="60" spans="1:7" ht="22.5" customHeight="1" x14ac:dyDescent="0.25">
      <c r="A60" s="21">
        <v>3</v>
      </c>
      <c r="B60" s="22" t="s">
        <v>85</v>
      </c>
      <c r="C60" s="337" t="s">
        <v>1004</v>
      </c>
      <c r="D60" s="24">
        <v>0</v>
      </c>
      <c r="E60" s="25">
        <v>0</v>
      </c>
      <c r="F60" s="25">
        <v>0</v>
      </c>
      <c r="G60" s="26">
        <v>0</v>
      </c>
    </row>
    <row r="61" spans="1:7" ht="22.5" customHeight="1" x14ac:dyDescent="0.25">
      <c r="A61" s="21">
        <v>4</v>
      </c>
      <c r="B61" s="22" t="s">
        <v>86</v>
      </c>
      <c r="C61" s="337" t="s">
        <v>1005</v>
      </c>
      <c r="D61" s="24">
        <v>0</v>
      </c>
      <c r="E61" s="25">
        <v>0</v>
      </c>
      <c r="F61" s="25">
        <v>0</v>
      </c>
      <c r="G61" s="26">
        <v>0</v>
      </c>
    </row>
    <row r="62" spans="1:7" s="20" customFormat="1" ht="22.5" customHeight="1" x14ac:dyDescent="0.25">
      <c r="A62" s="14"/>
      <c r="B62" s="15" t="s">
        <v>58</v>
      </c>
      <c r="C62" s="336" t="s">
        <v>1006</v>
      </c>
      <c r="D62" s="17">
        <v>0</v>
      </c>
      <c r="E62" s="18">
        <v>0</v>
      </c>
      <c r="F62" s="18">
        <v>65404675326</v>
      </c>
      <c r="G62" s="19">
        <v>7.4000000000000003E-3</v>
      </c>
    </row>
    <row r="63" spans="1:7" s="20" customFormat="1" ht="22.5" customHeight="1" x14ac:dyDescent="0.25">
      <c r="A63" s="27" t="s">
        <v>87</v>
      </c>
      <c r="B63" s="28" t="s">
        <v>88</v>
      </c>
      <c r="C63" s="338" t="s">
        <v>1007</v>
      </c>
      <c r="D63" s="30"/>
      <c r="E63" s="31">
        <v>0</v>
      </c>
      <c r="F63" s="31">
        <v>8858211146826</v>
      </c>
      <c r="G63" s="32">
        <v>1</v>
      </c>
    </row>
    <row r="64" spans="1:7" ht="7.5" customHeight="1" x14ac:dyDescent="0.25">
      <c r="A64" s="1"/>
      <c r="B64" s="1"/>
      <c r="C64" s="1"/>
      <c r="D64" s="1"/>
      <c r="E64" s="1"/>
      <c r="F64" s="1"/>
      <c r="G64" s="1"/>
    </row>
    <row r="65" spans="1:256" ht="15.75" customHeight="1" x14ac:dyDescent="0.25">
      <c r="A65" s="285" t="s">
        <v>89</v>
      </c>
      <c r="B65" s="285"/>
      <c r="C65" s="1"/>
      <c r="D65" s="1"/>
      <c r="E65" s="1"/>
      <c r="F65" s="1"/>
      <c r="G65" s="1"/>
    </row>
    <row r="66" spans="1:256" ht="26.25" customHeight="1" x14ac:dyDescent="0.25">
      <c r="A66" s="286" t="s">
        <v>90</v>
      </c>
      <c r="B66" s="286"/>
      <c r="C66" s="286"/>
      <c r="D66" s="286"/>
      <c r="E66" s="286"/>
      <c r="F66" s="286"/>
      <c r="G66" s="286"/>
    </row>
    <row r="67" spans="1:256" ht="9.75" customHeight="1" x14ac:dyDescent="0.25">
      <c r="A67" s="9"/>
      <c r="B67" s="9"/>
      <c r="C67" s="9"/>
      <c r="D67" s="9"/>
      <c r="E67" s="9"/>
      <c r="F67" s="9"/>
      <c r="G67" s="9"/>
    </row>
    <row r="68" spans="1:256" ht="52.5" x14ac:dyDescent="0.25">
      <c r="A68" s="33" t="s">
        <v>91</v>
      </c>
      <c r="B68" s="34" t="s">
        <v>92</v>
      </c>
      <c r="C68" s="34" t="s">
        <v>93</v>
      </c>
      <c r="D68" s="34" t="s">
        <v>94</v>
      </c>
      <c r="E68" s="34" t="s">
        <v>95</v>
      </c>
      <c r="F68" s="34" t="s">
        <v>96</v>
      </c>
      <c r="G68" s="35" t="s">
        <v>97</v>
      </c>
    </row>
    <row r="69" spans="1:256" ht="8.25" customHeight="1" x14ac:dyDescent="0.25">
      <c r="A69" s="1"/>
      <c r="B69" s="1"/>
      <c r="C69" s="1"/>
      <c r="D69" s="1"/>
      <c r="E69" s="1"/>
      <c r="F69" s="1"/>
      <c r="G69" s="1"/>
    </row>
    <row r="70" spans="1:256" ht="12.75" customHeight="1" x14ac:dyDescent="0.25">
      <c r="A70" s="273" t="s">
        <v>98</v>
      </c>
      <c r="B70" s="273"/>
      <c r="C70" s="273"/>
      <c r="D70" s="273" t="s">
        <v>99</v>
      </c>
      <c r="E70" s="273"/>
      <c r="F70" s="273"/>
      <c r="G70" s="273"/>
    </row>
    <row r="71" spans="1:256" ht="12.75" customHeight="1" x14ac:dyDescent="0.25">
      <c r="A71" s="280" t="s">
        <v>100</v>
      </c>
      <c r="B71" s="280"/>
      <c r="C71" s="280"/>
      <c r="D71" s="280" t="s">
        <v>101</v>
      </c>
      <c r="E71" s="280"/>
      <c r="F71" s="280"/>
      <c r="G71" s="280"/>
    </row>
    <row r="72" spans="1:256" ht="15" customHeight="1" x14ac:dyDescent="0.25">
      <c r="A72" s="1"/>
      <c r="B72" s="1"/>
      <c r="C72" s="1"/>
      <c r="D72" s="1"/>
      <c r="E72" s="1"/>
      <c r="F72" s="1"/>
      <c r="G72" s="1"/>
    </row>
    <row r="73" spans="1:256" s="36" customFormat="1" ht="1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row>
    <row r="74" spans="1:256" ht="15.75" customHeight="1" x14ac:dyDescent="0.25">
      <c r="A74" s="1"/>
      <c r="B74" s="1"/>
      <c r="C74" s="1"/>
      <c r="D74" s="1"/>
      <c r="E74" s="1"/>
      <c r="F74" s="1"/>
      <c r="G74" s="1"/>
    </row>
    <row r="75" spans="1:256" ht="15.75" customHeight="1" x14ac:dyDescent="0.25">
      <c r="A75" s="1"/>
      <c r="B75" s="1"/>
      <c r="C75" s="1"/>
      <c r="D75" s="1"/>
      <c r="E75" s="1"/>
      <c r="F75" s="1"/>
      <c r="G75" s="1"/>
    </row>
    <row r="76" spans="1:256" ht="15.75" customHeight="1" x14ac:dyDescent="0.25">
      <c r="A76" s="1"/>
      <c r="B76" s="1"/>
      <c r="C76" s="1"/>
      <c r="D76" s="1"/>
      <c r="E76" s="1"/>
      <c r="F76" s="1"/>
      <c r="G76" s="1"/>
    </row>
    <row r="77" spans="1:256" ht="12" customHeight="1" x14ac:dyDescent="0.25">
      <c r="A77" s="273" t="s">
        <v>102</v>
      </c>
      <c r="B77" s="273"/>
      <c r="C77" s="273"/>
      <c r="D77" s="273" t="s">
        <v>103</v>
      </c>
      <c r="E77" s="273"/>
      <c r="F77" s="273"/>
      <c r="G77" s="273"/>
    </row>
    <row r="78" spans="1:256" ht="12" customHeight="1" x14ac:dyDescent="0.25">
      <c r="A78" s="273" t="s">
        <v>104</v>
      </c>
      <c r="B78" s="273"/>
      <c r="C78" s="273"/>
      <c r="D78" s="273" t="s">
        <v>105</v>
      </c>
      <c r="E78" s="273"/>
      <c r="F78" s="273"/>
      <c r="G78" s="273"/>
    </row>
    <row r="79" spans="1:256" ht="12" customHeight="1" x14ac:dyDescent="0.25">
      <c r="A79" s="273" t="s">
        <v>106</v>
      </c>
      <c r="B79" s="273"/>
      <c r="C79" s="273"/>
      <c r="D79" s="273" t="s">
        <v>107</v>
      </c>
      <c r="E79" s="273"/>
      <c r="F79" s="273"/>
      <c r="G79" s="273"/>
    </row>
  </sheetData>
  <mergeCells count="27">
    <mergeCell ref="A79:C79"/>
    <mergeCell ref="D79:G79"/>
    <mergeCell ref="A71:C71"/>
    <mergeCell ref="D71:G71"/>
    <mergeCell ref="A77:C77"/>
    <mergeCell ref="D77:G77"/>
    <mergeCell ref="A78:C78"/>
    <mergeCell ref="D78:G78"/>
    <mergeCell ref="A70:C70"/>
    <mergeCell ref="D70:G70"/>
    <mergeCell ref="C8:G8"/>
    <mergeCell ref="C9:G9"/>
    <mergeCell ref="C10:G10"/>
    <mergeCell ref="C11:G11"/>
    <mergeCell ref="C12:G12"/>
    <mergeCell ref="C13:G13"/>
    <mergeCell ref="A15:G15"/>
    <mergeCell ref="A16:G16"/>
    <mergeCell ref="F17:G17"/>
    <mergeCell ref="A65:B65"/>
    <mergeCell ref="A66:G66"/>
    <mergeCell ref="C7:G7"/>
    <mergeCell ref="D1:G1"/>
    <mergeCell ref="A2:G2"/>
    <mergeCell ref="A4:G4"/>
    <mergeCell ref="A5:G5"/>
    <mergeCell ref="C6:G6"/>
  </mergeCells>
  <printOptions horizontalCentered="1"/>
  <pageMargins left="0" right="0" top="0.5" bottom="0.24" header="0.43" footer="0.18"/>
  <pageSetup paperSize="9" scale="95"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6" zoomScaleNormal="90" zoomScaleSheetLayoutView="100" workbookViewId="0">
      <selection activeCell="B32" sqref="B32"/>
    </sheetView>
  </sheetViews>
  <sheetFormatPr defaultColWidth="9.28515625" defaultRowHeight="10.5" x14ac:dyDescent="0.15"/>
  <cols>
    <col min="1" max="1" width="5.42578125" style="171" customWidth="1"/>
    <col min="2" max="2" width="42.85546875" style="171" customWidth="1"/>
    <col min="3" max="3" width="7.28515625" style="171" customWidth="1"/>
    <col min="4" max="4" width="20.28515625" style="171" customWidth="1"/>
    <col min="5" max="5" width="14.5703125" style="171" customWidth="1"/>
    <col min="6" max="6" width="11.7109375" style="171" customWidth="1"/>
    <col min="7" max="7" width="17.5703125" style="171" customWidth="1"/>
    <col min="8" max="8" width="8.28515625" style="171" customWidth="1"/>
    <col min="9" max="9" width="16.28515625" style="171" customWidth="1"/>
    <col min="10" max="10" width="8.5703125" style="171" customWidth="1"/>
    <col min="11" max="11" width="18.5703125" style="171" customWidth="1"/>
    <col min="12" max="16384" width="9.28515625" style="171"/>
  </cols>
  <sheetData>
    <row r="1" spans="1:11" ht="24" customHeight="1" x14ac:dyDescent="0.15">
      <c r="B1" s="172"/>
      <c r="C1" s="172"/>
      <c r="D1" s="172"/>
      <c r="E1" s="172"/>
      <c r="F1" s="172"/>
      <c r="G1" s="172"/>
      <c r="H1" s="289" t="s">
        <v>253</v>
      </c>
      <c r="I1" s="289"/>
      <c r="J1" s="289"/>
      <c r="K1" s="289"/>
    </row>
    <row r="2" spans="1:11" ht="26.25" customHeight="1" x14ac:dyDescent="0.15">
      <c r="A2" s="290" t="s">
        <v>778</v>
      </c>
      <c r="B2" s="290"/>
      <c r="C2" s="290"/>
      <c r="D2" s="290"/>
      <c r="E2" s="290"/>
      <c r="F2" s="290"/>
      <c r="G2" s="290"/>
      <c r="H2" s="290"/>
      <c r="I2" s="290"/>
      <c r="J2" s="290"/>
      <c r="K2" s="290"/>
    </row>
    <row r="3" spans="1:11" ht="28.5" customHeight="1" x14ac:dyDescent="0.15">
      <c r="A3" s="291" t="s">
        <v>779</v>
      </c>
      <c r="B3" s="291"/>
      <c r="C3" s="291"/>
      <c r="D3" s="291"/>
      <c r="E3" s="291"/>
      <c r="F3" s="291"/>
      <c r="G3" s="291"/>
      <c r="H3" s="291"/>
      <c r="I3" s="291"/>
      <c r="J3" s="291"/>
      <c r="K3" s="291"/>
    </row>
    <row r="4" spans="1:11" ht="18" customHeight="1" x14ac:dyDescent="0.15">
      <c r="A4" s="292" t="str">
        <f>+TONGQUAN!C3</f>
        <v>Tháng 02 năm 2021/ Feb 2021</v>
      </c>
      <c r="B4" s="293"/>
      <c r="C4" s="293"/>
      <c r="D4" s="293"/>
      <c r="E4" s="293"/>
      <c r="F4" s="293"/>
      <c r="G4" s="293"/>
      <c r="H4" s="293"/>
      <c r="I4" s="293"/>
      <c r="J4" s="293"/>
      <c r="K4" s="293"/>
    </row>
    <row r="5" spans="1:11" x14ac:dyDescent="0.15">
      <c r="A5" s="173"/>
      <c r="B5" s="174"/>
      <c r="C5" s="174"/>
      <c r="D5" s="175"/>
      <c r="E5" s="175"/>
      <c r="F5" s="174"/>
      <c r="G5" s="174"/>
      <c r="H5" s="174"/>
      <c r="I5" s="174"/>
      <c r="J5" s="174"/>
      <c r="K5" s="174"/>
    </row>
    <row r="6" spans="1:11" x14ac:dyDescent="0.15">
      <c r="A6" s="176">
        <v>1</v>
      </c>
      <c r="B6" s="177" t="s">
        <v>10</v>
      </c>
      <c r="C6" s="177" t="s">
        <v>780</v>
      </c>
      <c r="D6" s="175"/>
      <c r="E6" s="175"/>
      <c r="F6" s="174"/>
      <c r="G6" s="174"/>
      <c r="H6" s="174"/>
      <c r="I6" s="174"/>
      <c r="J6" s="174"/>
      <c r="K6" s="174"/>
    </row>
    <row r="7" spans="1:11" x14ac:dyDescent="0.15">
      <c r="A7" s="176"/>
      <c r="B7" s="178" t="s">
        <v>12</v>
      </c>
      <c r="C7" s="178" t="s">
        <v>13</v>
      </c>
      <c r="D7" s="179"/>
      <c r="E7" s="179"/>
      <c r="F7" s="180"/>
      <c r="G7" s="180"/>
      <c r="H7" s="180"/>
      <c r="I7" s="180"/>
      <c r="J7" s="180"/>
      <c r="K7" s="180"/>
    </row>
    <row r="8" spans="1:11" ht="12.75" customHeight="1" x14ac:dyDescent="0.15">
      <c r="A8" s="181">
        <v>2</v>
      </c>
      <c r="B8" s="182" t="s">
        <v>15</v>
      </c>
      <c r="C8" s="183" t="s">
        <v>731</v>
      </c>
      <c r="D8" s="183"/>
      <c r="E8" s="183"/>
      <c r="F8" s="183"/>
      <c r="G8" s="183"/>
      <c r="H8" s="183"/>
      <c r="I8" s="184"/>
      <c r="J8" s="184"/>
      <c r="K8" s="184"/>
    </row>
    <row r="9" spans="1:11" ht="12.75" customHeight="1" x14ac:dyDescent="0.15">
      <c r="A9" s="181"/>
      <c r="B9" s="185" t="s">
        <v>732</v>
      </c>
      <c r="C9" s="186" t="s">
        <v>361</v>
      </c>
      <c r="D9" s="187"/>
      <c r="E9" s="187"/>
      <c r="F9" s="187"/>
      <c r="G9" s="187"/>
      <c r="H9" s="187"/>
      <c r="I9" s="188"/>
      <c r="J9" s="188"/>
      <c r="K9" s="188"/>
    </row>
    <row r="10" spans="1:11" ht="12.75" customHeight="1" x14ac:dyDescent="0.15">
      <c r="A10" s="181">
        <v>3</v>
      </c>
      <c r="B10" s="182" t="s">
        <v>295</v>
      </c>
      <c r="C10" s="183" t="s">
        <v>733</v>
      </c>
      <c r="D10" s="183"/>
      <c r="E10" s="183"/>
      <c r="F10" s="183"/>
      <c r="G10" s="183"/>
      <c r="H10" s="183"/>
      <c r="I10" s="184"/>
      <c r="J10" s="184"/>
      <c r="K10" s="184"/>
    </row>
    <row r="11" spans="1:11" ht="12.75" customHeight="1" x14ac:dyDescent="0.15">
      <c r="A11" s="181"/>
      <c r="B11" s="185" t="s">
        <v>734</v>
      </c>
      <c r="C11" s="187" t="s">
        <v>735</v>
      </c>
      <c r="D11" s="187"/>
      <c r="E11" s="187"/>
      <c r="F11" s="187"/>
      <c r="G11" s="187"/>
      <c r="H11" s="187"/>
      <c r="I11" s="184"/>
      <c r="J11" s="184"/>
      <c r="K11" s="184"/>
    </row>
    <row r="12" spans="1:11" ht="13.5" customHeight="1" x14ac:dyDescent="0.15">
      <c r="A12" s="181">
        <v>4</v>
      </c>
      <c r="B12" s="182" t="s">
        <v>20</v>
      </c>
      <c r="C12" s="294">
        <f>+TONGQUAN!E12</f>
        <v>44259</v>
      </c>
      <c r="D12" s="294"/>
      <c r="E12" s="183"/>
      <c r="F12" s="183"/>
      <c r="G12" s="183"/>
      <c r="H12" s="183"/>
      <c r="I12" s="189"/>
      <c r="J12" s="189"/>
      <c r="K12" s="189"/>
    </row>
    <row r="13" spans="1:11" ht="13.5" customHeight="1" x14ac:dyDescent="0.15">
      <c r="A13" s="187"/>
      <c r="B13" s="185" t="s">
        <v>21</v>
      </c>
      <c r="C13" s="287">
        <f>+C12</f>
        <v>44259</v>
      </c>
      <c r="D13" s="287"/>
      <c r="E13" s="287"/>
      <c r="F13" s="287"/>
      <c r="G13" s="288"/>
      <c r="H13" s="288"/>
      <c r="I13" s="190"/>
      <c r="J13" s="190"/>
      <c r="K13" s="190"/>
    </row>
    <row r="14" spans="1:11" x14ac:dyDescent="0.15">
      <c r="A14" s="191" t="s">
        <v>743</v>
      </c>
      <c r="B14" s="191" t="s">
        <v>781</v>
      </c>
      <c r="C14" s="192"/>
      <c r="D14" s="193"/>
      <c r="E14" s="193"/>
      <c r="F14" s="193"/>
      <c r="G14" s="194"/>
      <c r="H14" s="194"/>
      <c r="I14" s="190"/>
      <c r="J14" s="190"/>
      <c r="K14" s="190"/>
    </row>
    <row r="15" spans="1:11" x14ac:dyDescent="0.15">
      <c r="A15" s="177" t="s">
        <v>62</v>
      </c>
      <c r="B15" s="177" t="s">
        <v>782</v>
      </c>
      <c r="C15" s="195"/>
      <c r="D15" s="196"/>
      <c r="E15" s="196"/>
      <c r="F15" s="197"/>
      <c r="G15" s="197"/>
      <c r="H15" s="197"/>
      <c r="I15" s="197"/>
      <c r="J15" s="197"/>
      <c r="K15" s="197"/>
    </row>
    <row r="16" spans="1:11" ht="24.75" customHeight="1" x14ac:dyDescent="0.15">
      <c r="A16" s="310" t="s">
        <v>25</v>
      </c>
      <c r="B16" s="295" t="s">
        <v>783</v>
      </c>
      <c r="C16" s="311" t="s">
        <v>27</v>
      </c>
      <c r="D16" s="295" t="s">
        <v>784</v>
      </c>
      <c r="E16" s="295" t="s">
        <v>785</v>
      </c>
      <c r="F16" s="295" t="s">
        <v>786</v>
      </c>
      <c r="G16" s="295" t="s">
        <v>787</v>
      </c>
      <c r="H16" s="297" t="s">
        <v>788</v>
      </c>
      <c r="I16" s="298"/>
      <c r="J16" s="297" t="s">
        <v>789</v>
      </c>
      <c r="K16" s="298"/>
    </row>
    <row r="17" spans="1:11" ht="58.5" customHeight="1" x14ac:dyDescent="0.15">
      <c r="A17" s="310"/>
      <c r="B17" s="296"/>
      <c r="C17" s="312"/>
      <c r="D17" s="296"/>
      <c r="E17" s="296"/>
      <c r="F17" s="296"/>
      <c r="G17" s="296"/>
      <c r="H17" s="198" t="s">
        <v>790</v>
      </c>
      <c r="I17" s="198" t="s">
        <v>791</v>
      </c>
      <c r="J17" s="198" t="s">
        <v>792</v>
      </c>
      <c r="K17" s="198" t="s">
        <v>793</v>
      </c>
    </row>
    <row r="18" spans="1:11" ht="21" x14ac:dyDescent="0.15">
      <c r="A18" s="199">
        <v>1</v>
      </c>
      <c r="B18" s="200" t="s">
        <v>794</v>
      </c>
      <c r="C18" s="201" t="s">
        <v>795</v>
      </c>
      <c r="D18" s="299"/>
      <c r="E18" s="300"/>
      <c r="F18" s="300"/>
      <c r="G18" s="300"/>
      <c r="H18" s="300"/>
      <c r="I18" s="300"/>
      <c r="J18" s="300"/>
      <c r="K18" s="301"/>
    </row>
    <row r="19" spans="1:11" ht="21" x14ac:dyDescent="0.15">
      <c r="A19" s="199" t="s">
        <v>32</v>
      </c>
      <c r="B19" s="200" t="s">
        <v>796</v>
      </c>
      <c r="C19" s="201" t="s">
        <v>797</v>
      </c>
      <c r="D19" s="302"/>
      <c r="E19" s="303"/>
      <c r="F19" s="303"/>
      <c r="G19" s="303"/>
      <c r="H19" s="303"/>
      <c r="I19" s="303"/>
      <c r="J19" s="303"/>
      <c r="K19" s="304"/>
    </row>
    <row r="20" spans="1:11" ht="21" x14ac:dyDescent="0.15">
      <c r="A20" s="199">
        <v>2</v>
      </c>
      <c r="B20" s="200" t="s">
        <v>798</v>
      </c>
      <c r="C20" s="201" t="s">
        <v>799</v>
      </c>
      <c r="D20" s="302"/>
      <c r="E20" s="303"/>
      <c r="F20" s="303"/>
      <c r="G20" s="303"/>
      <c r="H20" s="303"/>
      <c r="I20" s="303"/>
      <c r="J20" s="303"/>
      <c r="K20" s="304"/>
    </row>
    <row r="21" spans="1:11" ht="21" x14ac:dyDescent="0.15">
      <c r="A21" s="199" t="s">
        <v>34</v>
      </c>
      <c r="B21" s="200" t="s">
        <v>800</v>
      </c>
      <c r="C21" s="201" t="s">
        <v>801</v>
      </c>
      <c r="D21" s="302"/>
      <c r="E21" s="303"/>
      <c r="F21" s="303"/>
      <c r="G21" s="303"/>
      <c r="H21" s="303"/>
      <c r="I21" s="303"/>
      <c r="J21" s="303"/>
      <c r="K21" s="304"/>
    </row>
    <row r="22" spans="1:11" ht="21" x14ac:dyDescent="0.15">
      <c r="A22" s="199" t="s">
        <v>743</v>
      </c>
      <c r="B22" s="202" t="s">
        <v>802</v>
      </c>
      <c r="C22" s="201" t="s">
        <v>803</v>
      </c>
      <c r="D22" s="302"/>
      <c r="E22" s="303"/>
      <c r="F22" s="303"/>
      <c r="G22" s="303"/>
      <c r="H22" s="303"/>
      <c r="I22" s="303"/>
      <c r="J22" s="303"/>
      <c r="K22" s="304"/>
    </row>
    <row r="23" spans="1:11" ht="21" x14ac:dyDescent="0.15">
      <c r="A23" s="203" t="s">
        <v>14</v>
      </c>
      <c r="B23" s="202" t="s">
        <v>804</v>
      </c>
      <c r="C23" s="201" t="s">
        <v>805</v>
      </c>
      <c r="D23" s="302"/>
      <c r="E23" s="303"/>
      <c r="F23" s="303"/>
      <c r="G23" s="303"/>
      <c r="H23" s="303"/>
      <c r="I23" s="303"/>
      <c r="J23" s="303"/>
      <c r="K23" s="304"/>
    </row>
    <row r="24" spans="1:11" ht="21" x14ac:dyDescent="0.15">
      <c r="A24" s="203" t="s">
        <v>59</v>
      </c>
      <c r="B24" s="200" t="s">
        <v>806</v>
      </c>
      <c r="C24" s="201" t="s">
        <v>807</v>
      </c>
      <c r="D24" s="302"/>
      <c r="E24" s="303"/>
      <c r="F24" s="303"/>
      <c r="G24" s="303"/>
      <c r="H24" s="303"/>
      <c r="I24" s="303"/>
      <c r="J24" s="303"/>
      <c r="K24" s="304"/>
    </row>
    <row r="25" spans="1:11" ht="21" x14ac:dyDescent="0.15">
      <c r="A25" s="203" t="s">
        <v>19</v>
      </c>
      <c r="B25" s="200" t="s">
        <v>808</v>
      </c>
      <c r="C25" s="201" t="s">
        <v>809</v>
      </c>
      <c r="D25" s="302"/>
      <c r="E25" s="303"/>
      <c r="F25" s="303"/>
      <c r="G25" s="303"/>
      <c r="H25" s="303"/>
      <c r="I25" s="303"/>
      <c r="J25" s="303"/>
      <c r="K25" s="304"/>
    </row>
    <row r="26" spans="1:11" ht="21" x14ac:dyDescent="0.15">
      <c r="A26" s="203" t="s">
        <v>62</v>
      </c>
      <c r="B26" s="200" t="s">
        <v>806</v>
      </c>
      <c r="C26" s="201" t="s">
        <v>810</v>
      </c>
      <c r="D26" s="302"/>
      <c r="E26" s="303"/>
      <c r="F26" s="303"/>
      <c r="G26" s="303"/>
      <c r="H26" s="303"/>
      <c r="I26" s="303"/>
      <c r="J26" s="303"/>
      <c r="K26" s="304"/>
    </row>
    <row r="27" spans="1:11" ht="25.5" customHeight="1" x14ac:dyDescent="0.15">
      <c r="A27" s="199" t="s">
        <v>768</v>
      </c>
      <c r="B27" s="202" t="s">
        <v>811</v>
      </c>
      <c r="C27" s="201" t="s">
        <v>812</v>
      </c>
      <c r="D27" s="305"/>
      <c r="E27" s="306"/>
      <c r="F27" s="306"/>
      <c r="G27" s="306"/>
      <c r="H27" s="306"/>
      <c r="I27" s="306"/>
      <c r="J27" s="306"/>
      <c r="K27" s="307"/>
    </row>
    <row r="28" spans="1:11" ht="9" customHeight="1" x14ac:dyDescent="0.15">
      <c r="A28" s="197"/>
      <c r="B28" s="204"/>
      <c r="C28" s="204"/>
      <c r="D28" s="197"/>
      <c r="E28" s="197"/>
      <c r="F28" s="197"/>
      <c r="G28" s="197"/>
      <c r="H28" s="197"/>
      <c r="I28" s="197"/>
      <c r="J28" s="197"/>
      <c r="K28" s="197"/>
    </row>
    <row r="29" spans="1:11" x14ac:dyDescent="0.15">
      <c r="A29" s="308" t="s">
        <v>98</v>
      </c>
      <c r="B29" s="308"/>
      <c r="C29" s="308"/>
      <c r="E29" s="205"/>
      <c r="F29" s="206"/>
      <c r="G29" s="206"/>
      <c r="H29" s="309" t="s">
        <v>99</v>
      </c>
      <c r="I29" s="309"/>
      <c r="J29" s="309"/>
      <c r="K29" s="309"/>
    </row>
    <row r="30" spans="1:11" x14ac:dyDescent="0.15">
      <c r="A30" s="313" t="s">
        <v>100</v>
      </c>
      <c r="B30" s="313"/>
      <c r="C30" s="313"/>
      <c r="E30" s="207"/>
      <c r="F30" s="208"/>
      <c r="G30" s="208"/>
      <c r="H30" s="314" t="s">
        <v>101</v>
      </c>
      <c r="I30" s="314"/>
      <c r="J30" s="314"/>
      <c r="K30" s="314"/>
    </row>
    <row r="31" spans="1:11" ht="36.75" customHeight="1" x14ac:dyDescent="0.15">
      <c r="A31" s="208"/>
      <c r="B31" s="209"/>
      <c r="C31" s="210"/>
      <c r="E31" s="207"/>
      <c r="F31" s="208"/>
      <c r="G31" s="208"/>
      <c r="H31" s="211"/>
      <c r="J31" s="212"/>
      <c r="K31" s="213"/>
    </row>
    <row r="32" spans="1:11" ht="36.75" customHeight="1" x14ac:dyDescent="0.15">
      <c r="A32" s="209"/>
      <c r="B32" s="209"/>
      <c r="C32" s="214"/>
      <c r="D32" s="215"/>
      <c r="E32" s="216"/>
      <c r="F32" s="217"/>
      <c r="G32" s="212"/>
      <c r="H32" s="212"/>
      <c r="J32" s="212"/>
      <c r="K32" s="212"/>
    </row>
    <row r="33" spans="1:11" x14ac:dyDescent="0.15">
      <c r="A33" s="218"/>
      <c r="B33" s="218"/>
      <c r="C33" s="219"/>
      <c r="D33" s="220"/>
      <c r="E33" s="221"/>
      <c r="F33" s="217"/>
      <c r="G33" s="222"/>
      <c r="H33" s="218"/>
      <c r="I33" s="218"/>
      <c r="J33" s="219"/>
      <c r="K33" s="212"/>
    </row>
    <row r="34" spans="1:11" s="223" customFormat="1" ht="12.75" customHeight="1" x14ac:dyDescent="0.25">
      <c r="A34" s="313" t="s">
        <v>813</v>
      </c>
      <c r="B34" s="313"/>
      <c r="C34" s="313"/>
      <c r="E34" s="208"/>
      <c r="F34" s="208"/>
      <c r="G34" s="224"/>
      <c r="H34" s="315" t="s">
        <v>730</v>
      </c>
      <c r="I34" s="315"/>
      <c r="J34" s="315"/>
      <c r="K34" s="315"/>
    </row>
    <row r="35" spans="1:11" s="223" customFormat="1" ht="12.75" customHeight="1" x14ac:dyDescent="0.25">
      <c r="A35" s="313" t="s">
        <v>738</v>
      </c>
      <c r="B35" s="313"/>
      <c r="C35" s="313"/>
      <c r="E35" s="225"/>
      <c r="F35" s="226"/>
      <c r="G35" s="224"/>
      <c r="H35" s="273" t="s">
        <v>105</v>
      </c>
      <c r="I35" s="273"/>
      <c r="J35" s="273"/>
      <c r="K35" s="273"/>
    </row>
    <row r="36" spans="1:11" s="223" customFormat="1" ht="12.75" customHeight="1" x14ac:dyDescent="0.25">
      <c r="A36" s="313" t="s">
        <v>739</v>
      </c>
      <c r="B36" s="313"/>
      <c r="C36" s="313"/>
      <c r="H36" s="273" t="s">
        <v>107</v>
      </c>
      <c r="I36" s="273"/>
      <c r="J36" s="273"/>
      <c r="K36" s="273"/>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65"/>
  <sheetViews>
    <sheetView showGridLines="0" showZeros="0" showOutlineSymbols="0" view="pageBreakPreview" topLeftCell="A37" zoomScaleNormal="100" zoomScaleSheetLayoutView="100" workbookViewId="0">
      <selection activeCell="B57" sqref="B57"/>
    </sheetView>
  </sheetViews>
  <sheetFormatPr defaultRowHeight="15" x14ac:dyDescent="0.25"/>
  <cols>
    <col min="1" max="1" width="5.7109375" style="36" customWidth="1"/>
    <col min="2" max="2" width="45.7109375" style="36" customWidth="1"/>
    <col min="3" max="3" width="11.42578125" style="36" customWidth="1"/>
    <col min="4" max="5" width="20" style="36" customWidth="1"/>
    <col min="6" max="256" width="9.140625" style="36"/>
    <col min="257" max="257" width="5.7109375" style="36" customWidth="1"/>
    <col min="258" max="258" width="45.7109375" style="36" customWidth="1"/>
    <col min="259" max="259" width="11.42578125" style="36" customWidth="1"/>
    <col min="260" max="261" width="20" style="36" customWidth="1"/>
    <col min="262" max="512" width="9.140625" style="36"/>
    <col min="513" max="513" width="5.7109375" style="36" customWidth="1"/>
    <col min="514" max="514" width="45.7109375" style="36" customWidth="1"/>
    <col min="515" max="515" width="11.42578125" style="36" customWidth="1"/>
    <col min="516" max="517" width="20" style="36" customWidth="1"/>
    <col min="518" max="768" width="9.140625" style="36"/>
    <col min="769" max="769" width="5.7109375" style="36" customWidth="1"/>
    <col min="770" max="770" width="45.7109375" style="36" customWidth="1"/>
    <col min="771" max="771" width="11.42578125" style="36" customWidth="1"/>
    <col min="772" max="773" width="20" style="36" customWidth="1"/>
    <col min="774" max="1024" width="9.140625" style="36"/>
    <col min="1025" max="1025" width="5.7109375" style="36" customWidth="1"/>
    <col min="1026" max="1026" width="45.7109375" style="36" customWidth="1"/>
    <col min="1027" max="1027" width="11.42578125" style="36" customWidth="1"/>
    <col min="1028" max="1029" width="20" style="36" customWidth="1"/>
    <col min="1030" max="1280" width="9.140625" style="36"/>
    <col min="1281" max="1281" width="5.7109375" style="36" customWidth="1"/>
    <col min="1282" max="1282" width="45.7109375" style="36" customWidth="1"/>
    <col min="1283" max="1283" width="11.42578125" style="36" customWidth="1"/>
    <col min="1284" max="1285" width="20" style="36" customWidth="1"/>
    <col min="1286" max="1536" width="9.140625" style="36"/>
    <col min="1537" max="1537" width="5.7109375" style="36" customWidth="1"/>
    <col min="1538" max="1538" width="45.7109375" style="36" customWidth="1"/>
    <col min="1539" max="1539" width="11.42578125" style="36" customWidth="1"/>
    <col min="1540" max="1541" width="20" style="36" customWidth="1"/>
    <col min="1542" max="1792" width="9.140625" style="36"/>
    <col min="1793" max="1793" width="5.7109375" style="36" customWidth="1"/>
    <col min="1794" max="1794" width="45.7109375" style="36" customWidth="1"/>
    <col min="1795" max="1795" width="11.42578125" style="36" customWidth="1"/>
    <col min="1796" max="1797" width="20" style="36" customWidth="1"/>
    <col min="1798" max="2048" width="9.140625" style="36"/>
    <col min="2049" max="2049" width="5.7109375" style="36" customWidth="1"/>
    <col min="2050" max="2050" width="45.7109375" style="36" customWidth="1"/>
    <col min="2051" max="2051" width="11.42578125" style="36" customWidth="1"/>
    <col min="2052" max="2053" width="20" style="36" customWidth="1"/>
    <col min="2054" max="2304" width="9.140625" style="36"/>
    <col min="2305" max="2305" width="5.7109375" style="36" customWidth="1"/>
    <col min="2306" max="2306" width="45.7109375" style="36" customWidth="1"/>
    <col min="2307" max="2307" width="11.42578125" style="36" customWidth="1"/>
    <col min="2308" max="2309" width="20" style="36" customWidth="1"/>
    <col min="2310" max="2560" width="9.140625" style="36"/>
    <col min="2561" max="2561" width="5.7109375" style="36" customWidth="1"/>
    <col min="2562" max="2562" width="45.7109375" style="36" customWidth="1"/>
    <col min="2563" max="2563" width="11.42578125" style="36" customWidth="1"/>
    <col min="2564" max="2565" width="20" style="36" customWidth="1"/>
    <col min="2566" max="2816" width="9.140625" style="36"/>
    <col min="2817" max="2817" width="5.7109375" style="36" customWidth="1"/>
    <col min="2818" max="2818" width="45.7109375" style="36" customWidth="1"/>
    <col min="2819" max="2819" width="11.42578125" style="36" customWidth="1"/>
    <col min="2820" max="2821" width="20" style="36" customWidth="1"/>
    <col min="2822" max="3072" width="9.140625" style="36"/>
    <col min="3073" max="3073" width="5.7109375" style="36" customWidth="1"/>
    <col min="3074" max="3074" width="45.7109375" style="36" customWidth="1"/>
    <col min="3075" max="3075" width="11.42578125" style="36" customWidth="1"/>
    <col min="3076" max="3077" width="20" style="36" customWidth="1"/>
    <col min="3078" max="3328" width="9.140625" style="36"/>
    <col min="3329" max="3329" width="5.7109375" style="36" customWidth="1"/>
    <col min="3330" max="3330" width="45.7109375" style="36" customWidth="1"/>
    <col min="3331" max="3331" width="11.42578125" style="36" customWidth="1"/>
    <col min="3332" max="3333" width="20" style="36" customWidth="1"/>
    <col min="3334" max="3584" width="9.140625" style="36"/>
    <col min="3585" max="3585" width="5.7109375" style="36" customWidth="1"/>
    <col min="3586" max="3586" width="45.7109375" style="36" customWidth="1"/>
    <col min="3587" max="3587" width="11.42578125" style="36" customWidth="1"/>
    <col min="3588" max="3589" width="20" style="36" customWidth="1"/>
    <col min="3590" max="3840" width="9.140625" style="36"/>
    <col min="3841" max="3841" width="5.7109375" style="36" customWidth="1"/>
    <col min="3842" max="3842" width="45.7109375" style="36" customWidth="1"/>
    <col min="3843" max="3843" width="11.42578125" style="36" customWidth="1"/>
    <col min="3844" max="3845" width="20" style="36" customWidth="1"/>
    <col min="3846" max="4096" width="9.140625" style="36"/>
    <col min="4097" max="4097" width="5.7109375" style="36" customWidth="1"/>
    <col min="4098" max="4098" width="45.7109375" style="36" customWidth="1"/>
    <col min="4099" max="4099" width="11.42578125" style="36" customWidth="1"/>
    <col min="4100" max="4101" width="20" style="36" customWidth="1"/>
    <col min="4102" max="4352" width="9.140625" style="36"/>
    <col min="4353" max="4353" width="5.7109375" style="36" customWidth="1"/>
    <col min="4354" max="4354" width="45.7109375" style="36" customWidth="1"/>
    <col min="4355" max="4355" width="11.42578125" style="36" customWidth="1"/>
    <col min="4356" max="4357" width="20" style="36" customWidth="1"/>
    <col min="4358" max="4608" width="9.140625" style="36"/>
    <col min="4609" max="4609" width="5.7109375" style="36" customWidth="1"/>
    <col min="4610" max="4610" width="45.7109375" style="36" customWidth="1"/>
    <col min="4611" max="4611" width="11.42578125" style="36" customWidth="1"/>
    <col min="4612" max="4613" width="20" style="36" customWidth="1"/>
    <col min="4614" max="4864" width="9.140625" style="36"/>
    <col min="4865" max="4865" width="5.7109375" style="36" customWidth="1"/>
    <col min="4866" max="4866" width="45.7109375" style="36" customWidth="1"/>
    <col min="4867" max="4867" width="11.42578125" style="36" customWidth="1"/>
    <col min="4868" max="4869" width="20" style="36" customWidth="1"/>
    <col min="4870" max="5120" width="9.140625" style="36"/>
    <col min="5121" max="5121" width="5.7109375" style="36" customWidth="1"/>
    <col min="5122" max="5122" width="45.7109375" style="36" customWidth="1"/>
    <col min="5123" max="5123" width="11.42578125" style="36" customWidth="1"/>
    <col min="5124" max="5125" width="20" style="36" customWidth="1"/>
    <col min="5126" max="5376" width="9.140625" style="36"/>
    <col min="5377" max="5377" width="5.7109375" style="36" customWidth="1"/>
    <col min="5378" max="5378" width="45.7109375" style="36" customWidth="1"/>
    <col min="5379" max="5379" width="11.42578125" style="36" customWidth="1"/>
    <col min="5380" max="5381" width="20" style="36" customWidth="1"/>
    <col min="5382" max="5632" width="9.140625" style="36"/>
    <col min="5633" max="5633" width="5.7109375" style="36" customWidth="1"/>
    <col min="5634" max="5634" width="45.7109375" style="36" customWidth="1"/>
    <col min="5635" max="5635" width="11.42578125" style="36" customWidth="1"/>
    <col min="5636" max="5637" width="20" style="36" customWidth="1"/>
    <col min="5638" max="5888" width="9.140625" style="36"/>
    <col min="5889" max="5889" width="5.7109375" style="36" customWidth="1"/>
    <col min="5890" max="5890" width="45.7109375" style="36" customWidth="1"/>
    <col min="5891" max="5891" width="11.42578125" style="36" customWidth="1"/>
    <col min="5892" max="5893" width="20" style="36" customWidth="1"/>
    <col min="5894" max="6144" width="9.140625" style="36"/>
    <col min="6145" max="6145" width="5.7109375" style="36" customWidth="1"/>
    <col min="6146" max="6146" width="45.7109375" style="36" customWidth="1"/>
    <col min="6147" max="6147" width="11.42578125" style="36" customWidth="1"/>
    <col min="6148" max="6149" width="20" style="36" customWidth="1"/>
    <col min="6150" max="6400" width="9.140625" style="36"/>
    <col min="6401" max="6401" width="5.7109375" style="36" customWidth="1"/>
    <col min="6402" max="6402" width="45.7109375" style="36" customWidth="1"/>
    <col min="6403" max="6403" width="11.42578125" style="36" customWidth="1"/>
    <col min="6404" max="6405" width="20" style="36" customWidth="1"/>
    <col min="6406" max="6656" width="9.140625" style="36"/>
    <col min="6657" max="6657" width="5.7109375" style="36" customWidth="1"/>
    <col min="6658" max="6658" width="45.7109375" style="36" customWidth="1"/>
    <col min="6659" max="6659" width="11.42578125" style="36" customWidth="1"/>
    <col min="6660" max="6661" width="20" style="36" customWidth="1"/>
    <col min="6662" max="6912" width="9.140625" style="36"/>
    <col min="6913" max="6913" width="5.7109375" style="36" customWidth="1"/>
    <col min="6914" max="6914" width="45.7109375" style="36" customWidth="1"/>
    <col min="6915" max="6915" width="11.42578125" style="36" customWidth="1"/>
    <col min="6916" max="6917" width="20" style="36" customWidth="1"/>
    <col min="6918" max="7168" width="9.140625" style="36"/>
    <col min="7169" max="7169" width="5.7109375" style="36" customWidth="1"/>
    <col min="7170" max="7170" width="45.7109375" style="36" customWidth="1"/>
    <col min="7171" max="7171" width="11.42578125" style="36" customWidth="1"/>
    <col min="7172" max="7173" width="20" style="36" customWidth="1"/>
    <col min="7174" max="7424" width="9.140625" style="36"/>
    <col min="7425" max="7425" width="5.7109375" style="36" customWidth="1"/>
    <col min="7426" max="7426" width="45.7109375" style="36" customWidth="1"/>
    <col min="7427" max="7427" width="11.42578125" style="36" customWidth="1"/>
    <col min="7428" max="7429" width="20" style="36" customWidth="1"/>
    <col min="7430" max="7680" width="9.140625" style="36"/>
    <col min="7681" max="7681" width="5.7109375" style="36" customWidth="1"/>
    <col min="7682" max="7682" width="45.7109375" style="36" customWidth="1"/>
    <col min="7683" max="7683" width="11.42578125" style="36" customWidth="1"/>
    <col min="7684" max="7685" width="20" style="36" customWidth="1"/>
    <col min="7686" max="7936" width="9.140625" style="36"/>
    <col min="7937" max="7937" width="5.7109375" style="36" customWidth="1"/>
    <col min="7938" max="7938" width="45.7109375" style="36" customWidth="1"/>
    <col min="7939" max="7939" width="11.42578125" style="36" customWidth="1"/>
    <col min="7940" max="7941" width="20" style="36" customWidth="1"/>
    <col min="7942" max="8192" width="9.140625" style="36"/>
    <col min="8193" max="8193" width="5.7109375" style="36" customWidth="1"/>
    <col min="8194" max="8194" width="45.7109375" style="36" customWidth="1"/>
    <col min="8195" max="8195" width="11.42578125" style="36" customWidth="1"/>
    <col min="8196" max="8197" width="20" style="36" customWidth="1"/>
    <col min="8198" max="8448" width="9.140625" style="36"/>
    <col min="8449" max="8449" width="5.7109375" style="36" customWidth="1"/>
    <col min="8450" max="8450" width="45.7109375" style="36" customWidth="1"/>
    <col min="8451" max="8451" width="11.42578125" style="36" customWidth="1"/>
    <col min="8452" max="8453" width="20" style="36" customWidth="1"/>
    <col min="8454" max="8704" width="9.140625" style="36"/>
    <col min="8705" max="8705" width="5.7109375" style="36" customWidth="1"/>
    <col min="8706" max="8706" width="45.7109375" style="36" customWidth="1"/>
    <col min="8707" max="8707" width="11.42578125" style="36" customWidth="1"/>
    <col min="8708" max="8709" width="20" style="36" customWidth="1"/>
    <col min="8710" max="8960" width="9.140625" style="36"/>
    <col min="8961" max="8961" width="5.7109375" style="36" customWidth="1"/>
    <col min="8962" max="8962" width="45.7109375" style="36" customWidth="1"/>
    <col min="8963" max="8963" width="11.42578125" style="36" customWidth="1"/>
    <col min="8964" max="8965" width="20" style="36" customWidth="1"/>
    <col min="8966" max="9216" width="9.140625" style="36"/>
    <col min="9217" max="9217" width="5.7109375" style="36" customWidth="1"/>
    <col min="9218" max="9218" width="45.7109375" style="36" customWidth="1"/>
    <col min="9219" max="9219" width="11.42578125" style="36" customWidth="1"/>
    <col min="9220" max="9221" width="20" style="36" customWidth="1"/>
    <col min="9222" max="9472" width="9.140625" style="36"/>
    <col min="9473" max="9473" width="5.7109375" style="36" customWidth="1"/>
    <col min="9474" max="9474" width="45.7109375" style="36" customWidth="1"/>
    <col min="9475" max="9475" width="11.42578125" style="36" customWidth="1"/>
    <col min="9476" max="9477" width="20" style="36" customWidth="1"/>
    <col min="9478" max="9728" width="9.140625" style="36"/>
    <col min="9729" max="9729" width="5.7109375" style="36" customWidth="1"/>
    <col min="9730" max="9730" width="45.7109375" style="36" customWidth="1"/>
    <col min="9731" max="9731" width="11.42578125" style="36" customWidth="1"/>
    <col min="9732" max="9733" width="20" style="36" customWidth="1"/>
    <col min="9734" max="9984" width="9.140625" style="36"/>
    <col min="9985" max="9985" width="5.7109375" style="36" customWidth="1"/>
    <col min="9986" max="9986" width="45.7109375" style="36" customWidth="1"/>
    <col min="9987" max="9987" width="11.42578125" style="36" customWidth="1"/>
    <col min="9988" max="9989" width="20" style="36" customWidth="1"/>
    <col min="9990" max="10240" width="9.140625" style="36"/>
    <col min="10241" max="10241" width="5.7109375" style="36" customWidth="1"/>
    <col min="10242" max="10242" width="45.7109375" style="36" customWidth="1"/>
    <col min="10243" max="10243" width="11.42578125" style="36" customWidth="1"/>
    <col min="10244" max="10245" width="20" style="36" customWidth="1"/>
    <col min="10246" max="10496" width="9.140625" style="36"/>
    <col min="10497" max="10497" width="5.7109375" style="36" customWidth="1"/>
    <col min="10498" max="10498" width="45.7109375" style="36" customWidth="1"/>
    <col min="10499" max="10499" width="11.42578125" style="36" customWidth="1"/>
    <col min="10500" max="10501" width="20" style="36" customWidth="1"/>
    <col min="10502" max="10752" width="9.140625" style="36"/>
    <col min="10753" max="10753" width="5.7109375" style="36" customWidth="1"/>
    <col min="10754" max="10754" width="45.7109375" style="36" customWidth="1"/>
    <col min="10755" max="10755" width="11.42578125" style="36" customWidth="1"/>
    <col min="10756" max="10757" width="20" style="36" customWidth="1"/>
    <col min="10758" max="11008" width="9.140625" style="36"/>
    <col min="11009" max="11009" width="5.7109375" style="36" customWidth="1"/>
    <col min="11010" max="11010" width="45.7109375" style="36" customWidth="1"/>
    <col min="11011" max="11011" width="11.42578125" style="36" customWidth="1"/>
    <col min="11012" max="11013" width="20" style="36" customWidth="1"/>
    <col min="11014" max="11264" width="9.140625" style="36"/>
    <col min="11265" max="11265" width="5.7109375" style="36" customWidth="1"/>
    <col min="11266" max="11266" width="45.7109375" style="36" customWidth="1"/>
    <col min="11267" max="11267" width="11.42578125" style="36" customWidth="1"/>
    <col min="11268" max="11269" width="20" style="36" customWidth="1"/>
    <col min="11270" max="11520" width="9.140625" style="36"/>
    <col min="11521" max="11521" width="5.7109375" style="36" customWidth="1"/>
    <col min="11522" max="11522" width="45.7109375" style="36" customWidth="1"/>
    <col min="11523" max="11523" width="11.42578125" style="36" customWidth="1"/>
    <col min="11524" max="11525" width="20" style="36" customWidth="1"/>
    <col min="11526" max="11776" width="9.140625" style="36"/>
    <col min="11777" max="11777" width="5.7109375" style="36" customWidth="1"/>
    <col min="11778" max="11778" width="45.7109375" style="36" customWidth="1"/>
    <col min="11779" max="11779" width="11.42578125" style="36" customWidth="1"/>
    <col min="11780" max="11781" width="20" style="36" customWidth="1"/>
    <col min="11782" max="12032" width="9.140625" style="36"/>
    <col min="12033" max="12033" width="5.7109375" style="36" customWidth="1"/>
    <col min="12034" max="12034" width="45.7109375" style="36" customWidth="1"/>
    <col min="12035" max="12035" width="11.42578125" style="36" customWidth="1"/>
    <col min="12036" max="12037" width="20" style="36" customWidth="1"/>
    <col min="12038" max="12288" width="9.140625" style="36"/>
    <col min="12289" max="12289" width="5.7109375" style="36" customWidth="1"/>
    <col min="12290" max="12290" width="45.7109375" style="36" customWidth="1"/>
    <col min="12291" max="12291" width="11.42578125" style="36" customWidth="1"/>
    <col min="12292" max="12293" width="20" style="36" customWidth="1"/>
    <col min="12294" max="12544" width="9.140625" style="36"/>
    <col min="12545" max="12545" width="5.7109375" style="36" customWidth="1"/>
    <col min="12546" max="12546" width="45.7109375" style="36" customWidth="1"/>
    <col min="12547" max="12547" width="11.42578125" style="36" customWidth="1"/>
    <col min="12548" max="12549" width="20" style="36" customWidth="1"/>
    <col min="12550" max="12800" width="9.140625" style="36"/>
    <col min="12801" max="12801" width="5.7109375" style="36" customWidth="1"/>
    <col min="12802" max="12802" width="45.7109375" style="36" customWidth="1"/>
    <col min="12803" max="12803" width="11.42578125" style="36" customWidth="1"/>
    <col min="12804" max="12805" width="20" style="36" customWidth="1"/>
    <col min="12806" max="13056" width="9.140625" style="36"/>
    <col min="13057" max="13057" width="5.7109375" style="36" customWidth="1"/>
    <col min="13058" max="13058" width="45.7109375" style="36" customWidth="1"/>
    <col min="13059" max="13059" width="11.42578125" style="36" customWidth="1"/>
    <col min="13060" max="13061" width="20" style="36" customWidth="1"/>
    <col min="13062" max="13312" width="9.140625" style="36"/>
    <col min="13313" max="13313" width="5.7109375" style="36" customWidth="1"/>
    <col min="13314" max="13314" width="45.7109375" style="36" customWidth="1"/>
    <col min="13315" max="13315" width="11.42578125" style="36" customWidth="1"/>
    <col min="13316" max="13317" width="20" style="36" customWidth="1"/>
    <col min="13318" max="13568" width="9.140625" style="36"/>
    <col min="13569" max="13569" width="5.7109375" style="36" customWidth="1"/>
    <col min="13570" max="13570" width="45.7109375" style="36" customWidth="1"/>
    <col min="13571" max="13571" width="11.42578125" style="36" customWidth="1"/>
    <col min="13572" max="13573" width="20" style="36" customWidth="1"/>
    <col min="13574" max="13824" width="9.140625" style="36"/>
    <col min="13825" max="13825" width="5.7109375" style="36" customWidth="1"/>
    <col min="13826" max="13826" width="45.7109375" style="36" customWidth="1"/>
    <col min="13827" max="13827" width="11.42578125" style="36" customWidth="1"/>
    <col min="13828" max="13829" width="20" style="36" customWidth="1"/>
    <col min="13830" max="14080" width="9.140625" style="36"/>
    <col min="14081" max="14081" width="5.7109375" style="36" customWidth="1"/>
    <col min="14082" max="14082" width="45.7109375" style="36" customWidth="1"/>
    <col min="14083" max="14083" width="11.42578125" style="36" customWidth="1"/>
    <col min="14084" max="14085" width="20" style="36" customWidth="1"/>
    <col min="14086" max="14336" width="9.140625" style="36"/>
    <col min="14337" max="14337" width="5.7109375" style="36" customWidth="1"/>
    <col min="14338" max="14338" width="45.7109375" style="36" customWidth="1"/>
    <col min="14339" max="14339" width="11.42578125" style="36" customWidth="1"/>
    <col min="14340" max="14341" width="20" style="36" customWidth="1"/>
    <col min="14342" max="14592" width="9.140625" style="36"/>
    <col min="14593" max="14593" width="5.7109375" style="36" customWidth="1"/>
    <col min="14594" max="14594" width="45.7109375" style="36" customWidth="1"/>
    <col min="14595" max="14595" width="11.42578125" style="36" customWidth="1"/>
    <col min="14596" max="14597" width="20" style="36" customWidth="1"/>
    <col min="14598" max="14848" width="9.140625" style="36"/>
    <col min="14849" max="14849" width="5.7109375" style="36" customWidth="1"/>
    <col min="14850" max="14850" width="45.7109375" style="36" customWidth="1"/>
    <col min="14851" max="14851" width="11.42578125" style="36" customWidth="1"/>
    <col min="14852" max="14853" width="20" style="36" customWidth="1"/>
    <col min="14854" max="15104" width="9.140625" style="36"/>
    <col min="15105" max="15105" width="5.7109375" style="36" customWidth="1"/>
    <col min="15106" max="15106" width="45.7109375" style="36" customWidth="1"/>
    <col min="15107" max="15107" width="11.42578125" style="36" customWidth="1"/>
    <col min="15108" max="15109" width="20" style="36" customWidth="1"/>
    <col min="15110" max="15360" width="9.140625" style="36"/>
    <col min="15361" max="15361" width="5.7109375" style="36" customWidth="1"/>
    <col min="15362" max="15362" width="45.7109375" style="36" customWidth="1"/>
    <col min="15363" max="15363" width="11.42578125" style="36" customWidth="1"/>
    <col min="15364" max="15365" width="20" style="36" customWidth="1"/>
    <col min="15366" max="15616" width="9.140625" style="36"/>
    <col min="15617" max="15617" width="5.7109375" style="36" customWidth="1"/>
    <col min="15618" max="15618" width="45.7109375" style="36" customWidth="1"/>
    <col min="15619" max="15619" width="11.42578125" style="36" customWidth="1"/>
    <col min="15620" max="15621" width="20" style="36" customWidth="1"/>
    <col min="15622" max="15872" width="9.140625" style="36"/>
    <col min="15873" max="15873" width="5.7109375" style="36" customWidth="1"/>
    <col min="15874" max="15874" width="45.7109375" style="36" customWidth="1"/>
    <col min="15875" max="15875" width="11.42578125" style="36" customWidth="1"/>
    <col min="15876" max="15877" width="20" style="36" customWidth="1"/>
    <col min="15878" max="16128" width="9.140625" style="36"/>
    <col min="16129" max="16129" width="5.7109375" style="36" customWidth="1"/>
    <col min="16130" max="16130" width="45.7109375" style="36" customWidth="1"/>
    <col min="16131" max="16131" width="11.42578125" style="36" customWidth="1"/>
    <col min="16132" max="16133" width="20" style="36" customWidth="1"/>
    <col min="16134" max="16384" width="9.140625" style="36"/>
  </cols>
  <sheetData>
    <row r="1" spans="1:5" ht="40.5" customHeight="1" x14ac:dyDescent="0.25">
      <c r="A1" s="316"/>
      <c r="B1" s="316"/>
      <c r="C1" s="269" t="s">
        <v>253</v>
      </c>
      <c r="D1" s="269"/>
      <c r="E1" s="269"/>
    </row>
    <row r="2" spans="1:5" ht="31.5" customHeight="1" x14ac:dyDescent="0.25">
      <c r="A2" s="270" t="s">
        <v>254</v>
      </c>
      <c r="B2" s="270"/>
      <c r="C2" s="270"/>
      <c r="D2" s="270"/>
      <c r="E2" s="270"/>
    </row>
    <row r="3" spans="1:5" ht="11.25" customHeight="1" x14ac:dyDescent="0.25">
      <c r="A3" s="56"/>
      <c r="B3" s="56"/>
      <c r="C3" s="56"/>
      <c r="D3" s="56"/>
      <c r="E3" s="56"/>
    </row>
    <row r="4" spans="1:5" ht="24.75" customHeight="1" x14ac:dyDescent="0.25">
      <c r="A4" s="271" t="s">
        <v>2</v>
      </c>
      <c r="B4" s="271"/>
      <c r="C4" s="271"/>
      <c r="D4" s="271"/>
      <c r="E4" s="271"/>
    </row>
    <row r="5" spans="1:5" ht="22.5" customHeight="1" x14ac:dyDescent="0.25">
      <c r="A5" s="272" t="s">
        <v>109</v>
      </c>
      <c r="B5" s="272"/>
      <c r="C5" s="272"/>
      <c r="D5" s="272"/>
      <c r="E5" s="272"/>
    </row>
    <row r="6" spans="1:5" ht="15.75" customHeight="1" x14ac:dyDescent="0.25">
      <c r="A6" s="4" t="s">
        <v>4</v>
      </c>
      <c r="B6" s="57" t="s">
        <v>5</v>
      </c>
      <c r="C6" s="57" t="s">
        <v>6</v>
      </c>
      <c r="D6" s="57"/>
      <c r="E6" s="57"/>
    </row>
    <row r="7" spans="1:5" ht="15.75" customHeight="1" x14ac:dyDescent="0.25">
      <c r="A7" s="56"/>
      <c r="B7" s="58" t="s">
        <v>7</v>
      </c>
      <c r="C7" s="58" t="s">
        <v>8</v>
      </c>
      <c r="D7" s="58"/>
      <c r="E7" s="58"/>
    </row>
    <row r="8" spans="1:5" ht="15.75" customHeight="1" x14ac:dyDescent="0.25">
      <c r="A8" s="7" t="s">
        <v>9</v>
      </c>
      <c r="B8" s="57" t="s">
        <v>10</v>
      </c>
      <c r="C8" s="57" t="s">
        <v>11</v>
      </c>
      <c r="D8" s="57"/>
      <c r="E8" s="57"/>
    </row>
    <row r="9" spans="1:5" ht="15.75" customHeight="1" x14ac:dyDescent="0.25">
      <c r="A9" s="56"/>
      <c r="B9" s="58" t="s">
        <v>12</v>
      </c>
      <c r="C9" s="58" t="s">
        <v>13</v>
      </c>
      <c r="D9" s="58"/>
      <c r="E9" s="58"/>
    </row>
    <row r="10" spans="1:5" ht="15.75" customHeight="1" x14ac:dyDescent="0.25">
      <c r="A10" s="7" t="s">
        <v>14</v>
      </c>
      <c r="B10" s="57" t="s">
        <v>110</v>
      </c>
      <c r="C10" s="57" t="s">
        <v>16</v>
      </c>
      <c r="D10" s="57"/>
      <c r="E10" s="57"/>
    </row>
    <row r="11" spans="1:5" ht="15.75" customHeight="1" x14ac:dyDescent="0.25">
      <c r="A11" s="56"/>
      <c r="B11" s="58" t="s">
        <v>17</v>
      </c>
      <c r="C11" s="58" t="s">
        <v>18</v>
      </c>
      <c r="D11" s="58"/>
      <c r="E11" s="58"/>
    </row>
    <row r="12" spans="1:5" ht="15.75" customHeight="1" x14ac:dyDescent="0.25">
      <c r="A12" s="7" t="s">
        <v>19</v>
      </c>
      <c r="B12" s="57" t="s">
        <v>20</v>
      </c>
      <c r="C12" s="231">
        <v>44259</v>
      </c>
      <c r="D12" s="57"/>
      <c r="E12" s="57"/>
    </row>
    <row r="13" spans="1:5" ht="15.75" customHeight="1" x14ac:dyDescent="0.25">
      <c r="A13" s="56"/>
      <c r="B13" s="58" t="s">
        <v>21</v>
      </c>
      <c r="C13" s="232">
        <v>44259</v>
      </c>
      <c r="D13" s="58"/>
      <c r="E13" s="58"/>
    </row>
    <row r="14" spans="1:5" ht="13.5" customHeight="1" x14ac:dyDescent="0.25">
      <c r="A14" s="56"/>
      <c r="B14" s="56"/>
      <c r="C14" s="317"/>
      <c r="D14" s="317"/>
      <c r="E14" s="317"/>
    </row>
    <row r="15" spans="1:5" ht="15.75" customHeight="1" x14ac:dyDescent="0.25">
      <c r="A15" s="276" t="s">
        <v>111</v>
      </c>
      <c r="B15" s="276"/>
      <c r="C15" s="276"/>
      <c r="D15" s="276"/>
      <c r="E15" s="276"/>
    </row>
    <row r="16" spans="1:5" ht="15.75" customHeight="1" x14ac:dyDescent="0.25">
      <c r="A16" s="267" t="s">
        <v>255</v>
      </c>
      <c r="B16" s="267"/>
      <c r="C16" s="267"/>
      <c r="D16" s="267"/>
      <c r="E16" s="267"/>
    </row>
    <row r="17" spans="1:5" ht="15.75" customHeight="1" x14ac:dyDescent="0.25">
      <c r="A17" s="59"/>
      <c r="B17" s="60"/>
      <c r="C17" s="277"/>
      <c r="D17" s="277"/>
      <c r="E17" s="277"/>
    </row>
    <row r="18" spans="1:5" ht="30.75" customHeight="1" x14ac:dyDescent="0.25">
      <c r="A18" s="61" t="s">
        <v>256</v>
      </c>
      <c r="B18" s="62" t="s">
        <v>114</v>
      </c>
      <c r="C18" s="63" t="s">
        <v>27</v>
      </c>
      <c r="D18" s="63" t="s">
        <v>115</v>
      </c>
      <c r="E18" s="64" t="s">
        <v>116</v>
      </c>
    </row>
    <row r="19" spans="1:5" s="69" customFormat="1" ht="21" x14ac:dyDescent="0.25">
      <c r="A19" s="65" t="s">
        <v>32</v>
      </c>
      <c r="B19" s="66" t="s">
        <v>257</v>
      </c>
      <c r="C19" s="337" t="s">
        <v>1008</v>
      </c>
      <c r="D19" s="67">
        <v>0</v>
      </c>
      <c r="E19" s="68">
        <v>0</v>
      </c>
    </row>
    <row r="20" spans="1:5" ht="31.5" x14ac:dyDescent="0.25">
      <c r="A20" s="70" t="s">
        <v>4</v>
      </c>
      <c r="B20" s="71" t="s">
        <v>258</v>
      </c>
      <c r="C20" s="337" t="s">
        <v>1009</v>
      </c>
      <c r="D20" s="72">
        <v>7.3680000000000004E-3</v>
      </c>
      <c r="E20" s="73">
        <v>8.1480000000000007E-3</v>
      </c>
    </row>
    <row r="21" spans="1:5" ht="42" x14ac:dyDescent="0.25">
      <c r="A21" s="70" t="s">
        <v>9</v>
      </c>
      <c r="B21" s="71" t="s">
        <v>259</v>
      </c>
      <c r="C21" s="337" t="s">
        <v>1010</v>
      </c>
      <c r="D21" s="72">
        <v>6.6E-4</v>
      </c>
      <c r="E21" s="73">
        <v>7.2000000000000005E-4</v>
      </c>
    </row>
    <row r="22" spans="1:5" ht="42" x14ac:dyDescent="0.25">
      <c r="A22" s="70" t="s">
        <v>14</v>
      </c>
      <c r="B22" s="71" t="s">
        <v>260</v>
      </c>
      <c r="C22" s="337" t="s">
        <v>1011</v>
      </c>
      <c r="D22" s="72">
        <v>1.044E-3</v>
      </c>
      <c r="E22" s="73">
        <v>1.152E-3</v>
      </c>
    </row>
    <row r="23" spans="1:5" ht="31.5" x14ac:dyDescent="0.25">
      <c r="A23" s="70" t="s">
        <v>19</v>
      </c>
      <c r="B23" s="71" t="s">
        <v>261</v>
      </c>
      <c r="C23" s="337" t="s">
        <v>1012</v>
      </c>
      <c r="D23" s="72">
        <v>1.2E-5</v>
      </c>
      <c r="E23" s="73">
        <v>1.2E-5</v>
      </c>
    </row>
    <row r="24" spans="1:5" ht="42" x14ac:dyDescent="0.25">
      <c r="A24" s="70" t="s">
        <v>40</v>
      </c>
      <c r="B24" s="71" t="s">
        <v>262</v>
      </c>
      <c r="C24" s="337"/>
      <c r="D24" s="74">
        <v>0</v>
      </c>
      <c r="E24" s="75">
        <v>0</v>
      </c>
    </row>
    <row r="25" spans="1:5" ht="42" x14ac:dyDescent="0.25">
      <c r="A25" s="70" t="s">
        <v>42</v>
      </c>
      <c r="B25" s="71" t="s">
        <v>263</v>
      </c>
      <c r="C25" s="337"/>
      <c r="D25" s="74">
        <v>0</v>
      </c>
      <c r="E25" s="75">
        <v>0</v>
      </c>
    </row>
    <row r="26" spans="1:5" ht="63" x14ac:dyDescent="0.25">
      <c r="A26" s="70" t="s">
        <v>44</v>
      </c>
      <c r="B26" s="71" t="s">
        <v>264</v>
      </c>
      <c r="C26" s="337" t="s">
        <v>1013</v>
      </c>
      <c r="D26" s="72">
        <v>1.2E-5</v>
      </c>
      <c r="E26" s="73">
        <v>2.4000000000000001E-5</v>
      </c>
    </row>
    <row r="27" spans="1:5" ht="21" x14ac:dyDescent="0.25">
      <c r="A27" s="70" t="s">
        <v>46</v>
      </c>
      <c r="B27" s="71" t="s">
        <v>265</v>
      </c>
      <c r="C27" s="337" t="s">
        <v>1014</v>
      </c>
      <c r="D27" s="72">
        <v>9.7680000000000006E-3</v>
      </c>
      <c r="E27" s="73">
        <v>1.1112E-2</v>
      </c>
    </row>
    <row r="28" spans="1:5" ht="52.5" x14ac:dyDescent="0.25">
      <c r="A28" s="70" t="s">
        <v>48</v>
      </c>
      <c r="B28" s="71" t="s">
        <v>266</v>
      </c>
      <c r="C28" s="337" t="s">
        <v>1015</v>
      </c>
      <c r="D28" s="72">
        <v>0.22694400000000001</v>
      </c>
      <c r="E28" s="73">
        <v>0.36503999999999998</v>
      </c>
    </row>
    <row r="29" spans="1:5" ht="42" x14ac:dyDescent="0.25">
      <c r="A29" s="70" t="s">
        <v>50</v>
      </c>
      <c r="B29" s="71" t="s">
        <v>267</v>
      </c>
      <c r="C29" s="337"/>
      <c r="D29" s="74">
        <v>0</v>
      </c>
      <c r="E29" s="75">
        <v>0</v>
      </c>
    </row>
    <row r="30" spans="1:5" s="69" customFormat="1" ht="21" x14ac:dyDescent="0.25">
      <c r="A30" s="65" t="s">
        <v>34</v>
      </c>
      <c r="B30" s="66" t="s">
        <v>268</v>
      </c>
      <c r="C30" s="337" t="s">
        <v>1016</v>
      </c>
      <c r="D30" s="67">
        <v>0</v>
      </c>
      <c r="E30" s="68">
        <v>0</v>
      </c>
    </row>
    <row r="31" spans="1:5" ht="21" x14ac:dyDescent="0.25">
      <c r="A31" s="70" t="s">
        <v>4</v>
      </c>
      <c r="B31" s="71" t="s">
        <v>269</v>
      </c>
      <c r="C31" s="337" t="s">
        <v>1017</v>
      </c>
      <c r="D31" s="74">
        <v>3834000000000</v>
      </c>
      <c r="E31" s="75">
        <v>3111000000000</v>
      </c>
    </row>
    <row r="32" spans="1:5" ht="31.5" x14ac:dyDescent="0.25">
      <c r="A32" s="70"/>
      <c r="B32" s="71" t="s">
        <v>270</v>
      </c>
      <c r="C32" s="337" t="s">
        <v>1018</v>
      </c>
      <c r="D32" s="74">
        <v>3834000000000</v>
      </c>
      <c r="E32" s="75">
        <v>3111000000000</v>
      </c>
    </row>
    <row r="33" spans="1:5" ht="31.5" x14ac:dyDescent="0.25">
      <c r="A33" s="70"/>
      <c r="B33" s="71" t="s">
        <v>271</v>
      </c>
      <c r="C33" s="337" t="s">
        <v>1019</v>
      </c>
      <c r="D33" s="74">
        <v>383400000</v>
      </c>
      <c r="E33" s="75">
        <v>311100000</v>
      </c>
    </row>
    <row r="34" spans="1:5" ht="21" x14ac:dyDescent="0.25">
      <c r="A34" s="70" t="s">
        <v>9</v>
      </c>
      <c r="B34" s="71" t="s">
        <v>272</v>
      </c>
      <c r="C34" s="337" t="s">
        <v>1020</v>
      </c>
      <c r="D34" s="74">
        <v>679000000000</v>
      </c>
      <c r="E34" s="75">
        <v>723000000000</v>
      </c>
    </row>
    <row r="35" spans="1:5" ht="21" x14ac:dyDescent="0.25">
      <c r="A35" s="70"/>
      <c r="B35" s="71" t="s">
        <v>273</v>
      </c>
      <c r="C35" s="337" t="s">
        <v>1021</v>
      </c>
      <c r="D35" s="74">
        <v>67900000</v>
      </c>
      <c r="E35" s="75">
        <v>72300000</v>
      </c>
    </row>
    <row r="36" spans="1:5" ht="24" customHeight="1" x14ac:dyDescent="0.25">
      <c r="A36" s="70"/>
      <c r="B36" s="71" t="s">
        <v>274</v>
      </c>
      <c r="C36" s="337" t="s">
        <v>1022</v>
      </c>
      <c r="D36" s="74">
        <v>679000000000</v>
      </c>
      <c r="E36" s="75">
        <v>723000000000</v>
      </c>
    </row>
    <row r="37" spans="1:5" ht="21" x14ac:dyDescent="0.25">
      <c r="A37" s="70"/>
      <c r="B37" s="71" t="s">
        <v>275</v>
      </c>
      <c r="C37" s="337" t="s">
        <v>1023</v>
      </c>
      <c r="D37" s="74">
        <v>68300000</v>
      </c>
      <c r="E37" s="75">
        <v>72300000</v>
      </c>
    </row>
    <row r="38" spans="1:5" ht="21" x14ac:dyDescent="0.25">
      <c r="A38" s="70"/>
      <c r="B38" s="71" t="s">
        <v>276</v>
      </c>
      <c r="C38" s="337" t="s">
        <v>1024</v>
      </c>
      <c r="D38" s="74">
        <v>683000000000</v>
      </c>
      <c r="E38" s="75">
        <v>723000000000</v>
      </c>
    </row>
    <row r="39" spans="1:5" ht="21" x14ac:dyDescent="0.25">
      <c r="A39" s="70"/>
      <c r="B39" s="71" t="s">
        <v>277</v>
      </c>
      <c r="C39" s="337" t="s">
        <v>1025</v>
      </c>
      <c r="D39" s="76">
        <v>-400000</v>
      </c>
      <c r="E39" s="75"/>
    </row>
    <row r="40" spans="1:5" ht="21" x14ac:dyDescent="0.25">
      <c r="A40" s="70"/>
      <c r="B40" s="71" t="s">
        <v>278</v>
      </c>
      <c r="C40" s="337" t="s">
        <v>1026</v>
      </c>
      <c r="D40" s="76">
        <v>-4000000000</v>
      </c>
      <c r="E40" s="75">
        <v>0</v>
      </c>
    </row>
    <row r="41" spans="1:5" ht="21" x14ac:dyDescent="0.25">
      <c r="A41" s="70" t="s">
        <v>14</v>
      </c>
      <c r="B41" s="71" t="s">
        <v>279</v>
      </c>
      <c r="C41" s="337" t="s">
        <v>1027</v>
      </c>
      <c r="D41" s="74">
        <v>4513000000000</v>
      </c>
      <c r="E41" s="75">
        <v>3834000000000</v>
      </c>
    </row>
    <row r="42" spans="1:5" ht="31.5" x14ac:dyDescent="0.25">
      <c r="A42" s="70"/>
      <c r="B42" s="71" t="s">
        <v>280</v>
      </c>
      <c r="C42" s="337" t="s">
        <v>1028</v>
      </c>
      <c r="D42" s="74">
        <v>4513000000000</v>
      </c>
      <c r="E42" s="75">
        <v>3834000000000</v>
      </c>
    </row>
    <row r="43" spans="1:5" ht="31.5" x14ac:dyDescent="0.25">
      <c r="A43" s="70"/>
      <c r="B43" s="71" t="s">
        <v>281</v>
      </c>
      <c r="C43" s="337" t="s">
        <v>1029</v>
      </c>
      <c r="D43" s="74">
        <v>451300000</v>
      </c>
      <c r="E43" s="75">
        <v>383400000</v>
      </c>
    </row>
    <row r="44" spans="1:5" ht="42" x14ac:dyDescent="0.25">
      <c r="A44" s="70" t="s">
        <v>19</v>
      </c>
      <c r="B44" s="71" t="s">
        <v>282</v>
      </c>
      <c r="C44" s="337" t="s">
        <v>1030</v>
      </c>
      <c r="D44" s="72">
        <v>4.0863948592953685E-3</v>
      </c>
      <c r="E44" s="73">
        <v>4.8100900000000004E-3</v>
      </c>
    </row>
    <row r="45" spans="1:5" ht="24" customHeight="1" x14ac:dyDescent="0.25">
      <c r="A45" s="70" t="s">
        <v>40</v>
      </c>
      <c r="B45" s="71" t="s">
        <v>283</v>
      </c>
      <c r="C45" s="337" t="s">
        <v>1031</v>
      </c>
      <c r="D45" s="72">
        <v>0.66353440062042979</v>
      </c>
      <c r="E45" s="73">
        <v>0.66028653000000004</v>
      </c>
    </row>
    <row r="46" spans="1:5" ht="21" x14ac:dyDescent="0.25">
      <c r="A46" s="70" t="s">
        <v>42</v>
      </c>
      <c r="B46" s="71" t="s">
        <v>284</v>
      </c>
      <c r="C46" s="337" t="s">
        <v>1032</v>
      </c>
      <c r="D46" s="72">
        <v>0.99012262574783894</v>
      </c>
      <c r="E46" s="73">
        <v>0.98001928999999999</v>
      </c>
    </row>
    <row r="47" spans="1:5" ht="21" x14ac:dyDescent="0.25">
      <c r="A47" s="70" t="s">
        <v>44</v>
      </c>
      <c r="B47" s="71" t="s">
        <v>285</v>
      </c>
      <c r="C47" s="337" t="s">
        <v>1033</v>
      </c>
      <c r="D47" s="77">
        <v>19613.23</v>
      </c>
      <c r="E47" s="78">
        <v>17291.59</v>
      </c>
    </row>
    <row r="48" spans="1:5" ht="21" x14ac:dyDescent="0.25">
      <c r="A48" s="70" t="s">
        <v>46</v>
      </c>
      <c r="B48" s="71" t="s">
        <v>286</v>
      </c>
      <c r="C48" s="337" t="s">
        <v>1034</v>
      </c>
      <c r="D48" s="74">
        <v>19600</v>
      </c>
      <c r="E48" s="75">
        <v>17860</v>
      </c>
    </row>
    <row r="49" spans="1:5" ht="21" x14ac:dyDescent="0.25">
      <c r="A49" s="79" t="s">
        <v>48</v>
      </c>
      <c r="B49" s="80" t="s">
        <v>287</v>
      </c>
      <c r="C49" s="339" t="s">
        <v>795</v>
      </c>
      <c r="D49" s="81">
        <v>1248</v>
      </c>
      <c r="E49" s="82">
        <v>876</v>
      </c>
    </row>
    <row r="50" spans="1:5" ht="12.75" customHeight="1" x14ac:dyDescent="0.25">
      <c r="A50" s="56"/>
      <c r="B50" s="56"/>
      <c r="C50" s="56"/>
      <c r="D50" s="56"/>
      <c r="E50" s="56"/>
    </row>
    <row r="51" spans="1:5" ht="15.75" customHeight="1" x14ac:dyDescent="0.25">
      <c r="A51" s="282" t="s">
        <v>288</v>
      </c>
      <c r="B51" s="282"/>
      <c r="C51" s="282"/>
      <c r="D51" s="282"/>
      <c r="E51" s="282"/>
    </row>
    <row r="52" spans="1:5" ht="51" customHeight="1" x14ac:dyDescent="0.25">
      <c r="A52" s="278" t="s">
        <v>289</v>
      </c>
      <c r="B52" s="278"/>
      <c r="C52" s="278"/>
      <c r="D52" s="278"/>
      <c r="E52" s="278"/>
    </row>
    <row r="53" spans="1:5" ht="41.25" customHeight="1" x14ac:dyDescent="0.25">
      <c r="A53" s="278" t="s">
        <v>290</v>
      </c>
      <c r="B53" s="278"/>
      <c r="C53" s="278"/>
      <c r="D53" s="278"/>
      <c r="E53" s="278"/>
    </row>
    <row r="54" spans="1:5" ht="11.25" customHeight="1" x14ac:dyDescent="0.2">
      <c r="A54" s="56"/>
      <c r="B54" s="83"/>
      <c r="C54" s="56"/>
      <c r="D54" s="56"/>
      <c r="E54" s="56"/>
    </row>
    <row r="55" spans="1:5" ht="14.25" customHeight="1" x14ac:dyDescent="0.25">
      <c r="A55" s="273" t="s">
        <v>291</v>
      </c>
      <c r="B55" s="273"/>
      <c r="C55" s="279" t="s">
        <v>99</v>
      </c>
      <c r="D55" s="279"/>
      <c r="E55" s="279"/>
    </row>
    <row r="56" spans="1:5" ht="12" customHeight="1" x14ac:dyDescent="0.25">
      <c r="A56" s="280" t="s">
        <v>100</v>
      </c>
      <c r="B56" s="280"/>
      <c r="C56" s="272" t="s">
        <v>101</v>
      </c>
      <c r="D56" s="272"/>
      <c r="E56" s="272"/>
    </row>
    <row r="57" spans="1:5" ht="15" customHeight="1" x14ac:dyDescent="0.25">
      <c r="A57" s="56"/>
      <c r="B57" s="56"/>
      <c r="C57" s="56"/>
      <c r="D57" s="56"/>
      <c r="E57" s="56"/>
    </row>
    <row r="58" spans="1:5" ht="15" customHeight="1" x14ac:dyDescent="0.25">
      <c r="A58" s="56"/>
      <c r="B58" s="56"/>
      <c r="C58" s="56"/>
      <c r="D58" s="56"/>
      <c r="E58" s="56"/>
    </row>
    <row r="59" spans="1:5" ht="15.75" customHeight="1" x14ac:dyDescent="0.25">
      <c r="A59" s="56"/>
      <c r="B59" s="56"/>
      <c r="C59" s="56"/>
      <c r="D59" s="56"/>
      <c r="E59" s="56"/>
    </row>
    <row r="60" spans="1:5" ht="15" customHeight="1" x14ac:dyDescent="0.25">
      <c r="A60" s="56"/>
      <c r="B60" s="56"/>
      <c r="C60" s="56"/>
      <c r="D60" s="56"/>
      <c r="E60" s="56"/>
    </row>
    <row r="61" spans="1:5" ht="15.75" customHeight="1" x14ac:dyDescent="0.25">
      <c r="A61" s="56"/>
      <c r="B61" s="56"/>
      <c r="C61" s="56"/>
      <c r="D61" s="56"/>
      <c r="E61" s="56"/>
    </row>
    <row r="62" spans="1:5" ht="15.75" customHeight="1" x14ac:dyDescent="0.25">
      <c r="A62" s="56"/>
      <c r="B62" s="56"/>
      <c r="C62" s="56"/>
      <c r="D62" s="56"/>
      <c r="E62" s="56"/>
    </row>
    <row r="63" spans="1:5" ht="15.75" customHeight="1" x14ac:dyDescent="0.25">
      <c r="A63" s="279" t="s">
        <v>102</v>
      </c>
      <c r="B63" s="279"/>
      <c r="C63" s="279" t="s">
        <v>103</v>
      </c>
      <c r="D63" s="279"/>
      <c r="E63" s="279"/>
    </row>
    <row r="64" spans="1:5" ht="15.75" customHeight="1" x14ac:dyDescent="0.25">
      <c r="A64" s="279" t="s">
        <v>292</v>
      </c>
      <c r="B64" s="279"/>
      <c r="C64" s="279" t="s">
        <v>105</v>
      </c>
      <c r="D64" s="279"/>
      <c r="E64" s="279"/>
    </row>
    <row r="65" spans="1:5" ht="15.75" customHeight="1" x14ac:dyDescent="0.25">
      <c r="A65" s="279" t="s">
        <v>106</v>
      </c>
      <c r="B65" s="279"/>
      <c r="C65" s="279" t="s">
        <v>107</v>
      </c>
      <c r="D65" s="279"/>
      <c r="E65" s="279"/>
    </row>
  </sheetData>
  <mergeCells count="22">
    <mergeCell ref="A64:B64"/>
    <mergeCell ref="C64:E64"/>
    <mergeCell ref="A65:B65"/>
    <mergeCell ref="C65:E65"/>
    <mergeCell ref="A55:B55"/>
    <mergeCell ref="C55:E55"/>
    <mergeCell ref="A56:B56"/>
    <mergeCell ref="C56:E56"/>
    <mergeCell ref="A63:B63"/>
    <mergeCell ref="C63:E63"/>
    <mergeCell ref="A53:E53"/>
    <mergeCell ref="A1:B1"/>
    <mergeCell ref="C1:E1"/>
    <mergeCell ref="A2:E2"/>
    <mergeCell ref="A4:E4"/>
    <mergeCell ref="A5:E5"/>
    <mergeCell ref="C14:E14"/>
    <mergeCell ref="A15:E15"/>
    <mergeCell ref="A16:E16"/>
    <mergeCell ref="C17:E17"/>
    <mergeCell ref="A51:E51"/>
    <mergeCell ref="A52:E52"/>
  </mergeCells>
  <printOptions horizontalCentered="1"/>
  <pageMargins left="0" right="0" top="0.59" bottom="0.28000000000000003" header="0.5" footer="0.25"/>
  <pageSetup paperSize="9" scale="98"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7"/>
  <sheetViews>
    <sheetView showGridLines="0" showZeros="0" showOutlineSymbols="0" view="pageBreakPreview" topLeftCell="A7" zoomScaleNormal="100" zoomScaleSheetLayoutView="100" workbookViewId="0">
      <selection activeCell="F86" sqref="F86:G86"/>
    </sheetView>
  </sheetViews>
  <sheetFormatPr defaultRowHeight="10.5" x14ac:dyDescent="0.25"/>
  <cols>
    <col min="1" max="1" width="38.28515625" style="3" bestFit="1" customWidth="1"/>
    <col min="2" max="3" width="7.140625" style="3" customWidth="1"/>
    <col min="4" max="7" width="15.7109375" style="3" customWidth="1"/>
    <col min="8" max="256" width="9.140625" style="3"/>
    <col min="257" max="257" width="37.5703125" style="3" customWidth="1"/>
    <col min="258" max="258" width="7.28515625" style="3" customWidth="1"/>
    <col min="259" max="259" width="6.42578125" style="3" customWidth="1"/>
    <col min="260" max="263" width="16.42578125" style="3" customWidth="1"/>
    <col min="264" max="512" width="9.140625" style="3"/>
    <col min="513" max="513" width="37.5703125" style="3" customWidth="1"/>
    <col min="514" max="514" width="7.28515625" style="3" customWidth="1"/>
    <col min="515" max="515" width="6.42578125" style="3" customWidth="1"/>
    <col min="516" max="519" width="16.42578125" style="3" customWidth="1"/>
    <col min="520" max="768" width="9.140625" style="3"/>
    <col min="769" max="769" width="37.5703125" style="3" customWidth="1"/>
    <col min="770" max="770" width="7.28515625" style="3" customWidth="1"/>
    <col min="771" max="771" width="6.42578125" style="3" customWidth="1"/>
    <col min="772" max="775" width="16.42578125" style="3" customWidth="1"/>
    <col min="776" max="1024" width="9.140625" style="3"/>
    <col min="1025" max="1025" width="37.5703125" style="3" customWidth="1"/>
    <col min="1026" max="1026" width="7.28515625" style="3" customWidth="1"/>
    <col min="1027" max="1027" width="6.42578125" style="3" customWidth="1"/>
    <col min="1028" max="1031" width="16.42578125" style="3" customWidth="1"/>
    <col min="1032" max="1280" width="9.140625" style="3"/>
    <col min="1281" max="1281" width="37.5703125" style="3" customWidth="1"/>
    <col min="1282" max="1282" width="7.28515625" style="3" customWidth="1"/>
    <col min="1283" max="1283" width="6.42578125" style="3" customWidth="1"/>
    <col min="1284" max="1287" width="16.42578125" style="3" customWidth="1"/>
    <col min="1288" max="1536" width="9.140625" style="3"/>
    <col min="1537" max="1537" width="37.5703125" style="3" customWidth="1"/>
    <col min="1538" max="1538" width="7.28515625" style="3" customWidth="1"/>
    <col min="1539" max="1539" width="6.42578125" style="3" customWidth="1"/>
    <col min="1540" max="1543" width="16.42578125" style="3" customWidth="1"/>
    <col min="1544" max="1792" width="9.140625" style="3"/>
    <col min="1793" max="1793" width="37.5703125" style="3" customWidth="1"/>
    <col min="1794" max="1794" width="7.28515625" style="3" customWidth="1"/>
    <col min="1795" max="1795" width="6.42578125" style="3" customWidth="1"/>
    <col min="1796" max="1799" width="16.42578125" style="3" customWidth="1"/>
    <col min="1800" max="2048" width="9.140625" style="3"/>
    <col min="2049" max="2049" width="37.5703125" style="3" customWidth="1"/>
    <col min="2050" max="2050" width="7.28515625" style="3" customWidth="1"/>
    <col min="2051" max="2051" width="6.42578125" style="3" customWidth="1"/>
    <col min="2052" max="2055" width="16.42578125" style="3" customWidth="1"/>
    <col min="2056" max="2304" width="9.140625" style="3"/>
    <col min="2305" max="2305" width="37.5703125" style="3" customWidth="1"/>
    <col min="2306" max="2306" width="7.28515625" style="3" customWidth="1"/>
    <col min="2307" max="2307" width="6.42578125" style="3" customWidth="1"/>
    <col min="2308" max="2311" width="16.42578125" style="3" customWidth="1"/>
    <col min="2312" max="2560" width="9.140625" style="3"/>
    <col min="2561" max="2561" width="37.5703125" style="3" customWidth="1"/>
    <col min="2562" max="2562" width="7.28515625" style="3" customWidth="1"/>
    <col min="2563" max="2563" width="6.42578125" style="3" customWidth="1"/>
    <col min="2564" max="2567" width="16.42578125" style="3" customWidth="1"/>
    <col min="2568" max="2816" width="9.140625" style="3"/>
    <col min="2817" max="2817" width="37.5703125" style="3" customWidth="1"/>
    <col min="2818" max="2818" width="7.28515625" style="3" customWidth="1"/>
    <col min="2819" max="2819" width="6.42578125" style="3" customWidth="1"/>
    <col min="2820" max="2823" width="16.42578125" style="3" customWidth="1"/>
    <col min="2824" max="3072" width="9.140625" style="3"/>
    <col min="3073" max="3073" width="37.5703125" style="3" customWidth="1"/>
    <col min="3074" max="3074" width="7.28515625" style="3" customWidth="1"/>
    <col min="3075" max="3075" width="6.42578125" style="3" customWidth="1"/>
    <col min="3076" max="3079" width="16.42578125" style="3" customWidth="1"/>
    <col min="3080" max="3328" width="9.140625" style="3"/>
    <col min="3329" max="3329" width="37.5703125" style="3" customWidth="1"/>
    <col min="3330" max="3330" width="7.28515625" style="3" customWidth="1"/>
    <col min="3331" max="3331" width="6.42578125" style="3" customWidth="1"/>
    <col min="3332" max="3335" width="16.42578125" style="3" customWidth="1"/>
    <col min="3336" max="3584" width="9.140625" style="3"/>
    <col min="3585" max="3585" width="37.5703125" style="3" customWidth="1"/>
    <col min="3586" max="3586" width="7.28515625" style="3" customWidth="1"/>
    <col min="3587" max="3587" width="6.42578125" style="3" customWidth="1"/>
    <col min="3588" max="3591" width="16.42578125" style="3" customWidth="1"/>
    <col min="3592" max="3840" width="9.140625" style="3"/>
    <col min="3841" max="3841" width="37.5703125" style="3" customWidth="1"/>
    <col min="3842" max="3842" width="7.28515625" style="3" customWidth="1"/>
    <col min="3843" max="3843" width="6.42578125" style="3" customWidth="1"/>
    <col min="3844" max="3847" width="16.42578125" style="3" customWidth="1"/>
    <col min="3848" max="4096" width="9.140625" style="3"/>
    <col min="4097" max="4097" width="37.5703125" style="3" customWidth="1"/>
    <col min="4098" max="4098" width="7.28515625" style="3" customWidth="1"/>
    <col min="4099" max="4099" width="6.42578125" style="3" customWidth="1"/>
    <col min="4100" max="4103" width="16.42578125" style="3" customWidth="1"/>
    <col min="4104" max="4352" width="9.140625" style="3"/>
    <col min="4353" max="4353" width="37.5703125" style="3" customWidth="1"/>
    <col min="4354" max="4354" width="7.28515625" style="3" customWidth="1"/>
    <col min="4355" max="4355" width="6.42578125" style="3" customWidth="1"/>
    <col min="4356" max="4359" width="16.42578125" style="3" customWidth="1"/>
    <col min="4360" max="4608" width="9.140625" style="3"/>
    <col min="4609" max="4609" width="37.5703125" style="3" customWidth="1"/>
    <col min="4610" max="4610" width="7.28515625" style="3" customWidth="1"/>
    <col min="4611" max="4611" width="6.42578125" style="3" customWidth="1"/>
    <col min="4612" max="4615" width="16.42578125" style="3" customWidth="1"/>
    <col min="4616" max="4864" width="9.140625" style="3"/>
    <col min="4865" max="4865" width="37.5703125" style="3" customWidth="1"/>
    <col min="4866" max="4866" width="7.28515625" style="3" customWidth="1"/>
    <col min="4867" max="4867" width="6.42578125" style="3" customWidth="1"/>
    <col min="4868" max="4871" width="16.42578125" style="3" customWidth="1"/>
    <col min="4872" max="5120" width="9.140625" style="3"/>
    <col min="5121" max="5121" width="37.5703125" style="3" customWidth="1"/>
    <col min="5122" max="5122" width="7.28515625" style="3" customWidth="1"/>
    <col min="5123" max="5123" width="6.42578125" style="3" customWidth="1"/>
    <col min="5124" max="5127" width="16.42578125" style="3" customWidth="1"/>
    <col min="5128" max="5376" width="9.140625" style="3"/>
    <col min="5377" max="5377" width="37.5703125" style="3" customWidth="1"/>
    <col min="5378" max="5378" width="7.28515625" style="3" customWidth="1"/>
    <col min="5379" max="5379" width="6.42578125" style="3" customWidth="1"/>
    <col min="5380" max="5383" width="16.42578125" style="3" customWidth="1"/>
    <col min="5384" max="5632" width="9.140625" style="3"/>
    <col min="5633" max="5633" width="37.5703125" style="3" customWidth="1"/>
    <col min="5634" max="5634" width="7.28515625" style="3" customWidth="1"/>
    <col min="5635" max="5635" width="6.42578125" style="3" customWidth="1"/>
    <col min="5636" max="5639" width="16.42578125" style="3" customWidth="1"/>
    <col min="5640" max="5888" width="9.140625" style="3"/>
    <col min="5889" max="5889" width="37.5703125" style="3" customWidth="1"/>
    <col min="5890" max="5890" width="7.28515625" style="3" customWidth="1"/>
    <col min="5891" max="5891" width="6.42578125" style="3" customWidth="1"/>
    <col min="5892" max="5895" width="16.42578125" style="3" customWidth="1"/>
    <col min="5896" max="6144" width="9.140625" style="3"/>
    <col min="6145" max="6145" width="37.5703125" style="3" customWidth="1"/>
    <col min="6146" max="6146" width="7.28515625" style="3" customWidth="1"/>
    <col min="6147" max="6147" width="6.42578125" style="3" customWidth="1"/>
    <col min="6148" max="6151" width="16.42578125" style="3" customWidth="1"/>
    <col min="6152" max="6400" width="9.140625" style="3"/>
    <col min="6401" max="6401" width="37.5703125" style="3" customWidth="1"/>
    <col min="6402" max="6402" width="7.28515625" style="3" customWidth="1"/>
    <col min="6403" max="6403" width="6.42578125" style="3" customWidth="1"/>
    <col min="6404" max="6407" width="16.42578125" style="3" customWidth="1"/>
    <col min="6408" max="6656" width="9.140625" style="3"/>
    <col min="6657" max="6657" width="37.5703125" style="3" customWidth="1"/>
    <col min="6658" max="6658" width="7.28515625" style="3" customWidth="1"/>
    <col min="6659" max="6659" width="6.42578125" style="3" customWidth="1"/>
    <col min="6660" max="6663" width="16.42578125" style="3" customWidth="1"/>
    <col min="6664" max="6912" width="9.140625" style="3"/>
    <col min="6913" max="6913" width="37.5703125" style="3" customWidth="1"/>
    <col min="6914" max="6914" width="7.28515625" style="3" customWidth="1"/>
    <col min="6915" max="6915" width="6.42578125" style="3" customWidth="1"/>
    <col min="6916" max="6919" width="16.42578125" style="3" customWidth="1"/>
    <col min="6920" max="7168" width="9.140625" style="3"/>
    <col min="7169" max="7169" width="37.5703125" style="3" customWidth="1"/>
    <col min="7170" max="7170" width="7.28515625" style="3" customWidth="1"/>
    <col min="7171" max="7171" width="6.42578125" style="3" customWidth="1"/>
    <col min="7172" max="7175" width="16.42578125" style="3" customWidth="1"/>
    <col min="7176" max="7424" width="9.140625" style="3"/>
    <col min="7425" max="7425" width="37.5703125" style="3" customWidth="1"/>
    <col min="7426" max="7426" width="7.28515625" style="3" customWidth="1"/>
    <col min="7427" max="7427" width="6.42578125" style="3" customWidth="1"/>
    <col min="7428" max="7431" width="16.42578125" style="3" customWidth="1"/>
    <col min="7432" max="7680" width="9.140625" style="3"/>
    <col min="7681" max="7681" width="37.5703125" style="3" customWidth="1"/>
    <col min="7682" max="7682" width="7.28515625" style="3" customWidth="1"/>
    <col min="7683" max="7683" width="6.42578125" style="3" customWidth="1"/>
    <col min="7684" max="7687" width="16.42578125" style="3" customWidth="1"/>
    <col min="7688" max="7936" width="9.140625" style="3"/>
    <col min="7937" max="7937" width="37.5703125" style="3" customWidth="1"/>
    <col min="7938" max="7938" width="7.28515625" style="3" customWidth="1"/>
    <col min="7939" max="7939" width="6.42578125" style="3" customWidth="1"/>
    <col min="7940" max="7943" width="16.42578125" style="3" customWidth="1"/>
    <col min="7944" max="8192" width="9.140625" style="3"/>
    <col min="8193" max="8193" width="37.5703125" style="3" customWidth="1"/>
    <col min="8194" max="8194" width="7.28515625" style="3" customWidth="1"/>
    <col min="8195" max="8195" width="6.42578125" style="3" customWidth="1"/>
    <col min="8196" max="8199" width="16.42578125" style="3" customWidth="1"/>
    <col min="8200" max="8448" width="9.140625" style="3"/>
    <col min="8449" max="8449" width="37.5703125" style="3" customWidth="1"/>
    <col min="8450" max="8450" width="7.28515625" style="3" customWidth="1"/>
    <col min="8451" max="8451" width="6.42578125" style="3" customWidth="1"/>
    <col min="8452" max="8455" width="16.42578125" style="3" customWidth="1"/>
    <col min="8456" max="8704" width="9.140625" style="3"/>
    <col min="8705" max="8705" width="37.5703125" style="3" customWidth="1"/>
    <col min="8706" max="8706" width="7.28515625" style="3" customWidth="1"/>
    <col min="8707" max="8707" width="6.42578125" style="3" customWidth="1"/>
    <col min="8708" max="8711" width="16.42578125" style="3" customWidth="1"/>
    <col min="8712" max="8960" width="9.140625" style="3"/>
    <col min="8961" max="8961" width="37.5703125" style="3" customWidth="1"/>
    <col min="8962" max="8962" width="7.28515625" style="3" customWidth="1"/>
    <col min="8963" max="8963" width="6.42578125" style="3" customWidth="1"/>
    <col min="8964" max="8967" width="16.42578125" style="3" customWidth="1"/>
    <col min="8968" max="9216" width="9.140625" style="3"/>
    <col min="9217" max="9217" width="37.5703125" style="3" customWidth="1"/>
    <col min="9218" max="9218" width="7.28515625" style="3" customWidth="1"/>
    <col min="9219" max="9219" width="6.42578125" style="3" customWidth="1"/>
    <col min="9220" max="9223" width="16.42578125" style="3" customWidth="1"/>
    <col min="9224" max="9472" width="9.140625" style="3"/>
    <col min="9473" max="9473" width="37.5703125" style="3" customWidth="1"/>
    <col min="9474" max="9474" width="7.28515625" style="3" customWidth="1"/>
    <col min="9475" max="9475" width="6.42578125" style="3" customWidth="1"/>
    <col min="9476" max="9479" width="16.42578125" style="3" customWidth="1"/>
    <col min="9480" max="9728" width="9.140625" style="3"/>
    <col min="9729" max="9729" width="37.5703125" style="3" customWidth="1"/>
    <col min="9730" max="9730" width="7.28515625" style="3" customWidth="1"/>
    <col min="9731" max="9731" width="6.42578125" style="3" customWidth="1"/>
    <col min="9732" max="9735" width="16.42578125" style="3" customWidth="1"/>
    <col min="9736" max="9984" width="9.140625" style="3"/>
    <col min="9985" max="9985" width="37.5703125" style="3" customWidth="1"/>
    <col min="9986" max="9986" width="7.28515625" style="3" customWidth="1"/>
    <col min="9987" max="9987" width="6.42578125" style="3" customWidth="1"/>
    <col min="9988" max="9991" width="16.42578125" style="3" customWidth="1"/>
    <col min="9992" max="10240" width="9.140625" style="3"/>
    <col min="10241" max="10241" width="37.5703125" style="3" customWidth="1"/>
    <col min="10242" max="10242" width="7.28515625" style="3" customWidth="1"/>
    <col min="10243" max="10243" width="6.42578125" style="3" customWidth="1"/>
    <col min="10244" max="10247" width="16.42578125" style="3" customWidth="1"/>
    <col min="10248" max="10496" width="9.140625" style="3"/>
    <col min="10497" max="10497" width="37.5703125" style="3" customWidth="1"/>
    <col min="10498" max="10498" width="7.28515625" style="3" customWidth="1"/>
    <col min="10499" max="10499" width="6.42578125" style="3" customWidth="1"/>
    <col min="10500" max="10503" width="16.42578125" style="3" customWidth="1"/>
    <col min="10504" max="10752" width="9.140625" style="3"/>
    <col min="10753" max="10753" width="37.5703125" style="3" customWidth="1"/>
    <col min="10754" max="10754" width="7.28515625" style="3" customWidth="1"/>
    <col min="10755" max="10755" width="6.42578125" style="3" customWidth="1"/>
    <col min="10756" max="10759" width="16.42578125" style="3" customWidth="1"/>
    <col min="10760" max="11008" width="9.140625" style="3"/>
    <col min="11009" max="11009" width="37.5703125" style="3" customWidth="1"/>
    <col min="11010" max="11010" width="7.28515625" style="3" customWidth="1"/>
    <col min="11011" max="11011" width="6.42578125" style="3" customWidth="1"/>
    <col min="11012" max="11015" width="16.42578125" style="3" customWidth="1"/>
    <col min="11016" max="11264" width="9.140625" style="3"/>
    <col min="11265" max="11265" width="37.5703125" style="3" customWidth="1"/>
    <col min="11266" max="11266" width="7.28515625" style="3" customWidth="1"/>
    <col min="11267" max="11267" width="6.42578125" style="3" customWidth="1"/>
    <col min="11268" max="11271" width="16.42578125" style="3" customWidth="1"/>
    <col min="11272" max="11520" width="9.140625" style="3"/>
    <col min="11521" max="11521" width="37.5703125" style="3" customWidth="1"/>
    <col min="11522" max="11522" width="7.28515625" style="3" customWidth="1"/>
    <col min="11523" max="11523" width="6.42578125" style="3" customWidth="1"/>
    <col min="11524" max="11527" width="16.42578125" style="3" customWidth="1"/>
    <col min="11528" max="11776" width="9.140625" style="3"/>
    <col min="11777" max="11777" width="37.5703125" style="3" customWidth="1"/>
    <col min="11778" max="11778" width="7.28515625" style="3" customWidth="1"/>
    <col min="11779" max="11779" width="6.42578125" style="3" customWidth="1"/>
    <col min="11780" max="11783" width="16.42578125" style="3" customWidth="1"/>
    <col min="11784" max="12032" width="9.140625" style="3"/>
    <col min="12033" max="12033" width="37.5703125" style="3" customWidth="1"/>
    <col min="12034" max="12034" width="7.28515625" style="3" customWidth="1"/>
    <col min="12035" max="12035" width="6.42578125" style="3" customWidth="1"/>
    <col min="12036" max="12039" width="16.42578125" style="3" customWidth="1"/>
    <col min="12040" max="12288" width="9.140625" style="3"/>
    <col min="12289" max="12289" width="37.5703125" style="3" customWidth="1"/>
    <col min="12290" max="12290" width="7.28515625" style="3" customWidth="1"/>
    <col min="12291" max="12291" width="6.42578125" style="3" customWidth="1"/>
    <col min="12292" max="12295" width="16.42578125" style="3" customWidth="1"/>
    <col min="12296" max="12544" width="9.140625" style="3"/>
    <col min="12545" max="12545" width="37.5703125" style="3" customWidth="1"/>
    <col min="12546" max="12546" width="7.28515625" style="3" customWidth="1"/>
    <col min="12547" max="12547" width="6.42578125" style="3" customWidth="1"/>
    <col min="12548" max="12551" width="16.42578125" style="3" customWidth="1"/>
    <col min="12552" max="12800" width="9.140625" style="3"/>
    <col min="12801" max="12801" width="37.5703125" style="3" customWidth="1"/>
    <col min="12802" max="12802" width="7.28515625" style="3" customWidth="1"/>
    <col min="12803" max="12803" width="6.42578125" style="3" customWidth="1"/>
    <col min="12804" max="12807" width="16.42578125" style="3" customWidth="1"/>
    <col min="12808" max="13056" width="9.140625" style="3"/>
    <col min="13057" max="13057" width="37.5703125" style="3" customWidth="1"/>
    <col min="13058" max="13058" width="7.28515625" style="3" customWidth="1"/>
    <col min="13059" max="13059" width="6.42578125" style="3" customWidth="1"/>
    <col min="13060" max="13063" width="16.42578125" style="3" customWidth="1"/>
    <col min="13064" max="13312" width="9.140625" style="3"/>
    <col min="13313" max="13313" width="37.5703125" style="3" customWidth="1"/>
    <col min="13314" max="13314" width="7.28515625" style="3" customWidth="1"/>
    <col min="13315" max="13315" width="6.42578125" style="3" customWidth="1"/>
    <col min="13316" max="13319" width="16.42578125" style="3" customWidth="1"/>
    <col min="13320" max="13568" width="9.140625" style="3"/>
    <col min="13569" max="13569" width="37.5703125" style="3" customWidth="1"/>
    <col min="13570" max="13570" width="7.28515625" style="3" customWidth="1"/>
    <col min="13571" max="13571" width="6.42578125" style="3" customWidth="1"/>
    <col min="13572" max="13575" width="16.42578125" style="3" customWidth="1"/>
    <col min="13576" max="13824" width="9.140625" style="3"/>
    <col min="13825" max="13825" width="37.5703125" style="3" customWidth="1"/>
    <col min="13826" max="13826" width="7.28515625" style="3" customWidth="1"/>
    <col min="13827" max="13827" width="6.42578125" style="3" customWidth="1"/>
    <col min="13828" max="13831" width="16.42578125" style="3" customWidth="1"/>
    <col min="13832" max="14080" width="9.140625" style="3"/>
    <col min="14081" max="14081" width="37.5703125" style="3" customWidth="1"/>
    <col min="14082" max="14082" width="7.28515625" style="3" customWidth="1"/>
    <col min="14083" max="14083" width="6.42578125" style="3" customWidth="1"/>
    <col min="14084" max="14087" width="16.42578125" style="3" customWidth="1"/>
    <col min="14088" max="14336" width="9.140625" style="3"/>
    <col min="14337" max="14337" width="37.5703125" style="3" customWidth="1"/>
    <col min="14338" max="14338" width="7.28515625" style="3" customWidth="1"/>
    <col min="14339" max="14339" width="6.42578125" style="3" customWidth="1"/>
    <col min="14340" max="14343" width="16.42578125" style="3" customWidth="1"/>
    <col min="14344" max="14592" width="9.140625" style="3"/>
    <col min="14593" max="14593" width="37.5703125" style="3" customWidth="1"/>
    <col min="14594" max="14594" width="7.28515625" style="3" customWidth="1"/>
    <col min="14595" max="14595" width="6.42578125" style="3" customWidth="1"/>
    <col min="14596" max="14599" width="16.42578125" style="3" customWidth="1"/>
    <col min="14600" max="14848" width="9.140625" style="3"/>
    <col min="14849" max="14849" width="37.5703125" style="3" customWidth="1"/>
    <col min="14850" max="14850" width="7.28515625" style="3" customWidth="1"/>
    <col min="14851" max="14851" width="6.42578125" style="3" customWidth="1"/>
    <col min="14852" max="14855" width="16.42578125" style="3" customWidth="1"/>
    <col min="14856" max="15104" width="9.140625" style="3"/>
    <col min="15105" max="15105" width="37.5703125" style="3" customWidth="1"/>
    <col min="15106" max="15106" width="7.28515625" style="3" customWidth="1"/>
    <col min="15107" max="15107" width="6.42578125" style="3" customWidth="1"/>
    <col min="15108" max="15111" width="16.42578125" style="3" customWidth="1"/>
    <col min="15112" max="15360" width="9.140625" style="3"/>
    <col min="15361" max="15361" width="37.5703125" style="3" customWidth="1"/>
    <col min="15362" max="15362" width="7.28515625" style="3" customWidth="1"/>
    <col min="15363" max="15363" width="6.42578125" style="3" customWidth="1"/>
    <col min="15364" max="15367" width="16.42578125" style="3" customWidth="1"/>
    <col min="15368" max="15616" width="9.140625" style="3"/>
    <col min="15617" max="15617" width="37.5703125" style="3" customWidth="1"/>
    <col min="15618" max="15618" width="7.28515625" style="3" customWidth="1"/>
    <col min="15619" max="15619" width="6.42578125" style="3" customWidth="1"/>
    <col min="15620" max="15623" width="16.42578125" style="3" customWidth="1"/>
    <col min="15624" max="15872" width="9.140625" style="3"/>
    <col min="15873" max="15873" width="37.5703125" style="3" customWidth="1"/>
    <col min="15874" max="15874" width="7.28515625" style="3" customWidth="1"/>
    <col min="15875" max="15875" width="6.42578125" style="3" customWidth="1"/>
    <col min="15876" max="15879" width="16.42578125" style="3" customWidth="1"/>
    <col min="15880" max="16128" width="9.140625" style="3"/>
    <col min="16129" max="16129" width="37.5703125" style="3" customWidth="1"/>
    <col min="16130" max="16130" width="7.28515625" style="3" customWidth="1"/>
    <col min="16131" max="16131" width="6.42578125" style="3" customWidth="1"/>
    <col min="16132" max="16135" width="16.42578125" style="3" customWidth="1"/>
    <col min="16136" max="16384" width="9.140625" style="3"/>
  </cols>
  <sheetData>
    <row r="1" spans="1:7" ht="47.25" customHeight="1" x14ac:dyDescent="0.25">
      <c r="A1" s="1"/>
      <c r="B1" s="268"/>
      <c r="C1" s="268"/>
      <c r="D1" s="269" t="s">
        <v>358</v>
      </c>
      <c r="E1" s="269"/>
      <c r="F1" s="269"/>
      <c r="G1" s="269"/>
    </row>
    <row r="2" spans="1:7" ht="21.75" customHeight="1" x14ac:dyDescent="0.25">
      <c r="A2" s="318" t="s">
        <v>321</v>
      </c>
      <c r="B2" s="318"/>
      <c r="C2" s="318"/>
      <c r="D2" s="318"/>
      <c r="E2" s="318"/>
      <c r="F2" s="318"/>
      <c r="G2" s="318"/>
    </row>
    <row r="3" spans="1:7" ht="9.75" customHeight="1" x14ac:dyDescent="0.25">
      <c r="A3" s="1"/>
      <c r="B3" s="268"/>
      <c r="C3" s="268"/>
      <c r="D3" s="268"/>
      <c r="E3" s="268"/>
      <c r="F3" s="268"/>
      <c r="G3" s="268"/>
    </row>
    <row r="4" spans="1:7" ht="13.5" customHeight="1" x14ac:dyDescent="0.25">
      <c r="A4" s="319" t="s">
        <v>359</v>
      </c>
      <c r="B4" s="319"/>
      <c r="C4" s="319"/>
      <c r="D4" s="319"/>
      <c r="E4" s="319"/>
      <c r="F4" s="319"/>
      <c r="G4" s="319"/>
    </row>
    <row r="5" spans="1:7" ht="13.5" customHeight="1" x14ac:dyDescent="0.25">
      <c r="A5" s="320" t="s">
        <v>360</v>
      </c>
      <c r="B5" s="320"/>
      <c r="C5" s="320"/>
      <c r="D5" s="320"/>
      <c r="E5" s="320"/>
      <c r="F5" s="320"/>
      <c r="G5" s="320"/>
    </row>
    <row r="6" spans="1:7" ht="12" customHeight="1" x14ac:dyDescent="0.25">
      <c r="A6" s="280" t="s">
        <v>109</v>
      </c>
      <c r="B6" s="280"/>
      <c r="C6" s="280"/>
      <c r="D6" s="280"/>
      <c r="E6" s="280"/>
      <c r="F6" s="280"/>
      <c r="G6" s="280"/>
    </row>
    <row r="7" spans="1:7" ht="9.75" customHeight="1" x14ac:dyDescent="0.25">
      <c r="A7" s="1"/>
      <c r="B7" s="268"/>
      <c r="C7" s="268"/>
      <c r="D7" s="268"/>
      <c r="E7" s="268"/>
      <c r="F7" s="268"/>
      <c r="G7" s="268"/>
    </row>
    <row r="8" spans="1:7" ht="15.75" customHeight="1" x14ac:dyDescent="0.25">
      <c r="A8" s="5" t="s">
        <v>10</v>
      </c>
      <c r="B8" s="267" t="s">
        <v>11</v>
      </c>
      <c r="C8" s="267"/>
      <c r="D8" s="267"/>
      <c r="E8" s="267"/>
      <c r="F8" s="267"/>
      <c r="G8" s="267"/>
    </row>
    <row r="9" spans="1:7" ht="15.75" customHeight="1" x14ac:dyDescent="0.25">
      <c r="A9" s="6" t="s">
        <v>12</v>
      </c>
      <c r="B9" s="268" t="s">
        <v>13</v>
      </c>
      <c r="C9" s="268"/>
      <c r="D9" s="268"/>
      <c r="E9" s="268"/>
      <c r="F9" s="268"/>
      <c r="G9" s="268"/>
    </row>
    <row r="10" spans="1:7" ht="15.75" customHeight="1" x14ac:dyDescent="0.25">
      <c r="A10" s="5" t="s">
        <v>15</v>
      </c>
      <c r="B10" s="267" t="s">
        <v>16</v>
      </c>
      <c r="C10" s="267"/>
      <c r="D10" s="267"/>
      <c r="E10" s="267"/>
      <c r="F10" s="267"/>
      <c r="G10" s="267"/>
    </row>
    <row r="11" spans="1:7" ht="15.75" customHeight="1" x14ac:dyDescent="0.25">
      <c r="A11" s="6" t="s">
        <v>17</v>
      </c>
      <c r="B11" s="268" t="s">
        <v>361</v>
      </c>
      <c r="C11" s="268"/>
      <c r="D11" s="268"/>
      <c r="E11" s="268"/>
      <c r="F11" s="268"/>
      <c r="G11" s="268"/>
    </row>
    <row r="12" spans="1:7" ht="15.75" customHeight="1" x14ac:dyDescent="0.25">
      <c r="A12" s="5" t="s">
        <v>295</v>
      </c>
      <c r="B12" s="276" t="s">
        <v>6</v>
      </c>
      <c r="C12" s="276"/>
      <c r="D12" s="276"/>
      <c r="E12" s="276"/>
      <c r="F12" s="276"/>
      <c r="G12" s="276"/>
    </row>
    <row r="13" spans="1:7" ht="15.75" customHeight="1" x14ac:dyDescent="0.25">
      <c r="A13" s="6" t="s">
        <v>7</v>
      </c>
      <c r="B13" s="268" t="s">
        <v>8</v>
      </c>
      <c r="C13" s="268"/>
      <c r="D13" s="268"/>
      <c r="E13" s="268"/>
      <c r="F13" s="268"/>
      <c r="G13" s="268"/>
    </row>
    <row r="14" spans="1:7" ht="15.75" customHeight="1" x14ac:dyDescent="0.25">
      <c r="A14" s="5" t="s">
        <v>20</v>
      </c>
      <c r="B14" s="342">
        <v>44259</v>
      </c>
      <c r="C14" s="276"/>
      <c r="D14" s="276"/>
      <c r="E14" s="276"/>
      <c r="F14" s="276"/>
      <c r="G14" s="276"/>
    </row>
    <row r="15" spans="1:7" ht="15.75" customHeight="1" x14ac:dyDescent="0.25">
      <c r="A15" s="6" t="s">
        <v>21</v>
      </c>
      <c r="B15" s="275">
        <v>44259</v>
      </c>
      <c r="C15" s="268"/>
      <c r="D15" s="268"/>
      <c r="E15" s="268"/>
      <c r="F15" s="268"/>
      <c r="G15" s="268"/>
    </row>
    <row r="16" spans="1:7" ht="16.5" customHeight="1" x14ac:dyDescent="0.25">
      <c r="A16" s="9"/>
      <c r="B16" s="328"/>
      <c r="C16" s="328"/>
      <c r="D16" s="328"/>
      <c r="E16" s="328"/>
      <c r="F16" s="277" t="s">
        <v>24</v>
      </c>
      <c r="G16" s="277"/>
    </row>
    <row r="17" spans="1:7" ht="23.25" customHeight="1" x14ac:dyDescent="0.25">
      <c r="A17" s="321" t="s">
        <v>114</v>
      </c>
      <c r="B17" s="323" t="s">
        <v>362</v>
      </c>
      <c r="C17" s="323" t="s">
        <v>363</v>
      </c>
      <c r="D17" s="323" t="s">
        <v>364</v>
      </c>
      <c r="E17" s="323"/>
      <c r="F17" s="323" t="s">
        <v>365</v>
      </c>
      <c r="G17" s="325"/>
    </row>
    <row r="18" spans="1:7" ht="33.75" customHeight="1" x14ac:dyDescent="0.25">
      <c r="A18" s="322"/>
      <c r="B18" s="324"/>
      <c r="C18" s="324"/>
      <c r="D18" s="105" t="s">
        <v>115</v>
      </c>
      <c r="E18" s="105" t="s">
        <v>366</v>
      </c>
      <c r="F18" s="105" t="s">
        <v>367</v>
      </c>
      <c r="G18" s="106" t="s">
        <v>366</v>
      </c>
    </row>
    <row r="19" spans="1:7" ht="24" customHeight="1" x14ac:dyDescent="0.25">
      <c r="A19" s="107" t="s">
        <v>368</v>
      </c>
      <c r="B19" s="16" t="s">
        <v>369</v>
      </c>
      <c r="C19" s="93"/>
      <c r="D19" s="18">
        <f>D20+D23+D26+D30+D31+D32+D33+D34</f>
        <v>988250532510</v>
      </c>
      <c r="E19" s="18">
        <f>E20+E23+E26+E30+E31+E32+E33+E34</f>
        <v>1020531371218</v>
      </c>
      <c r="F19" s="18">
        <f>F20+F23+F26+F30+F31+F32+F33+F34</f>
        <v>0</v>
      </c>
      <c r="G19" s="42">
        <f>G20+G23+G26+G30+G31+G32+G33+G34</f>
        <v>0</v>
      </c>
    </row>
    <row r="20" spans="1:7" ht="21" x14ac:dyDescent="0.25">
      <c r="A20" s="108" t="s">
        <v>370</v>
      </c>
      <c r="B20" s="23" t="s">
        <v>371</v>
      </c>
      <c r="C20" s="86"/>
      <c r="D20" s="25">
        <f>D21+D22</f>
        <v>0</v>
      </c>
      <c r="E20" s="25">
        <f>E21+E22</f>
        <v>0</v>
      </c>
      <c r="F20" s="25">
        <f>F21+F22</f>
        <v>0</v>
      </c>
      <c r="G20" s="46">
        <f>G21+G22</f>
        <v>0</v>
      </c>
    </row>
    <row r="21" spans="1:7" ht="21" x14ac:dyDescent="0.25">
      <c r="A21" s="109" t="s">
        <v>372</v>
      </c>
      <c r="B21" s="110" t="s">
        <v>373</v>
      </c>
      <c r="C21" s="111"/>
      <c r="D21" s="49">
        <v>0</v>
      </c>
      <c r="E21" s="49">
        <v>0</v>
      </c>
      <c r="F21" s="49">
        <v>0</v>
      </c>
      <c r="G21" s="50">
        <v>0</v>
      </c>
    </row>
    <row r="22" spans="1:7" ht="21" x14ac:dyDescent="0.25">
      <c r="A22" s="109" t="s">
        <v>374</v>
      </c>
      <c r="B22" s="110" t="s">
        <v>375</v>
      </c>
      <c r="C22" s="111"/>
      <c r="D22" s="49">
        <v>0</v>
      </c>
      <c r="E22" s="49">
        <v>0</v>
      </c>
      <c r="F22" s="49">
        <v>0</v>
      </c>
      <c r="G22" s="50">
        <v>0</v>
      </c>
    </row>
    <row r="23" spans="1:7" ht="21" x14ac:dyDescent="0.25">
      <c r="A23" s="108" t="s">
        <v>376</v>
      </c>
      <c r="B23" s="23" t="s">
        <v>377</v>
      </c>
      <c r="C23" s="86"/>
      <c r="D23" s="25">
        <f>D24+D25</f>
        <v>17812210</v>
      </c>
      <c r="E23" s="25">
        <f>E24+E25</f>
        <v>59675868</v>
      </c>
      <c r="F23" s="25">
        <f>F24+F25</f>
        <v>0</v>
      </c>
      <c r="G23" s="46">
        <f>G24+G25</f>
        <v>0</v>
      </c>
    </row>
    <row r="24" spans="1:7" ht="21" x14ac:dyDescent="0.25">
      <c r="A24" s="109" t="s">
        <v>378</v>
      </c>
      <c r="B24" s="110" t="s">
        <v>379</v>
      </c>
      <c r="C24" s="111"/>
      <c r="D24" s="49">
        <v>17812210</v>
      </c>
      <c r="E24" s="49">
        <v>59675868</v>
      </c>
      <c r="F24" s="49">
        <v>0</v>
      </c>
      <c r="G24" s="50">
        <v>0</v>
      </c>
    </row>
    <row r="25" spans="1:7" ht="21" x14ac:dyDescent="0.25">
      <c r="A25" s="109" t="s">
        <v>380</v>
      </c>
      <c r="B25" s="110" t="s">
        <v>381</v>
      </c>
      <c r="C25" s="111"/>
      <c r="D25" s="49">
        <v>0</v>
      </c>
      <c r="E25" s="49">
        <v>0</v>
      </c>
      <c r="F25" s="49">
        <v>0</v>
      </c>
      <c r="G25" s="50">
        <v>0</v>
      </c>
    </row>
    <row r="26" spans="1:7" ht="21" x14ac:dyDescent="0.25">
      <c r="A26" s="108" t="s">
        <v>382</v>
      </c>
      <c r="B26" s="23" t="s">
        <v>383</v>
      </c>
      <c r="C26" s="86"/>
      <c r="D26" s="25">
        <f>D27+D28+D29</f>
        <v>11041577203.280001</v>
      </c>
      <c r="E26" s="25">
        <f>E27+E28+E29</f>
        <v>63878427100.279999</v>
      </c>
      <c r="F26" s="25">
        <f>F27+F28+F29</f>
        <v>0</v>
      </c>
      <c r="G26" s="46">
        <f>G27+G28+G29</f>
        <v>0</v>
      </c>
    </row>
    <row r="27" spans="1:7" ht="21" x14ac:dyDescent="0.25">
      <c r="A27" s="109" t="s">
        <v>384</v>
      </c>
      <c r="B27" s="110" t="s">
        <v>385</v>
      </c>
      <c r="C27" s="111"/>
      <c r="D27" s="49">
        <v>9612450201</v>
      </c>
      <c r="E27" s="49">
        <v>62449300098</v>
      </c>
      <c r="F27" s="49">
        <v>0</v>
      </c>
      <c r="G27" s="50">
        <v>0</v>
      </c>
    </row>
    <row r="28" spans="1:7" ht="42" x14ac:dyDescent="0.25">
      <c r="A28" s="109" t="s">
        <v>386</v>
      </c>
      <c r="B28" s="110" t="s">
        <v>387</v>
      </c>
      <c r="C28" s="111"/>
      <c r="D28" s="49">
        <v>1429127002.28</v>
      </c>
      <c r="E28" s="49">
        <v>1429127002.28</v>
      </c>
      <c r="F28" s="49">
        <v>0</v>
      </c>
      <c r="G28" s="50">
        <v>0</v>
      </c>
    </row>
    <row r="29" spans="1:7" ht="42" x14ac:dyDescent="0.25">
      <c r="A29" s="109" t="s">
        <v>388</v>
      </c>
      <c r="B29" s="110" t="s">
        <v>389</v>
      </c>
      <c r="C29" s="111"/>
      <c r="D29" s="49">
        <v>0</v>
      </c>
      <c r="E29" s="49">
        <v>0</v>
      </c>
      <c r="F29" s="49">
        <v>0</v>
      </c>
      <c r="G29" s="50">
        <v>0</v>
      </c>
    </row>
    <row r="30" spans="1:7" ht="31.5" x14ac:dyDescent="0.25">
      <c r="A30" s="108" t="s">
        <v>390</v>
      </c>
      <c r="B30" s="23" t="s">
        <v>391</v>
      </c>
      <c r="C30" s="86"/>
      <c r="D30" s="25">
        <v>977191143096.71997</v>
      </c>
      <c r="E30" s="25">
        <v>956593268249.71997</v>
      </c>
      <c r="F30" s="25">
        <v>0</v>
      </c>
      <c r="G30" s="46">
        <v>0</v>
      </c>
    </row>
    <row r="31" spans="1:7" ht="21" x14ac:dyDescent="0.25">
      <c r="A31" s="108" t="s">
        <v>392</v>
      </c>
      <c r="B31" s="23" t="s">
        <v>393</v>
      </c>
      <c r="C31" s="86"/>
      <c r="D31" s="25">
        <v>0</v>
      </c>
      <c r="E31" s="25">
        <v>0</v>
      </c>
      <c r="F31" s="25">
        <v>0</v>
      </c>
      <c r="G31" s="46">
        <v>0</v>
      </c>
    </row>
    <row r="32" spans="1:7" ht="42" x14ac:dyDescent="0.25">
      <c r="A32" s="108" t="s">
        <v>394</v>
      </c>
      <c r="B32" s="23" t="s">
        <v>395</v>
      </c>
      <c r="C32" s="86"/>
      <c r="D32" s="25">
        <v>0</v>
      </c>
      <c r="E32" s="25">
        <v>0</v>
      </c>
      <c r="F32" s="25">
        <v>0</v>
      </c>
      <c r="G32" s="46">
        <v>0</v>
      </c>
    </row>
    <row r="33" spans="1:7" ht="21" x14ac:dyDescent="0.25">
      <c r="A33" s="108" t="s">
        <v>396</v>
      </c>
      <c r="B33" s="23" t="s">
        <v>397</v>
      </c>
      <c r="C33" s="86"/>
      <c r="D33" s="25">
        <v>0</v>
      </c>
      <c r="E33" s="25">
        <v>0</v>
      </c>
      <c r="F33" s="25">
        <v>0</v>
      </c>
      <c r="G33" s="46">
        <v>0</v>
      </c>
    </row>
    <row r="34" spans="1:7" ht="63" x14ac:dyDescent="0.25">
      <c r="A34" s="108" t="s">
        <v>398</v>
      </c>
      <c r="B34" s="23" t="s">
        <v>399</v>
      </c>
      <c r="C34" s="86"/>
      <c r="D34" s="25">
        <v>0</v>
      </c>
      <c r="E34" s="25">
        <v>0</v>
      </c>
      <c r="F34" s="25">
        <v>0</v>
      </c>
      <c r="G34" s="46">
        <v>0</v>
      </c>
    </row>
    <row r="35" spans="1:7" ht="21" x14ac:dyDescent="0.25">
      <c r="A35" s="107" t="s">
        <v>400</v>
      </c>
      <c r="B35" s="16" t="s">
        <v>50</v>
      </c>
      <c r="C35" s="93"/>
      <c r="D35" s="18">
        <f>D36+D39+D40+D41+D42</f>
        <v>466616142</v>
      </c>
      <c r="E35" s="18">
        <f>E36+E39+E40+E41+E42</f>
        <v>979965772</v>
      </c>
      <c r="F35" s="18">
        <f>F36+F39+F40+F41+F42</f>
        <v>0</v>
      </c>
      <c r="G35" s="42">
        <f>G36+G39+G40+G41+G42</f>
        <v>0</v>
      </c>
    </row>
    <row r="36" spans="1:7" ht="21" x14ac:dyDescent="0.25">
      <c r="A36" s="108" t="s">
        <v>401</v>
      </c>
      <c r="B36" s="23" t="s">
        <v>52</v>
      </c>
      <c r="C36" s="86"/>
      <c r="D36" s="25">
        <f>D37+D38</f>
        <v>466616142</v>
      </c>
      <c r="E36" s="25">
        <f>E37+E38</f>
        <v>979965772</v>
      </c>
      <c r="F36" s="25">
        <f>F37+F38</f>
        <v>0</v>
      </c>
      <c r="G36" s="46">
        <f>G37+G38</f>
        <v>0</v>
      </c>
    </row>
    <row r="37" spans="1:7" ht="21" x14ac:dyDescent="0.25">
      <c r="A37" s="109" t="s">
        <v>402</v>
      </c>
      <c r="B37" s="110" t="s">
        <v>403</v>
      </c>
      <c r="C37" s="111"/>
      <c r="D37" s="49">
        <v>466616142</v>
      </c>
      <c r="E37" s="49">
        <v>979965772</v>
      </c>
      <c r="F37" s="49">
        <v>0</v>
      </c>
      <c r="G37" s="50">
        <v>0</v>
      </c>
    </row>
    <row r="38" spans="1:7" ht="21" x14ac:dyDescent="0.25">
      <c r="A38" s="109" t="s">
        <v>404</v>
      </c>
      <c r="B38" s="110" t="s">
        <v>405</v>
      </c>
      <c r="C38" s="111"/>
      <c r="D38" s="49">
        <v>0</v>
      </c>
      <c r="E38" s="49">
        <v>0</v>
      </c>
      <c r="F38" s="49">
        <v>0</v>
      </c>
      <c r="G38" s="50">
        <v>0</v>
      </c>
    </row>
    <row r="39" spans="1:7" ht="31.5" x14ac:dyDescent="0.25">
      <c r="A39" s="108" t="s">
        <v>406</v>
      </c>
      <c r="B39" s="23" t="s">
        <v>54</v>
      </c>
      <c r="C39" s="86"/>
      <c r="D39" s="25">
        <v>0</v>
      </c>
      <c r="E39" s="25">
        <v>0</v>
      </c>
      <c r="F39" s="25">
        <v>0</v>
      </c>
      <c r="G39" s="46">
        <v>0</v>
      </c>
    </row>
    <row r="40" spans="1:7" ht="21" x14ac:dyDescent="0.25">
      <c r="A40" s="108" t="s">
        <v>407</v>
      </c>
      <c r="B40" s="23" t="s">
        <v>56</v>
      </c>
      <c r="C40" s="86"/>
      <c r="D40" s="25">
        <v>0</v>
      </c>
      <c r="E40" s="25">
        <v>0</v>
      </c>
      <c r="F40" s="25">
        <v>0</v>
      </c>
      <c r="G40" s="46">
        <v>0</v>
      </c>
    </row>
    <row r="41" spans="1:7" ht="52.5" x14ac:dyDescent="0.25">
      <c r="A41" s="108" t="s">
        <v>408</v>
      </c>
      <c r="B41" s="23" t="s">
        <v>409</v>
      </c>
      <c r="C41" s="86"/>
      <c r="D41" s="25">
        <v>0</v>
      </c>
      <c r="E41" s="25">
        <v>0</v>
      </c>
      <c r="F41" s="25">
        <v>0</v>
      </c>
      <c r="G41" s="46">
        <v>0</v>
      </c>
    </row>
    <row r="42" spans="1:7" ht="21" x14ac:dyDescent="0.25">
      <c r="A42" s="108" t="s">
        <v>410</v>
      </c>
      <c r="B42" s="23" t="s">
        <v>411</v>
      </c>
      <c r="C42" s="86"/>
      <c r="D42" s="25">
        <v>0</v>
      </c>
      <c r="E42" s="25">
        <v>0</v>
      </c>
      <c r="F42" s="25">
        <v>0</v>
      </c>
      <c r="G42" s="46">
        <v>0</v>
      </c>
    </row>
    <row r="43" spans="1:7" ht="21" x14ac:dyDescent="0.25">
      <c r="A43" s="107" t="s">
        <v>412</v>
      </c>
      <c r="B43" s="16" t="s">
        <v>413</v>
      </c>
      <c r="C43" s="93"/>
      <c r="D43" s="18">
        <f>D44+D45+D50+D51+D52+D53+D56+D57+D58+D59</f>
        <v>6229889031</v>
      </c>
      <c r="E43" s="18">
        <f>E44+E45+E50+E51+E52+E53+E56+E57+E58+E59</f>
        <v>11487812293</v>
      </c>
      <c r="F43" s="18">
        <f>F44+F45+F50+F51+F52+F53+F56+F57+F58+F59</f>
        <v>0</v>
      </c>
      <c r="G43" s="42">
        <f>G44+G45+G50+G51+G52+G53+G56+G57+G58+G59</f>
        <v>0</v>
      </c>
    </row>
    <row r="44" spans="1:7" ht="21" x14ac:dyDescent="0.25">
      <c r="A44" s="108" t="s">
        <v>414</v>
      </c>
      <c r="B44" s="23" t="s">
        <v>415</v>
      </c>
      <c r="C44" s="86"/>
      <c r="D44" s="25">
        <v>5047597452</v>
      </c>
      <c r="E44" s="25">
        <v>9280553440</v>
      </c>
      <c r="F44" s="25">
        <v>0</v>
      </c>
      <c r="G44" s="46">
        <v>0</v>
      </c>
    </row>
    <row r="45" spans="1:7" ht="21" x14ac:dyDescent="0.25">
      <c r="A45" s="108" t="s">
        <v>416</v>
      </c>
      <c r="B45" s="23" t="s">
        <v>417</v>
      </c>
      <c r="C45" s="86"/>
      <c r="D45" s="25">
        <f>D46+D47+D48+D49</f>
        <v>171397944</v>
      </c>
      <c r="E45" s="25">
        <f>E46+E47+E48+E49</f>
        <v>312938778</v>
      </c>
      <c r="F45" s="25">
        <f>F46+F47+F48+F49</f>
        <v>0</v>
      </c>
      <c r="G45" s="46">
        <f>G46+G47+G48+G49</f>
        <v>0</v>
      </c>
    </row>
    <row r="46" spans="1:7" ht="21" x14ac:dyDescent="0.25">
      <c r="A46" s="109" t="s">
        <v>418</v>
      </c>
      <c r="B46" s="110" t="s">
        <v>419</v>
      </c>
      <c r="C46" s="111"/>
      <c r="D46" s="49">
        <v>126189937</v>
      </c>
      <c r="E46" s="49">
        <v>232013835</v>
      </c>
      <c r="F46" s="49">
        <v>0</v>
      </c>
      <c r="G46" s="50">
        <v>0</v>
      </c>
    </row>
    <row r="47" spans="1:7" ht="21" x14ac:dyDescent="0.25">
      <c r="A47" s="109" t="s">
        <v>420</v>
      </c>
      <c r="B47" s="110" t="s">
        <v>421</v>
      </c>
      <c r="C47" s="111"/>
      <c r="D47" s="49">
        <v>3700000</v>
      </c>
      <c r="E47" s="49">
        <v>7400000</v>
      </c>
      <c r="F47" s="49">
        <v>0</v>
      </c>
      <c r="G47" s="50">
        <v>0</v>
      </c>
    </row>
    <row r="48" spans="1:7" ht="21" x14ac:dyDescent="0.25">
      <c r="A48" s="109" t="s">
        <v>422</v>
      </c>
      <c r="B48" s="110" t="s">
        <v>423</v>
      </c>
      <c r="C48" s="111"/>
      <c r="D48" s="49">
        <v>41508007</v>
      </c>
      <c r="E48" s="49">
        <v>73524943</v>
      </c>
      <c r="F48" s="49">
        <v>0</v>
      </c>
      <c r="G48" s="50">
        <v>0</v>
      </c>
    </row>
    <row r="49" spans="1:7" ht="42" x14ac:dyDescent="0.25">
      <c r="A49" s="109" t="s">
        <v>424</v>
      </c>
      <c r="B49" s="110" t="s">
        <v>425</v>
      </c>
      <c r="C49" s="111"/>
      <c r="D49" s="49">
        <v>0</v>
      </c>
      <c r="E49" s="49">
        <v>0</v>
      </c>
      <c r="F49" s="49">
        <v>0</v>
      </c>
      <c r="G49" s="50">
        <v>0</v>
      </c>
    </row>
    <row r="50" spans="1:7" ht="21" x14ac:dyDescent="0.25">
      <c r="A50" s="108" t="s">
        <v>426</v>
      </c>
      <c r="B50" s="23" t="s">
        <v>427</v>
      </c>
      <c r="C50" s="86"/>
      <c r="D50" s="25">
        <v>277617859</v>
      </c>
      <c r="E50" s="25">
        <v>510430441</v>
      </c>
      <c r="F50" s="25">
        <v>0</v>
      </c>
      <c r="G50" s="46">
        <v>0</v>
      </c>
    </row>
    <row r="51" spans="1:7" ht="21" x14ac:dyDescent="0.25">
      <c r="A51" s="108" t="s">
        <v>428</v>
      </c>
      <c r="B51" s="23" t="s">
        <v>429</v>
      </c>
      <c r="C51" s="86"/>
      <c r="D51" s="25">
        <v>138808931</v>
      </c>
      <c r="E51" s="25">
        <v>255215218</v>
      </c>
      <c r="F51" s="25">
        <v>0</v>
      </c>
      <c r="G51" s="46">
        <v>0</v>
      </c>
    </row>
    <row r="52" spans="1:7" ht="21" x14ac:dyDescent="0.25">
      <c r="A52" s="108" t="s">
        <v>430</v>
      </c>
      <c r="B52" s="23" t="s">
        <v>431</v>
      </c>
      <c r="C52" s="86"/>
      <c r="D52" s="25">
        <v>5500000</v>
      </c>
      <c r="E52" s="25">
        <v>11000000</v>
      </c>
      <c r="F52" s="25">
        <v>0</v>
      </c>
      <c r="G52" s="46">
        <v>0</v>
      </c>
    </row>
    <row r="53" spans="1:7" ht="31.5" x14ac:dyDescent="0.25">
      <c r="A53" s="108" t="s">
        <v>432</v>
      </c>
      <c r="B53" s="23" t="s">
        <v>433</v>
      </c>
      <c r="C53" s="86"/>
      <c r="D53" s="25">
        <f>D54+D55</f>
        <v>567854713</v>
      </c>
      <c r="E53" s="25">
        <f>E54+E55</f>
        <v>1044062263</v>
      </c>
      <c r="F53" s="25">
        <f>F54+F55</f>
        <v>0</v>
      </c>
      <c r="G53" s="46">
        <f>G54+G55</f>
        <v>0</v>
      </c>
    </row>
    <row r="54" spans="1:7" ht="42" x14ac:dyDescent="0.25">
      <c r="A54" s="109" t="s">
        <v>434</v>
      </c>
      <c r="B54" s="110" t="s">
        <v>435</v>
      </c>
      <c r="C54" s="111"/>
      <c r="D54" s="49">
        <v>315474841</v>
      </c>
      <c r="E54" s="49">
        <v>580034589</v>
      </c>
      <c r="F54" s="49">
        <v>0</v>
      </c>
      <c r="G54" s="50">
        <v>0</v>
      </c>
    </row>
    <row r="55" spans="1:7" ht="21" x14ac:dyDescent="0.25">
      <c r="A55" s="109" t="s">
        <v>436</v>
      </c>
      <c r="B55" s="110" t="s">
        <v>437</v>
      </c>
      <c r="C55" s="111"/>
      <c r="D55" s="49">
        <v>252379872</v>
      </c>
      <c r="E55" s="49">
        <v>464027674</v>
      </c>
      <c r="F55" s="49">
        <v>0</v>
      </c>
      <c r="G55" s="50">
        <v>0</v>
      </c>
    </row>
    <row r="56" spans="1:7" ht="21" x14ac:dyDescent="0.25">
      <c r="A56" s="108" t="s">
        <v>438</v>
      </c>
      <c r="B56" s="23" t="s">
        <v>439</v>
      </c>
      <c r="C56" s="86"/>
      <c r="D56" s="25">
        <v>0</v>
      </c>
      <c r="E56" s="25">
        <v>0</v>
      </c>
      <c r="F56" s="25">
        <v>0</v>
      </c>
      <c r="G56" s="46">
        <v>0</v>
      </c>
    </row>
    <row r="57" spans="1:7" ht="21" x14ac:dyDescent="0.25">
      <c r="A57" s="108" t="s">
        <v>440</v>
      </c>
      <c r="B57" s="23" t="s">
        <v>441</v>
      </c>
      <c r="C57" s="86"/>
      <c r="D57" s="25">
        <v>8438359</v>
      </c>
      <c r="E57" s="25">
        <v>17780829</v>
      </c>
      <c r="F57" s="25">
        <v>0</v>
      </c>
      <c r="G57" s="46">
        <v>0</v>
      </c>
    </row>
    <row r="58" spans="1:7" ht="21" x14ac:dyDescent="0.25">
      <c r="A58" s="108" t="s">
        <v>442</v>
      </c>
      <c r="B58" s="23" t="s">
        <v>443</v>
      </c>
      <c r="C58" s="86"/>
      <c r="D58" s="25">
        <v>0</v>
      </c>
      <c r="E58" s="25">
        <v>0</v>
      </c>
      <c r="F58" s="25">
        <v>0</v>
      </c>
      <c r="G58" s="46">
        <v>0</v>
      </c>
    </row>
    <row r="59" spans="1:7" ht="21" x14ac:dyDescent="0.25">
      <c r="A59" s="108" t="s">
        <v>444</v>
      </c>
      <c r="B59" s="23" t="s">
        <v>445</v>
      </c>
      <c r="C59" s="86"/>
      <c r="D59" s="25">
        <f>D60+D61+D62+D63+D64+D65+D66+D67+D68+D69+D70+D71+D72+D73</f>
        <v>12673773</v>
      </c>
      <c r="E59" s="25">
        <f>E60+E61+E62+E63+E64+E65+E66+E67+E68+E69+E70+E71+E72+E73</f>
        <v>55831324</v>
      </c>
      <c r="F59" s="25">
        <f>F60+F61+F62+F63+F64+F65+F66+F67+F68+F69+F70+F71+F72+F73</f>
        <v>0</v>
      </c>
      <c r="G59" s="46">
        <f>G60+G61+G62+G63+G64+G65+G66+G67+G68+G69+G70+G71+G72+G73</f>
        <v>0</v>
      </c>
    </row>
    <row r="60" spans="1:7" ht="21" x14ac:dyDescent="0.25">
      <c r="A60" s="109" t="s">
        <v>446</v>
      </c>
      <c r="B60" s="227" t="s">
        <v>447</v>
      </c>
      <c r="C60" s="111"/>
      <c r="D60" s="49">
        <v>9690403</v>
      </c>
      <c r="E60" s="49">
        <v>19454775</v>
      </c>
      <c r="F60" s="49">
        <v>0</v>
      </c>
      <c r="G60" s="50">
        <v>0</v>
      </c>
    </row>
    <row r="61" spans="1:7" ht="31.5" x14ac:dyDescent="0.25">
      <c r="A61" s="109" t="s">
        <v>448</v>
      </c>
      <c r="B61" s="227" t="s">
        <v>449</v>
      </c>
      <c r="C61" s="111"/>
      <c r="D61" s="49">
        <v>0</v>
      </c>
      <c r="E61" s="49">
        <v>0</v>
      </c>
      <c r="F61" s="49">
        <v>0</v>
      </c>
      <c r="G61" s="50">
        <v>0</v>
      </c>
    </row>
    <row r="62" spans="1:7" ht="21" x14ac:dyDescent="0.25">
      <c r="A62" s="109" t="s">
        <v>450</v>
      </c>
      <c r="B62" s="227" t="s">
        <v>451</v>
      </c>
      <c r="C62" s="111"/>
      <c r="D62" s="49">
        <v>0</v>
      </c>
      <c r="E62" s="49">
        <v>0</v>
      </c>
      <c r="F62" s="49">
        <v>0</v>
      </c>
      <c r="G62" s="50">
        <v>0</v>
      </c>
    </row>
    <row r="63" spans="1:7" ht="21" x14ac:dyDescent="0.25">
      <c r="A63" s="109" t="s">
        <v>452</v>
      </c>
      <c r="B63" s="227" t="s">
        <v>453</v>
      </c>
      <c r="C63" s="111"/>
      <c r="D63" s="49">
        <v>0</v>
      </c>
      <c r="E63" s="49">
        <v>0</v>
      </c>
      <c r="F63" s="49">
        <v>0</v>
      </c>
      <c r="G63" s="50">
        <v>0</v>
      </c>
    </row>
    <row r="64" spans="1:7" ht="21" x14ac:dyDescent="0.25">
      <c r="A64" s="109" t="s">
        <v>454</v>
      </c>
      <c r="B64" s="227" t="s">
        <v>455</v>
      </c>
      <c r="C64" s="111"/>
      <c r="D64" s="49">
        <v>0</v>
      </c>
      <c r="E64" s="49">
        <v>0</v>
      </c>
      <c r="F64" s="49">
        <v>0</v>
      </c>
      <c r="G64" s="50">
        <v>0</v>
      </c>
    </row>
    <row r="65" spans="1:7" ht="21" x14ac:dyDescent="0.25">
      <c r="A65" s="109" t="s">
        <v>456</v>
      </c>
      <c r="B65" s="227" t="s">
        <v>457</v>
      </c>
      <c r="C65" s="111"/>
      <c r="D65" s="49">
        <v>0</v>
      </c>
      <c r="E65" s="49">
        <v>0</v>
      </c>
      <c r="F65" s="49">
        <v>0</v>
      </c>
      <c r="G65" s="50">
        <v>0</v>
      </c>
    </row>
    <row r="66" spans="1:7" ht="21" x14ac:dyDescent="0.25">
      <c r="A66" s="109" t="s">
        <v>458</v>
      </c>
      <c r="B66" s="227" t="s">
        <v>459</v>
      </c>
      <c r="C66" s="111"/>
      <c r="D66" s="49">
        <v>0</v>
      </c>
      <c r="E66" s="49">
        <v>0</v>
      </c>
      <c r="F66" s="49">
        <v>0</v>
      </c>
      <c r="G66" s="50">
        <v>0</v>
      </c>
    </row>
    <row r="67" spans="1:7" ht="21" x14ac:dyDescent="0.25">
      <c r="A67" s="109" t="s">
        <v>460</v>
      </c>
      <c r="B67" s="227" t="s">
        <v>461</v>
      </c>
      <c r="C67" s="111"/>
      <c r="D67" s="49">
        <v>2983370</v>
      </c>
      <c r="E67" s="49">
        <v>6376549</v>
      </c>
      <c r="F67" s="49">
        <v>0</v>
      </c>
      <c r="G67" s="50">
        <v>0</v>
      </c>
    </row>
    <row r="68" spans="1:7" ht="21" x14ac:dyDescent="0.25">
      <c r="A68" s="109" t="s">
        <v>462</v>
      </c>
      <c r="B68" s="227" t="s">
        <v>463</v>
      </c>
      <c r="C68" s="111"/>
      <c r="D68" s="49">
        <v>0</v>
      </c>
      <c r="E68" s="49">
        <v>0</v>
      </c>
      <c r="F68" s="49">
        <v>0</v>
      </c>
      <c r="G68" s="50">
        <v>0</v>
      </c>
    </row>
    <row r="69" spans="1:7" ht="21" x14ac:dyDescent="0.25">
      <c r="A69" s="109" t="s">
        <v>464</v>
      </c>
      <c r="B69" s="227" t="s">
        <v>465</v>
      </c>
      <c r="C69" s="111"/>
      <c r="D69" s="49">
        <v>0</v>
      </c>
      <c r="E69" s="49">
        <v>0</v>
      </c>
      <c r="F69" s="49">
        <v>0</v>
      </c>
      <c r="G69" s="50">
        <v>0</v>
      </c>
    </row>
    <row r="70" spans="1:7" ht="21" x14ac:dyDescent="0.25">
      <c r="A70" s="109" t="s">
        <v>466</v>
      </c>
      <c r="B70" s="227" t="s">
        <v>467</v>
      </c>
      <c r="C70" s="111"/>
      <c r="D70" s="49">
        <v>0</v>
      </c>
      <c r="E70" s="49">
        <v>0</v>
      </c>
      <c r="F70" s="49">
        <v>0</v>
      </c>
      <c r="G70" s="50">
        <v>0</v>
      </c>
    </row>
    <row r="71" spans="1:7" ht="21" x14ac:dyDescent="0.25">
      <c r="A71" s="109" t="s">
        <v>468</v>
      </c>
      <c r="B71" s="227" t="s">
        <v>469</v>
      </c>
      <c r="C71" s="111"/>
      <c r="D71" s="49">
        <v>0</v>
      </c>
      <c r="E71" s="49">
        <v>0</v>
      </c>
      <c r="F71" s="49">
        <v>0</v>
      </c>
      <c r="G71" s="50">
        <v>0</v>
      </c>
    </row>
    <row r="72" spans="1:7" ht="21" x14ac:dyDescent="0.25">
      <c r="A72" s="109" t="s">
        <v>470</v>
      </c>
      <c r="B72" s="227" t="s">
        <v>471</v>
      </c>
      <c r="C72" s="111"/>
      <c r="D72" s="49">
        <v>0</v>
      </c>
      <c r="E72" s="49">
        <v>30000000</v>
      </c>
      <c r="F72" s="49">
        <v>0</v>
      </c>
      <c r="G72" s="50">
        <v>0</v>
      </c>
    </row>
    <row r="73" spans="1:7" ht="21" x14ac:dyDescent="0.25">
      <c r="A73" s="109" t="s">
        <v>472</v>
      </c>
      <c r="B73" s="227" t="s">
        <v>473</v>
      </c>
      <c r="C73" s="111"/>
      <c r="D73" s="49">
        <v>0</v>
      </c>
      <c r="E73" s="49">
        <v>0</v>
      </c>
      <c r="F73" s="49">
        <v>0</v>
      </c>
      <c r="G73" s="50">
        <v>0</v>
      </c>
    </row>
    <row r="74" spans="1:7" ht="31.5" x14ac:dyDescent="0.25">
      <c r="A74" s="107" t="s">
        <v>474</v>
      </c>
      <c r="B74" s="16" t="s">
        <v>475</v>
      </c>
      <c r="C74" s="93"/>
      <c r="D74" s="18">
        <f>D19-D35-D43</f>
        <v>981554027337</v>
      </c>
      <c r="E74" s="18">
        <f>E19-E35-E43</f>
        <v>1008063593153</v>
      </c>
      <c r="F74" s="18">
        <f>F19-F35-F43</f>
        <v>0</v>
      </c>
      <c r="G74" s="42">
        <f>G19-G35-G43</f>
        <v>0</v>
      </c>
    </row>
    <row r="75" spans="1:7" ht="21" x14ac:dyDescent="0.25">
      <c r="A75" s="107" t="s">
        <v>476</v>
      </c>
      <c r="B75" s="16" t="s">
        <v>477</v>
      </c>
      <c r="C75" s="93"/>
      <c r="D75" s="18">
        <f>D76-D77</f>
        <v>0</v>
      </c>
      <c r="E75" s="18">
        <f>E76-E77</f>
        <v>0</v>
      </c>
      <c r="F75" s="18">
        <f>F76-F77</f>
        <v>0</v>
      </c>
      <c r="G75" s="42">
        <f>G76-G77</f>
        <v>0</v>
      </c>
    </row>
    <row r="76" spans="1:7" ht="21" x14ac:dyDescent="0.25">
      <c r="A76" s="108" t="s">
        <v>478</v>
      </c>
      <c r="B76" s="23" t="s">
        <v>479</v>
      </c>
      <c r="C76" s="86"/>
      <c r="D76" s="25">
        <v>0</v>
      </c>
      <c r="E76" s="25">
        <v>0</v>
      </c>
      <c r="F76" s="25">
        <v>0</v>
      </c>
      <c r="G76" s="46">
        <v>0</v>
      </c>
    </row>
    <row r="77" spans="1:7" ht="21" x14ac:dyDescent="0.25">
      <c r="A77" s="108" t="s">
        <v>480</v>
      </c>
      <c r="B77" s="23" t="s">
        <v>481</v>
      </c>
      <c r="C77" s="86"/>
      <c r="D77" s="25">
        <v>0</v>
      </c>
      <c r="E77" s="25">
        <v>0</v>
      </c>
      <c r="F77" s="25">
        <v>0</v>
      </c>
      <c r="G77" s="46">
        <v>0</v>
      </c>
    </row>
    <row r="78" spans="1:7" ht="31.5" x14ac:dyDescent="0.25">
      <c r="A78" s="107" t="s">
        <v>482</v>
      </c>
      <c r="B78" s="16" t="s">
        <v>483</v>
      </c>
      <c r="C78" s="93"/>
      <c r="D78" s="18">
        <f>D74+D75</f>
        <v>981554027337</v>
      </c>
      <c r="E78" s="18">
        <f>E74+E75</f>
        <v>1008063593153</v>
      </c>
      <c r="F78" s="18">
        <f>F74+F75</f>
        <v>0</v>
      </c>
      <c r="G78" s="42">
        <f>G74+G75</f>
        <v>0</v>
      </c>
    </row>
    <row r="79" spans="1:7" ht="21" x14ac:dyDescent="0.25">
      <c r="A79" s="108" t="s">
        <v>484</v>
      </c>
      <c r="B79" s="23" t="s">
        <v>485</v>
      </c>
      <c r="C79" s="86"/>
      <c r="D79" s="25">
        <v>4362884240.2799997</v>
      </c>
      <c r="E79" s="25">
        <v>51470324903.279999</v>
      </c>
      <c r="F79" s="25">
        <v>0</v>
      </c>
      <c r="G79" s="46">
        <v>0</v>
      </c>
    </row>
    <row r="80" spans="1:7" ht="21" x14ac:dyDescent="0.25">
      <c r="A80" s="108" t="s">
        <v>486</v>
      </c>
      <c r="B80" s="23" t="s">
        <v>487</v>
      </c>
      <c r="C80" s="86"/>
      <c r="D80" s="25">
        <v>977191143096.71997</v>
      </c>
      <c r="E80" s="25">
        <v>956593268249.71997</v>
      </c>
      <c r="F80" s="25">
        <v>0</v>
      </c>
      <c r="G80" s="46">
        <v>0</v>
      </c>
    </row>
    <row r="81" spans="1:7" ht="21" x14ac:dyDescent="0.25">
      <c r="A81" s="107" t="s">
        <v>488</v>
      </c>
      <c r="B81" s="16" t="s">
        <v>489</v>
      </c>
      <c r="C81" s="93"/>
      <c r="D81" s="18">
        <v>0</v>
      </c>
      <c r="E81" s="18">
        <v>0</v>
      </c>
      <c r="F81" s="18">
        <v>0</v>
      </c>
      <c r="G81" s="42">
        <v>0</v>
      </c>
    </row>
    <row r="82" spans="1:7" ht="31.5" x14ac:dyDescent="0.25">
      <c r="A82" s="112" t="s">
        <v>490</v>
      </c>
      <c r="B82" s="29" t="s">
        <v>491</v>
      </c>
      <c r="C82" s="97"/>
      <c r="D82" s="31">
        <f>D78</f>
        <v>981554027337</v>
      </c>
      <c r="E82" s="31">
        <f>E78</f>
        <v>1008063593153</v>
      </c>
      <c r="F82" s="31">
        <f>F78</f>
        <v>0</v>
      </c>
      <c r="G82" s="113">
        <f>G78</f>
        <v>0</v>
      </c>
    </row>
    <row r="83" spans="1:7" ht="10.5" customHeight="1" x14ac:dyDescent="0.25">
      <c r="A83" s="1"/>
      <c r="B83" s="268"/>
      <c r="C83" s="268"/>
      <c r="D83" s="268"/>
      <c r="E83" s="268"/>
      <c r="F83" s="268"/>
      <c r="G83" s="268"/>
    </row>
    <row r="84" spans="1:7" ht="15" customHeight="1" x14ac:dyDescent="0.15">
      <c r="A84" s="7" t="s">
        <v>351</v>
      </c>
      <c r="B84" s="269" t="s">
        <v>352</v>
      </c>
      <c r="C84" s="269"/>
      <c r="D84" s="269"/>
      <c r="E84" s="269"/>
      <c r="F84" s="329" t="s">
        <v>492</v>
      </c>
      <c r="G84" s="329"/>
    </row>
    <row r="85" spans="1:7" ht="15" customHeight="1" x14ac:dyDescent="0.15">
      <c r="A85" s="114" t="s">
        <v>354</v>
      </c>
      <c r="B85" s="326" t="s">
        <v>354</v>
      </c>
      <c r="C85" s="326"/>
      <c r="D85" s="326"/>
      <c r="E85" s="326"/>
      <c r="F85" s="327" t="s">
        <v>355</v>
      </c>
      <c r="G85" s="327"/>
    </row>
    <row r="86" spans="1:7" ht="66.75" customHeight="1" x14ac:dyDescent="0.25">
      <c r="A86" s="1"/>
      <c r="B86" s="268"/>
      <c r="C86" s="268"/>
      <c r="D86" s="268"/>
      <c r="E86" s="268"/>
      <c r="F86" s="268"/>
      <c r="G86" s="268"/>
    </row>
    <row r="87" spans="1:7" ht="15.75" customHeight="1" x14ac:dyDescent="0.25">
      <c r="A87" s="7" t="s">
        <v>356</v>
      </c>
      <c r="B87" s="279" t="s">
        <v>357</v>
      </c>
      <c r="C87" s="279"/>
      <c r="D87" s="279"/>
      <c r="E87" s="279"/>
      <c r="F87" s="279" t="s">
        <v>107</v>
      </c>
      <c r="G87" s="279"/>
    </row>
  </sheetData>
  <mergeCells count="40">
    <mergeCell ref="B86:C86"/>
    <mergeCell ref="D86:E86"/>
    <mergeCell ref="F86:G86"/>
    <mergeCell ref="B87:E87"/>
    <mergeCell ref="F87:G87"/>
    <mergeCell ref="B85:E85"/>
    <mergeCell ref="F85:G85"/>
    <mergeCell ref="B14:G14"/>
    <mergeCell ref="B15:G15"/>
    <mergeCell ref="B16:C16"/>
    <mergeCell ref="D16:E16"/>
    <mergeCell ref="F16:G16"/>
    <mergeCell ref="B83:C83"/>
    <mergeCell ref="D83:E83"/>
    <mergeCell ref="F83:G83"/>
    <mergeCell ref="B84:E84"/>
    <mergeCell ref="F84:G84"/>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9" bottom="0.59" header="0.5" footer="0.5"/>
  <pageSetup paperSize="9" scale="87"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tabSelected="1" showOutlineSymbols="0" view="pageBreakPreview" zoomScaleNormal="100" zoomScaleSheetLayoutView="100" workbookViewId="0">
      <selection activeCell="C16" sqref="C16"/>
    </sheetView>
  </sheetViews>
  <sheetFormatPr defaultRowHeight="10.5" x14ac:dyDescent="0.25"/>
  <cols>
    <col min="1" max="1" width="5.7109375" style="3" customWidth="1"/>
    <col min="2" max="2" width="41.42578125" style="3" customWidth="1"/>
    <col min="3" max="4" width="7.85546875" style="3" customWidth="1"/>
    <col min="5" max="6" width="20" style="3" customWidth="1"/>
    <col min="7" max="256" width="9.140625" style="3"/>
    <col min="257" max="257" width="6.28515625" style="3" customWidth="1"/>
    <col min="258" max="258" width="42.85546875" style="3" customWidth="1"/>
    <col min="259" max="260" width="7.85546875" style="3" customWidth="1"/>
    <col min="261" max="262" width="21.140625" style="3" customWidth="1"/>
    <col min="263" max="512" width="9.140625" style="3"/>
    <col min="513" max="513" width="6.28515625" style="3" customWidth="1"/>
    <col min="514" max="514" width="42.85546875" style="3" customWidth="1"/>
    <col min="515" max="516" width="7.85546875" style="3" customWidth="1"/>
    <col min="517" max="518" width="21.140625" style="3" customWidth="1"/>
    <col min="519" max="768" width="9.140625" style="3"/>
    <col min="769" max="769" width="6.28515625" style="3" customWidth="1"/>
    <col min="770" max="770" width="42.85546875" style="3" customWidth="1"/>
    <col min="771" max="772" width="7.85546875" style="3" customWidth="1"/>
    <col min="773" max="774" width="21.140625" style="3" customWidth="1"/>
    <col min="775" max="1024" width="9.140625" style="3"/>
    <col min="1025" max="1025" width="6.28515625" style="3" customWidth="1"/>
    <col min="1026" max="1026" width="42.85546875" style="3" customWidth="1"/>
    <col min="1027" max="1028" width="7.85546875" style="3" customWidth="1"/>
    <col min="1029" max="1030" width="21.140625" style="3" customWidth="1"/>
    <col min="1031" max="1280" width="9.140625" style="3"/>
    <col min="1281" max="1281" width="6.28515625" style="3" customWidth="1"/>
    <col min="1282" max="1282" width="42.85546875" style="3" customWidth="1"/>
    <col min="1283" max="1284" width="7.85546875" style="3" customWidth="1"/>
    <col min="1285" max="1286" width="21.140625" style="3" customWidth="1"/>
    <col min="1287" max="1536" width="9.140625" style="3"/>
    <col min="1537" max="1537" width="6.28515625" style="3" customWidth="1"/>
    <col min="1538" max="1538" width="42.85546875" style="3" customWidth="1"/>
    <col min="1539" max="1540" width="7.85546875" style="3" customWidth="1"/>
    <col min="1541" max="1542" width="21.140625" style="3" customWidth="1"/>
    <col min="1543" max="1792" width="9.140625" style="3"/>
    <col min="1793" max="1793" width="6.28515625" style="3" customWidth="1"/>
    <col min="1794" max="1794" width="42.85546875" style="3" customWidth="1"/>
    <col min="1795" max="1796" width="7.85546875" style="3" customWidth="1"/>
    <col min="1797" max="1798" width="21.140625" style="3" customWidth="1"/>
    <col min="1799" max="2048" width="9.140625" style="3"/>
    <col min="2049" max="2049" width="6.28515625" style="3" customWidth="1"/>
    <col min="2050" max="2050" width="42.85546875" style="3" customWidth="1"/>
    <col min="2051" max="2052" width="7.85546875" style="3" customWidth="1"/>
    <col min="2053" max="2054" width="21.140625" style="3" customWidth="1"/>
    <col min="2055" max="2304" width="9.140625" style="3"/>
    <col min="2305" max="2305" width="6.28515625" style="3" customWidth="1"/>
    <col min="2306" max="2306" width="42.85546875" style="3" customWidth="1"/>
    <col min="2307" max="2308" width="7.85546875" style="3" customWidth="1"/>
    <col min="2309" max="2310" width="21.140625" style="3" customWidth="1"/>
    <col min="2311" max="2560" width="9.140625" style="3"/>
    <col min="2561" max="2561" width="6.28515625" style="3" customWidth="1"/>
    <col min="2562" max="2562" width="42.85546875" style="3" customWidth="1"/>
    <col min="2563" max="2564" width="7.85546875" style="3" customWidth="1"/>
    <col min="2565" max="2566" width="21.140625" style="3" customWidth="1"/>
    <col min="2567" max="2816" width="9.140625" style="3"/>
    <col min="2817" max="2817" width="6.28515625" style="3" customWidth="1"/>
    <col min="2818" max="2818" width="42.85546875" style="3" customWidth="1"/>
    <col min="2819" max="2820" width="7.85546875" style="3" customWidth="1"/>
    <col min="2821" max="2822" width="21.140625" style="3" customWidth="1"/>
    <col min="2823" max="3072" width="9.140625" style="3"/>
    <col min="3073" max="3073" width="6.28515625" style="3" customWidth="1"/>
    <col min="3074" max="3074" width="42.85546875" style="3" customWidth="1"/>
    <col min="3075" max="3076" width="7.85546875" style="3" customWidth="1"/>
    <col min="3077" max="3078" width="21.140625" style="3" customWidth="1"/>
    <col min="3079" max="3328" width="9.140625" style="3"/>
    <col min="3329" max="3329" width="6.28515625" style="3" customWidth="1"/>
    <col min="3330" max="3330" width="42.85546875" style="3" customWidth="1"/>
    <col min="3331" max="3332" width="7.85546875" style="3" customWidth="1"/>
    <col min="3333" max="3334" width="21.140625" style="3" customWidth="1"/>
    <col min="3335" max="3584" width="9.140625" style="3"/>
    <col min="3585" max="3585" width="6.28515625" style="3" customWidth="1"/>
    <col min="3586" max="3586" width="42.85546875" style="3" customWidth="1"/>
    <col min="3587" max="3588" width="7.85546875" style="3" customWidth="1"/>
    <col min="3589" max="3590" width="21.140625" style="3" customWidth="1"/>
    <col min="3591" max="3840" width="9.140625" style="3"/>
    <col min="3841" max="3841" width="6.28515625" style="3" customWidth="1"/>
    <col min="3842" max="3842" width="42.85546875" style="3" customWidth="1"/>
    <col min="3843" max="3844" width="7.85546875" style="3" customWidth="1"/>
    <col min="3845" max="3846" width="21.140625" style="3" customWidth="1"/>
    <col min="3847" max="4096" width="9.140625" style="3"/>
    <col min="4097" max="4097" width="6.28515625" style="3" customWidth="1"/>
    <col min="4098" max="4098" width="42.85546875" style="3" customWidth="1"/>
    <col min="4099" max="4100" width="7.85546875" style="3" customWidth="1"/>
    <col min="4101" max="4102" width="21.140625" style="3" customWidth="1"/>
    <col min="4103" max="4352" width="9.140625" style="3"/>
    <col min="4353" max="4353" width="6.28515625" style="3" customWidth="1"/>
    <col min="4354" max="4354" width="42.85546875" style="3" customWidth="1"/>
    <col min="4355" max="4356" width="7.85546875" style="3" customWidth="1"/>
    <col min="4357" max="4358" width="21.140625" style="3" customWidth="1"/>
    <col min="4359" max="4608" width="9.140625" style="3"/>
    <col min="4609" max="4609" width="6.28515625" style="3" customWidth="1"/>
    <col min="4610" max="4610" width="42.85546875" style="3" customWidth="1"/>
    <col min="4611" max="4612" width="7.85546875" style="3" customWidth="1"/>
    <col min="4613" max="4614" width="21.140625" style="3" customWidth="1"/>
    <col min="4615" max="4864" width="9.140625" style="3"/>
    <col min="4865" max="4865" width="6.28515625" style="3" customWidth="1"/>
    <col min="4866" max="4866" width="42.85546875" style="3" customWidth="1"/>
    <col min="4867" max="4868" width="7.85546875" style="3" customWidth="1"/>
    <col min="4869" max="4870" width="21.140625" style="3" customWidth="1"/>
    <col min="4871" max="5120" width="9.140625" style="3"/>
    <col min="5121" max="5121" width="6.28515625" style="3" customWidth="1"/>
    <col min="5122" max="5122" width="42.85546875" style="3" customWidth="1"/>
    <col min="5123" max="5124" width="7.85546875" style="3" customWidth="1"/>
    <col min="5125" max="5126" width="21.140625" style="3" customWidth="1"/>
    <col min="5127" max="5376" width="9.140625" style="3"/>
    <col min="5377" max="5377" width="6.28515625" style="3" customWidth="1"/>
    <col min="5378" max="5378" width="42.85546875" style="3" customWidth="1"/>
    <col min="5379" max="5380" width="7.85546875" style="3" customWidth="1"/>
    <col min="5381" max="5382" width="21.140625" style="3" customWidth="1"/>
    <col min="5383" max="5632" width="9.140625" style="3"/>
    <col min="5633" max="5633" width="6.28515625" style="3" customWidth="1"/>
    <col min="5634" max="5634" width="42.85546875" style="3" customWidth="1"/>
    <col min="5635" max="5636" width="7.85546875" style="3" customWidth="1"/>
    <col min="5637" max="5638" width="21.140625" style="3" customWidth="1"/>
    <col min="5639" max="5888" width="9.140625" style="3"/>
    <col min="5889" max="5889" width="6.28515625" style="3" customWidth="1"/>
    <col min="5890" max="5890" width="42.85546875" style="3" customWidth="1"/>
    <col min="5891" max="5892" width="7.85546875" style="3" customWidth="1"/>
    <col min="5893" max="5894" width="21.140625" style="3" customWidth="1"/>
    <col min="5895" max="6144" width="9.140625" style="3"/>
    <col min="6145" max="6145" width="6.28515625" style="3" customWidth="1"/>
    <col min="6146" max="6146" width="42.85546875" style="3" customWidth="1"/>
    <col min="6147" max="6148" width="7.85546875" style="3" customWidth="1"/>
    <col min="6149" max="6150" width="21.140625" style="3" customWidth="1"/>
    <col min="6151" max="6400" width="9.140625" style="3"/>
    <col min="6401" max="6401" width="6.28515625" style="3" customWidth="1"/>
    <col min="6402" max="6402" width="42.85546875" style="3" customWidth="1"/>
    <col min="6403" max="6404" width="7.85546875" style="3" customWidth="1"/>
    <col min="6405" max="6406" width="21.140625" style="3" customWidth="1"/>
    <col min="6407" max="6656" width="9.140625" style="3"/>
    <col min="6657" max="6657" width="6.28515625" style="3" customWidth="1"/>
    <col min="6658" max="6658" width="42.85546875" style="3" customWidth="1"/>
    <col min="6659" max="6660" width="7.85546875" style="3" customWidth="1"/>
    <col min="6661" max="6662" width="21.140625" style="3" customWidth="1"/>
    <col min="6663" max="6912" width="9.140625" style="3"/>
    <col min="6913" max="6913" width="6.28515625" style="3" customWidth="1"/>
    <col min="6914" max="6914" width="42.85546875" style="3" customWidth="1"/>
    <col min="6915" max="6916" width="7.85546875" style="3" customWidth="1"/>
    <col min="6917" max="6918" width="21.140625" style="3" customWidth="1"/>
    <col min="6919" max="7168" width="9.140625" style="3"/>
    <col min="7169" max="7169" width="6.28515625" style="3" customWidth="1"/>
    <col min="7170" max="7170" width="42.85546875" style="3" customWidth="1"/>
    <col min="7171" max="7172" width="7.85546875" style="3" customWidth="1"/>
    <col min="7173" max="7174" width="21.140625" style="3" customWidth="1"/>
    <col min="7175" max="7424" width="9.140625" style="3"/>
    <col min="7425" max="7425" width="6.28515625" style="3" customWidth="1"/>
    <col min="7426" max="7426" width="42.85546875" style="3" customWidth="1"/>
    <col min="7427" max="7428" width="7.85546875" style="3" customWidth="1"/>
    <col min="7429" max="7430" width="21.140625" style="3" customWidth="1"/>
    <col min="7431" max="7680" width="9.140625" style="3"/>
    <col min="7681" max="7681" width="6.28515625" style="3" customWidth="1"/>
    <col min="7682" max="7682" width="42.85546875" style="3" customWidth="1"/>
    <col min="7683" max="7684" width="7.85546875" style="3" customWidth="1"/>
    <col min="7685" max="7686" width="21.140625" style="3" customWidth="1"/>
    <col min="7687" max="7936" width="9.140625" style="3"/>
    <col min="7937" max="7937" width="6.28515625" style="3" customWidth="1"/>
    <col min="7938" max="7938" width="42.85546875" style="3" customWidth="1"/>
    <col min="7939" max="7940" width="7.85546875" style="3" customWidth="1"/>
    <col min="7941" max="7942" width="21.140625" style="3" customWidth="1"/>
    <col min="7943" max="8192" width="9.140625" style="3"/>
    <col min="8193" max="8193" width="6.28515625" style="3" customWidth="1"/>
    <col min="8194" max="8194" width="42.85546875" style="3" customWidth="1"/>
    <col min="8195" max="8196" width="7.85546875" style="3" customWidth="1"/>
    <col min="8197" max="8198" width="21.140625" style="3" customWidth="1"/>
    <col min="8199" max="8448" width="9.140625" style="3"/>
    <col min="8449" max="8449" width="6.28515625" style="3" customWidth="1"/>
    <col min="8450" max="8450" width="42.85546875" style="3" customWidth="1"/>
    <col min="8451" max="8452" width="7.85546875" style="3" customWidth="1"/>
    <col min="8453" max="8454" width="21.140625" style="3" customWidth="1"/>
    <col min="8455" max="8704" width="9.140625" style="3"/>
    <col min="8705" max="8705" width="6.28515625" style="3" customWidth="1"/>
    <col min="8706" max="8706" width="42.85546875" style="3" customWidth="1"/>
    <col min="8707" max="8708" width="7.85546875" style="3" customWidth="1"/>
    <col min="8709" max="8710" width="21.140625" style="3" customWidth="1"/>
    <col min="8711" max="8960" width="9.140625" style="3"/>
    <col min="8961" max="8961" width="6.28515625" style="3" customWidth="1"/>
    <col min="8962" max="8962" width="42.85546875" style="3" customWidth="1"/>
    <col min="8963" max="8964" width="7.85546875" style="3" customWidth="1"/>
    <col min="8965" max="8966" width="21.140625" style="3" customWidth="1"/>
    <col min="8967" max="9216" width="9.140625" style="3"/>
    <col min="9217" max="9217" width="6.28515625" style="3" customWidth="1"/>
    <col min="9218" max="9218" width="42.85546875" style="3" customWidth="1"/>
    <col min="9219" max="9220" width="7.85546875" style="3" customWidth="1"/>
    <col min="9221" max="9222" width="21.140625" style="3" customWidth="1"/>
    <col min="9223" max="9472" width="9.140625" style="3"/>
    <col min="9473" max="9473" width="6.28515625" style="3" customWidth="1"/>
    <col min="9474" max="9474" width="42.85546875" style="3" customWidth="1"/>
    <col min="9475" max="9476" width="7.85546875" style="3" customWidth="1"/>
    <col min="9477" max="9478" width="21.140625" style="3" customWidth="1"/>
    <col min="9479" max="9728" width="9.140625" style="3"/>
    <col min="9729" max="9729" width="6.28515625" style="3" customWidth="1"/>
    <col min="9730" max="9730" width="42.85546875" style="3" customWidth="1"/>
    <col min="9731" max="9732" width="7.85546875" style="3" customWidth="1"/>
    <col min="9733" max="9734" width="21.140625" style="3" customWidth="1"/>
    <col min="9735" max="9984" width="9.140625" style="3"/>
    <col min="9985" max="9985" width="6.28515625" style="3" customWidth="1"/>
    <col min="9986" max="9986" width="42.85546875" style="3" customWidth="1"/>
    <col min="9987" max="9988" width="7.85546875" style="3" customWidth="1"/>
    <col min="9989" max="9990" width="21.140625" style="3" customWidth="1"/>
    <col min="9991" max="10240" width="9.140625" style="3"/>
    <col min="10241" max="10241" width="6.28515625" style="3" customWidth="1"/>
    <col min="10242" max="10242" width="42.85546875" style="3" customWidth="1"/>
    <col min="10243" max="10244" width="7.85546875" style="3" customWidth="1"/>
    <col min="10245" max="10246" width="21.140625" style="3" customWidth="1"/>
    <col min="10247" max="10496" width="9.140625" style="3"/>
    <col min="10497" max="10497" width="6.28515625" style="3" customWidth="1"/>
    <col min="10498" max="10498" width="42.85546875" style="3" customWidth="1"/>
    <col min="10499" max="10500" width="7.85546875" style="3" customWidth="1"/>
    <col min="10501" max="10502" width="21.140625" style="3" customWidth="1"/>
    <col min="10503" max="10752" width="9.140625" style="3"/>
    <col min="10753" max="10753" width="6.28515625" style="3" customWidth="1"/>
    <col min="10754" max="10754" width="42.85546875" style="3" customWidth="1"/>
    <col min="10755" max="10756" width="7.85546875" style="3" customWidth="1"/>
    <col min="10757" max="10758" width="21.140625" style="3" customWidth="1"/>
    <col min="10759" max="11008" width="9.140625" style="3"/>
    <col min="11009" max="11009" width="6.28515625" style="3" customWidth="1"/>
    <col min="11010" max="11010" width="42.85546875" style="3" customWidth="1"/>
    <col min="11011" max="11012" width="7.85546875" style="3" customWidth="1"/>
    <col min="11013" max="11014" width="21.140625" style="3" customWidth="1"/>
    <col min="11015" max="11264" width="9.140625" style="3"/>
    <col min="11265" max="11265" width="6.28515625" style="3" customWidth="1"/>
    <col min="11266" max="11266" width="42.85546875" style="3" customWidth="1"/>
    <col min="11267" max="11268" width="7.85546875" style="3" customWidth="1"/>
    <col min="11269" max="11270" width="21.140625" style="3" customWidth="1"/>
    <col min="11271" max="11520" width="9.140625" style="3"/>
    <col min="11521" max="11521" width="6.28515625" style="3" customWidth="1"/>
    <col min="11522" max="11522" width="42.85546875" style="3" customWidth="1"/>
    <col min="11523" max="11524" width="7.85546875" style="3" customWidth="1"/>
    <col min="11525" max="11526" width="21.140625" style="3" customWidth="1"/>
    <col min="11527" max="11776" width="9.140625" style="3"/>
    <col min="11777" max="11777" width="6.28515625" style="3" customWidth="1"/>
    <col min="11778" max="11778" width="42.85546875" style="3" customWidth="1"/>
    <col min="11779" max="11780" width="7.85546875" style="3" customWidth="1"/>
    <col min="11781" max="11782" width="21.140625" style="3" customWidth="1"/>
    <col min="11783" max="12032" width="9.140625" style="3"/>
    <col min="12033" max="12033" width="6.28515625" style="3" customWidth="1"/>
    <col min="12034" max="12034" width="42.85546875" style="3" customWidth="1"/>
    <col min="12035" max="12036" width="7.85546875" style="3" customWidth="1"/>
    <col min="12037" max="12038" width="21.140625" style="3" customWidth="1"/>
    <col min="12039" max="12288" width="9.140625" style="3"/>
    <col min="12289" max="12289" width="6.28515625" style="3" customWidth="1"/>
    <col min="12290" max="12290" width="42.85546875" style="3" customWidth="1"/>
    <col min="12291" max="12292" width="7.85546875" style="3" customWidth="1"/>
    <col min="12293" max="12294" width="21.140625" style="3" customWidth="1"/>
    <col min="12295" max="12544" width="9.140625" style="3"/>
    <col min="12545" max="12545" width="6.28515625" style="3" customWidth="1"/>
    <col min="12546" max="12546" width="42.85546875" style="3" customWidth="1"/>
    <col min="12547" max="12548" width="7.85546875" style="3" customWidth="1"/>
    <col min="12549" max="12550" width="21.140625" style="3" customWidth="1"/>
    <col min="12551" max="12800" width="9.140625" style="3"/>
    <col min="12801" max="12801" width="6.28515625" style="3" customWidth="1"/>
    <col min="12802" max="12802" width="42.85546875" style="3" customWidth="1"/>
    <col min="12803" max="12804" width="7.85546875" style="3" customWidth="1"/>
    <col min="12805" max="12806" width="21.140625" style="3" customWidth="1"/>
    <col min="12807" max="13056" width="9.140625" style="3"/>
    <col min="13057" max="13057" width="6.28515625" style="3" customWidth="1"/>
    <col min="13058" max="13058" width="42.85546875" style="3" customWidth="1"/>
    <col min="13059" max="13060" width="7.85546875" style="3" customWidth="1"/>
    <col min="13061" max="13062" width="21.140625" style="3" customWidth="1"/>
    <col min="13063" max="13312" width="9.140625" style="3"/>
    <col min="13313" max="13313" width="6.28515625" style="3" customWidth="1"/>
    <col min="13314" max="13314" width="42.85546875" style="3" customWidth="1"/>
    <col min="13315" max="13316" width="7.85546875" style="3" customWidth="1"/>
    <col min="13317" max="13318" width="21.140625" style="3" customWidth="1"/>
    <col min="13319" max="13568" width="9.140625" style="3"/>
    <col min="13569" max="13569" width="6.28515625" style="3" customWidth="1"/>
    <col min="13570" max="13570" width="42.85546875" style="3" customWidth="1"/>
    <col min="13571" max="13572" width="7.85546875" style="3" customWidth="1"/>
    <col min="13573" max="13574" width="21.140625" style="3" customWidth="1"/>
    <col min="13575" max="13824" width="9.140625" style="3"/>
    <col min="13825" max="13825" width="6.28515625" style="3" customWidth="1"/>
    <col min="13826" max="13826" width="42.85546875" style="3" customWidth="1"/>
    <col min="13827" max="13828" width="7.85546875" style="3" customWidth="1"/>
    <col min="13829" max="13830" width="21.140625" style="3" customWidth="1"/>
    <col min="13831" max="14080" width="9.140625" style="3"/>
    <col min="14081" max="14081" width="6.28515625" style="3" customWidth="1"/>
    <col min="14082" max="14082" width="42.85546875" style="3" customWidth="1"/>
    <col min="14083" max="14084" width="7.85546875" style="3" customWidth="1"/>
    <col min="14085" max="14086" width="21.140625" style="3" customWidth="1"/>
    <col min="14087" max="14336" width="9.140625" style="3"/>
    <col min="14337" max="14337" width="6.28515625" style="3" customWidth="1"/>
    <col min="14338" max="14338" width="42.85546875" style="3" customWidth="1"/>
    <col min="14339" max="14340" width="7.85546875" style="3" customWidth="1"/>
    <col min="14341" max="14342" width="21.140625" style="3" customWidth="1"/>
    <col min="14343" max="14592" width="9.140625" style="3"/>
    <col min="14593" max="14593" width="6.28515625" style="3" customWidth="1"/>
    <col min="14594" max="14594" width="42.85546875" style="3" customWidth="1"/>
    <col min="14595" max="14596" width="7.85546875" style="3" customWidth="1"/>
    <col min="14597" max="14598" width="21.140625" style="3" customWidth="1"/>
    <col min="14599" max="14848" width="9.140625" style="3"/>
    <col min="14849" max="14849" width="6.28515625" style="3" customWidth="1"/>
    <col min="14850" max="14850" width="42.85546875" style="3" customWidth="1"/>
    <col min="14851" max="14852" width="7.85546875" style="3" customWidth="1"/>
    <col min="14853" max="14854" width="21.140625" style="3" customWidth="1"/>
    <col min="14855" max="15104" width="9.140625" style="3"/>
    <col min="15105" max="15105" width="6.28515625" style="3" customWidth="1"/>
    <col min="15106" max="15106" width="42.85546875" style="3" customWidth="1"/>
    <col min="15107" max="15108" width="7.85546875" style="3" customWidth="1"/>
    <col min="15109" max="15110" width="21.140625" style="3" customWidth="1"/>
    <col min="15111" max="15360" width="9.140625" style="3"/>
    <col min="15361" max="15361" width="6.28515625" style="3" customWidth="1"/>
    <col min="15362" max="15362" width="42.85546875" style="3" customWidth="1"/>
    <col min="15363" max="15364" width="7.85546875" style="3" customWidth="1"/>
    <col min="15365" max="15366" width="21.140625" style="3" customWidth="1"/>
    <col min="15367" max="15616" width="9.140625" style="3"/>
    <col min="15617" max="15617" width="6.28515625" style="3" customWidth="1"/>
    <col min="15618" max="15618" width="42.85546875" style="3" customWidth="1"/>
    <col min="15619" max="15620" width="7.85546875" style="3" customWidth="1"/>
    <col min="15621" max="15622" width="21.140625" style="3" customWidth="1"/>
    <col min="15623" max="15872" width="9.140625" style="3"/>
    <col min="15873" max="15873" width="6.28515625" style="3" customWidth="1"/>
    <col min="15874" max="15874" width="42.85546875" style="3" customWidth="1"/>
    <col min="15875" max="15876" width="7.85546875" style="3" customWidth="1"/>
    <col min="15877" max="15878" width="21.140625" style="3" customWidth="1"/>
    <col min="15879" max="16128" width="9.140625" style="3"/>
    <col min="16129" max="16129" width="6.28515625" style="3" customWidth="1"/>
    <col min="16130" max="16130" width="42.85546875" style="3" customWidth="1"/>
    <col min="16131" max="16132" width="7.85546875" style="3" customWidth="1"/>
    <col min="16133" max="16134" width="21.140625" style="3" customWidth="1"/>
    <col min="16135" max="16384" width="9.140625" style="3"/>
  </cols>
  <sheetData>
    <row r="1" spans="1:6" ht="45" customHeight="1" x14ac:dyDescent="0.25">
      <c r="A1" s="268"/>
      <c r="B1" s="268"/>
      <c r="C1" s="269" t="s">
        <v>493</v>
      </c>
      <c r="D1" s="269"/>
      <c r="E1" s="269"/>
      <c r="F1" s="269"/>
    </row>
    <row r="2" spans="1:6" ht="26.25" customHeight="1" x14ac:dyDescent="0.25">
      <c r="A2" s="270" t="s">
        <v>321</v>
      </c>
      <c r="B2" s="270"/>
      <c r="C2" s="270"/>
      <c r="D2" s="270"/>
      <c r="E2" s="270"/>
      <c r="F2" s="270"/>
    </row>
    <row r="3" spans="1:6" ht="3.75" customHeight="1" x14ac:dyDescent="0.25">
      <c r="A3" s="1"/>
      <c r="B3" s="1"/>
      <c r="C3" s="1"/>
      <c r="D3" s="1"/>
      <c r="E3" s="1"/>
      <c r="F3" s="1"/>
    </row>
    <row r="4" spans="1:6" ht="30.75" customHeight="1" x14ac:dyDescent="0.25">
      <c r="A4" s="269" t="s">
        <v>494</v>
      </c>
      <c r="B4" s="269"/>
      <c r="C4" s="269"/>
      <c r="D4" s="269"/>
      <c r="E4" s="269"/>
      <c r="F4" s="269"/>
    </row>
    <row r="5" spans="1:6" ht="11.25" customHeight="1" x14ac:dyDescent="0.25">
      <c r="A5" s="280" t="s">
        <v>495</v>
      </c>
      <c r="B5" s="280"/>
      <c r="C5" s="280"/>
      <c r="D5" s="280"/>
      <c r="E5" s="280"/>
      <c r="F5" s="280"/>
    </row>
    <row r="6" spans="1:6" ht="5.25" customHeight="1" x14ac:dyDescent="0.25">
      <c r="A6" s="1"/>
      <c r="B6" s="1"/>
      <c r="C6" s="115"/>
      <c r="D6" s="1"/>
      <c r="E6" s="1"/>
      <c r="F6" s="1"/>
    </row>
    <row r="7" spans="1:6" ht="4.5" customHeight="1" x14ac:dyDescent="0.25">
      <c r="A7" s="1"/>
      <c r="B7" s="1"/>
      <c r="C7" s="1"/>
      <c r="D7" s="1"/>
      <c r="E7" s="1"/>
      <c r="F7" s="1"/>
    </row>
    <row r="8" spans="1:6" ht="12.75" customHeight="1" x14ac:dyDescent="0.25">
      <c r="A8" s="267" t="s">
        <v>10</v>
      </c>
      <c r="B8" s="267"/>
      <c r="C8" s="267" t="s">
        <v>11</v>
      </c>
      <c r="D8" s="267"/>
      <c r="E8" s="267"/>
      <c r="F8" s="267"/>
    </row>
    <row r="9" spans="1:6" ht="12.75" customHeight="1" x14ac:dyDescent="0.25">
      <c r="A9" s="268" t="s">
        <v>12</v>
      </c>
      <c r="B9" s="268"/>
      <c r="C9" s="268" t="s">
        <v>13</v>
      </c>
      <c r="D9" s="268"/>
      <c r="E9" s="268"/>
      <c r="F9" s="268"/>
    </row>
    <row r="10" spans="1:6" ht="12.75" customHeight="1" x14ac:dyDescent="0.25">
      <c r="A10" s="267" t="s">
        <v>15</v>
      </c>
      <c r="B10" s="267"/>
      <c r="C10" s="267" t="s">
        <v>16</v>
      </c>
      <c r="D10" s="267"/>
      <c r="E10" s="267"/>
      <c r="F10" s="267"/>
    </row>
    <row r="11" spans="1:6" ht="12.75" customHeight="1" x14ac:dyDescent="0.25">
      <c r="A11" s="268" t="s">
        <v>17</v>
      </c>
      <c r="B11" s="268"/>
      <c r="C11" s="268" t="s">
        <v>18</v>
      </c>
      <c r="D11" s="268"/>
      <c r="E11" s="268"/>
      <c r="F11" s="268"/>
    </row>
    <row r="12" spans="1:6" ht="12.75" customHeight="1" x14ac:dyDescent="0.25">
      <c r="A12" s="267" t="s">
        <v>295</v>
      </c>
      <c r="B12" s="267"/>
      <c r="C12" s="267" t="s">
        <v>6</v>
      </c>
      <c r="D12" s="267"/>
      <c r="E12" s="267"/>
      <c r="F12" s="267"/>
    </row>
    <row r="13" spans="1:6" ht="12.75" customHeight="1" x14ac:dyDescent="0.25">
      <c r="A13" s="268" t="s">
        <v>7</v>
      </c>
      <c r="B13" s="268"/>
      <c r="C13" s="268" t="s">
        <v>8</v>
      </c>
      <c r="D13" s="268"/>
      <c r="E13" s="268"/>
      <c r="F13" s="268"/>
    </row>
    <row r="14" spans="1:6" ht="12.75" customHeight="1" x14ac:dyDescent="0.25">
      <c r="A14" s="267" t="s">
        <v>20</v>
      </c>
      <c r="B14" s="267"/>
      <c r="C14" s="274">
        <v>44259</v>
      </c>
      <c r="D14" s="267"/>
      <c r="E14" s="267"/>
      <c r="F14" s="267"/>
    </row>
    <row r="15" spans="1:6" ht="12.75" customHeight="1" x14ac:dyDescent="0.25">
      <c r="A15" s="268" t="s">
        <v>21</v>
      </c>
      <c r="B15" s="268"/>
      <c r="C15" s="275">
        <v>44259</v>
      </c>
      <c r="D15" s="268"/>
      <c r="E15" s="268"/>
      <c r="F15" s="268"/>
    </row>
    <row r="16" spans="1:6" ht="12.75" customHeight="1" x14ac:dyDescent="0.25">
      <c r="A16" s="9"/>
      <c r="B16" s="9"/>
      <c r="C16" s="9"/>
      <c r="D16" s="9"/>
      <c r="E16" s="9"/>
      <c r="F16" s="38" t="s">
        <v>24</v>
      </c>
    </row>
    <row r="17" spans="1:6" ht="36" customHeight="1" x14ac:dyDescent="0.25">
      <c r="A17" s="11" t="s">
        <v>25</v>
      </c>
      <c r="B17" s="12" t="s">
        <v>496</v>
      </c>
      <c r="C17" s="12" t="s">
        <v>362</v>
      </c>
      <c r="D17" s="12" t="s">
        <v>497</v>
      </c>
      <c r="E17" s="116" t="s">
        <v>498</v>
      </c>
      <c r="F17" s="13" t="s">
        <v>499</v>
      </c>
    </row>
    <row r="18" spans="1:6" ht="21" x14ac:dyDescent="0.25">
      <c r="A18" s="117" t="s">
        <v>32</v>
      </c>
      <c r="B18" s="118" t="s">
        <v>500</v>
      </c>
      <c r="C18" s="119" t="s">
        <v>32</v>
      </c>
      <c r="D18" s="119"/>
      <c r="E18" s="120">
        <v>0</v>
      </c>
      <c r="F18" s="121">
        <v>0</v>
      </c>
    </row>
    <row r="19" spans="1:6" ht="21" x14ac:dyDescent="0.25">
      <c r="A19" s="117" t="s">
        <v>4</v>
      </c>
      <c r="B19" s="118" t="s">
        <v>501</v>
      </c>
      <c r="C19" s="119" t="s">
        <v>502</v>
      </c>
      <c r="D19" s="119"/>
      <c r="E19" s="120">
        <f>E20+E25+E26</f>
        <v>65404675326</v>
      </c>
      <c r="F19" s="121">
        <f>F20+F25+F26</f>
        <v>156282888021</v>
      </c>
    </row>
    <row r="20" spans="1:6" ht="21" x14ac:dyDescent="0.25">
      <c r="A20" s="122" t="s">
        <v>503</v>
      </c>
      <c r="B20" s="123" t="s">
        <v>504</v>
      </c>
      <c r="C20" s="124" t="s">
        <v>505</v>
      </c>
      <c r="D20" s="124"/>
      <c r="E20" s="125">
        <f>E21+E22+E23+E24</f>
        <v>65404675326</v>
      </c>
      <c r="F20" s="126">
        <f>F21+F22+F23+F24</f>
        <v>156282888021</v>
      </c>
    </row>
    <row r="21" spans="1:6" ht="31.5" x14ac:dyDescent="0.25">
      <c r="A21" s="127"/>
      <c r="B21" s="128" t="s">
        <v>506</v>
      </c>
      <c r="C21" s="129" t="s">
        <v>507</v>
      </c>
      <c r="D21" s="129"/>
      <c r="E21" s="130">
        <v>10837920</v>
      </c>
      <c r="F21" s="131">
        <v>0</v>
      </c>
    </row>
    <row r="22" spans="1:6" ht="21" x14ac:dyDescent="0.25">
      <c r="A22" s="127"/>
      <c r="B22" s="128" t="s">
        <v>508</v>
      </c>
      <c r="C22" s="129" t="s">
        <v>509</v>
      </c>
      <c r="D22" s="129"/>
      <c r="E22" s="130">
        <v>0</v>
      </c>
      <c r="F22" s="131">
        <v>0</v>
      </c>
    </row>
    <row r="23" spans="1:6" ht="21" x14ac:dyDescent="0.25">
      <c r="A23" s="127"/>
      <c r="B23" s="128" t="s">
        <v>82</v>
      </c>
      <c r="C23" s="129" t="s">
        <v>510</v>
      </c>
      <c r="D23" s="129"/>
      <c r="E23" s="130">
        <v>65393837406</v>
      </c>
      <c r="F23" s="131">
        <v>156282888021</v>
      </c>
    </row>
    <row r="24" spans="1:6" ht="31.5" x14ac:dyDescent="0.25">
      <c r="A24" s="127"/>
      <c r="B24" s="128" t="s">
        <v>511</v>
      </c>
      <c r="C24" s="129" t="s">
        <v>512</v>
      </c>
      <c r="D24" s="129"/>
      <c r="E24" s="130">
        <v>0</v>
      </c>
      <c r="F24" s="131">
        <v>0</v>
      </c>
    </row>
    <row r="25" spans="1:6" ht="21" x14ac:dyDescent="0.25">
      <c r="A25" s="122" t="s">
        <v>513</v>
      </c>
      <c r="B25" s="123" t="s">
        <v>514</v>
      </c>
      <c r="C25" s="124" t="s">
        <v>515</v>
      </c>
      <c r="D25" s="124"/>
      <c r="E25" s="125">
        <v>0</v>
      </c>
      <c r="F25" s="126">
        <v>0</v>
      </c>
    </row>
    <row r="26" spans="1:6" ht="21" x14ac:dyDescent="0.25">
      <c r="A26" s="122" t="s">
        <v>516</v>
      </c>
      <c r="B26" s="123" t="s">
        <v>517</v>
      </c>
      <c r="C26" s="124" t="s">
        <v>518</v>
      </c>
      <c r="D26" s="124"/>
      <c r="E26" s="125"/>
      <c r="F26" s="126">
        <v>0</v>
      </c>
    </row>
    <row r="27" spans="1:6" ht="21" x14ac:dyDescent="0.25">
      <c r="A27" s="117" t="s">
        <v>9</v>
      </c>
      <c r="B27" s="118" t="s">
        <v>519</v>
      </c>
      <c r="C27" s="119" t="s">
        <v>520</v>
      </c>
      <c r="D27" s="119"/>
      <c r="E27" s="120">
        <f>E28-E38</f>
        <v>8792806471500</v>
      </c>
      <c r="F27" s="121">
        <f>F28-F38</f>
        <v>6366473276200</v>
      </c>
    </row>
    <row r="28" spans="1:6" ht="21" x14ac:dyDescent="0.25">
      <c r="A28" s="122" t="s">
        <v>521</v>
      </c>
      <c r="B28" s="123" t="s">
        <v>522</v>
      </c>
      <c r="C28" s="124" t="s">
        <v>523</v>
      </c>
      <c r="D28" s="124"/>
      <c r="E28" s="125">
        <f>E29+E30+E31+E32+E33+E34+E35+E36+E37</f>
        <v>8792806471500</v>
      </c>
      <c r="F28" s="126">
        <f>F29+F30+F31+F32+F33+F34+F35+F36+F37</f>
        <v>6366473276200</v>
      </c>
    </row>
    <row r="29" spans="1:6" ht="21" x14ac:dyDescent="0.25">
      <c r="A29" s="127"/>
      <c r="B29" s="128" t="s">
        <v>524</v>
      </c>
      <c r="C29" s="129" t="s">
        <v>525</v>
      </c>
      <c r="D29" s="129"/>
      <c r="E29" s="130">
        <v>8792806471500</v>
      </c>
      <c r="F29" s="131">
        <v>6366473276200</v>
      </c>
    </row>
    <row r="30" spans="1:6" ht="21" x14ac:dyDescent="0.25">
      <c r="A30" s="127"/>
      <c r="B30" s="128" t="s">
        <v>526</v>
      </c>
      <c r="C30" s="129" t="s">
        <v>527</v>
      </c>
      <c r="D30" s="129"/>
      <c r="E30" s="130">
        <v>0</v>
      </c>
      <c r="F30" s="131">
        <v>0</v>
      </c>
    </row>
    <row r="31" spans="1:6" ht="21" x14ac:dyDescent="0.25">
      <c r="A31" s="127"/>
      <c r="B31" s="128" t="s">
        <v>528</v>
      </c>
      <c r="C31" s="129" t="s">
        <v>529</v>
      </c>
      <c r="D31" s="129"/>
      <c r="E31" s="130">
        <v>0</v>
      </c>
      <c r="F31" s="131">
        <v>0</v>
      </c>
    </row>
    <row r="32" spans="1:6" ht="21" x14ac:dyDescent="0.25">
      <c r="A32" s="127"/>
      <c r="B32" s="128" t="s">
        <v>530</v>
      </c>
      <c r="C32" s="129" t="s">
        <v>531</v>
      </c>
      <c r="D32" s="129"/>
      <c r="E32" s="130">
        <v>0</v>
      </c>
      <c r="F32" s="131">
        <v>0</v>
      </c>
    </row>
    <row r="33" spans="1:6" ht="21" x14ac:dyDescent="0.25">
      <c r="A33" s="127"/>
      <c r="B33" s="128" t="s">
        <v>532</v>
      </c>
      <c r="C33" s="129" t="s">
        <v>533</v>
      </c>
      <c r="D33" s="129"/>
      <c r="E33" s="130">
        <v>0</v>
      </c>
      <c r="F33" s="131">
        <v>0</v>
      </c>
    </row>
    <row r="34" spans="1:6" ht="21" x14ac:dyDescent="0.25">
      <c r="A34" s="127"/>
      <c r="B34" s="128" t="s">
        <v>534</v>
      </c>
      <c r="C34" s="129" t="s">
        <v>535</v>
      </c>
      <c r="D34" s="129"/>
      <c r="E34" s="130">
        <v>0</v>
      </c>
      <c r="F34" s="131">
        <v>0</v>
      </c>
    </row>
    <row r="35" spans="1:6" ht="21" x14ac:dyDescent="0.25">
      <c r="A35" s="127"/>
      <c r="B35" s="128" t="s">
        <v>66</v>
      </c>
      <c r="C35" s="129" t="s">
        <v>536</v>
      </c>
      <c r="D35" s="129"/>
      <c r="E35" s="130">
        <v>0</v>
      </c>
      <c r="F35" s="131">
        <v>0</v>
      </c>
    </row>
    <row r="36" spans="1:6" ht="21" x14ac:dyDescent="0.25">
      <c r="A36" s="127"/>
      <c r="B36" s="128" t="s">
        <v>537</v>
      </c>
      <c r="C36" s="129" t="s">
        <v>538</v>
      </c>
      <c r="D36" s="129"/>
      <c r="E36" s="130">
        <v>0</v>
      </c>
      <c r="F36" s="131">
        <v>0</v>
      </c>
    </row>
    <row r="37" spans="1:6" ht="21" x14ac:dyDescent="0.25">
      <c r="A37" s="127"/>
      <c r="B37" s="128" t="s">
        <v>303</v>
      </c>
      <c r="C37" s="129" t="s">
        <v>539</v>
      </c>
      <c r="D37" s="129"/>
      <c r="E37" s="130">
        <v>0</v>
      </c>
      <c r="F37" s="131">
        <v>0</v>
      </c>
    </row>
    <row r="38" spans="1:6" ht="21" x14ac:dyDescent="0.25">
      <c r="A38" s="122" t="s">
        <v>540</v>
      </c>
      <c r="B38" s="123" t="s">
        <v>541</v>
      </c>
      <c r="C38" s="124" t="s">
        <v>542</v>
      </c>
      <c r="D38" s="124"/>
      <c r="E38" s="125">
        <v>0</v>
      </c>
      <c r="F38" s="126">
        <v>0</v>
      </c>
    </row>
    <row r="39" spans="1:6" ht="21" x14ac:dyDescent="0.25">
      <c r="A39" s="117" t="s">
        <v>14</v>
      </c>
      <c r="B39" s="118" t="s">
        <v>543</v>
      </c>
      <c r="C39" s="119" t="s">
        <v>544</v>
      </c>
      <c r="D39" s="119"/>
      <c r="E39" s="120">
        <f>E40+E42+E56-E64</f>
        <v>0</v>
      </c>
      <c r="F39" s="121">
        <f>F40+F42+F56-F64</f>
        <v>189584795000</v>
      </c>
    </row>
    <row r="40" spans="1:6" ht="21" x14ac:dyDescent="0.25">
      <c r="A40" s="122" t="s">
        <v>545</v>
      </c>
      <c r="B40" s="123" t="s">
        <v>546</v>
      </c>
      <c r="C40" s="124" t="s">
        <v>547</v>
      </c>
      <c r="D40" s="124"/>
      <c r="E40" s="125">
        <v>0</v>
      </c>
      <c r="F40" s="126">
        <v>189584795000</v>
      </c>
    </row>
    <row r="41" spans="1:6" ht="21" x14ac:dyDescent="0.25">
      <c r="A41" s="122"/>
      <c r="B41" s="123" t="s">
        <v>548</v>
      </c>
      <c r="C41" s="124" t="s">
        <v>549</v>
      </c>
      <c r="D41" s="124"/>
      <c r="E41" s="125">
        <v>0</v>
      </c>
      <c r="F41" s="126">
        <v>0</v>
      </c>
    </row>
    <row r="42" spans="1:6" ht="21" x14ac:dyDescent="0.25">
      <c r="A42" s="122" t="s">
        <v>550</v>
      </c>
      <c r="B42" s="123" t="s">
        <v>551</v>
      </c>
      <c r="C42" s="124" t="s">
        <v>552</v>
      </c>
      <c r="D42" s="124"/>
      <c r="E42" s="125">
        <f>E43+E49+E50</f>
        <v>0</v>
      </c>
      <c r="F42" s="126">
        <f>F43+F49+F50</f>
        <v>0</v>
      </c>
    </row>
    <row r="43" spans="1:6" ht="31.5" x14ac:dyDescent="0.25">
      <c r="A43" s="122" t="s">
        <v>553</v>
      </c>
      <c r="B43" s="123" t="s">
        <v>554</v>
      </c>
      <c r="C43" s="124" t="s">
        <v>555</v>
      </c>
      <c r="D43" s="124"/>
      <c r="E43" s="125">
        <f>E44+E45+E46+E47+E48</f>
        <v>0</v>
      </c>
      <c r="F43" s="126">
        <f>F44+F45+F46+F47+F48</f>
        <v>0</v>
      </c>
    </row>
    <row r="44" spans="1:6" ht="21" x14ac:dyDescent="0.25">
      <c r="A44" s="127"/>
      <c r="B44" s="128" t="s">
        <v>556</v>
      </c>
      <c r="C44" s="129" t="s">
        <v>557</v>
      </c>
      <c r="D44" s="129"/>
      <c r="E44" s="130">
        <v>0</v>
      </c>
      <c r="F44" s="131">
        <v>0</v>
      </c>
    </row>
    <row r="45" spans="1:6" ht="21" x14ac:dyDescent="0.25">
      <c r="A45" s="127"/>
      <c r="B45" s="128" t="s">
        <v>558</v>
      </c>
      <c r="C45" s="129" t="s">
        <v>559</v>
      </c>
      <c r="D45" s="129"/>
      <c r="E45" s="130">
        <v>0</v>
      </c>
      <c r="F45" s="131">
        <v>0</v>
      </c>
    </row>
    <row r="46" spans="1:6" ht="31.5" x14ac:dyDescent="0.25">
      <c r="A46" s="127"/>
      <c r="B46" s="128" t="s">
        <v>560</v>
      </c>
      <c r="C46" s="129" t="s">
        <v>561</v>
      </c>
      <c r="D46" s="129"/>
      <c r="E46" s="130">
        <v>0</v>
      </c>
      <c r="F46" s="131">
        <v>0</v>
      </c>
    </row>
    <row r="47" spans="1:6" ht="31.5" x14ac:dyDescent="0.25">
      <c r="A47" s="127"/>
      <c r="B47" s="128" t="s">
        <v>562</v>
      </c>
      <c r="C47" s="129" t="s">
        <v>563</v>
      </c>
      <c r="D47" s="129"/>
      <c r="E47" s="130">
        <v>0</v>
      </c>
      <c r="F47" s="131">
        <v>0</v>
      </c>
    </row>
    <row r="48" spans="1:6" ht="21" x14ac:dyDescent="0.25">
      <c r="A48" s="127"/>
      <c r="B48" s="128" t="s">
        <v>564</v>
      </c>
      <c r="C48" s="129" t="s">
        <v>565</v>
      </c>
      <c r="D48" s="129"/>
      <c r="E48" s="130">
        <v>0</v>
      </c>
      <c r="F48" s="131">
        <v>0</v>
      </c>
    </row>
    <row r="49" spans="1:6" ht="42" x14ac:dyDescent="0.25">
      <c r="A49" s="122"/>
      <c r="B49" s="123" t="s">
        <v>566</v>
      </c>
      <c r="C49" s="124" t="s">
        <v>567</v>
      </c>
      <c r="D49" s="124"/>
      <c r="E49" s="125">
        <v>0</v>
      </c>
      <c r="F49" s="126">
        <v>0</v>
      </c>
    </row>
    <row r="50" spans="1:6" ht="21" x14ac:dyDescent="0.25">
      <c r="A50" s="122" t="s">
        <v>568</v>
      </c>
      <c r="B50" s="123" t="s">
        <v>569</v>
      </c>
      <c r="C50" s="124" t="s">
        <v>570</v>
      </c>
      <c r="D50" s="124"/>
      <c r="E50" s="125">
        <f>E51+E52+E53+E54+E55</f>
        <v>0</v>
      </c>
      <c r="F50" s="126">
        <f>F51+F52+F53+F54+F55</f>
        <v>0</v>
      </c>
    </row>
    <row r="51" spans="1:6" ht="21" x14ac:dyDescent="0.25">
      <c r="A51" s="127"/>
      <c r="B51" s="128" t="s">
        <v>571</v>
      </c>
      <c r="C51" s="129" t="s">
        <v>572</v>
      </c>
      <c r="D51" s="129"/>
      <c r="E51" s="130">
        <v>0</v>
      </c>
      <c r="F51" s="131">
        <v>0</v>
      </c>
    </row>
    <row r="52" spans="1:6" ht="21" x14ac:dyDescent="0.25">
      <c r="A52" s="127"/>
      <c r="B52" s="128" t="s">
        <v>573</v>
      </c>
      <c r="C52" s="129" t="s">
        <v>574</v>
      </c>
      <c r="D52" s="129"/>
      <c r="E52" s="130">
        <v>0</v>
      </c>
      <c r="F52" s="131">
        <v>0</v>
      </c>
    </row>
    <row r="53" spans="1:6" ht="31.5" x14ac:dyDescent="0.25">
      <c r="A53" s="127"/>
      <c r="B53" s="128" t="s">
        <v>575</v>
      </c>
      <c r="C53" s="129" t="s">
        <v>576</v>
      </c>
      <c r="D53" s="129"/>
      <c r="E53" s="130">
        <v>0</v>
      </c>
      <c r="F53" s="131">
        <v>0</v>
      </c>
    </row>
    <row r="54" spans="1:6" ht="31.5" x14ac:dyDescent="0.25">
      <c r="A54" s="127"/>
      <c r="B54" s="128" t="s">
        <v>577</v>
      </c>
      <c r="C54" s="129" t="s">
        <v>578</v>
      </c>
      <c r="D54" s="129"/>
      <c r="E54" s="130">
        <v>0</v>
      </c>
      <c r="F54" s="131">
        <v>0</v>
      </c>
    </row>
    <row r="55" spans="1:6" ht="21" x14ac:dyDescent="0.25">
      <c r="A55" s="127"/>
      <c r="B55" s="128" t="s">
        <v>579</v>
      </c>
      <c r="C55" s="129" t="s">
        <v>580</v>
      </c>
      <c r="D55" s="129"/>
      <c r="E55" s="130">
        <v>0</v>
      </c>
      <c r="F55" s="131">
        <v>0</v>
      </c>
    </row>
    <row r="56" spans="1:6" ht="21" x14ac:dyDescent="0.25">
      <c r="A56" s="122" t="s">
        <v>581</v>
      </c>
      <c r="B56" s="123" t="s">
        <v>582</v>
      </c>
      <c r="C56" s="124" t="s">
        <v>583</v>
      </c>
      <c r="D56" s="124"/>
      <c r="E56" s="125">
        <f>E57+E58+E63</f>
        <v>0</v>
      </c>
      <c r="F56" s="126">
        <f>F57+F58+F63</f>
        <v>0</v>
      </c>
    </row>
    <row r="57" spans="1:6" ht="31.5" x14ac:dyDescent="0.25">
      <c r="A57" s="127"/>
      <c r="B57" s="128" t="s">
        <v>584</v>
      </c>
      <c r="C57" s="129" t="s">
        <v>585</v>
      </c>
      <c r="D57" s="129"/>
      <c r="E57" s="130">
        <v>0</v>
      </c>
      <c r="F57" s="131">
        <v>0</v>
      </c>
    </row>
    <row r="58" spans="1:6" ht="21" x14ac:dyDescent="0.25">
      <c r="A58" s="127"/>
      <c r="B58" s="128" t="s">
        <v>70</v>
      </c>
      <c r="C58" s="129" t="s">
        <v>586</v>
      </c>
      <c r="D58" s="129"/>
      <c r="E58" s="130">
        <f>E59+E60+E61+E62</f>
        <v>0</v>
      </c>
      <c r="F58" s="131">
        <f>F59+F60+F61+F62</f>
        <v>0</v>
      </c>
    </row>
    <row r="59" spans="1:6" ht="21" x14ac:dyDescent="0.25">
      <c r="A59" s="127"/>
      <c r="B59" s="128" t="s">
        <v>587</v>
      </c>
      <c r="C59" s="129" t="s">
        <v>588</v>
      </c>
      <c r="D59" s="129"/>
      <c r="E59" s="130">
        <v>0</v>
      </c>
      <c r="F59" s="131">
        <v>0</v>
      </c>
    </row>
    <row r="60" spans="1:6" ht="21" x14ac:dyDescent="0.25">
      <c r="A60" s="127"/>
      <c r="B60" s="128" t="s">
        <v>589</v>
      </c>
      <c r="C60" s="129" t="s">
        <v>590</v>
      </c>
      <c r="D60" s="129"/>
      <c r="E60" s="130">
        <v>0</v>
      </c>
      <c r="F60" s="131">
        <v>0</v>
      </c>
    </row>
    <row r="61" spans="1:6" ht="21" x14ac:dyDescent="0.25">
      <c r="A61" s="127"/>
      <c r="B61" s="128" t="s">
        <v>591</v>
      </c>
      <c r="C61" s="129" t="s">
        <v>592</v>
      </c>
      <c r="D61" s="129"/>
      <c r="E61" s="130">
        <v>0</v>
      </c>
      <c r="F61" s="131">
        <v>0</v>
      </c>
    </row>
    <row r="62" spans="1:6" ht="31.5" x14ac:dyDescent="0.25">
      <c r="A62" s="127"/>
      <c r="B62" s="128" t="s">
        <v>593</v>
      </c>
      <c r="C62" s="129" t="s">
        <v>594</v>
      </c>
      <c r="D62" s="129"/>
      <c r="E62" s="130">
        <v>0</v>
      </c>
      <c r="F62" s="131">
        <v>0</v>
      </c>
    </row>
    <row r="63" spans="1:6" ht="21" x14ac:dyDescent="0.25">
      <c r="A63" s="127"/>
      <c r="B63" s="128" t="s">
        <v>595</v>
      </c>
      <c r="C63" s="129" t="s">
        <v>596</v>
      </c>
      <c r="D63" s="129"/>
      <c r="E63" s="130">
        <v>0</v>
      </c>
      <c r="F63" s="131">
        <v>0</v>
      </c>
    </row>
    <row r="64" spans="1:6" ht="21" x14ac:dyDescent="0.25">
      <c r="A64" s="122" t="s">
        <v>597</v>
      </c>
      <c r="B64" s="123" t="s">
        <v>598</v>
      </c>
      <c r="C64" s="124" t="s">
        <v>599</v>
      </c>
      <c r="D64" s="124"/>
      <c r="E64" s="125">
        <v>0</v>
      </c>
      <c r="F64" s="126">
        <v>0</v>
      </c>
    </row>
    <row r="65" spans="1:6" ht="21" x14ac:dyDescent="0.25">
      <c r="A65" s="117"/>
      <c r="B65" s="118" t="s">
        <v>600</v>
      </c>
      <c r="C65" s="119" t="s">
        <v>601</v>
      </c>
      <c r="D65" s="119"/>
      <c r="E65" s="120">
        <f>E19+E27+E39</f>
        <v>8858211146826</v>
      </c>
      <c r="F65" s="121">
        <f>F19+F27+F39</f>
        <v>6712340959221</v>
      </c>
    </row>
    <row r="66" spans="1:6" ht="21" x14ac:dyDescent="0.25">
      <c r="A66" s="117" t="s">
        <v>34</v>
      </c>
      <c r="B66" s="118" t="s">
        <v>602</v>
      </c>
      <c r="C66" s="119" t="s">
        <v>34</v>
      </c>
      <c r="D66" s="119"/>
      <c r="E66" s="120">
        <v>0</v>
      </c>
      <c r="F66" s="121">
        <v>0</v>
      </c>
    </row>
    <row r="67" spans="1:6" ht="21" x14ac:dyDescent="0.25">
      <c r="A67" s="122" t="s">
        <v>4</v>
      </c>
      <c r="B67" s="123" t="s">
        <v>603</v>
      </c>
      <c r="C67" s="124" t="s">
        <v>604</v>
      </c>
      <c r="D67" s="124"/>
      <c r="E67" s="125">
        <v>0</v>
      </c>
      <c r="F67" s="126">
        <v>0</v>
      </c>
    </row>
    <row r="68" spans="1:6" ht="21" x14ac:dyDescent="0.25">
      <c r="A68" s="122"/>
      <c r="B68" s="123" t="s">
        <v>605</v>
      </c>
      <c r="C68" s="124" t="s">
        <v>606</v>
      </c>
      <c r="D68" s="124"/>
      <c r="E68" s="125">
        <v>0</v>
      </c>
      <c r="F68" s="126">
        <v>0</v>
      </c>
    </row>
    <row r="69" spans="1:6" ht="21" x14ac:dyDescent="0.25">
      <c r="A69" s="122"/>
      <c r="B69" s="123" t="s">
        <v>607</v>
      </c>
      <c r="C69" s="124" t="s">
        <v>608</v>
      </c>
      <c r="D69" s="124"/>
      <c r="E69" s="125">
        <v>0</v>
      </c>
      <c r="F69" s="126">
        <v>0</v>
      </c>
    </row>
    <row r="70" spans="1:6" ht="21" x14ac:dyDescent="0.25">
      <c r="A70" s="122" t="s">
        <v>9</v>
      </c>
      <c r="B70" s="123" t="s">
        <v>609</v>
      </c>
      <c r="C70" s="124" t="s">
        <v>610</v>
      </c>
      <c r="D70" s="124"/>
      <c r="E70" s="125">
        <v>0</v>
      </c>
      <c r="F70" s="126">
        <v>77068200000</v>
      </c>
    </row>
    <row r="71" spans="1:6" ht="42" x14ac:dyDescent="0.25">
      <c r="A71" s="122" t="s">
        <v>14</v>
      </c>
      <c r="B71" s="123" t="s">
        <v>611</v>
      </c>
      <c r="C71" s="124" t="s">
        <v>612</v>
      </c>
      <c r="D71" s="124"/>
      <c r="E71" s="125">
        <f>E72+E73</f>
        <v>0</v>
      </c>
      <c r="F71" s="126">
        <f>F72+F73</f>
        <v>0</v>
      </c>
    </row>
    <row r="72" spans="1:6" ht="21" x14ac:dyDescent="0.25">
      <c r="A72" s="127"/>
      <c r="B72" s="128" t="s">
        <v>613</v>
      </c>
      <c r="C72" s="129" t="s">
        <v>614</v>
      </c>
      <c r="D72" s="129"/>
      <c r="E72" s="130">
        <v>0</v>
      </c>
      <c r="F72" s="131">
        <v>0</v>
      </c>
    </row>
    <row r="73" spans="1:6" ht="31.5" x14ac:dyDescent="0.25">
      <c r="A73" s="127"/>
      <c r="B73" s="128" t="s">
        <v>615</v>
      </c>
      <c r="C73" s="129" t="s">
        <v>616</v>
      </c>
      <c r="D73" s="129"/>
      <c r="E73" s="130">
        <v>0</v>
      </c>
      <c r="F73" s="131">
        <v>0</v>
      </c>
    </row>
    <row r="74" spans="1:6" ht="21" x14ac:dyDescent="0.25">
      <c r="A74" s="122" t="s">
        <v>19</v>
      </c>
      <c r="B74" s="123" t="s">
        <v>617</v>
      </c>
      <c r="C74" s="124" t="s">
        <v>618</v>
      </c>
      <c r="D74" s="124"/>
      <c r="E74" s="125">
        <v>0</v>
      </c>
      <c r="F74" s="126">
        <v>0</v>
      </c>
    </row>
    <row r="75" spans="1:6" ht="21" x14ac:dyDescent="0.25">
      <c r="A75" s="122" t="s">
        <v>40</v>
      </c>
      <c r="B75" s="123" t="s">
        <v>619</v>
      </c>
      <c r="C75" s="124" t="s">
        <v>620</v>
      </c>
      <c r="D75" s="124"/>
      <c r="E75" s="125">
        <v>0</v>
      </c>
      <c r="F75" s="126">
        <v>0</v>
      </c>
    </row>
    <row r="76" spans="1:6" ht="21" x14ac:dyDescent="0.25">
      <c r="A76" s="122" t="s">
        <v>42</v>
      </c>
      <c r="B76" s="123" t="s">
        <v>621</v>
      </c>
      <c r="C76" s="124" t="s">
        <v>622</v>
      </c>
      <c r="D76" s="124"/>
      <c r="E76" s="125">
        <f>E77+E78+E79+E80+E81+E82+E83</f>
        <v>110609606</v>
      </c>
      <c r="F76" s="126">
        <f>F77+F78+F79+F80+F81+F82+F83</f>
        <v>501460344</v>
      </c>
    </row>
    <row r="77" spans="1:6" ht="21" x14ac:dyDescent="0.25">
      <c r="A77" s="127"/>
      <c r="B77" s="128" t="s">
        <v>623</v>
      </c>
      <c r="C77" s="129" t="s">
        <v>624</v>
      </c>
      <c r="D77" s="129"/>
      <c r="E77" s="130">
        <v>0</v>
      </c>
      <c r="F77" s="131">
        <v>399979500</v>
      </c>
    </row>
    <row r="78" spans="1:6" ht="21" x14ac:dyDescent="0.25">
      <c r="A78" s="127"/>
      <c r="B78" s="128" t="s">
        <v>625</v>
      </c>
      <c r="C78" s="129" t="s">
        <v>626</v>
      </c>
      <c r="D78" s="129"/>
      <c r="E78" s="130">
        <v>94780826</v>
      </c>
      <c r="F78" s="131">
        <v>86342467</v>
      </c>
    </row>
    <row r="79" spans="1:6" ht="21" x14ac:dyDescent="0.25">
      <c r="A79" s="127"/>
      <c r="B79" s="128" t="s">
        <v>627</v>
      </c>
      <c r="C79" s="129" t="s">
        <v>628</v>
      </c>
      <c r="D79" s="129"/>
      <c r="E79" s="130">
        <v>0</v>
      </c>
      <c r="F79" s="131">
        <v>0</v>
      </c>
    </row>
    <row r="80" spans="1:6" ht="21" x14ac:dyDescent="0.25">
      <c r="A80" s="127"/>
      <c r="B80" s="128" t="s">
        <v>629</v>
      </c>
      <c r="C80" s="129" t="s">
        <v>630</v>
      </c>
      <c r="D80" s="129"/>
      <c r="E80" s="130">
        <v>0</v>
      </c>
      <c r="F80" s="131">
        <v>0</v>
      </c>
    </row>
    <row r="81" spans="1:6" ht="31.5" x14ac:dyDescent="0.25">
      <c r="A81" s="127"/>
      <c r="B81" s="128" t="s">
        <v>631</v>
      </c>
      <c r="C81" s="129" t="s">
        <v>632</v>
      </c>
      <c r="D81" s="129"/>
      <c r="E81" s="130">
        <v>10454775</v>
      </c>
      <c r="F81" s="131">
        <v>9764372</v>
      </c>
    </row>
    <row r="82" spans="1:6" ht="21" x14ac:dyDescent="0.25">
      <c r="A82" s="127"/>
      <c r="B82" s="128" t="s">
        <v>633</v>
      </c>
      <c r="C82" s="129" t="s">
        <v>634</v>
      </c>
      <c r="D82" s="129"/>
      <c r="E82" s="130">
        <v>0</v>
      </c>
      <c r="F82" s="131">
        <v>0</v>
      </c>
    </row>
    <row r="83" spans="1:6" ht="21" x14ac:dyDescent="0.25">
      <c r="A83" s="127"/>
      <c r="B83" s="128" t="s">
        <v>635</v>
      </c>
      <c r="C83" s="129" t="s">
        <v>636</v>
      </c>
      <c r="D83" s="129"/>
      <c r="E83" s="130">
        <v>5374005</v>
      </c>
      <c r="F83" s="131">
        <v>5374005</v>
      </c>
    </row>
    <row r="84" spans="1:6" ht="21" x14ac:dyDescent="0.25">
      <c r="A84" s="122" t="s">
        <v>44</v>
      </c>
      <c r="B84" s="123" t="s">
        <v>637</v>
      </c>
      <c r="C84" s="124" t="s">
        <v>638</v>
      </c>
      <c r="D84" s="124"/>
      <c r="E84" s="125">
        <v>0</v>
      </c>
      <c r="F84" s="126">
        <v>0</v>
      </c>
    </row>
    <row r="85" spans="1:6" ht="21" x14ac:dyDescent="0.25">
      <c r="A85" s="122" t="s">
        <v>46</v>
      </c>
      <c r="B85" s="123" t="s">
        <v>639</v>
      </c>
      <c r="C85" s="124" t="s">
        <v>640</v>
      </c>
      <c r="D85" s="124"/>
      <c r="E85" s="125">
        <v>0</v>
      </c>
      <c r="F85" s="126">
        <v>0</v>
      </c>
    </row>
    <row r="86" spans="1:6" ht="21" x14ac:dyDescent="0.25">
      <c r="A86" s="122" t="s">
        <v>48</v>
      </c>
      <c r="B86" s="123" t="s">
        <v>641</v>
      </c>
      <c r="C86" s="124" t="s">
        <v>642</v>
      </c>
      <c r="D86" s="124"/>
      <c r="E86" s="125">
        <f>E87+E88+E93+E94+E95+E96+E97</f>
        <v>6648976442</v>
      </c>
      <c r="F86" s="126">
        <f>F87+F88+F93+F94+F95+F96+F97</f>
        <v>5173406305</v>
      </c>
    </row>
    <row r="87" spans="1:6" ht="21" x14ac:dyDescent="0.25">
      <c r="A87" s="127" t="s">
        <v>643</v>
      </c>
      <c r="B87" s="128" t="s">
        <v>644</v>
      </c>
      <c r="C87" s="129" t="s">
        <v>645</v>
      </c>
      <c r="D87" s="129"/>
      <c r="E87" s="130">
        <v>5047597452</v>
      </c>
      <c r="F87" s="131">
        <v>4232955988</v>
      </c>
    </row>
    <row r="88" spans="1:6" ht="21" x14ac:dyDescent="0.25">
      <c r="A88" s="127" t="s">
        <v>646</v>
      </c>
      <c r="B88" s="128" t="s">
        <v>647</v>
      </c>
      <c r="C88" s="129" t="s">
        <v>648</v>
      </c>
      <c r="D88" s="129"/>
      <c r="E88" s="130">
        <f>E89+E90+E91</f>
        <v>129889937</v>
      </c>
      <c r="F88" s="131">
        <f>F89+F90+F91</f>
        <v>109523898</v>
      </c>
    </row>
    <row r="89" spans="1:6" ht="21" x14ac:dyDescent="0.25">
      <c r="A89" s="127"/>
      <c r="B89" s="128" t="s">
        <v>649</v>
      </c>
      <c r="C89" s="129" t="s">
        <v>650</v>
      </c>
      <c r="D89" s="129"/>
      <c r="E89" s="130">
        <v>126189937</v>
      </c>
      <c r="F89" s="131">
        <v>105823898</v>
      </c>
    </row>
    <row r="90" spans="1:6" ht="21" x14ac:dyDescent="0.25">
      <c r="A90" s="127"/>
      <c r="B90" s="128" t="s">
        <v>651</v>
      </c>
      <c r="C90" s="129" t="s">
        <v>652</v>
      </c>
      <c r="D90" s="129"/>
      <c r="E90" s="130">
        <v>3700000</v>
      </c>
      <c r="F90" s="131">
        <v>3700000</v>
      </c>
    </row>
    <row r="91" spans="1:6" ht="21" x14ac:dyDescent="0.25">
      <c r="A91" s="127"/>
      <c r="B91" s="128" t="s">
        <v>653</v>
      </c>
      <c r="C91" s="129" t="s">
        <v>654</v>
      </c>
      <c r="D91" s="129"/>
      <c r="E91" s="130">
        <v>0</v>
      </c>
      <c r="F91" s="131">
        <v>0</v>
      </c>
    </row>
    <row r="92" spans="1:6" ht="42" x14ac:dyDescent="0.25">
      <c r="A92" s="127"/>
      <c r="B92" s="128" t="s">
        <v>655</v>
      </c>
      <c r="C92" s="129" t="s">
        <v>656</v>
      </c>
      <c r="D92" s="129"/>
      <c r="E92" s="130">
        <v>0</v>
      </c>
      <c r="F92" s="131">
        <v>0</v>
      </c>
    </row>
    <row r="93" spans="1:6" ht="21" x14ac:dyDescent="0.25">
      <c r="A93" s="127" t="s">
        <v>657</v>
      </c>
      <c r="B93" s="128" t="s">
        <v>658</v>
      </c>
      <c r="C93" s="129" t="s">
        <v>659</v>
      </c>
      <c r="D93" s="129"/>
      <c r="E93" s="130">
        <v>138808931</v>
      </c>
      <c r="F93" s="131">
        <v>116406287</v>
      </c>
    </row>
    <row r="94" spans="1:6" ht="21" x14ac:dyDescent="0.25">
      <c r="A94" s="127" t="s">
        <v>660</v>
      </c>
      <c r="B94" s="128" t="s">
        <v>661</v>
      </c>
      <c r="C94" s="129" t="s">
        <v>662</v>
      </c>
      <c r="D94" s="129"/>
      <c r="E94" s="130">
        <v>277617859</v>
      </c>
      <c r="F94" s="131">
        <v>232812582</v>
      </c>
    </row>
    <row r="95" spans="1:6" ht="21" x14ac:dyDescent="0.25">
      <c r="A95" s="127" t="s">
        <v>663</v>
      </c>
      <c r="B95" s="128" t="s">
        <v>664</v>
      </c>
      <c r="C95" s="129" t="s">
        <v>665</v>
      </c>
      <c r="D95" s="129"/>
      <c r="E95" s="130">
        <v>11000000</v>
      </c>
      <c r="F95" s="131">
        <v>5500000</v>
      </c>
    </row>
    <row r="96" spans="1:6" ht="42" x14ac:dyDescent="0.25">
      <c r="A96" s="127" t="s">
        <v>666</v>
      </c>
      <c r="B96" s="128" t="s">
        <v>667</v>
      </c>
      <c r="C96" s="129" t="s">
        <v>668</v>
      </c>
      <c r="D96" s="129"/>
      <c r="E96" s="130">
        <v>580034589</v>
      </c>
      <c r="F96" s="131">
        <v>264559748</v>
      </c>
    </row>
    <row r="97" spans="1:6" ht="21" x14ac:dyDescent="0.25">
      <c r="A97" s="127" t="s">
        <v>669</v>
      </c>
      <c r="B97" s="128" t="s">
        <v>670</v>
      </c>
      <c r="C97" s="129" t="s">
        <v>671</v>
      </c>
      <c r="D97" s="129"/>
      <c r="E97" s="130">
        <v>464027674</v>
      </c>
      <c r="F97" s="131">
        <v>211647802</v>
      </c>
    </row>
    <row r="98" spans="1:6" ht="21" x14ac:dyDescent="0.25">
      <c r="A98" s="122" t="s">
        <v>50</v>
      </c>
      <c r="B98" s="123" t="s">
        <v>672</v>
      </c>
      <c r="C98" s="124" t="s">
        <v>673</v>
      </c>
      <c r="D98" s="124"/>
      <c r="E98" s="125">
        <f>E99+E100+E101</f>
        <v>0</v>
      </c>
      <c r="F98" s="126">
        <f>F99+F100+F101</f>
        <v>0</v>
      </c>
    </row>
    <row r="99" spans="1:6" ht="21" x14ac:dyDescent="0.25">
      <c r="A99" s="127" t="s">
        <v>674</v>
      </c>
      <c r="B99" s="128" t="s">
        <v>675</v>
      </c>
      <c r="C99" s="129" t="s">
        <v>676</v>
      </c>
      <c r="D99" s="129"/>
      <c r="E99" s="130">
        <v>0</v>
      </c>
      <c r="F99" s="131">
        <v>0</v>
      </c>
    </row>
    <row r="100" spans="1:6" ht="31.5" x14ac:dyDescent="0.25">
      <c r="A100" s="127" t="s">
        <v>677</v>
      </c>
      <c r="B100" s="128" t="s">
        <v>678</v>
      </c>
      <c r="C100" s="129" t="s">
        <v>679</v>
      </c>
      <c r="D100" s="129"/>
      <c r="E100" s="130">
        <v>0</v>
      </c>
      <c r="F100" s="131">
        <v>0</v>
      </c>
    </row>
    <row r="101" spans="1:6" ht="21" x14ac:dyDescent="0.25">
      <c r="A101" s="127" t="s">
        <v>680</v>
      </c>
      <c r="B101" s="128" t="s">
        <v>681</v>
      </c>
      <c r="C101" s="129" t="s">
        <v>682</v>
      </c>
      <c r="D101" s="129"/>
      <c r="E101" s="130">
        <f>E102+E103+E104+E105+E106</f>
        <v>0</v>
      </c>
      <c r="F101" s="131">
        <f>F102+F103+F104+F105+F106</f>
        <v>0</v>
      </c>
    </row>
    <row r="102" spans="1:6" ht="31.5" x14ac:dyDescent="0.25">
      <c r="A102" s="127"/>
      <c r="B102" s="128" t="s">
        <v>683</v>
      </c>
      <c r="C102" s="129" t="s">
        <v>684</v>
      </c>
      <c r="D102" s="129"/>
      <c r="E102" s="130">
        <v>0</v>
      </c>
      <c r="F102" s="131">
        <v>0</v>
      </c>
    </row>
    <row r="103" spans="1:6" ht="21" x14ac:dyDescent="0.25">
      <c r="A103" s="127"/>
      <c r="B103" s="128" t="s">
        <v>685</v>
      </c>
      <c r="C103" s="129" t="s">
        <v>686</v>
      </c>
      <c r="D103" s="129"/>
      <c r="E103" s="130">
        <v>0</v>
      </c>
      <c r="F103" s="131">
        <v>0</v>
      </c>
    </row>
    <row r="104" spans="1:6" ht="21" x14ac:dyDescent="0.25">
      <c r="A104" s="122"/>
      <c r="B104" s="123" t="s">
        <v>687</v>
      </c>
      <c r="C104" s="124" t="s">
        <v>688</v>
      </c>
      <c r="D104" s="124"/>
      <c r="E104" s="125">
        <v>0</v>
      </c>
      <c r="F104" s="126">
        <v>0</v>
      </c>
    </row>
    <row r="105" spans="1:6" ht="21" x14ac:dyDescent="0.25">
      <c r="A105" s="127"/>
      <c r="B105" s="128" t="s">
        <v>689</v>
      </c>
      <c r="C105" s="129" t="s">
        <v>690</v>
      </c>
      <c r="D105" s="129"/>
      <c r="E105" s="130">
        <v>0</v>
      </c>
      <c r="F105" s="131">
        <v>0</v>
      </c>
    </row>
    <row r="106" spans="1:6" ht="21" x14ac:dyDescent="0.25">
      <c r="A106" s="127"/>
      <c r="B106" s="128" t="s">
        <v>691</v>
      </c>
      <c r="C106" s="129" t="s">
        <v>692</v>
      </c>
      <c r="D106" s="129"/>
      <c r="E106" s="130">
        <v>0</v>
      </c>
      <c r="F106" s="131">
        <v>0</v>
      </c>
    </row>
    <row r="107" spans="1:6" ht="21" x14ac:dyDescent="0.25">
      <c r="A107" s="117"/>
      <c r="B107" s="118" t="s">
        <v>693</v>
      </c>
      <c r="C107" s="119" t="s">
        <v>694</v>
      </c>
      <c r="D107" s="119"/>
      <c r="E107" s="120">
        <f>E67+E70+E71+E74+E75+E76+E84+E85+E86+E98</f>
        <v>6759586048</v>
      </c>
      <c r="F107" s="121">
        <f>F67+F70+F71+F74+F75+F76+F84+F85+F86+F98</f>
        <v>82743066649</v>
      </c>
    </row>
    <row r="108" spans="1:6" ht="42" x14ac:dyDescent="0.25">
      <c r="A108" s="117" t="s">
        <v>59</v>
      </c>
      <c r="B108" s="118" t="s">
        <v>695</v>
      </c>
      <c r="C108" s="119" t="s">
        <v>696</v>
      </c>
      <c r="D108" s="119"/>
      <c r="E108" s="120">
        <f>E65-E107</f>
        <v>8851451560778</v>
      </c>
      <c r="F108" s="121">
        <f>F65-F107</f>
        <v>6629597892572</v>
      </c>
    </row>
    <row r="109" spans="1:6" ht="21" x14ac:dyDescent="0.25">
      <c r="A109" s="122" t="s">
        <v>4</v>
      </c>
      <c r="B109" s="123" t="s">
        <v>697</v>
      </c>
      <c r="C109" s="124" t="s">
        <v>698</v>
      </c>
      <c r="D109" s="124"/>
      <c r="E109" s="125">
        <f>E110+E111</f>
        <v>4513000000000</v>
      </c>
      <c r="F109" s="126">
        <f>F110+F111</f>
        <v>3834000000000</v>
      </c>
    </row>
    <row r="110" spans="1:6" ht="21" x14ac:dyDescent="0.25">
      <c r="A110" s="122" t="s">
        <v>503</v>
      </c>
      <c r="B110" s="123" t="s">
        <v>699</v>
      </c>
      <c r="C110" s="124" t="s">
        <v>700</v>
      </c>
      <c r="D110" s="124"/>
      <c r="E110" s="125">
        <v>4635000000000</v>
      </c>
      <c r="F110" s="126">
        <v>3952000000000</v>
      </c>
    </row>
    <row r="111" spans="1:6" ht="21" x14ac:dyDescent="0.25">
      <c r="A111" s="122" t="s">
        <v>513</v>
      </c>
      <c r="B111" s="123" t="s">
        <v>701</v>
      </c>
      <c r="C111" s="124" t="s">
        <v>702</v>
      </c>
      <c r="D111" s="124"/>
      <c r="E111" s="132">
        <v>-122000000000</v>
      </c>
      <c r="F111" s="133">
        <v>-118000000000</v>
      </c>
    </row>
    <row r="112" spans="1:6" ht="21" x14ac:dyDescent="0.25">
      <c r="A112" s="122" t="s">
        <v>9</v>
      </c>
      <c r="B112" s="123" t="s">
        <v>703</v>
      </c>
      <c r="C112" s="124" t="s">
        <v>704</v>
      </c>
      <c r="D112" s="124"/>
      <c r="E112" s="125">
        <v>2299827695386</v>
      </c>
      <c r="F112" s="126">
        <v>1738528054517</v>
      </c>
    </row>
    <row r="113" spans="1:6" ht="21" x14ac:dyDescent="0.25">
      <c r="A113" s="122" t="s">
        <v>14</v>
      </c>
      <c r="B113" s="123" t="s">
        <v>705</v>
      </c>
      <c r="C113" s="124" t="s">
        <v>706</v>
      </c>
      <c r="D113" s="124"/>
      <c r="E113" s="125">
        <f>E114+E115</f>
        <v>2038623865392</v>
      </c>
      <c r="F113" s="126">
        <f>F114+F115</f>
        <v>1057069838055</v>
      </c>
    </row>
    <row r="114" spans="1:6" ht="21" x14ac:dyDescent="0.25">
      <c r="A114" s="122" t="s">
        <v>545</v>
      </c>
      <c r="B114" s="123" t="s">
        <v>707</v>
      </c>
      <c r="C114" s="124" t="s">
        <v>708</v>
      </c>
      <c r="D114" s="124"/>
      <c r="E114" s="125">
        <v>1057069838055</v>
      </c>
      <c r="F114" s="126">
        <v>1030560272239</v>
      </c>
    </row>
    <row r="115" spans="1:6" ht="21" x14ac:dyDescent="0.25">
      <c r="A115" s="122" t="s">
        <v>550</v>
      </c>
      <c r="B115" s="123" t="s">
        <v>709</v>
      </c>
      <c r="C115" s="124" t="s">
        <v>710</v>
      </c>
      <c r="D115" s="124"/>
      <c r="E115" s="125">
        <v>981554027337</v>
      </c>
      <c r="F115" s="126">
        <v>26509565816</v>
      </c>
    </row>
    <row r="116" spans="1:6" ht="31.5" x14ac:dyDescent="0.25">
      <c r="A116" s="134" t="s">
        <v>62</v>
      </c>
      <c r="B116" s="135" t="s">
        <v>711</v>
      </c>
      <c r="C116" s="136" t="s">
        <v>712</v>
      </c>
      <c r="D116" s="136"/>
      <c r="E116" s="17">
        <v>19613.23</v>
      </c>
      <c r="F116" s="137">
        <v>17291.59</v>
      </c>
    </row>
    <row r="117" spans="1:6" ht="21" x14ac:dyDescent="0.25">
      <c r="A117" s="117" t="s">
        <v>64</v>
      </c>
      <c r="B117" s="118" t="s">
        <v>713</v>
      </c>
      <c r="C117" s="119" t="s">
        <v>714</v>
      </c>
      <c r="D117" s="119"/>
      <c r="E117" s="120">
        <f>E118+E119</f>
        <v>0</v>
      </c>
      <c r="F117" s="121">
        <f>F118+F119</f>
        <v>0</v>
      </c>
    </row>
    <row r="118" spans="1:6" ht="31.5" x14ac:dyDescent="0.25">
      <c r="A118" s="122" t="s">
        <v>4</v>
      </c>
      <c r="B118" s="123" t="s">
        <v>715</v>
      </c>
      <c r="C118" s="124" t="s">
        <v>716</v>
      </c>
      <c r="D118" s="124"/>
      <c r="E118" s="125">
        <v>0</v>
      </c>
      <c r="F118" s="126">
        <v>0</v>
      </c>
    </row>
    <row r="119" spans="1:6" ht="31.5" x14ac:dyDescent="0.25">
      <c r="A119" s="122" t="s">
        <v>9</v>
      </c>
      <c r="B119" s="123" t="s">
        <v>717</v>
      </c>
      <c r="C119" s="124" t="s">
        <v>718</v>
      </c>
      <c r="D119" s="124"/>
      <c r="E119" s="125">
        <v>0</v>
      </c>
      <c r="F119" s="126">
        <v>0</v>
      </c>
    </row>
    <row r="120" spans="1:6" ht="31.5" x14ac:dyDescent="0.25">
      <c r="A120" s="117" t="s">
        <v>69</v>
      </c>
      <c r="B120" s="118" t="s">
        <v>719</v>
      </c>
      <c r="C120" s="119" t="s">
        <v>69</v>
      </c>
      <c r="D120" s="119"/>
      <c r="E120" s="120">
        <v>0</v>
      </c>
      <c r="F120" s="121">
        <v>0</v>
      </c>
    </row>
    <row r="121" spans="1:6" ht="21" x14ac:dyDescent="0.25">
      <c r="A121" s="122" t="s">
        <v>4</v>
      </c>
      <c r="B121" s="123" t="s">
        <v>720</v>
      </c>
      <c r="C121" s="124" t="s">
        <v>721</v>
      </c>
      <c r="D121" s="124"/>
      <c r="E121" s="125">
        <v>0</v>
      </c>
      <c r="F121" s="126">
        <v>0</v>
      </c>
    </row>
    <row r="122" spans="1:6" ht="21" x14ac:dyDescent="0.25">
      <c r="A122" s="122" t="s">
        <v>9</v>
      </c>
      <c r="B122" s="123" t="s">
        <v>722</v>
      </c>
      <c r="C122" s="124" t="s">
        <v>723</v>
      </c>
      <c r="D122" s="124"/>
      <c r="E122" s="125">
        <v>0</v>
      </c>
      <c r="F122" s="126">
        <v>0</v>
      </c>
    </row>
    <row r="123" spans="1:6" ht="21" x14ac:dyDescent="0.25">
      <c r="A123" s="122" t="s">
        <v>14</v>
      </c>
      <c r="B123" s="123" t="s">
        <v>724</v>
      </c>
      <c r="C123" s="124" t="s">
        <v>725</v>
      </c>
      <c r="D123" s="124"/>
      <c r="E123" s="125">
        <v>0</v>
      </c>
      <c r="F123" s="126">
        <v>0</v>
      </c>
    </row>
    <row r="124" spans="1:6" ht="21" x14ac:dyDescent="0.25">
      <c r="A124" s="138" t="s">
        <v>19</v>
      </c>
      <c r="B124" s="139" t="s">
        <v>726</v>
      </c>
      <c r="C124" s="140" t="s">
        <v>727</v>
      </c>
      <c r="D124" s="140"/>
      <c r="E124" s="141">
        <v>451300000</v>
      </c>
      <c r="F124" s="142">
        <v>383400000</v>
      </c>
    </row>
    <row r="125" spans="1:6" ht="10.5" customHeight="1" x14ac:dyDescent="0.25">
      <c r="A125" s="1"/>
      <c r="B125" s="1"/>
      <c r="C125" s="1"/>
      <c r="D125" s="1"/>
      <c r="E125" s="1"/>
      <c r="F125" s="1"/>
    </row>
    <row r="126" spans="1:6" ht="15" customHeight="1" x14ac:dyDescent="0.25">
      <c r="A126" s="269" t="s">
        <v>351</v>
      </c>
      <c r="B126" s="269"/>
      <c r="C126" s="269" t="s">
        <v>352</v>
      </c>
      <c r="D126" s="269"/>
      <c r="E126" s="269" t="s">
        <v>492</v>
      </c>
      <c r="F126" s="269"/>
    </row>
    <row r="127" spans="1:6" ht="15" customHeight="1" x14ac:dyDescent="0.25">
      <c r="A127" s="326" t="s">
        <v>354</v>
      </c>
      <c r="B127" s="326"/>
      <c r="C127" s="326" t="s">
        <v>354</v>
      </c>
      <c r="D127" s="326"/>
      <c r="E127" s="326" t="s">
        <v>355</v>
      </c>
      <c r="F127" s="326"/>
    </row>
    <row r="128" spans="1:6" ht="64.5" customHeight="1" x14ac:dyDescent="0.25">
      <c r="A128" s="1"/>
      <c r="B128" s="1"/>
      <c r="C128" s="1"/>
      <c r="D128" s="1"/>
      <c r="E128" s="1"/>
      <c r="F128" s="1"/>
    </row>
    <row r="129" spans="1:6" ht="15.75" customHeight="1" x14ac:dyDescent="0.25">
      <c r="A129" s="279" t="s">
        <v>356</v>
      </c>
      <c r="B129" s="279"/>
      <c r="C129" s="279" t="s">
        <v>357</v>
      </c>
      <c r="D129" s="279"/>
      <c r="E129" s="279" t="s">
        <v>107</v>
      </c>
      <c r="F129" s="279"/>
    </row>
  </sheetData>
  <mergeCells count="30">
    <mergeCell ref="A129:B129"/>
    <mergeCell ref="C129:D129"/>
    <mergeCell ref="E129:F129"/>
    <mergeCell ref="A15:B15"/>
    <mergeCell ref="C15:F15"/>
    <mergeCell ref="A126:B126"/>
    <mergeCell ref="C126:D126"/>
    <mergeCell ref="E126:F126"/>
    <mergeCell ref="A127:B127"/>
    <mergeCell ref="C127:D127"/>
    <mergeCell ref="E127:F127"/>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9" bottom="0.35" header="0.5" footer="0.3"/>
  <pageSetup paperSize="9" scale="9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9"/>
  <sheetViews>
    <sheetView showGridLines="0" showZeros="0" showOutlineSymbols="0" view="pageBreakPreview" topLeftCell="A16" zoomScaleNormal="100" zoomScaleSheetLayoutView="100" workbookViewId="0">
      <selection activeCell="C13" sqref="C13"/>
    </sheetView>
  </sheetViews>
  <sheetFormatPr defaultRowHeight="10.5" x14ac:dyDescent="0.25"/>
  <cols>
    <col min="1" max="1" width="5.7109375" style="3" customWidth="1"/>
    <col min="2" max="2" width="40" style="3" customWidth="1"/>
    <col min="3" max="3" width="8.5703125" style="3" customWidth="1"/>
    <col min="4" max="5" width="24.28515625" style="3" customWidth="1"/>
    <col min="6" max="256" width="9.140625" style="3"/>
    <col min="257" max="257" width="6.28515625" style="3" customWidth="1"/>
    <col min="258" max="258" width="38.7109375" style="3" customWidth="1"/>
    <col min="259" max="259" width="8.7109375" style="3" customWidth="1"/>
    <col min="260" max="261" width="24.28515625" style="3" customWidth="1"/>
    <col min="262" max="512" width="9.140625" style="3"/>
    <col min="513" max="513" width="6.28515625" style="3" customWidth="1"/>
    <col min="514" max="514" width="38.7109375" style="3" customWidth="1"/>
    <col min="515" max="515" width="8.7109375" style="3" customWidth="1"/>
    <col min="516" max="517" width="24.28515625" style="3" customWidth="1"/>
    <col min="518" max="768" width="9.140625" style="3"/>
    <col min="769" max="769" width="6.28515625" style="3" customWidth="1"/>
    <col min="770" max="770" width="38.7109375" style="3" customWidth="1"/>
    <col min="771" max="771" width="8.7109375" style="3" customWidth="1"/>
    <col min="772" max="773" width="24.28515625" style="3" customWidth="1"/>
    <col min="774" max="1024" width="9.140625" style="3"/>
    <col min="1025" max="1025" width="6.28515625" style="3" customWidth="1"/>
    <col min="1026" max="1026" width="38.7109375" style="3" customWidth="1"/>
    <col min="1027" max="1027" width="8.7109375" style="3" customWidth="1"/>
    <col min="1028" max="1029" width="24.28515625" style="3" customWidth="1"/>
    <col min="1030" max="1280" width="9.140625" style="3"/>
    <col min="1281" max="1281" width="6.28515625" style="3" customWidth="1"/>
    <col min="1282" max="1282" width="38.7109375" style="3" customWidth="1"/>
    <col min="1283" max="1283" width="8.7109375" style="3" customWidth="1"/>
    <col min="1284" max="1285" width="24.28515625" style="3" customWidth="1"/>
    <col min="1286" max="1536" width="9.140625" style="3"/>
    <col min="1537" max="1537" width="6.28515625" style="3" customWidth="1"/>
    <col min="1538" max="1538" width="38.7109375" style="3" customWidth="1"/>
    <col min="1539" max="1539" width="8.7109375" style="3" customWidth="1"/>
    <col min="1540" max="1541" width="24.28515625" style="3" customWidth="1"/>
    <col min="1542" max="1792" width="9.140625" style="3"/>
    <col min="1793" max="1793" width="6.28515625" style="3" customWidth="1"/>
    <col min="1794" max="1794" width="38.7109375" style="3" customWidth="1"/>
    <col min="1795" max="1795" width="8.7109375" style="3" customWidth="1"/>
    <col min="1796" max="1797" width="24.28515625" style="3" customWidth="1"/>
    <col min="1798" max="2048" width="9.140625" style="3"/>
    <col min="2049" max="2049" width="6.28515625" style="3" customWidth="1"/>
    <col min="2050" max="2050" width="38.7109375" style="3" customWidth="1"/>
    <col min="2051" max="2051" width="8.7109375" style="3" customWidth="1"/>
    <col min="2052" max="2053" width="24.28515625" style="3" customWidth="1"/>
    <col min="2054" max="2304" width="9.140625" style="3"/>
    <col min="2305" max="2305" width="6.28515625" style="3" customWidth="1"/>
    <col min="2306" max="2306" width="38.7109375" style="3" customWidth="1"/>
    <col min="2307" max="2307" width="8.7109375" style="3" customWidth="1"/>
    <col min="2308" max="2309" width="24.28515625" style="3" customWidth="1"/>
    <col min="2310" max="2560" width="9.140625" style="3"/>
    <col min="2561" max="2561" width="6.28515625" style="3" customWidth="1"/>
    <col min="2562" max="2562" width="38.7109375" style="3" customWidth="1"/>
    <col min="2563" max="2563" width="8.7109375" style="3" customWidth="1"/>
    <col min="2564" max="2565" width="24.28515625" style="3" customWidth="1"/>
    <col min="2566" max="2816" width="9.140625" style="3"/>
    <col min="2817" max="2817" width="6.28515625" style="3" customWidth="1"/>
    <col min="2818" max="2818" width="38.7109375" style="3" customWidth="1"/>
    <col min="2819" max="2819" width="8.7109375" style="3" customWidth="1"/>
    <col min="2820" max="2821" width="24.28515625" style="3" customWidth="1"/>
    <col min="2822" max="3072" width="9.140625" style="3"/>
    <col min="3073" max="3073" width="6.28515625" style="3" customWidth="1"/>
    <col min="3074" max="3074" width="38.7109375" style="3" customWidth="1"/>
    <col min="3075" max="3075" width="8.7109375" style="3" customWidth="1"/>
    <col min="3076" max="3077" width="24.28515625" style="3" customWidth="1"/>
    <col min="3078" max="3328" width="9.140625" style="3"/>
    <col min="3329" max="3329" width="6.28515625" style="3" customWidth="1"/>
    <col min="3330" max="3330" width="38.7109375" style="3" customWidth="1"/>
    <col min="3331" max="3331" width="8.7109375" style="3" customWidth="1"/>
    <col min="3332" max="3333" width="24.28515625" style="3" customWidth="1"/>
    <col min="3334" max="3584" width="9.140625" style="3"/>
    <col min="3585" max="3585" width="6.28515625" style="3" customWidth="1"/>
    <col min="3586" max="3586" width="38.7109375" style="3" customWidth="1"/>
    <col min="3587" max="3587" width="8.7109375" style="3" customWidth="1"/>
    <col min="3588" max="3589" width="24.28515625" style="3" customWidth="1"/>
    <col min="3590" max="3840" width="9.140625" style="3"/>
    <col min="3841" max="3841" width="6.28515625" style="3" customWidth="1"/>
    <col min="3842" max="3842" width="38.7109375" style="3" customWidth="1"/>
    <col min="3843" max="3843" width="8.7109375" style="3" customWidth="1"/>
    <col min="3844" max="3845" width="24.28515625" style="3" customWidth="1"/>
    <col min="3846" max="4096" width="9.140625" style="3"/>
    <col min="4097" max="4097" width="6.28515625" style="3" customWidth="1"/>
    <col min="4098" max="4098" width="38.7109375" style="3" customWidth="1"/>
    <col min="4099" max="4099" width="8.7109375" style="3" customWidth="1"/>
    <col min="4100" max="4101" width="24.28515625" style="3" customWidth="1"/>
    <col min="4102" max="4352" width="9.140625" style="3"/>
    <col min="4353" max="4353" width="6.28515625" style="3" customWidth="1"/>
    <col min="4354" max="4354" width="38.7109375" style="3" customWidth="1"/>
    <col min="4355" max="4355" width="8.7109375" style="3" customWidth="1"/>
    <col min="4356" max="4357" width="24.28515625" style="3" customWidth="1"/>
    <col min="4358" max="4608" width="9.140625" style="3"/>
    <col min="4609" max="4609" width="6.28515625" style="3" customWidth="1"/>
    <col min="4610" max="4610" width="38.7109375" style="3" customWidth="1"/>
    <col min="4611" max="4611" width="8.7109375" style="3" customWidth="1"/>
    <col min="4612" max="4613" width="24.28515625" style="3" customWidth="1"/>
    <col min="4614" max="4864" width="9.140625" style="3"/>
    <col min="4865" max="4865" width="6.28515625" style="3" customWidth="1"/>
    <col min="4866" max="4866" width="38.7109375" style="3" customWidth="1"/>
    <col min="4867" max="4867" width="8.7109375" style="3" customWidth="1"/>
    <col min="4868" max="4869" width="24.28515625" style="3" customWidth="1"/>
    <col min="4870" max="5120" width="9.140625" style="3"/>
    <col min="5121" max="5121" width="6.28515625" style="3" customWidth="1"/>
    <col min="5122" max="5122" width="38.7109375" style="3" customWidth="1"/>
    <col min="5123" max="5123" width="8.7109375" style="3" customWidth="1"/>
    <col min="5124" max="5125" width="24.28515625" style="3" customWidth="1"/>
    <col min="5126" max="5376" width="9.140625" style="3"/>
    <col min="5377" max="5377" width="6.28515625" style="3" customWidth="1"/>
    <col min="5378" max="5378" width="38.7109375" style="3" customWidth="1"/>
    <col min="5379" max="5379" width="8.7109375" style="3" customWidth="1"/>
    <col min="5380" max="5381" width="24.28515625" style="3" customWidth="1"/>
    <col min="5382" max="5632" width="9.140625" style="3"/>
    <col min="5633" max="5633" width="6.28515625" style="3" customWidth="1"/>
    <col min="5634" max="5634" width="38.7109375" style="3" customWidth="1"/>
    <col min="5635" max="5635" width="8.7109375" style="3" customWidth="1"/>
    <col min="5636" max="5637" width="24.28515625" style="3" customWidth="1"/>
    <col min="5638" max="5888" width="9.140625" style="3"/>
    <col min="5889" max="5889" width="6.28515625" style="3" customWidth="1"/>
    <col min="5890" max="5890" width="38.7109375" style="3" customWidth="1"/>
    <col min="5891" max="5891" width="8.7109375" style="3" customWidth="1"/>
    <col min="5892" max="5893" width="24.28515625" style="3" customWidth="1"/>
    <col min="5894" max="6144" width="9.140625" style="3"/>
    <col min="6145" max="6145" width="6.28515625" style="3" customWidth="1"/>
    <col min="6146" max="6146" width="38.7109375" style="3" customWidth="1"/>
    <col min="6147" max="6147" width="8.7109375" style="3" customWidth="1"/>
    <col min="6148" max="6149" width="24.28515625" style="3" customWidth="1"/>
    <col min="6150" max="6400" width="9.140625" style="3"/>
    <col min="6401" max="6401" width="6.28515625" style="3" customWidth="1"/>
    <col min="6402" max="6402" width="38.7109375" style="3" customWidth="1"/>
    <col min="6403" max="6403" width="8.7109375" style="3" customWidth="1"/>
    <col min="6404" max="6405" width="24.28515625" style="3" customWidth="1"/>
    <col min="6406" max="6656" width="9.140625" style="3"/>
    <col min="6657" max="6657" width="6.28515625" style="3" customWidth="1"/>
    <col min="6658" max="6658" width="38.7109375" style="3" customWidth="1"/>
    <col min="6659" max="6659" width="8.7109375" style="3" customWidth="1"/>
    <col min="6660" max="6661" width="24.28515625" style="3" customWidth="1"/>
    <col min="6662" max="6912" width="9.140625" style="3"/>
    <col min="6913" max="6913" width="6.28515625" style="3" customWidth="1"/>
    <col min="6914" max="6914" width="38.7109375" style="3" customWidth="1"/>
    <col min="6915" max="6915" width="8.7109375" style="3" customWidth="1"/>
    <col min="6916" max="6917" width="24.28515625" style="3" customWidth="1"/>
    <col min="6918" max="7168" width="9.140625" style="3"/>
    <col min="7169" max="7169" width="6.28515625" style="3" customWidth="1"/>
    <col min="7170" max="7170" width="38.7109375" style="3" customWidth="1"/>
    <col min="7171" max="7171" width="8.7109375" style="3" customWidth="1"/>
    <col min="7172" max="7173" width="24.28515625" style="3" customWidth="1"/>
    <col min="7174" max="7424" width="9.140625" style="3"/>
    <col min="7425" max="7425" width="6.28515625" style="3" customWidth="1"/>
    <col min="7426" max="7426" width="38.7109375" style="3" customWidth="1"/>
    <col min="7427" max="7427" width="8.7109375" style="3" customWidth="1"/>
    <col min="7428" max="7429" width="24.28515625" style="3" customWidth="1"/>
    <col min="7430" max="7680" width="9.140625" style="3"/>
    <col min="7681" max="7681" width="6.28515625" style="3" customWidth="1"/>
    <col min="7682" max="7682" width="38.7109375" style="3" customWidth="1"/>
    <col min="7683" max="7683" width="8.7109375" style="3" customWidth="1"/>
    <col min="7684" max="7685" width="24.28515625" style="3" customWidth="1"/>
    <col min="7686" max="7936" width="9.140625" style="3"/>
    <col min="7937" max="7937" width="6.28515625" style="3" customWidth="1"/>
    <col min="7938" max="7938" width="38.7109375" style="3" customWidth="1"/>
    <col min="7939" max="7939" width="8.7109375" style="3" customWidth="1"/>
    <col min="7940" max="7941" width="24.28515625" style="3" customWidth="1"/>
    <col min="7942" max="8192" width="9.140625" style="3"/>
    <col min="8193" max="8193" width="6.28515625" style="3" customWidth="1"/>
    <col min="8194" max="8194" width="38.7109375" style="3" customWidth="1"/>
    <col min="8195" max="8195" width="8.7109375" style="3" customWidth="1"/>
    <col min="8196" max="8197" width="24.28515625" style="3" customWidth="1"/>
    <col min="8198" max="8448" width="9.140625" style="3"/>
    <col min="8449" max="8449" width="6.28515625" style="3" customWidth="1"/>
    <col min="8450" max="8450" width="38.7109375" style="3" customWidth="1"/>
    <col min="8451" max="8451" width="8.7109375" style="3" customWidth="1"/>
    <col min="8452" max="8453" width="24.28515625" style="3" customWidth="1"/>
    <col min="8454" max="8704" width="9.140625" style="3"/>
    <col min="8705" max="8705" width="6.28515625" style="3" customWidth="1"/>
    <col min="8706" max="8706" width="38.7109375" style="3" customWidth="1"/>
    <col min="8707" max="8707" width="8.7109375" style="3" customWidth="1"/>
    <col min="8708" max="8709" width="24.28515625" style="3" customWidth="1"/>
    <col min="8710" max="8960" width="9.140625" style="3"/>
    <col min="8961" max="8961" width="6.28515625" style="3" customWidth="1"/>
    <col min="8962" max="8962" width="38.7109375" style="3" customWidth="1"/>
    <col min="8963" max="8963" width="8.7109375" style="3" customWidth="1"/>
    <col min="8964" max="8965" width="24.28515625" style="3" customWidth="1"/>
    <col min="8966" max="9216" width="9.140625" style="3"/>
    <col min="9217" max="9217" width="6.28515625" style="3" customWidth="1"/>
    <col min="9218" max="9218" width="38.7109375" style="3" customWidth="1"/>
    <col min="9219" max="9219" width="8.7109375" style="3" customWidth="1"/>
    <col min="9220" max="9221" width="24.28515625" style="3" customWidth="1"/>
    <col min="9222" max="9472" width="9.140625" style="3"/>
    <col min="9473" max="9473" width="6.28515625" style="3" customWidth="1"/>
    <col min="9474" max="9474" width="38.7109375" style="3" customWidth="1"/>
    <col min="9475" max="9475" width="8.7109375" style="3" customWidth="1"/>
    <col min="9476" max="9477" width="24.28515625" style="3" customWidth="1"/>
    <col min="9478" max="9728" width="9.140625" style="3"/>
    <col min="9729" max="9729" width="6.28515625" style="3" customWidth="1"/>
    <col min="9730" max="9730" width="38.7109375" style="3" customWidth="1"/>
    <col min="9731" max="9731" width="8.7109375" style="3" customWidth="1"/>
    <col min="9732" max="9733" width="24.28515625" style="3" customWidth="1"/>
    <col min="9734" max="9984" width="9.140625" style="3"/>
    <col min="9985" max="9985" width="6.28515625" style="3" customWidth="1"/>
    <col min="9986" max="9986" width="38.7109375" style="3" customWidth="1"/>
    <col min="9987" max="9987" width="8.7109375" style="3" customWidth="1"/>
    <col min="9988" max="9989" width="24.28515625" style="3" customWidth="1"/>
    <col min="9990" max="10240" width="9.140625" style="3"/>
    <col min="10241" max="10241" width="6.28515625" style="3" customWidth="1"/>
    <col min="10242" max="10242" width="38.7109375" style="3" customWidth="1"/>
    <col min="10243" max="10243" width="8.7109375" style="3" customWidth="1"/>
    <col min="10244" max="10245" width="24.28515625" style="3" customWidth="1"/>
    <col min="10246" max="10496" width="9.140625" style="3"/>
    <col min="10497" max="10497" width="6.28515625" style="3" customWidth="1"/>
    <col min="10498" max="10498" width="38.7109375" style="3" customWidth="1"/>
    <col min="10499" max="10499" width="8.7109375" style="3" customWidth="1"/>
    <col min="10500" max="10501" width="24.28515625" style="3" customWidth="1"/>
    <col min="10502" max="10752" width="9.140625" style="3"/>
    <col min="10753" max="10753" width="6.28515625" style="3" customWidth="1"/>
    <col min="10754" max="10754" width="38.7109375" style="3" customWidth="1"/>
    <col min="10755" max="10755" width="8.7109375" style="3" customWidth="1"/>
    <col min="10756" max="10757" width="24.28515625" style="3" customWidth="1"/>
    <col min="10758" max="11008" width="9.140625" style="3"/>
    <col min="11009" max="11009" width="6.28515625" style="3" customWidth="1"/>
    <col min="11010" max="11010" width="38.7109375" style="3" customWidth="1"/>
    <col min="11011" max="11011" width="8.7109375" style="3" customWidth="1"/>
    <col min="11012" max="11013" width="24.28515625" style="3" customWidth="1"/>
    <col min="11014" max="11264" width="9.140625" style="3"/>
    <col min="11265" max="11265" width="6.28515625" style="3" customWidth="1"/>
    <col min="11266" max="11266" width="38.7109375" style="3" customWidth="1"/>
    <col min="11267" max="11267" width="8.7109375" style="3" customWidth="1"/>
    <col min="11268" max="11269" width="24.28515625" style="3" customWidth="1"/>
    <col min="11270" max="11520" width="9.140625" style="3"/>
    <col min="11521" max="11521" width="6.28515625" style="3" customWidth="1"/>
    <col min="11522" max="11522" width="38.7109375" style="3" customWidth="1"/>
    <col min="11523" max="11523" width="8.7109375" style="3" customWidth="1"/>
    <col min="11524" max="11525" width="24.28515625" style="3" customWidth="1"/>
    <col min="11526" max="11776" width="9.140625" style="3"/>
    <col min="11777" max="11777" width="6.28515625" style="3" customWidth="1"/>
    <col min="11778" max="11778" width="38.7109375" style="3" customWidth="1"/>
    <col min="11779" max="11779" width="8.7109375" style="3" customWidth="1"/>
    <col min="11780" max="11781" width="24.28515625" style="3" customWidth="1"/>
    <col min="11782" max="12032" width="9.140625" style="3"/>
    <col min="12033" max="12033" width="6.28515625" style="3" customWidth="1"/>
    <col min="12034" max="12034" width="38.7109375" style="3" customWidth="1"/>
    <col min="12035" max="12035" width="8.7109375" style="3" customWidth="1"/>
    <col min="12036" max="12037" width="24.28515625" style="3" customWidth="1"/>
    <col min="12038" max="12288" width="9.140625" style="3"/>
    <col min="12289" max="12289" width="6.28515625" style="3" customWidth="1"/>
    <col min="12290" max="12290" width="38.7109375" style="3" customWidth="1"/>
    <col min="12291" max="12291" width="8.7109375" style="3" customWidth="1"/>
    <col min="12292" max="12293" width="24.28515625" style="3" customWidth="1"/>
    <col min="12294" max="12544" width="9.140625" style="3"/>
    <col min="12545" max="12545" width="6.28515625" style="3" customWidth="1"/>
    <col min="12546" max="12546" width="38.7109375" style="3" customWidth="1"/>
    <col min="12547" max="12547" width="8.7109375" style="3" customWidth="1"/>
    <col min="12548" max="12549" width="24.28515625" style="3" customWidth="1"/>
    <col min="12550" max="12800" width="9.140625" style="3"/>
    <col min="12801" max="12801" width="6.28515625" style="3" customWidth="1"/>
    <col min="12802" max="12802" width="38.7109375" style="3" customWidth="1"/>
    <col min="12803" max="12803" width="8.7109375" style="3" customWidth="1"/>
    <col min="12804" max="12805" width="24.28515625" style="3" customWidth="1"/>
    <col min="12806" max="13056" width="9.140625" style="3"/>
    <col min="13057" max="13057" width="6.28515625" style="3" customWidth="1"/>
    <col min="13058" max="13058" width="38.7109375" style="3" customWidth="1"/>
    <col min="13059" max="13059" width="8.7109375" style="3" customWidth="1"/>
    <col min="13060" max="13061" width="24.28515625" style="3" customWidth="1"/>
    <col min="13062" max="13312" width="9.140625" style="3"/>
    <col min="13313" max="13313" width="6.28515625" style="3" customWidth="1"/>
    <col min="13314" max="13314" width="38.7109375" style="3" customWidth="1"/>
    <col min="13315" max="13315" width="8.7109375" style="3" customWidth="1"/>
    <col min="13316" max="13317" width="24.28515625" style="3" customWidth="1"/>
    <col min="13318" max="13568" width="9.140625" style="3"/>
    <col min="13569" max="13569" width="6.28515625" style="3" customWidth="1"/>
    <col min="13570" max="13570" width="38.7109375" style="3" customWidth="1"/>
    <col min="13571" max="13571" width="8.7109375" style="3" customWidth="1"/>
    <col min="13572" max="13573" width="24.28515625" style="3" customWidth="1"/>
    <col min="13574" max="13824" width="9.140625" style="3"/>
    <col min="13825" max="13825" width="6.28515625" style="3" customWidth="1"/>
    <col min="13826" max="13826" width="38.7109375" style="3" customWidth="1"/>
    <col min="13827" max="13827" width="8.7109375" style="3" customWidth="1"/>
    <col min="13828" max="13829" width="24.28515625" style="3" customWidth="1"/>
    <col min="13830" max="14080" width="9.140625" style="3"/>
    <col min="14081" max="14081" width="6.28515625" style="3" customWidth="1"/>
    <col min="14082" max="14082" width="38.7109375" style="3" customWidth="1"/>
    <col min="14083" max="14083" width="8.7109375" style="3" customWidth="1"/>
    <col min="14084" max="14085" width="24.28515625" style="3" customWidth="1"/>
    <col min="14086" max="14336" width="9.140625" style="3"/>
    <col min="14337" max="14337" width="6.28515625" style="3" customWidth="1"/>
    <col min="14338" max="14338" width="38.7109375" style="3" customWidth="1"/>
    <col min="14339" max="14339" width="8.7109375" style="3" customWidth="1"/>
    <col min="14340" max="14341" width="24.28515625" style="3" customWidth="1"/>
    <col min="14342" max="14592" width="9.140625" style="3"/>
    <col min="14593" max="14593" width="6.28515625" style="3" customWidth="1"/>
    <col min="14594" max="14594" width="38.7109375" style="3" customWidth="1"/>
    <col min="14595" max="14595" width="8.7109375" style="3" customWidth="1"/>
    <col min="14596" max="14597" width="24.28515625" style="3" customWidth="1"/>
    <col min="14598" max="14848" width="9.140625" style="3"/>
    <col min="14849" max="14849" width="6.28515625" style="3" customWidth="1"/>
    <col min="14850" max="14850" width="38.7109375" style="3" customWidth="1"/>
    <col min="14851" max="14851" width="8.7109375" style="3" customWidth="1"/>
    <col min="14852" max="14853" width="24.28515625" style="3" customWidth="1"/>
    <col min="14854" max="15104" width="9.140625" style="3"/>
    <col min="15105" max="15105" width="6.28515625" style="3" customWidth="1"/>
    <col min="15106" max="15106" width="38.7109375" style="3" customWidth="1"/>
    <col min="15107" max="15107" width="8.7109375" style="3" customWidth="1"/>
    <col min="15108" max="15109" width="24.28515625" style="3" customWidth="1"/>
    <col min="15110" max="15360" width="9.140625" style="3"/>
    <col min="15361" max="15361" width="6.28515625" style="3" customWidth="1"/>
    <col min="15362" max="15362" width="38.7109375" style="3" customWidth="1"/>
    <col min="15363" max="15363" width="8.7109375" style="3" customWidth="1"/>
    <col min="15364" max="15365" width="24.28515625" style="3" customWidth="1"/>
    <col min="15366" max="15616" width="9.140625" style="3"/>
    <col min="15617" max="15617" width="6.28515625" style="3" customWidth="1"/>
    <col min="15618" max="15618" width="38.7109375" style="3" customWidth="1"/>
    <col min="15619" max="15619" width="8.7109375" style="3" customWidth="1"/>
    <col min="15620" max="15621" width="24.28515625" style="3" customWidth="1"/>
    <col min="15622" max="15872" width="9.140625" style="3"/>
    <col min="15873" max="15873" width="6.28515625" style="3" customWidth="1"/>
    <col min="15874" max="15874" width="38.7109375" style="3" customWidth="1"/>
    <col min="15875" max="15875" width="8.7109375" style="3" customWidth="1"/>
    <col min="15876" max="15877" width="24.28515625" style="3" customWidth="1"/>
    <col min="15878" max="16128" width="9.140625" style="3"/>
    <col min="16129" max="16129" width="6.28515625" style="3" customWidth="1"/>
    <col min="16130" max="16130" width="38.7109375" style="3" customWidth="1"/>
    <col min="16131" max="16131" width="8.7109375" style="3" customWidth="1"/>
    <col min="16132" max="16133" width="24.28515625" style="3" customWidth="1"/>
    <col min="16134" max="16384" width="9.140625" style="3"/>
  </cols>
  <sheetData>
    <row r="1" spans="1:5" ht="39" customHeight="1" x14ac:dyDescent="0.25">
      <c r="A1" s="1"/>
      <c r="B1" s="281" t="s">
        <v>320</v>
      </c>
      <c r="C1" s="281"/>
      <c r="D1" s="281"/>
      <c r="E1" s="281"/>
    </row>
    <row r="2" spans="1:5" ht="22.5" customHeight="1" x14ac:dyDescent="0.25">
      <c r="A2" s="318" t="s">
        <v>321</v>
      </c>
      <c r="B2" s="318"/>
      <c r="C2" s="318"/>
      <c r="D2" s="318"/>
      <c r="E2" s="318"/>
    </row>
    <row r="3" spans="1:5" ht="6" customHeight="1" x14ac:dyDescent="0.25">
      <c r="A3" s="1"/>
      <c r="B3" s="1"/>
      <c r="C3" s="1"/>
      <c r="D3" s="268"/>
      <c r="E3" s="268"/>
    </row>
    <row r="4" spans="1:5" ht="31.5" customHeight="1" x14ac:dyDescent="0.25">
      <c r="A4" s="271" t="s">
        <v>322</v>
      </c>
      <c r="B4" s="271"/>
      <c r="C4" s="271"/>
      <c r="D4" s="271"/>
      <c r="E4" s="271"/>
    </row>
    <row r="5" spans="1:5" ht="15.75" customHeight="1" x14ac:dyDescent="0.25">
      <c r="A5" s="272" t="s">
        <v>109</v>
      </c>
      <c r="B5" s="272"/>
      <c r="C5" s="272"/>
      <c r="D5" s="272"/>
      <c r="E5" s="272"/>
    </row>
    <row r="6" spans="1:5" ht="3.75" customHeight="1" x14ac:dyDescent="0.25">
      <c r="A6" s="1"/>
      <c r="B6" s="1"/>
      <c r="C6" s="1"/>
      <c r="D6" s="268"/>
      <c r="E6" s="268"/>
    </row>
    <row r="7" spans="1:5" ht="15.75" customHeight="1" x14ac:dyDescent="0.25">
      <c r="A7" s="267" t="s">
        <v>323</v>
      </c>
      <c r="B7" s="267"/>
      <c r="C7" s="267" t="s">
        <v>11</v>
      </c>
      <c r="D7" s="267"/>
      <c r="E7" s="267"/>
    </row>
    <row r="8" spans="1:5" ht="15.75" customHeight="1" x14ac:dyDescent="0.25">
      <c r="A8" s="268" t="s">
        <v>12</v>
      </c>
      <c r="B8" s="268"/>
      <c r="C8" s="268" t="s">
        <v>13</v>
      </c>
      <c r="D8" s="268"/>
      <c r="E8" s="268"/>
    </row>
    <row r="9" spans="1:5" ht="15.75" customHeight="1" x14ac:dyDescent="0.25">
      <c r="A9" s="267" t="s">
        <v>110</v>
      </c>
      <c r="B9" s="267"/>
      <c r="C9" s="267" t="s">
        <v>16</v>
      </c>
      <c r="D9" s="267"/>
      <c r="E9" s="267"/>
    </row>
    <row r="10" spans="1:5" ht="15.75" customHeight="1" x14ac:dyDescent="0.25">
      <c r="A10" s="268" t="s">
        <v>324</v>
      </c>
      <c r="B10" s="268"/>
      <c r="C10" s="268" t="s">
        <v>18</v>
      </c>
      <c r="D10" s="268"/>
      <c r="E10" s="268"/>
    </row>
    <row r="11" spans="1:5" ht="15" customHeight="1" x14ac:dyDescent="0.25">
      <c r="A11" s="267" t="s">
        <v>325</v>
      </c>
      <c r="B11" s="267"/>
      <c r="C11" s="274">
        <v>44259</v>
      </c>
      <c r="D11" s="267"/>
      <c r="E11" s="267"/>
    </row>
    <row r="12" spans="1:5" ht="15.75" customHeight="1" x14ac:dyDescent="0.25">
      <c r="A12" s="268" t="s">
        <v>326</v>
      </c>
      <c r="B12" s="268"/>
      <c r="C12" s="275">
        <v>44259</v>
      </c>
      <c r="D12" s="268"/>
      <c r="E12" s="268"/>
    </row>
    <row r="13" spans="1:5" ht="15.75" customHeight="1" x14ac:dyDescent="0.25">
      <c r="A13" s="9"/>
      <c r="B13" s="9"/>
      <c r="C13" s="9"/>
      <c r="D13" s="277" t="s">
        <v>327</v>
      </c>
      <c r="E13" s="277"/>
    </row>
    <row r="14" spans="1:5" ht="31.5" customHeight="1" x14ac:dyDescent="0.25">
      <c r="A14" s="11" t="s">
        <v>113</v>
      </c>
      <c r="B14" s="12" t="s">
        <v>328</v>
      </c>
      <c r="C14" s="12" t="s">
        <v>329</v>
      </c>
      <c r="D14" s="12" t="s">
        <v>115</v>
      </c>
      <c r="E14" s="13" t="s">
        <v>116</v>
      </c>
    </row>
    <row r="15" spans="1:5" ht="24" customHeight="1" x14ac:dyDescent="0.25">
      <c r="A15" s="39" t="s">
        <v>32</v>
      </c>
      <c r="B15" s="40" t="s">
        <v>330</v>
      </c>
      <c r="C15" s="41" t="s">
        <v>331</v>
      </c>
      <c r="D15" s="18">
        <v>6629597892572</v>
      </c>
      <c r="E15" s="42">
        <v>5280430128341</v>
      </c>
    </row>
    <row r="16" spans="1:5" ht="42" x14ac:dyDescent="0.25">
      <c r="A16" s="39" t="s">
        <v>34</v>
      </c>
      <c r="B16" s="40" t="s">
        <v>332</v>
      </c>
      <c r="C16" s="41" t="s">
        <v>333</v>
      </c>
      <c r="D16" s="18">
        <v>981554027337</v>
      </c>
      <c r="E16" s="42">
        <v>26509565816</v>
      </c>
    </row>
    <row r="17" spans="1:5" x14ac:dyDescent="0.25">
      <c r="A17" s="43"/>
      <c r="B17" s="44" t="s">
        <v>334</v>
      </c>
      <c r="C17" s="45"/>
      <c r="D17" s="25">
        <v>0</v>
      </c>
      <c r="E17" s="46">
        <v>0</v>
      </c>
    </row>
    <row r="18" spans="1:5" ht="42" x14ac:dyDescent="0.25">
      <c r="A18" s="43" t="s">
        <v>314</v>
      </c>
      <c r="B18" s="44" t="s">
        <v>335</v>
      </c>
      <c r="C18" s="45" t="s">
        <v>336</v>
      </c>
      <c r="D18" s="25">
        <v>981554027337</v>
      </c>
      <c r="E18" s="46">
        <v>26509565816</v>
      </c>
    </row>
    <row r="19" spans="1:5" ht="42" x14ac:dyDescent="0.25">
      <c r="A19" s="43" t="s">
        <v>316</v>
      </c>
      <c r="B19" s="44" t="s">
        <v>337</v>
      </c>
      <c r="C19" s="45" t="s">
        <v>338</v>
      </c>
      <c r="D19" s="25">
        <v>0</v>
      </c>
      <c r="E19" s="46">
        <v>0</v>
      </c>
    </row>
    <row r="20" spans="1:5" ht="42" x14ac:dyDescent="0.25">
      <c r="A20" s="39" t="s">
        <v>59</v>
      </c>
      <c r="B20" s="40" t="s">
        <v>339</v>
      </c>
      <c r="C20" s="41" t="s">
        <v>340</v>
      </c>
      <c r="D20" s="18">
        <v>1240299640869</v>
      </c>
      <c r="E20" s="42">
        <v>1322658198415</v>
      </c>
    </row>
    <row r="21" spans="1:5" ht="31.5" x14ac:dyDescent="0.25">
      <c r="A21" s="43" t="s">
        <v>341</v>
      </c>
      <c r="B21" s="44" t="s">
        <v>342</v>
      </c>
      <c r="C21" s="45" t="s">
        <v>343</v>
      </c>
      <c r="D21" s="25">
        <v>1247795950981</v>
      </c>
      <c r="E21" s="46">
        <v>1322658198415</v>
      </c>
    </row>
    <row r="22" spans="1:5" ht="24" customHeight="1" x14ac:dyDescent="0.25">
      <c r="A22" s="43" t="s">
        <v>344</v>
      </c>
      <c r="B22" s="44" t="s">
        <v>345</v>
      </c>
      <c r="C22" s="45" t="s">
        <v>346</v>
      </c>
      <c r="D22" s="25">
        <v>-7496310112</v>
      </c>
      <c r="E22" s="46">
        <v>0</v>
      </c>
    </row>
    <row r="23" spans="1:5" ht="31.5" x14ac:dyDescent="0.25">
      <c r="A23" s="39" t="s">
        <v>62</v>
      </c>
      <c r="B23" s="40" t="s">
        <v>347</v>
      </c>
      <c r="C23" s="41" t="s">
        <v>348</v>
      </c>
      <c r="D23" s="18">
        <v>8851451560778</v>
      </c>
      <c r="E23" s="42">
        <v>6629597892572</v>
      </c>
    </row>
    <row r="24" spans="1:5" ht="31.5" x14ac:dyDescent="0.25">
      <c r="A24" s="100" t="s">
        <v>64</v>
      </c>
      <c r="B24" s="101" t="s">
        <v>349</v>
      </c>
      <c r="C24" s="102" t="s">
        <v>350</v>
      </c>
      <c r="D24" s="30">
        <v>19613.23</v>
      </c>
      <c r="E24" s="103">
        <v>17291.59</v>
      </c>
    </row>
    <row r="25" spans="1:5" ht="15.75" customHeight="1" x14ac:dyDescent="0.25">
      <c r="A25" s="330"/>
      <c r="B25" s="330"/>
      <c r="C25" s="330"/>
      <c r="D25" s="330"/>
      <c r="E25" s="1"/>
    </row>
    <row r="26" spans="1:5" ht="14.25" customHeight="1" x14ac:dyDescent="0.25">
      <c r="A26" s="273" t="s">
        <v>351</v>
      </c>
      <c r="B26" s="273"/>
      <c r="C26" s="273" t="s">
        <v>352</v>
      </c>
      <c r="D26" s="273"/>
      <c r="E26" s="4" t="s">
        <v>353</v>
      </c>
    </row>
    <row r="27" spans="1:5" ht="14.25" customHeight="1" x14ac:dyDescent="0.25">
      <c r="A27" s="326" t="s">
        <v>354</v>
      </c>
      <c r="B27" s="326"/>
      <c r="C27" s="280" t="s">
        <v>354</v>
      </c>
      <c r="D27" s="280"/>
      <c r="E27" s="104" t="s">
        <v>355</v>
      </c>
    </row>
    <row r="28" spans="1:5" ht="89.25" customHeight="1" x14ac:dyDescent="0.25">
      <c r="A28" s="268"/>
      <c r="B28" s="268"/>
      <c r="C28" s="272"/>
      <c r="D28" s="272"/>
      <c r="E28" s="1"/>
    </row>
    <row r="29" spans="1:5" ht="15.75" customHeight="1" x14ac:dyDescent="0.25">
      <c r="A29" s="279" t="s">
        <v>356</v>
      </c>
      <c r="B29" s="279"/>
      <c r="C29" s="279" t="s">
        <v>357</v>
      </c>
      <c r="D29" s="279"/>
      <c r="E29" s="7" t="s">
        <v>107</v>
      </c>
    </row>
  </sheetData>
  <mergeCells count="29">
    <mergeCell ref="A28:B28"/>
    <mergeCell ref="C28:D28"/>
    <mergeCell ref="A29:B29"/>
    <mergeCell ref="C29:D29"/>
    <mergeCell ref="D13:E13"/>
    <mergeCell ref="A25:B25"/>
    <mergeCell ref="C25:D25"/>
    <mergeCell ref="A26:B26"/>
    <mergeCell ref="C26:D26"/>
    <mergeCell ref="A27:B27"/>
    <mergeCell ref="C27:D27"/>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 right="0" top="0.59" bottom="0.59" header="0.5" footer="0.5"/>
  <pageSetup paperSize="9" scale="9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y+HedJyjwlr5U39BHijl2CBqxQ8=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Nrn/4jBo8yijCGNz0FiBMIKi6uU=</DigestValue>
    </Reference>
  </SignedInfo>
  <SignatureValue>YXFM/M5DLukPP7CDHAFwtof6CuLDhPGx9nknFF7dlpGAnnvmBAc43U2QQBVeCJvd3fjTIPqo0ZZH
c3q51OwG0W9/lek7tgnrMo9tVJWShpkhWbvY+iaI6dz0ASrbbRaR3sEzlc19Ilv601J3QbkxIL4r
Hg28Mf6SF6AkfqLGdDU=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3.png?ContentType=image/png">
        <DigestMethod Algorithm="http://www.w3.org/2000/09/xmldsig#sha1"/>
        <DigestValue>6XCim1snLVUUACxyecHcOBdPHDs=</DigestValue>
      </Reference>
      <Reference URI="/xl/worksheets/sheet9.xml?ContentType=application/vnd.openxmlformats-officedocument.spreadsheetml.worksheet+xml">
        <DigestMethod Algorithm="http://www.w3.org/2000/09/xmldsig#sha1"/>
        <DigestValue>1gWdAbsuL797E93LMnGHMfHTkxc=</DigestValue>
      </Reference>
      <Reference URI="/xl/worksheets/sheet10.xml?ContentType=application/vnd.openxmlformats-officedocument.spreadsheetml.worksheet+xml">
        <DigestMethod Algorithm="http://www.w3.org/2000/09/xmldsig#sha1"/>
        <DigestValue>W/rCgL9uPKk+sLCq+fFDCJCCtqM=</DigestValue>
      </Reference>
      <Reference URI="/xl/theme/theme1.xml?ContentType=application/vnd.openxmlformats-officedocument.theme+xml">
        <DigestMethod Algorithm="http://www.w3.org/2000/09/xmldsig#sha1"/>
        <DigestValue>9qmLS+LilE9mSl2hTMj5oHE8VR8=</DigestValue>
      </Reference>
      <Reference URI="/xl/media/image1.jpeg?ContentType=image/jpeg">
        <DigestMethod Algorithm="http://www.w3.org/2000/09/xmldsig#sha1"/>
        <DigestValue>FKICNSXS4BMbrPTD39SQ4dDYgvY=</DigestValue>
      </Reference>
      <Reference URI="/xl/printerSettings/printerSettings6.bin?ContentType=application/vnd.openxmlformats-officedocument.spreadsheetml.printerSettings">
        <DigestMethod Algorithm="http://www.w3.org/2000/09/xmldsig#sha1"/>
        <DigestValue>z6hycgSTaoMgyG/HnMWbxVeyzRo=</DigestValue>
      </Reference>
      <Reference URI="/xl/drawings/drawing1.xml?ContentType=application/vnd.openxmlformats-officedocument.drawing+xml">
        <DigestMethod Algorithm="http://www.w3.org/2000/09/xmldsig#sha1"/>
        <DigestValue>daGl3GnQ3ckHCTZRoy8yYwM0qv4=</DigestValue>
      </Reference>
      <Reference URI="/xl/sharedStrings.xml?ContentType=application/vnd.openxmlformats-officedocument.spreadsheetml.sharedStrings+xml">
        <DigestMethod Algorithm="http://www.w3.org/2000/09/xmldsig#sha1"/>
        <DigestValue>uWvoeYWul5POatf/iswMgKqS5/4=</DigestValue>
      </Reference>
      <Reference URI="/xl/styles.xml?ContentType=application/vnd.openxmlformats-officedocument.spreadsheetml.styles+xml">
        <DigestMethod Algorithm="http://www.w3.org/2000/09/xmldsig#sha1"/>
        <DigestValue>Jgw4P+fDm7KnrH+uI3Z2qyHkM4o=</DigestValue>
      </Reference>
      <Reference URI="/xl/printerSettings/printerSettings9.bin?ContentType=application/vnd.openxmlformats-officedocument.spreadsheetml.printerSettings">
        <DigestMethod Algorithm="http://www.w3.org/2000/09/xmldsig#sha1"/>
        <DigestValue>z6hycgSTaoMgyG/HnMWbxVeyzRo=</DigestValue>
      </Reference>
      <Reference URI="/xl/worksheets/sheet5.xml?ContentType=application/vnd.openxmlformats-officedocument.spreadsheetml.worksheet+xml">
        <DigestMethod Algorithm="http://www.w3.org/2000/09/xmldsig#sha1"/>
        <DigestValue>PK3sUDVwsHsSQZDTMFir235FqGM=</DigestValue>
      </Reference>
      <Reference URI="/xl/media/image4.png?ContentType=image/png">
        <DigestMethod Algorithm="http://www.w3.org/2000/09/xmldsig#sha1"/>
        <DigestValue>GKmhhCPIMSe7zv+zGUrnpCJs5go=</DigestValue>
      </Reference>
      <Reference URI="/xl/drawings/drawing4.xml?ContentType=application/vnd.openxmlformats-officedocument.drawing+xml">
        <DigestMethod Algorithm="http://www.w3.org/2000/09/xmldsig#sha1"/>
        <DigestValue>c/BnScscFIxTU6uTLqnDadzr/20=</DigestValue>
      </Reference>
      <Reference URI="/xl/drawings/drawing2.xml?ContentType=application/vnd.openxmlformats-officedocument.drawing+xml">
        <DigestMethod Algorithm="http://www.w3.org/2000/09/xmldsig#sha1"/>
        <DigestValue>NkvqijABYK6zWBZKTmSFO3/FNzg=</DigestValue>
      </Reference>
      <Reference URI="/xl/media/image2.jpeg?ContentType=image/jpeg">
        <DigestMethod Algorithm="http://www.w3.org/2000/09/xmldsig#sha1"/>
        <DigestValue>X7qVYT4/v9LvlNODIZvSwoUJwXU=</DigestValue>
      </Reference>
      <Reference URI="/xl/worksheets/sheet8.xml?ContentType=application/vnd.openxmlformats-officedocument.spreadsheetml.worksheet+xml">
        <DigestMethod Algorithm="http://www.w3.org/2000/09/xmldsig#sha1"/>
        <DigestValue>xWF4/2GNRlKwA6hb3OujAXqMvsc=</DigestValue>
      </Reference>
      <Reference URI="/xl/drawings/drawing5.xml?ContentType=application/vnd.openxmlformats-officedocument.drawing+xml">
        <DigestMethod Algorithm="http://www.w3.org/2000/09/xmldsig#sha1"/>
        <DigestValue>X4V+Uj6FRpOwoBFIFZpivpNDQyc=</DigestValue>
      </Reference>
      <Reference URI="/xl/worksheets/sheet7.xml?ContentType=application/vnd.openxmlformats-officedocument.spreadsheetml.worksheet+xml">
        <DigestMethod Algorithm="http://www.w3.org/2000/09/xmldsig#sha1"/>
        <DigestValue>MOeTNfl9he2JpI5DIzouqJLQYSM=</DigestValue>
      </Reference>
      <Reference URI="/xl/worksheets/sheet6.xml?ContentType=application/vnd.openxmlformats-officedocument.spreadsheetml.worksheet+xml">
        <DigestMethod Algorithm="http://www.w3.org/2000/09/xmldsig#sha1"/>
        <DigestValue>Z62iqjh0TjPPdD6/wWWuWjuZl5w=</DigestValue>
      </Reference>
      <Reference URI="/xl/drawings/drawing3.xml?ContentType=application/vnd.openxmlformats-officedocument.drawing+xml">
        <DigestMethod Algorithm="http://www.w3.org/2000/09/xmldsig#sha1"/>
        <DigestValue>cB4CyPfZUd4H/cXWfRyh6xkkSbE=</DigestValue>
      </Reference>
      <Reference URI="/xl/media/image5.jpeg?ContentType=image/jpeg">
        <DigestMethod Algorithm="http://www.w3.org/2000/09/xmldsig#sha1"/>
        <DigestValue>EGctsySXhskwdGGUU1scIK/HgII=</DigestValue>
      </Reference>
      <Reference URI="/xl/printerSettings/printerSettings8.bin?ContentType=application/vnd.openxmlformats-officedocument.spreadsheetml.printerSettings">
        <DigestMethod Algorithm="http://www.w3.org/2000/09/xmldsig#sha1"/>
        <DigestValue>z6hycgSTaoMgyG/HnMWbxVeyzRo=</DigestValue>
      </Reference>
      <Reference URI="/xl/worksheets/sheet3.xml?ContentType=application/vnd.openxmlformats-officedocument.spreadsheetml.worksheet+xml">
        <DigestMethod Algorithm="http://www.w3.org/2000/09/xmldsig#sha1"/>
        <DigestValue>eRJk0gey0qnMfHXazdwZ1rhTOUA=</DigestValue>
      </Reference>
      <Reference URI="/xl/printerSettings/printerSettings2.bin?ContentType=application/vnd.openxmlformats-officedocument.spreadsheetml.printerSettings">
        <DigestMethod Algorithm="http://www.w3.org/2000/09/xmldsig#sha1"/>
        <DigestValue>z6hycgSTaoMgyG/HnMWbxVeyzRo=</DigestValue>
      </Reference>
      <Reference URI="/xl/worksheets/sheet2.xml?ContentType=application/vnd.openxmlformats-officedocument.spreadsheetml.worksheet+xml">
        <DigestMethod Algorithm="http://www.w3.org/2000/09/xmldsig#sha1"/>
        <DigestValue>IWMiL5CNE7voU3a7icADnDWxs6I=</DigestValue>
      </Reference>
      <Reference URI="/xl/printerSettings/printerSettings1.bin?ContentType=application/vnd.openxmlformats-officedocument.spreadsheetml.printerSettings">
        <DigestMethod Algorithm="http://www.w3.org/2000/09/xmldsig#sha1"/>
        <DigestValue>wLg5NkNPVkmqad2/GVoZoZYF8xU=</DigestValue>
      </Reference>
      <Reference URI="/xl/worksheets/sheet4.xml?ContentType=application/vnd.openxmlformats-officedocument.spreadsheetml.worksheet+xml">
        <DigestMethod Algorithm="http://www.w3.org/2000/09/xmldsig#sha1"/>
        <DigestValue>eO1uw4NxJKX1b9PNa59ohhVM6Jw=</DigestValue>
      </Reference>
      <Reference URI="/xl/printerSettings/printerSettings4.bin?ContentType=application/vnd.openxmlformats-officedocument.spreadsheetml.printerSettings">
        <DigestMethod Algorithm="http://www.w3.org/2000/09/xmldsig#sha1"/>
        <DigestValue>z6hycgSTaoMgyG/HnMWbxVeyzRo=</DigestValue>
      </Reference>
      <Reference URI="/xl/workbook.xml?ContentType=application/vnd.openxmlformats-officedocument.spreadsheetml.sheet.main+xml">
        <DigestMethod Algorithm="http://www.w3.org/2000/09/xmldsig#sha1"/>
        <DigestValue>Z5w0gSyCHXlyJ3Vmog35sT6SIfA=</DigestValue>
      </Reference>
      <Reference URI="/xl/media/image6.jpeg?ContentType=image/jpeg">
        <DigestMethod Algorithm="http://www.w3.org/2000/09/xmldsig#sha1"/>
        <DigestValue>yzU5crinwbdGO8RyT1Ml1ooSPLA=</DigestValue>
      </Reference>
      <Reference URI="/xl/printerSettings/printerSettings3.bin?ContentType=application/vnd.openxmlformats-officedocument.spreadsheetml.printerSettings">
        <DigestMethod Algorithm="http://www.w3.org/2000/09/xmldsig#sha1"/>
        <DigestValue>z6hycgSTaoMgyG/HnMWbxVeyzRo=</DigestValue>
      </Reference>
      <Reference URI="/xl/worksheets/sheet1.xml?ContentType=application/vnd.openxmlformats-officedocument.spreadsheetml.worksheet+xml">
        <DigestMethod Algorithm="http://www.w3.org/2000/09/xmldsig#sha1"/>
        <DigestValue>wOJtgYlIfQWseZC9FqexxX7/vNc=</DigestValue>
      </Reference>
      <Reference URI="/xl/drawings/drawing6.xml?ContentType=application/vnd.openxmlformats-officedocument.drawing+xml">
        <DigestMethod Algorithm="http://www.w3.org/2000/09/xmldsig#sha1"/>
        <DigestValue>n9cX3CM+bYt6pK3h0KS+Wjn8O6U=</DigestValue>
      </Reference>
      <Reference URI="/xl/printerSettings/printerSettings5.bin?ContentType=application/vnd.openxmlformats-officedocument.spreadsheetml.printerSettings">
        <DigestMethod Algorithm="http://www.w3.org/2000/09/xmldsig#sha1"/>
        <DigestValue>eitYw93fOi8d+/ILOAR4FC2Mrg8=</DigestValue>
      </Reference>
      <Reference URI="/xl/drawings/drawing8.xml?ContentType=application/vnd.openxmlformats-officedocument.drawing+xml">
        <DigestMethod Algorithm="http://www.w3.org/2000/09/xmldsig#sha1"/>
        <DigestValue>gjYevpt3XdUrv5nXFOdU7buLcWQ=</DigestValue>
      </Reference>
      <Reference URI="/xl/media/image8.jpeg?ContentType=image/jpeg">
        <DigestMethod Algorithm="http://www.w3.org/2000/09/xmldsig#sha1"/>
        <DigestValue>/a7h0zeu8s48VYvRIBmydnmR1vY=</DigestValue>
      </Reference>
      <Reference URI="/xl/media/image7.jpeg?ContentType=image/jpeg">
        <DigestMethod Algorithm="http://www.w3.org/2000/09/xmldsig#sha1"/>
        <DigestValue>QsjpgiPEaGyv9dnNK8FAHAGfw34=</DigestValue>
      </Reference>
      <Reference URI="/xl/drawings/drawing7.xml?ContentType=application/vnd.openxmlformats-officedocument.drawing+xml">
        <DigestMethod Algorithm="http://www.w3.org/2000/09/xmldsig#sha1"/>
        <DigestValue>ZnNR3DfaQZccIcrQiC7QXHr1ZEo=</DigestValue>
      </Reference>
      <Reference URI="/xl/printerSettings/printerSettings7.bin?ContentType=application/vnd.openxmlformats-officedocument.spreadsheetml.printerSettings">
        <DigestMethod Algorithm="http://www.w3.org/2000/09/xmldsig#sha1"/>
        <DigestValue>z6hycgSTaoMgyG/HnMWbxVeyzRo=</DigestValue>
      </Reference>
      <Reference URI="/xl/calcChain.xml?ContentType=application/vnd.openxmlformats-officedocument.spreadsheetml.calcChain+xml">
        <DigestMethod Algorithm="http://www.w3.org/2000/09/xmldsig#sha1"/>
        <DigestValue>ubW2CrYPSVVSIUyrcIhDnpQTitU=</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pXTYpt0oCqewtpSyBxPOmo/LzKM=</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2021-03-04T10:45:50Z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2021-03-04T10:45:50Z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Sheet10</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2021-03-04T08:44:02Z</dcterms:modified>
</cp:coreProperties>
</file>