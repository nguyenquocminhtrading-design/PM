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Default Extension="vml" ContentType="application/vnd.openxmlformats-officedocument.vmlDrawing"/>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9.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drawings/drawing3.xml" ContentType="application/vnd.openxmlformats-officedocument.drawing+xml"/>
  <Override PartName="/xl/drawings/drawing4.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mc:AlternateContent xmlns:mc="http://schemas.openxmlformats.org/markup-compatibility/2006">
    <mc:Choice Requires="x15">
      <x15ac:absPath xmlns:x15ac="http://schemas.microsoft.com/office/spreadsheetml/2010/11/ac" url="W:\GTO_SSO_FUNDSERVICES_GSSCKL\10. CLIENT PORTFOLIO-VN\1.01 VFMVF1\2019 VF1\10. Oct\Monthly\FMS\"/>
    </mc:Choice>
  </mc:AlternateContent>
  <xr:revisionPtr revIDLastSave="0" documentId="13_ncr:1_{514A6DE8-4D39-450D-8829-C77D2F48A48E}" xr6:coauthVersionLast="36" xr6:coauthVersionMax="36" xr10:uidLastSave="{00000000-0000-0000-0000-000000000000}"/>
  <bookViews>
    <workbookView xWindow="0" yWindow="0" windowWidth="15360" windowHeight="7545" tabRatio="863" firstSheet="1" activeTab="1" xr2:uid="{00000000-000D-0000-FFFF-FFFF00000000}"/>
  </bookViews>
  <sheets>
    <sheet name="Tong quat"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GiaTriTaiSanRong_06129" sheetId="33" r:id="rId8"/>
    <sheet name="BCHoatDongVay_06026" sheetId="46" r:id="rId9"/>
    <sheet name="LogoFMS" sheetId="25" state="hidden" r:id="rId10"/>
  </sheets>
  <definedNames>
    <definedName name="_xlnm._FilterDatabase" localSheetId="5" hidden="1">BCDanhMucDauTu_06029!$A$18:$H$18</definedName>
    <definedName name="_xlnm._FilterDatabase" localSheetId="7" hidden="1">GiaTriTaiSanRong_06129!$A$18:$F$18</definedName>
    <definedName name="addlogo">INDEX(LogoFMS!$C$3:$C$39,MATCH(LogoFMS!$D$1,LogoFMS!$A$3:$A$39,0))</definedName>
    <definedName name="_xlnm.Print_Area" localSheetId="8">BCHoatDongVay_06026!$A$1:$K$46</definedName>
    <definedName name="_xlnm.Print_Area" localSheetId="4">BCKetQuaHoatDong_06028!$A:$F</definedName>
    <definedName name="_xlnm.Print_Area" localSheetId="3">BCTaiSan_06027!$A$1:$J$105</definedName>
    <definedName name="_xlnm.Print_Area" localSheetId="1">BCthunhap!$A$1:$G$95</definedName>
    <definedName name="_xlnm.Print_Area" localSheetId="2">BCtinhhinhtaichinh!$A$1:$F$138</definedName>
    <definedName name="_xlnm.Print_Area" localSheetId="7">GiaTriTaiSanRong_06129!$A$1:$F$43</definedName>
    <definedName name="_xlnm.Print_Area" localSheetId="6">Khac_06030!$A$1:$E$63</definedName>
    <definedName name="_xlnm.Print_Area" localSheetId="0">'Tong quat'!$A$1:$K$75</definedName>
    <definedName name="_xlnm.Print_Titles" localSheetId="5">BCDanhMucDauTu_06029!$18:$18</definedName>
    <definedName name="_xlnm.Print_Titles" localSheetId="8">BCHoatDongVay_06026!$16:$17</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16" i="42" l="1"/>
  <c r="E16" i="42"/>
  <c r="C14" i="44" l="1"/>
  <c r="C13" i="44"/>
  <c r="C12" i="44"/>
  <c r="C11" i="44"/>
  <c r="C10" i="44"/>
  <c r="C9" i="44"/>
  <c r="C8" i="44"/>
  <c r="C7" i="44"/>
  <c r="A5" i="44"/>
  <c r="C14" i="43" l="1"/>
  <c r="C13" i="43"/>
  <c r="C12" i="43"/>
  <c r="C11" i="43"/>
  <c r="C10" i="43"/>
  <c r="C9" i="43"/>
  <c r="C8" i="43"/>
  <c r="C7" i="43"/>
  <c r="A5" i="43"/>
  <c r="C14" i="42" l="1"/>
  <c r="C13" i="42"/>
  <c r="C12" i="42"/>
  <c r="C11" i="42"/>
  <c r="C10" i="42"/>
  <c r="C9" i="42"/>
  <c r="C8" i="42"/>
  <c r="C7" i="42"/>
  <c r="A5" i="42"/>
  <c r="D14" i="34" l="1"/>
  <c r="D12" i="34"/>
  <c r="D10" i="34"/>
  <c r="D13" i="34"/>
  <c r="D11" i="34"/>
  <c r="D9" i="34"/>
  <c r="D8" i="34"/>
  <c r="D7" i="34"/>
  <c r="A5" i="34"/>
  <c r="D17" i="34" l="1"/>
  <c r="E31" i="33" l="1"/>
  <c r="E30" i="33"/>
  <c r="A31" i="33"/>
  <c r="A30" i="33"/>
  <c r="E43" i="33"/>
  <c r="E42" i="33"/>
  <c r="A43" i="33"/>
  <c r="A42" i="33"/>
  <c r="A41" i="33"/>
  <c r="D14" i="33"/>
  <c r="D12" i="33"/>
  <c r="D10" i="33"/>
  <c r="D13" i="33"/>
  <c r="D11" i="33"/>
  <c r="D9" i="33"/>
  <c r="D8" i="33"/>
  <c r="D7" i="33"/>
  <c r="A5" i="33"/>
  <c r="F18" i="33"/>
  <c r="E18" i="33"/>
  <c r="D63" i="32" l="1"/>
  <c r="D62" i="32"/>
  <c r="A63" i="32"/>
  <c r="A62" i="32"/>
  <c r="A61" i="32"/>
  <c r="D51" i="32"/>
  <c r="D50" i="32"/>
  <c r="A51" i="32"/>
  <c r="A50" i="32"/>
  <c r="C14" i="32"/>
  <c r="C12" i="32"/>
  <c r="C10" i="32"/>
  <c r="C13" i="32"/>
  <c r="C11" i="32"/>
  <c r="C9" i="32"/>
  <c r="C8" i="32"/>
  <c r="C7" i="32"/>
  <c r="A5" i="32"/>
  <c r="E18" i="32"/>
  <c r="D18" i="32"/>
  <c r="D92" i="29" l="1"/>
  <c r="D91" i="29"/>
  <c r="A92" i="29"/>
  <c r="A91" i="29"/>
  <c r="A90" i="29"/>
  <c r="D82" i="29"/>
  <c r="D81" i="29"/>
  <c r="A82" i="29"/>
  <c r="A81" i="29"/>
  <c r="C14" i="29"/>
  <c r="C12" i="29"/>
  <c r="C10" i="29"/>
  <c r="C13" i="29"/>
  <c r="C11" i="29"/>
  <c r="C9" i="29"/>
  <c r="A5" i="29"/>
  <c r="C8" i="29"/>
  <c r="C7" i="29"/>
  <c r="F19" i="1" l="1"/>
  <c r="D61" i="32" l="1"/>
  <c r="E41" i="33"/>
  <c r="D90" i="29"/>
</calcChain>
</file>

<file path=xl/sharedStrings.xml><?xml version="1.0" encoding="utf-8"?>
<sst xmlns="http://schemas.openxmlformats.org/spreadsheetml/2006/main" count="1560" uniqueCount="1268">
  <si>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</si>
  <si>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</si>
  <si>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</si>
  <si>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</si>
  <si>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</si>
  <si>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</si>
  <si>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</si>
  <si>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</si>
  <si>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</si>
  <si>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</si>
  <si>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</si>
  <si>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</si>
  <si>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</si>
  <si>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</si>
  <si>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</si>
  <si>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</si>
  <si>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</si>
  <si>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</si>
  <si>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</si>
  <si>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</si>
  <si>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</si>
  <si>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Thống kê các Thuyết minh BCTC</t>
  </si>
  <si>
    <t>Có trình bày Y/N/O</t>
  </si>
  <si>
    <t>Nguyên nhân không trình bày</t>
  </si>
  <si>
    <t>1/</t>
  </si>
  <si>
    <t>Tiền gửi Ngân hàng</t>
  </si>
  <si>
    <t>Y</t>
  </si>
  <si>
    <t>2/</t>
  </si>
  <si>
    <t>Các khoản đầu tư</t>
  </si>
  <si>
    <t>3/</t>
  </si>
  <si>
    <t>Các khoản dự phòng</t>
  </si>
  <si>
    <t>O</t>
  </si>
  <si>
    <t>Chỉ có VF1 trình bày, các Quỹ khác không có khoản mục này không phải trình bày</t>
  </si>
  <si>
    <t>4/</t>
  </si>
  <si>
    <t>Vay ngắn hạn</t>
  </si>
  <si>
    <t>N</t>
  </si>
  <si>
    <t>Không có số dư không trình bày</t>
  </si>
  <si>
    <t>5/</t>
  </si>
  <si>
    <t>Phải trả mua các khoản đầu tư</t>
  </si>
  <si>
    <t>6/</t>
  </si>
  <si>
    <t>Phải trả các Đại lý phân phối, Công ty Quản lý quỹ về phí phát hành và mua lại Chứng chỉ quỹ</t>
  </si>
  <si>
    <t>Trên báo cáo chính đã chi tiết theo từng khoản mục</t>
  </si>
  <si>
    <t>7/</t>
  </si>
  <si>
    <t>Thuế và các khoản phải nộp Nhà nước</t>
  </si>
  <si>
    <t>Không bắt buộc, Quỹ chỉ có khoản mục thuế từ hoạt động mua bán CCQ và Thù lao BDD</t>
  </si>
  <si>
    <t>8/</t>
  </si>
  <si>
    <t>Phải trả thu nhập cho Nhà đầu tư</t>
  </si>
  <si>
    <t>Quỹ nào có chia cổ tức mới trình bày</t>
  </si>
  <si>
    <t>9/</t>
  </si>
  <si>
    <t>Chi phí phải trả</t>
  </si>
  <si>
    <t>10/</t>
  </si>
  <si>
    <t>Phải trả dịch vụ quản lý quỹ</t>
  </si>
  <si>
    <t>11/</t>
  </si>
  <si>
    <t>Phải trả, phải nộp khác</t>
  </si>
  <si>
    <t>Chi tiết theo nature khoản mục của từng quỹ</t>
  </si>
  <si>
    <t>12/</t>
  </si>
  <si>
    <t>Tình hình biến động vốn chủ sở hữu</t>
  </si>
  <si>
    <t>13/</t>
  </si>
  <si>
    <t>Lợi nhuận chưa phân phối</t>
  </si>
  <si>
    <t>14/</t>
  </si>
  <si>
    <t xml:space="preserve">Lãi, lỗ bán các khoản đầu tư </t>
  </si>
  <si>
    <t>Tính toán lại dựa trên Báo cáo Sale and Purchase Report, checking với cân đối</t>
  </si>
  <si>
    <t>15/</t>
  </si>
  <si>
    <t>Chênh lệch đánh giá lại các khoản đầu tư</t>
  </si>
  <si>
    <t>Dựa trên báo cáo Portfolio Valuation</t>
  </si>
  <si>
    <t>16/</t>
  </si>
  <si>
    <t>Doanh thu hoạt động đầu tư</t>
  </si>
  <si>
    <t>17/</t>
  </si>
  <si>
    <t>Chi phí giao dịch mua các khoản đầu tư</t>
  </si>
  <si>
    <t>Hệ thống ko support nhặt số liệu báo cáo này</t>
  </si>
  <si>
    <t>18/</t>
  </si>
  <si>
    <t>Chi phí giao dịch bán các khoản đầu tư</t>
  </si>
  <si>
    <t>19/</t>
  </si>
  <si>
    <t>Chi phí đầu tư</t>
  </si>
  <si>
    <t>20/</t>
  </si>
  <si>
    <t>Chi phí quản lý Quỹ mở</t>
  </si>
  <si>
    <t>21/</t>
  </si>
  <si>
    <t>Thuyết minh về giá trị tài sản ròng</t>
  </si>
  <si>
    <t>Thống kê theo từng kỳ NAV</t>
  </si>
  <si>
    <t>22/</t>
  </si>
  <si>
    <t>Thuyết minh về danh mục các khoản đầu tư</t>
  </si>
  <si>
    <t>Báo cáo theo thông tư 183 đã có thông tin</t>
  </si>
  <si>
    <t>23/</t>
  </si>
  <si>
    <t>Thuyết minh về các Tài khoản loại 0</t>
  </si>
  <si>
    <t>24/</t>
  </si>
  <si>
    <t>Những thông tin khác</t>
  </si>
  <si>
    <t>Không bắt buộc trình bày</t>
  </si>
  <si>
    <t xml:space="preserve">Báo cáo về tài sản của quỹ </t>
  </si>
  <si>
    <t>Báo cáo kết quả hoạt động</t>
  </si>
  <si>
    <t xml:space="preserve">Báo cáo danh mục đầu tư của quỹ </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</si>
  <si>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</si>
  <si>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</si>
  <si>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</si>
  <si>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</si>
  <si>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</si>
  <si>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</si>
  <si>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</si>
  <si>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</si>
  <si>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</si>
  <si>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</si>
  <si>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</si>
  <si>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</si>
  <si>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</si>
  <si>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</si>
  <si>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</si>
  <si>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</si>
  <si>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</si>
  <si>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</si>
  <si>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</si>
  <si>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ĐỊNH KỲ VỀ HOẠT ĐỘNG ĐẦU TƯ CỦA QUỸ
PERIODICAL REPORT ON FUND'S INVESTMENT ACTIVITIES</t>
  </si>
  <si>
    <t>Fund Management Company:</t>
  </si>
  <si>
    <t>I</t>
  </si>
  <si>
    <t>BÁO CÁO TÀI SẢN CỦA QUỸ / ASSET REPORT</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</si>
  <si>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</si>
  <si>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</si>
  <si>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</si>
  <si>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</si>
  <si>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</si>
  <si>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</si>
  <si>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</si>
  <si>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</si>
  <si>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</si>
  <si>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</si>
  <si>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</si>
  <si>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</si>
  <si>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</si>
  <si>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</si>
  <si>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</si>
  <si>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</si>
  <si>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</si>
  <si>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</si>
  <si>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</si>
  <si>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</si>
  <si>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</si>
  <si>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Phí giám sát
Supervisory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</si>
  <si>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</si>
  <si>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</si>
  <si>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</si>
  <si>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</si>
  <si>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</si>
  <si>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</si>
  <si>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</si>
  <si>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</si>
  <si>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Các loại phí, chi phí khác
Other fees, expenses</t>
  </si>
  <si>
    <t>Chi phí thiết lập Quỹ
Set up Expenses</t>
  </si>
  <si>
    <t>Phí quản lý thường niên trả cho UBCKNN
Annual management fee paid to SSC</t>
  </si>
  <si>
    <t>Phí ngân hàng
Bank charges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</si>
  <si>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</si>
  <si>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</si>
  <si>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</si>
  <si>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</si>
  <si>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</si>
  <si>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</si>
  <si>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</si>
  <si>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</si>
  <si>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</si>
  <si>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</si>
  <si>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</si>
  <si>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</si>
  <si>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</si>
  <si>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</si>
  <si>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</si>
  <si>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</si>
  <si>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</si>
  <si>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</si>
  <si>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</si>
  <si>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</si>
  <si>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</si>
  <si>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</si>
  <si>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</si>
  <si>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</si>
  <si>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</si>
  <si>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</si>
  <si>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</si>
  <si>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</si>
  <si>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</si>
  <si>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</si>
  <si>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</si>
  <si>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</si>
  <si>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</si>
  <si>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</si>
  <si>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</si>
  <si>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</si>
  <si>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</si>
  <si>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</si>
  <si>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</si>
  <si>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</si>
  <si>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</si>
  <si>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</si>
  <si>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</si>
  <si>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</si>
  <si>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</si>
  <si>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</si>
  <si>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</si>
  <si>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</si>
  <si>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</si>
  <si>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</si>
  <si>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</si>
  <si>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</si>
  <si>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</si>
  <si>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</si>
  <si>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</si>
  <si>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</si>
  <si>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</si>
  <si>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</si>
  <si>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</si>
  <si>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2240</t>
  </si>
  <si>
    <t>2239.1</t>
  </si>
  <si>
    <t>2239.2</t>
  </si>
  <si>
    <t>2239.3</t>
  </si>
  <si>
    <t>2239.4</t>
  </si>
  <si>
    <t>2243</t>
  </si>
  <si>
    <t>2244</t>
  </si>
  <si>
    <t>2245</t>
  </si>
  <si>
    <t>BÁO CÁO VỀ TÌNH HÌNH DANH MỤC ĐẦU TƯ CỦA QUỸ / INVESTMENT PORTFOLIO REPORT</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</si>
  <si>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</si>
  <si>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</si>
  <si>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</si>
  <si>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</si>
  <si>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</si>
  <si>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</si>
  <si>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</si>
  <si>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</si>
  <si>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</si>
  <si>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</si>
  <si>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</si>
  <si>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</si>
  <si>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</si>
  <si>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</si>
  <si>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</si>
  <si>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</si>
  <si>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</si>
  <si>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</si>
  <si>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</si>
  <si>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</si>
  <si>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Tổng số lượng đơn vị quỹ đang lưu hành đầu kỳ
Total number of outstanding Fund Certificate at the beginning of period</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</si>
  <si>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</si>
  <si>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</si>
  <si>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</si>
  <si>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</si>
  <si>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</si>
  <si>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</si>
  <si>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</si>
  <si>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Số lượng đơn vị quỹ phát hành thêm trong kỳ
Number of Fund Certificates subscribed during the period</t>
  </si>
  <si>
    <t>2277</t>
  </si>
  <si>
    <t>2278</t>
  </si>
  <si>
    <t>Số lượng đơn vị quỹ mua lại trong kỳ
Number of Fund Certificates redeemed during the period</t>
  </si>
  <si>
    <t>22781</t>
  </si>
  <si>
    <t>22782</t>
  </si>
  <si>
    <t>2279</t>
  </si>
  <si>
    <t>Tổng giá trị chứng chỉ quỹ đang lưu hành cuối kỳ
Total value of outstanding Fund Certificate at the end of the period</t>
  </si>
  <si>
    <t>2280</t>
  </si>
  <si>
    <t>Tổng số lượng đơn vị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</si>
  <si>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</si>
  <si>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</si>
  <si>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</si>
  <si>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</si>
  <si>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</si>
  <si>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</si>
  <si>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</si>
  <si>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</si>
  <si>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</si>
  <si>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</si>
  <si>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Ghi chú / Notes:</t>
  </si>
  <si>
    <t>(**) Không tính đến giá trị cam kết của các hợp đồng tương lai chỉ số.
Excluding the committed value of the Index Futures contracts.</t>
  </si>
  <si>
    <t>I. Giá trị tài sản ròng của Quỹ mở (NAV) đầu kỳ
Net Asset Value (NAV) at the beginning of period</t>
  </si>
  <si>
    <t>4060</t>
  </si>
  <si>
    <t>II. Thay đổi NAV so với kỳ trước (= II.1 + II.2), 
trong đó:
Change of NAV during the period (= II.1 + II.2),
of which:</t>
  </si>
  <si>
    <t>4061</t>
  </si>
  <si>
    <t>II.1 Thay đổi NAV do biến động thị trường và hoạt động giao dịch của Quỹ mở trong kỳ
Changes of NAV due to market fluctuation and the fund's investment during the period</t>
  </si>
  <si>
    <t>4062</t>
  </si>
  <si>
    <t>4063</t>
  </si>
  <si>
    <t>III. Thay đổi NAV do mua lại, phát hành thêm Chứng chỉ quỹ (= III.1 + III.2)
Change of NAV due to redemption, subscription of Fund Certificate (= III.1 + III.2)</t>
  </si>
  <si>
    <t>4064</t>
  </si>
  <si>
    <t>III.1</t>
  </si>
  <si>
    <t>III.1 Khoản thu từ việc phát hành bổ sung Chứng chỉ quỹ
Increase from Subscription of Fund Certificate</t>
  </si>
  <si>
    <t>4065</t>
  </si>
  <si>
    <t>III.2</t>
  </si>
  <si>
    <t>III.2 Khoản thanh toán từ việc mua lại Chứng chỉ quỹ
Decrease from Redemption of Fund Certificate</t>
  </si>
  <si>
    <t>4066</t>
  </si>
  <si>
    <t>4067</t>
  </si>
  <si>
    <t>4067.1</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</si>
  <si>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</si>
  <si>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</si>
  <si>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</si>
  <si>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</si>
  <si>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</si>
  <si>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</si>
  <si>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</si>
  <si>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</si>
  <si>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</si>
  <si>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</si>
  <si>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</si>
  <si>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</si>
  <si>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</si>
  <si>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</si>
  <si>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</si>
  <si>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</si>
  <si>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</si>
  <si>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</si>
  <si>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</si>
  <si>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</si>
  <si>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</si>
  <si>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</si>
  <si>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</si>
  <si>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</si>
  <si>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</si>
  <si>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</si>
  <si>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</si>
  <si>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</si>
  <si>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</si>
  <si>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</si>
  <si>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</si>
  <si>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</si>
  <si>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</si>
  <si>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</si>
  <si>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</si>
  <si>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</si>
  <si>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</si>
  <si>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</si>
  <si>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</si>
  <si>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</si>
  <si>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</si>
  <si>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</si>
  <si>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</si>
  <si>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</si>
  <si>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</si>
  <si>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</si>
  <si>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</si>
  <si>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</si>
  <si>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</si>
  <si>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</si>
  <si>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</si>
  <si>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</si>
  <si>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</si>
  <si>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</si>
  <si>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</si>
  <si>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</si>
  <si>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</si>
  <si>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</si>
  <si>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</si>
  <si>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</si>
  <si>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</si>
  <si>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</si>
  <si>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</si>
  <si>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</si>
  <si>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</si>
  <si>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</si>
  <si>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</si>
  <si>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</si>
  <si>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</si>
  <si>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</si>
  <si>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</si>
  <si>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</si>
  <si>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</si>
  <si>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</si>
  <si>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</si>
  <si>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</si>
  <si>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</si>
  <si>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</si>
  <si>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</si>
  <si>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</si>
  <si>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</si>
  <si>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</si>
  <si>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</si>
  <si>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</si>
  <si>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</si>
  <si>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</si>
  <si>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</si>
  <si>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</si>
  <si>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</si>
  <si>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</si>
  <si>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</si>
  <si>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</si>
  <si>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</si>
  <si>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</si>
  <si>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FUNDCODE</t>
  </si>
  <si>
    <t>FUNDNAME</t>
  </si>
  <si>
    <t>LOGO</t>
  </si>
  <si>
    <t>VFMVEI</t>
  </si>
  <si>
    <t>Quỹ Đầu tư Cổ phiếu Việt Nam</t>
  </si>
  <si>
    <t>VFMVF1</t>
  </si>
  <si>
    <t>Quỹ Đầu tư Chứng khoán Việt Nam</t>
  </si>
  <si>
    <t>VFMVF4</t>
  </si>
  <si>
    <t>Quỹ Đầu tư Doanh nghiệp hàng đầu Việt Nam</t>
  </si>
  <si>
    <t>VFMVFA</t>
  </si>
  <si>
    <t>Quỹ Đầu tư Năng Động Việt Nam</t>
  </si>
  <si>
    <t>VFMVFB</t>
  </si>
  <si>
    <t>Quỹ Đầu tư Trái phiếu Việt Nam</t>
  </si>
  <si>
    <t>VFMVFC</t>
  </si>
  <si>
    <t>Quỹ đầu tư Định Hướng Bảo Toàn Vốn Việt Nam</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</si>
  <si>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</si>
  <si>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</si>
  <si>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</si>
  <si>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</si>
  <si>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</si>
  <si>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</si>
  <si>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</si>
  <si>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</si>
  <si>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</si>
  <si>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</si>
  <si>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</si>
  <si>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</si>
  <si>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</si>
  <si>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</si>
  <si>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</si>
  <si>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</si>
  <si>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</si>
  <si>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</si>
  <si>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</si>
  <si>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</si>
  <si>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</si>
  <si>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</si>
  <si>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</si>
  <si>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</si>
  <si>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</si>
  <si>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</si>
  <si>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</si>
  <si>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</si>
  <si>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Phụ lục 26. Mẫu báo cáo thay đổi giá trị tài sản ròng, giao dịch chứng chỉ quỹ
Appendix 26. Report on change of Net Asset Value, trading of Fund Certificate</t>
  </si>
  <si>
    <t>03.4</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</si>
  <si>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</si>
  <si>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</si>
  <si>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</si>
  <si>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</si>
  <si>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</si>
  <si>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</si>
  <si>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</si>
  <si>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</si>
  <si>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</si>
  <si>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</si>
  <si>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</si>
  <si>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</si>
  <si>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</si>
  <si>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</si>
  <si>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</si>
  <si>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</si>
  <si>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</si>
  <si>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</si>
  <si>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</si>
  <si>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</si>
  <si>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</si>
  <si>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</si>
  <si>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</si>
  <si>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</si>
  <si>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</si>
  <si>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</si>
  <si>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</si>
  <si>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</si>
  <si>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</si>
  <si>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</si>
  <si>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</si>
  <si>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</si>
  <si>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</si>
  <si>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</si>
  <si>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Không có</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</si>
  <si>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</si>
  <si>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</si>
  <si>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</si>
  <si>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</si>
  <si>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</si>
  <si>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</si>
  <si>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</si>
  <si>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</si>
  <si>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</si>
  <si>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</si>
  <si>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</si>
  <si>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</si>
  <si>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</si>
  <si>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</si>
  <si>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</si>
  <si>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</si>
  <si>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</si>
  <si>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</si>
  <si>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</si>
  <si>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II.2 Thay đổi NAV do phân chia Lợi nhuận/Tài sản của Quỹ mở cho Nhà đầu tư trong kỳ
Change of NAV due to profit/asset distribution to investors during the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</si>
  <si>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</si>
  <si>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</si>
  <si>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</si>
  <si>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</si>
  <si>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</si>
  <si>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</si>
  <si>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</si>
  <si>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</si>
  <si>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</si>
  <si>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</si>
  <si>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</si>
  <si>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 xml:space="preserve">V. Giá trị tài sản ròng trên một đơn vị quỹ cuối kỳ
NAV per unit at the end of period </t>
  </si>
  <si>
    <t>Phí quản lý trả cho Công ty quản lý quỹ
Management Fee paid to Fund Management Company</t>
  </si>
  <si>
    <t>Phí lưu ký, giám sát trả cho Ngân hàng Giám sát/VSD
Custody fee, Supervising fee paid to Supervising Bank/VSD</t>
  </si>
  <si>
    <t>Phí dịch vụ lưu ký cho chứng khoán cơ sở, phí quản lý vị thế và tài sản phái sinh trả cho VSD
Custodian service -  Depository fee, Position and Margin management fee paid to VSD</t>
  </si>
  <si>
    <t>Chi phí dịch vụ quản trị quỹ, chi phí dịch vụ đại lý chuyển nhượng và các chi phí khác mà công ty quản lý quỹ trả cho tổ chức cung cấp dịch vụ có liên quan
Fund Administration Fee, Transfer Agency Fee and other fees paid to relevant Fund's service providers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</si>
  <si>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</si>
  <si>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</si>
  <si>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</si>
  <si>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</si>
  <si>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</si>
  <si>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</si>
  <si>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</si>
  <si>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</si>
  <si>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</si>
  <si>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</si>
  <si>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</si>
  <si>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</si>
  <si>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</si>
  <si>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</si>
  <si>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</si>
  <si>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Tỷ lệ phí quản lý trả cho công ty quản lý quỹ/Giá trị tài sản ròng trung bình trong kỳ (%)
Management fee paid to the fund management company/Average NAV (%)</t>
  </si>
  <si>
    <t>Tỷ lệ phí lưu ký, giám sát trả cho Ngân hàng Giám sát/Giá trị tài sản ròng trung bình trong kỳ (%)
Custody and supervising fees paid to the Supervisory Bank/Average NAV (%)</t>
  </si>
  <si>
    <t>Tỷ lệ chi phí dịch vụ quản trị quỹ, chi phí dịch vụ đại lý chuyển nhượng và các chi phí khác mà công ty quản lý quỹ trả cho tổ chức cung cấp dịch vụ có liên quan/Giá trị tài sản ròng của quỹ trung bình trong kỳ (%)
Fund admin fee, transfer agency fee and other fees paid to relating services providers by the fund management company/Average NAV (%)</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</si>
  <si>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</si>
  <si>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</si>
  <si>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Tỷ lệ chi phí hoạt động/Giá trị tài sản ròng trung bình trong kỳ (%)
Operating expense/Average NAV (%)</t>
  </si>
  <si>
    <t>Tốc độ vòng quay danh mục trong kỳ (%) = (Tổng giá trị danh mục mua vào + tổng giá trị danh mục bán ra)/2/Giá trị tài sản ròng trung bình trong kỳ
Portfolio turnover rate (%) = (Total value of purchase transactions + total value of sales transactions)/2/Average NAV (**)</t>
  </si>
  <si>
    <t>BÁO CÁO THAY ĐỔI GIÁ TRỊ TÀI SẢN RÒNG, GIAO DỊCH CHỨNG CHỈ QUỸ
REPORT ON CHANGE OF NET ASSET VALUE, TRADING OF FUND CERTIFICATE</t>
  </si>
  <si>
    <t>Nội dung
Item</t>
  </si>
  <si>
    <t>IV. Giá trị tài sản ròng của Quỹ mở cuối kỳ 
(= I + II + III) 
NAV at the end of period (= I + II + III)</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</si>
  <si>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</si>
  <si>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</si>
  <si>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</si>
  <si>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</si>
  <si>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</si>
  <si>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</si>
  <si>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</si>
  <si>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</si>
  <si>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</si>
  <si>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</si>
  <si>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</si>
  <si>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</si>
  <si>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</si>
  <si>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</si>
  <si>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</si>
  <si>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</si>
  <si>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</si>
  <si>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</si>
  <si>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</si>
  <si>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</si>
  <si>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</si>
  <si>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</si>
  <si>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</si>
  <si>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</si>
  <si>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</si>
  <si>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</si>
  <si>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</si>
  <si>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</si>
  <si>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</si>
  <si>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</si>
  <si>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</si>
  <si>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</si>
  <si>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</si>
  <si>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</si>
  <si>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</si>
  <si>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</si>
  <si>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</si>
  <si>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</si>
  <si>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</si>
  <si>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</si>
  <si>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</si>
  <si>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</si>
  <si>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</si>
  <si>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</si>
  <si>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</si>
  <si>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</si>
  <si>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</si>
  <si>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</si>
  <si>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</si>
  <si>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</si>
  <si>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</si>
  <si>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</si>
  <si>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</si>
  <si>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</si>
  <si>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</si>
  <si>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</si>
  <si>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</si>
  <si>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</si>
  <si>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</si>
  <si>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</si>
  <si>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</si>
  <si>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</si>
  <si>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</si>
  <si>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</si>
  <si>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</si>
  <si>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</si>
  <si>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</si>
  <si>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</si>
  <si>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</si>
  <si>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</si>
  <si>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</si>
  <si>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</si>
  <si>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</si>
  <si>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</si>
  <si>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</si>
  <si>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</si>
  <si>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</si>
  <si>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</si>
  <si>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</si>
  <si>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</si>
  <si>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</si>
  <si>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</si>
  <si>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</si>
  <si>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</si>
  <si>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</si>
  <si>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</si>
  <si>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</si>
  <si>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</si>
  <si>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</si>
  <si>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</si>
  <si>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</si>
  <si>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</si>
  <si>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</si>
  <si>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</si>
  <si>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</si>
  <si>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</si>
  <si>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</si>
  <si>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</si>
  <si>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</si>
  <si>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</si>
  <si>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136.6</t>
  </si>
  <si>
    <t>3.3</t>
  </si>
  <si>
    <t>3.3. Các khoản phải thu khác
Other receivables</t>
  </si>
  <si>
    <t>137</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</si>
  <si>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</si>
  <si>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</si>
  <si>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</si>
  <si>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</si>
  <si>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</si>
  <si>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</si>
  <si>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</si>
  <si>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</si>
  <si>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</si>
  <si>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</si>
  <si>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</si>
  <si>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</si>
  <si>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</si>
  <si>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</si>
  <si>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</si>
  <si>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</si>
  <si>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</si>
  <si>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</si>
  <si>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</si>
  <si>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</si>
  <si>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</si>
  <si>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</si>
  <si>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</si>
  <si>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</si>
  <si>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</si>
  <si>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</si>
  <si>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</si>
  <si>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</si>
  <si>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</si>
  <si>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</si>
  <si>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</si>
  <si>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</si>
  <si>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</si>
  <si>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</si>
  <si>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</si>
  <si>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</si>
  <si>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</si>
  <si>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</si>
  <si>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</si>
  <si>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</si>
  <si>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</si>
  <si>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</si>
  <si>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</si>
  <si>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</si>
  <si>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</si>
  <si>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</si>
  <si>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</si>
  <si>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</si>
  <si>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</si>
  <si>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</si>
  <si>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</si>
  <si>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</si>
  <si>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</si>
  <si>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</si>
  <si>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</si>
  <si>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</si>
  <si>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</si>
  <si>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</si>
  <si>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</si>
  <si>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</si>
  <si>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</si>
  <si>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</si>
  <si>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</si>
  <si>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</si>
  <si>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</si>
  <si>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</si>
  <si>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</si>
  <si>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</si>
  <si>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</si>
  <si>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</si>
  <si>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</si>
  <si>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</si>
  <si>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</si>
  <si>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</si>
  <si>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</si>
  <si>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</si>
  <si>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</si>
  <si>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</si>
  <si>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</si>
  <si>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</si>
  <si>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</si>
  <si>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</si>
  <si>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</si>
  <si>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</si>
  <si>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</si>
  <si>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</si>
  <si>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</si>
  <si>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</si>
  <si>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</si>
  <si>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</si>
  <si>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</si>
  <si>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</si>
  <si>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</si>
  <si>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</si>
  <si>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</si>
  <si>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</si>
  <si>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</si>
  <si>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</si>
  <si>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</si>
  <si>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</si>
  <si>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</si>
  <si>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</si>
  <si>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</si>
  <si>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</si>
  <si>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</si>
  <si>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</si>
  <si>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</si>
  <si>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</si>
  <si>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</si>
  <si>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</si>
  <si>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</si>
  <si>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</si>
  <si>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</si>
  <si>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</si>
  <si>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</si>
  <si>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</si>
  <si>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</si>
  <si>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</si>
  <si>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</si>
  <si>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</si>
  <si>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I</t>
  </si>
  <si>
    <t>TÀI SẢN
ASSETS</t>
  </si>
  <si>
    <t>2200</t>
  </si>
  <si>
    <t>I.1</t>
  </si>
  <si>
    <t>Tiền và các khoản tương đương tiền
Cash and Cash Equivalents</t>
  </si>
  <si>
    <t>2201</t>
  </si>
  <si>
    <t/>
  </si>
  <si>
    <t>2202</t>
  </si>
  <si>
    <t/>
  </si>
  <si>
    <t>Tiền gửi ngân hàng
Cash at bank</t>
  </si>
  <si>
    <t>2203</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</si>
  <si>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</si>
  <si>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</si>
  <si>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</si>
  <si>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</si>
  <si>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</si>
  <si>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</si>
  <si>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</si>
  <si>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</si>
  <si>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</si>
  <si>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</si>
  <si>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</si>
  <si>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</si>
  <si>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</si>
  <si>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Các khoản tương đương tiền
Cash Equivalents</t>
  </si>
  <si>
    <t>2204</t>
  </si>
  <si>
    <t>I.2</t>
  </si>
  <si>
    <t>Các khoản đầu tư (kê chi tiết)
Investments</t>
  </si>
  <si>
    <t>2205</t>
  </si>
  <si>
    <t/>
  </si>
  <si>
    <t>Cổ phiếu niêm yết
Listed shares</t>
  </si>
  <si>
    <t>2205.1</t>
  </si>
  <si>
    <t/>
  </si>
  <si>
    <t>Cổ phiếu chưa niêm yết
Unlisted shares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</si>
  <si>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</si>
  <si>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</si>
  <si>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</si>
  <si>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</si>
  <si>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</si>
  <si>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</si>
  <si>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</si>
  <si>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</si>
  <si>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</si>
  <si>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</si>
  <si>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</si>
  <si>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</si>
  <si>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</si>
  <si>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</si>
  <si>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</si>
  <si>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</si>
  <si>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</si>
  <si>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</si>
  <si>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</si>
  <si>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</si>
  <si>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2205.9</t>
  </si>
  <si>
    <t>I.3</t>
  </si>
  <si>
    <t>Phải thu cổ tức, trái tức
Dividend, Coupon receivables</t>
  </si>
  <si>
    <t>2206</t>
  </si>
  <si>
    <t/>
  </si>
  <si>
    <t>Phải thu cổ tức
Dividend receivables</t>
  </si>
  <si>
    <t>2206.1</t>
  </si>
  <si>
    <t/>
  </si>
  <si>
    <t>Phải thu trái tức
Coupon receivables</t>
  </si>
  <si>
    <t>2206.2</t>
  </si>
  <si>
    <t>I.4</t>
  </si>
  <si>
    <t>Lãi được nhận
Interest receivables</t>
  </si>
  <si>
    <t>2207</t>
  </si>
  <si>
    <t/>
  </si>
  <si>
    <t>Phải thu lãi tiền gửi 
Interest receivable from bank deposits</t>
  </si>
  <si>
    <t>2207.1</t>
  </si>
  <si>
    <t/>
  </si>
  <si>
    <t>Phải thu lãi chứng chỉ tiền gửi
Interest receivable from Certificates of Deposit</t>
  </si>
  <si>
    <t>2207.2</t>
  </si>
  <si>
    <t/>
  </si>
  <si>
    <t>2207.3</t>
  </si>
  <si>
    <t>I.5</t>
  </si>
  <si>
    <t>Tiền bán chứng khoán chờ thu
Securities Trading Receivables</t>
  </si>
  <si>
    <t>2208</t>
  </si>
  <si>
    <t>I.6</t>
  </si>
  <si>
    <t>Các khoản phải thu khác
Other Receivables</t>
  </si>
  <si>
    <t>2210</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</si>
  <si>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</si>
  <si>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</si>
  <si>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</si>
  <si>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</si>
  <si>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</si>
  <si>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</si>
  <si>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</si>
  <si>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</si>
  <si>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</si>
  <si>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I.7</t>
  </si>
  <si>
    <t>Các tài sản khác
Other Assets</t>
  </si>
  <si>
    <t>2211</t>
  </si>
  <si>
    <t>I.8</t>
  </si>
  <si>
    <t>TỔNG TÀI SẢN
TOTAL ASSETS</t>
  </si>
  <si>
    <t>2212</t>
  </si>
  <si>
    <t>II</t>
  </si>
  <si>
    <t>NỢ
LIABILITIES</t>
  </si>
  <si>
    <t>2213</t>
  </si>
  <si>
    <t>II.1</t>
  </si>
  <si>
    <t>Tiền phải thanh toán mua chứng khoán
Securities Trading Payables</t>
  </si>
  <si>
    <t>2214</t>
  </si>
  <si>
    <t>II.2</t>
  </si>
  <si>
    <t>Các khoản phải trả khác
Other Payables</t>
  </si>
  <si>
    <t>2215</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</si>
  <si>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</si>
  <si>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</si>
  <si>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</si>
  <si>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</si>
  <si>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</si>
  <si>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</si>
  <si>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</si>
  <si>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</si>
  <si>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</si>
  <si>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</si>
  <si>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</si>
  <si>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</si>
  <si>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</si>
  <si>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</si>
  <si>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</si>
  <si>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</si>
  <si>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</si>
  <si>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</si>
  <si>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</si>
  <si>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</si>
  <si>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</si>
  <si>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</si>
  <si>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</si>
  <si>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</si>
  <si>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</si>
  <si>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</si>
  <si>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</si>
  <si>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</si>
  <si>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</si>
  <si>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</si>
  <si>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</si>
  <si>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</si>
  <si>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</si>
  <si>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</si>
  <si>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</si>
  <si>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</si>
  <si>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</si>
  <si>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</si>
  <si>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</si>
  <si>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</si>
  <si>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</si>
  <si>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</si>
  <si>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</si>
  <si>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</si>
  <si>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</si>
  <si>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</si>
  <si>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</si>
  <si>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</si>
  <si>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</si>
  <si>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</si>
  <si>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</si>
  <si>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</si>
  <si>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</si>
  <si>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</si>
  <si>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</si>
  <si>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</si>
  <si>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</si>
  <si>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</si>
  <si>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</si>
  <si>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</si>
  <si>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</si>
  <si>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</si>
  <si>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</si>
  <si>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</si>
  <si>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</si>
  <si>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</si>
  <si>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</si>
  <si>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</si>
  <si>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</si>
  <si>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</si>
  <si>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</si>
  <si>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</si>
  <si>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</si>
  <si>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</si>
  <si>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</si>
  <si>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</si>
  <si>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</si>
  <si>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</si>
  <si>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</si>
  <si>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</si>
  <si>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</si>
  <si>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</si>
  <si>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</si>
  <si>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</si>
  <si>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</si>
  <si>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</si>
  <si>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</si>
  <si>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</si>
  <si>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</si>
  <si>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</si>
  <si>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</si>
  <si>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</si>
  <si>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</si>
  <si>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</si>
  <si>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</si>
  <si>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</si>
  <si>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</si>
  <si>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</si>
  <si>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</si>
  <si>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</si>
  <si>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</si>
  <si>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II.3</t>
  </si>
  <si>
    <t>TỔNG NỢ
TOTAL LIABILITIES</t>
  </si>
  <si>
    <t>2216</t>
  </si>
  <si>
    <t/>
  </si>
  <si>
    <t>Tài sản ròng của Quỹ ( = I.8 - II.3)
Net Asset Value ( = I.8 - II.3)</t>
  </si>
  <si>
    <t>2217</t>
  </si>
  <si>
    <t/>
  </si>
  <si>
    <t>Tổng số đơn vị quỹ
Total Outstanding Fund Certificates</t>
  </si>
  <si>
    <t>2218</t>
  </si>
  <si>
    <t/>
  </si>
  <si>
    <t>Giá trị tài sản ròng trên một đơn vị quỹ
Net Asset Value per Fund Certificate</t>
  </si>
  <si>
    <t>2219</t>
  </si>
  <si>
    <t>I</t>
  </si>
  <si>
    <t>CỔ PHIẾU NIÊM YẾT
LISTED SHARES</t>
  </si>
  <si>
    <t>2246</t>
  </si>
  <si>
    <t>1</t>
  </si>
  <si>
    <t>ACB</t>
  </si>
  <si>
    <t>2246.1</t>
  </si>
  <si>
    <t>2</t>
  </si>
  <si>
    <t>ACV</t>
  </si>
  <si>
    <t>2246.2</t>
  </si>
  <si>
    <t>3</t>
  </si>
  <si>
    <t>BID</t>
  </si>
  <si>
    <t>2246.3</t>
  </si>
  <si>
    <t>4</t>
  </si>
  <si>
    <t>BVH</t>
  </si>
  <si>
    <t>2246.4</t>
  </si>
  <si>
    <t>5</t>
  </si>
  <si>
    <t>CTD</t>
  </si>
  <si>
    <t>2246.5</t>
  </si>
  <si>
    <t>6</t>
  </si>
  <si>
    <t>CTG</t>
  </si>
  <si>
    <t>2246.6</t>
  </si>
  <si>
    <t>7</t>
  </si>
  <si>
    <t>DPM</t>
  </si>
  <si>
    <t>2246.7</t>
  </si>
  <si>
    <t>8</t>
  </si>
  <si>
    <t>DXG</t>
  </si>
  <si>
    <t>2246.8</t>
  </si>
  <si>
    <t>9</t>
  </si>
  <si>
    <t>EIB</t>
  </si>
  <si>
    <t>2246.9</t>
  </si>
  <si>
    <t>10</t>
  </si>
  <si>
    <t>FPT</t>
  </si>
  <si>
    <t>2246.10</t>
  </si>
  <si>
    <t>11</t>
  </si>
  <si>
    <t>GAS</t>
  </si>
  <si>
    <t>2246.11</t>
  </si>
  <si>
    <t>12</t>
  </si>
  <si>
    <t>GMD</t>
  </si>
  <si>
    <t>2246.12</t>
  </si>
  <si>
    <t>13</t>
  </si>
  <si>
    <t>HDB</t>
  </si>
  <si>
    <t>2246.13</t>
  </si>
  <si>
    <t>14</t>
  </si>
  <si>
    <t>HPG</t>
  </si>
  <si>
    <t>2246.14</t>
  </si>
  <si>
    <t>15</t>
  </si>
  <si>
    <t>KBC</t>
  </si>
  <si>
    <t>2246.15</t>
  </si>
  <si>
    <t>16</t>
  </si>
  <si>
    <t>KDH</t>
  </si>
  <si>
    <t>2246.16</t>
  </si>
  <si>
    <t>17</t>
  </si>
  <si>
    <t>KSB</t>
  </si>
  <si>
    <t>2246.17</t>
  </si>
  <si>
    <t>18</t>
  </si>
  <si>
    <t>MBB</t>
  </si>
  <si>
    <t>2246.18</t>
  </si>
  <si>
    <t>19</t>
  </si>
  <si>
    <t>MSN</t>
  </si>
  <si>
    <t>2246.19</t>
  </si>
  <si>
    <t>20</t>
  </si>
  <si>
    <t>MWG</t>
  </si>
  <si>
    <t>2246.20</t>
  </si>
  <si>
    <t>21</t>
  </si>
  <si>
    <t>NLG</t>
  </si>
  <si>
    <t>2246.21</t>
  </si>
  <si>
    <t>22</t>
  </si>
  <si>
    <t>NVL</t>
  </si>
  <si>
    <t>2246.22</t>
  </si>
  <si>
    <t>23</t>
  </si>
  <si>
    <t>PHR</t>
  </si>
  <si>
    <t>2246.23</t>
  </si>
  <si>
    <t>24</t>
  </si>
  <si>
    <t>PLX</t>
  </si>
  <si>
    <t>2246.24</t>
  </si>
  <si>
    <t>25</t>
  </si>
  <si>
    <t>PME</t>
  </si>
  <si>
    <t>2246.25</t>
  </si>
  <si>
    <t>26</t>
  </si>
  <si>
    <t>PNJ</t>
  </si>
  <si>
    <t>2246.26</t>
  </si>
  <si>
    <t>27</t>
  </si>
  <si>
    <t>POW</t>
  </si>
  <si>
    <t>2246.27</t>
  </si>
  <si>
    <t>28</t>
  </si>
  <si>
    <t>REE</t>
  </si>
  <si>
    <t>2246.28</t>
  </si>
  <si>
    <t>29</t>
  </si>
  <si>
    <t>ROS</t>
  </si>
  <si>
    <t>2246.29</t>
  </si>
  <si>
    <t>30</t>
  </si>
  <si>
    <t>SAB</t>
  </si>
  <si>
    <t>2246.30</t>
  </si>
  <si>
    <t>31</t>
  </si>
  <si>
    <t>SBT</t>
  </si>
  <si>
    <t>2246.31</t>
  </si>
  <si>
    <t>32</t>
  </si>
  <si>
    <t>SIP</t>
  </si>
  <si>
    <t>2246.32</t>
  </si>
  <si>
    <t>33</t>
  </si>
  <si>
    <t>SSI</t>
  </si>
  <si>
    <t>2246.33</t>
  </si>
  <si>
    <t>34</t>
  </si>
  <si>
    <t>SZC</t>
  </si>
  <si>
    <t>2246.34</t>
  </si>
  <si>
    <t>35</t>
  </si>
  <si>
    <t>TCB</t>
  </si>
  <si>
    <t>2246.35</t>
  </si>
  <si>
    <t>36</t>
  </si>
  <si>
    <t>VCB</t>
  </si>
  <si>
    <t>2246.36</t>
  </si>
  <si>
    <t>37</t>
  </si>
  <si>
    <t>VEA</t>
  </si>
  <si>
    <t>2246.37</t>
  </si>
  <si>
    <t>38</t>
  </si>
  <si>
    <t>VHC</t>
  </si>
  <si>
    <t>2246.38</t>
  </si>
  <si>
    <t>39</t>
  </si>
  <si>
    <t>VHM</t>
  </si>
  <si>
    <t>2246.39</t>
  </si>
  <si>
    <t>40</t>
  </si>
  <si>
    <t>VIC</t>
  </si>
  <si>
    <t>2246.40</t>
  </si>
  <si>
    <t>41</t>
  </si>
  <si>
    <t>VJC</t>
  </si>
  <si>
    <t>2246.41</t>
  </si>
  <si>
    <t>42</t>
  </si>
  <si>
    <t>VNM</t>
  </si>
  <si>
    <t>2246.42</t>
  </si>
  <si>
    <t>43</t>
  </si>
  <si>
    <t>VPB</t>
  </si>
  <si>
    <t>2246.43</t>
  </si>
  <si>
    <t>44</t>
  </si>
  <si>
    <t>VRE</t>
  </si>
  <si>
    <t>2246.44</t>
  </si>
  <si>
    <t>2247</t>
  </si>
  <si>
    <t>II</t>
  </si>
  <si>
    <t>2248</t>
  </si>
  <si>
    <t>2249</t>
  </si>
  <si>
    <t>2250</t>
  </si>
  <si>
    <t>III</t>
  </si>
  <si>
    <t>2251</t>
  </si>
  <si>
    <t>1</t>
  </si>
  <si>
    <t>Trái phiếu niêm yết
Listed bonds</t>
  </si>
  <si>
    <t>2251.1</t>
  </si>
  <si>
    <t>1.1</t>
  </si>
  <si>
    <t>2251.1.1</t>
  </si>
  <si>
    <t>1.2</t>
  </si>
  <si>
    <t>2251.1.2</t>
  </si>
  <si>
    <t>2</t>
  </si>
  <si>
    <t>Trái phiếu chưa niêm yết
Unlisted Bonds</t>
  </si>
  <si>
    <t>2251.2</t>
  </si>
  <si>
    <t>2252</t>
  </si>
  <si>
    <t>IV</t>
  </si>
  <si>
    <t>2253</t>
  </si>
  <si>
    <t>1</t>
  </si>
  <si>
    <t>2253.1</t>
  </si>
  <si>
    <t>2</t>
  </si>
  <si>
    <t>2253.2</t>
  </si>
  <si>
    <t>2254</t>
  </si>
  <si>
    <t>TỔNG CÁC LOẠI CHỨNG KHOÁN
TOTAL TYPES OF SECURITIES</t>
  </si>
  <si>
    <t>2255</t>
  </si>
  <si>
    <t>V</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</si>
  <si>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</si>
  <si>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</si>
  <si>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</si>
  <si>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</si>
  <si>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</si>
  <si>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</si>
  <si>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</si>
  <si>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</si>
  <si>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</si>
  <si>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</si>
  <si>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</si>
  <si>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</si>
  <si>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</si>
  <si>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</si>
  <si>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2256.5</t>
  </si>
  <si>
    <t>6</t>
  </si>
  <si>
    <t>Phải thu khác
Other receivables</t>
  </si>
  <si>
    <t>2256.6</t>
  </si>
  <si>
    <t>7</t>
  </si>
  <si>
    <t>Tài sản khác
Other assets</t>
  </si>
  <si>
    <t>2256.7</t>
  </si>
  <si>
    <t>2257</t>
  </si>
  <si>
    <t>VI</t>
  </si>
  <si>
    <t>2258</t>
  </si>
  <si>
    <t>1</t>
  </si>
  <si>
    <t>Tiền gửi Ngân hàng
Cash at bank</t>
  </si>
  <si>
    <t>2259</t>
  </si>
  <si>
    <t>1.1</t>
  </si>
  <si>
    <t>2259.1</t>
  </si>
  <si>
    <t>1.2</t>
  </si>
  <si>
    <t>Các khoản tương đương tiền
Cash Equivalents</t>
  </si>
  <si>
    <t>2259.2</t>
  </si>
  <si>
    <t>1.3</t>
  </si>
  <si>
    <t>Tiền gửi có kỳ hạn trên 3 tháng
Deposits with term over three (03) months</t>
  </si>
  <si>
    <t>2259.3</t>
  </si>
  <si>
    <t>2</t>
  </si>
  <si>
    <t>Chứng chỉ tiền gửi 
Certificates of deposit</t>
  </si>
  <si>
    <t>2260</t>
  </si>
  <si>
    <t>3</t>
  </si>
  <si>
    <t>Công cụ chuyển nhượng…
Transferable instruments…</t>
  </si>
  <si>
    <t>2261</t>
  </si>
  <si>
    <t>2262</t>
  </si>
  <si>
    <t>VII</t>
  </si>
  <si>
    <t>Tổng giá trị danh mục 
Total value of portfolio</t>
  </si>
  <si>
    <t>2263</t>
  </si>
  <si>
    <t>TỔNG
TOTAL</t>
  </si>
  <si>
    <t>CỔ PHIẾU CHƯA NIÊM YẾT
UNLISTED SHARES</t>
  </si>
  <si>
    <t>TRÁI PHIẾU
BONDS</t>
  </si>
  <si>
    <t>CÁC LOẠI CHỨNG KHOÁN KHÁC
OTHER SECURITIES</t>
  </si>
  <si>
    <t>CÁC TÀI SẢN KHÁC
OTHER ASSETS</t>
  </si>
  <si>
    <t>TIỀN
CASH</t>
  </si>
  <si>
    <t>Tiền gửi ngân hàng
Cash at Bank</t>
  </si>
  <si>
    <t>Tại ngày 31 tháng 10 năm 2019
/ As at 31 Oct 2019</t>
  </si>
  <si>
    <t>Tháng 10 năm 2019
/ Oct 2019</t>
  </si>
  <si>
    <t>Công ty Cổ phần Quản lý Quỹ Đầu tư Việt Nam</t>
  </si>
  <si>
    <t>Vietnam Investment Fund Management Joint Stock Company</t>
  </si>
  <si>
    <t>Ngân hàng TNHH Một thành viên Standard Chartered (Việt Nam)</t>
  </si>
  <si>
    <t>Standard Chartered Bank (Vietnam) Limited</t>
  </si>
  <si>
    <t>Vietnam Securities Investment Fund(VFMVF1)</t>
  </si>
  <si>
    <t>Ngày 04 tháng 11 năm 2019</t>
  </si>
  <si>
    <t>04 Nov 2019</t>
  </si>
  <si>
    <t>Vũ Hương Giang</t>
  </si>
  <si>
    <t>Trần Thanh Tân</t>
  </si>
  <si>
    <t>Phó phòng Nghiệp vụ Dịch vụ Chứng khoán</t>
  </si>
  <si>
    <t>Tổng Giám đốc</t>
  </si>
  <si>
    <t>Ngày 31 tháng 10 năm 2019
 As at 31 Oct 2019</t>
  </si>
  <si>
    <t>Ngày 30 tháng 09 năm 2019
 As at 30 Sep 2019</t>
  </si>
  <si>
    <t>Tháng 10 năm 2019
Oct 2019</t>
  </si>
  <si>
    <t>Tháng 09 năm 2019
Sep 2019</t>
  </si>
  <si>
    <t>Năm 2019
Year 2019</t>
  </si>
  <si>
    <t>Năm 2018
Year 2018</t>
  </si>
  <si>
    <t>Tháng 10 năm 2018
Oct 2018</t>
  </si>
  <si>
    <t>Kế toán Quỹ</t>
  </si>
  <si>
    <t xml:space="preserve">Phụ lục 31: Mẫu Báo cáo hoạt động vay, giao dịch mua bán lại của quỹ
Appendix 31: Report on borrowing operation, repo/reverse repo transactions of the fund
</t>
  </si>
  <si>
    <t>BÁO CÁO HOẠT ĐỘNG VAY, GIAO DỊCH MUA BÁN LẠI CỦA QUỸ
REPORT ON BORROWING OPERATION, REPO/REVERSE REPO TRANSACTIONS OF THE FUND</t>
  </si>
  <si>
    <t xml:space="preserve">Ngân hàng TNHH một thành viên Standard Chartered (Việt Nam)
</t>
  </si>
  <si>
    <t>Standard Chartered Bank (Vietnam) Ltd.</t>
  </si>
  <si>
    <t>Quỹ đầu tư Chứng khoán Việt Nam</t>
  </si>
  <si>
    <t>Fund name:</t>
  </si>
  <si>
    <t>Vietnam Securities Investment Fund (VFMVF1)</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</si>
  <si>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</si>
  <si>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</si>
  <si>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</si>
  <si>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</si>
  <si>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</si>
  <si>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</si>
  <si>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</si>
  <si>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</si>
  <si>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</si>
  <si>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</si>
  <si>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r>
      <t xml:space="preserve">Vay tiền </t>
    </r>
    <r>
      <rPr>
        <i/>
        <sz val="10"/>
        <color theme="1"/>
        <rFont val="Tahoma"/>
        <family val="2"/>
      </rPr>
      <t>(nêu chi tiết từng hợp đồng)
Borrowings (detail by each contract)</t>
    </r>
  </si>
  <si>
    <t>2287</t>
  </si>
  <si>
    <t>Tỷ lệ tiền vay từ các hợp đồng/giá trị tài sản ròng
Borrowings/NAV</t>
  </si>
  <si>
    <t>2288</t>
  </si>
  <si>
    <r>
      <t xml:space="preserve">Hợp đồng Repo </t>
    </r>
    <r>
      <rPr>
        <i/>
        <sz val="10"/>
        <color theme="1"/>
        <rFont val="Tahoma"/>
        <family val="2"/>
      </rPr>
      <t>(nêu chi tiết từng hợp đồng)
Repo (detail by each contract)</t>
    </r>
  </si>
  <si>
    <t>2289</t>
  </si>
  <si>
    <t>Tổng giá trị các hợp đồng Repo/giá trị tài sản ròng
Repo/NAV</t>
  </si>
  <si>
    <t>2290</t>
  </si>
  <si>
    <t>A</t>
  </si>
  <si>
    <t>Tổng giá trị các khoản vay/giá trị tài sản ròng (=I+II)
Total Borrowings, Repo/NAV</t>
  </si>
  <si>
    <t>2291</t>
  </si>
  <si>
    <r>
      <t xml:space="preserve">Cho vay chứng khoán </t>
    </r>
    <r>
      <rPr>
        <i/>
        <sz val="10"/>
        <color theme="1"/>
        <rFont val="Tahoma"/>
        <family val="2"/>
      </rPr>
      <t>(nêu chi tiết từng hợp đồng)
Margin (detail by each contract)</t>
    </r>
  </si>
  <si>
    <t>2292</t>
  </si>
  <si>
    <t>Tổng giá trị các hợp đồng/giá trị tài sản ròng của quỹ
Total Margin/NAV</t>
  </si>
  <si>
    <t>2293</t>
  </si>
  <si>
    <r>
      <t>Hợp đồng Reverse Repo</t>
    </r>
    <r>
      <rPr>
        <i/>
        <sz val="10"/>
        <color theme="1"/>
        <rFont val="Tahoma"/>
        <family val="2"/>
      </rPr>
      <t xml:space="preserve"> (nêu chi tiết từng hợp đồng)
Reverse Repo (Detail by each contract)</t>
    </r>
  </si>
  <si>
    <t>2295</t>
  </si>
  <si>
    <t>Tổng giá trị các hợp đồng/giá trị tài sản ròng của quỹ
Reverse Repo/NAV</t>
  </si>
  <si>
    <t>2296</t>
  </si>
  <si>
    <t>B</t>
  </si>
  <si>
    <t>Tổng giá trị các khoản cho vay/giá trị tài sản ròng  (=III + IV)
Total Loans/NAV</t>
  </si>
  <si>
    <t>2297</t>
  </si>
  <si>
    <t>Công ty Cổ phần Quản lý Quỹ đầu tư Việt Nam</t>
  </si>
  <si>
    <t>Phó Phòng Nghiệp vụ Dịch vụ Chứng khoán</t>
  </si>
  <si>
    <t>Các chỉ tiêu từ 1 đến 6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6 of "Investment performance indicators" are annualized to reflect a rate that is based on a full year operation by multiplying these indicators with 12 (monthly report) or 4 (quarterly report) or 2 (semi-annual report) or 1 (annual report).</t>
  </si>
  <si>
    <t>Tháng 10 năm 2019/Oct 2019</t>
  </si>
  <si>
    <t xml:space="preserve">Tiền
Cash </t>
  </si>
  <si>
    <t>Hợp đồng reverse repo
Reverse repo contracts</t>
  </si>
  <si>
    <t>Phải thu lãi hợp đồng reverse repo
Interest receivable from reverse repo contracts</t>
  </si>
  <si>
    <t>Phải thu cho cổ phiếu hạn chế
Receivable from AP/Investors on restricted securities</t>
  </si>
  <si>
    <t>Lãi hợp đồng mua reverse repo
Interest income from reverse repo contracts</t>
  </si>
  <si>
    <t>Các khoản thu nhập khác
Other income</t>
  </si>
  <si>
    <t>Thu nhập khác về đầu tư
Other investment income</t>
  </si>
  <si>
    <t>Thu nhập khác 
Other income</t>
  </si>
  <si>
    <t>TỔNG CÁC LOẠI CỔ PHIẾU
TOTAL</t>
  </si>
  <si>
    <t>Chi tiết loại hợp đồng phái sinh (*)
Index future contracts</t>
  </si>
  <si>
    <t>Tiền lãi hợp đồng reverse repo
Reverse repo contract interest received</t>
  </si>
  <si>
    <t>3.1. Phí quản lý Quỹ mở
Management fee</t>
  </si>
  <si>
    <t>3.6.1. Phí cung cấp dịch vụ tính giá trị tài sản ròng tham chiếu (iNAV) trả cho HOSE
Accrual expenses payable to HOSE for iNAV calculation</t>
  </si>
  <si>
    <t>1.2. Tiền gửi có kỳ hạn dưới ba (03) tháng
Deposits with term less than three (03) months</t>
  </si>
  <si>
    <t>Dự thu lãi hợp đồng reverse repo
Interest receivables from reverse repo contracts</t>
  </si>
  <si>
    <t>Giá trị hợp đồng repo
Repo contract</t>
  </si>
  <si>
    <t>III. GIÁ TRỊ TÀI SẢN RÒNG CÓ THỂ PHÂN PHỐI CHO NHÀ ĐẦU TƯ NẮM GIỮ CHỨNG CHỈ QUỸ MỞ (I-II)
DISTRIBUTABLE NET ASSET VALUE (I-II)</t>
  </si>
  <si>
    <t>_____________________________________</t>
  </si>
  <si>
    <t>______________________________________</t>
  </si>
  <si>
    <t>Bà Mai Thùy Sâm</t>
  </si>
  <si>
    <t xml:space="preserve">         Ông Nguyễn Minh Đăng Khánh</t>
  </si>
  <si>
    <t xml:space="preserve">            Ông Trần Thanh Tân</t>
  </si>
  <si>
    <t xml:space="preserve">   Phó Tổng Giám đốc kiêm 
Giám đốc Tài chính
</t>
  </si>
  <si>
    <t xml:space="preserve">                 Tổng Giám đốc</t>
  </si>
  <si>
    <t>____________________________________________</t>
  </si>
  <si>
    <t>Ông Nguyễn Minh Đăng Khánh</t>
  </si>
  <si>
    <t>Ông Trần Thanh Tân</t>
  </si>
  <si>
    <t xml:space="preserve">Phó Tổng Giám đốc kiêm 
Giám đốc Tài chính
</t>
  </si>
  <si>
    <t>KBC11806</t>
  </si>
  <si>
    <t>VIC11814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</si>
</sst>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0"/>
      <color theme="1"/>
      <name val="Arial"/>
      <family val="2"/>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sz val="12"/>
      <color rgb="FFFF0000"/>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sz val="10"/>
      <color indexed="8"/>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C00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30">
    <xf numFmtId="0" fontId="0" fillId="0" borderId="0"/>
    <xf numFmtId="0" fontId="3" fillId="0" borderId="0"/>
    <xf numFmtId="0" fontId="4" fillId="0" borderId="0" applyNumberFormat="0" applyFill="0" applyBorder="0" applyAlignment="0" applyProtection="0"/>
    <xf numFmtId="0" fontId="2" fillId="0" borderId="0"/>
    <xf numFmtId="0" fontId="5" fillId="0" borderId="0"/>
    <xf numFmtId="0" fontId="5" fillId="0" borderId="0"/>
    <xf numFmtId="43" fontId="5" fillId="0" borderId="0" applyFont="0" applyFill="0" applyBorder="0" applyAlignment="0" applyProtection="0"/>
    <xf numFmtId="0" fontId="5" fillId="0" borderId="0"/>
    <xf numFmtId="43" fontId="2" fillId="0" borderId="0" applyFont="0" applyFill="0" applyBorder="0" applyAlignment="0" applyProtection="0"/>
    <xf numFmtId="43" fontId="6" fillId="0" borderId="0" applyFont="0" applyFill="0" applyBorder="0" applyAlignment="0" applyProtection="0"/>
    <xf numFmtId="10" fontId="6" fillId="0" borderId="0" applyFont="0" applyFill="0" applyBorder="0" applyAlignment="0" applyProtection="0"/>
    <xf numFmtId="165" fontId="2" fillId="0" borderId="0" applyFont="0" applyFill="0" applyBorder="0" applyAlignment="0" applyProtection="0"/>
    <xf numFmtId="0" fontId="5" fillId="17" borderId="0"/>
    <xf numFmtId="0" fontId="2" fillId="17" borderId="0"/>
    <xf numFmtId="164" fontId="5" fillId="17" borderId="0" quotePrefix="1" applyFont="0" applyFill="0" applyBorder="0" applyAlignment="0">
      <protection locked="0"/>
    </xf>
    <xf numFmtId="0" fontId="2" fillId="17" borderId="0"/>
    <xf numFmtId="43" fontId="2" fillId="17" borderId="0" applyFont="0" applyFill="0" applyBorder="0" applyAlignment="0" applyProtection="0"/>
    <xf numFmtId="9" fontId="2" fillId="17" borderId="0" applyFont="0" applyFill="0" applyBorder="0" applyAlignment="0" applyProtection="0"/>
    <xf numFmtId="0" fontId="5" fillId="17" borderId="0"/>
    <xf numFmtId="0" fontId="5" fillId="17" borderId="0"/>
    <xf numFmtId="0" fontId="5" fillId="17" borderId="0"/>
    <xf numFmtId="0" fontId="1" fillId="17" borderId="0"/>
    <xf numFmtId="43" fontId="5" fillId="17" borderId="0" applyFont="0" applyFill="0" applyBorder="0" applyAlignment="0" applyProtection="0"/>
    <xf numFmtId="43" fontId="1" fillId="17" borderId="0" applyFont="0" applyFill="0" applyBorder="0" applyAlignment="0" applyProtection="0"/>
    <xf numFmtId="43" fontId="2" fillId="17" borderId="0" applyFont="0" applyFill="0" applyBorder="0" applyAlignment="0" applyProtection="0"/>
    <xf numFmtId="43" fontId="2" fillId="17" borderId="0" applyFont="0" applyFill="0" applyBorder="0" applyAlignment="0" applyProtection="0"/>
    <xf numFmtId="43" fontId="2" fillId="17" borderId="0" applyFont="0" applyFill="0" applyBorder="0" applyAlignment="0" applyProtection="0"/>
    <xf numFmtId="43" fontId="2" fillId="17" borderId="0" applyFont="0" applyFill="0" applyBorder="0" applyAlignment="0" applyProtection="0"/>
    <xf numFmtId="9" fontId="2" fillId="17" borderId="0" applyFont="0" applyFill="0" applyBorder="0" applyAlignment="0" applyProtection="0"/>
    <xf numFmtId="0" fontId="5" fillId="17" borderId="0"/>
  </cellStyleXfs>
  <cellXfs count="281">
    <xf numFmtId="0" fontId="0" fillId="0" borderId="0" xfId="0"/>
    <xf numFmtId="0" fontId="7" fillId="2" borderId="0" xfId="0" applyFont="1" applyFill="1"/>
    <xf numFmtId="0" fontId="8" fillId="2" borderId="0" xfId="0" applyFont="1" applyFill="1"/>
    <xf numFmtId="0" fontId="9" fillId="3" borderId="2" xfId="0" applyFont="1" applyFill="1" applyBorder="1"/>
    <xf numFmtId="0" fontId="8" fillId="3" borderId="3" xfId="0" applyFont="1" applyFill="1" applyBorder="1"/>
    <xf numFmtId="0" fontId="9" fillId="3" borderId="4" xfId="0" applyFont="1" applyFill="1" applyBorder="1"/>
    <xf numFmtId="0" fontId="9" fillId="2" borderId="0" xfId="0" applyFont="1" applyFill="1"/>
    <xf numFmtId="0" fontId="10" fillId="3" borderId="0" xfId="0" applyFont="1" applyFill="1" applyAlignment="1">
      <alignment horizontal="left" vertical="center" wrapText="1"/>
    </xf>
    <xf numFmtId="0" fontId="11" fillId="3" borderId="0" xfId="0" applyFont="1" applyFill="1" applyAlignment="1">
      <alignment vertical="center" wrapText="1"/>
    </xf>
    <xf numFmtId="0" fontId="12" fillId="3" borderId="0" xfId="0" applyFont="1" applyFill="1" applyAlignment="1">
      <alignment horizontal="left" vertical="center" wrapText="1"/>
    </xf>
    <xf numFmtId="0" fontId="10" fillId="3" borderId="0" xfId="0" applyFont="1" applyFill="1" applyAlignment="1">
      <alignment vertical="center" wrapText="1"/>
    </xf>
    <xf numFmtId="0" fontId="8" fillId="3" borderId="0" xfId="0" applyFont="1" applyFill="1" applyAlignment="1">
      <alignment vertical="center" wrapText="1"/>
    </xf>
    <xf numFmtId="0" fontId="13" fillId="3" borderId="0" xfId="0" applyFont="1" applyFill="1" applyAlignment="1">
      <alignment vertical="center" wrapText="1"/>
    </xf>
    <xf numFmtId="0" fontId="12" fillId="3" borderId="0" xfId="0" applyFont="1" applyFill="1"/>
    <xf numFmtId="0" fontId="14" fillId="3" borderId="1" xfId="0" applyFont="1" applyFill="1" applyBorder="1" applyAlignment="1">
      <alignment vertical="center"/>
    </xf>
    <xf numFmtId="0" fontId="8" fillId="3" borderId="5" xfId="0" applyFont="1" applyFill="1" applyBorder="1"/>
    <xf numFmtId="0" fontId="8" fillId="3" borderId="2" xfId="0" applyFont="1" applyFill="1" applyBorder="1"/>
    <xf numFmtId="0" fontId="15" fillId="3" borderId="6" xfId="1" applyNumberFormat="1" applyFont="1" applyFill="1" applyBorder="1" applyAlignment="1">
      <alignment vertical="center"/>
    </xf>
    <xf numFmtId="0" fontId="9" fillId="3" borderId="7" xfId="0" applyFont="1" applyFill="1" applyBorder="1"/>
    <xf numFmtId="0" fontId="8" fillId="3" borderId="0" xfId="0" applyFont="1" applyFill="1" applyBorder="1"/>
    <xf numFmtId="0" fontId="8" fillId="3" borderId="7" xfId="0" applyFont="1" applyFill="1" applyBorder="1"/>
    <xf numFmtId="0" fontId="8" fillId="3" borderId="6" xfId="0" applyFont="1" applyFill="1" applyBorder="1"/>
    <xf numFmtId="0" fontId="16" fillId="3" borderId="6" xfId="1" applyNumberFormat="1" applyFont="1" applyFill="1" applyBorder="1" applyAlignment="1">
      <alignment vertical="center"/>
    </xf>
    <xf numFmtId="0" fontId="16" fillId="3" borderId="6" xfId="1" applyFont="1" applyFill="1" applyBorder="1" applyAlignment="1">
      <alignment vertical="center"/>
    </xf>
    <xf numFmtId="0" fontId="12" fillId="3" borderId="3" xfId="1" applyFont="1" applyFill="1" applyBorder="1" applyAlignment="1">
      <alignment vertical="center"/>
    </xf>
    <xf numFmtId="0" fontId="12" fillId="3" borderId="3" xfId="1" applyNumberFormat="1" applyFont="1" applyFill="1" applyBorder="1" applyAlignment="1">
      <alignment vertical="center"/>
    </xf>
    <xf numFmtId="0" fontId="8" fillId="3" borderId="8" xfId="0" applyFont="1" applyFill="1" applyBorder="1"/>
    <xf numFmtId="0" fontId="8" fillId="3" borderId="4" xfId="0" applyFont="1" applyFill="1" applyBorder="1"/>
    <xf numFmtId="0" fontId="7" fillId="2" borderId="9" xfId="0" applyFont="1" applyFill="1" applyBorder="1" applyAlignment="1">
      <alignment horizontal="left" vertical="top"/>
    </xf>
    <xf numFmtId="49" fontId="7" fillId="2" borderId="9" xfId="0" applyNumberFormat="1" applyFont="1" applyFill="1" applyBorder="1" applyAlignment="1">
      <alignment horizontal="left" vertical="top"/>
    </xf>
    <xf numFmtId="0" fontId="8" fillId="2" borderId="9" xfId="0" applyFont="1" applyFill="1" applyBorder="1" applyAlignment="1">
      <alignment horizontal="left" vertical="top"/>
    </xf>
    <xf numFmtId="0" fontId="8" fillId="2" borderId="9" xfId="0" applyFont="1" applyFill="1" applyBorder="1" applyAlignment="1">
      <alignment horizontal="left" vertical="top" wrapText="1"/>
    </xf>
    <xf numFmtId="49" fontId="17" fillId="2" borderId="9" xfId="2" applyNumberFormat="1" applyFont="1" applyFill="1" applyBorder="1" applyAlignment="1">
      <alignment horizontal="left" vertical="top"/>
    </xf>
    <xf numFmtId="0" fontId="8" fillId="2" borderId="0" xfId="0" applyFont="1" applyFill="1" applyAlignment="1">
      <alignment vertical="center"/>
    </xf>
    <xf numFmtId="0" fontId="18" fillId="2" borderId="0" xfId="0" applyFont="1" applyFill="1" applyAlignment="1">
      <alignment vertical="center"/>
    </xf>
    <xf numFmtId="0" fontId="18" fillId="2" borderId="0" xfId="0" applyFont="1" applyFill="1" applyAlignment="1">
      <alignment vertical="center" wrapText="1"/>
    </xf>
    <xf numFmtId="0" fontId="8" fillId="2" borderId="0" xfId="0" applyFont="1" applyFill="1" applyAlignment="1">
      <alignment vertical="center" wrapText="1"/>
    </xf>
    <xf numFmtId="0" fontId="18" fillId="2" borderId="0" xfId="0" applyFont="1" applyFill="1"/>
    <xf numFmtId="0" fontId="18" fillId="2" borderId="0" xfId="0" applyFont="1" applyFill="1" applyAlignment="1">
      <alignment vertical="top" wrapText="1"/>
    </xf>
    <xf numFmtId="0" fontId="8" fillId="2" borderId="0" xfId="0" applyFont="1" applyFill="1" applyAlignment="1">
      <alignment vertical="top" wrapText="1"/>
    </xf>
    <xf numFmtId="0" fontId="8" fillId="2" borderId="9" xfId="0" applyFont="1" applyFill="1" applyBorder="1" applyAlignment="1">
      <alignment horizontal="left"/>
    </xf>
    <xf numFmtId="0" fontId="8" fillId="2" borderId="9" xfId="0" applyFont="1" applyFill="1" applyBorder="1"/>
    <xf numFmtId="49" fontId="8" fillId="2" borderId="9" xfId="0" applyNumberFormat="1" applyFont="1" applyFill="1" applyBorder="1"/>
    <xf numFmtId="0" fontId="8" fillId="4" borderId="0" xfId="0" applyFont="1" applyFill="1"/>
    <xf numFmtId="0" fontId="19" fillId="2" borderId="0" xfId="0" applyFont="1" applyFill="1" applyAlignment="1">
      <alignment horizontal="center" vertical="center"/>
    </xf>
    <xf numFmtId="0" fontId="8" fillId="2" borderId="0" xfId="0" applyFont="1" applyFill="1" applyAlignment="1">
      <alignment horizontal="center" vertical="center"/>
    </xf>
    <xf numFmtId="0" fontId="20" fillId="0" borderId="0" xfId="0" applyFont="1"/>
    <xf numFmtId="0" fontId="22" fillId="3" borderId="9" xfId="0" applyNumberFormat="1" applyFont="1" applyFill="1" applyBorder="1" applyAlignment="1" applyProtection="1">
      <alignment horizontal="left" vertical="center" wrapText="1"/>
    </xf>
    <xf numFmtId="0" fontId="22" fillId="3" borderId="0" xfId="0" applyFont="1" applyFill="1"/>
    <xf numFmtId="0" fontId="23" fillId="3" borderId="0" xfId="0" applyFont="1" applyFill="1"/>
    <xf numFmtId="0" fontId="23" fillId="3" borderId="0" xfId="0" applyFont="1" applyFill="1" applyAlignment="1">
      <alignment horizontal="left" vertical="center"/>
    </xf>
    <xf numFmtId="0" fontId="23" fillId="3" borderId="8" xfId="0" applyFont="1" applyFill="1" applyBorder="1" applyAlignment="1">
      <alignment horizontal="left" vertical="center"/>
    </xf>
    <xf numFmtId="0" fontId="23" fillId="3" borderId="0" xfId="0" applyFont="1" applyFill="1" applyBorder="1" applyAlignment="1">
      <alignment horizontal="left" vertical="center"/>
    </xf>
    <xf numFmtId="0" fontId="25" fillId="3" borderId="0" xfId="0" applyFont="1" applyFill="1"/>
    <xf numFmtId="0" fontId="25" fillId="3" borderId="0" xfId="0" applyFont="1" applyFill="1" applyAlignment="1">
      <alignment horizontal="left" vertical="center"/>
    </xf>
    <xf numFmtId="0" fontId="24" fillId="2" borderId="9" xfId="7" applyFont="1" applyFill="1" applyBorder="1" applyAlignment="1" applyProtection="1">
      <alignment horizontal="center" vertical="center" wrapText="1"/>
    </xf>
    <xf numFmtId="165" fontId="24" fillId="2" borderId="9" xfId="8" applyNumberFormat="1" applyFont="1" applyFill="1" applyBorder="1" applyAlignment="1" applyProtection="1">
      <alignment horizontal="center" vertical="center" wrapText="1"/>
      <protection locked="0"/>
    </xf>
    <xf numFmtId="0" fontId="24" fillId="2" borderId="9" xfId="7" applyNumberFormat="1" applyFont="1" applyFill="1" applyBorder="1" applyAlignment="1" applyProtection="1">
      <alignment horizontal="center" vertical="center" wrapText="1"/>
    </xf>
    <xf numFmtId="0" fontId="23" fillId="3" borderId="0" xfId="0" applyFont="1" applyFill="1" applyAlignment="1">
      <alignment vertical="center"/>
    </xf>
    <xf numFmtId="0" fontId="24" fillId="3" borderId="0" xfId="3" applyFont="1" applyFill="1" applyAlignment="1">
      <alignment vertical="center"/>
    </xf>
    <xf numFmtId="0" fontId="24" fillId="3" borderId="0" xfId="3" applyFont="1" applyFill="1" applyAlignment="1">
      <alignment horizontal="center" vertical="center"/>
    </xf>
    <xf numFmtId="0" fontId="22" fillId="3" borderId="0" xfId="0" applyFont="1" applyFill="1" applyAlignment="1">
      <alignment vertical="center"/>
    </xf>
    <xf numFmtId="0" fontId="26" fillId="3" borderId="0" xfId="0" applyFont="1" applyFill="1" applyBorder="1" applyAlignment="1">
      <alignment horizontal="left" vertical="center" wrapText="1"/>
    </xf>
    <xf numFmtId="0" fontId="24" fillId="2" borderId="9"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3" applyFont="1" applyFill="1" applyBorder="1" applyAlignment="1">
      <alignment horizontal="center" vertical="center"/>
    </xf>
    <xf numFmtId="0" fontId="25" fillId="0" borderId="9" xfId="7" applyFont="1" applyFill="1" applyBorder="1" applyAlignment="1" applyProtection="1">
      <alignment horizontal="left" vertical="center" wrapText="1"/>
    </xf>
    <xf numFmtId="0" fontId="25" fillId="0" borderId="9" xfId="5" applyFont="1" applyFill="1" applyBorder="1" applyAlignment="1" applyProtection="1">
      <alignment horizontal="left" vertical="center" wrapText="1"/>
    </xf>
    <xf numFmtId="0" fontId="23" fillId="3" borderId="9" xfId="3" applyFont="1" applyFill="1" applyBorder="1" applyAlignment="1">
      <alignment horizontal="center" vertical="center"/>
    </xf>
    <xf numFmtId="0" fontId="24" fillId="3" borderId="0" xfId="0" applyFont="1" applyFill="1" applyAlignment="1">
      <alignment horizontal="left" vertical="center"/>
    </xf>
    <xf numFmtId="0" fontId="30" fillId="3" borderId="0" xfId="0" applyFont="1" applyFill="1" applyBorder="1" applyAlignment="1">
      <alignment vertical="center"/>
    </xf>
    <xf numFmtId="0" fontId="25" fillId="3" borderId="0" xfId="1" applyNumberFormat="1" applyFont="1" applyFill="1" applyBorder="1" applyAlignment="1">
      <alignment vertical="center"/>
    </xf>
    <xf numFmtId="0" fontId="26" fillId="3" borderId="0" xfId="0" applyFont="1" applyFill="1" applyBorder="1" applyAlignment="1">
      <alignment horizontal="left" vertical="center"/>
    </xf>
    <xf numFmtId="0" fontId="26" fillId="3" borderId="0" xfId="0" applyFont="1" applyFill="1" applyBorder="1" applyAlignment="1">
      <alignment horizontal="left" vertical="center"/>
    </xf>
    <xf numFmtId="0" fontId="35" fillId="3" borderId="0" xfId="3" applyFont="1" applyFill="1" applyAlignment="1">
      <alignment horizontal="center" vertical="center"/>
    </xf>
    <xf numFmtId="0" fontId="35" fillId="3" borderId="0" xfId="3" applyFont="1" applyFill="1" applyAlignment="1">
      <alignment vertical="center"/>
    </xf>
    <xf numFmtId="0" fontId="22" fillId="0" borderId="0" xfId="0" applyFont="1" applyFill="1" applyAlignment="1">
      <alignment vertical="center"/>
    </xf>
    <xf numFmtId="165" fontId="24" fillId="2" borderId="9" xfId="8" applyNumberFormat="1" applyFont="1" applyFill="1" applyBorder="1" applyAlignment="1" applyProtection="1">
      <alignment horizontal="center" vertical="center" wrapText="1"/>
    </xf>
    <xf numFmtId="49" fontId="24" fillId="2" borderId="9" xfId="7" applyNumberFormat="1" applyFont="1" applyFill="1" applyBorder="1" applyAlignment="1" applyProtection="1">
      <alignment horizontal="left" vertical="center" wrapText="1"/>
    </xf>
    <xf numFmtId="49" fontId="24" fillId="2" borderId="9" xfId="7" applyNumberFormat="1" applyFont="1" applyFill="1" applyBorder="1" applyAlignment="1" applyProtection="1">
      <alignment horizontal="center" vertical="center" wrapText="1"/>
    </xf>
    <xf numFmtId="165" fontId="24" fillId="2" borderId="9" xfId="8" applyNumberFormat="1" applyFont="1" applyFill="1" applyBorder="1" applyAlignment="1" applyProtection="1">
      <alignment horizontal="right" vertical="center" wrapText="1"/>
      <protection locked="0"/>
    </xf>
    <xf numFmtId="0" fontId="35" fillId="0" borderId="0" xfId="0" applyFont="1" applyFill="1" applyAlignment="1">
      <alignment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25" fillId="0" borderId="9" xfId="3" applyFont="1" applyFill="1" applyBorder="1" applyAlignment="1">
      <alignment horizontal="center" vertical="center"/>
    </xf>
    <xf numFmtId="49" fontId="25" fillId="0" borderId="9" xfId="7" applyNumberFormat="1" applyFont="1" applyFill="1" applyBorder="1" applyAlignment="1" applyProtection="1">
      <alignment horizontal="left" vertical="center" wrapText="1"/>
    </xf>
    <xf numFmtId="49" fontId="25" fillId="0" borderId="9" xfId="7" applyNumberFormat="1" applyFont="1" applyFill="1" applyBorder="1" applyAlignment="1" applyProtection="1">
      <alignment horizontal="center" vertical="center" wrapText="1"/>
    </xf>
    <xf numFmtId="0" fontId="25" fillId="3" borderId="9" xfId="3" applyFont="1" applyFill="1" applyBorder="1" applyAlignment="1">
      <alignment horizontal="center" vertical="center"/>
    </xf>
    <xf numFmtId="49" fontId="25" fillId="3" borderId="9" xfId="7" applyNumberFormat="1" applyFont="1" applyFill="1" applyBorder="1" applyAlignment="1" applyProtection="1">
      <alignment horizontal="left" vertical="center" wrapText="1"/>
    </xf>
    <xf numFmtId="49" fontId="25" fillId="3" borderId="9" xfId="7" applyNumberFormat="1" applyFont="1" applyFill="1" applyBorder="1" applyAlignment="1" applyProtection="1">
      <alignment horizontal="center" vertical="center" wrapText="1"/>
    </xf>
    <xf numFmtId="165" fontId="25" fillId="3" borderId="9" xfId="8" applyNumberFormat="1" applyFont="1" applyFill="1" applyBorder="1" applyAlignment="1" applyProtection="1">
      <alignment horizontal="right" vertical="center" wrapText="1"/>
      <protection locked="0"/>
    </xf>
    <xf numFmtId="165" fontId="23" fillId="0" borderId="9" xfId="8" applyNumberFormat="1" applyFont="1" applyFill="1" applyBorder="1" applyAlignment="1" applyProtection="1">
      <alignment horizontal="right" vertical="center" wrapText="1"/>
      <protection locked="0"/>
    </xf>
    <xf numFmtId="0" fontId="24" fillId="2" borderId="9" xfId="3" applyFont="1" applyFill="1" applyBorder="1" applyAlignment="1">
      <alignment horizontal="center" vertical="center"/>
    </xf>
    <xf numFmtId="41" fontId="23" fillId="0" borderId="9" xfId="0" applyNumberFormat="1" applyFont="1" applyBorder="1" applyAlignment="1">
      <alignment horizontal="right" vertical="center" wrapText="1"/>
    </xf>
    <xf numFmtId="0" fontId="35" fillId="3" borderId="0" xfId="0" applyFont="1" applyFill="1" applyAlignment="1">
      <alignment vertical="center"/>
    </xf>
    <xf numFmtId="0" fontId="34" fillId="3" borderId="0" xfId="0" applyFont="1" applyFill="1" applyAlignment="1">
      <alignment vertical="center"/>
    </xf>
    <xf numFmtId="0" fontId="34" fillId="0" borderId="0" xfId="0" applyFont="1" applyFill="1" applyAlignment="1">
      <alignment vertical="center"/>
    </xf>
    <xf numFmtId="0" fontId="35" fillId="3" borderId="5" xfId="0" applyFont="1" applyFill="1" applyBorder="1" applyAlignment="1">
      <alignment vertical="center"/>
    </xf>
    <xf numFmtId="0" fontId="22" fillId="3" borderId="5" xfId="0" applyFont="1" applyFill="1" applyBorder="1" applyAlignment="1">
      <alignment vertical="center"/>
    </xf>
    <xf numFmtId="0" fontId="6" fillId="0" borderId="0" xfId="0" applyFont="1" applyFill="1"/>
    <xf numFmtId="0" fontId="35" fillId="2" borderId="9" xfId="0" applyFont="1" applyFill="1" applyBorder="1" applyAlignment="1">
      <alignment horizontal="center" vertical="center" wrapText="1"/>
    </xf>
    <xf numFmtId="0" fontId="22" fillId="3" borderId="0" xfId="0" applyFont="1" applyFill="1" applyBorder="1" applyAlignment="1">
      <alignment vertical="center"/>
    </xf>
    <xf numFmtId="0" fontId="24" fillId="3" borderId="5" xfId="1" applyNumberFormat="1" applyFont="1" applyFill="1" applyBorder="1" applyAlignment="1">
      <alignment vertical="center"/>
    </xf>
    <xf numFmtId="0" fontId="24" fillId="3" borderId="0" xfId="1" applyNumberFormat="1" applyFont="1" applyFill="1" applyBorder="1" applyAlignment="1">
      <alignment vertical="center"/>
    </xf>
    <xf numFmtId="0" fontId="23" fillId="3" borderId="0" xfId="1" applyFont="1" applyFill="1" applyBorder="1" applyAlignment="1">
      <alignment vertical="center"/>
    </xf>
    <xf numFmtId="0" fontId="23" fillId="3" borderId="0" xfId="1" applyNumberFormat="1" applyFont="1" applyFill="1" applyBorder="1" applyAlignment="1">
      <alignment vertical="center"/>
    </xf>
    <xf numFmtId="0" fontId="35" fillId="3" borderId="9" xfId="0" applyFont="1" applyFill="1" applyBorder="1" applyAlignment="1">
      <alignment horizontal="center" vertical="center"/>
    </xf>
    <xf numFmtId="0" fontId="35" fillId="3" borderId="9" xfId="0" applyNumberFormat="1" applyFont="1" applyFill="1" applyBorder="1" applyAlignment="1" applyProtection="1">
      <alignment horizontal="left" vertical="center" wrapText="1"/>
    </xf>
    <xf numFmtId="49" fontId="35" fillId="3" borderId="9" xfId="3" applyNumberFormat="1" applyFont="1" applyFill="1" applyBorder="1" applyAlignment="1" applyProtection="1">
      <alignment horizontal="center" vertical="center" wrapText="1"/>
    </xf>
    <xf numFmtId="0" fontId="20" fillId="0" borderId="0" xfId="0" applyFont="1" applyFill="1"/>
    <xf numFmtId="0" fontId="22" fillId="3" borderId="9" xfId="0" applyFont="1" applyFill="1" applyBorder="1" applyAlignment="1">
      <alignment horizontal="center" vertical="center"/>
    </xf>
    <xf numFmtId="49" fontId="22" fillId="3" borderId="9" xfId="3" applyNumberFormat="1" applyFont="1" applyFill="1" applyBorder="1" applyAlignment="1" applyProtection="1">
      <alignment horizontal="center" vertical="center" wrapText="1"/>
    </xf>
    <xf numFmtId="41" fontId="22" fillId="3" borderId="9" xfId="0" applyNumberFormat="1" applyFont="1" applyFill="1" applyBorder="1" applyAlignment="1">
      <alignment horizontal="right" vertical="center" wrapText="1"/>
    </xf>
    <xf numFmtId="164" fontId="22" fillId="3" borderId="9" xfId="0" applyNumberFormat="1" applyFont="1" applyFill="1" applyBorder="1" applyAlignment="1">
      <alignment horizontal="right" vertical="center" wrapText="1"/>
    </xf>
    <xf numFmtId="43" fontId="22" fillId="3" borderId="9" xfId="0" applyNumberFormat="1" applyFont="1" applyFill="1" applyBorder="1" applyAlignment="1">
      <alignment horizontal="right" vertical="center" wrapText="1"/>
    </xf>
    <xf numFmtId="0" fontId="21" fillId="0" borderId="0" xfId="0" applyFont="1" applyFill="1"/>
    <xf numFmtId="0" fontId="22" fillId="3" borderId="8" xfId="0" applyFont="1" applyFill="1" applyBorder="1" applyAlignment="1">
      <alignment vertical="center"/>
    </xf>
    <xf numFmtId="0" fontId="35" fillId="3" borderId="0" xfId="0" applyFont="1" applyFill="1" applyAlignment="1">
      <alignment horizontal="center" vertical="center"/>
    </xf>
    <xf numFmtId="0" fontId="24" fillId="3" borderId="9" xfId="0" applyFont="1" applyFill="1" applyBorder="1" applyAlignment="1">
      <alignment horizontal="left" vertical="center" wrapText="1"/>
    </xf>
    <xf numFmtId="49" fontId="24" fillId="3" borderId="9" xfId="0" applyNumberFormat="1" applyFont="1" applyFill="1" applyBorder="1" applyAlignment="1">
      <alignment horizontal="center" vertical="center"/>
    </xf>
    <xf numFmtId="0" fontId="23" fillId="3" borderId="9" xfId="0" applyFont="1" applyFill="1" applyBorder="1" applyAlignment="1">
      <alignment horizontal="left" vertical="center" wrapText="1"/>
    </xf>
    <xf numFmtId="49" fontId="23" fillId="3" borderId="9" xfId="0" applyNumberFormat="1" applyFont="1" applyFill="1" applyBorder="1" applyAlignment="1">
      <alignment horizontal="center" vertical="center"/>
    </xf>
    <xf numFmtId="0" fontId="22" fillId="3" borderId="0" xfId="0" applyFont="1" applyFill="1" applyBorder="1" applyAlignment="1">
      <alignment horizontal="center" vertical="center"/>
    </xf>
    <xf numFmtId="0" fontId="22" fillId="3" borderId="0" xfId="0" applyFont="1" applyFill="1" applyBorder="1" applyAlignment="1">
      <alignment vertical="center" wrapText="1"/>
    </xf>
    <xf numFmtId="41" fontId="22" fillId="3" borderId="0" xfId="0" applyNumberFormat="1" applyFont="1" applyFill="1" applyBorder="1" applyAlignment="1">
      <alignment horizontal="right" vertical="center" wrapText="1"/>
    </xf>
    <xf numFmtId="0" fontId="35" fillId="3" borderId="0" xfId="0" applyFont="1" applyFill="1" applyBorder="1" applyAlignment="1">
      <alignment vertical="center"/>
    </xf>
    <xf numFmtId="0" fontId="22" fillId="3" borderId="0" xfId="0" applyFont="1" applyFill="1" applyAlignment="1">
      <alignment vertical="center" wrapText="1"/>
    </xf>
    <xf numFmtId="0" fontId="24" fillId="2" borderId="9" xfId="0" applyNumberFormat="1" applyFont="1" applyFill="1" applyBorder="1" applyAlignment="1" applyProtection="1">
      <alignment horizontal="center" vertical="center" wrapText="1"/>
    </xf>
    <xf numFmtId="49" fontId="24" fillId="2" borderId="9" xfId="0" applyNumberFormat="1" applyFont="1" applyFill="1" applyBorder="1" applyAlignment="1" applyProtection="1">
      <alignment horizontal="center" vertical="center" wrapText="1"/>
    </xf>
    <xf numFmtId="0" fontId="24" fillId="2" borderId="9" xfId="5" applyFont="1" applyFill="1" applyBorder="1" applyAlignment="1" applyProtection="1">
      <alignment horizontal="left" vertical="center" wrapText="1"/>
    </xf>
    <xf numFmtId="49" fontId="24" fillId="2" borderId="9" xfId="5" applyNumberFormat="1" applyFont="1" applyFill="1" applyBorder="1" applyAlignment="1" applyProtection="1">
      <alignment horizontal="center" vertical="center" wrapText="1"/>
    </xf>
    <xf numFmtId="0" fontId="23" fillId="2" borderId="9" xfId="5" applyNumberFormat="1" applyFont="1" applyFill="1" applyBorder="1" applyAlignment="1" applyProtection="1">
      <alignment horizontal="center" vertical="center" wrapText="1"/>
    </xf>
    <xf numFmtId="0" fontId="23" fillId="3"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0" fontId="23" fillId="0" borderId="9" xfId="5" applyNumberFormat="1" applyFont="1" applyFill="1" applyBorder="1" applyAlignment="1" applyProtection="1">
      <alignment horizontal="center" vertical="center" wrapText="1"/>
    </xf>
    <xf numFmtId="0" fontId="23" fillId="3" borderId="9" xfId="5" applyNumberFormat="1" applyFont="1" applyFill="1" applyBorder="1" applyAlignment="1" applyProtection="1">
      <alignment horizontal="center" vertical="center" wrapText="1"/>
    </xf>
    <xf numFmtId="49" fontId="23" fillId="3" borderId="9" xfId="5" applyNumberFormat="1" applyFont="1" applyFill="1" applyBorder="1" applyAlignment="1" applyProtection="1">
      <alignment horizontal="center" vertical="center" wrapText="1"/>
    </xf>
    <xf numFmtId="0" fontId="23" fillId="0" borderId="9" xfId="5" applyFont="1" applyFill="1" applyBorder="1" applyAlignment="1" applyProtection="1">
      <alignment horizontal="left" vertical="center" wrapText="1"/>
    </xf>
    <xf numFmtId="49" fontId="25" fillId="0" borderId="9" xfId="5"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49" fontId="25" fillId="0" borderId="9" xfId="5" quotePrefix="1" applyNumberFormat="1" applyFont="1" applyFill="1" applyBorder="1" applyAlignment="1" applyProtection="1">
      <alignment horizontal="center" vertical="center" wrapText="1"/>
    </xf>
    <xf numFmtId="0" fontId="26" fillId="3" borderId="0" xfId="0" applyFont="1" applyFill="1" applyBorder="1" applyAlignment="1">
      <alignment horizontal="left" vertical="center"/>
    </xf>
    <xf numFmtId="0" fontId="24" fillId="2" borderId="9" xfId="7" applyFont="1" applyFill="1" applyBorder="1" applyAlignment="1" applyProtection="1">
      <alignment horizontal="left" vertical="center" wrapText="1"/>
    </xf>
    <xf numFmtId="165" fontId="23" fillId="0" borderId="14" xfId="0" applyNumberFormat="1" applyFont="1" applyFill="1" applyBorder="1" applyAlignment="1" applyProtection="1">
      <alignment horizontal="right" vertical="center" wrapText="1"/>
      <protection locked="0"/>
    </xf>
    <xf numFmtId="4" fontId="23"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0" fontId="5" fillId="0" borderId="0" xfId="0" applyFont="1" applyFill="1"/>
    <xf numFmtId="0" fontId="23" fillId="3" borderId="14" xfId="0" applyNumberFormat="1" applyFont="1" applyFill="1" applyBorder="1" applyAlignment="1" applyProtection="1">
      <alignment horizontal="center" vertical="center" wrapText="1"/>
      <protection locked="0"/>
    </xf>
    <xf numFmtId="0" fontId="23" fillId="3" borderId="14" xfId="0" applyNumberFormat="1" applyFont="1" applyFill="1" applyBorder="1" applyAlignment="1" applyProtection="1">
      <alignment horizontal="left" vertical="center" wrapText="1"/>
      <protection locked="0"/>
    </xf>
    <xf numFmtId="166" fontId="23" fillId="3" borderId="14" xfId="0" applyNumberFormat="1" applyFont="1" applyFill="1" applyBorder="1" applyAlignment="1" applyProtection="1">
      <alignment horizontal="right" vertical="center" wrapText="1"/>
      <protection locked="0"/>
    </xf>
    <xf numFmtId="166" fontId="24" fillId="2" borderId="9" xfId="8"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165" fontId="24"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41" fontId="23" fillId="3" borderId="9" xfId="6" applyNumberFormat="1" applyFont="1" applyFill="1" applyBorder="1" applyAlignment="1" applyProtection="1">
      <alignment horizontal="right" vertical="center" wrapText="1"/>
      <protection locked="0"/>
    </xf>
    <xf numFmtId="164" fontId="24" fillId="3" borderId="9" xfId="6" applyNumberFormat="1" applyFont="1" applyFill="1" applyBorder="1" applyAlignment="1" applyProtection="1">
      <alignment horizontal="right" vertical="center" wrapText="1"/>
      <protection locked="0"/>
    </xf>
    <xf numFmtId="0" fontId="26" fillId="3" borderId="0" xfId="0" applyFont="1" applyFill="1" applyBorder="1" applyAlignment="1">
      <alignment horizontal="left" vertical="center"/>
    </xf>
    <xf numFmtId="4" fontId="37" fillId="6" borderId="15" xfId="0" applyNumberFormat="1" applyFont="1" applyFill="1" applyBorder="1" applyAlignment="1" applyProtection="1">
      <alignment horizontal="left" vertical="center" wrapText="1"/>
      <protection locked="0"/>
    </xf>
    <xf numFmtId="4" fontId="38" fillId="7" borderId="16" xfId="0" applyNumberFormat="1" applyFont="1" applyFill="1" applyBorder="1" applyAlignment="1" applyProtection="1">
      <alignment horizontal="center" vertical="center" wrapText="1"/>
      <protection locked="0"/>
    </xf>
    <xf numFmtId="10" fontId="40" fillId="9" borderId="18" xfId="0" applyNumberFormat="1" applyFont="1" applyFill="1" applyBorder="1" applyAlignment="1" applyProtection="1">
      <alignment horizontal="right" vertical="center" wrapText="1"/>
      <protection locked="0"/>
    </xf>
    <xf numFmtId="165" fontId="41" fillId="10" borderId="19" xfId="0" applyNumberFormat="1" applyFont="1" applyFill="1" applyBorder="1" applyAlignment="1" applyProtection="1">
      <alignment horizontal="right" vertical="center" wrapText="1"/>
      <protection locked="0"/>
    </xf>
    <xf numFmtId="0" fontId="42" fillId="11" borderId="20" xfId="0" applyNumberFormat="1" applyFont="1" applyFill="1" applyBorder="1" applyAlignment="1" applyProtection="1">
      <alignment horizontal="left" vertical="center" wrapText="1"/>
      <protection locked="0"/>
    </xf>
    <xf numFmtId="0" fontId="43" fillId="12" borderId="21" xfId="0" applyNumberFormat="1" applyFont="1" applyFill="1" applyBorder="1" applyAlignment="1" applyProtection="1">
      <alignment horizontal="center" vertical="center" wrapText="1"/>
      <protection locked="0"/>
    </xf>
    <xf numFmtId="10" fontId="44" fillId="13" borderId="22" xfId="0" applyNumberFormat="1" applyFont="1" applyFill="1" applyBorder="1" applyAlignment="1" applyProtection="1">
      <alignment horizontal="right" vertical="center" wrapText="1"/>
      <protection locked="0"/>
    </xf>
    <xf numFmtId="165" fontId="45" fillId="14" borderId="23" xfId="0" applyNumberFormat="1" applyFont="1" applyFill="1" applyBorder="1" applyAlignment="1" applyProtection="1">
      <alignment horizontal="right" vertical="center" wrapText="1"/>
      <protection locked="0"/>
    </xf>
    <xf numFmtId="43" fontId="46" fillId="15" borderId="24" xfId="0" applyNumberFormat="1" applyFont="1" applyFill="1" applyBorder="1" applyAlignment="1" applyProtection="1">
      <alignment horizontal="right" vertical="center" wrapText="1"/>
      <protection locked="0"/>
    </xf>
    <xf numFmtId="37" fontId="47" fillId="16" borderId="25" xfId="0" applyNumberFormat="1" applyFont="1" applyFill="1" applyBorder="1" applyAlignment="1" applyProtection="1">
      <alignment horizontal="right" vertical="center" wrapText="1"/>
      <protection locked="0"/>
    </xf>
    <xf numFmtId="0" fontId="2" fillId="5" borderId="0" xfId="13" applyFill="1"/>
    <xf numFmtId="0" fontId="25" fillId="3" borderId="0" xfId="12" applyFont="1" applyFill="1" applyAlignment="1">
      <alignment horizontal="center" vertical="center"/>
    </xf>
    <xf numFmtId="0" fontId="23" fillId="3" borderId="0" xfId="12" applyFont="1" applyFill="1"/>
    <xf numFmtId="0" fontId="2" fillId="3" borderId="0" xfId="13" applyFill="1"/>
    <xf numFmtId="0" fontId="2"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50" fillId="3" borderId="0" xfId="12" applyFont="1" applyFill="1" applyAlignment="1">
      <alignment horizontal="left" vertical="top"/>
    </xf>
    <xf numFmtId="0" fontId="23" fillId="3" borderId="0" xfId="12" applyFont="1" applyFill="1" applyAlignment="1">
      <alignment horizontal="left" vertical="top"/>
    </xf>
    <xf numFmtId="0" fontId="22" fillId="3" borderId="0" xfId="12" applyFont="1" applyFill="1" applyAlignment="1">
      <alignment horizontal="left" vertical="top"/>
    </xf>
    <xf numFmtId="0" fontId="2" fillId="3" borderId="0" xfId="13" applyFill="1" applyAlignment="1">
      <alignment horizontal="center"/>
    </xf>
    <xf numFmtId="0" fontId="22" fillId="5" borderId="0" xfId="13" applyFont="1" applyFill="1"/>
    <xf numFmtId="0" fontId="35" fillId="18" borderId="9" xfId="13" applyFont="1" applyFill="1" applyBorder="1" applyAlignment="1">
      <alignment horizontal="center" vertical="center" wrapText="1"/>
    </xf>
    <xf numFmtId="49" fontId="22" fillId="3" borderId="9" xfId="13" applyNumberFormat="1" applyFont="1" applyFill="1" applyBorder="1" applyAlignment="1" applyProtection="1">
      <alignment horizontal="center" vertical="center" wrapText="1"/>
    </xf>
    <xf numFmtId="49" fontId="22" fillId="3" borderId="9" xfId="13" applyNumberFormat="1" applyFont="1" applyFill="1" applyBorder="1" applyAlignment="1" applyProtection="1">
      <alignment horizontal="left" vertical="center" wrapText="1"/>
    </xf>
    <xf numFmtId="0" fontId="22" fillId="3" borderId="9" xfId="13" applyFont="1" applyFill="1" applyBorder="1"/>
    <xf numFmtId="0" fontId="22" fillId="3" borderId="9" xfId="13" applyFont="1" applyFill="1" applyBorder="1" applyAlignment="1">
      <alignment vertical="center" wrapText="1"/>
    </xf>
    <xf numFmtId="167" fontId="22" fillId="3" borderId="9" xfId="13" applyNumberFormat="1" applyFont="1" applyFill="1" applyBorder="1" applyAlignment="1">
      <alignment vertical="center" wrapText="1"/>
    </xf>
    <xf numFmtId="10" fontId="22" fillId="3" borderId="9" xfId="13" applyNumberFormat="1" applyFont="1" applyFill="1" applyBorder="1" applyAlignment="1" applyProtection="1">
      <alignment horizontal="left" vertical="center" wrapText="1"/>
    </xf>
    <xf numFmtId="14" fontId="35" fillId="3" borderId="9" xfId="13" applyNumberFormat="1" applyFont="1" applyFill="1" applyBorder="1" applyAlignment="1" applyProtection="1">
      <alignment horizontal="left" vertical="center" wrapText="1"/>
    </xf>
    <xf numFmtId="10" fontId="35" fillId="3" borderId="9" xfId="13" applyNumberFormat="1" applyFont="1" applyFill="1" applyBorder="1" applyAlignment="1" applyProtection="1">
      <alignment horizontal="left" vertical="center" wrapText="1"/>
    </xf>
    <xf numFmtId="10" fontId="22" fillId="3" borderId="9" xfId="13" applyNumberFormat="1" applyFont="1" applyFill="1" applyBorder="1"/>
    <xf numFmtId="0" fontId="22" fillId="3" borderId="9" xfId="13" applyNumberFormat="1" applyFont="1" applyFill="1" applyBorder="1" applyAlignment="1" applyProtection="1">
      <alignment horizontal="center" vertical="center" wrapText="1"/>
    </xf>
    <xf numFmtId="0" fontId="22" fillId="3" borderId="9" xfId="13" applyNumberFormat="1" applyFont="1" applyFill="1" applyBorder="1" applyAlignment="1" applyProtection="1">
      <alignment horizontal="right" vertical="center" wrapText="1"/>
    </xf>
    <xf numFmtId="0" fontId="22" fillId="3" borderId="0" xfId="13" applyFont="1" applyFill="1" applyAlignment="1">
      <alignment horizontal="center"/>
    </xf>
    <xf numFmtId="0" fontId="22" fillId="3" borderId="0" xfId="13" applyFont="1" applyFill="1"/>
    <xf numFmtId="0" fontId="35" fillId="3" borderId="0" xfId="12" applyFont="1" applyFill="1"/>
    <xf numFmtId="0" fontId="22" fillId="3" borderId="0" xfId="12" applyFont="1" applyFill="1"/>
    <xf numFmtId="165" fontId="22" fillId="3" borderId="0" xfId="14" applyNumberFormat="1" applyFont="1" applyFill="1" applyProtection="1">
      <protection locked="0"/>
    </xf>
    <xf numFmtId="165" fontId="35" fillId="3" borderId="0" xfId="14" applyNumberFormat="1" applyFont="1" applyFill="1" applyProtection="1">
      <protection locked="0"/>
    </xf>
    <xf numFmtId="0" fontId="34" fillId="3" borderId="0" xfId="12" applyFont="1" applyFill="1"/>
    <xf numFmtId="165" fontId="34" fillId="3" borderId="0" xfId="14" applyNumberFormat="1" applyFont="1" applyFill="1" applyProtection="1">
      <protection locked="0"/>
    </xf>
    <xf numFmtId="0" fontId="22" fillId="3" borderId="8" xfId="12" applyFont="1" applyFill="1" applyBorder="1"/>
    <xf numFmtId="165" fontId="22" fillId="3" borderId="8" xfId="14" applyNumberFormat="1" applyFont="1" applyFill="1" applyBorder="1" applyProtection="1">
      <protection locked="0"/>
    </xf>
    <xf numFmtId="0" fontId="2" fillId="3" borderId="8" xfId="13" applyFill="1" applyBorder="1"/>
    <xf numFmtId="0" fontId="2" fillId="5" borderId="0" xfId="13" applyFill="1" applyAlignment="1">
      <alignment horizontal="center"/>
    </xf>
    <xf numFmtId="0" fontId="24" fillId="3" borderId="0" xfId="0" applyFont="1" applyFill="1"/>
    <xf numFmtId="0" fontId="5" fillId="3" borderId="0" xfId="0" applyFont="1" applyFill="1" applyBorder="1" applyAlignment="1"/>
    <xf numFmtId="0" fontId="0" fillId="3" borderId="0" xfId="0" applyFill="1" applyBorder="1" applyAlignment="1"/>
    <xf numFmtId="0" fontId="24" fillId="3" borderId="0" xfId="0" applyFont="1" applyFill="1" applyAlignment="1"/>
    <xf numFmtId="0" fontId="24" fillId="3" borderId="0" xfId="0" applyFont="1" applyFill="1" applyBorder="1" applyAlignment="1"/>
    <xf numFmtId="0" fontId="36" fillId="3" borderId="0" xfId="0" applyFont="1" applyFill="1" applyBorder="1" applyAlignment="1">
      <alignment horizontal="center" vertical="center"/>
    </xf>
    <xf numFmtId="0" fontId="24" fillId="0" borderId="0" xfId="0" applyFont="1" applyAlignment="1">
      <alignment horizontal="center"/>
    </xf>
    <xf numFmtId="0" fontId="23" fillId="3" borderId="0" xfId="1" applyFont="1" applyFill="1" applyAlignment="1">
      <alignment horizontal="center" vertical="center"/>
    </xf>
    <xf numFmtId="9" fontId="47" fillId="16" borderId="25" xfId="0" applyNumberFormat="1" applyFont="1" applyFill="1" applyBorder="1" applyAlignment="1" applyProtection="1">
      <alignment horizontal="right" vertical="center" wrapText="1"/>
      <protection locked="0"/>
    </xf>
    <xf numFmtId="4" fontId="23" fillId="6" borderId="15" xfId="0" applyNumberFormat="1" applyFont="1" applyFill="1" applyBorder="1" applyAlignment="1" applyProtection="1">
      <alignment horizontal="left" vertical="center" wrapText="1"/>
      <protection locked="0"/>
    </xf>
    <xf numFmtId="49" fontId="43" fillId="12" borderId="21" xfId="0" applyNumberFormat="1" applyFont="1" applyFill="1" applyBorder="1" applyAlignment="1" applyProtection="1">
      <alignment horizontal="center" vertical="center" wrapText="1"/>
      <protection locked="0"/>
    </xf>
    <xf numFmtId="49" fontId="38" fillId="7" borderId="16" xfId="0" applyNumberFormat="1" applyFont="1" applyFill="1" applyBorder="1" applyAlignment="1" applyProtection="1">
      <alignment horizontal="center" vertical="center" wrapText="1"/>
      <protection locked="0"/>
    </xf>
    <xf numFmtId="49" fontId="39" fillId="8" borderId="17" xfId="0" applyNumberFormat="1" applyFont="1" applyFill="1" applyBorder="1" applyAlignment="1" applyProtection="1">
      <alignment horizontal="center" vertical="center" wrapText="1"/>
      <protection locked="0"/>
    </xf>
    <xf numFmtId="0" fontId="8" fillId="3" borderId="1" xfId="0" applyFont="1" applyFill="1" applyBorder="1" applyAlignment="1"/>
    <xf numFmtId="0" fontId="8" fillId="3" borderId="2" xfId="0" applyFont="1" applyFill="1" applyBorder="1" applyAlignment="1"/>
    <xf numFmtId="0" fontId="12" fillId="3" borderId="0" xfId="0" applyFont="1" applyFill="1" applyAlignment="1">
      <alignment horizontal="left" vertical="center" wrapText="1"/>
    </xf>
    <xf numFmtId="0" fontId="10" fillId="3" borderId="0" xfId="0" applyFont="1" applyFill="1" applyAlignment="1">
      <alignment horizontal="left" vertical="center" wrapText="1"/>
    </xf>
    <xf numFmtId="0" fontId="22" fillId="3" borderId="0" xfId="0" applyFont="1" applyFill="1" applyAlignment="1">
      <alignment horizontal="left" vertical="center" wrapText="1"/>
    </xf>
    <xf numFmtId="0" fontId="31" fillId="3" borderId="0" xfId="0" applyFont="1" applyFill="1" applyAlignment="1">
      <alignment horizontal="right" vertical="center" wrapText="1"/>
    </xf>
    <xf numFmtId="0" fontId="32" fillId="3" borderId="0" xfId="0" applyFont="1" applyFill="1" applyAlignment="1">
      <alignment horizontal="right" vertical="center" wrapText="1"/>
    </xf>
    <xf numFmtId="0" fontId="33" fillId="3" borderId="0" xfId="0" applyFont="1" applyFill="1" applyAlignment="1">
      <alignment horizontal="center" vertical="center" wrapText="1"/>
    </xf>
    <xf numFmtId="0" fontId="34" fillId="3" borderId="0" xfId="0" applyFont="1" applyFill="1" applyAlignment="1">
      <alignment horizontal="center" vertical="center"/>
    </xf>
    <xf numFmtId="0" fontId="26" fillId="3" borderId="0" xfId="0" applyFont="1" applyFill="1" applyBorder="1" applyAlignment="1">
      <alignment horizontal="left" vertical="center" wrapText="1"/>
    </xf>
    <xf numFmtId="0" fontId="35" fillId="3" borderId="0" xfId="0" applyFont="1" applyFill="1" applyAlignment="1">
      <alignment horizontal="center" vertical="center"/>
    </xf>
    <xf numFmtId="0" fontId="24" fillId="2" borderId="12" xfId="0" applyFont="1" applyFill="1" applyBorder="1" applyAlignment="1" applyProtection="1">
      <alignment horizontal="center" vertical="center" wrapText="1"/>
    </xf>
    <xf numFmtId="0" fontId="24" fillId="2" borderId="13" xfId="0" applyFont="1" applyFill="1" applyBorder="1" applyAlignment="1" applyProtection="1">
      <alignment horizontal="center" vertical="center" wrapText="1"/>
    </xf>
    <xf numFmtId="49" fontId="24" fillId="2" borderId="12" xfId="0" applyNumberFormat="1" applyFont="1" applyFill="1" applyBorder="1" applyAlignment="1" applyProtection="1">
      <alignment horizontal="center" vertical="center" wrapText="1"/>
    </xf>
    <xf numFmtId="49" fontId="24" fillId="2" borderId="13" xfId="0" applyNumberFormat="1" applyFont="1" applyFill="1" applyBorder="1" applyAlignment="1" applyProtection="1">
      <alignment horizontal="center" vertical="center" wrapText="1"/>
    </xf>
    <xf numFmtId="0" fontId="5" fillId="2" borderId="13" xfId="0" applyFont="1" applyFill="1" applyBorder="1" applyAlignment="1">
      <alignment vertical="center"/>
    </xf>
    <xf numFmtId="165" fontId="24" fillId="2" borderId="10" xfId="8" applyNumberFormat="1" applyFont="1" applyFill="1" applyBorder="1" applyAlignment="1" applyProtection="1">
      <alignment horizontal="center" vertical="center" wrapText="1"/>
      <protection locked="0"/>
    </xf>
    <xf numFmtId="165" fontId="24" fillId="2" borderId="11" xfId="8" applyNumberFormat="1" applyFont="1" applyFill="1" applyBorder="1" applyAlignment="1" applyProtection="1">
      <alignment horizontal="center" vertical="center" wrapText="1"/>
      <protection locked="0"/>
    </xf>
    <xf numFmtId="0" fontId="36" fillId="3" borderId="0" xfId="0" applyFont="1" applyFill="1" applyBorder="1" applyAlignment="1">
      <alignment horizontal="center" vertical="center"/>
    </xf>
    <xf numFmtId="0" fontId="5" fillId="3" borderId="0" xfId="0" applyFont="1" applyFill="1" applyBorder="1" applyAlignment="1">
      <alignment horizontal="center"/>
    </xf>
    <xf numFmtId="0" fontId="0" fillId="3" borderId="0" xfId="0" applyFill="1" applyBorder="1" applyAlignment="1">
      <alignment horizontal="center"/>
    </xf>
    <xf numFmtId="0" fontId="24" fillId="3" borderId="0" xfId="0" applyFont="1" applyFill="1" applyAlignment="1">
      <alignment horizontal="center"/>
    </xf>
    <xf numFmtId="0" fontId="23" fillId="3" borderId="0" xfId="0" applyFont="1" applyFill="1" applyAlignment="1">
      <alignment horizontal="center"/>
    </xf>
    <xf numFmtId="0" fontId="23" fillId="3" borderId="0" xfId="0" applyFont="1" applyFill="1" applyAlignment="1">
      <alignment horizontal="left"/>
    </xf>
    <xf numFmtId="0" fontId="0" fillId="0" borderId="0" xfId="0" applyAlignment="1"/>
    <xf numFmtId="0" fontId="36" fillId="3" borderId="0" xfId="0" applyFont="1" applyFill="1" applyBorder="1" applyAlignment="1">
      <alignment horizontal="left" vertical="center"/>
    </xf>
    <xf numFmtId="0" fontId="24" fillId="3" borderId="0" xfId="0" applyFont="1" applyFill="1" applyAlignment="1">
      <alignment horizontal="left"/>
    </xf>
    <xf numFmtId="0" fontId="0" fillId="0" borderId="0" xfId="0" applyAlignment="1">
      <alignment horizontal="left"/>
    </xf>
    <xf numFmtId="0" fontId="23" fillId="3" borderId="0" xfId="0" applyFont="1" applyFill="1" applyAlignment="1">
      <alignment horizontal="left" vertical="center" wrapText="1"/>
    </xf>
    <xf numFmtId="0" fontId="29" fillId="3" borderId="0" xfId="0" applyFont="1" applyFill="1" applyAlignment="1">
      <alignment horizontal="right" vertical="center" wrapText="1"/>
    </xf>
    <xf numFmtId="0" fontId="28" fillId="3" borderId="0" xfId="0" applyFont="1" applyFill="1" applyAlignment="1">
      <alignment horizontal="right" vertical="center" wrapText="1"/>
    </xf>
    <xf numFmtId="0" fontId="27" fillId="3" borderId="0" xfId="0" applyFont="1" applyFill="1" applyAlignment="1">
      <alignment horizontal="center" vertical="center" wrapText="1"/>
    </xf>
    <xf numFmtId="0" fontId="25" fillId="3" borderId="0" xfId="0" applyFont="1" applyFill="1" applyAlignment="1">
      <alignment horizontal="center" vertical="center"/>
    </xf>
    <xf numFmtId="0" fontId="22" fillId="3" borderId="0" xfId="0" applyFont="1" applyFill="1" applyAlignment="1">
      <alignment horizontal="left" vertical="center"/>
    </xf>
    <xf numFmtId="0" fontId="26" fillId="3" borderId="0" xfId="0" applyFont="1" applyFill="1" applyBorder="1" applyAlignment="1">
      <alignment horizontal="left" vertical="center"/>
    </xf>
    <xf numFmtId="0" fontId="22" fillId="3" borderId="9" xfId="0" applyFont="1" applyFill="1" applyBorder="1" applyAlignment="1">
      <alignment horizontal="center" vertical="center"/>
    </xf>
    <xf numFmtId="0" fontId="35" fillId="2" borderId="10" xfId="0" applyFont="1" applyFill="1" applyBorder="1" applyAlignment="1">
      <alignment horizontal="center" vertical="center" wrapText="1"/>
    </xf>
    <xf numFmtId="0" fontId="35" fillId="2" borderId="11"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3" borderId="13" xfId="0" applyFont="1" applyFill="1" applyBorder="1" applyAlignment="1">
      <alignment horizontal="center" vertical="center"/>
    </xf>
    <xf numFmtId="0" fontId="35" fillId="18" borderId="12" xfId="13" applyFont="1" applyFill="1" applyBorder="1" applyAlignment="1">
      <alignment horizontal="center" vertical="center" wrapText="1"/>
    </xf>
    <xf numFmtId="0" fontId="35" fillId="18" borderId="13" xfId="13" applyFont="1" applyFill="1" applyBorder="1" applyAlignment="1">
      <alignment horizontal="center" vertical="center" wrapText="1"/>
    </xf>
    <xf numFmtId="0" fontId="35" fillId="18" borderId="10" xfId="13" applyFont="1" applyFill="1" applyBorder="1" applyAlignment="1">
      <alignment horizontal="center" vertical="center" wrapText="1"/>
    </xf>
    <xf numFmtId="0" fontId="35" fillId="18" borderId="11" xfId="13" applyFont="1" applyFill="1" applyBorder="1" applyAlignment="1">
      <alignment horizontal="center" vertical="center" wrapText="1"/>
    </xf>
    <xf numFmtId="0" fontId="26" fillId="3" borderId="0" xfId="12" applyFont="1" applyFill="1" applyAlignment="1">
      <alignment horizontal="left" vertical="top" wrapText="1"/>
    </xf>
    <xf numFmtId="0" fontId="36" fillId="3" borderId="0" xfId="12" applyFont="1" applyFill="1" applyAlignment="1">
      <alignment horizontal="left" vertical="top" wrapText="1"/>
    </xf>
    <xf numFmtId="0" fontId="50" fillId="3" borderId="0" xfId="12" applyFont="1" applyFill="1" applyAlignment="1">
      <alignment horizontal="left" vertical="center" wrapText="1"/>
    </xf>
    <xf numFmtId="0" fontId="51" fillId="3" borderId="0" xfId="12" applyFont="1" applyFill="1" applyAlignment="1">
      <alignment horizontal="left" vertical="center" wrapText="1"/>
    </xf>
    <xf numFmtId="15" fontId="23" fillId="3" borderId="0" xfId="12" applyNumberFormat="1" applyFont="1" applyFill="1" applyAlignment="1">
      <alignment horizontal="left"/>
    </xf>
    <xf numFmtId="0" fontId="35" fillId="18" borderId="12" xfId="13" applyNumberFormat="1" applyFont="1" applyFill="1" applyBorder="1" applyAlignment="1" applyProtection="1">
      <alignment horizontal="center" vertical="center" wrapText="1"/>
    </xf>
    <xf numFmtId="0" fontId="35" fillId="18" borderId="13" xfId="13" applyNumberFormat="1" applyFont="1" applyFill="1" applyBorder="1" applyAlignment="1" applyProtection="1">
      <alignment horizontal="center" vertical="center" wrapText="1"/>
    </xf>
    <xf numFmtId="0" fontId="23" fillId="3" borderId="0" xfId="12" applyFont="1" applyFill="1" applyAlignment="1">
      <alignment horizontal="left" vertical="center" wrapText="1"/>
    </xf>
    <xf numFmtId="0" fontId="22" fillId="3" borderId="0" xfId="12" applyFont="1" applyFill="1" applyAlignment="1">
      <alignment horizontal="left" vertical="top" wrapText="1"/>
    </xf>
    <xf numFmtId="0" fontId="50" fillId="3" borderId="0" xfId="12" applyFont="1" applyFill="1" applyAlignment="1">
      <alignment horizontal="left" vertical="top" wrapText="1"/>
    </xf>
    <xf numFmtId="0" fontId="48" fillId="17" borderId="0" xfId="12" applyFont="1" applyFill="1" applyAlignment="1">
      <alignment horizontal="right" vertical="center" wrapText="1"/>
    </xf>
    <xf numFmtId="0" fontId="49" fillId="3" borderId="0" xfId="12" applyFont="1" applyFill="1" applyAlignment="1">
      <alignment horizontal="right" vertical="center" wrapText="1"/>
    </xf>
    <xf numFmtId="0" fontId="27" fillId="17" borderId="0" xfId="12" applyFont="1" applyFill="1" applyAlignment="1">
      <alignment horizontal="center" vertical="center" wrapText="1"/>
    </xf>
    <xf numFmtId="0" fontId="25" fillId="3" borderId="0" xfId="12" applyFont="1" applyFill="1" applyAlignment="1">
      <alignment horizontal="center" vertical="center"/>
    </xf>
    <xf numFmtId="0" fontId="26" fillId="3" borderId="0" xfId="12" applyFont="1" applyFill="1" applyAlignment="1">
      <alignment horizontal="left" vertical="center" wrapText="1"/>
    </xf>
    <xf numFmtId="0" fontId="24" fillId="3" borderId="0" xfId="12" applyFont="1" applyFill="1" applyAlignment="1">
      <alignment horizontal="left" vertical="center"/>
    </xf>
  </cellXfs>
  <cellStyles count="30">
    <cellStyle name="Comma" xfId="8" builtinId="3"/>
    <cellStyle name="Comma 10" xfId="24" xr:uid="{00000000-0005-0000-0000-000001000000}"/>
    <cellStyle name="Comma 14" xfId="25" xr:uid="{00000000-0005-0000-0000-000002000000}"/>
    <cellStyle name="Comma 2" xfId="6" xr:uid="{00000000-0005-0000-0000-000001000000}"/>
    <cellStyle name="Comma 2 10" xfId="26" xr:uid="{00000000-0005-0000-0000-000004000000}"/>
    <cellStyle name="Comma 2 2" xfId="22" xr:uid="{00000000-0005-0000-0000-000005000000}"/>
    <cellStyle name="Comma 2 3" xfId="23" xr:uid="{00000000-0005-0000-0000-000003000000}"/>
    <cellStyle name="Comma 2 9" xfId="27" xr:uid="{00000000-0005-0000-0000-000006000000}"/>
    <cellStyle name="Comma 3" xfId="9" xr:uid="{00000000-0005-0000-0000-000002000000}"/>
    <cellStyle name="Comma 4" xfId="14" xr:uid="{C113385C-14A7-4FA1-BAC1-9FE04C2EF2F4}"/>
    <cellStyle name="Comma 5" xfId="16" xr:uid="{00000000-0005-0000-0000-00003D000000}"/>
    <cellStyle name="Currency [0] 2" xfId="5" xr:uid="{00000000-0005-0000-0000-000003000000}"/>
    <cellStyle name="Currency [0] 2 2" xfId="18" xr:uid="{00000000-0005-0000-0000-000007000000}"/>
    <cellStyle name="Hyperlink" xfId="2" builtinId="8"/>
    <cellStyle name="Normal" xfId="0" builtinId="0"/>
    <cellStyle name="Normal 2" xfId="4" xr:uid="{00000000-0005-0000-0000-000006000000}"/>
    <cellStyle name="Normal 2 2" xfId="7" xr:uid="{00000000-0005-0000-0000-000007000000}"/>
    <cellStyle name="Normal 2 2 2" xfId="29" xr:uid="{00000000-0005-0000-0000-00000A000000}"/>
    <cellStyle name="Normal 2 3" xfId="19" xr:uid="{00000000-0005-0000-0000-000009000000}"/>
    <cellStyle name="Normal 3" xfId="3" xr:uid="{00000000-0005-0000-0000-000008000000}"/>
    <cellStyle name="Normal 3 2" xfId="13" xr:uid="{1035F1D1-5645-44D2-B22B-74E579180EB6}"/>
    <cellStyle name="Normal 4" xfId="12" xr:uid="{AE02367E-5B2F-43B7-8C33-82F17282C2FA}"/>
    <cellStyle name="Normal 4 2" xfId="21" xr:uid="{00000000-0005-0000-0000-00000C000000}"/>
    <cellStyle name="Normal 5" xfId="15" xr:uid="{00000000-0005-0000-0000-000045000000}"/>
    <cellStyle name="Normal 8 3" xfId="20" xr:uid="{00000000-0005-0000-0000-00000D000000}"/>
    <cellStyle name="Normal_Bao cao tai chinh 280405" xfId="1" xr:uid="{00000000-0005-0000-0000-000009000000}"/>
    <cellStyle name="Percent 2" xfId="10" xr:uid="{00000000-0005-0000-0000-00000A000000}"/>
    <cellStyle name="Percent 2 10" xfId="28" xr:uid="{00000000-0005-0000-0000-000011000000}"/>
    <cellStyle name="Percent 3" xfId="11" xr:uid="{00000000-0005-0000-0000-00000B000000}"/>
    <cellStyle name="Percent 4" xfId="17" xr:uid="{00000000-0005-0000-0000-00004C00000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jpe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jpe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2103120</xdr:colOff>
          <xdr:row>2</xdr:row>
          <xdr:rowOff>208904</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62781"/>
                </a:ext>
              </a:extLst>
            </xdr:cNvPicPr>
          </xdr:nvPicPr>
          <xdr:blipFill>
            <a:blip xmlns:r="http://schemas.openxmlformats.org/officeDocument/2006/relationships" r:embed="rId1"/>
            <a:srcRect/>
            <a:stretch>
              <a:fillRect/>
            </a:stretch>
          </xdr:blipFill>
          <xdr:spPr bwMode="auto">
            <a:xfrm>
              <a:off x="0" y="0"/>
              <a:ext cx="2103120" cy="77848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2</xdr:row>
          <xdr:rowOff>86381</xdr:rowOff>
        </xdr:to>
        <xdr:pic>
          <xdr:nvPicPr>
            <xdr:cNvPr id="3" name="Picture 1" descr="vfm-logo_915970.jpg">
              <a:extLst>
                <a:ext uri="{FF2B5EF4-FFF2-40B4-BE49-F238E27FC236}">
                  <a16:creationId xmlns:a16="http://schemas.microsoft.com/office/drawing/2014/main" id="{4FF75078-88FF-4026-8937-B7FE1DEB5A59}"/>
                </a:ext>
              </a:extLst>
            </xdr:cNvPr>
            <xdr:cNvPicPr>
              <a:picLocks noChangeAspect="1"/>
              <a:extLst>
                <a:ext uri="{84589F7E-364E-4C9E-8A38-B11213B215E9}">
                  <a14:cameraTool cellRange="addlogo" spid="_x0000_s86067"/>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1702837</xdr:colOff>
          <xdr:row>1</xdr:row>
          <xdr:rowOff>186612</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7993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1</xdr:row>
          <xdr:rowOff>291982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452"/>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1</xdr:row>
          <xdr:rowOff>145443</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0956"/>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1410101</xdr:colOff>
          <xdr:row>2</xdr:row>
          <xdr:rowOff>64569</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0745"/>
                </a:ext>
              </a:extLst>
            </xdr:cNvPicPr>
          </xdr:nvPicPr>
          <xdr:blipFill>
            <a:blip xmlns:r="http://schemas.openxmlformats.org/officeDocument/2006/relationships" r:embed="rId1"/>
            <a:srcRect/>
            <a:stretch>
              <a:fillRect/>
            </a:stretch>
          </xdr:blipFill>
          <xdr:spPr bwMode="auto">
            <a:xfrm>
              <a:off x="0" y="0"/>
              <a:ext cx="2011680" cy="79448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2</xdr:col>
          <xdr:colOff>709061</xdr:colOff>
          <xdr:row>1</xdr:row>
          <xdr:rowOff>310816</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1764"/>
                </a:ext>
              </a:extLst>
            </xdr:cNvPicPr>
          </xdr:nvPicPr>
          <xdr:blipFill>
            <a:blip xmlns:r="http://schemas.openxmlformats.org/officeDocument/2006/relationships" r:embed="rId1"/>
            <a:srcRect/>
            <a:stretch>
              <a:fillRect/>
            </a:stretch>
          </xdr:blipFill>
          <xdr:spPr bwMode="auto">
            <a:xfrm>
              <a:off x="0" y="0"/>
              <a:ext cx="1751798" cy="6477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2" name="Picture 1" descr="vfm-logo_915970.jpg">
          <a:extLst>
            <a:ext uri="{FF2B5EF4-FFF2-40B4-BE49-F238E27FC236}">
              <a16:creationId xmlns:a16="http://schemas.microsoft.com/office/drawing/2014/main" id="{638F9801-8C0B-4A08-BAF1-568755193555}"/>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3" name="Picture 2" descr="vfm-logo_915970.jpg">
          <a:extLst>
            <a:ext uri="{FF2B5EF4-FFF2-40B4-BE49-F238E27FC236}">
              <a16:creationId xmlns:a16="http://schemas.microsoft.com/office/drawing/2014/main" id="{3EC6073E-4DC6-4ACA-B7BF-B41B7A426BB7}"/>
            </a:ext>
          </a:extLst>
        </xdr:cNvPr>
        <xdr:cNvPicPr>
          <a:picLocks noChangeAspect="1"/>
        </xdr:cNvPicPr>
      </xdr:nvPicPr>
      <xdr:blipFill>
        <a:blip xmlns:r="http://schemas.openxmlformats.org/officeDocument/2006/relationships" r:embed="rId1" cstate="print"/>
        <a:stretch>
          <a:fillRect/>
        </a:stretch>
      </xdr:blipFill>
      <xdr:spPr>
        <a:xfrm>
          <a:off x="0" y="0"/>
          <a:ext cx="1871382" cy="8622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409575</xdr:colOff>
      <xdr:row>2</xdr:row>
      <xdr:rowOff>76200</xdr:rowOff>
    </xdr:from>
    <xdr:to>
      <xdr:col>2</xdr:col>
      <xdr:colOff>1821180</xdr:colOff>
      <xdr:row>2</xdr:row>
      <xdr:rowOff>488525</xdr:rowOff>
    </xdr:to>
    <xdr:pic>
      <xdr:nvPicPr>
        <xdr:cNvPr id="97" name="Picture 96" descr="vfm-logo_915970.jpg">
          <a:extLst>
            <a:ext uri="{FF2B5EF4-FFF2-40B4-BE49-F238E27FC236}">
              <a16:creationId xmlns:a16="http://schemas.microsoft.com/office/drawing/2014/main" id="{00000000-0008-0000-0D00-000061000000}"/>
            </a:ext>
          </a:extLst>
        </xdr:cNvPr>
        <xdr:cNvPicPr>
          <a:picLocks noChangeAspect="1"/>
        </xdr:cNvPicPr>
      </xdr:nvPicPr>
      <xdr:blipFill>
        <a:blip xmlns:r="http://schemas.openxmlformats.org/officeDocument/2006/relationships" r:embed="rId1" cstate="print"/>
        <a:stretch>
          <a:fillRect/>
        </a:stretch>
      </xdr:blipFill>
      <xdr:spPr>
        <a:xfrm>
          <a:off x="7236473" y="1048139"/>
          <a:ext cx="1411605" cy="412325"/>
        </a:xfrm>
        <a:prstGeom prst="rect">
          <a:avLst/>
        </a:prstGeom>
      </xdr:spPr>
    </xdr:pic>
    <xdr:clientData/>
  </xdr:twoCellAnchor>
  <xdr:oneCellAnchor>
    <xdr:from>
      <xdr:col>2</xdr:col>
      <xdr:colOff>401800</xdr:colOff>
      <xdr:row>3</xdr:row>
      <xdr:rowOff>21772</xdr:rowOff>
    </xdr:from>
    <xdr:ext cx="1411605" cy="412325"/>
    <xdr:pic>
      <xdr:nvPicPr>
        <xdr:cNvPr id="98" name="Picture 97" descr="vfm-logo_915970.jpg">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1" cstate="print"/>
        <a:stretch>
          <a:fillRect/>
        </a:stretch>
      </xdr:blipFill>
      <xdr:spPr>
        <a:xfrm>
          <a:off x="7228698" y="1537996"/>
          <a:ext cx="1411605" cy="412325"/>
        </a:xfrm>
        <a:prstGeom prst="rect">
          <a:avLst/>
        </a:prstGeom>
      </xdr:spPr>
    </xdr:pic>
    <xdr:clientData/>
  </xdr:oneCellAnchor>
  <xdr:oneCellAnchor>
    <xdr:from>
      <xdr:col>2</xdr:col>
      <xdr:colOff>409575</xdr:colOff>
      <xdr:row>4</xdr:row>
      <xdr:rowOff>76200</xdr:rowOff>
    </xdr:from>
    <xdr:ext cx="1411605" cy="412325"/>
    <xdr:pic>
      <xdr:nvPicPr>
        <xdr:cNvPr id="99" name="Picture 98" descr="vfm-logo_915970.jpg">
          <a:extLst>
            <a:ext uri="{FF2B5EF4-FFF2-40B4-BE49-F238E27FC236}">
              <a16:creationId xmlns:a16="http://schemas.microsoft.com/office/drawing/2014/main" id="{00000000-0008-0000-0D00-000063000000}"/>
            </a:ext>
          </a:extLst>
        </xdr:cNvPr>
        <xdr:cNvPicPr>
          <a:picLocks noChangeAspect="1"/>
        </xdr:cNvPicPr>
      </xdr:nvPicPr>
      <xdr:blipFill>
        <a:blip xmlns:r="http://schemas.openxmlformats.org/officeDocument/2006/relationships" r:embed="rId1" cstate="print"/>
        <a:stretch>
          <a:fillRect/>
        </a:stretch>
      </xdr:blipFill>
      <xdr:spPr>
        <a:xfrm>
          <a:off x="4471035" y="2606040"/>
          <a:ext cx="1411605" cy="412325"/>
        </a:xfrm>
        <a:prstGeom prst="rect">
          <a:avLst/>
        </a:prstGeom>
      </xdr:spPr>
    </xdr:pic>
    <xdr:clientData/>
  </xdr:oneCellAnchor>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oneCellAnchor>
    <xdr:from>
      <xdr:col>2</xdr:col>
      <xdr:colOff>438150</xdr:colOff>
      <xdr:row>6</xdr:row>
      <xdr:rowOff>104775</xdr:rowOff>
    </xdr:from>
    <xdr:ext cx="1411605" cy="412325"/>
    <xdr:pic>
      <xdr:nvPicPr>
        <xdr:cNvPr id="101" name="Picture 100" descr="vfm-logo_915970.jpg">
          <a:extLst>
            <a:ext uri="{FF2B5EF4-FFF2-40B4-BE49-F238E27FC236}">
              <a16:creationId xmlns:a16="http://schemas.microsoft.com/office/drawing/2014/main" id="{00000000-0008-0000-0D00-000065000000}"/>
            </a:ext>
          </a:extLst>
        </xdr:cNvPr>
        <xdr:cNvPicPr>
          <a:picLocks noChangeAspect="1"/>
        </xdr:cNvPicPr>
      </xdr:nvPicPr>
      <xdr:blipFill>
        <a:blip xmlns:r="http://schemas.openxmlformats.org/officeDocument/2006/relationships" r:embed="rId1" cstate="print"/>
        <a:stretch>
          <a:fillRect/>
        </a:stretch>
      </xdr:blipFill>
      <xdr:spPr>
        <a:xfrm>
          <a:off x="4499610" y="4189095"/>
          <a:ext cx="1411605" cy="412325"/>
        </a:xfrm>
        <a:prstGeom prst="rect">
          <a:avLst/>
        </a:prstGeom>
      </xdr:spPr>
    </xdr:pic>
    <xdr:clientData/>
  </xdr:oneCellAnchor>
  <xdr:oneCellAnchor>
    <xdr:from>
      <xdr:col>2</xdr:col>
      <xdr:colOff>409575</xdr:colOff>
      <xdr:row>7</xdr:row>
      <xdr:rowOff>104775</xdr:rowOff>
    </xdr:from>
    <xdr:ext cx="1411605" cy="412325"/>
    <xdr:pic>
      <xdr:nvPicPr>
        <xdr:cNvPr id="102" name="Picture 101" descr="vfm-logo_915970.jpg">
          <a:extLst>
            <a:ext uri="{FF2B5EF4-FFF2-40B4-BE49-F238E27FC236}">
              <a16:creationId xmlns:a16="http://schemas.microsoft.com/office/drawing/2014/main" id="{00000000-0008-0000-0D00-000066000000}"/>
            </a:ext>
          </a:extLst>
        </xdr:cNvPr>
        <xdr:cNvPicPr>
          <a:picLocks noChangeAspect="1"/>
        </xdr:cNvPicPr>
      </xdr:nvPicPr>
      <xdr:blipFill>
        <a:blip xmlns:r="http://schemas.openxmlformats.org/officeDocument/2006/relationships" r:embed="rId1" cstate="print"/>
        <a:stretch>
          <a:fillRect/>
        </a:stretch>
      </xdr:blipFill>
      <xdr:spPr>
        <a:xfrm>
          <a:off x="4471035" y="4966335"/>
          <a:ext cx="1411605" cy="412325"/>
        </a:xfrm>
        <a:prstGeom prst="rect">
          <a:avLst/>
        </a:prstGeom>
      </xdr:spPr>
    </xdr:pic>
    <xdr:clientData/>
  </xdr:oneCellAnchor>
  <xdr:twoCellAnchor editAs="oneCell">
    <xdr:from>
      <xdr:col>2</xdr:col>
      <xdr:colOff>285751</xdr:colOff>
      <xdr:row>8</xdr:row>
      <xdr:rowOff>238125</xdr:rowOff>
    </xdr:from>
    <xdr:to>
      <xdr:col>2</xdr:col>
      <xdr:colOff>2232661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504826</xdr:colOff>
      <xdr:row>10</xdr:row>
      <xdr:rowOff>133350</xdr:rowOff>
    </xdr:from>
    <xdr:to>
      <xdr:col>2</xdr:col>
      <xdr:colOff>1804036</xdr:colOff>
      <xdr:row>10</xdr:row>
      <xdr:rowOff>576355</xdr:rowOff>
    </xdr:to>
    <xdr:pic>
      <xdr:nvPicPr>
        <xdr:cNvPr id="105" name="Picture 104">
          <a:extLst>
            <a:ext uri="{FF2B5EF4-FFF2-40B4-BE49-F238E27FC236}">
              <a16:creationId xmlns:a16="http://schemas.microsoft.com/office/drawing/2014/main" id="{00000000-0008-0000-0D00-000069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66286" y="7326630"/>
          <a:ext cx="1299210" cy="443005"/>
        </a:xfrm>
        <a:prstGeom prst="rect">
          <a:avLst/>
        </a:prstGeom>
        <a:noFill/>
        <a:ln w="1">
          <a:noFill/>
          <a:miter lim="800000"/>
          <a:headEnd/>
          <a:tailEnd/>
        </a:ln>
      </xdr:spPr>
    </xdr:pic>
    <xdr:clientData/>
  </xdr:twoCellAnchor>
  <xdr:twoCellAnchor editAs="oneCell">
    <xdr:from>
      <xdr:col>2</xdr:col>
      <xdr:colOff>476251</xdr:colOff>
      <xdr:row>11</xdr:row>
      <xdr:rowOff>161925</xdr:rowOff>
    </xdr:from>
    <xdr:to>
      <xdr:col>2</xdr:col>
      <xdr:colOff>1775461</xdr:colOff>
      <xdr:row>11</xdr:row>
      <xdr:rowOff>604930</xdr:rowOff>
    </xdr:to>
    <xdr:pic>
      <xdr:nvPicPr>
        <xdr:cNvPr id="106" name="Picture 105">
          <a:extLst>
            <a:ext uri="{FF2B5EF4-FFF2-40B4-BE49-F238E27FC236}">
              <a16:creationId xmlns:a16="http://schemas.microsoft.com/office/drawing/2014/main" id="{00000000-0008-0000-0D00-00006A000000}"/>
            </a:ext>
          </a:extLst>
        </xdr:cNvPr>
        <xdr:cNvPicPr>
          <a:picLocks noChangeAspect="1" noChangeArrowheads="1"/>
        </xdr:cNvPicPr>
      </xdr:nvPicPr>
      <xdr:blipFill>
        <a:blip xmlns:r="http://schemas.openxmlformats.org/officeDocument/2006/relationships" r:embed="rId3" cstate="print"/>
        <a:srcRect l="12860" t="11980" r="71065" b="80711"/>
        <a:stretch>
          <a:fillRect/>
        </a:stretch>
      </xdr:blipFill>
      <xdr:spPr bwMode="auto">
        <a:xfrm>
          <a:off x="4537711" y="8132445"/>
          <a:ext cx="1299210" cy="443005"/>
        </a:xfrm>
        <a:prstGeom prst="rect">
          <a:avLst/>
        </a:prstGeom>
        <a:noFill/>
        <a:ln w="1">
          <a:noFill/>
          <a:miter lim="800000"/>
          <a:headEnd/>
          <a:tailEnd/>
        </a:ln>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6"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6"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6"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6"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30</xdr:row>
      <xdr:rowOff>124239</xdr:rowOff>
    </xdr:from>
    <xdr:ext cx="1396763" cy="466634"/>
    <xdr:pic>
      <xdr:nvPicPr>
        <xdr:cNvPr id="31" name="Picture 30">
          <a:extLst>
            <a:ext uri="{FF2B5EF4-FFF2-40B4-BE49-F238E27FC236}">
              <a16:creationId xmlns:a16="http://schemas.microsoft.com/office/drawing/2014/main" id="{00000000-0008-0000-0D00-00001F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9"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10"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C96A3974-8D4D-42E3-9D7E-080631953FDB}"/>
            </a:ext>
          </a:extLst>
        </xdr:cNvPr>
        <xdr:cNvPicPr>
          <a:picLocks noChangeAspect="1"/>
        </xdr:cNvPicPr>
      </xdr:nvPicPr>
      <xdr:blipFill>
        <a:blip xmlns:r="http://schemas.openxmlformats.org/officeDocument/2006/relationships" r:embed="rId9" cstate="print"/>
        <a:stretch>
          <a:fillRect/>
        </a:stretch>
      </xdr:blipFill>
      <xdr:spPr>
        <a:xfrm>
          <a:off x="7163189" y="21139668"/>
          <a:ext cx="1308230" cy="74517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5"/>
  <sheetViews>
    <sheetView view="pageBreakPreview" zoomScaleSheetLayoutView="100" workbookViewId="0">
      <selection activeCell="D19" sqref="D19"/>
    </sheetView>
  </sheetViews>
  <sheetFormatPr defaultColWidth="9.140625" defaultRowHeight="15"/>
  <cols>
    <col min="1" max="2" width="9.140625" style="2"/>
    <col min="3" max="3" width="30.140625" style="2" customWidth="1"/>
    <col min="4" max="4" width="30.85546875" style="2" customWidth="1"/>
    <col min="5" max="5" width="21.140625" style="2" customWidth="1"/>
    <col min="6" max="9" width="9.140625" style="2"/>
    <col min="10" max="10" width="11.85546875" style="2" customWidth="1"/>
    <col min="11" max="11" width="15" style="2" customWidth="1"/>
    <col min="12" max="16384" width="9.140625" style="2"/>
  </cols>
  <sheetData>
    <row r="1" spans="1:11" ht="15.75">
      <c r="A1" s="1" t="s">
        <v>0</v>
      </c>
      <c r="C1" s="221" t="s">
        <v>1174</v>
      </c>
      <c r="D1" s="222"/>
    </row>
    <row r="2" spans="1:11">
      <c r="C2" s="4" t="s">
        <v>1175</v>
      </c>
      <c r="D2" s="5"/>
    </row>
    <row r="3" spans="1:11">
      <c r="D3" s="6"/>
    </row>
    <row r="4" spans="1:11" ht="15.75">
      <c r="A4" s="1" t="s">
        <v>1</v>
      </c>
      <c r="D4" s="6"/>
    </row>
    <row r="5" spans="1:11" ht="15" customHeight="1">
      <c r="C5" s="7" t="s">
        <v>2</v>
      </c>
      <c r="D5" s="224" t="s">
        <v>1176</v>
      </c>
      <c r="E5" s="224"/>
      <c r="F5" s="224"/>
      <c r="G5" s="224"/>
      <c r="H5" s="224"/>
      <c r="I5" s="224"/>
    </row>
    <row r="6" spans="1:11" ht="30">
      <c r="C6" s="9" t="s">
        <v>110</v>
      </c>
      <c r="D6" s="223" t="s">
        <v>1177</v>
      </c>
      <c r="E6" s="223"/>
      <c r="F6" s="223"/>
      <c r="G6" s="223"/>
      <c r="H6" s="223"/>
      <c r="I6" s="223"/>
    </row>
    <row r="7" spans="1:11" ht="15.75">
      <c r="C7" s="10" t="s">
        <v>3</v>
      </c>
      <c r="D7" s="224" t="s">
        <v>1178</v>
      </c>
      <c r="E7" s="224"/>
      <c r="F7" s="224"/>
      <c r="G7" s="224"/>
      <c r="H7" s="224"/>
      <c r="I7" s="224"/>
    </row>
    <row r="8" spans="1:11" ht="15" customHeight="1">
      <c r="C8" s="11" t="s">
        <v>4</v>
      </c>
      <c r="D8" s="223" t="s">
        <v>1179</v>
      </c>
      <c r="E8" s="223"/>
      <c r="F8" s="223"/>
      <c r="G8" s="223"/>
      <c r="H8" s="223"/>
      <c r="I8" s="223"/>
    </row>
    <row r="9" spans="1:11" ht="15" customHeight="1">
      <c r="C9" s="10" t="s">
        <v>5</v>
      </c>
      <c r="D9" s="224" t="s">
        <v>382</v>
      </c>
      <c r="E9" s="224"/>
      <c r="F9" s="224"/>
      <c r="G9" s="224"/>
      <c r="H9" s="224"/>
      <c r="I9" s="224"/>
    </row>
    <row r="10" spans="1:11" ht="15" customHeight="1">
      <c r="C10" s="8" t="s">
        <v>6</v>
      </c>
      <c r="D10" s="223" t="s">
        <v>1180</v>
      </c>
      <c r="E10" s="223"/>
      <c r="F10" s="223"/>
      <c r="G10" s="223"/>
      <c r="H10" s="223"/>
      <c r="I10" s="223"/>
    </row>
    <row r="11" spans="1:11" ht="15.75">
      <c r="C11" s="12" t="s">
        <v>7</v>
      </c>
      <c r="D11" s="224" t="s">
        <v>1181</v>
      </c>
      <c r="E11" s="224"/>
      <c r="F11" s="224"/>
      <c r="G11" s="224"/>
      <c r="H11" s="224"/>
      <c r="I11" s="224"/>
    </row>
    <row r="12" spans="1:11">
      <c r="C12" s="13" t="s">
        <v>8</v>
      </c>
      <c r="D12" s="223" t="s">
        <v>1182</v>
      </c>
      <c r="E12" s="223"/>
      <c r="F12" s="223"/>
      <c r="G12" s="223"/>
      <c r="H12" s="223"/>
      <c r="I12" s="223"/>
    </row>
    <row r="13" spans="1:11">
      <c r="D13" s="6"/>
    </row>
    <row r="14" spans="1:11" ht="15.75">
      <c r="A14" s="1" t="s">
        <v>9</v>
      </c>
      <c r="D14" s="6"/>
    </row>
    <row r="15" spans="1:11">
      <c r="D15" s="6"/>
    </row>
    <row r="16" spans="1:11" ht="15.75">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ht="15.75">
      <c r="C19" s="22" t="s">
        <v>14</v>
      </c>
      <c r="D19" s="18"/>
      <c r="F19" s="22" t="str">
        <f>D5</f>
        <v>Công ty Cổ phần Quản lý Quỹ Đầu tư Việt Nam</v>
      </c>
      <c r="G19" s="19"/>
      <c r="H19" s="19"/>
      <c r="I19" s="19"/>
      <c r="J19" s="19"/>
      <c r="K19" s="20"/>
    </row>
    <row r="20" spans="3:11" ht="15.75">
      <c r="C20" s="23" t="s">
        <v>1183</v>
      </c>
      <c r="D20" s="18"/>
      <c r="F20" s="22" t="s">
        <v>1184</v>
      </c>
      <c r="G20" s="19"/>
      <c r="H20" s="19"/>
      <c r="I20" s="19"/>
      <c r="J20" s="19"/>
      <c r="K20" s="20"/>
    </row>
    <row r="21" spans="3:11">
      <c r="C21" s="24" t="s">
        <v>1185</v>
      </c>
      <c r="D21" s="5"/>
      <c r="F21" s="25" t="s">
        <v>1186</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ht="15.75">
      <c r="B34" s="28" t="s">
        <v>15</v>
      </c>
      <c r="C34" s="28" t="s">
        <v>16</v>
      </c>
      <c r="D34" s="29" t="s">
        <v>17</v>
      </c>
    </row>
    <row r="35" spans="2:12" s="33" customFormat="1">
      <c r="B35" s="30">
        <v>1</v>
      </c>
      <c r="C35" s="31" t="s">
        <v>87</v>
      </c>
      <c r="D35" s="32" t="s">
        <v>92</v>
      </c>
    </row>
    <row r="36" spans="2:12" s="33" customFormat="1">
      <c r="B36" s="30">
        <v>2</v>
      </c>
      <c r="C36" s="31" t="s">
        <v>88</v>
      </c>
      <c r="D36" s="32" t="s">
        <v>93</v>
      </c>
    </row>
    <row r="37" spans="2:12" s="33" customFormat="1" ht="30">
      <c r="B37" s="30">
        <v>3</v>
      </c>
      <c r="C37" s="31" t="s">
        <v>89</v>
      </c>
      <c r="D37" s="32" t="s">
        <v>94</v>
      </c>
      <c r="J37" s="34"/>
      <c r="K37" s="35"/>
      <c r="L37" s="36"/>
    </row>
    <row r="38" spans="2:12">
      <c r="B38" s="30">
        <v>4</v>
      </c>
      <c r="C38" s="30" t="s">
        <v>90</v>
      </c>
      <c r="D38" s="32" t="s">
        <v>95</v>
      </c>
      <c r="J38" s="37"/>
      <c r="K38" s="38"/>
      <c r="L38" s="39"/>
    </row>
    <row r="39" spans="2:12" ht="45">
      <c r="B39" s="30">
        <v>5</v>
      </c>
      <c r="C39" s="31" t="s">
        <v>91</v>
      </c>
      <c r="D39" s="32" t="s">
        <v>96</v>
      </c>
    </row>
    <row r="40" spans="2:12">
      <c r="B40" s="30">
        <v>6</v>
      </c>
      <c r="C40" s="30" t="s">
        <v>18</v>
      </c>
      <c r="D40" s="32" t="s">
        <v>97</v>
      </c>
    </row>
    <row r="41" spans="2:12">
      <c r="B41" s="30">
        <v>7</v>
      </c>
      <c r="C41" s="30" t="s">
        <v>19</v>
      </c>
      <c r="D41" s="32" t="s">
        <v>98</v>
      </c>
    </row>
    <row r="42" spans="2:12" ht="45">
      <c r="B42" s="30">
        <v>8</v>
      </c>
      <c r="C42" s="31" t="s">
        <v>99</v>
      </c>
      <c r="D42" s="32" t="s">
        <v>100</v>
      </c>
    </row>
    <row r="43" spans="2:12">
      <c r="B43" s="30">
        <v>9</v>
      </c>
      <c r="C43" s="30" t="s">
        <v>101</v>
      </c>
      <c r="D43" s="32" t="s">
        <v>102</v>
      </c>
    </row>
    <row r="44" spans="2:12">
      <c r="B44" s="40">
        <v>10</v>
      </c>
      <c r="C44" s="41" t="s">
        <v>20</v>
      </c>
      <c r="D44" s="42" t="s">
        <v>103</v>
      </c>
    </row>
    <row r="45" spans="2:12">
      <c r="B45" s="30">
        <v>11</v>
      </c>
      <c r="C45" s="41" t="s">
        <v>104</v>
      </c>
      <c r="D45" s="42" t="s">
        <v>105</v>
      </c>
    </row>
    <row r="46" spans="2:12">
      <c r="B46" s="40">
        <v>12</v>
      </c>
      <c r="C46" s="41" t="s">
        <v>87</v>
      </c>
      <c r="D46" s="42" t="s">
        <v>106</v>
      </c>
    </row>
    <row r="47" spans="2:12">
      <c r="B47" s="30"/>
      <c r="C47" s="41"/>
      <c r="D47" s="42"/>
    </row>
    <row r="48" spans="2:12">
      <c r="B48" s="2" t="s">
        <v>21</v>
      </c>
    </row>
    <row r="50" spans="2:6">
      <c r="B50" s="43"/>
      <c r="C50" s="43"/>
      <c r="D50" s="43" t="s">
        <v>22</v>
      </c>
      <c r="E50" s="43" t="s">
        <v>23</v>
      </c>
      <c r="F50" s="43"/>
    </row>
    <row r="51" spans="2:6">
      <c r="B51" s="2" t="s">
        <v>24</v>
      </c>
      <c r="C51" s="2" t="s">
        <v>25</v>
      </c>
      <c r="D51" s="44" t="s">
        <v>26</v>
      </c>
    </row>
    <row r="52" spans="2:6">
      <c r="B52" s="2" t="s">
        <v>27</v>
      </c>
      <c r="C52" s="2" t="s">
        <v>28</v>
      </c>
      <c r="D52" s="44" t="s">
        <v>26</v>
      </c>
    </row>
    <row r="53" spans="2:6">
      <c r="B53" s="2" t="s">
        <v>29</v>
      </c>
      <c r="C53" s="2" t="s">
        <v>30</v>
      </c>
      <c r="D53" s="45" t="s">
        <v>31</v>
      </c>
      <c r="E53" s="2" t="s">
        <v>32</v>
      </c>
    </row>
    <row r="54" spans="2:6">
      <c r="B54" s="2" t="s">
        <v>33</v>
      </c>
      <c r="C54" s="2" t="s">
        <v>34</v>
      </c>
      <c r="D54" s="45" t="s">
        <v>35</v>
      </c>
      <c r="E54" s="2" t="s">
        <v>36</v>
      </c>
    </row>
    <row r="55" spans="2:6">
      <c r="B55" s="2" t="s">
        <v>37</v>
      </c>
      <c r="C55" s="2" t="s">
        <v>38</v>
      </c>
      <c r="D55" s="45" t="s">
        <v>35</v>
      </c>
      <c r="E55" s="2" t="s">
        <v>36</v>
      </c>
    </row>
    <row r="56" spans="2:6">
      <c r="B56" s="2" t="s">
        <v>39</v>
      </c>
      <c r="C56" s="2" t="s">
        <v>40</v>
      </c>
      <c r="D56" s="45" t="s">
        <v>35</v>
      </c>
      <c r="E56" s="2" t="s">
        <v>41</v>
      </c>
    </row>
    <row r="57" spans="2:6">
      <c r="B57" s="2" t="s">
        <v>42</v>
      </c>
      <c r="C57" s="2" t="s">
        <v>43</v>
      </c>
      <c r="D57" s="45" t="s">
        <v>35</v>
      </c>
      <c r="E57" s="2" t="s">
        <v>44</v>
      </c>
    </row>
    <row r="58" spans="2:6">
      <c r="B58" s="2" t="s">
        <v>45</v>
      </c>
      <c r="C58" s="2" t="s">
        <v>46</v>
      </c>
      <c r="D58" s="45" t="s">
        <v>35</v>
      </c>
      <c r="E58" s="2" t="s">
        <v>47</v>
      </c>
    </row>
    <row r="59" spans="2:6">
      <c r="B59" s="2" t="s">
        <v>48</v>
      </c>
      <c r="C59" s="2" t="s">
        <v>49</v>
      </c>
      <c r="D59" s="45" t="s">
        <v>35</v>
      </c>
      <c r="E59" s="2" t="s">
        <v>41</v>
      </c>
    </row>
    <row r="60" spans="2:6">
      <c r="B60" s="2" t="s">
        <v>50</v>
      </c>
      <c r="C60" s="2" t="s">
        <v>51</v>
      </c>
      <c r="D60" s="45" t="s">
        <v>35</v>
      </c>
      <c r="E60" s="2" t="s">
        <v>41</v>
      </c>
    </row>
    <row r="61" spans="2:6">
      <c r="B61" s="2" t="s">
        <v>52</v>
      </c>
      <c r="C61" s="2" t="s">
        <v>53</v>
      </c>
      <c r="D61" s="44" t="s">
        <v>26</v>
      </c>
      <c r="E61" s="2" t="s">
        <v>54</v>
      </c>
    </row>
    <row r="62" spans="2:6">
      <c r="B62" s="2" t="s">
        <v>55</v>
      </c>
      <c r="C62" s="2" t="s">
        <v>56</v>
      </c>
      <c r="D62" s="44" t="s">
        <v>26</v>
      </c>
    </row>
    <row r="63" spans="2:6">
      <c r="B63" s="2" t="s">
        <v>57</v>
      </c>
      <c r="C63" s="2" t="s">
        <v>58</v>
      </c>
      <c r="D63" s="44" t="s">
        <v>26</v>
      </c>
    </row>
    <row r="64" spans="2:6">
      <c r="B64" s="2" t="s">
        <v>59</v>
      </c>
      <c r="C64" s="2" t="s">
        <v>60</v>
      </c>
      <c r="D64" s="44" t="s">
        <v>26</v>
      </c>
      <c r="E64" s="2" t="s">
        <v>61</v>
      </c>
    </row>
    <row r="65" spans="2:5">
      <c r="B65" s="2" t="s">
        <v>62</v>
      </c>
      <c r="C65" s="2" t="s">
        <v>63</v>
      </c>
      <c r="D65" s="44" t="s">
        <v>26</v>
      </c>
      <c r="E65" s="2" t="s">
        <v>64</v>
      </c>
    </row>
    <row r="66" spans="2:5">
      <c r="B66" s="2" t="s">
        <v>65</v>
      </c>
      <c r="C66" s="2" t="s">
        <v>66</v>
      </c>
      <c r="D66" s="44" t="s">
        <v>26</v>
      </c>
    </row>
    <row r="67" spans="2:5">
      <c r="B67" s="2" t="s">
        <v>67</v>
      </c>
      <c r="C67" s="2" t="s">
        <v>68</v>
      </c>
      <c r="D67" s="45" t="s">
        <v>35</v>
      </c>
      <c r="E67" s="2" t="s">
        <v>69</v>
      </c>
    </row>
    <row r="68" spans="2:5">
      <c r="B68" s="2" t="s">
        <v>70</v>
      </c>
      <c r="C68" s="2" t="s">
        <v>71</v>
      </c>
      <c r="D68" s="45" t="s">
        <v>35</v>
      </c>
      <c r="E68" s="2" t="s">
        <v>69</v>
      </c>
    </row>
    <row r="69" spans="2:5">
      <c r="B69" s="2" t="s">
        <v>72</v>
      </c>
      <c r="C69" s="2" t="s">
        <v>73</v>
      </c>
      <c r="D69" s="45" t="s">
        <v>35</v>
      </c>
      <c r="E69" s="2" t="s">
        <v>41</v>
      </c>
    </row>
    <row r="70" spans="2:5">
      <c r="B70" s="2" t="s">
        <v>74</v>
      </c>
      <c r="C70" s="2" t="s">
        <v>75</v>
      </c>
      <c r="D70" s="45" t="s">
        <v>35</v>
      </c>
      <c r="E70" s="2" t="s">
        <v>41</v>
      </c>
    </row>
    <row r="71" spans="2:5">
      <c r="B71" s="2" t="s">
        <v>76</v>
      </c>
      <c r="C71" s="2" t="s">
        <v>77</v>
      </c>
      <c r="D71" s="44" t="s">
        <v>26</v>
      </c>
      <c r="E71" s="2" t="s">
        <v>78</v>
      </c>
    </row>
    <row r="72" spans="2:5">
      <c r="B72" s="2" t="s">
        <v>79</v>
      </c>
      <c r="C72" s="2" t="s">
        <v>80</v>
      </c>
      <c r="D72" s="45" t="s">
        <v>35</v>
      </c>
      <c r="E72" s="2" t="s">
        <v>81</v>
      </c>
    </row>
    <row r="73" spans="2:5">
      <c r="B73" s="2" t="s">
        <v>82</v>
      </c>
      <c r="C73" s="2" t="s">
        <v>83</v>
      </c>
      <c r="D73" s="45" t="s">
        <v>35</v>
      </c>
      <c r="E73" s="2" t="s">
        <v>455</v>
      </c>
    </row>
    <row r="74" spans="2:5">
      <c r="B74" s="2" t="s">
        <v>84</v>
      </c>
      <c r="C74" s="2" t="s">
        <v>85</v>
      </c>
      <c r="D74" s="45" t="s">
        <v>35</v>
      </c>
      <c r="E74" s="2" t="s">
        <v>86</v>
      </c>
    </row>
    <row r="75" spans="2:5">
      <c r="D75" s="45"/>
    </row>
  </sheetData>
  <mergeCells count="9">
    <mergeCell ref="C1:D1"/>
    <mergeCell ref="D12:I12"/>
    <mergeCell ref="D11:I11"/>
    <mergeCell ref="D10:I10"/>
    <mergeCell ref="D9:I9"/>
    <mergeCell ref="D8:I8"/>
    <mergeCell ref="D7:I7"/>
    <mergeCell ref="D6:I6"/>
    <mergeCell ref="D5:I5"/>
  </mergeCells>
  <hyperlinks>
    <hyperlink ref="D35" location="BCThuNhap_06203!A1" display="BCThuNhap_06203" xr:uid="{00000000-0004-0000-0000-000000000000}"/>
    <hyperlink ref="D36" location="BCTinhHinhTaiChinh_06105!A1" display="BCTinhHinhTaiChinh_06105" xr:uid="{00000000-0004-0000-0000-000001000000}"/>
    <hyperlink ref="D37" location="BCLCGT_06262!A1" display="BCLCGT_06262" xr:uid="{00000000-0004-0000-0000-000002000000}"/>
  </hyperlinks>
  <pageMargins left="0.7" right="0.7" top="0.75" bottom="0.75" header="0.3" footer="0.3"/>
  <pageSetup scale="54"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95"/>
  <sheetViews>
    <sheetView tabSelected="1" view="pageBreakPreview" topLeftCell="A7" zoomScale="99" zoomScaleNormal="100" zoomScaleSheetLayoutView="86" workbookViewId="0">
      <selection activeCell="B20" sqref="B20"/>
    </sheetView>
  </sheetViews>
  <sheetFormatPr defaultColWidth="8.7109375" defaultRowHeight="12.75"/>
  <cols>
    <col min="1" max="1" width="53.140625" style="61" customWidth="1"/>
    <col min="2" max="3" width="8.7109375" style="61"/>
    <col min="4" max="4" width="20.28515625" style="61" customWidth="1"/>
    <col min="5" max="5" width="20.7109375" style="61" customWidth="1"/>
    <col min="6" max="6" width="21.140625" style="61" customWidth="1"/>
    <col min="7" max="7" width="21.28515625" style="61" customWidth="1"/>
    <col min="8" max="16384" width="8.7109375" style="101"/>
  </cols>
  <sheetData>
    <row r="1" spans="1:7" ht="22.5" customHeight="1">
      <c r="A1" s="226" t="s">
        <v>282</v>
      </c>
      <c r="B1" s="226"/>
      <c r="C1" s="226"/>
      <c r="D1" s="226"/>
      <c r="E1" s="226"/>
      <c r="F1" s="226"/>
      <c r="G1" s="226"/>
    </row>
    <row r="2" spans="1:7" ht="22.5" customHeight="1">
      <c r="A2" s="227" t="s">
        <v>283</v>
      </c>
      <c r="B2" s="227"/>
      <c r="C2" s="227"/>
      <c r="D2" s="227"/>
      <c r="E2" s="227"/>
      <c r="F2" s="227"/>
      <c r="G2" s="227"/>
    </row>
    <row r="3" spans="1:7" ht="43.9" customHeight="1">
      <c r="A3" s="228" t="s">
        <v>284</v>
      </c>
      <c r="B3" s="228"/>
      <c r="C3" s="228"/>
      <c r="D3" s="228"/>
      <c r="E3" s="228"/>
      <c r="F3" s="228"/>
      <c r="G3" s="228"/>
    </row>
    <row r="4" spans="1:7" ht="9.4" customHeight="1"/>
    <row r="5" spans="1:7">
      <c r="A5" s="229" t="str">
        <f>'Tong quat'!C2</f>
        <v>Tháng 10 năm 2019
/ Oct 2019</v>
      </c>
      <c r="B5" s="229"/>
      <c r="C5" s="229"/>
      <c r="D5" s="229"/>
      <c r="E5" s="229"/>
      <c r="F5" s="229"/>
      <c r="G5" s="229"/>
    </row>
    <row r="7" spans="1:7" ht="16.899999999999999" customHeight="1">
      <c r="A7" s="62" t="s">
        <v>2</v>
      </c>
      <c r="D7" s="230" t="str">
        <f>'Tong quat'!D5</f>
        <v>Công ty Cổ phần Quản lý Quỹ Đầu tư Việt Nam</v>
      </c>
      <c r="E7" s="230"/>
      <c r="F7" s="230"/>
      <c r="G7" s="230"/>
    </row>
    <row r="8" spans="1:7" ht="16.899999999999999" customHeight="1">
      <c r="A8" s="128" t="s">
        <v>110</v>
      </c>
      <c r="D8" s="225" t="str">
        <f>'Tong quat'!D6</f>
        <v>Vietnam Investment Fund Management Joint Stock Company</v>
      </c>
      <c r="E8" s="225"/>
      <c r="F8" s="225"/>
      <c r="G8" s="225"/>
    </row>
    <row r="9" spans="1:7" ht="16.899999999999999" customHeight="1">
      <c r="A9" s="62" t="s">
        <v>3</v>
      </c>
      <c r="D9" s="230" t="str">
        <f>'Tong quat'!D7</f>
        <v>Ngân hàng TNHH Một thành viên Standard Chartered (Việt Nam)</v>
      </c>
      <c r="E9" s="230"/>
      <c r="F9" s="230"/>
      <c r="G9" s="230"/>
    </row>
    <row r="10" spans="1:7" ht="16.899999999999999" customHeight="1">
      <c r="A10" s="128" t="s">
        <v>4</v>
      </c>
      <c r="D10" s="225" t="str">
        <f>'Tong quat'!D8</f>
        <v>Standard Chartered Bank (Vietnam) Limited</v>
      </c>
      <c r="E10" s="225"/>
      <c r="F10" s="225"/>
      <c r="G10" s="225"/>
    </row>
    <row r="11" spans="1:7" ht="16.899999999999999" customHeight="1">
      <c r="A11" s="62" t="s">
        <v>5</v>
      </c>
      <c r="D11" s="230" t="str">
        <f>'Tong quat'!D9</f>
        <v>Quỹ Đầu tư Chứng khoán Việt Nam</v>
      </c>
      <c r="E11" s="230"/>
      <c r="F11" s="230"/>
      <c r="G11" s="230"/>
    </row>
    <row r="12" spans="1:7" ht="16.899999999999999" customHeight="1">
      <c r="A12" s="128" t="s">
        <v>6</v>
      </c>
      <c r="D12" s="225" t="str">
        <f>'Tong quat'!D10</f>
        <v>Vietnam Securities Investment Fund(VFMVF1)</v>
      </c>
      <c r="E12" s="225"/>
      <c r="F12" s="225"/>
      <c r="G12" s="225"/>
    </row>
    <row r="13" spans="1:7" ht="16.899999999999999" customHeight="1">
      <c r="A13" s="62" t="s">
        <v>7</v>
      </c>
      <c r="D13" s="230" t="str">
        <f>'Tong quat'!D11</f>
        <v>Ngày 04 tháng 11 năm 2019</v>
      </c>
      <c r="E13" s="230"/>
      <c r="F13" s="230"/>
      <c r="G13" s="230"/>
    </row>
    <row r="14" spans="1:7" ht="16.899999999999999" customHeight="1">
      <c r="A14" s="128" t="s">
        <v>8</v>
      </c>
      <c r="D14" s="225" t="str">
        <f>'Tong quat'!D12</f>
        <v>04 Nov 2019</v>
      </c>
      <c r="E14" s="225"/>
      <c r="F14" s="225"/>
      <c r="G14" s="225"/>
    </row>
    <row r="16" spans="1:7" ht="39" customHeight="1">
      <c r="A16" s="232" t="s">
        <v>285</v>
      </c>
      <c r="B16" s="234" t="s">
        <v>286</v>
      </c>
      <c r="C16" s="234" t="s">
        <v>287</v>
      </c>
      <c r="D16" s="237" t="s">
        <v>1191</v>
      </c>
      <c r="E16" s="238"/>
      <c r="F16" s="237" t="s">
        <v>1192</v>
      </c>
      <c r="G16" s="238"/>
    </row>
    <row r="17" spans="1:7" ht="39" customHeight="1">
      <c r="A17" s="233"/>
      <c r="B17" s="235"/>
      <c r="C17" s="236"/>
      <c r="D17" s="129" t="str">
        <f>BCKetQuaHoatDong_06028!D18</f>
        <v>Tháng 10 năm 2019
Oct 2019</v>
      </c>
      <c r="E17" s="130" t="s">
        <v>288</v>
      </c>
      <c r="F17" s="56" t="s">
        <v>1193</v>
      </c>
      <c r="G17" s="130" t="s">
        <v>288</v>
      </c>
    </row>
    <row r="18" spans="1:7" s="111" customFormat="1" ht="39" customHeight="1">
      <c r="A18" s="131" t="s">
        <v>517</v>
      </c>
      <c r="B18" s="132" t="s">
        <v>289</v>
      </c>
      <c r="C18" s="133"/>
      <c r="D18" s="81">
        <v>5814905582</v>
      </c>
      <c r="E18" s="81">
        <v>139819108198</v>
      </c>
      <c r="F18" s="81">
        <v>-126850262450</v>
      </c>
      <c r="G18" s="81">
        <v>-132972932936</v>
      </c>
    </row>
    <row r="19" spans="1:7" ht="39" customHeight="1">
      <c r="A19" s="134" t="s">
        <v>518</v>
      </c>
      <c r="B19" s="135" t="s">
        <v>290</v>
      </c>
      <c r="C19" s="136"/>
      <c r="D19" s="85">
        <v>643830000</v>
      </c>
      <c r="E19" s="85">
        <v>12039311000</v>
      </c>
      <c r="F19" s="85">
        <v>1294826000</v>
      </c>
      <c r="G19" s="85">
        <v>13105518700</v>
      </c>
    </row>
    <row r="20" spans="1:7" ht="39" customHeight="1">
      <c r="A20" s="134" t="s">
        <v>519</v>
      </c>
      <c r="B20" s="135" t="s">
        <v>291</v>
      </c>
      <c r="C20" s="137"/>
      <c r="D20" s="85">
        <v>979821780</v>
      </c>
      <c r="E20" s="85">
        <v>14568393858</v>
      </c>
      <c r="F20" s="85">
        <v>1360904100</v>
      </c>
      <c r="G20" s="85">
        <v>10950463254</v>
      </c>
    </row>
    <row r="21" spans="1:7" ht="39" customHeight="1">
      <c r="A21" s="134" t="s">
        <v>421</v>
      </c>
      <c r="B21" s="135" t="s">
        <v>292</v>
      </c>
      <c r="C21" s="137"/>
      <c r="D21" s="85">
        <v>4993012</v>
      </c>
      <c r="E21" s="85">
        <v>262591347</v>
      </c>
      <c r="F21" s="85">
        <v>28479156</v>
      </c>
      <c r="G21" s="85">
        <v>1446833402</v>
      </c>
    </row>
    <row r="22" spans="1:7" ht="39" customHeight="1">
      <c r="A22" s="134" t="s">
        <v>462</v>
      </c>
      <c r="B22" s="135" t="s">
        <v>293</v>
      </c>
      <c r="C22" s="137"/>
      <c r="D22" s="85">
        <v>278150685</v>
      </c>
      <c r="E22" s="85">
        <v>6629817922</v>
      </c>
      <c r="F22" s="85">
        <v>1061174944</v>
      </c>
      <c r="G22" s="85">
        <v>7981129852</v>
      </c>
    </row>
    <row r="23" spans="1:7" ht="39" customHeight="1">
      <c r="A23" s="134" t="s">
        <v>520</v>
      </c>
      <c r="B23" s="135" t="s">
        <v>374</v>
      </c>
      <c r="C23" s="137"/>
      <c r="D23" s="85">
        <v>696678083</v>
      </c>
      <c r="E23" s="85">
        <v>7675984589</v>
      </c>
      <c r="F23" s="85">
        <v>271250000</v>
      </c>
      <c r="G23" s="85">
        <v>1522500000</v>
      </c>
    </row>
    <row r="24" spans="1:7" ht="39" customHeight="1">
      <c r="A24" s="134" t="s">
        <v>1248</v>
      </c>
      <c r="B24" s="135" t="s">
        <v>420</v>
      </c>
      <c r="C24" s="137"/>
      <c r="D24" s="85">
        <v>0</v>
      </c>
      <c r="E24" s="85">
        <v>0</v>
      </c>
      <c r="F24" s="85">
        <v>0</v>
      </c>
      <c r="G24" s="85">
        <v>0</v>
      </c>
    </row>
    <row r="25" spans="1:7" ht="39" customHeight="1">
      <c r="A25" s="134" t="s">
        <v>422</v>
      </c>
      <c r="B25" s="138" t="s">
        <v>294</v>
      </c>
      <c r="C25" s="137"/>
      <c r="D25" s="85">
        <v>994411335</v>
      </c>
      <c r="E25" s="85">
        <v>3783608640</v>
      </c>
      <c r="F25" s="85">
        <v>-13376297276</v>
      </c>
      <c r="G25" s="85">
        <v>67758632292</v>
      </c>
    </row>
    <row r="26" spans="1:7" ht="46.15" customHeight="1">
      <c r="A26" s="134" t="s">
        <v>423</v>
      </c>
      <c r="B26" s="138" t="s">
        <v>295</v>
      </c>
      <c r="C26" s="137"/>
      <c r="D26" s="85">
        <v>3196842467</v>
      </c>
      <c r="E26" s="85">
        <v>109427794700</v>
      </c>
      <c r="F26" s="85">
        <v>-116129695274</v>
      </c>
      <c r="G26" s="85">
        <v>-227643547182</v>
      </c>
    </row>
    <row r="27" spans="1:7" ht="39" customHeight="1">
      <c r="A27" s="134" t="s">
        <v>521</v>
      </c>
      <c r="B27" s="138" t="s">
        <v>296</v>
      </c>
      <c r="C27" s="137"/>
      <c r="D27" s="85">
        <v>0</v>
      </c>
      <c r="E27" s="85">
        <v>0</v>
      </c>
      <c r="F27" s="85">
        <v>0</v>
      </c>
      <c r="G27" s="85">
        <v>2856000000</v>
      </c>
    </row>
    <row r="28" spans="1:7" ht="49.15" customHeight="1">
      <c r="A28" s="134" t="s">
        <v>424</v>
      </c>
      <c r="B28" s="138" t="s">
        <v>297</v>
      </c>
      <c r="C28" s="137"/>
      <c r="D28" s="85">
        <v>0</v>
      </c>
      <c r="E28" s="85">
        <v>0</v>
      </c>
      <c r="F28" s="85">
        <v>0</v>
      </c>
      <c r="G28" s="85">
        <v>0</v>
      </c>
    </row>
    <row r="29" spans="1:7" ht="39" customHeight="1">
      <c r="A29" s="134" t="s">
        <v>522</v>
      </c>
      <c r="B29" s="138" t="s">
        <v>298</v>
      </c>
      <c r="C29" s="137"/>
      <c r="D29" s="85">
        <v>0</v>
      </c>
      <c r="E29" s="85">
        <v>0</v>
      </c>
      <c r="F29" s="85">
        <v>0</v>
      </c>
      <c r="G29" s="85">
        <v>0</v>
      </c>
    </row>
    <row r="30" spans="1:7" ht="76.900000000000006" customHeight="1">
      <c r="A30" s="134" t="s">
        <v>523</v>
      </c>
      <c r="B30" s="138" t="s">
        <v>299</v>
      </c>
      <c r="C30" s="137"/>
      <c r="D30" s="85">
        <v>0</v>
      </c>
      <c r="E30" s="85">
        <v>0</v>
      </c>
      <c r="F30" s="85">
        <v>0</v>
      </c>
      <c r="G30" s="85">
        <v>0</v>
      </c>
    </row>
    <row r="31" spans="1:7" s="111" customFormat="1" ht="39" customHeight="1">
      <c r="A31" s="131" t="s">
        <v>476</v>
      </c>
      <c r="B31" s="132" t="s">
        <v>300</v>
      </c>
      <c r="C31" s="133"/>
      <c r="D31" s="81">
        <v>50886173</v>
      </c>
      <c r="E31" s="81">
        <v>1459846284</v>
      </c>
      <c r="F31" s="81">
        <v>398000069</v>
      </c>
      <c r="G31" s="81">
        <v>3734530385</v>
      </c>
    </row>
    <row r="32" spans="1:7" ht="39" customHeight="1">
      <c r="A32" s="134" t="s">
        <v>301</v>
      </c>
      <c r="B32" s="138" t="s">
        <v>302</v>
      </c>
      <c r="C32" s="137"/>
      <c r="D32" s="85">
        <v>50886173</v>
      </c>
      <c r="E32" s="85">
        <v>1459846284</v>
      </c>
      <c r="F32" s="85">
        <v>398000069</v>
      </c>
      <c r="G32" s="85">
        <v>3168423565</v>
      </c>
    </row>
    <row r="33" spans="1:7" ht="39" customHeight="1">
      <c r="A33" s="139" t="s">
        <v>303</v>
      </c>
      <c r="B33" s="135" t="s">
        <v>304</v>
      </c>
      <c r="C33" s="136"/>
      <c r="D33" s="85">
        <v>50492233</v>
      </c>
      <c r="E33" s="85">
        <v>1453147719</v>
      </c>
      <c r="F33" s="85">
        <v>397576569</v>
      </c>
      <c r="G33" s="85">
        <v>3155800895</v>
      </c>
    </row>
    <row r="34" spans="1:7" ht="39" customHeight="1">
      <c r="A34" s="139" t="s">
        <v>141</v>
      </c>
      <c r="B34" s="135" t="s">
        <v>305</v>
      </c>
      <c r="C34" s="136"/>
      <c r="D34" s="85">
        <v>393940</v>
      </c>
      <c r="E34" s="85">
        <v>6698565</v>
      </c>
      <c r="F34" s="85">
        <v>423500</v>
      </c>
      <c r="G34" s="85">
        <v>12622670</v>
      </c>
    </row>
    <row r="35" spans="1:7" ht="42" customHeight="1">
      <c r="A35" s="139" t="s">
        <v>306</v>
      </c>
      <c r="B35" s="135" t="s">
        <v>307</v>
      </c>
      <c r="C35" s="137"/>
      <c r="D35" s="85">
        <v>0</v>
      </c>
      <c r="E35" s="85">
        <v>0</v>
      </c>
      <c r="F35" s="85">
        <v>0</v>
      </c>
      <c r="G35" s="85">
        <v>0</v>
      </c>
    </row>
    <row r="36" spans="1:7" ht="39" customHeight="1">
      <c r="A36" s="139" t="s">
        <v>308</v>
      </c>
      <c r="B36" s="135" t="s">
        <v>309</v>
      </c>
      <c r="C36" s="137"/>
      <c r="D36" s="85">
        <v>0</v>
      </c>
      <c r="E36" s="85">
        <v>0</v>
      </c>
      <c r="F36" s="85">
        <v>0</v>
      </c>
      <c r="G36" s="85">
        <v>0</v>
      </c>
    </row>
    <row r="37" spans="1:7" ht="70.900000000000006" customHeight="1">
      <c r="A37" s="139" t="s">
        <v>310</v>
      </c>
      <c r="B37" s="135" t="s">
        <v>311</v>
      </c>
      <c r="C37" s="137"/>
      <c r="D37" s="85">
        <v>0</v>
      </c>
      <c r="E37" s="85">
        <v>0</v>
      </c>
      <c r="F37" s="85">
        <v>0</v>
      </c>
      <c r="G37" s="85">
        <v>0</v>
      </c>
    </row>
    <row r="38" spans="1:7" ht="39" customHeight="1">
      <c r="A38" s="139" t="s">
        <v>477</v>
      </c>
      <c r="B38" s="135" t="s">
        <v>312</v>
      </c>
      <c r="C38" s="137"/>
      <c r="D38" s="85">
        <v>0</v>
      </c>
      <c r="E38" s="85">
        <v>0</v>
      </c>
      <c r="F38" s="85">
        <v>0</v>
      </c>
      <c r="G38" s="85">
        <v>566106820</v>
      </c>
    </row>
    <row r="39" spans="1:7" s="111" customFormat="1" ht="39" customHeight="1">
      <c r="A39" s="131" t="s">
        <v>478</v>
      </c>
      <c r="B39" s="132" t="s">
        <v>313</v>
      </c>
      <c r="C39" s="133"/>
      <c r="D39" s="81">
        <v>1569438114</v>
      </c>
      <c r="E39" s="81">
        <v>17661972379</v>
      </c>
      <c r="F39" s="81">
        <v>2299518576</v>
      </c>
      <c r="G39" s="81">
        <v>23372816355</v>
      </c>
    </row>
    <row r="40" spans="1:7" ht="39" customHeight="1">
      <c r="A40" s="139" t="s">
        <v>1249</v>
      </c>
      <c r="B40" s="135" t="s">
        <v>314</v>
      </c>
      <c r="C40" s="137"/>
      <c r="D40" s="85">
        <v>1424409624</v>
      </c>
      <c r="E40" s="85">
        <v>16116239884</v>
      </c>
      <c r="F40" s="85">
        <v>2097103744</v>
      </c>
      <c r="G40" s="85">
        <v>21337362485</v>
      </c>
    </row>
    <row r="41" spans="1:7" ht="39" customHeight="1">
      <c r="A41" s="139" t="s">
        <v>315</v>
      </c>
      <c r="B41" s="135" t="s">
        <v>316</v>
      </c>
      <c r="C41" s="136"/>
      <c r="D41" s="85">
        <v>46314229</v>
      </c>
      <c r="E41" s="85">
        <v>494851921</v>
      </c>
      <c r="F41" s="85">
        <v>60946842</v>
      </c>
      <c r="G41" s="85">
        <v>620821233</v>
      </c>
    </row>
    <row r="42" spans="1:7" ht="39" customHeight="1">
      <c r="A42" s="67" t="s">
        <v>121</v>
      </c>
      <c r="B42" s="140" t="s">
        <v>317</v>
      </c>
      <c r="C42" s="136"/>
      <c r="D42" s="85">
        <v>36523323</v>
      </c>
      <c r="E42" s="85">
        <v>366340048</v>
      </c>
      <c r="F42" s="85">
        <v>43017512</v>
      </c>
      <c r="G42" s="85">
        <v>437689488</v>
      </c>
    </row>
    <row r="43" spans="1:7" ht="39" customHeight="1">
      <c r="A43" s="67" t="s">
        <v>122</v>
      </c>
      <c r="B43" s="140" t="s">
        <v>318</v>
      </c>
      <c r="C43" s="136"/>
      <c r="D43" s="85">
        <v>4515000</v>
      </c>
      <c r="E43" s="85">
        <v>63015000</v>
      </c>
      <c r="F43" s="85">
        <v>10000000</v>
      </c>
      <c r="G43" s="85">
        <v>105100000</v>
      </c>
    </row>
    <row r="44" spans="1:7" ht="60" customHeight="1">
      <c r="A44" s="67" t="s">
        <v>490</v>
      </c>
      <c r="B44" s="140" t="s">
        <v>319</v>
      </c>
      <c r="C44" s="136"/>
      <c r="D44" s="85">
        <v>5275906</v>
      </c>
      <c r="E44" s="85">
        <v>65496873</v>
      </c>
      <c r="F44" s="85">
        <v>7929330</v>
      </c>
      <c r="G44" s="85">
        <v>78031745</v>
      </c>
    </row>
    <row r="45" spans="1:7" ht="39" customHeight="1">
      <c r="A45" s="139" t="s">
        <v>320</v>
      </c>
      <c r="B45" s="135" t="s">
        <v>321</v>
      </c>
      <c r="C45" s="136"/>
      <c r="D45" s="85">
        <v>32140524</v>
      </c>
      <c r="E45" s="85">
        <v>363648484</v>
      </c>
      <c r="F45" s="85">
        <v>47319265</v>
      </c>
      <c r="G45" s="85">
        <v>481458439</v>
      </c>
    </row>
    <row r="46" spans="1:7" ht="39" customHeight="1">
      <c r="A46" s="139" t="s">
        <v>322</v>
      </c>
      <c r="B46" s="135" t="s">
        <v>323</v>
      </c>
      <c r="C46" s="136"/>
      <c r="D46" s="85">
        <v>20087827</v>
      </c>
      <c r="E46" s="85">
        <v>227280301</v>
      </c>
      <c r="F46" s="85">
        <v>29574537</v>
      </c>
      <c r="G46" s="85">
        <v>300911515</v>
      </c>
    </row>
    <row r="47" spans="1:7" ht="39" customHeight="1">
      <c r="A47" s="139" t="s">
        <v>324</v>
      </c>
      <c r="B47" s="135" t="s">
        <v>325</v>
      </c>
      <c r="C47" s="136"/>
      <c r="D47" s="85">
        <v>11000000</v>
      </c>
      <c r="E47" s="85">
        <v>110000000</v>
      </c>
      <c r="F47" s="85">
        <v>11000000</v>
      </c>
      <c r="G47" s="85">
        <v>110000000</v>
      </c>
    </row>
    <row r="48" spans="1:7" ht="39" customHeight="1">
      <c r="A48" s="139" t="s">
        <v>326</v>
      </c>
      <c r="B48" s="135" t="s">
        <v>327</v>
      </c>
      <c r="C48" s="136"/>
      <c r="D48" s="85">
        <v>0</v>
      </c>
      <c r="E48" s="85">
        <v>0</v>
      </c>
      <c r="F48" s="85">
        <v>0</v>
      </c>
      <c r="G48" s="85">
        <v>0</v>
      </c>
    </row>
    <row r="49" spans="1:7" ht="43.9" customHeight="1">
      <c r="A49" s="68" t="s">
        <v>1250</v>
      </c>
      <c r="B49" s="140" t="s">
        <v>328</v>
      </c>
      <c r="C49" s="136"/>
      <c r="D49" s="85">
        <v>0</v>
      </c>
      <c r="E49" s="85">
        <v>0</v>
      </c>
      <c r="F49" s="85">
        <v>0</v>
      </c>
      <c r="G49" s="85">
        <v>0</v>
      </c>
    </row>
    <row r="50" spans="1:7" ht="39" customHeight="1">
      <c r="A50" s="68" t="s">
        <v>524</v>
      </c>
      <c r="B50" s="140" t="s">
        <v>329</v>
      </c>
      <c r="C50" s="136"/>
      <c r="D50" s="85">
        <v>0</v>
      </c>
      <c r="E50" s="85">
        <v>0</v>
      </c>
      <c r="F50" s="85">
        <v>0</v>
      </c>
      <c r="G50" s="85">
        <v>0</v>
      </c>
    </row>
    <row r="51" spans="1:7" ht="39" customHeight="1">
      <c r="A51" s="139" t="s">
        <v>330</v>
      </c>
      <c r="B51" s="135" t="s">
        <v>331</v>
      </c>
      <c r="C51" s="136"/>
      <c r="D51" s="85">
        <v>0</v>
      </c>
      <c r="E51" s="85">
        <v>0</v>
      </c>
      <c r="F51" s="85">
        <v>2081460</v>
      </c>
      <c r="G51" s="85">
        <v>24809594</v>
      </c>
    </row>
    <row r="52" spans="1:7" ht="39" customHeight="1">
      <c r="A52" s="139" t="s">
        <v>479</v>
      </c>
      <c r="B52" s="135" t="s">
        <v>332</v>
      </c>
      <c r="C52" s="136"/>
      <c r="D52" s="85">
        <v>15415064</v>
      </c>
      <c r="E52" s="85">
        <v>154805349</v>
      </c>
      <c r="F52" s="85">
        <v>15415064</v>
      </c>
      <c r="G52" s="85">
        <v>155245410</v>
      </c>
    </row>
    <row r="53" spans="1:7" ht="39" customHeight="1">
      <c r="A53" s="139" t="s">
        <v>333</v>
      </c>
      <c r="B53" s="135" t="s">
        <v>334</v>
      </c>
      <c r="C53" s="136"/>
      <c r="D53" s="85">
        <v>0</v>
      </c>
      <c r="E53" s="85">
        <v>0</v>
      </c>
      <c r="F53" s="85">
        <v>0</v>
      </c>
      <c r="G53" s="85">
        <v>0</v>
      </c>
    </row>
    <row r="54" spans="1:7" ht="39" customHeight="1">
      <c r="A54" s="139" t="s">
        <v>480</v>
      </c>
      <c r="B54" s="141" t="s">
        <v>335</v>
      </c>
      <c r="C54" s="136"/>
      <c r="D54" s="85">
        <v>20070846</v>
      </c>
      <c r="E54" s="85">
        <v>195146440</v>
      </c>
      <c r="F54" s="85">
        <v>36077664</v>
      </c>
      <c r="G54" s="85">
        <v>342207679</v>
      </c>
    </row>
    <row r="55" spans="1:7" ht="39" customHeight="1">
      <c r="A55" s="68" t="s">
        <v>137</v>
      </c>
      <c r="B55" s="142" t="s">
        <v>336</v>
      </c>
      <c r="C55" s="136"/>
      <c r="D55" s="85">
        <v>18443829</v>
      </c>
      <c r="E55" s="85">
        <v>184158846</v>
      </c>
      <c r="F55" s="85">
        <v>18443829</v>
      </c>
      <c r="G55" s="85">
        <v>184158846</v>
      </c>
    </row>
    <row r="56" spans="1:7" ht="39" customHeight="1">
      <c r="A56" s="68" t="s">
        <v>337</v>
      </c>
      <c r="B56" s="142" t="s">
        <v>338</v>
      </c>
      <c r="C56" s="136"/>
      <c r="D56" s="85">
        <v>0</v>
      </c>
      <c r="E56" s="85">
        <v>-20282951</v>
      </c>
      <c r="F56" s="85">
        <v>5221419</v>
      </c>
      <c r="G56" s="85">
        <v>34761266</v>
      </c>
    </row>
    <row r="57" spans="1:7" ht="39" customHeight="1">
      <c r="A57" s="68" t="s">
        <v>339</v>
      </c>
      <c r="B57" s="142" t="s">
        <v>340</v>
      </c>
      <c r="C57" s="137"/>
      <c r="D57" s="85">
        <v>0</v>
      </c>
      <c r="E57" s="85">
        <v>0</v>
      </c>
      <c r="F57" s="85">
        <v>1917071</v>
      </c>
      <c r="G57" s="85">
        <v>18799664</v>
      </c>
    </row>
    <row r="58" spans="1:7" ht="39" customHeight="1">
      <c r="A58" s="68" t="s">
        <v>481</v>
      </c>
      <c r="B58" s="142" t="s">
        <v>341</v>
      </c>
      <c r="C58" s="136"/>
      <c r="D58" s="85">
        <v>0</v>
      </c>
      <c r="E58" s="85">
        <v>12065000</v>
      </c>
      <c r="F58" s="85">
        <v>6410000</v>
      </c>
      <c r="G58" s="85">
        <v>64100000</v>
      </c>
    </row>
    <row r="59" spans="1:7" ht="39" customHeight="1">
      <c r="A59" s="68" t="s">
        <v>138</v>
      </c>
      <c r="B59" s="142" t="s">
        <v>342</v>
      </c>
      <c r="C59" s="137"/>
      <c r="D59" s="85">
        <v>0</v>
      </c>
      <c r="E59" s="85">
        <v>0</v>
      </c>
      <c r="F59" s="85">
        <v>0</v>
      </c>
      <c r="G59" s="85">
        <v>0</v>
      </c>
    </row>
    <row r="60" spans="1:7" ht="39" customHeight="1">
      <c r="A60" s="68" t="s">
        <v>482</v>
      </c>
      <c r="B60" s="142" t="s">
        <v>343</v>
      </c>
      <c r="C60" s="137"/>
      <c r="D60" s="85">
        <v>0</v>
      </c>
      <c r="E60" s="85">
        <v>0</v>
      </c>
      <c r="F60" s="85">
        <v>0</v>
      </c>
      <c r="G60" s="85">
        <v>0</v>
      </c>
    </row>
    <row r="61" spans="1:7" ht="39" customHeight="1">
      <c r="A61" s="68" t="s">
        <v>483</v>
      </c>
      <c r="B61" s="142" t="s">
        <v>344</v>
      </c>
      <c r="C61" s="137"/>
      <c r="D61" s="85">
        <v>0</v>
      </c>
      <c r="E61" s="85">
        <v>0</v>
      </c>
      <c r="F61" s="85">
        <v>849311</v>
      </c>
      <c r="G61" s="85">
        <v>8328733</v>
      </c>
    </row>
    <row r="62" spans="1:7" ht="39" customHeight="1">
      <c r="A62" s="68" t="s">
        <v>146</v>
      </c>
      <c r="B62" s="142" t="s">
        <v>345</v>
      </c>
      <c r="C62" s="137"/>
      <c r="D62" s="85">
        <v>1627017</v>
      </c>
      <c r="E62" s="85">
        <v>18105545</v>
      </c>
      <c r="F62" s="85">
        <v>3236034</v>
      </c>
      <c r="G62" s="85">
        <v>30959170</v>
      </c>
    </row>
    <row r="63" spans="1:7" ht="39" customHeight="1">
      <c r="A63" s="68" t="s">
        <v>139</v>
      </c>
      <c r="B63" s="142" t="s">
        <v>346</v>
      </c>
      <c r="C63" s="137"/>
      <c r="D63" s="85">
        <v>0</v>
      </c>
      <c r="E63" s="85">
        <v>0</v>
      </c>
      <c r="F63" s="85">
        <v>0</v>
      </c>
      <c r="G63" s="85">
        <v>0</v>
      </c>
    </row>
    <row r="64" spans="1:7" ht="39" customHeight="1">
      <c r="A64" s="68" t="s">
        <v>467</v>
      </c>
      <c r="B64" s="142" t="s">
        <v>347</v>
      </c>
      <c r="C64" s="136"/>
      <c r="D64" s="85">
        <v>0</v>
      </c>
      <c r="E64" s="85">
        <v>0</v>
      </c>
      <c r="F64" s="85">
        <v>0</v>
      </c>
      <c r="G64" s="85">
        <v>0</v>
      </c>
    </row>
    <row r="65" spans="1:7" ht="39" customHeight="1">
      <c r="A65" s="68" t="s">
        <v>500</v>
      </c>
      <c r="B65" s="142" t="s">
        <v>348</v>
      </c>
      <c r="C65" s="136"/>
      <c r="D65" s="85">
        <v>0</v>
      </c>
      <c r="E65" s="85">
        <v>1100000</v>
      </c>
      <c r="F65" s="85">
        <v>0</v>
      </c>
      <c r="G65" s="85">
        <v>1100000</v>
      </c>
    </row>
    <row r="66" spans="1:7" ht="39" customHeight="1">
      <c r="A66" s="68" t="s">
        <v>484</v>
      </c>
      <c r="B66" s="142" t="s">
        <v>349</v>
      </c>
      <c r="C66" s="136"/>
      <c r="D66" s="85">
        <v>0</v>
      </c>
      <c r="E66" s="85">
        <v>0</v>
      </c>
      <c r="F66" s="85">
        <v>0</v>
      </c>
      <c r="G66" s="85">
        <v>0</v>
      </c>
    </row>
    <row r="67" spans="1:7" ht="39" customHeight="1">
      <c r="A67" s="68" t="s">
        <v>485</v>
      </c>
      <c r="B67" s="142" t="s">
        <v>350</v>
      </c>
      <c r="C67" s="136"/>
      <c r="D67" s="85">
        <v>0</v>
      </c>
      <c r="E67" s="85">
        <v>0</v>
      </c>
      <c r="F67" s="85">
        <v>0</v>
      </c>
      <c r="G67" s="85">
        <v>0</v>
      </c>
    </row>
    <row r="68" spans="1:7" ht="39" customHeight="1">
      <c r="A68" s="68" t="s">
        <v>351</v>
      </c>
      <c r="B68" s="142" t="s">
        <v>352</v>
      </c>
      <c r="C68" s="136"/>
      <c r="D68" s="85">
        <v>0</v>
      </c>
      <c r="E68" s="85">
        <v>0</v>
      </c>
      <c r="F68" s="85">
        <v>0</v>
      </c>
      <c r="G68" s="85">
        <v>0</v>
      </c>
    </row>
    <row r="69" spans="1:7" s="111" customFormat="1" ht="45" customHeight="1">
      <c r="A69" s="131" t="s">
        <v>353</v>
      </c>
      <c r="B69" s="132" t="s">
        <v>354</v>
      </c>
      <c r="C69" s="133"/>
      <c r="D69" s="81">
        <v>4194581295</v>
      </c>
      <c r="E69" s="81">
        <v>120697289535</v>
      </c>
      <c r="F69" s="81">
        <v>-129547781095</v>
      </c>
      <c r="G69" s="81">
        <v>-160080279676</v>
      </c>
    </row>
    <row r="70" spans="1:7" s="111" customFormat="1" ht="39" customHeight="1">
      <c r="A70" s="131" t="s">
        <v>355</v>
      </c>
      <c r="B70" s="132" t="s">
        <v>356</v>
      </c>
      <c r="C70" s="133"/>
      <c r="D70" s="81">
        <v>0</v>
      </c>
      <c r="E70" s="81">
        <v>0</v>
      </c>
      <c r="F70" s="81">
        <v>0</v>
      </c>
      <c r="G70" s="81">
        <v>103180000</v>
      </c>
    </row>
    <row r="71" spans="1:7" ht="39" customHeight="1">
      <c r="A71" s="134" t="s">
        <v>525</v>
      </c>
      <c r="B71" s="138" t="s">
        <v>357</v>
      </c>
      <c r="C71" s="137"/>
      <c r="D71" s="85">
        <v>0</v>
      </c>
      <c r="E71" s="85">
        <v>0</v>
      </c>
      <c r="F71" s="85">
        <v>0</v>
      </c>
      <c r="G71" s="85">
        <v>103180000</v>
      </c>
    </row>
    <row r="72" spans="1:7" ht="39" customHeight="1">
      <c r="A72" s="134" t="s">
        <v>486</v>
      </c>
      <c r="B72" s="138" t="s">
        <v>358</v>
      </c>
      <c r="C72" s="137"/>
      <c r="D72" s="85">
        <v>0</v>
      </c>
      <c r="E72" s="85">
        <v>0</v>
      </c>
      <c r="F72" s="85">
        <v>0</v>
      </c>
      <c r="G72" s="85">
        <v>0</v>
      </c>
    </row>
    <row r="73" spans="1:7" s="111" customFormat="1" ht="48" customHeight="1">
      <c r="A73" s="131" t="s">
        <v>359</v>
      </c>
      <c r="B73" s="132" t="s">
        <v>360</v>
      </c>
      <c r="C73" s="133"/>
      <c r="D73" s="81">
        <v>4194581295</v>
      </c>
      <c r="E73" s="81">
        <v>120697289535</v>
      </c>
      <c r="F73" s="81">
        <v>-129547781095</v>
      </c>
      <c r="G73" s="81">
        <v>-159977099676</v>
      </c>
    </row>
    <row r="74" spans="1:7" ht="39" customHeight="1">
      <c r="A74" s="139" t="s">
        <v>361</v>
      </c>
      <c r="B74" s="135" t="s">
        <v>362</v>
      </c>
      <c r="C74" s="137"/>
      <c r="D74" s="85">
        <v>997738828</v>
      </c>
      <c r="E74" s="85">
        <v>11269494835</v>
      </c>
      <c r="F74" s="85">
        <v>-13418085821</v>
      </c>
      <c r="G74" s="85">
        <v>67666447506</v>
      </c>
    </row>
    <row r="75" spans="1:7" ht="39" customHeight="1">
      <c r="A75" s="139" t="s">
        <v>363</v>
      </c>
      <c r="B75" s="135" t="s">
        <v>364</v>
      </c>
      <c r="C75" s="137"/>
      <c r="D75" s="85">
        <v>3196842467</v>
      </c>
      <c r="E75" s="85">
        <v>109427794700</v>
      </c>
      <c r="F75" s="85">
        <v>-116129695274</v>
      </c>
      <c r="G75" s="85">
        <v>-227643547182</v>
      </c>
    </row>
    <row r="76" spans="1:7" s="111" customFormat="1" ht="39" customHeight="1">
      <c r="A76" s="131" t="s">
        <v>365</v>
      </c>
      <c r="B76" s="132" t="s">
        <v>366</v>
      </c>
      <c r="C76" s="133"/>
      <c r="D76" s="81">
        <v>0</v>
      </c>
      <c r="E76" s="81">
        <v>0</v>
      </c>
      <c r="F76" s="81">
        <v>0</v>
      </c>
      <c r="G76" s="81">
        <v>0</v>
      </c>
    </row>
    <row r="77" spans="1:7" s="111" customFormat="1" ht="43.5" customHeight="1">
      <c r="A77" s="131" t="s">
        <v>367</v>
      </c>
      <c r="B77" s="132" t="s">
        <v>368</v>
      </c>
      <c r="C77" s="133"/>
      <c r="D77" s="81">
        <v>4194581295</v>
      </c>
      <c r="E77" s="81">
        <v>120697289535</v>
      </c>
      <c r="F77" s="81">
        <v>-129547781095</v>
      </c>
      <c r="G77" s="81">
        <v>-159977099676</v>
      </c>
    </row>
    <row r="80" spans="1:7" s="111" customFormat="1" ht="16.899999999999999" customHeight="1">
      <c r="A80" s="119" t="s">
        <v>369</v>
      </c>
      <c r="B80" s="231" t="s">
        <v>370</v>
      </c>
      <c r="C80" s="231"/>
      <c r="D80" s="231"/>
      <c r="E80" s="231"/>
      <c r="F80" s="231"/>
      <c r="G80" s="231"/>
    </row>
    <row r="93" spans="1:7" ht="15">
      <c r="A93" s="213" t="s">
        <v>1262</v>
      </c>
      <c r="B93" s="239" t="s">
        <v>1262</v>
      </c>
      <c r="C93" s="239"/>
      <c r="D93" s="239"/>
      <c r="E93" s="239"/>
      <c r="F93" s="240" t="s">
        <v>1255</v>
      </c>
      <c r="G93" s="241"/>
    </row>
    <row r="94" spans="1:7" ht="16.899999999999999" customHeight="1">
      <c r="A94" s="214" t="s">
        <v>1257</v>
      </c>
      <c r="B94" s="242" t="s">
        <v>1263</v>
      </c>
      <c r="C94" s="242"/>
      <c r="D94" s="242"/>
      <c r="E94" s="242"/>
      <c r="F94" s="242" t="s">
        <v>1264</v>
      </c>
      <c r="G94" s="242"/>
    </row>
    <row r="95" spans="1:7" ht="16.899999999999999" customHeight="1">
      <c r="A95" s="215" t="s">
        <v>1194</v>
      </c>
      <c r="B95" s="243" t="s">
        <v>1265</v>
      </c>
      <c r="C95" s="243"/>
      <c r="D95" s="243"/>
      <c r="E95" s="243"/>
      <c r="F95" s="243" t="s">
        <v>1186</v>
      </c>
      <c r="G95" s="243"/>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75" bottom="0.5" header="0.3" footer="0.3"/>
  <pageSetup paperSize="9" scale="63" fitToHeight="6" orientation="portrait" r:id="rId1"/>
  <rowBreaks count="1" manualBreakCount="1">
    <brk id="57" max="6"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138"/>
  <sheetViews>
    <sheetView view="pageBreakPreview" topLeftCell="A3" zoomScale="98" zoomScaleNormal="100" zoomScaleSheetLayoutView="98" workbookViewId="0">
      <selection activeCell="C19" sqref="C19"/>
    </sheetView>
  </sheetViews>
  <sheetFormatPr defaultColWidth="8.7109375" defaultRowHeight="12.75"/>
  <cols>
    <col min="1" max="1" width="7.140625" style="61" customWidth="1"/>
    <col min="2" max="2" width="45.42578125" style="61" customWidth="1"/>
    <col min="3" max="3" width="10.5703125" style="61" customWidth="1"/>
    <col min="4" max="4" width="8.7109375" style="61"/>
    <col min="5" max="5" width="24.5703125" style="61" customWidth="1"/>
    <col min="6" max="6" width="28.7109375" style="61" customWidth="1"/>
    <col min="7" max="16384" width="8.7109375" style="101"/>
  </cols>
  <sheetData>
    <row r="1" spans="1:6" ht="23.65" customHeight="1">
      <c r="A1" s="226" t="s">
        <v>371</v>
      </c>
      <c r="B1" s="226"/>
      <c r="C1" s="226"/>
      <c r="D1" s="226"/>
      <c r="E1" s="226"/>
      <c r="F1" s="226"/>
    </row>
    <row r="2" spans="1:6" ht="32.65" customHeight="1">
      <c r="A2" s="227" t="s">
        <v>283</v>
      </c>
      <c r="B2" s="227"/>
      <c r="C2" s="227"/>
      <c r="D2" s="227"/>
      <c r="E2" s="227"/>
      <c r="F2" s="227"/>
    </row>
    <row r="3" spans="1:6" ht="31.15" customHeight="1">
      <c r="A3" s="228" t="s">
        <v>372</v>
      </c>
      <c r="B3" s="228"/>
      <c r="C3" s="228"/>
      <c r="D3" s="228"/>
      <c r="E3" s="228"/>
      <c r="F3" s="228"/>
    </row>
    <row r="4" spans="1:6" ht="6" customHeight="1"/>
    <row r="5" spans="1:6" ht="16.899999999999999" customHeight="1">
      <c r="A5" s="229" t="str">
        <f>'Tong quat'!C1</f>
        <v>Tại ngày 31 tháng 10 năm 2019
/ As at 31 Oct 2019</v>
      </c>
      <c r="B5" s="229"/>
      <c r="C5" s="229"/>
      <c r="D5" s="229"/>
      <c r="E5" s="229"/>
      <c r="F5" s="229"/>
    </row>
    <row r="6" spans="1:6" ht="16.899999999999999" customHeight="1"/>
    <row r="7" spans="1:6" ht="16.899999999999999" customHeight="1">
      <c r="A7" s="143" t="s">
        <v>2</v>
      </c>
      <c r="C7" s="230" t="str">
        <f>'Tong quat'!D5</f>
        <v>Công ty Cổ phần Quản lý Quỹ Đầu tư Việt Nam</v>
      </c>
      <c r="D7" s="230"/>
      <c r="E7" s="230"/>
      <c r="F7" s="230"/>
    </row>
    <row r="8" spans="1:6" ht="16.899999999999999" customHeight="1">
      <c r="A8" s="61" t="s">
        <v>110</v>
      </c>
      <c r="C8" s="225" t="str">
        <f>'Tong quat'!D6</f>
        <v>Vietnam Investment Fund Management Joint Stock Company</v>
      </c>
      <c r="D8" s="225"/>
      <c r="E8" s="225"/>
      <c r="F8" s="225"/>
    </row>
    <row r="9" spans="1:6" ht="16.899999999999999" customHeight="1">
      <c r="A9" s="143" t="s">
        <v>3</v>
      </c>
      <c r="C9" s="230" t="str">
        <f>'Tong quat'!D7</f>
        <v>Ngân hàng TNHH Một thành viên Standard Chartered (Việt Nam)</v>
      </c>
      <c r="D9" s="230"/>
      <c r="E9" s="230"/>
      <c r="F9" s="230"/>
    </row>
    <row r="10" spans="1:6" ht="16.899999999999999" customHeight="1">
      <c r="A10" s="61" t="s">
        <v>4</v>
      </c>
      <c r="C10" s="225" t="str">
        <f>'Tong quat'!D8</f>
        <v>Standard Chartered Bank (Vietnam) Limited</v>
      </c>
      <c r="D10" s="225"/>
      <c r="E10" s="225"/>
      <c r="F10" s="225"/>
    </row>
    <row r="11" spans="1:6" ht="16.899999999999999" customHeight="1">
      <c r="A11" s="143" t="s">
        <v>5</v>
      </c>
      <c r="C11" s="230" t="str">
        <f>'Tong quat'!D9</f>
        <v>Quỹ Đầu tư Chứng khoán Việt Nam</v>
      </c>
      <c r="D11" s="230"/>
      <c r="E11" s="230"/>
      <c r="F11" s="230"/>
    </row>
    <row r="12" spans="1:6" ht="16.899999999999999" customHeight="1">
      <c r="A12" s="61" t="s">
        <v>6</v>
      </c>
      <c r="C12" s="225" t="str">
        <f>'Tong quat'!D10</f>
        <v>Vietnam Securities Investment Fund(VFMVF1)</v>
      </c>
      <c r="D12" s="225"/>
      <c r="E12" s="225"/>
      <c r="F12" s="225"/>
    </row>
    <row r="13" spans="1:6" ht="16.899999999999999" customHeight="1">
      <c r="A13" s="143" t="s">
        <v>7</v>
      </c>
      <c r="C13" s="230" t="str">
        <f>'Tong quat'!D11</f>
        <v>Ngày 04 tháng 11 năm 2019</v>
      </c>
      <c r="D13" s="230"/>
      <c r="E13" s="230"/>
      <c r="F13" s="230"/>
    </row>
    <row r="14" spans="1:6" ht="16.899999999999999" customHeight="1">
      <c r="A14" s="61" t="s">
        <v>8</v>
      </c>
      <c r="C14" s="225" t="str">
        <f>'Tong quat'!D12</f>
        <v>04 Nov 2019</v>
      </c>
      <c r="D14" s="225"/>
      <c r="E14" s="225"/>
      <c r="F14" s="225"/>
    </row>
    <row r="15" spans="1:6" ht="16.899999999999999" customHeight="1"/>
    <row r="16" spans="1:6" ht="46.9" customHeight="1">
      <c r="A16" s="102" t="s">
        <v>373</v>
      </c>
      <c r="B16" s="102" t="s">
        <v>285</v>
      </c>
      <c r="C16" s="102" t="s">
        <v>286</v>
      </c>
      <c r="D16" s="102" t="s">
        <v>287</v>
      </c>
      <c r="E16" s="102" t="str">
        <f>BCTaiSan_06027!D18</f>
        <v>Ngày 31 tháng 10 năm 2019
 As at 31 Oct 2019</v>
      </c>
      <c r="F16" s="102" t="str">
        <f>BCTaiSan_06027!E18</f>
        <v>Ngày 30 tháng 09 năm 2019
 As at 30 Sep 2019</v>
      </c>
    </row>
    <row r="17" spans="1:6" ht="39" customHeight="1">
      <c r="A17" s="63" t="s">
        <v>111</v>
      </c>
      <c r="B17" s="144" t="s">
        <v>538</v>
      </c>
      <c r="C17" s="55" t="s">
        <v>111</v>
      </c>
      <c r="D17" s="81"/>
      <c r="E17" s="81"/>
      <c r="F17" s="81"/>
    </row>
    <row r="18" spans="1:6" ht="39" customHeight="1">
      <c r="A18" s="146" t="s">
        <v>539</v>
      </c>
      <c r="B18" s="147" t="s">
        <v>540</v>
      </c>
      <c r="C18" s="148" t="s">
        <v>541</v>
      </c>
      <c r="D18" s="146"/>
      <c r="E18" s="145">
        <v>49227230731</v>
      </c>
      <c r="F18" s="145">
        <v>4858023375</v>
      </c>
    </row>
    <row r="19" spans="1:6" ht="39" customHeight="1">
      <c r="A19" s="146" t="s">
        <v>542</v>
      </c>
      <c r="B19" s="147" t="s">
        <v>543</v>
      </c>
      <c r="C19" s="148" t="s">
        <v>544</v>
      </c>
      <c r="D19" s="146"/>
      <c r="E19" s="145">
        <v>49227230731</v>
      </c>
      <c r="F19" s="145">
        <v>4858023375</v>
      </c>
    </row>
    <row r="20" spans="1:6" s="151" customFormat="1" ht="49.15" customHeight="1">
      <c r="A20" s="146" t="s">
        <v>545</v>
      </c>
      <c r="B20" s="149" t="s">
        <v>546</v>
      </c>
      <c r="C20" s="150" t="s">
        <v>547</v>
      </c>
      <c r="D20" s="146"/>
      <c r="E20" s="145">
        <v>59000000</v>
      </c>
      <c r="F20" s="145">
        <v>41000000</v>
      </c>
    </row>
    <row r="21" spans="1:6" s="151" customFormat="1" ht="46.5" customHeight="1">
      <c r="A21" s="146" t="s">
        <v>545</v>
      </c>
      <c r="B21" s="149" t="s">
        <v>548</v>
      </c>
      <c r="C21" s="150" t="s">
        <v>549</v>
      </c>
      <c r="D21" s="146"/>
      <c r="E21" s="145">
        <v>0</v>
      </c>
      <c r="F21" s="145">
        <v>0</v>
      </c>
    </row>
    <row r="22" spans="1:6" s="151" customFormat="1" ht="39" customHeight="1">
      <c r="A22" s="146" t="s">
        <v>545</v>
      </c>
      <c r="B22" s="149" t="s">
        <v>550</v>
      </c>
      <c r="C22" s="150" t="s">
        <v>551</v>
      </c>
      <c r="D22" s="146"/>
      <c r="E22" s="145">
        <v>49168230731</v>
      </c>
      <c r="F22" s="145">
        <v>4817023375</v>
      </c>
    </row>
    <row r="23" spans="1:6" ht="47.65" customHeight="1">
      <c r="A23" s="146" t="s">
        <v>545</v>
      </c>
      <c r="B23" s="149" t="s">
        <v>117</v>
      </c>
      <c r="C23" s="150" t="s">
        <v>552</v>
      </c>
      <c r="D23" s="146"/>
      <c r="E23" s="145">
        <v>0</v>
      </c>
      <c r="F23" s="145">
        <v>0</v>
      </c>
    </row>
    <row r="24" spans="1:6" ht="39" customHeight="1">
      <c r="A24" s="146" t="s">
        <v>553</v>
      </c>
      <c r="B24" s="147" t="s">
        <v>1251</v>
      </c>
      <c r="C24" s="148" t="s">
        <v>554</v>
      </c>
      <c r="D24" s="146"/>
      <c r="E24" s="145">
        <v>0</v>
      </c>
      <c r="F24" s="145">
        <v>0</v>
      </c>
    </row>
    <row r="25" spans="1:6" ht="39" customHeight="1">
      <c r="A25" s="146" t="s">
        <v>555</v>
      </c>
      <c r="B25" s="147" t="s">
        <v>556</v>
      </c>
      <c r="C25" s="148" t="s">
        <v>557</v>
      </c>
      <c r="D25" s="146"/>
      <c r="E25" s="145">
        <v>808973695750</v>
      </c>
      <c r="F25" s="145">
        <v>864628088050</v>
      </c>
    </row>
    <row r="26" spans="1:6" ht="39" customHeight="1">
      <c r="A26" s="146" t="s">
        <v>558</v>
      </c>
      <c r="B26" s="147" t="s">
        <v>559</v>
      </c>
      <c r="C26" s="148" t="s">
        <v>560</v>
      </c>
      <c r="D26" s="146"/>
      <c r="E26" s="145">
        <v>808973695750</v>
      </c>
      <c r="F26" s="145">
        <v>864628088050</v>
      </c>
    </row>
    <row r="27" spans="1:6" ht="39" customHeight="1">
      <c r="A27" s="146" t="s">
        <v>545</v>
      </c>
      <c r="B27" s="149" t="s">
        <v>561</v>
      </c>
      <c r="C27" s="150" t="s">
        <v>562</v>
      </c>
      <c r="D27" s="146"/>
      <c r="E27" s="145">
        <v>713837895750</v>
      </c>
      <c r="F27" s="145">
        <v>739131288050</v>
      </c>
    </row>
    <row r="28" spans="1:6" ht="39" customHeight="1">
      <c r="A28" s="146" t="s">
        <v>545</v>
      </c>
      <c r="B28" s="149" t="s">
        <v>563</v>
      </c>
      <c r="C28" s="150" t="s">
        <v>564</v>
      </c>
      <c r="D28" s="146"/>
      <c r="E28" s="145">
        <v>0</v>
      </c>
      <c r="F28" s="145">
        <v>0</v>
      </c>
    </row>
    <row r="29" spans="1:6" ht="39" customHeight="1">
      <c r="A29" s="146" t="s">
        <v>545</v>
      </c>
      <c r="B29" s="149" t="s">
        <v>565</v>
      </c>
      <c r="C29" s="150" t="s">
        <v>566</v>
      </c>
      <c r="D29" s="146"/>
      <c r="E29" s="145">
        <v>60135800000</v>
      </c>
      <c r="F29" s="145">
        <v>90496800000</v>
      </c>
    </row>
    <row r="30" spans="1:6" ht="39" customHeight="1">
      <c r="A30" s="146" t="s">
        <v>545</v>
      </c>
      <c r="B30" s="149" t="s">
        <v>567</v>
      </c>
      <c r="C30" s="150" t="s">
        <v>568</v>
      </c>
      <c r="D30" s="146"/>
      <c r="E30" s="145">
        <v>0</v>
      </c>
      <c r="F30" s="145">
        <v>0</v>
      </c>
    </row>
    <row r="31" spans="1:6" ht="39" customHeight="1">
      <c r="A31" s="146" t="s">
        <v>545</v>
      </c>
      <c r="B31" s="149" t="s">
        <v>569</v>
      </c>
      <c r="C31" s="150" t="s">
        <v>570</v>
      </c>
      <c r="D31" s="146"/>
      <c r="E31" s="145">
        <v>35000000000</v>
      </c>
      <c r="F31" s="145">
        <v>35000000000</v>
      </c>
    </row>
    <row r="32" spans="1:6" ht="39" customHeight="1">
      <c r="A32" s="146" t="s">
        <v>545</v>
      </c>
      <c r="B32" s="149" t="s">
        <v>526</v>
      </c>
      <c r="C32" s="150" t="s">
        <v>571</v>
      </c>
      <c r="D32" s="146"/>
      <c r="E32" s="145">
        <v>0</v>
      </c>
      <c r="F32" s="145">
        <v>0</v>
      </c>
    </row>
    <row r="33" spans="1:6" ht="39" customHeight="1">
      <c r="A33" s="146" t="s">
        <v>545</v>
      </c>
      <c r="B33" s="149" t="s">
        <v>527</v>
      </c>
      <c r="C33" s="150" t="s">
        <v>572</v>
      </c>
      <c r="D33" s="146"/>
      <c r="E33" s="145">
        <v>0</v>
      </c>
      <c r="F33" s="145">
        <v>0</v>
      </c>
    </row>
    <row r="34" spans="1:6" ht="39" customHeight="1">
      <c r="A34" s="146" t="s">
        <v>545</v>
      </c>
      <c r="B34" s="149" t="s">
        <v>528</v>
      </c>
      <c r="C34" s="150" t="s">
        <v>573</v>
      </c>
      <c r="D34" s="146"/>
      <c r="E34" s="145">
        <v>0</v>
      </c>
      <c r="F34" s="145">
        <v>0</v>
      </c>
    </row>
    <row r="35" spans="1:6" ht="39" customHeight="1">
      <c r="A35" s="146" t="s">
        <v>545</v>
      </c>
      <c r="B35" s="149" t="s">
        <v>574</v>
      </c>
      <c r="C35" s="150" t="s">
        <v>575</v>
      </c>
      <c r="D35" s="146"/>
      <c r="E35" s="145">
        <v>0</v>
      </c>
      <c r="F35" s="145">
        <v>0</v>
      </c>
    </row>
    <row r="36" spans="1:6" ht="39" customHeight="1">
      <c r="A36" s="146" t="s">
        <v>545</v>
      </c>
      <c r="B36" s="149" t="s">
        <v>1239</v>
      </c>
      <c r="C36" s="150" t="s">
        <v>576</v>
      </c>
      <c r="D36" s="146"/>
      <c r="E36" s="145">
        <v>0</v>
      </c>
      <c r="F36" s="145">
        <v>0</v>
      </c>
    </row>
    <row r="37" spans="1:6" ht="39" customHeight="1">
      <c r="A37" s="146" t="s">
        <v>577</v>
      </c>
      <c r="B37" s="147" t="s">
        <v>578</v>
      </c>
      <c r="C37" s="148" t="s">
        <v>579</v>
      </c>
      <c r="D37" s="146"/>
      <c r="E37" s="145">
        <v>0</v>
      </c>
      <c r="F37" s="145">
        <v>0</v>
      </c>
    </row>
    <row r="38" spans="1:6" ht="39" customHeight="1">
      <c r="A38" s="146" t="s">
        <v>580</v>
      </c>
      <c r="B38" s="147" t="s">
        <v>581</v>
      </c>
      <c r="C38" s="148" t="s">
        <v>582</v>
      </c>
      <c r="D38" s="146"/>
      <c r="E38" s="145">
        <v>3618099315</v>
      </c>
      <c r="F38" s="145">
        <v>3532149315</v>
      </c>
    </row>
    <row r="39" spans="1:6" ht="39" customHeight="1">
      <c r="A39" s="146" t="s">
        <v>583</v>
      </c>
      <c r="B39" s="147" t="s">
        <v>584</v>
      </c>
      <c r="C39" s="148" t="s">
        <v>585</v>
      </c>
      <c r="D39" s="146"/>
      <c r="E39" s="145">
        <v>0</v>
      </c>
      <c r="F39" s="145">
        <v>0</v>
      </c>
    </row>
    <row r="40" spans="1:6" ht="43.15" customHeight="1">
      <c r="A40" s="146" t="s">
        <v>545</v>
      </c>
      <c r="B40" s="149" t="s">
        <v>586</v>
      </c>
      <c r="C40" s="150" t="s">
        <v>587</v>
      </c>
      <c r="D40" s="146"/>
      <c r="E40" s="145">
        <v>0</v>
      </c>
      <c r="F40" s="145">
        <v>0</v>
      </c>
    </row>
    <row r="41" spans="1:6" ht="46.9" customHeight="1">
      <c r="A41" s="146" t="s">
        <v>588</v>
      </c>
      <c r="B41" s="147" t="s">
        <v>589</v>
      </c>
      <c r="C41" s="148" t="s">
        <v>590</v>
      </c>
      <c r="D41" s="146"/>
      <c r="E41" s="145">
        <v>4484499315</v>
      </c>
      <c r="F41" s="145">
        <v>4398549315</v>
      </c>
    </row>
    <row r="42" spans="1:6" ht="43.9" customHeight="1">
      <c r="A42" s="146" t="s">
        <v>591</v>
      </c>
      <c r="B42" s="147" t="s">
        <v>592</v>
      </c>
      <c r="C42" s="148" t="s">
        <v>593</v>
      </c>
      <c r="D42" s="146"/>
      <c r="E42" s="145">
        <v>866400000</v>
      </c>
      <c r="F42" s="145">
        <v>866400000</v>
      </c>
    </row>
    <row r="43" spans="1:6" ht="39" customHeight="1">
      <c r="A43" s="146" t="s">
        <v>545</v>
      </c>
      <c r="B43" s="149" t="s">
        <v>529</v>
      </c>
      <c r="C43" s="150" t="s">
        <v>594</v>
      </c>
      <c r="D43" s="146"/>
      <c r="E43" s="145">
        <v>866400000</v>
      </c>
      <c r="F43" s="145">
        <v>866400000</v>
      </c>
    </row>
    <row r="44" spans="1:6" ht="39" customHeight="1">
      <c r="A44" s="146" t="s">
        <v>545</v>
      </c>
      <c r="B44" s="149" t="s">
        <v>530</v>
      </c>
      <c r="C44" s="150" t="s">
        <v>595</v>
      </c>
      <c r="D44" s="146"/>
      <c r="E44" s="145">
        <v>0</v>
      </c>
      <c r="F44" s="145">
        <v>0</v>
      </c>
    </row>
    <row r="45" spans="1:6" ht="46.15" customHeight="1">
      <c r="A45" s="146" t="s">
        <v>545</v>
      </c>
      <c r="B45" s="149" t="s">
        <v>596</v>
      </c>
      <c r="C45" s="150" t="s">
        <v>597</v>
      </c>
      <c r="D45" s="146"/>
      <c r="E45" s="145">
        <v>0</v>
      </c>
      <c r="F45" s="145">
        <v>0</v>
      </c>
    </row>
    <row r="46" spans="1:6" ht="44.65" customHeight="1">
      <c r="A46" s="146" t="s">
        <v>545</v>
      </c>
      <c r="B46" s="149" t="s">
        <v>598</v>
      </c>
      <c r="C46" s="150" t="s">
        <v>599</v>
      </c>
      <c r="D46" s="146"/>
      <c r="E46" s="145">
        <v>0</v>
      </c>
      <c r="F46" s="145">
        <v>0</v>
      </c>
    </row>
    <row r="47" spans="1:6" ht="39" customHeight="1">
      <c r="A47" s="146" t="s">
        <v>545</v>
      </c>
      <c r="B47" s="149" t="s">
        <v>600</v>
      </c>
      <c r="C47" s="150" t="s">
        <v>601</v>
      </c>
      <c r="D47" s="146"/>
      <c r="E47" s="145">
        <v>0</v>
      </c>
      <c r="F47" s="145">
        <v>0</v>
      </c>
    </row>
    <row r="48" spans="1:6" ht="55.9" customHeight="1">
      <c r="A48" s="146" t="s">
        <v>545</v>
      </c>
      <c r="B48" s="147" t="s">
        <v>602</v>
      </c>
      <c r="C48" s="148" t="s">
        <v>603</v>
      </c>
      <c r="D48" s="146"/>
      <c r="E48" s="145">
        <v>866400000</v>
      </c>
      <c r="F48" s="145">
        <v>866400000</v>
      </c>
    </row>
    <row r="49" spans="1:6" ht="39" customHeight="1">
      <c r="A49" s="146" t="s">
        <v>604</v>
      </c>
      <c r="B49" s="147" t="s">
        <v>605</v>
      </c>
      <c r="C49" s="148" t="s">
        <v>606</v>
      </c>
      <c r="D49" s="146"/>
      <c r="E49" s="145">
        <v>3618099315</v>
      </c>
      <c r="F49" s="145">
        <v>3532149315</v>
      </c>
    </row>
    <row r="50" spans="1:6" ht="39" customHeight="1">
      <c r="A50" s="146" t="s">
        <v>545</v>
      </c>
      <c r="B50" s="149" t="s">
        <v>607</v>
      </c>
      <c r="C50" s="150" t="s">
        <v>608</v>
      </c>
      <c r="D50" s="146"/>
      <c r="E50" s="145">
        <v>553750000</v>
      </c>
      <c r="F50" s="145">
        <v>300000</v>
      </c>
    </row>
    <row r="51" spans="1:6" ht="39" customHeight="1">
      <c r="A51" s="146" t="s">
        <v>545</v>
      </c>
      <c r="B51" s="149" t="s">
        <v>609</v>
      </c>
      <c r="C51" s="150" t="s">
        <v>610</v>
      </c>
      <c r="D51" s="146"/>
      <c r="E51" s="145">
        <v>2842294521</v>
      </c>
      <c r="F51" s="145">
        <v>3111643836</v>
      </c>
    </row>
    <row r="52" spans="1:6" ht="46.15" customHeight="1">
      <c r="A52" s="146" t="s">
        <v>545</v>
      </c>
      <c r="B52" s="149" t="s">
        <v>611</v>
      </c>
      <c r="C52" s="150" t="s">
        <v>612</v>
      </c>
      <c r="D52" s="146"/>
      <c r="E52" s="145">
        <v>0</v>
      </c>
      <c r="F52" s="145">
        <v>0</v>
      </c>
    </row>
    <row r="53" spans="1:6" ht="42" customHeight="1">
      <c r="A53" s="146" t="s">
        <v>545</v>
      </c>
      <c r="B53" s="149" t="s">
        <v>613</v>
      </c>
      <c r="C53" s="150" t="s">
        <v>614</v>
      </c>
      <c r="D53" s="146"/>
      <c r="E53" s="145">
        <v>0</v>
      </c>
      <c r="F53" s="145">
        <v>0</v>
      </c>
    </row>
    <row r="54" spans="1:6" ht="39" customHeight="1">
      <c r="A54" s="146" t="s">
        <v>545</v>
      </c>
      <c r="B54" s="149" t="s">
        <v>615</v>
      </c>
      <c r="C54" s="150" t="s">
        <v>616</v>
      </c>
      <c r="D54" s="146"/>
      <c r="E54" s="145">
        <v>222054794</v>
      </c>
      <c r="F54" s="145">
        <v>420205479</v>
      </c>
    </row>
    <row r="55" spans="1:6" ht="39" customHeight="1">
      <c r="A55" s="146" t="s">
        <v>545</v>
      </c>
      <c r="B55" s="149" t="s">
        <v>1252</v>
      </c>
      <c r="C55" s="150" t="s">
        <v>617</v>
      </c>
      <c r="D55" s="146"/>
      <c r="E55" s="145">
        <v>0</v>
      </c>
      <c r="F55" s="145">
        <v>0</v>
      </c>
    </row>
    <row r="56" spans="1:6" ht="39" customHeight="1">
      <c r="A56" s="146" t="s">
        <v>618</v>
      </c>
      <c r="B56" s="147" t="s">
        <v>619</v>
      </c>
      <c r="C56" s="148" t="s">
        <v>620</v>
      </c>
      <c r="D56" s="146"/>
      <c r="E56" s="145">
        <v>0</v>
      </c>
      <c r="F56" s="145">
        <v>0</v>
      </c>
    </row>
    <row r="57" spans="1:6" s="151" customFormat="1" ht="46.9" customHeight="1">
      <c r="A57" s="146" t="s">
        <v>545</v>
      </c>
      <c r="B57" s="149" t="s">
        <v>1241</v>
      </c>
      <c r="C57" s="150" t="s">
        <v>621</v>
      </c>
      <c r="D57" s="146"/>
      <c r="E57" s="145">
        <v>0</v>
      </c>
      <c r="F57" s="145">
        <v>0</v>
      </c>
    </row>
    <row r="58" spans="1:6" ht="39" customHeight="1">
      <c r="A58" s="146" t="s">
        <v>545</v>
      </c>
      <c r="B58" s="149" t="s">
        <v>622</v>
      </c>
      <c r="C58" s="150" t="s">
        <v>623</v>
      </c>
      <c r="D58" s="146"/>
      <c r="E58" s="145">
        <v>0</v>
      </c>
      <c r="F58" s="145">
        <v>0</v>
      </c>
    </row>
    <row r="59" spans="1:6" ht="39" customHeight="1">
      <c r="A59" s="146" t="s">
        <v>545</v>
      </c>
      <c r="B59" s="149" t="s">
        <v>624</v>
      </c>
      <c r="C59" s="150" t="s">
        <v>625</v>
      </c>
      <c r="D59" s="146"/>
      <c r="E59" s="145">
        <v>0</v>
      </c>
      <c r="F59" s="145">
        <v>0</v>
      </c>
    </row>
    <row r="60" spans="1:6" ht="39" customHeight="1">
      <c r="A60" s="146" t="s">
        <v>626</v>
      </c>
      <c r="B60" s="147" t="s">
        <v>627</v>
      </c>
      <c r="C60" s="148" t="s">
        <v>628</v>
      </c>
      <c r="D60" s="146"/>
      <c r="E60" s="145">
        <v>-866400000</v>
      </c>
      <c r="F60" s="145">
        <v>-866400000</v>
      </c>
    </row>
    <row r="61" spans="1:6" ht="39" customHeight="1">
      <c r="A61" s="63" t="s">
        <v>545</v>
      </c>
      <c r="B61" s="144" t="s">
        <v>531</v>
      </c>
      <c r="C61" s="55" t="s">
        <v>629</v>
      </c>
      <c r="D61" s="81"/>
      <c r="E61" s="81">
        <v>861819025796</v>
      </c>
      <c r="F61" s="81">
        <v>873018260740</v>
      </c>
    </row>
    <row r="62" spans="1:6" ht="39" customHeight="1">
      <c r="A62" s="63" t="s">
        <v>118</v>
      </c>
      <c r="B62" s="144" t="s">
        <v>630</v>
      </c>
      <c r="C62" s="55" t="s">
        <v>118</v>
      </c>
      <c r="D62" s="81"/>
      <c r="E62" s="81"/>
      <c r="F62" s="81"/>
    </row>
    <row r="63" spans="1:6" ht="39" customHeight="1">
      <c r="A63" s="146" t="s">
        <v>539</v>
      </c>
      <c r="B63" s="147" t="s">
        <v>631</v>
      </c>
      <c r="C63" s="148" t="s">
        <v>632</v>
      </c>
      <c r="D63" s="146"/>
      <c r="E63" s="145">
        <v>0</v>
      </c>
      <c r="F63" s="145">
        <v>0</v>
      </c>
    </row>
    <row r="64" spans="1:6" ht="39" customHeight="1">
      <c r="A64" s="146" t="s">
        <v>545</v>
      </c>
      <c r="B64" s="149" t="s">
        <v>1253</v>
      </c>
      <c r="C64" s="150" t="s">
        <v>633</v>
      </c>
      <c r="D64" s="146"/>
      <c r="E64" s="145">
        <v>0</v>
      </c>
      <c r="F64" s="145">
        <v>0</v>
      </c>
    </row>
    <row r="65" spans="1:6" ht="39" customHeight="1">
      <c r="A65" s="146" t="s">
        <v>545</v>
      </c>
      <c r="B65" s="149" t="s">
        <v>634</v>
      </c>
      <c r="C65" s="150" t="s">
        <v>635</v>
      </c>
      <c r="D65" s="146"/>
      <c r="E65" s="145">
        <v>0</v>
      </c>
      <c r="F65" s="145">
        <v>0</v>
      </c>
    </row>
    <row r="66" spans="1:6" ht="39" customHeight="1">
      <c r="A66" s="146" t="s">
        <v>555</v>
      </c>
      <c r="B66" s="147" t="s">
        <v>636</v>
      </c>
      <c r="C66" s="148" t="s">
        <v>637</v>
      </c>
      <c r="D66" s="146"/>
      <c r="E66" s="145">
        <v>0</v>
      </c>
      <c r="F66" s="145">
        <v>0</v>
      </c>
    </row>
    <row r="67" spans="1:6" ht="60" customHeight="1">
      <c r="A67" s="146" t="s">
        <v>580</v>
      </c>
      <c r="B67" s="147" t="s">
        <v>638</v>
      </c>
      <c r="C67" s="148" t="s">
        <v>639</v>
      </c>
      <c r="D67" s="146"/>
      <c r="E67" s="145">
        <v>141529333</v>
      </c>
      <c r="F67" s="145">
        <v>230586386</v>
      </c>
    </row>
    <row r="68" spans="1:6" ht="57.4" customHeight="1">
      <c r="A68" s="146" t="s">
        <v>545</v>
      </c>
      <c r="B68" s="149" t="s">
        <v>640</v>
      </c>
      <c r="C68" s="150" t="s">
        <v>641</v>
      </c>
      <c r="D68" s="146"/>
      <c r="E68" s="145">
        <v>9943530</v>
      </c>
      <c r="F68" s="145">
        <v>8681648</v>
      </c>
    </row>
    <row r="69" spans="1:6" ht="60" customHeight="1">
      <c r="A69" s="146" t="s">
        <v>545</v>
      </c>
      <c r="B69" s="149" t="s">
        <v>642</v>
      </c>
      <c r="C69" s="150" t="s">
        <v>643</v>
      </c>
      <c r="D69" s="146"/>
      <c r="E69" s="145">
        <v>131585803</v>
      </c>
      <c r="F69" s="145">
        <v>221904738</v>
      </c>
    </row>
    <row r="70" spans="1:6" ht="39" customHeight="1">
      <c r="A70" s="146" t="s">
        <v>644</v>
      </c>
      <c r="B70" s="147" t="s">
        <v>645</v>
      </c>
      <c r="C70" s="148" t="s">
        <v>646</v>
      </c>
      <c r="D70" s="146"/>
      <c r="E70" s="145">
        <v>19973039</v>
      </c>
      <c r="F70" s="145">
        <v>31875408</v>
      </c>
    </row>
    <row r="71" spans="1:6" ht="39" customHeight="1">
      <c r="A71" s="146" t="s">
        <v>647</v>
      </c>
      <c r="B71" s="147" t="s">
        <v>648</v>
      </c>
      <c r="C71" s="148" t="s">
        <v>649</v>
      </c>
      <c r="D71" s="146"/>
      <c r="E71" s="145">
        <v>39925000</v>
      </c>
      <c r="F71" s="145">
        <v>39925000</v>
      </c>
    </row>
    <row r="72" spans="1:6" ht="39" customHeight="1">
      <c r="A72" s="146" t="s">
        <v>650</v>
      </c>
      <c r="B72" s="147" t="s">
        <v>651</v>
      </c>
      <c r="C72" s="148" t="s">
        <v>652</v>
      </c>
      <c r="D72" s="146"/>
      <c r="E72" s="145">
        <v>172726693</v>
      </c>
      <c r="F72" s="145">
        <v>155867800</v>
      </c>
    </row>
    <row r="73" spans="1:6" ht="39" customHeight="1">
      <c r="A73" s="146" t="s">
        <v>545</v>
      </c>
      <c r="B73" s="149" t="s">
        <v>534</v>
      </c>
      <c r="C73" s="150" t="s">
        <v>653</v>
      </c>
      <c r="D73" s="146"/>
      <c r="E73" s="145">
        <v>25135520</v>
      </c>
      <c r="F73" s="145">
        <v>25135520</v>
      </c>
    </row>
    <row r="74" spans="1:6" ht="39" customHeight="1">
      <c r="A74" s="146" t="s">
        <v>545</v>
      </c>
      <c r="B74" s="149" t="s">
        <v>654</v>
      </c>
      <c r="C74" s="150" t="s">
        <v>655</v>
      </c>
      <c r="D74" s="146"/>
      <c r="E74" s="145">
        <v>25135520</v>
      </c>
      <c r="F74" s="145">
        <v>25135520</v>
      </c>
    </row>
    <row r="75" spans="1:6" ht="39" customHeight="1">
      <c r="A75" s="146" t="s">
        <v>545</v>
      </c>
      <c r="B75" s="149" t="s">
        <v>656</v>
      </c>
      <c r="C75" s="150" t="s">
        <v>657</v>
      </c>
      <c r="D75" s="146"/>
      <c r="E75" s="145">
        <v>0</v>
      </c>
      <c r="F75" s="145">
        <v>0</v>
      </c>
    </row>
    <row r="76" spans="1:6" ht="39" customHeight="1">
      <c r="A76" s="146" t="s">
        <v>545</v>
      </c>
      <c r="B76" s="149" t="s">
        <v>658</v>
      </c>
      <c r="C76" s="150" t="s">
        <v>659</v>
      </c>
      <c r="D76" s="146"/>
      <c r="E76" s="145">
        <v>57667085</v>
      </c>
      <c r="F76" s="145">
        <v>42252021</v>
      </c>
    </row>
    <row r="77" spans="1:6" ht="39" customHeight="1">
      <c r="A77" s="146" t="s">
        <v>545</v>
      </c>
      <c r="B77" s="149" t="s">
        <v>660</v>
      </c>
      <c r="C77" s="150" t="s">
        <v>661</v>
      </c>
      <c r="D77" s="146"/>
      <c r="E77" s="145">
        <v>35802742</v>
      </c>
      <c r="F77" s="145">
        <v>35802742</v>
      </c>
    </row>
    <row r="78" spans="1:6" ht="39" customHeight="1">
      <c r="A78" s="146" t="s">
        <v>545</v>
      </c>
      <c r="B78" s="149" t="s">
        <v>662</v>
      </c>
      <c r="C78" s="150" t="s">
        <v>663</v>
      </c>
      <c r="D78" s="146"/>
      <c r="E78" s="145">
        <v>22962500</v>
      </c>
      <c r="F78" s="145">
        <v>22962500</v>
      </c>
    </row>
    <row r="79" spans="1:6" ht="45.4" customHeight="1">
      <c r="A79" s="146" t="s">
        <v>545</v>
      </c>
      <c r="B79" s="149" t="s">
        <v>664</v>
      </c>
      <c r="C79" s="150" t="s">
        <v>665</v>
      </c>
      <c r="D79" s="146"/>
      <c r="E79" s="145">
        <v>31158846</v>
      </c>
      <c r="F79" s="145">
        <v>29715017</v>
      </c>
    </row>
    <row r="80" spans="1:6" ht="48.4" customHeight="1">
      <c r="A80" s="146" t="s">
        <v>545</v>
      </c>
      <c r="B80" s="149" t="s">
        <v>666</v>
      </c>
      <c r="C80" s="150" t="s">
        <v>667</v>
      </c>
      <c r="D80" s="146"/>
      <c r="E80" s="145">
        <v>0</v>
      </c>
      <c r="F80" s="145">
        <v>0</v>
      </c>
    </row>
    <row r="81" spans="1:6" ht="56.65" customHeight="1">
      <c r="A81" s="146" t="s">
        <v>545</v>
      </c>
      <c r="B81" s="149" t="s">
        <v>668</v>
      </c>
      <c r="C81" s="150" t="s">
        <v>669</v>
      </c>
      <c r="D81" s="146"/>
      <c r="E81" s="145">
        <v>0</v>
      </c>
      <c r="F81" s="145">
        <v>0</v>
      </c>
    </row>
    <row r="82" spans="1:6" ht="39" customHeight="1">
      <c r="A82" s="146" t="s">
        <v>670</v>
      </c>
      <c r="B82" s="147" t="s">
        <v>671</v>
      </c>
      <c r="C82" s="148" t="s">
        <v>672</v>
      </c>
      <c r="D82" s="146"/>
      <c r="E82" s="145">
        <v>133500000</v>
      </c>
      <c r="F82" s="145">
        <v>204500000</v>
      </c>
    </row>
    <row r="83" spans="1:6" ht="39" customHeight="1">
      <c r="A83" s="146" t="s">
        <v>545</v>
      </c>
      <c r="B83" s="149" t="s">
        <v>532</v>
      </c>
      <c r="C83" s="150" t="s">
        <v>673</v>
      </c>
      <c r="D83" s="146"/>
      <c r="E83" s="145">
        <v>133500000</v>
      </c>
      <c r="F83" s="145">
        <v>204500000</v>
      </c>
    </row>
    <row r="84" spans="1:6" ht="45" customHeight="1">
      <c r="A84" s="146" t="s">
        <v>545</v>
      </c>
      <c r="B84" s="149" t="s">
        <v>533</v>
      </c>
      <c r="C84" s="150" t="s">
        <v>674</v>
      </c>
      <c r="D84" s="146"/>
      <c r="E84" s="145">
        <v>0</v>
      </c>
      <c r="F84" s="145">
        <v>0</v>
      </c>
    </row>
    <row r="85" spans="1:6" ht="39" customHeight="1">
      <c r="A85" s="146" t="s">
        <v>675</v>
      </c>
      <c r="B85" s="147" t="s">
        <v>676</v>
      </c>
      <c r="C85" s="148" t="s">
        <v>677</v>
      </c>
      <c r="D85" s="146"/>
      <c r="E85" s="145">
        <v>2783368745</v>
      </c>
      <c r="F85" s="145">
        <v>197494098</v>
      </c>
    </row>
    <row r="86" spans="1:6" ht="39" customHeight="1">
      <c r="A86" s="146" t="s">
        <v>678</v>
      </c>
      <c r="B86" s="147" t="s">
        <v>679</v>
      </c>
      <c r="C86" s="148" t="s">
        <v>680</v>
      </c>
      <c r="D86" s="146"/>
      <c r="E86" s="145">
        <v>1528361298</v>
      </c>
      <c r="F86" s="145">
        <v>1499341132</v>
      </c>
    </row>
    <row r="87" spans="1:6" ht="39" customHeight="1">
      <c r="A87" s="146" t="s">
        <v>545</v>
      </c>
      <c r="B87" s="149" t="s">
        <v>681</v>
      </c>
      <c r="C87" s="150" t="s">
        <v>682</v>
      </c>
      <c r="D87" s="146"/>
      <c r="E87" s="145">
        <v>1424409624</v>
      </c>
      <c r="F87" s="145">
        <v>1398127063</v>
      </c>
    </row>
    <row r="88" spans="1:6" ht="39" customHeight="1">
      <c r="A88" s="146" t="s">
        <v>545</v>
      </c>
      <c r="B88" s="149" t="s">
        <v>683</v>
      </c>
      <c r="C88" s="150" t="s">
        <v>684</v>
      </c>
      <c r="D88" s="146"/>
      <c r="E88" s="145">
        <v>40723323</v>
      </c>
      <c r="F88" s="145">
        <v>38949411</v>
      </c>
    </row>
    <row r="89" spans="1:6" ht="39" customHeight="1">
      <c r="A89" s="146" t="s">
        <v>545</v>
      </c>
      <c r="B89" s="149" t="s">
        <v>121</v>
      </c>
      <c r="C89" s="150" t="s">
        <v>685</v>
      </c>
      <c r="D89" s="146"/>
      <c r="E89" s="145">
        <v>36523323</v>
      </c>
      <c r="F89" s="145">
        <v>35849411</v>
      </c>
    </row>
    <row r="90" spans="1:6" ht="39" customHeight="1">
      <c r="A90" s="146" t="s">
        <v>545</v>
      </c>
      <c r="B90" s="149" t="s">
        <v>133</v>
      </c>
      <c r="C90" s="150" t="s">
        <v>686</v>
      </c>
      <c r="D90" s="146"/>
      <c r="E90" s="145">
        <v>4200000</v>
      </c>
      <c r="F90" s="145">
        <v>3100000</v>
      </c>
    </row>
    <row r="91" spans="1:6" ht="57" customHeight="1">
      <c r="A91" s="146" t="s">
        <v>545</v>
      </c>
      <c r="B91" s="149" t="s">
        <v>490</v>
      </c>
      <c r="C91" s="150" t="s">
        <v>687</v>
      </c>
      <c r="D91" s="146"/>
      <c r="E91" s="145">
        <v>0</v>
      </c>
      <c r="F91" s="145">
        <v>0</v>
      </c>
    </row>
    <row r="92" spans="1:6" ht="39" customHeight="1">
      <c r="A92" s="146" t="s">
        <v>545</v>
      </c>
      <c r="B92" s="149" t="s">
        <v>688</v>
      </c>
      <c r="C92" s="150" t="s">
        <v>689</v>
      </c>
      <c r="D92" s="146"/>
      <c r="E92" s="145">
        <v>20087827</v>
      </c>
      <c r="F92" s="145">
        <v>19717177</v>
      </c>
    </row>
    <row r="93" spans="1:6" ht="39" customHeight="1">
      <c r="A93" s="146" t="s">
        <v>545</v>
      </c>
      <c r="B93" s="149" t="s">
        <v>690</v>
      </c>
      <c r="C93" s="150" t="s">
        <v>691</v>
      </c>
      <c r="D93" s="146"/>
      <c r="E93" s="145">
        <v>32140524</v>
      </c>
      <c r="F93" s="145">
        <v>31547481</v>
      </c>
    </row>
    <row r="94" spans="1:6" ht="39" customHeight="1">
      <c r="A94" s="146" t="s">
        <v>545</v>
      </c>
      <c r="B94" s="149" t="s">
        <v>692</v>
      </c>
      <c r="C94" s="150" t="s">
        <v>693</v>
      </c>
      <c r="D94" s="146"/>
      <c r="E94" s="145">
        <v>11000000</v>
      </c>
      <c r="F94" s="145">
        <v>11000000</v>
      </c>
    </row>
    <row r="95" spans="1:6" ht="57.4" customHeight="1">
      <c r="A95" s="146" t="s">
        <v>545</v>
      </c>
      <c r="B95" s="149" t="s">
        <v>694</v>
      </c>
      <c r="C95" s="150" t="s">
        <v>695</v>
      </c>
      <c r="D95" s="146"/>
      <c r="E95" s="145">
        <v>0</v>
      </c>
      <c r="F95" s="145">
        <v>0</v>
      </c>
    </row>
    <row r="96" spans="1:6" ht="47.65" customHeight="1">
      <c r="A96" s="146" t="s">
        <v>545</v>
      </c>
      <c r="B96" s="149" t="s">
        <v>696</v>
      </c>
      <c r="C96" s="150" t="s">
        <v>697</v>
      </c>
      <c r="D96" s="146"/>
      <c r="E96" s="145">
        <v>0</v>
      </c>
      <c r="F96" s="145">
        <v>0</v>
      </c>
    </row>
    <row r="97" spans="1:6" ht="39" customHeight="1">
      <c r="A97" s="146" t="s">
        <v>300</v>
      </c>
      <c r="B97" s="147" t="s">
        <v>698</v>
      </c>
      <c r="C97" s="148" t="s">
        <v>699</v>
      </c>
      <c r="D97" s="146"/>
      <c r="E97" s="145">
        <v>176482966</v>
      </c>
      <c r="F97" s="145">
        <v>176482966</v>
      </c>
    </row>
    <row r="98" spans="1:6" ht="39" customHeight="1">
      <c r="A98" s="146" t="s">
        <v>545</v>
      </c>
      <c r="B98" s="149" t="s">
        <v>536</v>
      </c>
      <c r="C98" s="150" t="s">
        <v>700</v>
      </c>
      <c r="D98" s="146"/>
      <c r="E98" s="145">
        <v>0</v>
      </c>
      <c r="F98" s="145">
        <v>0</v>
      </c>
    </row>
    <row r="99" spans="1:6" ht="45.4" customHeight="1">
      <c r="A99" s="146" t="s">
        <v>545</v>
      </c>
      <c r="B99" s="149" t="s">
        <v>537</v>
      </c>
      <c r="C99" s="150" t="s">
        <v>701</v>
      </c>
      <c r="D99" s="146"/>
      <c r="E99" s="145">
        <v>0</v>
      </c>
      <c r="F99" s="145">
        <v>0</v>
      </c>
    </row>
    <row r="100" spans="1:6" ht="39" customHeight="1">
      <c r="A100" s="146" t="s">
        <v>545</v>
      </c>
      <c r="B100" s="149" t="s">
        <v>702</v>
      </c>
      <c r="C100" s="150" t="s">
        <v>703</v>
      </c>
      <c r="D100" s="146"/>
      <c r="E100" s="145">
        <v>0</v>
      </c>
      <c r="F100" s="145">
        <v>0</v>
      </c>
    </row>
    <row r="101" spans="1:6" ht="39" customHeight="1">
      <c r="A101" s="146" t="s">
        <v>545</v>
      </c>
      <c r="B101" s="149" t="s">
        <v>704</v>
      </c>
      <c r="C101" s="150" t="s">
        <v>705</v>
      </c>
      <c r="D101" s="146"/>
      <c r="E101" s="145">
        <v>0</v>
      </c>
      <c r="F101" s="145">
        <v>0</v>
      </c>
    </row>
    <row r="102" spans="1:6" ht="39" customHeight="1">
      <c r="A102" s="146" t="s">
        <v>545</v>
      </c>
      <c r="B102" s="149" t="s">
        <v>535</v>
      </c>
      <c r="C102" s="150" t="s">
        <v>706</v>
      </c>
      <c r="D102" s="146"/>
      <c r="E102" s="145">
        <v>176482966</v>
      </c>
      <c r="F102" s="145">
        <v>176482966</v>
      </c>
    </row>
    <row r="103" spans="1:6" ht="39" customHeight="1">
      <c r="A103" s="63" t="s">
        <v>545</v>
      </c>
      <c r="B103" s="144" t="s">
        <v>707</v>
      </c>
      <c r="C103" s="55" t="s">
        <v>708</v>
      </c>
      <c r="D103" s="81"/>
      <c r="E103" s="81">
        <v>4995867074</v>
      </c>
      <c r="F103" s="81">
        <v>2536072790</v>
      </c>
    </row>
    <row r="104" spans="1:6" ht="59.65" customHeight="1">
      <c r="A104" s="63" t="s">
        <v>124</v>
      </c>
      <c r="B104" s="144" t="s">
        <v>1254</v>
      </c>
      <c r="C104" s="55" t="s">
        <v>709</v>
      </c>
      <c r="D104" s="81"/>
      <c r="E104" s="81">
        <v>856823158722</v>
      </c>
      <c r="F104" s="81">
        <v>870482187950</v>
      </c>
    </row>
    <row r="105" spans="1:6" ht="39" customHeight="1">
      <c r="A105" s="146" t="s">
        <v>539</v>
      </c>
      <c r="B105" s="147" t="s">
        <v>710</v>
      </c>
      <c r="C105" s="148" t="s">
        <v>711</v>
      </c>
      <c r="D105" s="146"/>
      <c r="E105" s="145">
        <v>205709633600</v>
      </c>
      <c r="F105" s="145">
        <v>210018339800</v>
      </c>
    </row>
    <row r="106" spans="1:6" ht="39" customHeight="1">
      <c r="A106" s="146" t="s">
        <v>542</v>
      </c>
      <c r="B106" s="147" t="s">
        <v>712</v>
      </c>
      <c r="C106" s="148" t="s">
        <v>713</v>
      </c>
      <c r="D106" s="146"/>
      <c r="E106" s="145">
        <v>1601786751600</v>
      </c>
      <c r="F106" s="145">
        <v>1601273806800</v>
      </c>
    </row>
    <row r="107" spans="1:6" ht="39" customHeight="1">
      <c r="A107" s="146" t="s">
        <v>553</v>
      </c>
      <c r="B107" s="147" t="s">
        <v>714</v>
      </c>
      <c r="C107" s="148" t="s">
        <v>715</v>
      </c>
      <c r="D107" s="146"/>
      <c r="E107" s="145">
        <v>-1396077118000</v>
      </c>
      <c r="F107" s="145">
        <v>-1391255467000</v>
      </c>
    </row>
    <row r="108" spans="1:6" ht="39" customHeight="1">
      <c r="A108" s="146" t="s">
        <v>555</v>
      </c>
      <c r="B108" s="147" t="s">
        <v>716</v>
      </c>
      <c r="C108" s="148" t="s">
        <v>717</v>
      </c>
      <c r="D108" s="146"/>
      <c r="E108" s="145">
        <v>372156196622</v>
      </c>
      <c r="F108" s="145">
        <v>385701100945</v>
      </c>
    </row>
    <row r="109" spans="1:6" ht="39" customHeight="1">
      <c r="A109" s="146" t="s">
        <v>580</v>
      </c>
      <c r="B109" s="147" t="s">
        <v>718</v>
      </c>
      <c r="C109" s="148" t="s">
        <v>719</v>
      </c>
      <c r="D109" s="146"/>
      <c r="E109" s="145">
        <v>278957328500</v>
      </c>
      <c r="F109" s="145">
        <v>274762747205</v>
      </c>
    </row>
    <row r="110" spans="1:6" ht="39" customHeight="1">
      <c r="A110" s="146" t="s">
        <v>583</v>
      </c>
      <c r="B110" s="147" t="s">
        <v>720</v>
      </c>
      <c r="C110" s="148" t="s">
        <v>721</v>
      </c>
      <c r="D110" s="146"/>
      <c r="E110" s="145">
        <v>274762747205</v>
      </c>
      <c r="F110" s="145">
        <v>256006823155</v>
      </c>
    </row>
    <row r="111" spans="1:6" ht="39" customHeight="1">
      <c r="A111" s="146" t="s">
        <v>588</v>
      </c>
      <c r="B111" s="147" t="s">
        <v>722</v>
      </c>
      <c r="C111" s="148" t="s">
        <v>723</v>
      </c>
      <c r="D111" s="146"/>
      <c r="E111" s="145">
        <v>4194581295</v>
      </c>
      <c r="F111" s="145">
        <v>18755924050</v>
      </c>
    </row>
    <row r="112" spans="1:6" ht="47.65" customHeight="1">
      <c r="A112" s="63" t="s">
        <v>125</v>
      </c>
      <c r="B112" s="144" t="s">
        <v>724</v>
      </c>
      <c r="C112" s="55" t="s">
        <v>725</v>
      </c>
      <c r="D112" s="81"/>
      <c r="E112" s="155">
        <v>41652.06</v>
      </c>
      <c r="F112" s="155">
        <v>41447.910000000003</v>
      </c>
    </row>
    <row r="113" spans="1:6" ht="45.4" customHeight="1">
      <c r="A113" s="63" t="s">
        <v>126</v>
      </c>
      <c r="B113" s="144" t="s">
        <v>726</v>
      </c>
      <c r="C113" s="55" t="s">
        <v>727</v>
      </c>
      <c r="D113" s="81"/>
      <c r="E113" s="81">
        <v>0</v>
      </c>
      <c r="F113" s="81">
        <v>0</v>
      </c>
    </row>
    <row r="114" spans="1:6" ht="54" customHeight="1">
      <c r="A114" s="146" t="s">
        <v>539</v>
      </c>
      <c r="B114" s="147" t="s">
        <v>728</v>
      </c>
      <c r="C114" s="148" t="s">
        <v>729</v>
      </c>
      <c r="D114" s="146"/>
      <c r="E114" s="145">
        <v>0</v>
      </c>
      <c r="F114" s="145">
        <v>0</v>
      </c>
    </row>
    <row r="115" spans="1:6" ht="51.6" customHeight="1">
      <c r="A115" s="146" t="s">
        <v>555</v>
      </c>
      <c r="B115" s="147" t="s">
        <v>730</v>
      </c>
      <c r="C115" s="148" t="s">
        <v>731</v>
      </c>
      <c r="D115" s="146"/>
      <c r="E115" s="145">
        <v>0</v>
      </c>
      <c r="F115" s="145">
        <v>0</v>
      </c>
    </row>
    <row r="116" spans="1:6" ht="46.5" customHeight="1">
      <c r="A116" s="63" t="s">
        <v>127</v>
      </c>
      <c r="B116" s="144" t="s">
        <v>732</v>
      </c>
      <c r="C116" s="55" t="s">
        <v>127</v>
      </c>
      <c r="D116" s="81"/>
      <c r="E116" s="81"/>
      <c r="F116" s="81"/>
    </row>
    <row r="117" spans="1:6" ht="39" customHeight="1">
      <c r="A117" s="146" t="s">
        <v>539</v>
      </c>
      <c r="B117" s="147" t="s">
        <v>733</v>
      </c>
      <c r="C117" s="148" t="s">
        <v>734</v>
      </c>
      <c r="D117" s="146"/>
      <c r="E117" s="145">
        <v>0</v>
      </c>
      <c r="F117" s="145">
        <v>0</v>
      </c>
    </row>
    <row r="118" spans="1:6" ht="39" customHeight="1">
      <c r="A118" s="146" t="s">
        <v>555</v>
      </c>
      <c r="B118" s="147" t="s">
        <v>735</v>
      </c>
      <c r="C118" s="148" t="s">
        <v>736</v>
      </c>
      <c r="D118" s="146"/>
      <c r="E118" s="145">
        <v>0</v>
      </c>
      <c r="F118" s="145">
        <v>0</v>
      </c>
    </row>
    <row r="119" spans="1:6" ht="39" customHeight="1">
      <c r="A119" s="146" t="s">
        <v>580</v>
      </c>
      <c r="B119" s="147" t="s">
        <v>737</v>
      </c>
      <c r="C119" s="148" t="s">
        <v>738</v>
      </c>
      <c r="D119" s="146"/>
      <c r="E119" s="145">
        <v>0</v>
      </c>
      <c r="F119" s="145">
        <v>0</v>
      </c>
    </row>
    <row r="120" spans="1:6" ht="39" customHeight="1">
      <c r="A120" s="152" t="s">
        <v>644</v>
      </c>
      <c r="B120" s="153" t="s">
        <v>739</v>
      </c>
      <c r="C120" s="148" t="s">
        <v>740</v>
      </c>
      <c r="D120" s="152"/>
      <c r="E120" s="154">
        <v>20570963.359999999</v>
      </c>
      <c r="F120" s="154">
        <v>21001833.98</v>
      </c>
    </row>
    <row r="121" spans="1:6" s="111" customFormat="1">
      <c r="A121" s="61"/>
      <c r="B121" s="61"/>
      <c r="C121" s="61"/>
      <c r="D121" s="61"/>
      <c r="E121" s="61"/>
      <c r="F121" s="61"/>
    </row>
    <row r="123" spans="1:6" ht="16.899999999999999" customHeight="1">
      <c r="A123" s="231" t="s">
        <v>369</v>
      </c>
      <c r="B123" s="231"/>
      <c r="C123" s="231" t="s">
        <v>370</v>
      </c>
      <c r="D123" s="231"/>
      <c r="E123" s="231"/>
      <c r="F123" s="231"/>
    </row>
    <row r="136" spans="1:8" ht="15">
      <c r="A136" s="239" t="s">
        <v>1255</v>
      </c>
      <c r="B136" s="239"/>
      <c r="C136" s="246" t="s">
        <v>1256</v>
      </c>
      <c r="D136" s="246"/>
      <c r="E136" s="246"/>
      <c r="F136" s="209" t="s">
        <v>1255</v>
      </c>
      <c r="G136" s="209"/>
      <c r="H136" s="210"/>
    </row>
    <row r="137" spans="1:8" ht="16.899999999999999" customHeight="1">
      <c r="A137" s="242" t="s">
        <v>1257</v>
      </c>
      <c r="B137" s="242"/>
      <c r="C137" s="247" t="s">
        <v>1258</v>
      </c>
      <c r="D137" s="247"/>
      <c r="E137" s="247"/>
      <c r="F137" s="211" t="s">
        <v>1259</v>
      </c>
      <c r="G137" s="211"/>
      <c r="H137" s="212"/>
    </row>
    <row r="138" spans="1:8" ht="16.899999999999999" customHeight="1">
      <c r="A138" s="243" t="s">
        <v>1194</v>
      </c>
      <c r="B138" s="243"/>
      <c r="C138" s="244" t="s">
        <v>1260</v>
      </c>
      <c r="D138" s="245"/>
      <c r="E138" s="245"/>
      <c r="F138" s="244" t="s">
        <v>1261</v>
      </c>
      <c r="G138" s="244"/>
      <c r="H138" s="248"/>
    </row>
  </sheetData>
  <mergeCells count="21">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 ref="F138:H138"/>
  </mergeCells>
  <printOptions horizontalCentered="1"/>
  <pageMargins left="0.3" right="0.3" top="0.75" bottom="0.75" header="0.3" footer="0.3"/>
  <pageSetup paperSize="9" scale="78" fitToHeight="6"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5"/>
  <sheetViews>
    <sheetView view="pageBreakPreview" topLeftCell="A4" zoomScale="98" zoomScaleNormal="100" zoomScaleSheetLayoutView="98" workbookViewId="0">
      <selection activeCell="C19" sqref="C19:C92"/>
    </sheetView>
  </sheetViews>
  <sheetFormatPr defaultColWidth="8.7109375" defaultRowHeight="12.75"/>
  <cols>
    <col min="1" max="1" width="8.7109375" style="48"/>
    <col min="2" max="2" width="44.28515625" style="48" customWidth="1"/>
    <col min="3" max="3" width="10.28515625" style="48" customWidth="1"/>
    <col min="4" max="4" width="23.28515625" style="48" customWidth="1"/>
    <col min="5" max="5" width="26.140625" style="48" customWidth="1"/>
    <col min="6" max="6" width="22.7109375" style="48" customWidth="1"/>
    <col min="7" max="14" width="8.7109375" style="48" hidden="1" customWidth="1"/>
    <col min="15" max="16384" width="8.7109375" style="48"/>
  </cols>
  <sheetData>
    <row r="1" spans="1:6" s="49" customFormat="1" ht="22.9" customHeight="1">
      <c r="A1" s="250" t="s">
        <v>107</v>
      </c>
      <c r="B1" s="250"/>
      <c r="C1" s="250"/>
      <c r="D1" s="250"/>
      <c r="E1" s="250"/>
      <c r="F1" s="250"/>
    </row>
    <row r="2" spans="1:6" s="49" customFormat="1" ht="25.15" customHeight="1">
      <c r="A2" s="251" t="s">
        <v>108</v>
      </c>
      <c r="B2" s="251"/>
      <c r="C2" s="251"/>
      <c r="D2" s="251"/>
      <c r="E2" s="251"/>
      <c r="F2" s="251"/>
    </row>
    <row r="3" spans="1:6" s="49" customFormat="1">
      <c r="A3" s="252" t="s">
        <v>109</v>
      </c>
      <c r="B3" s="252"/>
      <c r="C3" s="252"/>
      <c r="D3" s="252"/>
      <c r="E3" s="252"/>
      <c r="F3" s="252"/>
    </row>
    <row r="4" spans="1:6" s="49" customFormat="1" ht="32.65" customHeight="1">
      <c r="A4" s="252"/>
      <c r="B4" s="252"/>
      <c r="C4" s="252"/>
      <c r="D4" s="252"/>
      <c r="E4" s="252"/>
      <c r="F4" s="252"/>
    </row>
    <row r="5" spans="1:6" s="49" customFormat="1" ht="16.899999999999999" customHeight="1">
      <c r="A5" s="253" t="str">
        <f>'Tong quat'!C1</f>
        <v>Tại ngày 31 tháng 10 năm 2019
/ As at 31 Oct 2019</v>
      </c>
      <c r="B5" s="253"/>
      <c r="C5" s="253"/>
      <c r="D5" s="253"/>
      <c r="E5" s="253"/>
      <c r="F5" s="253"/>
    </row>
    <row r="6" spans="1:6">
      <c r="A6" s="61"/>
      <c r="B6" s="61"/>
      <c r="C6" s="61"/>
      <c r="D6" s="61"/>
      <c r="E6" s="61"/>
      <c r="F6" s="61"/>
    </row>
    <row r="7" spans="1:6" ht="16.899999999999999" customHeight="1">
      <c r="A7" s="230" t="s">
        <v>2</v>
      </c>
      <c r="B7" s="230"/>
      <c r="C7" s="230" t="str">
        <f>'Tong quat'!D5</f>
        <v>Công ty Cổ phần Quản lý Quỹ Đầu tư Việt Nam</v>
      </c>
      <c r="D7" s="230"/>
      <c r="E7" s="230"/>
      <c r="F7" s="230"/>
    </row>
    <row r="8" spans="1:6" s="49" customFormat="1" ht="16.899999999999999" customHeight="1">
      <c r="A8" s="249" t="s">
        <v>110</v>
      </c>
      <c r="B8" s="249"/>
      <c r="C8" s="249" t="str">
        <f>'Tong quat'!D6</f>
        <v>Vietnam Investment Fund Management Joint Stock Company</v>
      </c>
      <c r="D8" s="249"/>
      <c r="E8" s="249"/>
      <c r="F8" s="249"/>
    </row>
    <row r="9" spans="1:6" ht="16.899999999999999" customHeight="1">
      <c r="A9" s="230" t="s">
        <v>3</v>
      </c>
      <c r="B9" s="230"/>
      <c r="C9" s="230" t="str">
        <f>'Tong quat'!D7</f>
        <v>Ngân hàng TNHH Một thành viên Standard Chartered (Việt Nam)</v>
      </c>
      <c r="D9" s="230"/>
      <c r="E9" s="230"/>
      <c r="F9" s="230"/>
    </row>
    <row r="10" spans="1:6" s="49" customFormat="1" ht="16.899999999999999" customHeight="1">
      <c r="A10" s="249" t="s">
        <v>4</v>
      </c>
      <c r="B10" s="249"/>
      <c r="C10" s="249" t="str">
        <f>'Tong quat'!D8</f>
        <v>Standard Chartered Bank (Vietnam) Limited</v>
      </c>
      <c r="D10" s="249"/>
      <c r="E10" s="249"/>
      <c r="F10" s="249"/>
    </row>
    <row r="11" spans="1:6" ht="16.899999999999999" customHeight="1">
      <c r="A11" s="230" t="s">
        <v>5</v>
      </c>
      <c r="B11" s="230"/>
      <c r="C11" s="230" t="str">
        <f>'Tong quat'!D9</f>
        <v>Quỹ Đầu tư Chứng khoán Việt Nam</v>
      </c>
      <c r="D11" s="230"/>
      <c r="E11" s="230"/>
      <c r="F11" s="230"/>
    </row>
    <row r="12" spans="1:6" s="49" customFormat="1" ht="16.899999999999999" customHeight="1">
      <c r="A12" s="249" t="s">
        <v>6</v>
      </c>
      <c r="B12" s="249"/>
      <c r="C12" s="249" t="str">
        <f>'Tong quat'!D10</f>
        <v>Vietnam Securities Investment Fund(VFMVF1)</v>
      </c>
      <c r="D12" s="249"/>
      <c r="E12" s="249"/>
      <c r="F12" s="249"/>
    </row>
    <row r="13" spans="1:6" ht="16.899999999999999" customHeight="1">
      <c r="A13" s="230" t="s">
        <v>7</v>
      </c>
      <c r="B13" s="230"/>
      <c r="C13" s="230" t="str">
        <f>'Tong quat'!D11</f>
        <v>Ngày 04 tháng 11 năm 2019</v>
      </c>
      <c r="D13" s="230"/>
      <c r="E13" s="230"/>
      <c r="F13" s="230"/>
    </row>
    <row r="14" spans="1:6" s="49" customFormat="1" ht="16.899999999999999" customHeight="1">
      <c r="A14" s="249" t="s">
        <v>8</v>
      </c>
      <c r="B14" s="249"/>
      <c r="C14" s="249" t="str">
        <f>'Tong quat'!D12</f>
        <v>04 Nov 2019</v>
      </c>
      <c r="D14" s="249"/>
      <c r="E14" s="249"/>
      <c r="F14" s="249"/>
    </row>
    <row r="15" spans="1:6" s="49" customFormat="1" ht="7.5" customHeight="1">
      <c r="A15" s="58"/>
      <c r="B15" s="58"/>
      <c r="C15" s="58"/>
      <c r="D15" s="58"/>
      <c r="E15" s="58"/>
      <c r="F15" s="58"/>
    </row>
    <row r="16" spans="1:6" s="49" customFormat="1" ht="16.899999999999999" customHeight="1">
      <c r="A16" s="58"/>
      <c r="B16" s="58"/>
      <c r="C16" s="58"/>
      <c r="D16" s="58"/>
      <c r="E16" s="58"/>
      <c r="F16" s="58"/>
    </row>
    <row r="17" spans="1:6" s="49" customFormat="1" ht="16.899999999999999" customHeight="1">
      <c r="A17" s="60" t="s">
        <v>111</v>
      </c>
      <c r="B17" s="59" t="s">
        <v>112</v>
      </c>
      <c r="C17" s="58"/>
      <c r="D17" s="58"/>
      <c r="E17" s="58"/>
      <c r="F17" s="58"/>
    </row>
    <row r="18" spans="1:6" s="49" customFormat="1" ht="50.65" customHeight="1">
      <c r="A18" s="57" t="s">
        <v>113</v>
      </c>
      <c r="B18" s="55" t="s">
        <v>114</v>
      </c>
      <c r="C18" s="57" t="s">
        <v>115</v>
      </c>
      <c r="D18" s="56" t="s">
        <v>1187</v>
      </c>
      <c r="E18" s="56" t="s">
        <v>1188</v>
      </c>
      <c r="F18" s="157" t="s">
        <v>116</v>
      </c>
    </row>
    <row r="19" spans="1:6" ht="39" customHeight="1">
      <c r="A19" s="167" t="s">
        <v>741</v>
      </c>
      <c r="B19" s="166" t="s">
        <v>742</v>
      </c>
      <c r="C19" s="218" t="s">
        <v>743</v>
      </c>
      <c r="D19" s="169"/>
      <c r="E19" s="169"/>
      <c r="F19" s="168"/>
    </row>
    <row r="20" spans="1:6" ht="39" customHeight="1">
      <c r="A20" s="163" t="s">
        <v>744</v>
      </c>
      <c r="B20" s="162" t="s">
        <v>745</v>
      </c>
      <c r="C20" s="219" t="s">
        <v>746</v>
      </c>
      <c r="D20" s="165">
        <v>49227230731</v>
      </c>
      <c r="E20" s="165">
        <v>4858023375</v>
      </c>
      <c r="F20" s="164">
        <v>0.75809629515668298</v>
      </c>
    </row>
    <row r="21" spans="1:6" ht="39" customHeight="1">
      <c r="A21" s="163" t="s">
        <v>747</v>
      </c>
      <c r="B21" s="162" t="s">
        <v>1238</v>
      </c>
      <c r="C21" s="219" t="s">
        <v>748</v>
      </c>
      <c r="D21" s="165">
        <v>0</v>
      </c>
      <c r="E21" s="165">
        <v>0</v>
      </c>
      <c r="F21" s="164"/>
    </row>
    <row r="22" spans="1:6" ht="39" customHeight="1">
      <c r="A22" s="163" t="s">
        <v>749</v>
      </c>
      <c r="B22" s="162" t="s">
        <v>750</v>
      </c>
      <c r="C22" s="219" t="s">
        <v>751</v>
      </c>
      <c r="D22" s="165">
        <v>49227230731</v>
      </c>
      <c r="E22" s="165">
        <v>4858023375</v>
      </c>
      <c r="F22" s="164">
        <v>0.75809629515668298</v>
      </c>
    </row>
    <row r="23" spans="1:6" ht="48" customHeight="1">
      <c r="A23" s="163" t="s">
        <v>752</v>
      </c>
      <c r="B23" s="162" t="s">
        <v>753</v>
      </c>
      <c r="C23" s="219" t="s">
        <v>754</v>
      </c>
      <c r="D23" s="165">
        <v>59000000</v>
      </c>
      <c r="E23" s="165">
        <v>41000000</v>
      </c>
      <c r="F23" s="164">
        <v>7.375</v>
      </c>
    </row>
    <row r="24" spans="1:6" ht="45" customHeight="1">
      <c r="A24" s="163" t="s">
        <v>755</v>
      </c>
      <c r="B24" s="162" t="s">
        <v>756</v>
      </c>
      <c r="C24" s="219" t="s">
        <v>757</v>
      </c>
      <c r="D24" s="165">
        <v>0</v>
      </c>
      <c r="E24" s="165">
        <v>0</v>
      </c>
      <c r="F24" s="164">
        <v>0</v>
      </c>
    </row>
    <row r="25" spans="1:6" ht="42" customHeight="1">
      <c r="A25" s="163" t="s">
        <v>758</v>
      </c>
      <c r="B25" s="162" t="s">
        <v>759</v>
      </c>
      <c r="C25" s="219" t="s">
        <v>760</v>
      </c>
      <c r="D25" s="165">
        <v>49168230731</v>
      </c>
      <c r="E25" s="165">
        <v>4817023375</v>
      </c>
      <c r="F25" s="164">
        <v>0.80521007806862999</v>
      </c>
    </row>
    <row r="26" spans="1:6" ht="48" customHeight="1">
      <c r="A26" s="163" t="s">
        <v>761</v>
      </c>
      <c r="B26" s="162" t="s">
        <v>762</v>
      </c>
      <c r="C26" s="219" t="s">
        <v>763</v>
      </c>
      <c r="D26" s="165">
        <v>0</v>
      </c>
      <c r="E26" s="165">
        <v>0</v>
      </c>
      <c r="F26" s="164"/>
    </row>
    <row r="27" spans="1:6" ht="39" customHeight="1">
      <c r="A27" s="163" t="s">
        <v>764</v>
      </c>
      <c r="B27" s="162" t="s">
        <v>765</v>
      </c>
      <c r="C27" s="219" t="s">
        <v>766</v>
      </c>
      <c r="D27" s="165">
        <v>0</v>
      </c>
      <c r="E27" s="165">
        <v>0</v>
      </c>
      <c r="F27" s="164"/>
    </row>
    <row r="28" spans="1:6" ht="39" customHeight="1">
      <c r="A28" s="163" t="s">
        <v>767</v>
      </c>
      <c r="B28" s="162" t="s">
        <v>768</v>
      </c>
      <c r="C28" s="219" t="s">
        <v>769</v>
      </c>
      <c r="D28" s="165">
        <v>808973695750</v>
      </c>
      <c r="E28" s="165">
        <v>864628088050</v>
      </c>
      <c r="F28" s="164">
        <v>0.75480467160764697</v>
      </c>
    </row>
    <row r="29" spans="1:6" ht="39" customHeight="1">
      <c r="A29" s="163" t="s">
        <v>770</v>
      </c>
      <c r="B29" s="162" t="s">
        <v>771</v>
      </c>
      <c r="C29" s="219" t="s">
        <v>772</v>
      </c>
      <c r="D29" s="165">
        <v>713837895750</v>
      </c>
      <c r="E29" s="165">
        <v>739131288050</v>
      </c>
      <c r="F29" s="164">
        <v>0.78304470327605402</v>
      </c>
    </row>
    <row r="30" spans="1:6" ht="39" customHeight="1">
      <c r="A30" s="163" t="s">
        <v>773</v>
      </c>
      <c r="B30" s="162" t="s">
        <v>774</v>
      </c>
      <c r="C30" s="219" t="s">
        <v>775</v>
      </c>
      <c r="D30" s="165">
        <v>0</v>
      </c>
      <c r="E30" s="165">
        <v>0</v>
      </c>
      <c r="F30" s="164"/>
    </row>
    <row r="31" spans="1:6" ht="39" customHeight="1">
      <c r="A31" s="163" t="s">
        <v>776</v>
      </c>
      <c r="B31" s="162" t="s">
        <v>777</v>
      </c>
      <c r="C31" s="219" t="s">
        <v>778</v>
      </c>
      <c r="D31" s="165">
        <v>60135800000</v>
      </c>
      <c r="E31" s="165">
        <v>90496800000</v>
      </c>
      <c r="F31" s="164">
        <v>1.9947325299446399</v>
      </c>
    </row>
    <row r="32" spans="1:6" ht="39" customHeight="1">
      <c r="A32" s="163" t="s">
        <v>779</v>
      </c>
      <c r="B32" s="162" t="s">
        <v>780</v>
      </c>
      <c r="C32" s="219" t="s">
        <v>781</v>
      </c>
      <c r="D32" s="165">
        <v>35000000000</v>
      </c>
      <c r="E32" s="165">
        <v>35000000000</v>
      </c>
      <c r="F32" s="164">
        <v>0.269230769230769</v>
      </c>
    </row>
    <row r="33" spans="1:6" ht="39" customHeight="1">
      <c r="A33" s="163" t="s">
        <v>782</v>
      </c>
      <c r="B33" s="162" t="s">
        <v>783</v>
      </c>
      <c r="C33" s="219" t="s">
        <v>784</v>
      </c>
      <c r="D33" s="165">
        <v>0</v>
      </c>
      <c r="E33" s="165">
        <v>0</v>
      </c>
      <c r="F33" s="164"/>
    </row>
    <row r="34" spans="1:6" ht="39" customHeight="1">
      <c r="A34" s="163" t="s">
        <v>785</v>
      </c>
      <c r="B34" s="162" t="s">
        <v>786</v>
      </c>
      <c r="C34" s="219" t="s">
        <v>787</v>
      </c>
      <c r="D34" s="165">
        <v>0</v>
      </c>
      <c r="E34" s="165">
        <v>0</v>
      </c>
      <c r="F34" s="164"/>
    </row>
    <row r="35" spans="1:6" ht="39" customHeight="1">
      <c r="A35" s="163" t="s">
        <v>788</v>
      </c>
      <c r="B35" s="162" t="s">
        <v>789</v>
      </c>
      <c r="C35" s="219" t="s">
        <v>790</v>
      </c>
      <c r="D35" s="165">
        <v>0</v>
      </c>
      <c r="E35" s="165">
        <v>0</v>
      </c>
      <c r="F35" s="164"/>
    </row>
    <row r="36" spans="1:6" ht="39" customHeight="1">
      <c r="A36" s="163" t="s">
        <v>791</v>
      </c>
      <c r="B36" s="162" t="s">
        <v>792</v>
      </c>
      <c r="C36" s="219" t="s">
        <v>793</v>
      </c>
      <c r="D36" s="165">
        <v>0</v>
      </c>
      <c r="E36" s="165">
        <v>0</v>
      </c>
      <c r="F36" s="164"/>
    </row>
    <row r="37" spans="1:6" ht="39" customHeight="1">
      <c r="A37" s="163" t="s">
        <v>794</v>
      </c>
      <c r="B37" s="162" t="s">
        <v>1239</v>
      </c>
      <c r="C37" s="219" t="s">
        <v>795</v>
      </c>
      <c r="D37" s="165">
        <v>0</v>
      </c>
      <c r="E37" s="165">
        <v>0</v>
      </c>
      <c r="F37" s="164"/>
    </row>
    <row r="38" spans="1:6" ht="39" customHeight="1">
      <c r="A38" s="163" t="s">
        <v>796</v>
      </c>
      <c r="B38" s="162" t="s">
        <v>797</v>
      </c>
      <c r="C38" s="219" t="s">
        <v>798</v>
      </c>
      <c r="D38" s="165">
        <v>4262444521</v>
      </c>
      <c r="E38" s="165">
        <v>3978343836</v>
      </c>
      <c r="F38" s="164">
        <v>2.0552796764549899</v>
      </c>
    </row>
    <row r="39" spans="1:6" ht="39" customHeight="1">
      <c r="A39" s="163" t="s">
        <v>799</v>
      </c>
      <c r="B39" s="162" t="s">
        <v>800</v>
      </c>
      <c r="C39" s="219" t="s">
        <v>801</v>
      </c>
      <c r="D39" s="165">
        <v>1420150000</v>
      </c>
      <c r="E39" s="165">
        <v>866700000</v>
      </c>
      <c r="F39" s="164">
        <v>1.02066264194337</v>
      </c>
    </row>
    <row r="40" spans="1:6" ht="39" customHeight="1">
      <c r="A40" s="163" t="s">
        <v>802</v>
      </c>
      <c r="B40" s="162" t="s">
        <v>803</v>
      </c>
      <c r="C40" s="219" t="s">
        <v>804</v>
      </c>
      <c r="D40" s="165">
        <v>2842294521</v>
      </c>
      <c r="E40" s="165">
        <v>3111643836</v>
      </c>
      <c r="F40" s="164">
        <v>4.1645340967033002</v>
      </c>
    </row>
    <row r="41" spans="1:6" ht="39" customHeight="1">
      <c r="A41" s="163" t="s">
        <v>805</v>
      </c>
      <c r="B41" s="162" t="s">
        <v>806</v>
      </c>
      <c r="C41" s="219" t="s">
        <v>807</v>
      </c>
      <c r="D41" s="165">
        <v>222054794</v>
      </c>
      <c r="E41" s="165">
        <v>420205479</v>
      </c>
      <c r="F41" s="164">
        <v>7.4580606116091894E-2</v>
      </c>
    </row>
    <row r="42" spans="1:6" ht="39" customHeight="1">
      <c r="A42" s="163" t="s">
        <v>808</v>
      </c>
      <c r="B42" s="162" t="s">
        <v>809</v>
      </c>
      <c r="C42" s="219" t="s">
        <v>810</v>
      </c>
      <c r="D42" s="165">
        <v>0</v>
      </c>
      <c r="E42" s="165">
        <v>0</v>
      </c>
      <c r="F42" s="164"/>
    </row>
    <row r="43" spans="1:6" ht="39" customHeight="1">
      <c r="A43" s="163" t="s">
        <v>811</v>
      </c>
      <c r="B43" s="162" t="s">
        <v>812</v>
      </c>
      <c r="C43" s="219" t="s">
        <v>813</v>
      </c>
      <c r="D43" s="165">
        <v>222054794</v>
      </c>
      <c r="E43" s="165">
        <v>420205479</v>
      </c>
      <c r="F43" s="164">
        <v>7.4580606116091894E-2</v>
      </c>
    </row>
    <row r="44" spans="1:6" ht="39" customHeight="1">
      <c r="A44" s="163" t="s">
        <v>814</v>
      </c>
      <c r="B44" s="162" t="s">
        <v>1240</v>
      </c>
      <c r="C44" s="219" t="s">
        <v>815</v>
      </c>
      <c r="D44" s="165">
        <v>0</v>
      </c>
      <c r="E44" s="165">
        <v>0</v>
      </c>
      <c r="F44" s="164"/>
    </row>
    <row r="45" spans="1:6" ht="39" customHeight="1">
      <c r="A45" s="163" t="s">
        <v>816</v>
      </c>
      <c r="B45" s="162" t="s">
        <v>817</v>
      </c>
      <c r="C45" s="219" t="s">
        <v>818</v>
      </c>
      <c r="D45" s="165">
        <v>0</v>
      </c>
      <c r="E45" s="165">
        <v>0</v>
      </c>
      <c r="F45" s="164">
        <v>0</v>
      </c>
    </row>
    <row r="46" spans="1:6" ht="39" customHeight="1">
      <c r="A46" s="163" t="s">
        <v>819</v>
      </c>
      <c r="B46" s="162" t="s">
        <v>820</v>
      </c>
      <c r="C46" s="219" t="s">
        <v>821</v>
      </c>
      <c r="D46" s="165">
        <v>-866400000</v>
      </c>
      <c r="E46" s="165">
        <v>-866400000</v>
      </c>
      <c r="F46" s="164">
        <v>1</v>
      </c>
    </row>
    <row r="47" spans="1:6" ht="39" customHeight="1">
      <c r="A47" s="163" t="s">
        <v>822</v>
      </c>
      <c r="B47" s="162" t="s">
        <v>823</v>
      </c>
      <c r="C47" s="219" t="s">
        <v>824</v>
      </c>
      <c r="D47" s="165">
        <v>0</v>
      </c>
      <c r="E47" s="165">
        <v>0</v>
      </c>
      <c r="F47" s="164"/>
    </row>
    <row r="48" spans="1:6" ht="39" customHeight="1">
      <c r="A48" s="163" t="s">
        <v>825</v>
      </c>
      <c r="B48" s="162" t="s">
        <v>826</v>
      </c>
      <c r="C48" s="219" t="s">
        <v>827</v>
      </c>
      <c r="D48" s="165">
        <v>-866400000</v>
      </c>
      <c r="E48" s="165">
        <v>-866400000</v>
      </c>
      <c r="F48" s="164">
        <v>1</v>
      </c>
    </row>
    <row r="49" spans="1:6" ht="39" customHeight="1">
      <c r="A49" s="163" t="s">
        <v>828</v>
      </c>
      <c r="B49" s="162" t="s">
        <v>829</v>
      </c>
      <c r="C49" s="219" t="s">
        <v>830</v>
      </c>
      <c r="D49" s="165">
        <v>0</v>
      </c>
      <c r="E49" s="165">
        <v>0</v>
      </c>
      <c r="F49" s="164"/>
    </row>
    <row r="50" spans="1:6" ht="39" customHeight="1">
      <c r="A50" s="163" t="s">
        <v>831</v>
      </c>
      <c r="B50" s="162" t="s">
        <v>832</v>
      </c>
      <c r="C50" s="219" t="s">
        <v>833</v>
      </c>
      <c r="D50" s="165">
        <v>0</v>
      </c>
      <c r="E50" s="165">
        <v>0</v>
      </c>
      <c r="F50" s="164"/>
    </row>
    <row r="51" spans="1:6" ht="39" customHeight="1">
      <c r="A51" s="167" t="s">
        <v>834</v>
      </c>
      <c r="B51" s="166" t="s">
        <v>835</v>
      </c>
      <c r="C51" s="218" t="s">
        <v>836</v>
      </c>
      <c r="D51" s="169">
        <v>861819025796</v>
      </c>
      <c r="E51" s="169">
        <v>873018260740</v>
      </c>
      <c r="F51" s="168">
        <v>0.69426610664184396</v>
      </c>
    </row>
    <row r="52" spans="1:6" ht="39" customHeight="1">
      <c r="A52" s="167" t="s">
        <v>837</v>
      </c>
      <c r="B52" s="166" t="s">
        <v>838</v>
      </c>
      <c r="C52" s="218" t="s">
        <v>839</v>
      </c>
      <c r="D52" s="169"/>
      <c r="E52" s="169"/>
      <c r="F52" s="168"/>
    </row>
    <row r="53" spans="1:6" ht="39" customHeight="1">
      <c r="A53" s="163" t="s">
        <v>840</v>
      </c>
      <c r="B53" s="162" t="s">
        <v>841</v>
      </c>
      <c r="C53" s="219" t="s">
        <v>842</v>
      </c>
      <c r="D53" s="165">
        <v>0</v>
      </c>
      <c r="E53" s="165">
        <v>0</v>
      </c>
      <c r="F53" s="164">
        <v>0</v>
      </c>
    </row>
    <row r="54" spans="1:6" ht="39" customHeight="1">
      <c r="A54" s="163" t="s">
        <v>843</v>
      </c>
      <c r="B54" s="162" t="s">
        <v>844</v>
      </c>
      <c r="C54" s="219" t="s">
        <v>845</v>
      </c>
      <c r="D54" s="165">
        <v>4995867074</v>
      </c>
      <c r="E54" s="165">
        <v>2536072790</v>
      </c>
      <c r="F54" s="164">
        <v>0.13813575672263001</v>
      </c>
    </row>
    <row r="55" spans="1:6" ht="39" customHeight="1">
      <c r="A55" s="163" t="s">
        <v>846</v>
      </c>
      <c r="B55" s="162" t="s">
        <v>847</v>
      </c>
      <c r="C55" s="219" t="s">
        <v>848</v>
      </c>
      <c r="D55" s="165">
        <v>2916868745</v>
      </c>
      <c r="E55" s="165">
        <v>401994098</v>
      </c>
      <c r="F55" s="164">
        <v>8.9805403955695903E-2</v>
      </c>
    </row>
    <row r="56" spans="1:6" ht="39" customHeight="1">
      <c r="A56" s="163" t="s">
        <v>849</v>
      </c>
      <c r="B56" s="162" t="s">
        <v>850</v>
      </c>
      <c r="C56" s="219" t="s">
        <v>851</v>
      </c>
      <c r="D56" s="165">
        <v>133500000</v>
      </c>
      <c r="E56" s="165">
        <v>204500000</v>
      </c>
      <c r="F56" s="164">
        <v>1.92086330935252</v>
      </c>
    </row>
    <row r="57" spans="1:6" ht="48" customHeight="1">
      <c r="A57" s="163" t="s">
        <v>852</v>
      </c>
      <c r="B57" s="162" t="s">
        <v>853</v>
      </c>
      <c r="C57" s="219" t="s">
        <v>854</v>
      </c>
      <c r="D57" s="165">
        <v>0</v>
      </c>
      <c r="E57" s="165">
        <v>0</v>
      </c>
      <c r="F57" s="164"/>
    </row>
    <row r="58" spans="1:6" ht="39" customHeight="1">
      <c r="A58" s="163" t="s">
        <v>855</v>
      </c>
      <c r="B58" s="162" t="s">
        <v>856</v>
      </c>
      <c r="C58" s="219" t="s">
        <v>857</v>
      </c>
      <c r="D58" s="165">
        <v>0</v>
      </c>
      <c r="E58" s="165">
        <v>0</v>
      </c>
      <c r="F58" s="164"/>
    </row>
    <row r="59" spans="1:6" ht="39" customHeight="1">
      <c r="A59" s="163" t="s">
        <v>858</v>
      </c>
      <c r="B59" s="162" t="s">
        <v>859</v>
      </c>
      <c r="C59" s="219" t="s">
        <v>860</v>
      </c>
      <c r="D59" s="165">
        <v>2783368745</v>
      </c>
      <c r="E59" s="165">
        <v>197494098</v>
      </c>
      <c r="F59" s="164">
        <v>8.5878929647957694E-2</v>
      </c>
    </row>
    <row r="60" spans="1:6" ht="39" customHeight="1">
      <c r="A60" s="163" t="s">
        <v>861</v>
      </c>
      <c r="B60" s="162" t="s">
        <v>862</v>
      </c>
      <c r="C60" s="219" t="s">
        <v>863</v>
      </c>
      <c r="D60" s="165">
        <v>19973039</v>
      </c>
      <c r="E60" s="165">
        <v>31875408</v>
      </c>
      <c r="F60" s="164">
        <v>0.62414102653483206</v>
      </c>
    </row>
    <row r="61" spans="1:6" ht="60.95" customHeight="1">
      <c r="A61" s="163" t="s">
        <v>864</v>
      </c>
      <c r="B61" s="162" t="s">
        <v>865</v>
      </c>
      <c r="C61" s="219" t="s">
        <v>866</v>
      </c>
      <c r="D61" s="165">
        <v>141529333</v>
      </c>
      <c r="E61" s="165">
        <v>230586386</v>
      </c>
      <c r="F61" s="164">
        <v>0.17982995073673</v>
      </c>
    </row>
    <row r="62" spans="1:6" ht="39" customHeight="1">
      <c r="A62" s="163" t="s">
        <v>867</v>
      </c>
      <c r="B62" s="162" t="s">
        <v>868</v>
      </c>
      <c r="C62" s="219" t="s">
        <v>869</v>
      </c>
      <c r="D62" s="165">
        <v>39925000</v>
      </c>
      <c r="E62" s="165">
        <v>39925000</v>
      </c>
      <c r="F62" s="164">
        <v>1</v>
      </c>
    </row>
    <row r="63" spans="1:6" ht="39" customHeight="1">
      <c r="A63" s="163" t="s">
        <v>870</v>
      </c>
      <c r="B63" s="162" t="s">
        <v>871</v>
      </c>
      <c r="C63" s="219" t="s">
        <v>872</v>
      </c>
      <c r="D63" s="165">
        <v>31158846</v>
      </c>
      <c r="E63" s="165">
        <v>29715017</v>
      </c>
      <c r="F63" s="164">
        <v>1</v>
      </c>
    </row>
    <row r="64" spans="1:6" ht="39" customHeight="1">
      <c r="A64" s="163" t="s">
        <v>873</v>
      </c>
      <c r="B64" s="162" t="s">
        <v>874</v>
      </c>
      <c r="C64" s="219" t="s">
        <v>875</v>
      </c>
      <c r="D64" s="165">
        <v>1424409624</v>
      </c>
      <c r="E64" s="165">
        <v>1398127063</v>
      </c>
      <c r="F64" s="164">
        <v>0.6792270664126</v>
      </c>
    </row>
    <row r="65" spans="1:6" ht="39" customHeight="1">
      <c r="A65" s="163" t="s">
        <v>876</v>
      </c>
      <c r="B65" s="162" t="s">
        <v>877</v>
      </c>
      <c r="C65" s="219" t="s">
        <v>878</v>
      </c>
      <c r="D65" s="165">
        <v>20087827</v>
      </c>
      <c r="E65" s="165">
        <v>19717177</v>
      </c>
      <c r="F65" s="164">
        <v>0.67922709998807396</v>
      </c>
    </row>
    <row r="66" spans="1:6" ht="39" customHeight="1">
      <c r="A66" s="163" t="s">
        <v>879</v>
      </c>
      <c r="B66" s="162" t="s">
        <v>880</v>
      </c>
      <c r="C66" s="219" t="s">
        <v>881</v>
      </c>
      <c r="D66" s="165">
        <v>32140524</v>
      </c>
      <c r="E66" s="165">
        <v>31547481</v>
      </c>
      <c r="F66" s="164">
        <v>0.67922703364052694</v>
      </c>
    </row>
    <row r="67" spans="1:6" ht="39" customHeight="1">
      <c r="A67" s="163" t="s">
        <v>882</v>
      </c>
      <c r="B67" s="162" t="s">
        <v>883</v>
      </c>
      <c r="C67" s="219" t="s">
        <v>884</v>
      </c>
      <c r="D67" s="165">
        <v>25135520</v>
      </c>
      <c r="E67" s="165">
        <v>25135520</v>
      </c>
      <c r="F67" s="164">
        <v>0.14083078076403999</v>
      </c>
    </row>
    <row r="68" spans="1:6" ht="39" customHeight="1">
      <c r="A68" s="163" t="s">
        <v>885</v>
      </c>
      <c r="B68" s="162" t="s">
        <v>886</v>
      </c>
      <c r="C68" s="219" t="s">
        <v>887</v>
      </c>
      <c r="D68" s="165">
        <v>25135520</v>
      </c>
      <c r="E68" s="165">
        <v>25135520</v>
      </c>
      <c r="F68" s="164">
        <v>0.14083078076403999</v>
      </c>
    </row>
    <row r="69" spans="1:6" ht="45.95" customHeight="1">
      <c r="A69" s="163" t="s">
        <v>888</v>
      </c>
      <c r="B69" s="162" t="s">
        <v>889</v>
      </c>
      <c r="C69" s="219" t="s">
        <v>890</v>
      </c>
      <c r="D69" s="165">
        <v>0</v>
      </c>
      <c r="E69" s="165">
        <v>0</v>
      </c>
      <c r="F69" s="164"/>
    </row>
    <row r="70" spans="1:6" ht="39" customHeight="1">
      <c r="A70" s="163" t="s">
        <v>891</v>
      </c>
      <c r="B70" s="162" t="s">
        <v>892</v>
      </c>
      <c r="C70" s="219" t="s">
        <v>893</v>
      </c>
      <c r="D70" s="165">
        <v>40723323</v>
      </c>
      <c r="E70" s="165">
        <v>38949411</v>
      </c>
      <c r="F70" s="164">
        <v>0.71422483324070696</v>
      </c>
    </row>
    <row r="71" spans="1:6" ht="39" customHeight="1">
      <c r="A71" s="163" t="s">
        <v>894</v>
      </c>
      <c r="B71" s="162" t="s">
        <v>895</v>
      </c>
      <c r="C71" s="219" t="s">
        <v>896</v>
      </c>
      <c r="D71" s="165">
        <v>36523323</v>
      </c>
      <c r="E71" s="165">
        <v>35849411</v>
      </c>
      <c r="F71" s="164">
        <v>0.84903383068737204</v>
      </c>
    </row>
    <row r="72" spans="1:6" ht="39" customHeight="1">
      <c r="A72" s="163" t="s">
        <v>897</v>
      </c>
      <c r="B72" s="162" t="s">
        <v>898</v>
      </c>
      <c r="C72" s="219" t="s">
        <v>899</v>
      </c>
      <c r="D72" s="165">
        <v>4200000</v>
      </c>
      <c r="E72" s="165">
        <v>3100000</v>
      </c>
      <c r="F72" s="164">
        <v>0.3</v>
      </c>
    </row>
    <row r="73" spans="1:6" ht="60" customHeight="1">
      <c r="A73" s="163" t="s">
        <v>900</v>
      </c>
      <c r="B73" s="162" t="s">
        <v>490</v>
      </c>
      <c r="C73" s="219" t="s">
        <v>901</v>
      </c>
      <c r="D73" s="165">
        <v>0</v>
      </c>
      <c r="E73" s="165">
        <v>0</v>
      </c>
      <c r="F73" s="164"/>
    </row>
    <row r="74" spans="1:6" ht="39" customHeight="1">
      <c r="A74" s="163" t="s">
        <v>902</v>
      </c>
      <c r="B74" s="162" t="s">
        <v>903</v>
      </c>
      <c r="C74" s="219" t="s">
        <v>904</v>
      </c>
      <c r="D74" s="165">
        <v>57667085</v>
      </c>
      <c r="E74" s="165">
        <v>42252021</v>
      </c>
      <c r="F74" s="164">
        <v>1</v>
      </c>
    </row>
    <row r="75" spans="1:6" ht="39" customHeight="1">
      <c r="A75" s="163" t="s">
        <v>905</v>
      </c>
      <c r="B75" s="162" t="s">
        <v>906</v>
      </c>
      <c r="C75" s="219" t="s">
        <v>907</v>
      </c>
      <c r="D75" s="165">
        <v>35802742</v>
      </c>
      <c r="E75" s="165">
        <v>35802742</v>
      </c>
      <c r="F75" s="164">
        <v>1.75402772062791</v>
      </c>
    </row>
    <row r="76" spans="1:6" ht="39" customHeight="1">
      <c r="A76" s="163" t="s">
        <v>908</v>
      </c>
      <c r="B76" s="162" t="s">
        <v>909</v>
      </c>
      <c r="C76" s="219" t="s">
        <v>910</v>
      </c>
      <c r="D76" s="165">
        <v>22962500</v>
      </c>
      <c r="E76" s="165">
        <v>22962500</v>
      </c>
      <c r="F76" s="164">
        <v>0.76812779933869202</v>
      </c>
    </row>
    <row r="77" spans="1:6" ht="39" customHeight="1">
      <c r="A77" s="163" t="s">
        <v>911</v>
      </c>
      <c r="B77" s="162" t="s">
        <v>912</v>
      </c>
      <c r="C77" s="219" t="s">
        <v>913</v>
      </c>
      <c r="D77" s="165">
        <v>11000000</v>
      </c>
      <c r="E77" s="165">
        <v>11000000</v>
      </c>
      <c r="F77" s="164">
        <v>0.25</v>
      </c>
    </row>
    <row r="78" spans="1:6" ht="48" customHeight="1">
      <c r="A78" s="163" t="s">
        <v>914</v>
      </c>
      <c r="B78" s="162" t="s">
        <v>915</v>
      </c>
      <c r="C78" s="219" t="s">
        <v>916</v>
      </c>
      <c r="D78" s="165">
        <v>0</v>
      </c>
      <c r="E78" s="165">
        <v>0</v>
      </c>
      <c r="F78" s="164"/>
    </row>
    <row r="79" spans="1:6" ht="39" customHeight="1">
      <c r="A79" s="163" t="s">
        <v>917</v>
      </c>
      <c r="B79" s="162" t="s">
        <v>918</v>
      </c>
      <c r="C79" s="219" t="s">
        <v>919</v>
      </c>
      <c r="D79" s="165">
        <v>0</v>
      </c>
      <c r="E79" s="165">
        <v>0</v>
      </c>
      <c r="F79" s="164"/>
    </row>
    <row r="80" spans="1:6" ht="39" customHeight="1">
      <c r="A80" s="163" t="s">
        <v>920</v>
      </c>
      <c r="B80" s="162" t="s">
        <v>921</v>
      </c>
      <c r="C80" s="219" t="s">
        <v>922</v>
      </c>
      <c r="D80" s="165">
        <v>176482966</v>
      </c>
      <c r="E80" s="165">
        <v>176482966</v>
      </c>
      <c r="F80" s="164">
        <v>0.75129091154163496</v>
      </c>
    </row>
    <row r="81" spans="1:6" ht="39" customHeight="1">
      <c r="A81" s="163" t="s">
        <v>923</v>
      </c>
      <c r="B81" s="162" t="s">
        <v>924</v>
      </c>
      <c r="C81" s="219" t="s">
        <v>925</v>
      </c>
      <c r="D81" s="165">
        <v>0</v>
      </c>
      <c r="E81" s="165">
        <v>0</v>
      </c>
      <c r="F81" s="164">
        <v>0</v>
      </c>
    </row>
    <row r="82" spans="1:6" ht="48" customHeight="1">
      <c r="A82" s="163" t="s">
        <v>926</v>
      </c>
      <c r="B82" s="162" t="s">
        <v>927</v>
      </c>
      <c r="C82" s="219" t="s">
        <v>928</v>
      </c>
      <c r="D82" s="165">
        <v>0</v>
      </c>
      <c r="E82" s="165">
        <v>0</v>
      </c>
      <c r="F82" s="164">
        <v>0</v>
      </c>
    </row>
    <row r="83" spans="1:6" ht="45" customHeight="1">
      <c r="A83" s="163" t="s">
        <v>929</v>
      </c>
      <c r="B83" s="162" t="s">
        <v>930</v>
      </c>
      <c r="C83" s="219" t="s">
        <v>931</v>
      </c>
      <c r="D83" s="165">
        <v>0</v>
      </c>
      <c r="E83" s="165">
        <v>0</v>
      </c>
      <c r="F83" s="164">
        <v>0</v>
      </c>
    </row>
    <row r="84" spans="1:6" ht="39" customHeight="1">
      <c r="A84" s="163" t="s">
        <v>932</v>
      </c>
      <c r="B84" s="162" t="s">
        <v>933</v>
      </c>
      <c r="C84" s="219" t="s">
        <v>934</v>
      </c>
      <c r="D84" s="165">
        <v>176482966</v>
      </c>
      <c r="E84" s="165">
        <v>176482966</v>
      </c>
      <c r="F84" s="164">
        <v>1</v>
      </c>
    </row>
    <row r="85" spans="1:6" ht="39" customHeight="1">
      <c r="A85" s="163" t="s">
        <v>935</v>
      </c>
      <c r="B85" s="162" t="s">
        <v>936</v>
      </c>
      <c r="C85" s="219" t="s">
        <v>937</v>
      </c>
      <c r="D85" s="165">
        <v>0</v>
      </c>
      <c r="E85" s="165">
        <v>0</v>
      </c>
      <c r="F85" s="164"/>
    </row>
    <row r="86" spans="1:6" ht="39" customHeight="1">
      <c r="A86" s="163" t="s">
        <v>938</v>
      </c>
      <c r="B86" s="162" t="s">
        <v>939</v>
      </c>
      <c r="C86" s="219" t="s">
        <v>940</v>
      </c>
      <c r="D86" s="165">
        <v>0</v>
      </c>
      <c r="E86" s="165">
        <v>0</v>
      </c>
      <c r="F86" s="164"/>
    </row>
    <row r="87" spans="1:6" ht="39" customHeight="1">
      <c r="A87" s="163" t="s">
        <v>941</v>
      </c>
      <c r="B87" s="162" t="s">
        <v>942</v>
      </c>
      <c r="C87" s="219" t="s">
        <v>943</v>
      </c>
      <c r="D87" s="165">
        <v>0</v>
      </c>
      <c r="E87" s="165">
        <v>0</v>
      </c>
      <c r="F87" s="164"/>
    </row>
    <row r="88" spans="1:6" ht="39" customHeight="1">
      <c r="A88" s="163" t="s">
        <v>944</v>
      </c>
      <c r="B88" s="162" t="s">
        <v>945</v>
      </c>
      <c r="C88" s="219" t="s">
        <v>946</v>
      </c>
      <c r="D88" s="165">
        <v>0</v>
      </c>
      <c r="E88" s="165">
        <v>0</v>
      </c>
      <c r="F88" s="164"/>
    </row>
    <row r="89" spans="1:6" ht="39" customHeight="1">
      <c r="A89" s="167" t="s">
        <v>947</v>
      </c>
      <c r="B89" s="166" t="s">
        <v>948</v>
      </c>
      <c r="C89" s="218" t="s">
        <v>949</v>
      </c>
      <c r="D89" s="169">
        <v>4995867074</v>
      </c>
      <c r="E89" s="169">
        <v>2536072790</v>
      </c>
      <c r="F89" s="168">
        <v>0.13166474552734</v>
      </c>
    </row>
    <row r="90" spans="1:6" ht="39" customHeight="1">
      <c r="A90" s="163" t="s">
        <v>950</v>
      </c>
      <c r="B90" s="162" t="s">
        <v>951</v>
      </c>
      <c r="C90" s="219" t="s">
        <v>952</v>
      </c>
      <c r="D90" s="165">
        <v>856823158722</v>
      </c>
      <c r="E90" s="165">
        <v>870482187950</v>
      </c>
      <c r="F90" s="164">
        <v>0.71200531304593395</v>
      </c>
    </row>
    <row r="91" spans="1:6" ht="39" customHeight="1">
      <c r="A91" s="163" t="s">
        <v>953</v>
      </c>
      <c r="B91" s="162" t="s">
        <v>954</v>
      </c>
      <c r="C91" s="219" t="s">
        <v>955</v>
      </c>
      <c r="D91" s="170">
        <v>20570963.359999999</v>
      </c>
      <c r="E91" s="170">
        <v>21001833.98</v>
      </c>
      <c r="F91" s="164">
        <v>0.64141772038909195</v>
      </c>
    </row>
    <row r="92" spans="1:6" ht="39" customHeight="1">
      <c r="A92" s="163" t="s">
        <v>956</v>
      </c>
      <c r="B92" s="162" t="s">
        <v>957</v>
      </c>
      <c r="C92" s="219" t="s">
        <v>958</v>
      </c>
      <c r="D92" s="170">
        <v>41652.06</v>
      </c>
      <c r="E92" s="170">
        <v>41447.910000000003</v>
      </c>
      <c r="F92" s="164">
        <v>1.11004935411115</v>
      </c>
    </row>
    <row r="93" spans="1:6" s="49" customFormat="1" ht="16.899999999999999" customHeight="1"/>
    <row r="94" spans="1:6" s="49" customFormat="1" ht="16.899999999999999" customHeight="1">
      <c r="A94" s="71" t="s">
        <v>10</v>
      </c>
      <c r="B94" s="50"/>
      <c r="C94" s="50"/>
      <c r="E94" s="71" t="s">
        <v>11</v>
      </c>
      <c r="F94" s="50"/>
    </row>
    <row r="95" spans="1:6" s="53" customFormat="1" ht="16.899999999999999" customHeight="1">
      <c r="A95" s="72" t="s">
        <v>12</v>
      </c>
      <c r="B95" s="54"/>
      <c r="C95" s="54"/>
      <c r="E95" s="72" t="s">
        <v>13</v>
      </c>
      <c r="F95" s="54"/>
    </row>
    <row r="96" spans="1:6" s="49" customFormat="1" ht="16.899999999999999" customHeight="1">
      <c r="A96" s="50"/>
      <c r="B96" s="50"/>
      <c r="C96" s="50"/>
      <c r="D96" s="50"/>
      <c r="E96" s="50"/>
      <c r="F96" s="50"/>
    </row>
    <row r="97" spans="1:6" s="49" customFormat="1" ht="16.899999999999999" customHeight="1">
      <c r="A97" s="50"/>
      <c r="B97" s="50"/>
      <c r="C97" s="50"/>
      <c r="D97" s="50"/>
      <c r="E97" s="50"/>
      <c r="F97" s="50"/>
    </row>
    <row r="98" spans="1:6" s="49" customFormat="1" ht="16.899999999999999" customHeight="1">
      <c r="A98" s="50"/>
      <c r="B98" s="50"/>
      <c r="C98" s="50"/>
      <c r="D98" s="50"/>
      <c r="E98" s="50"/>
      <c r="F98" s="50"/>
    </row>
    <row r="99" spans="1:6" s="49" customFormat="1" ht="16.899999999999999" customHeight="1">
      <c r="A99" s="50"/>
      <c r="B99" s="50"/>
      <c r="C99" s="50"/>
      <c r="D99" s="50"/>
      <c r="E99" s="50"/>
      <c r="F99" s="50"/>
    </row>
    <row r="100" spans="1:6" s="49" customFormat="1" ht="16.899999999999999" customHeight="1">
      <c r="A100" s="50"/>
      <c r="B100" s="50"/>
      <c r="C100" s="50"/>
      <c r="D100" s="50"/>
      <c r="E100" s="50"/>
      <c r="F100" s="50"/>
    </row>
    <row r="101" spans="1:6" s="49" customFormat="1" ht="16.899999999999999" customHeight="1">
      <c r="A101" s="50"/>
      <c r="B101" s="50"/>
      <c r="C101" s="50"/>
      <c r="D101" s="50"/>
      <c r="E101" s="50"/>
      <c r="F101" s="50"/>
    </row>
    <row r="102" spans="1:6" s="49" customFormat="1" ht="16.899999999999999" customHeight="1">
      <c r="A102" s="51"/>
      <c r="B102" s="51"/>
      <c r="C102" s="50"/>
      <c r="D102" s="52"/>
      <c r="E102" s="51"/>
      <c r="F102" s="51"/>
    </row>
    <row r="103" spans="1:6" s="49" customFormat="1" ht="16.899999999999999" customHeight="1">
      <c r="A103" s="70" t="s">
        <v>14</v>
      </c>
      <c r="B103" s="50"/>
      <c r="C103" s="50"/>
      <c r="E103" s="70" t="s">
        <v>1176</v>
      </c>
      <c r="F103" s="50"/>
    </row>
    <row r="104" spans="1:6" s="49" customFormat="1" ht="16.899999999999999" customHeight="1">
      <c r="A104" s="70" t="s">
        <v>1183</v>
      </c>
      <c r="B104" s="70"/>
      <c r="C104" s="70"/>
      <c r="D104" s="208"/>
      <c r="E104" s="70" t="s">
        <v>1184</v>
      </c>
      <c r="F104" s="50"/>
    </row>
    <row r="105" spans="1:6" ht="16.899999999999999" customHeight="1">
      <c r="A105" s="50" t="s">
        <v>1185</v>
      </c>
      <c r="B105" s="50"/>
      <c r="C105" s="50"/>
      <c r="D105" s="49"/>
      <c r="E105" s="50" t="s">
        <v>1186</v>
      </c>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72" fitToHeight="6"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92"/>
  <sheetViews>
    <sheetView view="pageBreakPreview" topLeftCell="A73" zoomScale="107" zoomScaleNormal="100" zoomScaleSheetLayoutView="95" workbookViewId="0">
      <selection activeCell="C75" sqref="C75"/>
    </sheetView>
  </sheetViews>
  <sheetFormatPr defaultColWidth="8.7109375" defaultRowHeight="12.75"/>
  <cols>
    <col min="1" max="1" width="8.7109375" style="61"/>
    <col min="2" max="2" width="46.28515625" style="61" customWidth="1"/>
    <col min="3" max="3" width="10.7109375" style="61" bestFit="1" customWidth="1"/>
    <col min="4" max="4" width="21.28515625" style="61" customWidth="1"/>
    <col min="5" max="5" width="21" style="61" customWidth="1"/>
    <col min="6" max="6" width="22" style="61" customWidth="1"/>
    <col min="7" max="16384" width="8.7109375" style="77"/>
  </cols>
  <sheetData>
    <row r="1" spans="1:6" ht="22.9" customHeight="1">
      <c r="A1" s="226" t="s">
        <v>107</v>
      </c>
      <c r="B1" s="226"/>
      <c r="C1" s="226"/>
      <c r="D1" s="226"/>
      <c r="E1" s="226"/>
      <c r="F1" s="226"/>
    </row>
    <row r="2" spans="1:6" ht="25.15" customHeight="1">
      <c r="A2" s="227" t="s">
        <v>108</v>
      </c>
      <c r="B2" s="227"/>
      <c r="C2" s="227"/>
      <c r="D2" s="227"/>
      <c r="E2" s="227"/>
      <c r="F2" s="227"/>
    </row>
    <row r="3" spans="1:6" ht="22.5" customHeight="1">
      <c r="A3" s="228" t="s">
        <v>109</v>
      </c>
      <c r="B3" s="228"/>
      <c r="C3" s="228"/>
      <c r="D3" s="228"/>
      <c r="E3" s="228"/>
      <c r="F3" s="228"/>
    </row>
    <row r="4" spans="1:6" ht="21" customHeight="1">
      <c r="A4" s="228"/>
      <c r="B4" s="228"/>
      <c r="C4" s="228"/>
      <c r="D4" s="228"/>
      <c r="E4" s="228"/>
      <c r="F4" s="228"/>
    </row>
    <row r="5" spans="1:6" ht="16.149999999999999" customHeight="1">
      <c r="A5" s="229" t="str">
        <f>'Tong quat'!C2</f>
        <v>Tháng 10 năm 2019
/ Oct 2019</v>
      </c>
      <c r="B5" s="229"/>
      <c r="C5" s="229"/>
      <c r="D5" s="229"/>
      <c r="E5" s="229"/>
      <c r="F5" s="229"/>
    </row>
    <row r="7" spans="1:6" ht="16.899999999999999" customHeight="1">
      <c r="A7" s="73" t="s">
        <v>2</v>
      </c>
      <c r="C7" s="255" t="str">
        <f>'Tong quat'!D5</f>
        <v>Công ty Cổ phần Quản lý Quỹ Đầu tư Việt Nam</v>
      </c>
      <c r="D7" s="255"/>
      <c r="E7" s="255"/>
      <c r="F7" s="255"/>
    </row>
    <row r="8" spans="1:6" ht="16.899999999999999" customHeight="1">
      <c r="A8" s="61" t="s">
        <v>110</v>
      </c>
      <c r="C8" s="254" t="str">
        <f>'Tong quat'!D6</f>
        <v>Vietnam Investment Fund Management Joint Stock Company</v>
      </c>
      <c r="D8" s="254"/>
      <c r="E8" s="254"/>
      <c r="F8" s="254"/>
    </row>
    <row r="9" spans="1:6" ht="16.899999999999999" customHeight="1">
      <c r="A9" s="73" t="s">
        <v>3</v>
      </c>
      <c r="C9" s="255" t="str">
        <f>'Tong quat'!D7</f>
        <v>Ngân hàng TNHH Một thành viên Standard Chartered (Việt Nam)</v>
      </c>
      <c r="D9" s="255"/>
      <c r="E9" s="255"/>
      <c r="F9" s="255"/>
    </row>
    <row r="10" spans="1:6" ht="16.899999999999999" customHeight="1">
      <c r="A10" s="61" t="s">
        <v>4</v>
      </c>
      <c r="C10" s="254" t="str">
        <f>'Tong quat'!D8</f>
        <v>Standard Chartered Bank (Vietnam) Limited</v>
      </c>
      <c r="D10" s="254"/>
      <c r="E10" s="254"/>
      <c r="F10" s="254"/>
    </row>
    <row r="11" spans="1:6" ht="16.899999999999999" customHeight="1">
      <c r="A11" s="73" t="s">
        <v>5</v>
      </c>
      <c r="C11" s="255" t="str">
        <f>'Tong quat'!D9</f>
        <v>Quỹ Đầu tư Chứng khoán Việt Nam</v>
      </c>
      <c r="D11" s="255"/>
      <c r="E11" s="255"/>
      <c r="F11" s="255"/>
    </row>
    <row r="12" spans="1:6" ht="16.899999999999999" customHeight="1">
      <c r="A12" s="61" t="s">
        <v>6</v>
      </c>
      <c r="C12" s="254" t="str">
        <f>'Tong quat'!D10</f>
        <v>Vietnam Securities Investment Fund(VFMVF1)</v>
      </c>
      <c r="D12" s="254"/>
      <c r="E12" s="254"/>
      <c r="F12" s="254"/>
    </row>
    <row r="13" spans="1:6" ht="16.899999999999999" customHeight="1">
      <c r="A13" s="73" t="s">
        <v>7</v>
      </c>
      <c r="C13" s="255" t="str">
        <f>'Tong quat'!D11</f>
        <v>Ngày 04 tháng 11 năm 2019</v>
      </c>
      <c r="D13" s="255"/>
      <c r="E13" s="255"/>
      <c r="F13" s="255"/>
    </row>
    <row r="14" spans="1:6" ht="16.899999999999999" customHeight="1">
      <c r="A14" s="61" t="s">
        <v>8</v>
      </c>
      <c r="C14" s="254" t="str">
        <f>'Tong quat'!D12</f>
        <v>04 Nov 2019</v>
      </c>
      <c r="D14" s="254"/>
      <c r="E14" s="254"/>
      <c r="F14" s="254"/>
    </row>
    <row r="15" spans="1:6" ht="16.899999999999999" customHeight="1"/>
    <row r="16" spans="1:6" ht="16.899999999999999" customHeight="1"/>
    <row r="17" spans="1:6" ht="16.899999999999999" customHeight="1">
      <c r="A17" s="75" t="s">
        <v>118</v>
      </c>
      <c r="B17" s="76" t="s">
        <v>123</v>
      </c>
    </row>
    <row r="18" spans="1:6" ht="44.65" customHeight="1">
      <c r="A18" s="57" t="s">
        <v>113</v>
      </c>
      <c r="B18" s="55" t="s">
        <v>114</v>
      </c>
      <c r="C18" s="55" t="s">
        <v>115</v>
      </c>
      <c r="D18" s="56" t="s">
        <v>1189</v>
      </c>
      <c r="E18" s="56" t="s">
        <v>1190</v>
      </c>
      <c r="F18" s="78" t="s">
        <v>375</v>
      </c>
    </row>
    <row r="19" spans="1:6" s="82" customFormat="1" ht="39" customHeight="1">
      <c r="A19" s="63" t="s">
        <v>111</v>
      </c>
      <c r="B19" s="79" t="s">
        <v>131</v>
      </c>
      <c r="C19" s="80" t="s">
        <v>155</v>
      </c>
      <c r="D19" s="81">
        <v>1623651780</v>
      </c>
      <c r="E19" s="81">
        <v>1713413162</v>
      </c>
      <c r="F19" s="81">
        <v>26607704858</v>
      </c>
    </row>
    <row r="20" spans="1:6" ht="39" customHeight="1">
      <c r="A20" s="66">
        <v>1</v>
      </c>
      <c r="B20" s="83" t="s">
        <v>458</v>
      </c>
      <c r="C20" s="84" t="s">
        <v>156</v>
      </c>
      <c r="D20" s="85">
        <v>1340508083</v>
      </c>
      <c r="E20" s="85">
        <v>1447416001</v>
      </c>
      <c r="F20" s="85">
        <v>19715295589</v>
      </c>
    </row>
    <row r="21" spans="1:6" ht="39" customHeight="1">
      <c r="A21" s="86"/>
      <c r="B21" s="87" t="s">
        <v>459</v>
      </c>
      <c r="C21" s="88" t="s">
        <v>157</v>
      </c>
      <c r="D21" s="85">
        <v>643830000</v>
      </c>
      <c r="E21" s="85">
        <v>677216000</v>
      </c>
      <c r="F21" s="85">
        <v>12039311000</v>
      </c>
    </row>
    <row r="22" spans="1:6" ht="39" customHeight="1">
      <c r="A22" s="86"/>
      <c r="B22" s="87" t="s">
        <v>460</v>
      </c>
      <c r="C22" s="88" t="s">
        <v>158</v>
      </c>
      <c r="D22" s="85">
        <v>696678083</v>
      </c>
      <c r="E22" s="85">
        <v>770200001</v>
      </c>
      <c r="F22" s="85">
        <v>7675984589</v>
      </c>
    </row>
    <row r="23" spans="1:6" ht="39" customHeight="1">
      <c r="A23" s="66">
        <v>2</v>
      </c>
      <c r="B23" s="83" t="s">
        <v>461</v>
      </c>
      <c r="C23" s="84" t="s">
        <v>159</v>
      </c>
      <c r="D23" s="85">
        <v>283143697</v>
      </c>
      <c r="E23" s="85">
        <v>265997161</v>
      </c>
      <c r="F23" s="85">
        <v>6892409269</v>
      </c>
    </row>
    <row r="24" spans="1:6" ht="39" customHeight="1">
      <c r="A24" s="86"/>
      <c r="B24" s="87" t="s">
        <v>421</v>
      </c>
      <c r="C24" s="88" t="s">
        <v>160</v>
      </c>
      <c r="D24" s="85">
        <v>4993012</v>
      </c>
      <c r="E24" s="85">
        <v>3024274</v>
      </c>
      <c r="F24" s="85">
        <v>262591347</v>
      </c>
    </row>
    <row r="25" spans="1:6" ht="39" customHeight="1">
      <c r="A25" s="86"/>
      <c r="B25" s="87" t="s">
        <v>462</v>
      </c>
      <c r="C25" s="88" t="s">
        <v>161</v>
      </c>
      <c r="D25" s="85">
        <v>278150685</v>
      </c>
      <c r="E25" s="85">
        <v>262972887</v>
      </c>
      <c r="F25" s="85">
        <v>6629817922</v>
      </c>
    </row>
    <row r="26" spans="1:6" ht="39" customHeight="1">
      <c r="A26" s="86"/>
      <c r="B26" s="87" t="s">
        <v>1242</v>
      </c>
      <c r="C26" s="88" t="s">
        <v>418</v>
      </c>
      <c r="D26" s="85">
        <v>0</v>
      </c>
      <c r="E26" s="85">
        <v>0</v>
      </c>
      <c r="F26" s="85">
        <v>0</v>
      </c>
    </row>
    <row r="27" spans="1:6" ht="39" customHeight="1">
      <c r="A27" s="66">
        <v>3</v>
      </c>
      <c r="B27" s="83" t="s">
        <v>1243</v>
      </c>
      <c r="C27" s="84" t="s">
        <v>162</v>
      </c>
      <c r="D27" s="85">
        <v>0</v>
      </c>
      <c r="E27" s="85">
        <v>0</v>
      </c>
      <c r="F27" s="85">
        <v>0</v>
      </c>
    </row>
    <row r="28" spans="1:6" ht="39" customHeight="1">
      <c r="A28" s="89"/>
      <c r="B28" s="90" t="s">
        <v>1244</v>
      </c>
      <c r="C28" s="91" t="s">
        <v>163</v>
      </c>
      <c r="D28" s="92">
        <v>0</v>
      </c>
      <c r="E28" s="92">
        <v>0</v>
      </c>
      <c r="F28" s="85">
        <v>0</v>
      </c>
    </row>
    <row r="29" spans="1:6" ht="39" customHeight="1">
      <c r="A29" s="89"/>
      <c r="B29" s="90" t="s">
        <v>1245</v>
      </c>
      <c r="C29" s="91" t="s">
        <v>164</v>
      </c>
      <c r="D29" s="92">
        <v>0</v>
      </c>
      <c r="E29" s="92">
        <v>0</v>
      </c>
      <c r="F29" s="85">
        <v>0</v>
      </c>
    </row>
    <row r="30" spans="1:6" ht="77.650000000000006" customHeight="1">
      <c r="A30" s="89"/>
      <c r="B30" s="90" t="s">
        <v>132</v>
      </c>
      <c r="C30" s="91" t="s">
        <v>165</v>
      </c>
      <c r="D30" s="92">
        <v>0</v>
      </c>
      <c r="E30" s="92">
        <v>0</v>
      </c>
      <c r="F30" s="85">
        <v>0</v>
      </c>
    </row>
    <row r="31" spans="1:6" s="82" customFormat="1" ht="39" customHeight="1">
      <c r="A31" s="63" t="s">
        <v>118</v>
      </c>
      <c r="B31" s="79" t="s">
        <v>463</v>
      </c>
      <c r="C31" s="80" t="s">
        <v>166</v>
      </c>
      <c r="D31" s="81">
        <v>1620324287</v>
      </c>
      <c r="E31" s="81">
        <v>1581657071</v>
      </c>
      <c r="F31" s="81">
        <v>19121818663</v>
      </c>
    </row>
    <row r="32" spans="1:6" ht="39" customHeight="1">
      <c r="A32" s="66">
        <v>1</v>
      </c>
      <c r="B32" s="83" t="s">
        <v>488</v>
      </c>
      <c r="C32" s="84" t="s">
        <v>167</v>
      </c>
      <c r="D32" s="85">
        <v>1424409624</v>
      </c>
      <c r="E32" s="85">
        <v>1398127063</v>
      </c>
      <c r="F32" s="85">
        <v>16116239884</v>
      </c>
    </row>
    <row r="33" spans="1:6" ht="44.65" customHeight="1">
      <c r="A33" s="66">
        <v>2</v>
      </c>
      <c r="B33" s="83" t="s">
        <v>489</v>
      </c>
      <c r="C33" s="84" t="s">
        <v>168</v>
      </c>
      <c r="D33" s="93">
        <v>78454753</v>
      </c>
      <c r="E33" s="93">
        <v>76875896</v>
      </c>
      <c r="F33" s="85">
        <v>858500405</v>
      </c>
    </row>
    <row r="34" spans="1:6" ht="39" customHeight="1">
      <c r="A34" s="69"/>
      <c r="B34" s="87" t="s">
        <v>121</v>
      </c>
      <c r="C34" s="88" t="s">
        <v>169</v>
      </c>
      <c r="D34" s="93">
        <v>36523323</v>
      </c>
      <c r="E34" s="93">
        <v>35849411</v>
      </c>
      <c r="F34" s="85">
        <v>366340048</v>
      </c>
    </row>
    <row r="35" spans="1:6" ht="39" customHeight="1">
      <c r="A35" s="69"/>
      <c r="B35" s="87" t="s">
        <v>133</v>
      </c>
      <c r="C35" s="88" t="s">
        <v>170</v>
      </c>
      <c r="D35" s="93">
        <v>4515000</v>
      </c>
      <c r="E35" s="93">
        <v>2900000</v>
      </c>
      <c r="F35" s="85">
        <v>63015000</v>
      </c>
    </row>
    <row r="36" spans="1:6" ht="57" customHeight="1">
      <c r="A36" s="69"/>
      <c r="B36" s="87" t="s">
        <v>490</v>
      </c>
      <c r="C36" s="88" t="s">
        <v>171</v>
      </c>
      <c r="D36" s="93">
        <v>5275906</v>
      </c>
      <c r="E36" s="93">
        <v>6579004</v>
      </c>
      <c r="F36" s="93">
        <v>65496873</v>
      </c>
    </row>
    <row r="37" spans="1:6" ht="39" customHeight="1">
      <c r="A37" s="69"/>
      <c r="B37" s="87" t="s">
        <v>134</v>
      </c>
      <c r="C37" s="88" t="s">
        <v>172</v>
      </c>
      <c r="D37" s="85">
        <v>32140524</v>
      </c>
      <c r="E37" s="85">
        <v>31547481</v>
      </c>
      <c r="F37" s="85">
        <v>363648484</v>
      </c>
    </row>
    <row r="38" spans="1:6" ht="73.5" customHeight="1">
      <c r="A38" s="66">
        <v>3</v>
      </c>
      <c r="B38" s="65" t="s">
        <v>491</v>
      </c>
      <c r="C38" s="84" t="s">
        <v>173</v>
      </c>
      <c r="D38" s="85">
        <v>31087827</v>
      </c>
      <c r="E38" s="85">
        <v>30717177</v>
      </c>
      <c r="F38" s="85">
        <v>337280301</v>
      </c>
    </row>
    <row r="39" spans="1:6" ht="39" customHeight="1">
      <c r="A39" s="69"/>
      <c r="B39" s="67" t="s">
        <v>492</v>
      </c>
      <c r="C39" s="88" t="s">
        <v>174</v>
      </c>
      <c r="D39" s="85">
        <v>20087827</v>
      </c>
      <c r="E39" s="85">
        <v>19717177</v>
      </c>
      <c r="F39" s="85">
        <v>227280301</v>
      </c>
    </row>
    <row r="40" spans="1:6" ht="39" customHeight="1">
      <c r="A40" s="69"/>
      <c r="B40" s="67" t="s">
        <v>135</v>
      </c>
      <c r="C40" s="88" t="s">
        <v>175</v>
      </c>
      <c r="D40" s="93">
        <v>11000000</v>
      </c>
      <c r="E40" s="93">
        <v>11000000</v>
      </c>
      <c r="F40" s="93">
        <v>110000000</v>
      </c>
    </row>
    <row r="41" spans="1:6" ht="39" customHeight="1">
      <c r="A41" s="66">
        <v>4</v>
      </c>
      <c r="B41" s="83" t="s">
        <v>136</v>
      </c>
      <c r="C41" s="84" t="s">
        <v>176</v>
      </c>
      <c r="D41" s="85">
        <v>15415064</v>
      </c>
      <c r="E41" s="85">
        <v>14917805</v>
      </c>
      <c r="F41" s="85">
        <v>154805349</v>
      </c>
    </row>
    <row r="42" spans="1:6" ht="77.650000000000006" customHeight="1">
      <c r="A42" s="66">
        <v>5</v>
      </c>
      <c r="B42" s="83" t="s">
        <v>493</v>
      </c>
      <c r="C42" s="84" t="s">
        <v>177</v>
      </c>
      <c r="D42" s="85">
        <v>18443829</v>
      </c>
      <c r="E42" s="85">
        <v>18397255</v>
      </c>
      <c r="F42" s="85">
        <v>196223846</v>
      </c>
    </row>
    <row r="43" spans="1:6" ht="39" customHeight="1">
      <c r="A43" s="69"/>
      <c r="B43" s="68" t="s">
        <v>494</v>
      </c>
      <c r="C43" s="88" t="s">
        <v>178</v>
      </c>
      <c r="D43" s="85">
        <v>18443829</v>
      </c>
      <c r="E43" s="85">
        <v>18397255</v>
      </c>
      <c r="F43" s="85">
        <v>184158846</v>
      </c>
    </row>
    <row r="44" spans="1:6" ht="39" customHeight="1">
      <c r="A44" s="69"/>
      <c r="B44" s="68" t="s">
        <v>464</v>
      </c>
      <c r="C44" s="88" t="s">
        <v>179</v>
      </c>
      <c r="D44" s="85">
        <v>0</v>
      </c>
      <c r="E44" s="85">
        <v>0</v>
      </c>
      <c r="F44" s="85">
        <v>12065000</v>
      </c>
    </row>
    <row r="45" spans="1:6" ht="39" customHeight="1">
      <c r="A45" s="69"/>
      <c r="B45" s="68" t="s">
        <v>138</v>
      </c>
      <c r="C45" s="88" t="s">
        <v>180</v>
      </c>
      <c r="D45" s="93">
        <v>0</v>
      </c>
      <c r="E45" s="93">
        <v>0</v>
      </c>
      <c r="F45" s="85">
        <v>0</v>
      </c>
    </row>
    <row r="46" spans="1:6" ht="148.9" customHeight="1">
      <c r="A46" s="66">
        <v>6</v>
      </c>
      <c r="B46" s="65" t="s">
        <v>495</v>
      </c>
      <c r="C46" s="84" t="s">
        <v>181</v>
      </c>
      <c r="D46" s="85">
        <v>0</v>
      </c>
      <c r="E46" s="85">
        <v>0</v>
      </c>
      <c r="F46" s="85">
        <v>-20282951</v>
      </c>
    </row>
    <row r="47" spans="1:6" ht="39" customHeight="1">
      <c r="A47" s="69"/>
      <c r="B47" s="67" t="s">
        <v>465</v>
      </c>
      <c r="C47" s="88" t="s">
        <v>182</v>
      </c>
      <c r="D47" s="85">
        <v>0</v>
      </c>
      <c r="E47" s="85">
        <v>0</v>
      </c>
      <c r="F47" s="85">
        <v>0</v>
      </c>
    </row>
    <row r="48" spans="1:6" ht="39" customHeight="1">
      <c r="A48" s="69"/>
      <c r="B48" s="67" t="s">
        <v>339</v>
      </c>
      <c r="C48" s="88" t="s">
        <v>183</v>
      </c>
      <c r="D48" s="85">
        <v>0</v>
      </c>
      <c r="E48" s="85">
        <v>0</v>
      </c>
      <c r="F48" s="85">
        <v>0</v>
      </c>
    </row>
    <row r="49" spans="1:6" ht="39" customHeight="1">
      <c r="A49" s="69"/>
      <c r="B49" s="67" t="s">
        <v>496</v>
      </c>
      <c r="C49" s="88" t="s">
        <v>184</v>
      </c>
      <c r="D49" s="85">
        <v>0</v>
      </c>
      <c r="E49" s="85">
        <v>0</v>
      </c>
      <c r="F49" s="85">
        <v>-20282951</v>
      </c>
    </row>
    <row r="50" spans="1:6" ht="39" customHeight="1">
      <c r="A50" s="69"/>
      <c r="B50" s="68" t="s">
        <v>466</v>
      </c>
      <c r="C50" s="88" t="s">
        <v>185</v>
      </c>
      <c r="D50" s="85">
        <v>0</v>
      </c>
      <c r="E50" s="85">
        <v>0</v>
      </c>
      <c r="F50" s="85">
        <v>0</v>
      </c>
    </row>
    <row r="51" spans="1:6" ht="39" customHeight="1">
      <c r="A51" s="69"/>
      <c r="B51" s="68" t="s">
        <v>467</v>
      </c>
      <c r="C51" s="88" t="s">
        <v>186</v>
      </c>
      <c r="D51" s="85">
        <v>0</v>
      </c>
      <c r="E51" s="85">
        <v>0</v>
      </c>
      <c r="F51" s="85">
        <v>0</v>
      </c>
    </row>
    <row r="52" spans="1:6" ht="66" customHeight="1">
      <c r="A52" s="66">
        <v>7</v>
      </c>
      <c r="B52" s="83" t="s">
        <v>497</v>
      </c>
      <c r="C52" s="84" t="s">
        <v>187</v>
      </c>
      <c r="D52" s="93">
        <v>50886173</v>
      </c>
      <c r="E52" s="93">
        <v>41373482</v>
      </c>
      <c r="F52" s="93">
        <v>1459846284</v>
      </c>
    </row>
    <row r="53" spans="1:6" ht="39" customHeight="1">
      <c r="A53" s="69"/>
      <c r="B53" s="87" t="s">
        <v>140</v>
      </c>
      <c r="C53" s="88" t="s">
        <v>188</v>
      </c>
      <c r="D53" s="93">
        <v>50492233</v>
      </c>
      <c r="E53" s="93">
        <v>40939302</v>
      </c>
      <c r="F53" s="85">
        <v>1453147719</v>
      </c>
    </row>
    <row r="54" spans="1:6" ht="39" customHeight="1">
      <c r="A54" s="69"/>
      <c r="B54" s="87" t="s">
        <v>141</v>
      </c>
      <c r="C54" s="88" t="s">
        <v>189</v>
      </c>
      <c r="D54" s="93">
        <v>393940</v>
      </c>
      <c r="E54" s="93">
        <v>434180</v>
      </c>
      <c r="F54" s="85">
        <v>6698565</v>
      </c>
    </row>
    <row r="55" spans="1:6" ht="39" customHeight="1">
      <c r="A55" s="69"/>
      <c r="B55" s="87" t="s">
        <v>142</v>
      </c>
      <c r="C55" s="88" t="s">
        <v>190</v>
      </c>
      <c r="D55" s="93">
        <v>0</v>
      </c>
      <c r="E55" s="93">
        <v>0</v>
      </c>
      <c r="F55" s="85">
        <v>0</v>
      </c>
    </row>
    <row r="56" spans="1:6" ht="39" customHeight="1">
      <c r="A56" s="66">
        <v>8</v>
      </c>
      <c r="B56" s="83" t="s">
        <v>143</v>
      </c>
      <c r="C56" s="84" t="s">
        <v>191</v>
      </c>
      <c r="D56" s="93">
        <v>1627017</v>
      </c>
      <c r="E56" s="93">
        <v>1248393</v>
      </c>
      <c r="F56" s="93">
        <v>19205545</v>
      </c>
    </row>
    <row r="57" spans="1:6" ht="39" customHeight="1">
      <c r="A57" s="66"/>
      <c r="B57" s="87" t="s">
        <v>144</v>
      </c>
      <c r="C57" s="88" t="s">
        <v>192</v>
      </c>
      <c r="D57" s="93">
        <v>0</v>
      </c>
      <c r="E57" s="93">
        <v>0</v>
      </c>
      <c r="F57" s="93">
        <v>0</v>
      </c>
    </row>
    <row r="58" spans="1:6" ht="39" customHeight="1">
      <c r="A58" s="66"/>
      <c r="B58" s="87" t="s">
        <v>498</v>
      </c>
      <c r="C58" s="88" t="s">
        <v>193</v>
      </c>
      <c r="D58" s="93">
        <v>0</v>
      </c>
      <c r="E58" s="93">
        <v>0</v>
      </c>
      <c r="F58" s="93">
        <v>0</v>
      </c>
    </row>
    <row r="59" spans="1:6" ht="39" customHeight="1">
      <c r="A59" s="66"/>
      <c r="B59" s="87" t="s">
        <v>145</v>
      </c>
      <c r="C59" s="88" t="s">
        <v>194</v>
      </c>
      <c r="D59" s="93">
        <v>0</v>
      </c>
      <c r="E59" s="93">
        <v>0</v>
      </c>
      <c r="F59" s="93">
        <v>0</v>
      </c>
    </row>
    <row r="60" spans="1:6" ht="39" customHeight="1">
      <c r="A60" s="66"/>
      <c r="B60" s="87" t="s">
        <v>146</v>
      </c>
      <c r="C60" s="88" t="s">
        <v>195</v>
      </c>
      <c r="D60" s="93">
        <v>1627017</v>
      </c>
      <c r="E60" s="93">
        <v>1248393</v>
      </c>
      <c r="F60" s="93">
        <v>18105545</v>
      </c>
    </row>
    <row r="61" spans="1:6" ht="39" customHeight="1">
      <c r="A61" s="66"/>
      <c r="B61" s="87" t="s">
        <v>499</v>
      </c>
      <c r="C61" s="88" t="s">
        <v>196</v>
      </c>
      <c r="D61" s="93">
        <v>0</v>
      </c>
      <c r="E61" s="93">
        <v>0</v>
      </c>
      <c r="F61" s="93">
        <v>0</v>
      </c>
    </row>
    <row r="62" spans="1:6" ht="39" customHeight="1">
      <c r="A62" s="66"/>
      <c r="B62" s="87" t="s">
        <v>142</v>
      </c>
      <c r="C62" s="88" t="s">
        <v>197</v>
      </c>
      <c r="D62" s="93">
        <v>0</v>
      </c>
      <c r="E62" s="93">
        <v>0</v>
      </c>
      <c r="F62" s="93">
        <v>0</v>
      </c>
    </row>
    <row r="63" spans="1:6" ht="39" customHeight="1">
      <c r="A63" s="66"/>
      <c r="B63" s="87" t="s">
        <v>500</v>
      </c>
      <c r="C63" s="88" t="s">
        <v>198</v>
      </c>
      <c r="D63" s="93">
        <v>0</v>
      </c>
      <c r="E63" s="93">
        <v>0</v>
      </c>
      <c r="F63" s="93">
        <v>1100000</v>
      </c>
    </row>
    <row r="64" spans="1:6" s="82" customFormat="1" ht="45.75" customHeight="1">
      <c r="A64" s="94" t="s">
        <v>124</v>
      </c>
      <c r="B64" s="79" t="s">
        <v>501</v>
      </c>
      <c r="C64" s="80" t="s">
        <v>199</v>
      </c>
      <c r="D64" s="81">
        <v>3327493</v>
      </c>
      <c r="E64" s="81">
        <v>131756091</v>
      </c>
      <c r="F64" s="81">
        <v>7485886195</v>
      </c>
    </row>
    <row r="65" spans="1:6" s="82" customFormat="1" ht="39" customHeight="1">
      <c r="A65" s="94" t="s">
        <v>125</v>
      </c>
      <c r="B65" s="79" t="s">
        <v>468</v>
      </c>
      <c r="C65" s="80" t="s">
        <v>200</v>
      </c>
      <c r="D65" s="81">
        <v>4191253802</v>
      </c>
      <c r="E65" s="81">
        <v>18624167959</v>
      </c>
      <c r="F65" s="81">
        <v>113211403340</v>
      </c>
    </row>
    <row r="66" spans="1:6" ht="39" customHeight="1">
      <c r="A66" s="66">
        <v>1</v>
      </c>
      <c r="B66" s="83" t="s">
        <v>147</v>
      </c>
      <c r="C66" s="84" t="s">
        <v>201</v>
      </c>
      <c r="D66" s="85">
        <v>994411335</v>
      </c>
      <c r="E66" s="85">
        <v>930156138</v>
      </c>
      <c r="F66" s="85">
        <v>3783608640</v>
      </c>
    </row>
    <row r="67" spans="1:6" ht="39" customHeight="1">
      <c r="A67" s="66">
        <v>2</v>
      </c>
      <c r="B67" s="83" t="s">
        <v>148</v>
      </c>
      <c r="C67" s="84" t="s">
        <v>202</v>
      </c>
      <c r="D67" s="85">
        <v>3196842467</v>
      </c>
      <c r="E67" s="85">
        <v>17694011821</v>
      </c>
      <c r="F67" s="85">
        <v>109427794700</v>
      </c>
    </row>
    <row r="68" spans="1:6" s="82" customFormat="1" ht="75" customHeight="1">
      <c r="A68" s="94" t="s">
        <v>126</v>
      </c>
      <c r="B68" s="79" t="s">
        <v>502</v>
      </c>
      <c r="C68" s="80" t="s">
        <v>203</v>
      </c>
      <c r="D68" s="81">
        <v>4194581295</v>
      </c>
      <c r="E68" s="81">
        <v>18755924050</v>
      </c>
      <c r="F68" s="81">
        <v>120697289535</v>
      </c>
    </row>
    <row r="69" spans="1:6" s="82" customFormat="1" ht="39" customHeight="1">
      <c r="A69" s="94" t="s">
        <v>127</v>
      </c>
      <c r="B69" s="79" t="s">
        <v>149</v>
      </c>
      <c r="C69" s="80" t="s">
        <v>204</v>
      </c>
      <c r="D69" s="81">
        <v>870482187950</v>
      </c>
      <c r="E69" s="81">
        <v>882204395196</v>
      </c>
      <c r="F69" s="81">
        <v>1089016862195</v>
      </c>
    </row>
    <row r="70" spans="1:6" s="82" customFormat="1" ht="46.5" customHeight="1">
      <c r="A70" s="94" t="s">
        <v>128</v>
      </c>
      <c r="B70" s="79" t="s">
        <v>150</v>
      </c>
      <c r="C70" s="80" t="s">
        <v>205</v>
      </c>
      <c r="D70" s="81">
        <v>-13659029228</v>
      </c>
      <c r="E70" s="81">
        <v>-11722207246</v>
      </c>
      <c r="F70" s="81">
        <v>-232193703473</v>
      </c>
    </row>
    <row r="71" spans="1:6" ht="39" customHeight="1">
      <c r="A71" s="66"/>
      <c r="B71" s="83" t="s">
        <v>151</v>
      </c>
      <c r="C71" s="84" t="s">
        <v>206</v>
      </c>
      <c r="D71" s="85"/>
      <c r="E71" s="85"/>
      <c r="F71" s="85"/>
    </row>
    <row r="72" spans="1:6" ht="58.5" customHeight="1">
      <c r="A72" s="66">
        <v>1</v>
      </c>
      <c r="B72" s="83" t="s">
        <v>152</v>
      </c>
      <c r="C72" s="84" t="s">
        <v>207</v>
      </c>
      <c r="D72" s="85">
        <v>4194581295</v>
      </c>
      <c r="E72" s="85">
        <v>18755924050</v>
      </c>
      <c r="F72" s="93">
        <v>120697289535</v>
      </c>
    </row>
    <row r="73" spans="1:6" ht="58.5" customHeight="1">
      <c r="A73" s="66">
        <v>2</v>
      </c>
      <c r="B73" s="83" t="s">
        <v>153</v>
      </c>
      <c r="C73" s="84" t="s">
        <v>208</v>
      </c>
      <c r="D73" s="85">
        <v>0</v>
      </c>
      <c r="E73" s="85">
        <v>0</v>
      </c>
      <c r="F73" s="93">
        <v>0</v>
      </c>
    </row>
    <row r="74" spans="1:6" ht="62.65" customHeight="1">
      <c r="A74" s="66">
        <v>3</v>
      </c>
      <c r="B74" s="83" t="s">
        <v>503</v>
      </c>
      <c r="C74" s="84" t="s">
        <v>209</v>
      </c>
      <c r="D74" s="93">
        <v>2119427539</v>
      </c>
      <c r="E74" s="93">
        <v>1397279179</v>
      </c>
      <c r="F74" s="93">
        <v>46408385911</v>
      </c>
    </row>
    <row r="75" spans="1:6" ht="46.9" customHeight="1">
      <c r="A75" s="66">
        <v>4</v>
      </c>
      <c r="B75" s="83" t="s">
        <v>504</v>
      </c>
      <c r="C75" s="84" t="s">
        <v>210</v>
      </c>
      <c r="D75" s="93">
        <v>-19973038062</v>
      </c>
      <c r="E75" s="93">
        <v>-31875410475</v>
      </c>
      <c r="F75" s="85">
        <v>-399299378919</v>
      </c>
    </row>
    <row r="76" spans="1:6" s="82" customFormat="1" ht="37.9" customHeight="1">
      <c r="A76" s="63" t="s">
        <v>129</v>
      </c>
      <c r="B76" s="79" t="s">
        <v>154</v>
      </c>
      <c r="C76" s="80" t="s">
        <v>211</v>
      </c>
      <c r="D76" s="81">
        <v>856823158722</v>
      </c>
      <c r="E76" s="81">
        <v>870482187950</v>
      </c>
      <c r="F76" s="81">
        <v>856823158722</v>
      </c>
    </row>
    <row r="77" spans="1:6" s="82" customFormat="1" ht="57.4" customHeight="1">
      <c r="A77" s="63" t="s">
        <v>130</v>
      </c>
      <c r="B77" s="79" t="s">
        <v>469</v>
      </c>
      <c r="C77" s="80" t="s">
        <v>212</v>
      </c>
      <c r="D77" s="81">
        <v>0</v>
      </c>
      <c r="E77" s="81">
        <v>0</v>
      </c>
      <c r="F77" s="81">
        <v>0</v>
      </c>
    </row>
    <row r="78" spans="1:6" ht="57" customHeight="1">
      <c r="A78" s="64"/>
      <c r="B78" s="83" t="s">
        <v>470</v>
      </c>
      <c r="C78" s="84" t="s">
        <v>213</v>
      </c>
      <c r="D78" s="95">
        <v>0</v>
      </c>
      <c r="E78" s="95">
        <v>0</v>
      </c>
      <c r="F78" s="95">
        <v>0</v>
      </c>
    </row>
    <row r="81" spans="1:6" ht="16.899999999999999" customHeight="1">
      <c r="A81" s="96" t="str">
        <f>'Tong quat'!C16</f>
        <v>Đại diện có thẩm quyền của Ngân hàng giám sát</v>
      </c>
      <c r="D81" s="96" t="str">
        <f>'Tong quat'!F16</f>
        <v>Đại diện có thẩm quyền của Công ty quản lý Quỹ</v>
      </c>
    </row>
    <row r="82" spans="1:6" s="98" customFormat="1" ht="16.899999999999999" customHeight="1">
      <c r="A82" s="97" t="str">
        <f>'Tong quat'!C17</f>
        <v>Authorised Representative of Supervisory Bank</v>
      </c>
      <c r="B82" s="97"/>
      <c r="C82" s="97"/>
      <c r="D82" s="97" t="str">
        <f>'Tong quat'!F17</f>
        <v>Authorised Representative of Fund Management Company</v>
      </c>
      <c r="E82" s="97"/>
      <c r="F82" s="97"/>
    </row>
    <row r="83" spans="1:6" ht="16.899999999999999" customHeight="1"/>
    <row r="84" spans="1:6" ht="16.899999999999999" customHeight="1"/>
    <row r="85" spans="1:6" ht="16.899999999999999" customHeight="1"/>
    <row r="86" spans="1:6" ht="16.899999999999999" customHeight="1"/>
    <row r="87" spans="1:6" ht="16.899999999999999" customHeight="1"/>
    <row r="88" spans="1:6" ht="16.899999999999999" customHeight="1"/>
    <row r="89" spans="1:6" ht="16.899999999999999" customHeight="1"/>
    <row r="90" spans="1:6" ht="16.899999999999999" customHeight="1">
      <c r="A90" s="99" t="str">
        <f>'Tong quat'!C19</f>
        <v>Ngân hàng TNHH MTV Standard Chartered (Việt Nam)</v>
      </c>
      <c r="B90" s="100"/>
      <c r="D90" s="99" t="str">
        <f>'Tong quat'!F19</f>
        <v>Công ty Cổ phần Quản lý Quỹ Đầu tư Việt Nam</v>
      </c>
      <c r="E90" s="100"/>
      <c r="F90" s="100"/>
    </row>
    <row r="91" spans="1:6" ht="16.899999999999999" customHeight="1">
      <c r="A91" s="96" t="str">
        <f>'Tong quat'!C20</f>
        <v>Vũ Hương Giang</v>
      </c>
      <c r="D91" s="96" t="str">
        <f>'Tong quat'!F20</f>
        <v>Trần Thanh Tân</v>
      </c>
    </row>
    <row r="92" spans="1:6" ht="16.899999999999999" customHeight="1">
      <c r="A92" s="61" t="str">
        <f>'Tong quat'!C21</f>
        <v>Phó phòng Nghiệp vụ Dịch vụ Chứng khoán</v>
      </c>
      <c r="D92" s="61" t="str">
        <f>'Tong quat'!F21</f>
        <v>Tổng Giám đốc</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fitToHeight="7"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0"/>
  <sheetViews>
    <sheetView view="pageBreakPreview" topLeftCell="A4" zoomScale="95" zoomScaleNormal="100" zoomScaleSheetLayoutView="95" workbookViewId="0">
      <selection activeCell="C23" sqref="C23"/>
    </sheetView>
  </sheetViews>
  <sheetFormatPr defaultColWidth="8.7109375" defaultRowHeight="12.75"/>
  <cols>
    <col min="1" max="1" width="9" style="61" customWidth="1"/>
    <col min="2" max="2" width="39.85546875" style="61" customWidth="1"/>
    <col min="3" max="3" width="9.28515625" style="61" customWidth="1"/>
    <col min="4" max="4" width="17.85546875" style="61" customWidth="1"/>
    <col min="5" max="5" width="18.28515625" style="61" customWidth="1"/>
    <col min="6" max="6" width="21.28515625" style="61" customWidth="1"/>
    <col min="7" max="7" width="15.42578125" style="61" customWidth="1"/>
    <col min="8" max="16384" width="8.7109375" style="101"/>
  </cols>
  <sheetData>
    <row r="1" spans="1:7" ht="25.9" customHeight="1">
      <c r="A1" s="226" t="s">
        <v>107</v>
      </c>
      <c r="B1" s="226"/>
      <c r="C1" s="226"/>
      <c r="D1" s="226"/>
      <c r="E1" s="226"/>
      <c r="F1" s="226"/>
      <c r="G1" s="226"/>
    </row>
    <row r="2" spans="1:7" ht="32.65" customHeight="1">
      <c r="A2" s="227" t="s">
        <v>108</v>
      </c>
      <c r="B2" s="227"/>
      <c r="C2" s="227"/>
      <c r="D2" s="227"/>
      <c r="E2" s="227"/>
      <c r="F2" s="227"/>
      <c r="G2" s="227"/>
    </row>
    <row r="3" spans="1:7" ht="15" customHeight="1">
      <c r="A3" s="228" t="s">
        <v>109</v>
      </c>
      <c r="B3" s="228"/>
      <c r="C3" s="228"/>
      <c r="D3" s="228"/>
      <c r="E3" s="228"/>
      <c r="F3" s="228"/>
      <c r="G3" s="228"/>
    </row>
    <row r="4" spans="1:7" ht="27.4" customHeight="1">
      <c r="A4" s="228"/>
      <c r="B4" s="228"/>
      <c r="C4" s="228"/>
      <c r="D4" s="228"/>
      <c r="E4" s="228"/>
      <c r="F4" s="228"/>
      <c r="G4" s="228"/>
    </row>
    <row r="5" spans="1:7" ht="16.899999999999999" customHeight="1">
      <c r="A5" s="229" t="str">
        <f>'Tong quat'!C1</f>
        <v>Tại ngày 31 tháng 10 năm 2019
/ As at 31 Oct 2019</v>
      </c>
      <c r="B5" s="229"/>
      <c r="C5" s="229"/>
      <c r="D5" s="229"/>
      <c r="E5" s="229"/>
      <c r="F5" s="229"/>
      <c r="G5" s="229"/>
    </row>
    <row r="6" spans="1:7" ht="16.899999999999999" customHeight="1"/>
    <row r="7" spans="1:7" ht="16.899999999999999" customHeight="1">
      <c r="A7" s="156" t="s">
        <v>2</v>
      </c>
      <c r="C7" s="255" t="str">
        <f>'Tong quat'!D5</f>
        <v>Công ty Cổ phần Quản lý Quỹ Đầu tư Việt Nam</v>
      </c>
      <c r="D7" s="255"/>
      <c r="E7" s="255"/>
      <c r="F7" s="255"/>
      <c r="G7" s="255"/>
    </row>
    <row r="8" spans="1:7" ht="16.899999999999999" customHeight="1">
      <c r="A8" s="61" t="s">
        <v>110</v>
      </c>
      <c r="C8" s="254" t="str">
        <f>'Tong quat'!D6</f>
        <v>Vietnam Investment Fund Management Joint Stock Company</v>
      </c>
      <c r="D8" s="254"/>
      <c r="E8" s="254"/>
      <c r="F8" s="254"/>
      <c r="G8" s="254"/>
    </row>
    <row r="9" spans="1:7" ht="16.899999999999999" customHeight="1">
      <c r="A9" s="156" t="s">
        <v>3</v>
      </c>
      <c r="C9" s="255" t="str">
        <f>'Tong quat'!D7</f>
        <v>Ngân hàng TNHH Một thành viên Standard Chartered (Việt Nam)</v>
      </c>
      <c r="D9" s="255"/>
      <c r="E9" s="255"/>
      <c r="F9" s="255"/>
      <c r="G9" s="255"/>
    </row>
    <row r="10" spans="1:7" ht="16.899999999999999" customHeight="1">
      <c r="A10" s="61" t="s">
        <v>4</v>
      </c>
      <c r="C10" s="254" t="str">
        <f>'Tong quat'!D8</f>
        <v>Standard Chartered Bank (Vietnam) Limited</v>
      </c>
      <c r="D10" s="254"/>
      <c r="E10" s="254"/>
      <c r="F10" s="254"/>
      <c r="G10" s="254"/>
    </row>
    <row r="11" spans="1:7" ht="16.899999999999999" customHeight="1">
      <c r="A11" s="161" t="s">
        <v>5</v>
      </c>
      <c r="C11" s="255" t="str">
        <f>'Tong quat'!D9</f>
        <v>Quỹ Đầu tư Chứng khoán Việt Nam</v>
      </c>
      <c r="D11" s="255"/>
      <c r="E11" s="255"/>
      <c r="F11" s="255"/>
      <c r="G11" s="255"/>
    </row>
    <row r="12" spans="1:7" ht="16.899999999999999" customHeight="1">
      <c r="A12" s="61" t="s">
        <v>6</v>
      </c>
      <c r="C12" s="254" t="str">
        <f>'Tong quat'!D10</f>
        <v>Vietnam Securities Investment Fund(VFMVF1)</v>
      </c>
      <c r="D12" s="254"/>
      <c r="E12" s="254"/>
      <c r="F12" s="254"/>
      <c r="G12" s="254"/>
    </row>
    <row r="13" spans="1:7" ht="16.899999999999999" customHeight="1">
      <c r="A13" s="156" t="s">
        <v>7</v>
      </c>
      <c r="C13" s="255" t="str">
        <f>'Tong quat'!D11</f>
        <v>Ngày 04 tháng 11 năm 2019</v>
      </c>
      <c r="D13" s="255"/>
      <c r="E13" s="255"/>
      <c r="F13" s="255"/>
      <c r="G13" s="255"/>
    </row>
    <row r="14" spans="1:7" ht="16.899999999999999" customHeight="1">
      <c r="A14" s="61" t="s">
        <v>8</v>
      </c>
      <c r="C14" s="254" t="str">
        <f>'Tong quat'!D12</f>
        <v>04 Nov 2019</v>
      </c>
      <c r="D14" s="254"/>
      <c r="E14" s="254"/>
      <c r="F14" s="254"/>
      <c r="G14" s="254"/>
    </row>
    <row r="15" spans="1:7" ht="18" hidden="1" customHeight="1"/>
    <row r="16" spans="1:7" ht="16.899999999999999" customHeight="1"/>
    <row r="17" spans="1:7" ht="16.899999999999999" customHeight="1">
      <c r="A17" s="75" t="s">
        <v>124</v>
      </c>
      <c r="B17" s="76" t="s">
        <v>214</v>
      </c>
    </row>
    <row r="18" spans="1:7" ht="75.400000000000006" customHeight="1">
      <c r="A18" s="102" t="s">
        <v>373</v>
      </c>
      <c r="B18" s="102" t="s">
        <v>215</v>
      </c>
      <c r="C18" s="102" t="s">
        <v>115</v>
      </c>
      <c r="D18" s="102" t="s">
        <v>216</v>
      </c>
      <c r="E18" s="102" t="s">
        <v>217</v>
      </c>
      <c r="F18" s="102" t="s">
        <v>218</v>
      </c>
      <c r="G18" s="102" t="s">
        <v>219</v>
      </c>
    </row>
    <row r="19" spans="1:7" ht="39" customHeight="1">
      <c r="A19" s="167" t="s">
        <v>959</v>
      </c>
      <c r="B19" s="166" t="s">
        <v>960</v>
      </c>
      <c r="C19" s="218" t="s">
        <v>961</v>
      </c>
      <c r="D19" s="169"/>
      <c r="E19" s="169"/>
      <c r="F19" s="169"/>
      <c r="G19" s="168"/>
    </row>
    <row r="20" spans="1:7" ht="33.950000000000003" customHeight="1">
      <c r="A20" s="163" t="s">
        <v>962</v>
      </c>
      <c r="B20" s="162" t="s">
        <v>963</v>
      </c>
      <c r="C20" s="220" t="s">
        <v>964</v>
      </c>
      <c r="D20" s="165">
        <v>764357</v>
      </c>
      <c r="E20" s="171">
        <v>24100</v>
      </c>
      <c r="F20" s="165">
        <v>18421003700</v>
      </c>
      <c r="G20" s="164">
        <v>2.1374561420230701E-2</v>
      </c>
    </row>
    <row r="21" spans="1:7" ht="33.950000000000003" customHeight="1">
      <c r="A21" s="163" t="s">
        <v>965</v>
      </c>
      <c r="B21" s="162" t="s">
        <v>966</v>
      </c>
      <c r="C21" s="220" t="s">
        <v>967</v>
      </c>
      <c r="D21" s="165">
        <v>136800</v>
      </c>
      <c r="E21" s="171">
        <v>80000</v>
      </c>
      <c r="F21" s="165">
        <v>10944000000</v>
      </c>
      <c r="G21" s="164">
        <v>1.2698721741367699E-2</v>
      </c>
    </row>
    <row r="22" spans="1:7" ht="33.950000000000003" customHeight="1">
      <c r="A22" s="163" t="s">
        <v>968</v>
      </c>
      <c r="B22" s="162" t="s">
        <v>969</v>
      </c>
      <c r="C22" s="220" t="s">
        <v>970</v>
      </c>
      <c r="D22" s="165">
        <v>985890</v>
      </c>
      <c r="E22" s="171">
        <v>40600</v>
      </c>
      <c r="F22" s="165">
        <v>40027134000</v>
      </c>
      <c r="G22" s="164">
        <v>4.6444941225368998E-2</v>
      </c>
    </row>
    <row r="23" spans="1:7" ht="33.950000000000003" customHeight="1">
      <c r="A23" s="163" t="s">
        <v>971</v>
      </c>
      <c r="B23" s="162" t="s">
        <v>972</v>
      </c>
      <c r="C23" s="220" t="s">
        <v>973</v>
      </c>
      <c r="D23" s="165">
        <v>114600</v>
      </c>
      <c r="E23" s="171">
        <v>72100</v>
      </c>
      <c r="F23" s="165">
        <v>8262660000</v>
      </c>
      <c r="G23" s="164">
        <v>9.5874652945476292E-3</v>
      </c>
    </row>
    <row r="24" spans="1:7" ht="33.950000000000003" customHeight="1">
      <c r="A24" s="163" t="s">
        <v>974</v>
      </c>
      <c r="B24" s="162" t="s">
        <v>975</v>
      </c>
      <c r="C24" s="220" t="s">
        <v>976</v>
      </c>
      <c r="D24" s="165">
        <v>100</v>
      </c>
      <c r="E24" s="171">
        <v>79000</v>
      </c>
      <c r="F24" s="165">
        <v>7900000</v>
      </c>
      <c r="G24" s="164">
        <v>9.1666576897665292E-6</v>
      </c>
    </row>
    <row r="25" spans="1:7" ht="33.950000000000003" customHeight="1">
      <c r="A25" s="163" t="s">
        <v>977</v>
      </c>
      <c r="B25" s="162" t="s">
        <v>978</v>
      </c>
      <c r="C25" s="220" t="s">
        <v>979</v>
      </c>
      <c r="D25" s="165">
        <v>494900</v>
      </c>
      <c r="E25" s="171">
        <v>22000</v>
      </c>
      <c r="F25" s="165">
        <v>10887800000</v>
      </c>
      <c r="G25" s="164">
        <v>1.26335108347646E-2</v>
      </c>
    </row>
    <row r="26" spans="1:7" ht="33.950000000000003" customHeight="1">
      <c r="A26" s="163" t="s">
        <v>980</v>
      </c>
      <c r="B26" s="162" t="s">
        <v>981</v>
      </c>
      <c r="C26" s="220" t="s">
        <v>982</v>
      </c>
      <c r="D26" s="165">
        <v>100</v>
      </c>
      <c r="E26" s="171">
        <v>13650</v>
      </c>
      <c r="F26" s="165">
        <v>1365000</v>
      </c>
      <c r="G26" s="164">
        <v>1.5838592084216799E-6</v>
      </c>
    </row>
    <row r="27" spans="1:7" ht="33.950000000000003" customHeight="1">
      <c r="A27" s="163" t="s">
        <v>983</v>
      </c>
      <c r="B27" s="162" t="s">
        <v>984</v>
      </c>
      <c r="C27" s="220" t="s">
        <v>985</v>
      </c>
      <c r="D27" s="165">
        <v>547153</v>
      </c>
      <c r="E27" s="171">
        <v>15450</v>
      </c>
      <c r="F27" s="165">
        <v>8453513850</v>
      </c>
      <c r="G27" s="164">
        <v>9.8089199669177604E-3</v>
      </c>
    </row>
    <row r="28" spans="1:7" ht="33.950000000000003" customHeight="1">
      <c r="A28" s="163" t="s">
        <v>986</v>
      </c>
      <c r="B28" s="162" t="s">
        <v>987</v>
      </c>
      <c r="C28" s="220" t="s">
        <v>988</v>
      </c>
      <c r="D28" s="165">
        <v>100</v>
      </c>
      <c r="E28" s="171">
        <v>16500</v>
      </c>
      <c r="F28" s="165">
        <v>1650000</v>
      </c>
      <c r="G28" s="164">
        <v>1.9145550871031399E-6</v>
      </c>
    </row>
    <row r="29" spans="1:7" ht="33.950000000000003" customHeight="1">
      <c r="A29" s="163" t="s">
        <v>989</v>
      </c>
      <c r="B29" s="162" t="s">
        <v>990</v>
      </c>
      <c r="C29" s="220" t="s">
        <v>991</v>
      </c>
      <c r="D29" s="165">
        <v>1084142</v>
      </c>
      <c r="E29" s="171">
        <v>57900</v>
      </c>
      <c r="F29" s="165">
        <v>62771821800</v>
      </c>
      <c r="G29" s="164">
        <v>7.28364307599524E-2</v>
      </c>
    </row>
    <row r="30" spans="1:7" ht="33.950000000000003" customHeight="1">
      <c r="A30" s="163" t="s">
        <v>992</v>
      </c>
      <c r="B30" s="162" t="s">
        <v>993</v>
      </c>
      <c r="C30" s="220" t="s">
        <v>994</v>
      </c>
      <c r="D30" s="165">
        <v>256150</v>
      </c>
      <c r="E30" s="171">
        <v>103500</v>
      </c>
      <c r="F30" s="165">
        <v>26511525000</v>
      </c>
      <c r="G30" s="164">
        <v>3.0762287912492099E-2</v>
      </c>
    </row>
    <row r="31" spans="1:7" ht="33.950000000000003" customHeight="1">
      <c r="A31" s="163" t="s">
        <v>995</v>
      </c>
      <c r="B31" s="162" t="s">
        <v>996</v>
      </c>
      <c r="C31" s="220" t="s">
        <v>997</v>
      </c>
      <c r="D31" s="165">
        <v>100</v>
      </c>
      <c r="E31" s="171">
        <v>26700</v>
      </c>
      <c r="F31" s="165">
        <v>2670000</v>
      </c>
      <c r="G31" s="164">
        <v>3.0980982318578001E-6</v>
      </c>
    </row>
    <row r="32" spans="1:7" ht="33.950000000000003" customHeight="1">
      <c r="A32" s="163" t="s">
        <v>998</v>
      </c>
      <c r="B32" s="162" t="s">
        <v>999</v>
      </c>
      <c r="C32" s="220" t="s">
        <v>1000</v>
      </c>
      <c r="D32" s="165">
        <v>100</v>
      </c>
      <c r="E32" s="171">
        <v>29450</v>
      </c>
      <c r="F32" s="165">
        <v>2945000</v>
      </c>
      <c r="G32" s="164">
        <v>3.4171907463749901E-6</v>
      </c>
    </row>
    <row r="33" spans="1:7" ht="33.950000000000003" customHeight="1">
      <c r="A33" s="163" t="s">
        <v>1001</v>
      </c>
      <c r="B33" s="162" t="s">
        <v>1002</v>
      </c>
      <c r="C33" s="220" t="s">
        <v>1003</v>
      </c>
      <c r="D33" s="165">
        <v>564165</v>
      </c>
      <c r="E33" s="171">
        <v>21800</v>
      </c>
      <c r="F33" s="165">
        <v>12298797000</v>
      </c>
      <c r="G33" s="164">
        <v>1.42707420373326E-2</v>
      </c>
    </row>
    <row r="34" spans="1:7" ht="33.950000000000003" customHeight="1">
      <c r="A34" s="163" t="s">
        <v>1004</v>
      </c>
      <c r="B34" s="162" t="s">
        <v>1005</v>
      </c>
      <c r="C34" s="220" t="s">
        <v>1006</v>
      </c>
      <c r="D34" s="165">
        <v>1107500</v>
      </c>
      <c r="E34" s="171">
        <v>14600</v>
      </c>
      <c r="F34" s="165">
        <v>16169500000</v>
      </c>
      <c r="G34" s="164">
        <v>1.87620596854025E-2</v>
      </c>
    </row>
    <row r="35" spans="1:7" ht="33.950000000000003" customHeight="1">
      <c r="A35" s="163" t="s">
        <v>1007</v>
      </c>
      <c r="B35" s="162" t="s">
        <v>1008</v>
      </c>
      <c r="C35" s="220" t="s">
        <v>1009</v>
      </c>
      <c r="D35" s="165">
        <v>778971</v>
      </c>
      <c r="E35" s="171">
        <v>26200</v>
      </c>
      <c r="F35" s="165">
        <v>20409040200</v>
      </c>
      <c r="G35" s="164">
        <v>2.3681352568365101E-2</v>
      </c>
    </row>
    <row r="36" spans="1:7" ht="33.950000000000003" customHeight="1">
      <c r="A36" s="163" t="s">
        <v>1010</v>
      </c>
      <c r="B36" s="162" t="s">
        <v>1011</v>
      </c>
      <c r="C36" s="220" t="s">
        <v>1012</v>
      </c>
      <c r="D36" s="165">
        <v>302220</v>
      </c>
      <c r="E36" s="171">
        <v>19000</v>
      </c>
      <c r="F36" s="165">
        <v>5742180000</v>
      </c>
      <c r="G36" s="164">
        <v>6.6628605636738702E-3</v>
      </c>
    </row>
    <row r="37" spans="1:7" ht="33.950000000000003" customHeight="1">
      <c r="A37" s="163" t="s">
        <v>1013</v>
      </c>
      <c r="B37" s="162" t="s">
        <v>1014</v>
      </c>
      <c r="C37" s="220" t="s">
        <v>1015</v>
      </c>
      <c r="D37" s="165">
        <v>2200598</v>
      </c>
      <c r="E37" s="171">
        <v>23000</v>
      </c>
      <c r="F37" s="165">
        <v>50613754000</v>
      </c>
      <c r="G37" s="164">
        <v>5.8728981938234399E-2</v>
      </c>
    </row>
    <row r="38" spans="1:7" ht="33.950000000000003" customHeight="1">
      <c r="A38" s="163" t="s">
        <v>1016</v>
      </c>
      <c r="B38" s="162" t="s">
        <v>1017</v>
      </c>
      <c r="C38" s="220" t="s">
        <v>1018</v>
      </c>
      <c r="D38" s="165">
        <v>166360</v>
      </c>
      <c r="E38" s="171">
        <v>74200</v>
      </c>
      <c r="F38" s="165">
        <v>12343912000</v>
      </c>
      <c r="G38" s="164">
        <v>1.43230906147597E-2</v>
      </c>
    </row>
    <row r="39" spans="1:7" ht="33.950000000000003" customHeight="1">
      <c r="A39" s="163" t="s">
        <v>1019</v>
      </c>
      <c r="B39" s="162" t="s">
        <v>1020</v>
      </c>
      <c r="C39" s="220" t="s">
        <v>1021</v>
      </c>
      <c r="D39" s="165">
        <v>719090</v>
      </c>
      <c r="E39" s="171">
        <v>124600</v>
      </c>
      <c r="F39" s="165">
        <v>89598614000</v>
      </c>
      <c r="G39" s="164">
        <v>0.10396453468550899</v>
      </c>
    </row>
    <row r="40" spans="1:7" ht="33.950000000000003" customHeight="1">
      <c r="A40" s="163" t="s">
        <v>1022</v>
      </c>
      <c r="B40" s="162" t="s">
        <v>1023</v>
      </c>
      <c r="C40" s="220" t="s">
        <v>1024</v>
      </c>
      <c r="D40" s="165">
        <v>213926</v>
      </c>
      <c r="E40" s="171">
        <v>28550</v>
      </c>
      <c r="F40" s="165">
        <v>6107587300</v>
      </c>
      <c r="G40" s="164">
        <v>7.0868559606918199E-3</v>
      </c>
    </row>
    <row r="41" spans="1:7" ht="33.950000000000003" customHeight="1">
      <c r="A41" s="163" t="s">
        <v>1025</v>
      </c>
      <c r="B41" s="162" t="s">
        <v>1026</v>
      </c>
      <c r="C41" s="220" t="s">
        <v>1027</v>
      </c>
      <c r="D41" s="165">
        <v>100</v>
      </c>
      <c r="E41" s="171">
        <v>59500</v>
      </c>
      <c r="F41" s="165">
        <v>5950000</v>
      </c>
      <c r="G41" s="164">
        <v>6.9040016777355502E-6</v>
      </c>
    </row>
    <row r="42" spans="1:7" ht="33.950000000000003" customHeight="1">
      <c r="A42" s="163" t="s">
        <v>1028</v>
      </c>
      <c r="B42" s="162" t="s">
        <v>1029</v>
      </c>
      <c r="C42" s="220" t="s">
        <v>1030</v>
      </c>
      <c r="D42" s="165">
        <v>215850</v>
      </c>
      <c r="E42" s="171">
        <v>58900</v>
      </c>
      <c r="F42" s="165">
        <v>12713565000</v>
      </c>
      <c r="G42" s="164">
        <v>1.47520124521008E-2</v>
      </c>
    </row>
    <row r="43" spans="1:7" ht="33.950000000000003" customHeight="1">
      <c r="A43" s="163" t="s">
        <v>1031</v>
      </c>
      <c r="B43" s="162" t="s">
        <v>1032</v>
      </c>
      <c r="C43" s="220" t="s">
        <v>1033</v>
      </c>
      <c r="D43" s="165">
        <v>89400</v>
      </c>
      <c r="E43" s="171">
        <v>59300</v>
      </c>
      <c r="F43" s="165">
        <v>5301420000</v>
      </c>
      <c r="G43" s="164">
        <v>6.15143068476988E-3</v>
      </c>
    </row>
    <row r="44" spans="1:7" ht="33.950000000000003" customHeight="1">
      <c r="A44" s="163" t="s">
        <v>1034</v>
      </c>
      <c r="B44" s="162" t="s">
        <v>1035</v>
      </c>
      <c r="C44" s="220" t="s">
        <v>1036</v>
      </c>
      <c r="D44" s="165">
        <v>5</v>
      </c>
      <c r="E44" s="171">
        <v>53400</v>
      </c>
      <c r="F44" s="165">
        <v>267000</v>
      </c>
      <c r="G44" s="164">
        <v>3.0980982318577999E-7</v>
      </c>
    </row>
    <row r="45" spans="1:7" ht="33.950000000000003" customHeight="1">
      <c r="A45" s="163" t="s">
        <v>1037</v>
      </c>
      <c r="B45" s="162" t="s">
        <v>1038</v>
      </c>
      <c r="C45" s="220" t="s">
        <v>1039</v>
      </c>
      <c r="D45" s="165">
        <v>500443</v>
      </c>
      <c r="E45" s="171">
        <v>83300</v>
      </c>
      <c r="F45" s="165">
        <v>41686901900</v>
      </c>
      <c r="G45" s="164">
        <v>4.8370830362554199E-2</v>
      </c>
    </row>
    <row r="46" spans="1:7" ht="33.950000000000003" customHeight="1">
      <c r="A46" s="163" t="s">
        <v>1040</v>
      </c>
      <c r="B46" s="162" t="s">
        <v>1041</v>
      </c>
      <c r="C46" s="220" t="s">
        <v>1042</v>
      </c>
      <c r="D46" s="165">
        <v>340700</v>
      </c>
      <c r="E46" s="171">
        <v>13050</v>
      </c>
      <c r="F46" s="165">
        <v>4446135000</v>
      </c>
      <c r="G46" s="164">
        <v>5.15901235284685E-3</v>
      </c>
    </row>
    <row r="47" spans="1:7" ht="33.950000000000003" customHeight="1">
      <c r="A47" s="163" t="s">
        <v>1043</v>
      </c>
      <c r="B47" s="162" t="s">
        <v>1044</v>
      </c>
      <c r="C47" s="220" t="s">
        <v>1045</v>
      </c>
      <c r="D47" s="165">
        <v>100</v>
      </c>
      <c r="E47" s="171">
        <v>37500</v>
      </c>
      <c r="F47" s="165">
        <v>3750000</v>
      </c>
      <c r="G47" s="164">
        <v>4.3512615615980298E-6</v>
      </c>
    </row>
    <row r="48" spans="1:7" ht="33.950000000000003" customHeight="1">
      <c r="A48" s="163" t="s">
        <v>1046</v>
      </c>
      <c r="B48" s="162" t="s">
        <v>1047</v>
      </c>
      <c r="C48" s="220" t="s">
        <v>1048</v>
      </c>
      <c r="D48" s="165">
        <v>100</v>
      </c>
      <c r="E48" s="171">
        <v>25100</v>
      </c>
      <c r="F48" s="165">
        <v>2510000</v>
      </c>
      <c r="G48" s="164">
        <v>2.9124444052296199E-6</v>
      </c>
    </row>
    <row r="49" spans="1:7" ht="33.950000000000003" customHeight="1">
      <c r="A49" s="163" t="s">
        <v>1049</v>
      </c>
      <c r="B49" s="162" t="s">
        <v>1050</v>
      </c>
      <c r="C49" s="220" t="s">
        <v>1051</v>
      </c>
      <c r="D49" s="165">
        <v>48710</v>
      </c>
      <c r="E49" s="171">
        <v>260500</v>
      </c>
      <c r="F49" s="165">
        <v>12688955000</v>
      </c>
      <c r="G49" s="164">
        <v>1.4723456572892601E-2</v>
      </c>
    </row>
    <row r="50" spans="1:7" ht="33.950000000000003" customHeight="1">
      <c r="A50" s="163" t="s">
        <v>1052</v>
      </c>
      <c r="B50" s="162" t="s">
        <v>1053</v>
      </c>
      <c r="C50" s="220" t="s">
        <v>1054</v>
      </c>
      <c r="D50" s="165">
        <v>100</v>
      </c>
      <c r="E50" s="171">
        <v>18750</v>
      </c>
      <c r="F50" s="165">
        <v>1875000</v>
      </c>
      <c r="G50" s="164">
        <v>2.17563078079902E-6</v>
      </c>
    </row>
    <row r="51" spans="1:7" ht="33.950000000000003" customHeight="1">
      <c r="A51" s="163" t="s">
        <v>1055</v>
      </c>
      <c r="B51" s="162" t="s">
        <v>1056</v>
      </c>
      <c r="C51" s="220" t="s">
        <v>1057</v>
      </c>
      <c r="D51" s="165">
        <v>80000</v>
      </c>
      <c r="E51" s="171">
        <v>106900</v>
      </c>
      <c r="F51" s="165">
        <v>8552000000</v>
      </c>
      <c r="G51" s="164">
        <v>9.9231970332763694E-3</v>
      </c>
    </row>
    <row r="52" spans="1:7" ht="33.950000000000003" customHeight="1">
      <c r="A52" s="163" t="s">
        <v>1058</v>
      </c>
      <c r="B52" s="162" t="s">
        <v>1059</v>
      </c>
      <c r="C52" s="220" t="s">
        <v>1060</v>
      </c>
      <c r="D52" s="165">
        <v>55080</v>
      </c>
      <c r="E52" s="171">
        <v>21350</v>
      </c>
      <c r="F52" s="165">
        <v>1175958000</v>
      </c>
      <c r="G52" s="164">
        <v>1.36450689158765E-3</v>
      </c>
    </row>
    <row r="53" spans="1:7" ht="33.950000000000003" customHeight="1">
      <c r="A53" s="163" t="s">
        <v>1061</v>
      </c>
      <c r="B53" s="162" t="s">
        <v>1062</v>
      </c>
      <c r="C53" s="220" t="s">
        <v>1063</v>
      </c>
      <c r="D53" s="165">
        <v>530110</v>
      </c>
      <c r="E53" s="171">
        <v>17900</v>
      </c>
      <c r="F53" s="165">
        <v>9488969000</v>
      </c>
      <c r="G53" s="164">
        <v>1.10103962850388E-2</v>
      </c>
    </row>
    <row r="54" spans="1:7" ht="33.950000000000003" customHeight="1">
      <c r="A54" s="163" t="s">
        <v>1064</v>
      </c>
      <c r="B54" s="162" t="s">
        <v>1065</v>
      </c>
      <c r="C54" s="220" t="s">
        <v>1066</v>
      </c>
      <c r="D54" s="165">
        <v>1024780</v>
      </c>
      <c r="E54" s="171">
        <v>23700</v>
      </c>
      <c r="F54" s="165">
        <v>24287286000</v>
      </c>
      <c r="G54" s="164">
        <v>2.8181422401956799E-2</v>
      </c>
    </row>
    <row r="55" spans="1:7" ht="33.950000000000003" customHeight="1">
      <c r="A55" s="163" t="s">
        <v>1067</v>
      </c>
      <c r="B55" s="162" t="s">
        <v>1068</v>
      </c>
      <c r="C55" s="220" t="s">
        <v>1069</v>
      </c>
      <c r="D55" s="165">
        <v>729465</v>
      </c>
      <c r="E55" s="171">
        <v>87700</v>
      </c>
      <c r="F55" s="165">
        <v>63974080500</v>
      </c>
      <c r="G55" s="164">
        <v>7.4231455311527597E-2</v>
      </c>
    </row>
    <row r="56" spans="1:7" ht="33.950000000000003" customHeight="1">
      <c r="A56" s="163" t="s">
        <v>1070</v>
      </c>
      <c r="B56" s="162" t="s">
        <v>1071</v>
      </c>
      <c r="C56" s="220" t="s">
        <v>1072</v>
      </c>
      <c r="D56" s="165">
        <v>32000</v>
      </c>
      <c r="E56" s="171">
        <v>49000</v>
      </c>
      <c r="F56" s="165">
        <v>1568000000</v>
      </c>
      <c r="G56" s="164">
        <v>1.81940750095619E-3</v>
      </c>
    </row>
    <row r="57" spans="1:7" ht="33.950000000000003" customHeight="1">
      <c r="A57" s="163" t="s">
        <v>1073</v>
      </c>
      <c r="B57" s="162" t="s">
        <v>1074</v>
      </c>
      <c r="C57" s="220" t="s">
        <v>1075</v>
      </c>
      <c r="D57" s="165">
        <v>165000</v>
      </c>
      <c r="E57" s="171">
        <v>80800</v>
      </c>
      <c r="F57" s="165">
        <v>13332000000</v>
      </c>
      <c r="G57" s="164">
        <v>1.5469605103793299E-2</v>
      </c>
    </row>
    <row r="58" spans="1:7" ht="33.950000000000003" customHeight="1">
      <c r="A58" s="163" t="s">
        <v>1076</v>
      </c>
      <c r="B58" s="162" t="s">
        <v>1077</v>
      </c>
      <c r="C58" s="220" t="s">
        <v>1078</v>
      </c>
      <c r="D58" s="165">
        <v>450050</v>
      </c>
      <c r="E58" s="171">
        <v>89000</v>
      </c>
      <c r="F58" s="165">
        <v>40054450000</v>
      </c>
      <c r="G58" s="164">
        <v>4.6476636974920098E-2</v>
      </c>
    </row>
    <row r="59" spans="1:7" ht="33.950000000000003" customHeight="1">
      <c r="A59" s="163" t="s">
        <v>1079</v>
      </c>
      <c r="B59" s="162" t="s">
        <v>1080</v>
      </c>
      <c r="C59" s="220" t="s">
        <v>1081</v>
      </c>
      <c r="D59" s="165">
        <v>247013</v>
      </c>
      <c r="E59" s="171">
        <v>119000</v>
      </c>
      <c r="F59" s="165">
        <v>29394547000</v>
      </c>
      <c r="G59" s="164">
        <v>3.4107563328449803E-2</v>
      </c>
    </row>
    <row r="60" spans="1:7" ht="33.950000000000003" customHeight="1">
      <c r="A60" s="163" t="s">
        <v>1082</v>
      </c>
      <c r="B60" s="162" t="s">
        <v>1083</v>
      </c>
      <c r="C60" s="220" t="s">
        <v>1084</v>
      </c>
      <c r="D60" s="165">
        <v>1</v>
      </c>
      <c r="E60" s="171">
        <v>145000</v>
      </c>
      <c r="F60" s="165">
        <v>145000</v>
      </c>
      <c r="G60" s="164">
        <v>1.68248780381791E-7</v>
      </c>
    </row>
    <row r="61" spans="1:7" ht="33.950000000000003" customHeight="1">
      <c r="A61" s="163" t="s">
        <v>1085</v>
      </c>
      <c r="B61" s="162" t="s">
        <v>1086</v>
      </c>
      <c r="C61" s="220" t="s">
        <v>1087</v>
      </c>
      <c r="D61" s="165">
        <v>236863</v>
      </c>
      <c r="E61" s="171">
        <v>130000</v>
      </c>
      <c r="F61" s="165">
        <v>30792190000</v>
      </c>
      <c r="G61" s="164">
        <v>3.5729299398512902E-2</v>
      </c>
    </row>
    <row r="62" spans="1:7" ht="33.950000000000003" customHeight="1">
      <c r="A62" s="163" t="s">
        <v>1088</v>
      </c>
      <c r="B62" s="162" t="s">
        <v>1089</v>
      </c>
      <c r="C62" s="220" t="s">
        <v>1090</v>
      </c>
      <c r="D62" s="165">
        <v>246203</v>
      </c>
      <c r="E62" s="171">
        <v>21500</v>
      </c>
      <c r="F62" s="165">
        <v>5293364500</v>
      </c>
      <c r="G62" s="164">
        <v>6.1420835947673599E-3</v>
      </c>
    </row>
    <row r="63" spans="1:7" ht="33.950000000000003" customHeight="1">
      <c r="A63" s="163" t="s">
        <v>1091</v>
      </c>
      <c r="B63" s="162" t="s">
        <v>1092</v>
      </c>
      <c r="C63" s="220" t="s">
        <v>1093</v>
      </c>
      <c r="D63" s="165">
        <v>285970</v>
      </c>
      <c r="E63" s="171">
        <v>33200</v>
      </c>
      <c r="F63" s="165">
        <v>9494204000</v>
      </c>
      <c r="G63" s="164">
        <v>1.10164706461787E-2</v>
      </c>
    </row>
    <row r="64" spans="1:7" ht="39" customHeight="1">
      <c r="A64" s="167"/>
      <c r="B64" s="166" t="s">
        <v>1167</v>
      </c>
      <c r="C64" s="218" t="s">
        <v>1094</v>
      </c>
      <c r="D64" s="169">
        <v>15715365</v>
      </c>
      <c r="E64" s="169"/>
      <c r="F64" s="169">
        <v>713837895750</v>
      </c>
      <c r="G64" s="168">
        <v>0.82829210586373303</v>
      </c>
    </row>
    <row r="65" spans="1:7" ht="39" customHeight="1">
      <c r="A65" s="167" t="s">
        <v>1095</v>
      </c>
      <c r="B65" s="166" t="s">
        <v>1168</v>
      </c>
      <c r="C65" s="218" t="s">
        <v>1096</v>
      </c>
      <c r="D65" s="169"/>
      <c r="E65" s="169"/>
      <c r="F65" s="169"/>
      <c r="G65" s="168"/>
    </row>
    <row r="66" spans="1:7" ht="39" customHeight="1">
      <c r="A66" s="167"/>
      <c r="B66" s="166" t="s">
        <v>1167</v>
      </c>
      <c r="C66" s="218" t="s">
        <v>1097</v>
      </c>
      <c r="D66" s="169">
        <v>0</v>
      </c>
      <c r="E66" s="169"/>
      <c r="F66" s="169">
        <v>0</v>
      </c>
      <c r="G66" s="168">
        <v>0</v>
      </c>
    </row>
    <row r="67" spans="1:7" ht="39" customHeight="1">
      <c r="A67" s="167"/>
      <c r="B67" s="166" t="s">
        <v>1246</v>
      </c>
      <c r="C67" s="218" t="s">
        <v>1098</v>
      </c>
      <c r="D67" s="169">
        <v>15715365</v>
      </c>
      <c r="E67" s="169"/>
      <c r="F67" s="169">
        <v>713837895750</v>
      </c>
      <c r="G67" s="168">
        <v>0.82829210586373303</v>
      </c>
    </row>
    <row r="68" spans="1:7" ht="39" customHeight="1">
      <c r="A68" s="167" t="s">
        <v>1099</v>
      </c>
      <c r="B68" s="166" t="s">
        <v>1169</v>
      </c>
      <c r="C68" s="218" t="s">
        <v>1100</v>
      </c>
      <c r="D68" s="169"/>
      <c r="E68" s="169"/>
      <c r="F68" s="169"/>
      <c r="G68" s="168"/>
    </row>
    <row r="69" spans="1:7" ht="39" customHeight="1">
      <c r="A69" s="163" t="s">
        <v>1101</v>
      </c>
      <c r="B69" s="162" t="s">
        <v>1102</v>
      </c>
      <c r="C69" s="220" t="s">
        <v>1103</v>
      </c>
      <c r="D69" s="165">
        <v>600000</v>
      </c>
      <c r="E69" s="216"/>
      <c r="F69" s="165">
        <v>60135800000</v>
      </c>
      <c r="G69" s="164">
        <v>6.9777758670919232E-2</v>
      </c>
    </row>
    <row r="70" spans="1:7" ht="33.950000000000003" customHeight="1">
      <c r="A70" s="163" t="s">
        <v>1104</v>
      </c>
      <c r="B70" s="217" t="s">
        <v>1266</v>
      </c>
      <c r="C70" s="220" t="s">
        <v>1105</v>
      </c>
      <c r="D70" s="165">
        <v>500000</v>
      </c>
      <c r="E70" s="171">
        <v>100000</v>
      </c>
      <c r="F70" s="165">
        <v>50000000000</v>
      </c>
      <c r="G70" s="164">
        <v>5.8016820821307102E-2</v>
      </c>
    </row>
    <row r="71" spans="1:7" ht="33.950000000000003" customHeight="1">
      <c r="A71" s="163" t="s">
        <v>1106</v>
      </c>
      <c r="B71" s="217" t="s">
        <v>1267</v>
      </c>
      <c r="C71" s="220" t="s">
        <v>1107</v>
      </c>
      <c r="D71" s="165">
        <v>100000</v>
      </c>
      <c r="E71" s="171">
        <v>101358</v>
      </c>
      <c r="F71" s="165">
        <v>10135800000</v>
      </c>
      <c r="G71" s="164">
        <v>1.17609378496121E-2</v>
      </c>
    </row>
    <row r="72" spans="1:7" ht="39" customHeight="1">
      <c r="A72" s="163" t="s">
        <v>1108</v>
      </c>
      <c r="B72" s="162" t="s">
        <v>1109</v>
      </c>
      <c r="C72" s="220" t="s">
        <v>1110</v>
      </c>
      <c r="D72" s="165">
        <v>0</v>
      </c>
      <c r="E72" s="171"/>
      <c r="F72" s="165">
        <v>0</v>
      </c>
      <c r="G72" s="164">
        <v>0</v>
      </c>
    </row>
    <row r="73" spans="1:7" ht="39" customHeight="1">
      <c r="A73" s="167"/>
      <c r="B73" s="166" t="s">
        <v>1167</v>
      </c>
      <c r="C73" s="218" t="s">
        <v>1111</v>
      </c>
      <c r="D73" s="169">
        <v>600000</v>
      </c>
      <c r="E73" s="169"/>
      <c r="F73" s="169">
        <v>60135800000</v>
      </c>
      <c r="G73" s="168">
        <v>6.9777758670919204E-2</v>
      </c>
    </row>
    <row r="74" spans="1:7" ht="39" customHeight="1">
      <c r="A74" s="167" t="s">
        <v>1112</v>
      </c>
      <c r="B74" s="166" t="s">
        <v>1170</v>
      </c>
      <c r="C74" s="218" t="s">
        <v>1113</v>
      </c>
      <c r="D74" s="169"/>
      <c r="E74" s="169"/>
      <c r="F74" s="169"/>
      <c r="G74" s="168"/>
    </row>
    <row r="75" spans="1:7" ht="39" customHeight="1">
      <c r="A75" s="163" t="s">
        <v>1114</v>
      </c>
      <c r="B75" s="162" t="s">
        <v>527</v>
      </c>
      <c r="C75" s="220" t="s">
        <v>1115</v>
      </c>
      <c r="D75" s="165">
        <v>0</v>
      </c>
      <c r="E75" s="171"/>
      <c r="F75" s="165">
        <v>0</v>
      </c>
      <c r="G75" s="164">
        <v>0</v>
      </c>
    </row>
    <row r="76" spans="1:7" ht="39" customHeight="1">
      <c r="A76" s="163" t="s">
        <v>1116</v>
      </c>
      <c r="B76" s="162" t="s">
        <v>1247</v>
      </c>
      <c r="C76" s="220" t="s">
        <v>1117</v>
      </c>
      <c r="D76" s="165">
        <v>0</v>
      </c>
      <c r="E76" s="171"/>
      <c r="F76" s="165">
        <v>0</v>
      </c>
      <c r="G76" s="164">
        <v>0</v>
      </c>
    </row>
    <row r="77" spans="1:7" ht="33.950000000000003" customHeight="1">
      <c r="A77" s="167"/>
      <c r="B77" s="166" t="s">
        <v>1167</v>
      </c>
      <c r="C77" s="218" t="s">
        <v>1118</v>
      </c>
      <c r="D77" s="169"/>
      <c r="E77" s="169"/>
      <c r="F77" s="169">
        <v>0</v>
      </c>
      <c r="G77" s="168">
        <v>0</v>
      </c>
    </row>
    <row r="78" spans="1:7" ht="39" customHeight="1">
      <c r="A78" s="167"/>
      <c r="B78" s="166" t="s">
        <v>1119</v>
      </c>
      <c r="C78" s="218" t="s">
        <v>1120</v>
      </c>
      <c r="D78" s="169"/>
      <c r="E78" s="169"/>
      <c r="F78" s="169">
        <v>773973695750</v>
      </c>
      <c r="G78" s="168">
        <v>0.89806986453465298</v>
      </c>
    </row>
    <row r="79" spans="1:7" ht="39" customHeight="1">
      <c r="A79" s="167" t="s">
        <v>1121</v>
      </c>
      <c r="B79" s="166" t="s">
        <v>1171</v>
      </c>
      <c r="C79" s="218" t="s">
        <v>1122</v>
      </c>
      <c r="D79" s="169"/>
      <c r="E79" s="169"/>
      <c r="F79" s="169"/>
      <c r="G79" s="168"/>
    </row>
    <row r="80" spans="1:7" ht="39" customHeight="1">
      <c r="A80" s="163" t="s">
        <v>1123</v>
      </c>
      <c r="B80" s="162" t="s">
        <v>1124</v>
      </c>
      <c r="C80" s="220" t="s">
        <v>1125</v>
      </c>
      <c r="D80" s="165"/>
      <c r="E80" s="171"/>
      <c r="F80" s="165">
        <v>1420150000</v>
      </c>
      <c r="G80" s="164">
        <v>1.6478517617875899E-3</v>
      </c>
    </row>
    <row r="81" spans="1:7" ht="39" customHeight="1">
      <c r="A81" s="163" t="s">
        <v>1126</v>
      </c>
      <c r="B81" s="162" t="s">
        <v>1127</v>
      </c>
      <c r="C81" s="220" t="s">
        <v>1128</v>
      </c>
      <c r="D81" s="165"/>
      <c r="E81" s="171"/>
      <c r="F81" s="165">
        <v>2842294521</v>
      </c>
      <c r="G81" s="164">
        <v>3.2980178389248002E-3</v>
      </c>
    </row>
    <row r="82" spans="1:7" ht="47.1" customHeight="1">
      <c r="A82" s="163" t="s">
        <v>1129</v>
      </c>
      <c r="B82" s="162" t="s">
        <v>1130</v>
      </c>
      <c r="C82" s="220" t="s">
        <v>1131</v>
      </c>
      <c r="D82" s="165"/>
      <c r="E82" s="171"/>
      <c r="F82" s="165">
        <v>222054794</v>
      </c>
      <c r="G82" s="164">
        <v>2.5765826392020499E-4</v>
      </c>
    </row>
    <row r="83" spans="1:7" ht="45" customHeight="1">
      <c r="A83" s="163" t="s">
        <v>1132</v>
      </c>
      <c r="B83" s="162" t="s">
        <v>1133</v>
      </c>
      <c r="C83" s="220" t="s">
        <v>1134</v>
      </c>
      <c r="D83" s="165"/>
      <c r="E83" s="171"/>
      <c r="F83" s="165">
        <v>0</v>
      </c>
      <c r="G83" s="164">
        <v>0</v>
      </c>
    </row>
    <row r="84" spans="1:7" ht="57" customHeight="1">
      <c r="A84" s="163" t="s">
        <v>1135</v>
      </c>
      <c r="B84" s="162" t="s">
        <v>1241</v>
      </c>
      <c r="C84" s="220" t="s">
        <v>1136</v>
      </c>
      <c r="D84" s="165"/>
      <c r="E84" s="171"/>
      <c r="F84" s="165">
        <v>0</v>
      </c>
      <c r="G84" s="164">
        <v>0</v>
      </c>
    </row>
    <row r="85" spans="1:7" ht="39" customHeight="1">
      <c r="A85" s="163" t="s">
        <v>1137</v>
      </c>
      <c r="B85" s="162" t="s">
        <v>1138</v>
      </c>
      <c r="C85" s="220" t="s">
        <v>1139</v>
      </c>
      <c r="D85" s="165"/>
      <c r="E85" s="171"/>
      <c r="F85" s="165">
        <v>0</v>
      </c>
      <c r="G85" s="164">
        <v>0</v>
      </c>
    </row>
    <row r="86" spans="1:7" ht="39" customHeight="1">
      <c r="A86" s="163" t="s">
        <v>1140</v>
      </c>
      <c r="B86" s="162" t="s">
        <v>1141</v>
      </c>
      <c r="C86" s="220" t="s">
        <v>1142</v>
      </c>
      <c r="D86" s="165"/>
      <c r="E86" s="171"/>
      <c r="F86" s="165">
        <v>-866400000</v>
      </c>
      <c r="G86" s="164">
        <v>-1.0053154711916099E-3</v>
      </c>
    </row>
    <row r="87" spans="1:7" ht="39" customHeight="1">
      <c r="A87" s="167"/>
      <c r="B87" s="166" t="s">
        <v>1167</v>
      </c>
      <c r="C87" s="218" t="s">
        <v>1143</v>
      </c>
      <c r="D87" s="169"/>
      <c r="E87" s="169"/>
      <c r="F87" s="169">
        <v>3618099315</v>
      </c>
      <c r="G87" s="168">
        <v>4.1982123934409801E-3</v>
      </c>
    </row>
    <row r="88" spans="1:7" ht="39" customHeight="1">
      <c r="A88" s="167" t="s">
        <v>1144</v>
      </c>
      <c r="B88" s="166" t="s">
        <v>1172</v>
      </c>
      <c r="C88" s="218" t="s">
        <v>1145</v>
      </c>
      <c r="D88" s="169"/>
      <c r="E88" s="169"/>
      <c r="F88" s="169"/>
      <c r="G88" s="168"/>
    </row>
    <row r="89" spans="1:7" ht="39" customHeight="1">
      <c r="A89" s="163" t="s">
        <v>1146</v>
      </c>
      <c r="B89" s="162" t="s">
        <v>1147</v>
      </c>
      <c r="C89" s="220" t="s">
        <v>1148</v>
      </c>
      <c r="D89" s="165"/>
      <c r="E89" s="171"/>
      <c r="F89" s="165">
        <v>49227230731</v>
      </c>
      <c r="G89" s="164">
        <v>5.7120148496991402E-2</v>
      </c>
    </row>
    <row r="90" spans="1:7" ht="39" customHeight="1">
      <c r="A90" s="163" t="s">
        <v>1149</v>
      </c>
      <c r="B90" s="162" t="s">
        <v>1173</v>
      </c>
      <c r="C90" s="220" t="s">
        <v>1150</v>
      </c>
      <c r="D90" s="165"/>
      <c r="E90" s="171"/>
      <c r="F90" s="165">
        <v>49227230731</v>
      </c>
      <c r="G90" s="164">
        <v>5.7120148496991402E-2</v>
      </c>
    </row>
    <row r="91" spans="1:7" ht="39" customHeight="1">
      <c r="A91" s="163" t="s">
        <v>1151</v>
      </c>
      <c r="B91" s="162" t="s">
        <v>1152</v>
      </c>
      <c r="C91" s="220" t="s">
        <v>1153</v>
      </c>
      <c r="D91" s="165"/>
      <c r="E91" s="171"/>
      <c r="F91" s="165">
        <v>0</v>
      </c>
      <c r="G91" s="164">
        <v>0</v>
      </c>
    </row>
    <row r="92" spans="1:7" ht="39" customHeight="1">
      <c r="A92" s="163" t="s">
        <v>1154</v>
      </c>
      <c r="B92" s="162" t="s">
        <v>1155</v>
      </c>
      <c r="C92" s="220" t="s">
        <v>1156</v>
      </c>
      <c r="D92" s="165"/>
      <c r="E92" s="171"/>
      <c r="F92" s="165">
        <v>0</v>
      </c>
      <c r="G92" s="164">
        <v>0</v>
      </c>
    </row>
    <row r="93" spans="1:7" ht="39" customHeight="1">
      <c r="A93" s="163" t="s">
        <v>1157</v>
      </c>
      <c r="B93" s="162" t="s">
        <v>1158</v>
      </c>
      <c r="C93" s="220" t="s">
        <v>1159</v>
      </c>
      <c r="D93" s="165"/>
      <c r="E93" s="171"/>
      <c r="F93" s="165">
        <v>35000000000</v>
      </c>
      <c r="G93" s="164">
        <v>4.0611774574915001E-2</v>
      </c>
    </row>
    <row r="94" spans="1:7" ht="39" customHeight="1">
      <c r="A94" s="163" t="s">
        <v>1160</v>
      </c>
      <c r="B94" s="162" t="s">
        <v>1161</v>
      </c>
      <c r="C94" s="220" t="s">
        <v>1162</v>
      </c>
      <c r="D94" s="165"/>
      <c r="E94" s="171"/>
      <c r="F94" s="165">
        <v>0</v>
      </c>
      <c r="G94" s="164">
        <v>0</v>
      </c>
    </row>
    <row r="95" spans="1:7" ht="39" customHeight="1">
      <c r="A95" s="167"/>
      <c r="B95" s="166" t="s">
        <v>1167</v>
      </c>
      <c r="C95" s="218" t="s">
        <v>1163</v>
      </c>
      <c r="D95" s="169"/>
      <c r="E95" s="169"/>
      <c r="F95" s="169">
        <v>84227230731</v>
      </c>
      <c r="G95" s="168">
        <v>9.7731923071906396E-2</v>
      </c>
    </row>
    <row r="96" spans="1:7" ht="39" customHeight="1">
      <c r="A96" s="167" t="s">
        <v>1164</v>
      </c>
      <c r="B96" s="166" t="s">
        <v>1165</v>
      </c>
      <c r="C96" s="218" t="s">
        <v>1166</v>
      </c>
      <c r="D96" s="169"/>
      <c r="E96" s="169"/>
      <c r="F96" s="169">
        <v>861819025796</v>
      </c>
      <c r="G96" s="168">
        <v>1</v>
      </c>
    </row>
    <row r="97" spans="1:7" ht="16.899999999999999" customHeight="1">
      <c r="A97" s="158"/>
      <c r="B97" s="103"/>
      <c r="C97" s="103"/>
      <c r="D97" s="103"/>
      <c r="E97" s="71"/>
      <c r="F97" s="103"/>
    </row>
    <row r="98" spans="1:7" ht="16.899999999999999" customHeight="1">
      <c r="A98" s="71" t="s">
        <v>10</v>
      </c>
      <c r="B98" s="103"/>
      <c r="C98" s="103"/>
      <c r="D98" s="103"/>
      <c r="E98" s="71" t="s">
        <v>11</v>
      </c>
      <c r="F98" s="103"/>
    </row>
    <row r="99" spans="1:7" ht="16.899999999999999" customHeight="1">
      <c r="A99" s="72" t="s">
        <v>12</v>
      </c>
      <c r="B99" s="103"/>
      <c r="C99" s="103"/>
      <c r="D99" s="103"/>
      <c r="E99" s="72" t="s">
        <v>13</v>
      </c>
      <c r="F99" s="103"/>
    </row>
    <row r="100" spans="1:7" ht="16.899999999999999" customHeight="1"/>
    <row r="101" spans="1:7" ht="16.899999999999999" customHeight="1">
      <c r="A101" s="96"/>
      <c r="E101" s="96"/>
    </row>
    <row r="102" spans="1:7" ht="16.899999999999999" customHeight="1"/>
    <row r="103" spans="1:7" ht="16.899999999999999" customHeight="1"/>
    <row r="104" spans="1:7" ht="16.899999999999999" customHeight="1"/>
    <row r="105" spans="1:7" ht="16.899999999999999" customHeight="1"/>
    <row r="106" spans="1:7" ht="16.899999999999999" customHeight="1"/>
    <row r="107" spans="1:7" ht="16.899999999999999" customHeight="1">
      <c r="A107" s="118"/>
    </row>
    <row r="108" spans="1:7" ht="16.899999999999999" customHeight="1">
      <c r="A108" s="105" t="s">
        <v>14</v>
      </c>
      <c r="B108" s="100"/>
      <c r="C108" s="100"/>
      <c r="E108" s="104" t="s">
        <v>1176</v>
      </c>
      <c r="F108" s="100"/>
      <c r="G108" s="100"/>
    </row>
    <row r="109" spans="1:7" ht="16.899999999999999" customHeight="1">
      <c r="A109" s="105" t="s">
        <v>1183</v>
      </c>
      <c r="E109" s="105" t="s">
        <v>1184</v>
      </c>
    </row>
    <row r="110" spans="1:7" ht="16.899999999999999" customHeight="1">
      <c r="A110" s="106" t="s">
        <v>1185</v>
      </c>
      <c r="E110" s="107" t="s">
        <v>1186</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63"/>
  <sheetViews>
    <sheetView view="pageBreakPreview" topLeftCell="A27" zoomScale="95" zoomScaleNormal="100" zoomScaleSheetLayoutView="95" workbookViewId="0">
      <selection activeCell="C39" sqref="C39"/>
    </sheetView>
  </sheetViews>
  <sheetFormatPr defaultColWidth="8.7109375" defaultRowHeight="12.75"/>
  <cols>
    <col min="1" max="1" width="8.7109375" style="61"/>
    <col min="2" max="2" width="56.85546875" style="61" customWidth="1"/>
    <col min="3" max="3" width="10.7109375" style="61" bestFit="1" customWidth="1"/>
    <col min="4" max="4" width="25.85546875" style="61" customWidth="1"/>
    <col min="5" max="5" width="25.42578125" style="61" customWidth="1"/>
    <col min="6" max="16384" width="8.7109375" style="101"/>
  </cols>
  <sheetData>
    <row r="1" spans="1:5" ht="30" customHeight="1">
      <c r="A1" s="226" t="s">
        <v>107</v>
      </c>
      <c r="B1" s="226"/>
      <c r="C1" s="226"/>
      <c r="D1" s="226"/>
      <c r="E1" s="226"/>
    </row>
    <row r="2" spans="1:5" ht="27.4" customHeight="1">
      <c r="A2" s="227" t="s">
        <v>108</v>
      </c>
      <c r="B2" s="227"/>
      <c r="C2" s="227"/>
      <c r="D2" s="227"/>
      <c r="E2" s="227"/>
    </row>
    <row r="3" spans="1:5">
      <c r="A3" s="228" t="s">
        <v>109</v>
      </c>
      <c r="B3" s="228"/>
      <c r="C3" s="228"/>
      <c r="D3" s="228"/>
      <c r="E3" s="228"/>
    </row>
    <row r="4" spans="1:5" ht="20.65" customHeight="1">
      <c r="A4" s="228"/>
      <c r="B4" s="228"/>
      <c r="C4" s="228"/>
      <c r="D4" s="228"/>
      <c r="E4" s="228"/>
    </row>
    <row r="5" spans="1:5" ht="16.899999999999999" customHeight="1">
      <c r="A5" s="229" t="str">
        <f>'Tong quat'!C2</f>
        <v>Tháng 10 năm 2019
/ Oct 2019</v>
      </c>
      <c r="B5" s="229"/>
      <c r="C5" s="229"/>
      <c r="D5" s="229"/>
      <c r="E5" s="229"/>
    </row>
    <row r="7" spans="1:5" ht="16.899999999999999" customHeight="1">
      <c r="A7" s="74" t="s">
        <v>2</v>
      </c>
      <c r="C7" s="255" t="str">
        <f>'Tong quat'!D5</f>
        <v>Công ty Cổ phần Quản lý Quỹ Đầu tư Việt Nam</v>
      </c>
      <c r="D7" s="255"/>
      <c r="E7" s="255"/>
    </row>
    <row r="8" spans="1:5" ht="16.899999999999999" customHeight="1">
      <c r="A8" s="61" t="s">
        <v>110</v>
      </c>
      <c r="C8" s="254" t="str">
        <f>'Tong quat'!D6</f>
        <v>Vietnam Investment Fund Management Joint Stock Company</v>
      </c>
      <c r="D8" s="254"/>
      <c r="E8" s="254"/>
    </row>
    <row r="9" spans="1:5" ht="16.899999999999999" customHeight="1">
      <c r="A9" s="74" t="s">
        <v>3</v>
      </c>
      <c r="C9" s="255" t="str">
        <f>'Tong quat'!D7</f>
        <v>Ngân hàng TNHH Một thành viên Standard Chartered (Việt Nam)</v>
      </c>
      <c r="D9" s="255"/>
      <c r="E9" s="255"/>
    </row>
    <row r="10" spans="1:5" ht="16.899999999999999" customHeight="1">
      <c r="A10" s="61" t="s">
        <v>4</v>
      </c>
      <c r="C10" s="254" t="str">
        <f>'Tong quat'!D8</f>
        <v>Standard Chartered Bank (Vietnam) Limited</v>
      </c>
      <c r="D10" s="254"/>
      <c r="E10" s="254"/>
    </row>
    <row r="11" spans="1:5" ht="16.899999999999999" customHeight="1">
      <c r="A11" s="74" t="s">
        <v>5</v>
      </c>
      <c r="C11" s="255" t="str">
        <f>'Tong quat'!D9</f>
        <v>Quỹ Đầu tư Chứng khoán Việt Nam</v>
      </c>
      <c r="D11" s="255"/>
      <c r="E11" s="255"/>
    </row>
    <row r="12" spans="1:5" ht="16.899999999999999" customHeight="1">
      <c r="A12" s="61" t="s">
        <v>6</v>
      </c>
      <c r="C12" s="254" t="str">
        <f>'Tong quat'!D10</f>
        <v>Vietnam Securities Investment Fund(VFMVF1)</v>
      </c>
      <c r="D12" s="254"/>
      <c r="E12" s="254"/>
    </row>
    <row r="13" spans="1:5" ht="16.899999999999999" customHeight="1">
      <c r="A13" s="74" t="s">
        <v>7</v>
      </c>
      <c r="C13" s="255" t="str">
        <f>'Tong quat'!D11</f>
        <v>Ngày 04 tháng 11 năm 2019</v>
      </c>
      <c r="D13" s="255"/>
      <c r="E13" s="255"/>
    </row>
    <row r="14" spans="1:5" ht="16.899999999999999" customHeight="1">
      <c r="A14" s="61" t="s">
        <v>8</v>
      </c>
      <c r="C14" s="254" t="str">
        <f>'Tong quat'!D12</f>
        <v>04 Nov 2019</v>
      </c>
      <c r="D14" s="254"/>
      <c r="E14" s="254"/>
    </row>
    <row r="16" spans="1:5" ht="16.899999999999999" customHeight="1"/>
    <row r="17" spans="1:5" ht="16.899999999999999" customHeight="1">
      <c r="A17" s="75" t="s">
        <v>125</v>
      </c>
      <c r="B17" s="76" t="s">
        <v>505</v>
      </c>
    </row>
    <row r="18" spans="1:5" ht="42" customHeight="1">
      <c r="A18" s="102" t="s">
        <v>113</v>
      </c>
      <c r="B18" s="102" t="s">
        <v>506</v>
      </c>
      <c r="C18" s="102" t="s">
        <v>115</v>
      </c>
      <c r="D18" s="102" t="str">
        <f>BCKetQuaHoatDong_06028!D18</f>
        <v>Tháng 10 năm 2019
Oct 2019</v>
      </c>
      <c r="E18" s="102" t="str">
        <f>BCKetQuaHoatDong_06028!E18</f>
        <v>Tháng 09 năm 2019
Sep 2019</v>
      </c>
    </row>
    <row r="19" spans="1:5" s="111" customFormat="1" ht="39" customHeight="1">
      <c r="A19" s="108" t="s">
        <v>111</v>
      </c>
      <c r="B19" s="109" t="s">
        <v>220</v>
      </c>
      <c r="C19" s="110" t="s">
        <v>221</v>
      </c>
      <c r="D19" s="164"/>
      <c r="E19" s="164"/>
    </row>
    <row r="20" spans="1:5" ht="58.5" customHeight="1">
      <c r="A20" s="112">
        <v>1</v>
      </c>
      <c r="B20" s="47" t="s">
        <v>507</v>
      </c>
      <c r="C20" s="113" t="s">
        <v>222</v>
      </c>
      <c r="D20" s="164">
        <v>1.98759746143993E-2</v>
      </c>
      <c r="E20" s="164">
        <v>1.9234915966833799E-2</v>
      </c>
    </row>
    <row r="21" spans="1:5" ht="55.5" customHeight="1">
      <c r="A21" s="112">
        <v>2</v>
      </c>
      <c r="B21" s="47" t="s">
        <v>508</v>
      </c>
      <c r="C21" s="113" t="s">
        <v>223</v>
      </c>
      <c r="D21" s="164">
        <v>1.02112544086757E-3</v>
      </c>
      <c r="E21" s="164">
        <v>9.6711868765936E-4</v>
      </c>
    </row>
    <row r="22" spans="1:5" ht="91.5" customHeight="1">
      <c r="A22" s="112">
        <v>3</v>
      </c>
      <c r="B22" s="47" t="s">
        <v>509</v>
      </c>
      <c r="C22" s="113" t="s">
        <v>224</v>
      </c>
      <c r="D22" s="164">
        <v>5.0741347279242605E-4</v>
      </c>
      <c r="E22" s="164">
        <v>5.1310708905062197E-4</v>
      </c>
    </row>
    <row r="23" spans="1:5" ht="51">
      <c r="A23" s="112">
        <v>4</v>
      </c>
      <c r="B23" s="47" t="s">
        <v>510</v>
      </c>
      <c r="C23" s="113" t="s">
        <v>225</v>
      </c>
      <c r="D23" s="164">
        <v>2.1509923520661399E-4</v>
      </c>
      <c r="E23" s="164">
        <v>2.0523365377744199E-4</v>
      </c>
    </row>
    <row r="24" spans="1:5" ht="79.5" customHeight="1">
      <c r="A24" s="112">
        <v>5</v>
      </c>
      <c r="B24" s="47" t="s">
        <v>511</v>
      </c>
      <c r="C24" s="113" t="s">
        <v>226</v>
      </c>
      <c r="D24" s="164">
        <v>2.5736211748336399E-4</v>
      </c>
      <c r="E24" s="164">
        <v>2.5310264232072401E-4</v>
      </c>
    </row>
    <row r="25" spans="1:5" ht="39" customHeight="1">
      <c r="A25" s="112">
        <v>6</v>
      </c>
      <c r="B25" s="47" t="s">
        <v>512</v>
      </c>
      <c r="C25" s="113" t="s">
        <v>227</v>
      </c>
      <c r="D25" s="164">
        <v>2.26097351863347E-2</v>
      </c>
      <c r="E25" s="164">
        <v>2.11906529696495E-2</v>
      </c>
    </row>
    <row r="26" spans="1:5" ht="80.25" customHeight="1">
      <c r="A26" s="112">
        <v>7</v>
      </c>
      <c r="B26" s="47" t="s">
        <v>513</v>
      </c>
      <c r="C26" s="113" t="s">
        <v>228</v>
      </c>
      <c r="D26" s="164">
        <v>3.4794840691184402E-2</v>
      </c>
      <c r="E26" s="164">
        <v>5.3838462780563999E-2</v>
      </c>
    </row>
    <row r="27" spans="1:5" ht="39" customHeight="1">
      <c r="A27" s="108" t="s">
        <v>118</v>
      </c>
      <c r="B27" s="109" t="s">
        <v>229</v>
      </c>
      <c r="C27" s="110" t="s">
        <v>230</v>
      </c>
      <c r="D27" s="114"/>
      <c r="E27" s="114"/>
    </row>
    <row r="28" spans="1:5" ht="40.9" customHeight="1">
      <c r="A28" s="256">
        <v>1</v>
      </c>
      <c r="B28" s="47" t="s">
        <v>231</v>
      </c>
      <c r="C28" s="113" t="s">
        <v>232</v>
      </c>
      <c r="D28" s="114">
        <v>210018339800</v>
      </c>
      <c r="E28" s="114">
        <v>217450991500</v>
      </c>
    </row>
    <row r="29" spans="1:5" ht="42.4" customHeight="1">
      <c r="A29" s="256"/>
      <c r="B29" s="47" t="s">
        <v>233</v>
      </c>
      <c r="C29" s="113" t="s">
        <v>234</v>
      </c>
      <c r="D29" s="114">
        <v>210018339800</v>
      </c>
      <c r="E29" s="114">
        <v>217450991500</v>
      </c>
    </row>
    <row r="30" spans="1:5" s="111" customFormat="1" ht="44.65" customHeight="1">
      <c r="A30" s="256"/>
      <c r="B30" s="47" t="s">
        <v>235</v>
      </c>
      <c r="C30" s="113" t="s">
        <v>236</v>
      </c>
      <c r="D30" s="116">
        <v>21001833.98</v>
      </c>
      <c r="E30" s="116">
        <v>21745099.149999999</v>
      </c>
    </row>
    <row r="31" spans="1:5" ht="43.5" customHeight="1">
      <c r="A31" s="256">
        <v>2</v>
      </c>
      <c r="B31" s="47" t="s">
        <v>237</v>
      </c>
      <c r="C31" s="113" t="s">
        <v>238</v>
      </c>
      <c r="D31" s="114">
        <v>-4308706200</v>
      </c>
      <c r="E31" s="114">
        <v>-7432651700</v>
      </c>
    </row>
    <row r="32" spans="1:5" ht="39" customHeight="1">
      <c r="A32" s="256"/>
      <c r="B32" s="47" t="s">
        <v>239</v>
      </c>
      <c r="C32" s="113" t="s">
        <v>240</v>
      </c>
      <c r="D32" s="116">
        <v>-430870.62</v>
      </c>
      <c r="E32" s="116">
        <v>-743265.17</v>
      </c>
    </row>
    <row r="33" spans="1:5" ht="39" customHeight="1">
      <c r="A33" s="256"/>
      <c r="B33" s="47" t="s">
        <v>241</v>
      </c>
      <c r="C33" s="113" t="s">
        <v>242</v>
      </c>
      <c r="D33" s="114">
        <v>-4308706200</v>
      </c>
      <c r="E33" s="114">
        <v>-7432651700</v>
      </c>
    </row>
    <row r="34" spans="1:5" ht="39" customHeight="1">
      <c r="A34" s="256"/>
      <c r="B34" s="47" t="s">
        <v>243</v>
      </c>
      <c r="C34" s="113" t="s">
        <v>244</v>
      </c>
      <c r="D34" s="115">
        <v>51294.48</v>
      </c>
      <c r="E34" s="115">
        <v>34291.67</v>
      </c>
    </row>
    <row r="35" spans="1:5" ht="39" customHeight="1">
      <c r="A35" s="256"/>
      <c r="B35" s="47" t="s">
        <v>471</v>
      </c>
      <c r="C35" s="113" t="s">
        <v>245</v>
      </c>
      <c r="D35" s="114">
        <v>512944800</v>
      </c>
      <c r="E35" s="114">
        <v>342916700</v>
      </c>
    </row>
    <row r="36" spans="1:5" ht="39" customHeight="1">
      <c r="A36" s="256"/>
      <c r="B36" s="47" t="s">
        <v>246</v>
      </c>
      <c r="C36" s="113" t="s">
        <v>247</v>
      </c>
      <c r="D36" s="116">
        <v>-482165.1</v>
      </c>
      <c r="E36" s="116">
        <v>-777556.84</v>
      </c>
    </row>
    <row r="37" spans="1:5" ht="44.65" customHeight="1">
      <c r="A37" s="256"/>
      <c r="B37" s="47" t="s">
        <v>472</v>
      </c>
      <c r="C37" s="113" t="s">
        <v>248</v>
      </c>
      <c r="D37" s="114">
        <v>-4821651000</v>
      </c>
      <c r="E37" s="114">
        <v>-7775568400</v>
      </c>
    </row>
    <row r="38" spans="1:5" ht="39" customHeight="1">
      <c r="A38" s="256">
        <v>3</v>
      </c>
      <c r="B38" s="47" t="s">
        <v>473</v>
      </c>
      <c r="C38" s="113" t="s">
        <v>249</v>
      </c>
      <c r="D38" s="114">
        <v>205709633600</v>
      </c>
      <c r="E38" s="114">
        <v>210018339800</v>
      </c>
    </row>
    <row r="39" spans="1:5" ht="39" customHeight="1">
      <c r="A39" s="256"/>
      <c r="B39" s="47" t="s">
        <v>250</v>
      </c>
      <c r="C39" s="113" t="s">
        <v>251</v>
      </c>
      <c r="D39" s="114">
        <v>205709633600</v>
      </c>
      <c r="E39" s="114">
        <v>210018339800</v>
      </c>
    </row>
    <row r="40" spans="1:5" ht="39" customHeight="1">
      <c r="A40" s="256"/>
      <c r="B40" s="47" t="s">
        <v>252</v>
      </c>
      <c r="C40" s="113" t="s">
        <v>253</v>
      </c>
      <c r="D40" s="116">
        <v>20570963.359999999</v>
      </c>
      <c r="E40" s="116">
        <v>21001833.98</v>
      </c>
    </row>
    <row r="41" spans="1:5" ht="60" customHeight="1">
      <c r="A41" s="112">
        <v>4</v>
      </c>
      <c r="B41" s="47" t="s">
        <v>254</v>
      </c>
      <c r="C41" s="113" t="s">
        <v>255</v>
      </c>
      <c r="D41" s="164">
        <v>5.68855011562278E-2</v>
      </c>
      <c r="E41" s="164">
        <v>5.5696662068366702E-2</v>
      </c>
    </row>
    <row r="42" spans="1:5" ht="39" customHeight="1">
      <c r="A42" s="112">
        <v>5</v>
      </c>
      <c r="B42" s="47" t="s">
        <v>256</v>
      </c>
      <c r="C42" s="113" t="s">
        <v>257</v>
      </c>
      <c r="D42" s="164">
        <v>0.69599999999999995</v>
      </c>
      <c r="E42" s="164">
        <v>0.6825</v>
      </c>
    </row>
    <row r="43" spans="1:5" ht="39" customHeight="1">
      <c r="A43" s="112">
        <v>6</v>
      </c>
      <c r="B43" s="47" t="s">
        <v>258</v>
      </c>
      <c r="C43" s="113" t="s">
        <v>259</v>
      </c>
      <c r="D43" s="164">
        <v>0.58809999999999996</v>
      </c>
      <c r="E43" s="164">
        <v>0.57599999999999996</v>
      </c>
    </row>
    <row r="44" spans="1:5" ht="39" customHeight="1">
      <c r="A44" s="112">
        <v>7</v>
      </c>
      <c r="B44" s="47" t="s">
        <v>260</v>
      </c>
      <c r="C44" s="113" t="s">
        <v>261</v>
      </c>
      <c r="D44" s="114">
        <v>3170</v>
      </c>
      <c r="E44" s="114">
        <v>3184</v>
      </c>
    </row>
    <row r="45" spans="1:5" ht="39" customHeight="1">
      <c r="A45" s="112">
        <v>8</v>
      </c>
      <c r="B45" s="47" t="s">
        <v>474</v>
      </c>
      <c r="C45" s="113" t="s">
        <v>262</v>
      </c>
      <c r="D45" s="116">
        <v>41652.06</v>
      </c>
      <c r="E45" s="116">
        <v>41447.910000000003</v>
      </c>
    </row>
    <row r="46" spans="1:5" ht="16.899999999999999" customHeight="1">
      <c r="A46" s="96" t="s">
        <v>263</v>
      </c>
    </row>
    <row r="47" spans="1:5" ht="60.4" customHeight="1">
      <c r="A47" s="225" t="s">
        <v>1236</v>
      </c>
      <c r="B47" s="225"/>
      <c r="C47" s="225"/>
      <c r="D47" s="225"/>
      <c r="E47" s="225"/>
    </row>
    <row r="48" spans="1:5" ht="28.5" customHeight="1">
      <c r="A48" s="225" t="s">
        <v>264</v>
      </c>
      <c r="B48" s="254"/>
      <c r="C48" s="254"/>
      <c r="D48" s="254"/>
      <c r="E48" s="254"/>
    </row>
    <row r="50" spans="1:5" ht="16.899999999999999" customHeight="1">
      <c r="A50" s="96" t="str">
        <f>'Tong quat'!C16</f>
        <v>Đại diện có thẩm quyền của Ngân hàng giám sát</v>
      </c>
      <c r="D50" s="96" t="str">
        <f>'Tong quat'!F16</f>
        <v>Đại diện có thẩm quyền của Công ty quản lý Quỹ</v>
      </c>
    </row>
    <row r="51" spans="1:5" s="117" customFormat="1" ht="16.899999999999999" customHeight="1">
      <c r="A51" s="97" t="str">
        <f>'Tong quat'!C17</f>
        <v>Authorised Representative of Supervisory Bank</v>
      </c>
      <c r="B51" s="97"/>
      <c r="C51" s="97"/>
      <c r="D51" s="97" t="str">
        <f>'Tong quat'!F17</f>
        <v>Authorised Representative of Fund Management Company</v>
      </c>
      <c r="E51" s="97"/>
    </row>
    <row r="52" spans="1:5" ht="16.899999999999999" customHeight="1"/>
    <row r="53" spans="1:5" ht="16.899999999999999" customHeight="1"/>
    <row r="60" spans="1:5">
      <c r="A60" s="118"/>
      <c r="B60" s="118"/>
      <c r="D60" s="118"/>
      <c r="E60" s="118"/>
    </row>
    <row r="61" spans="1:5" ht="16.899999999999999" customHeight="1">
      <c r="A61" s="96" t="str">
        <f>'Tong quat'!C19</f>
        <v>Ngân hàng TNHH MTV Standard Chartered (Việt Nam)</v>
      </c>
      <c r="D61" s="96" t="str">
        <f>'Tong quat'!F19</f>
        <v>Công ty Cổ phần Quản lý Quỹ Đầu tư Việt Nam</v>
      </c>
    </row>
    <row r="62" spans="1:5" ht="16.899999999999999" customHeight="1">
      <c r="A62" s="96" t="str">
        <f>'Tong quat'!C20</f>
        <v>Vũ Hương Giang</v>
      </c>
      <c r="D62" s="96" t="str">
        <f>'Tong quat'!F20</f>
        <v>Trần Thanh Tân</v>
      </c>
    </row>
    <row r="63" spans="1:5" ht="16.899999999999999" customHeight="1">
      <c r="A63" s="61" t="str">
        <f>'Tong quat'!C21</f>
        <v>Phó phòng Nghiệp vụ Dịch vụ Chứng khoán</v>
      </c>
      <c r="D63" s="61" t="str">
        <f>'Tong quat'!F21</f>
        <v>Tổng Giám đốc</v>
      </c>
    </row>
  </sheetData>
  <mergeCells count="17">
    <mergeCell ref="A28:A30"/>
    <mergeCell ref="A31:A37"/>
    <mergeCell ref="A38:A40"/>
    <mergeCell ref="A47:E47"/>
    <mergeCell ref="A48:E48"/>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76" fitToHeight="3" orientation="portrait" r:id="rId1"/>
  <rowBreaks count="1" manualBreakCount="1">
    <brk id="30" max="4"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43"/>
  <sheetViews>
    <sheetView view="pageBreakPreview" zoomScale="95" zoomScaleNormal="100" zoomScaleSheetLayoutView="95" workbookViewId="0">
      <selection activeCell="D23" sqref="D23"/>
    </sheetView>
  </sheetViews>
  <sheetFormatPr defaultColWidth="8.7109375" defaultRowHeight="12.75"/>
  <cols>
    <col min="1" max="1" width="8.7109375" style="61"/>
    <col min="2" max="2" width="6.42578125" style="61" customWidth="1"/>
    <col min="3" max="3" width="46.140625" style="61" customWidth="1"/>
    <col min="4" max="4" width="10.7109375" style="61" bestFit="1" customWidth="1"/>
    <col min="5" max="6" width="26.28515625" style="61" customWidth="1"/>
    <col min="7" max="16384" width="8.7109375" style="101"/>
  </cols>
  <sheetData>
    <row r="1" spans="1:6" ht="26.65" customHeight="1">
      <c r="A1" s="226" t="s">
        <v>419</v>
      </c>
      <c r="B1" s="226"/>
      <c r="C1" s="226"/>
      <c r="D1" s="226"/>
      <c r="E1" s="226"/>
      <c r="F1" s="226"/>
    </row>
    <row r="2" spans="1:6" ht="32.65" customHeight="1">
      <c r="A2" s="227" t="s">
        <v>108</v>
      </c>
      <c r="B2" s="227"/>
      <c r="C2" s="227"/>
      <c r="D2" s="227"/>
      <c r="E2" s="227"/>
      <c r="F2" s="227"/>
    </row>
    <row r="3" spans="1:6" ht="15" customHeight="1">
      <c r="A3" s="228" t="s">
        <v>514</v>
      </c>
      <c r="B3" s="228"/>
      <c r="C3" s="228"/>
      <c r="D3" s="228"/>
      <c r="E3" s="228"/>
      <c r="F3" s="228"/>
    </row>
    <row r="4" spans="1:6" ht="21" customHeight="1">
      <c r="A4" s="228"/>
      <c r="B4" s="228"/>
      <c r="C4" s="228"/>
      <c r="D4" s="228"/>
      <c r="E4" s="228"/>
      <c r="F4" s="228"/>
    </row>
    <row r="5" spans="1:6" ht="16.899999999999999" customHeight="1">
      <c r="A5" s="229" t="str">
        <f>'Tong quat'!C2</f>
        <v>Tháng 10 năm 2019
/ Oct 2019</v>
      </c>
      <c r="B5" s="229"/>
      <c r="C5" s="229"/>
      <c r="D5" s="229"/>
      <c r="E5" s="229"/>
      <c r="F5" s="229"/>
    </row>
    <row r="6" spans="1:6" ht="16.899999999999999" customHeight="1"/>
    <row r="7" spans="1:6" ht="16.899999999999999" customHeight="1">
      <c r="A7" s="74" t="s">
        <v>2</v>
      </c>
      <c r="B7" s="119"/>
      <c r="D7" s="255" t="str">
        <f>'Tong quat'!D5</f>
        <v>Công ty Cổ phần Quản lý Quỹ Đầu tư Việt Nam</v>
      </c>
      <c r="E7" s="255"/>
      <c r="F7" s="255"/>
    </row>
    <row r="8" spans="1:6" ht="16.899999999999999" customHeight="1">
      <c r="A8" s="61" t="s">
        <v>110</v>
      </c>
      <c r="B8" s="119"/>
      <c r="D8" s="254" t="str">
        <f>'Tong quat'!D6</f>
        <v>Vietnam Investment Fund Management Joint Stock Company</v>
      </c>
      <c r="E8" s="254"/>
      <c r="F8" s="254"/>
    </row>
    <row r="9" spans="1:6" ht="16.899999999999999" customHeight="1">
      <c r="A9" s="74" t="s">
        <v>3</v>
      </c>
      <c r="B9" s="119"/>
      <c r="D9" s="255" t="str">
        <f>'Tong quat'!D7</f>
        <v>Ngân hàng TNHH Một thành viên Standard Chartered (Việt Nam)</v>
      </c>
      <c r="E9" s="255"/>
      <c r="F9" s="255"/>
    </row>
    <row r="10" spans="1:6" ht="16.899999999999999" customHeight="1">
      <c r="A10" s="61" t="s">
        <v>4</v>
      </c>
      <c r="B10" s="119"/>
      <c r="D10" s="254" t="str">
        <f>'Tong quat'!D8</f>
        <v>Standard Chartered Bank (Vietnam) Limited</v>
      </c>
      <c r="E10" s="254"/>
      <c r="F10" s="254"/>
    </row>
    <row r="11" spans="1:6" ht="16.899999999999999" customHeight="1">
      <c r="A11" s="74" t="s">
        <v>5</v>
      </c>
      <c r="B11" s="119"/>
      <c r="D11" s="255" t="str">
        <f>'Tong quat'!D9</f>
        <v>Quỹ Đầu tư Chứng khoán Việt Nam</v>
      </c>
      <c r="E11" s="255"/>
      <c r="F11" s="255"/>
    </row>
    <row r="12" spans="1:6" ht="16.899999999999999" customHeight="1">
      <c r="A12" s="61" t="s">
        <v>6</v>
      </c>
      <c r="B12" s="119"/>
      <c r="D12" s="254" t="str">
        <f>'Tong quat'!D10</f>
        <v>Vietnam Securities Investment Fund(VFMVF1)</v>
      </c>
      <c r="E12" s="254"/>
      <c r="F12" s="254"/>
    </row>
    <row r="13" spans="1:6" ht="16.899999999999999" customHeight="1">
      <c r="A13" s="74" t="s">
        <v>7</v>
      </c>
      <c r="B13" s="119"/>
      <c r="D13" s="255" t="str">
        <f>'Tong quat'!D11</f>
        <v>Ngày 04 tháng 11 năm 2019</v>
      </c>
      <c r="E13" s="255"/>
      <c r="F13" s="255"/>
    </row>
    <row r="14" spans="1:6" ht="16.899999999999999" customHeight="1">
      <c r="A14" s="61" t="s">
        <v>8</v>
      </c>
      <c r="D14" s="254" t="str">
        <f>'Tong quat'!D12</f>
        <v>04 Nov 2019</v>
      </c>
      <c r="E14" s="254"/>
      <c r="F14" s="254"/>
    </row>
    <row r="17" spans="1:6">
      <c r="A17" s="75"/>
      <c r="B17" s="75"/>
      <c r="C17" s="76"/>
    </row>
    <row r="18" spans="1:6" ht="37.15" customHeight="1">
      <c r="A18" s="257" t="s">
        <v>113</v>
      </c>
      <c r="B18" s="258"/>
      <c r="C18" s="102" t="s">
        <v>515</v>
      </c>
      <c r="D18" s="102" t="s">
        <v>286</v>
      </c>
      <c r="E18" s="102" t="str">
        <f>BCKetQuaHoatDong_06028!D18</f>
        <v>Tháng 10 năm 2019
Oct 2019</v>
      </c>
      <c r="F18" s="102" t="str">
        <f>BCKetQuaHoatDong_06028!E18</f>
        <v>Tháng 09 năm 2019
Sep 2019</v>
      </c>
    </row>
    <row r="19" spans="1:6" s="111" customFormat="1" ht="46.5" customHeight="1">
      <c r="A19" s="108" t="s">
        <v>111</v>
      </c>
      <c r="B19" s="108"/>
      <c r="C19" s="120" t="s">
        <v>265</v>
      </c>
      <c r="D19" s="121" t="s">
        <v>266</v>
      </c>
      <c r="E19" s="169">
        <v>870482187950</v>
      </c>
      <c r="F19" s="169">
        <v>882204395196</v>
      </c>
    </row>
    <row r="20" spans="1:6" s="111" customFormat="1" ht="79.5" customHeight="1">
      <c r="A20" s="108" t="s">
        <v>118</v>
      </c>
      <c r="B20" s="108"/>
      <c r="C20" s="120" t="s">
        <v>267</v>
      </c>
      <c r="D20" s="121" t="s">
        <v>268</v>
      </c>
      <c r="E20" s="169">
        <v>4194581295</v>
      </c>
      <c r="F20" s="169">
        <v>18755924050</v>
      </c>
    </row>
    <row r="21" spans="1:6" ht="58.15" customHeight="1">
      <c r="A21" s="259"/>
      <c r="B21" s="112" t="s">
        <v>119</v>
      </c>
      <c r="C21" s="122" t="s">
        <v>269</v>
      </c>
      <c r="D21" s="123" t="s">
        <v>270</v>
      </c>
      <c r="E21" s="159">
        <v>4194581295</v>
      </c>
      <c r="F21" s="159">
        <v>18755924050</v>
      </c>
    </row>
    <row r="22" spans="1:6" ht="57" customHeight="1">
      <c r="A22" s="260"/>
      <c r="B22" s="112" t="s">
        <v>120</v>
      </c>
      <c r="C22" s="122" t="s">
        <v>475</v>
      </c>
      <c r="D22" s="123" t="s">
        <v>271</v>
      </c>
      <c r="E22" s="159">
        <v>0</v>
      </c>
      <c r="F22" s="159">
        <v>0</v>
      </c>
    </row>
    <row r="23" spans="1:6" s="111" customFormat="1" ht="76.5" customHeight="1">
      <c r="A23" s="108" t="s">
        <v>124</v>
      </c>
      <c r="B23" s="108"/>
      <c r="C23" s="120" t="s">
        <v>272</v>
      </c>
      <c r="D23" s="121" t="s">
        <v>273</v>
      </c>
      <c r="E23" s="169">
        <v>-17853610523</v>
      </c>
      <c r="F23" s="169">
        <v>-30478131296</v>
      </c>
    </row>
    <row r="24" spans="1:6" ht="46.5" customHeight="1">
      <c r="A24" s="259"/>
      <c r="B24" s="112" t="s">
        <v>274</v>
      </c>
      <c r="C24" s="122" t="s">
        <v>275</v>
      </c>
      <c r="D24" s="123" t="s">
        <v>276</v>
      </c>
      <c r="E24" s="159">
        <v>2119427539</v>
      </c>
      <c r="F24" s="159">
        <v>1397279179</v>
      </c>
    </row>
    <row r="25" spans="1:6" ht="33" customHeight="1">
      <c r="A25" s="260"/>
      <c r="B25" s="112" t="s">
        <v>277</v>
      </c>
      <c r="C25" s="122" t="s">
        <v>278</v>
      </c>
      <c r="D25" s="123" t="s">
        <v>279</v>
      </c>
      <c r="E25" s="159">
        <v>-19973038062</v>
      </c>
      <c r="F25" s="159">
        <v>-31875410475</v>
      </c>
    </row>
    <row r="26" spans="1:6" s="111" customFormat="1" ht="45.4" customHeight="1">
      <c r="A26" s="108" t="s">
        <v>125</v>
      </c>
      <c r="B26" s="108"/>
      <c r="C26" s="120" t="s">
        <v>516</v>
      </c>
      <c r="D26" s="121" t="s">
        <v>280</v>
      </c>
      <c r="E26" s="169">
        <v>856823158722</v>
      </c>
      <c r="F26" s="169">
        <v>870482187950</v>
      </c>
    </row>
    <row r="27" spans="1:6" s="111" customFormat="1" ht="47.25" customHeight="1">
      <c r="A27" s="108" t="s">
        <v>126</v>
      </c>
      <c r="B27" s="108"/>
      <c r="C27" s="120" t="s">
        <v>487</v>
      </c>
      <c r="D27" s="121" t="s">
        <v>281</v>
      </c>
      <c r="E27" s="160">
        <v>41652.06</v>
      </c>
      <c r="F27" s="160">
        <v>41447.910000000003</v>
      </c>
    </row>
    <row r="28" spans="1:6">
      <c r="A28" s="124"/>
      <c r="B28" s="124"/>
      <c r="C28" s="125"/>
      <c r="D28" s="124"/>
      <c r="E28" s="126"/>
      <c r="F28" s="126"/>
    </row>
    <row r="30" spans="1:6" ht="16.899999999999999" customHeight="1">
      <c r="A30" s="96" t="str">
        <f>'Tong quat'!C16</f>
        <v>Đại diện có thẩm quyền của Ngân hàng giám sát</v>
      </c>
      <c r="B30" s="96"/>
      <c r="E30" s="96" t="str">
        <f>'Tong quat'!F16</f>
        <v>Đại diện có thẩm quyền của Công ty quản lý Quỹ</v>
      </c>
    </row>
    <row r="31" spans="1:6" s="117" customFormat="1" ht="16.899999999999999" customHeight="1">
      <c r="A31" s="97" t="str">
        <f>'Tong quat'!C17</f>
        <v>Authorised Representative of Supervisory Bank</v>
      </c>
      <c r="B31" s="97"/>
      <c r="C31" s="97"/>
      <c r="D31" s="97"/>
      <c r="E31" s="97" t="str">
        <f>'Tong quat'!F17</f>
        <v>Authorised Representative of Fund Management Company</v>
      </c>
      <c r="F31" s="97"/>
    </row>
    <row r="40" spans="1:6">
      <c r="A40" s="118"/>
      <c r="B40" s="118"/>
      <c r="C40" s="118"/>
      <c r="E40" s="118"/>
      <c r="F40" s="118"/>
    </row>
    <row r="41" spans="1:6" ht="16.899999999999999" customHeight="1">
      <c r="A41" s="96" t="str">
        <f>'Tong quat'!C19</f>
        <v>Ngân hàng TNHH MTV Standard Chartered (Việt Nam)</v>
      </c>
      <c r="B41" s="96"/>
      <c r="E41" s="96" t="str">
        <f>'Tong quat'!F19</f>
        <v>Công ty Cổ phần Quản lý Quỹ Đầu tư Việt Nam</v>
      </c>
    </row>
    <row r="42" spans="1:6" ht="16.899999999999999" customHeight="1">
      <c r="A42" s="127" t="str">
        <f>'Tong quat'!C20</f>
        <v>Vũ Hương Giang</v>
      </c>
      <c r="B42" s="96"/>
      <c r="E42" s="96" t="str">
        <f>'Tong quat'!F20</f>
        <v>Trần Thanh Tân</v>
      </c>
    </row>
    <row r="43" spans="1:6" ht="16.899999999999999" customHeight="1">
      <c r="A43" s="103" t="str">
        <f>'Tong quat'!C21</f>
        <v>Phó phòng Nghiệp vụ Dịch vụ Chứng khoán</v>
      </c>
      <c r="E43" s="61" t="str">
        <f>'Tong quat'!F21</f>
        <v>Tổng Giám đốc</v>
      </c>
    </row>
  </sheetData>
  <mergeCells count="15">
    <mergeCell ref="A18:B18"/>
    <mergeCell ref="A21:A22"/>
    <mergeCell ref="A24:A25"/>
    <mergeCell ref="D9:F9"/>
    <mergeCell ref="D10:F10"/>
    <mergeCell ref="D11:F11"/>
    <mergeCell ref="D12:F12"/>
    <mergeCell ref="D13:F13"/>
    <mergeCell ref="D14:F14"/>
    <mergeCell ref="D8:F8"/>
    <mergeCell ref="A1:F1"/>
    <mergeCell ref="A2:F2"/>
    <mergeCell ref="A3:F4"/>
    <mergeCell ref="A5:F5"/>
    <mergeCell ref="D7:F7"/>
  </mergeCells>
  <printOptions horizontalCentered="1"/>
  <pageMargins left="0.3" right="0.3" top="0.75" bottom="0.5" header="0.3" footer="0.3"/>
  <pageSetup paperSize="9" scale="73" orientation="portrait"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B9A33-BC31-4185-85A1-196E2AD518B0}">
  <sheetPr>
    <pageSetUpPr fitToPage="1"/>
  </sheetPr>
  <dimension ref="A1:K46"/>
  <sheetViews>
    <sheetView topLeftCell="A25" zoomScale="85" zoomScaleNormal="85" zoomScaleSheetLayoutView="85" workbookViewId="0">
      <selection activeCell="M46" sqref="M46"/>
    </sheetView>
  </sheetViews>
  <sheetFormatPr defaultColWidth="9.140625" defaultRowHeight="15"/>
  <cols>
    <col min="1" max="1" width="4.85546875" style="207" customWidth="1"/>
    <col min="2" max="2" width="34.42578125" style="172" customWidth="1"/>
    <col min="3" max="4" width="9.140625" style="172"/>
    <col min="5" max="5" width="12.28515625" style="172" customWidth="1"/>
    <col min="6" max="6" width="9.140625" style="172"/>
    <col min="7" max="7" width="15.28515625" style="172" customWidth="1"/>
    <col min="8" max="11" width="19" style="172" customWidth="1"/>
    <col min="12" max="16384" width="9.140625" style="172"/>
  </cols>
  <sheetData>
    <row r="1" spans="1:11" ht="27.75" customHeight="1">
      <c r="A1" s="275" t="s">
        <v>1195</v>
      </c>
      <c r="B1" s="275"/>
      <c r="C1" s="275"/>
      <c r="D1" s="275"/>
      <c r="E1" s="275"/>
      <c r="F1" s="275"/>
      <c r="G1" s="275"/>
      <c r="H1" s="275"/>
      <c r="I1" s="275"/>
      <c r="J1" s="275"/>
      <c r="K1" s="275"/>
    </row>
    <row r="2" spans="1:11" ht="28.5" customHeight="1">
      <c r="A2" s="276" t="s">
        <v>108</v>
      </c>
      <c r="B2" s="276"/>
      <c r="C2" s="276"/>
      <c r="D2" s="276"/>
      <c r="E2" s="276"/>
      <c r="F2" s="276"/>
      <c r="G2" s="276"/>
      <c r="H2" s="276"/>
      <c r="I2" s="276"/>
      <c r="J2" s="276"/>
      <c r="K2" s="276"/>
    </row>
    <row r="3" spans="1:11" ht="19.149999999999999" customHeight="1">
      <c r="A3" s="277" t="s">
        <v>1196</v>
      </c>
      <c r="B3" s="277"/>
      <c r="C3" s="277"/>
      <c r="D3" s="277"/>
      <c r="E3" s="277"/>
      <c r="F3" s="277"/>
      <c r="G3" s="277"/>
      <c r="H3" s="277"/>
      <c r="I3" s="277"/>
      <c r="J3" s="277"/>
      <c r="K3" s="277"/>
    </row>
    <row r="4" spans="1:11" ht="21.6" customHeight="1">
      <c r="A4" s="277"/>
      <c r="B4" s="277"/>
      <c r="C4" s="277"/>
      <c r="D4" s="277"/>
      <c r="E4" s="277"/>
      <c r="F4" s="277"/>
      <c r="G4" s="277"/>
      <c r="H4" s="277"/>
      <c r="I4" s="277"/>
      <c r="J4" s="277"/>
      <c r="K4" s="277"/>
    </row>
    <row r="5" spans="1:11">
      <c r="A5" s="278" t="s">
        <v>1237</v>
      </c>
      <c r="B5" s="278"/>
      <c r="C5" s="278"/>
      <c r="D5" s="278"/>
      <c r="E5" s="278"/>
      <c r="F5" s="278"/>
      <c r="G5" s="278"/>
      <c r="H5" s="278"/>
      <c r="I5" s="278"/>
      <c r="J5" s="278"/>
      <c r="K5" s="278"/>
    </row>
    <row r="6" spans="1:11">
      <c r="A6" s="173"/>
      <c r="B6" s="173"/>
      <c r="C6" s="173"/>
      <c r="D6" s="173"/>
      <c r="E6" s="173"/>
      <c r="F6" s="174"/>
      <c r="G6" s="175"/>
      <c r="H6" s="175"/>
      <c r="I6" s="175"/>
      <c r="J6" s="175"/>
      <c r="K6" s="175"/>
    </row>
    <row r="7" spans="1:11">
      <c r="A7" s="279" t="s">
        <v>2</v>
      </c>
      <c r="B7" s="280"/>
      <c r="C7" s="176"/>
      <c r="D7" s="176"/>
      <c r="E7" s="176"/>
      <c r="F7" s="176"/>
      <c r="G7" s="267" t="s">
        <v>1176</v>
      </c>
      <c r="H7" s="267"/>
      <c r="I7" s="267"/>
      <c r="J7" s="267"/>
      <c r="K7" s="175"/>
    </row>
    <row r="8" spans="1:11" ht="15" customHeight="1">
      <c r="A8" s="272" t="s">
        <v>110</v>
      </c>
      <c r="B8" s="272"/>
      <c r="C8" s="176"/>
      <c r="D8" s="176"/>
      <c r="E8" s="176"/>
      <c r="F8" s="176"/>
      <c r="G8" s="268" t="s">
        <v>1177</v>
      </c>
      <c r="H8" s="268"/>
      <c r="I8" s="268"/>
      <c r="J8" s="268"/>
      <c r="K8" s="175"/>
    </row>
    <row r="9" spans="1:11">
      <c r="A9" s="265" t="s">
        <v>3</v>
      </c>
      <c r="B9" s="273"/>
      <c r="C9" s="176"/>
      <c r="D9" s="176"/>
      <c r="E9" s="176"/>
      <c r="F9" s="176"/>
      <c r="G9" s="274" t="s">
        <v>1197</v>
      </c>
      <c r="H9" s="274"/>
      <c r="I9" s="274"/>
      <c r="J9" s="274"/>
      <c r="K9" s="175"/>
    </row>
    <row r="10" spans="1:11" ht="15" customHeight="1">
      <c r="A10" s="273" t="s">
        <v>4</v>
      </c>
      <c r="B10" s="273"/>
      <c r="C10" s="176"/>
      <c r="D10" s="176"/>
      <c r="E10" s="176"/>
      <c r="F10" s="176"/>
      <c r="G10" s="268" t="s">
        <v>1198</v>
      </c>
      <c r="H10" s="268"/>
      <c r="I10" s="268"/>
      <c r="J10" s="268"/>
      <c r="K10" s="175"/>
    </row>
    <row r="11" spans="1:11" ht="15" customHeight="1">
      <c r="A11" s="265" t="s">
        <v>5</v>
      </c>
      <c r="B11" s="266"/>
      <c r="C11" s="176"/>
      <c r="D11" s="176"/>
      <c r="E11" s="176"/>
      <c r="F11" s="176"/>
      <c r="G11" s="267" t="s">
        <v>1199</v>
      </c>
      <c r="H11" s="267"/>
      <c r="I11" s="267"/>
      <c r="J11" s="267"/>
      <c r="K11" s="175"/>
    </row>
    <row r="12" spans="1:11" ht="15" customHeight="1">
      <c r="A12" s="177" t="s">
        <v>1200</v>
      </c>
      <c r="B12" s="178"/>
      <c r="C12" s="176"/>
      <c r="D12" s="176"/>
      <c r="E12" s="176"/>
      <c r="F12" s="176"/>
      <c r="G12" s="268" t="s">
        <v>1201</v>
      </c>
      <c r="H12" s="268"/>
      <c r="I12" s="268"/>
      <c r="J12" s="268"/>
      <c r="K12" s="175"/>
    </row>
    <row r="13" spans="1:11" ht="15" customHeight="1">
      <c r="A13" s="179" t="s">
        <v>7</v>
      </c>
      <c r="B13" s="180"/>
      <c r="C13" s="176"/>
      <c r="D13" s="176"/>
      <c r="E13" s="176"/>
      <c r="F13" s="176"/>
      <c r="G13" s="267" t="s">
        <v>1181</v>
      </c>
      <c r="H13" s="267"/>
      <c r="I13" s="267"/>
      <c r="J13" s="267"/>
      <c r="K13" s="175"/>
    </row>
    <row r="14" spans="1:11">
      <c r="A14" s="181" t="s">
        <v>8</v>
      </c>
      <c r="B14" s="181"/>
      <c r="C14" s="176"/>
      <c r="D14" s="176"/>
      <c r="E14" s="176"/>
      <c r="F14" s="176"/>
      <c r="G14" s="269">
        <v>43773</v>
      </c>
      <c r="H14" s="269"/>
      <c r="I14" s="269"/>
      <c r="J14" s="269"/>
      <c r="K14" s="175"/>
    </row>
    <row r="15" spans="1:11">
      <c r="A15" s="182"/>
      <c r="B15" s="175"/>
      <c r="C15" s="175"/>
      <c r="D15" s="175"/>
      <c r="E15" s="175"/>
      <c r="F15" s="175"/>
      <c r="G15" s="175"/>
      <c r="H15" s="175"/>
      <c r="I15" s="175"/>
      <c r="J15" s="175"/>
      <c r="K15" s="175"/>
    </row>
    <row r="16" spans="1:11" s="183" customFormat="1" ht="37.5" customHeight="1">
      <c r="A16" s="261" t="s">
        <v>373</v>
      </c>
      <c r="B16" s="261" t="s">
        <v>1202</v>
      </c>
      <c r="C16" s="270" t="s">
        <v>115</v>
      </c>
      <c r="D16" s="261" t="s">
        <v>1203</v>
      </c>
      <c r="E16" s="261" t="s">
        <v>1204</v>
      </c>
      <c r="F16" s="261" t="s">
        <v>1205</v>
      </c>
      <c r="G16" s="261" t="s">
        <v>1206</v>
      </c>
      <c r="H16" s="263" t="s">
        <v>1207</v>
      </c>
      <c r="I16" s="264"/>
      <c r="J16" s="263" t="s">
        <v>1208</v>
      </c>
      <c r="K16" s="264"/>
    </row>
    <row r="17" spans="1:11" s="183" customFormat="1" ht="58.5" customHeight="1">
      <c r="A17" s="262"/>
      <c r="B17" s="262"/>
      <c r="C17" s="271"/>
      <c r="D17" s="262"/>
      <c r="E17" s="262"/>
      <c r="F17" s="262"/>
      <c r="G17" s="262"/>
      <c r="H17" s="184" t="s">
        <v>1209</v>
      </c>
      <c r="I17" s="184" t="s">
        <v>1210</v>
      </c>
      <c r="J17" s="184" t="s">
        <v>1211</v>
      </c>
      <c r="K17" s="184" t="s">
        <v>1210</v>
      </c>
    </row>
    <row r="18" spans="1:11" s="183" customFormat="1" ht="34.5" customHeight="1">
      <c r="A18" s="185" t="s">
        <v>542</v>
      </c>
      <c r="B18" s="186" t="s">
        <v>1212</v>
      </c>
      <c r="C18" s="185" t="s">
        <v>1213</v>
      </c>
      <c r="D18" s="187"/>
      <c r="E18" s="187"/>
      <c r="F18" s="188"/>
      <c r="G18" s="189"/>
      <c r="H18" s="186"/>
      <c r="I18" s="190"/>
      <c r="J18" s="191"/>
      <c r="K18" s="192"/>
    </row>
    <row r="19" spans="1:11" s="183" customFormat="1" ht="45.75" customHeight="1">
      <c r="A19" s="185" t="s">
        <v>111</v>
      </c>
      <c r="B19" s="186" t="s">
        <v>1214</v>
      </c>
      <c r="C19" s="185" t="s">
        <v>1215</v>
      </c>
      <c r="D19" s="188"/>
      <c r="E19" s="188"/>
      <c r="F19" s="188"/>
      <c r="G19" s="189"/>
      <c r="H19" s="186"/>
      <c r="I19" s="190"/>
      <c r="J19" s="186"/>
      <c r="K19" s="190"/>
    </row>
    <row r="20" spans="1:11" s="183" customFormat="1" ht="45.75" customHeight="1">
      <c r="A20" s="185" t="s">
        <v>553</v>
      </c>
      <c r="B20" s="186" t="s">
        <v>1216</v>
      </c>
      <c r="C20" s="185" t="s">
        <v>1217</v>
      </c>
      <c r="D20" s="188"/>
      <c r="E20" s="188"/>
      <c r="F20" s="188"/>
      <c r="G20" s="187"/>
      <c r="H20" s="186"/>
      <c r="I20" s="193"/>
      <c r="J20" s="186"/>
      <c r="K20" s="193"/>
    </row>
    <row r="21" spans="1:11" s="183" customFormat="1" ht="44.25" customHeight="1">
      <c r="A21" s="185" t="s">
        <v>118</v>
      </c>
      <c r="B21" s="186" t="s">
        <v>1218</v>
      </c>
      <c r="C21" s="185" t="s">
        <v>1219</v>
      </c>
      <c r="D21" s="188"/>
      <c r="E21" s="188"/>
      <c r="F21" s="188"/>
      <c r="G21" s="189"/>
      <c r="H21" s="186"/>
      <c r="I21" s="190"/>
      <c r="J21" s="186"/>
      <c r="K21" s="190"/>
    </row>
    <row r="22" spans="1:11" s="183" customFormat="1" ht="44.25" customHeight="1">
      <c r="A22" s="185" t="s">
        <v>1220</v>
      </c>
      <c r="B22" s="186" t="s">
        <v>1221</v>
      </c>
      <c r="C22" s="185" t="s">
        <v>1222</v>
      </c>
      <c r="D22" s="188"/>
      <c r="E22" s="188"/>
      <c r="F22" s="188"/>
      <c r="G22" s="189"/>
      <c r="H22" s="186"/>
      <c r="I22" s="190"/>
      <c r="J22" s="186"/>
      <c r="K22" s="190"/>
    </row>
    <row r="23" spans="1:11" s="183" customFormat="1" ht="44.25" customHeight="1">
      <c r="A23" s="185" t="s">
        <v>558</v>
      </c>
      <c r="B23" s="186" t="s">
        <v>1223</v>
      </c>
      <c r="C23" s="185" t="s">
        <v>1224</v>
      </c>
      <c r="D23" s="188"/>
      <c r="E23" s="188"/>
      <c r="F23" s="188"/>
      <c r="G23" s="189"/>
      <c r="H23" s="186"/>
      <c r="I23" s="190"/>
      <c r="J23" s="186"/>
      <c r="K23" s="190"/>
    </row>
    <row r="24" spans="1:11" s="183" customFormat="1" ht="44.25" customHeight="1">
      <c r="A24" s="185" t="s">
        <v>111</v>
      </c>
      <c r="B24" s="186" t="s">
        <v>1225</v>
      </c>
      <c r="C24" s="185" t="s">
        <v>1226</v>
      </c>
      <c r="D24" s="188"/>
      <c r="E24" s="188"/>
      <c r="F24" s="188"/>
      <c r="G24" s="189"/>
      <c r="H24" s="186"/>
      <c r="I24" s="190"/>
      <c r="J24" s="186"/>
      <c r="K24" s="190"/>
    </row>
    <row r="25" spans="1:11" s="183" customFormat="1" ht="44.25" customHeight="1">
      <c r="A25" s="185" t="s">
        <v>577</v>
      </c>
      <c r="B25" s="186" t="s">
        <v>1227</v>
      </c>
      <c r="C25" s="185" t="s">
        <v>1228</v>
      </c>
      <c r="D25" s="188"/>
      <c r="E25" s="188"/>
      <c r="F25" s="188"/>
      <c r="G25" s="189"/>
      <c r="H25" s="186"/>
      <c r="I25" s="190"/>
      <c r="J25" s="186"/>
      <c r="K25" s="190"/>
    </row>
    <row r="26" spans="1:11" s="183" customFormat="1" ht="44.25" customHeight="1">
      <c r="A26" s="185" t="s">
        <v>118</v>
      </c>
      <c r="B26" s="186" t="s">
        <v>1229</v>
      </c>
      <c r="C26" s="185" t="s">
        <v>1230</v>
      </c>
      <c r="D26" s="188"/>
      <c r="E26" s="188"/>
      <c r="F26" s="188"/>
      <c r="G26" s="189"/>
      <c r="H26" s="186"/>
      <c r="I26" s="190"/>
      <c r="J26" s="186"/>
      <c r="K26" s="190"/>
    </row>
    <row r="27" spans="1:11" s="183" customFormat="1" ht="44.25" customHeight="1">
      <c r="A27" s="185" t="s">
        <v>1231</v>
      </c>
      <c r="B27" s="186" t="s">
        <v>1232</v>
      </c>
      <c r="C27" s="185" t="s">
        <v>1233</v>
      </c>
      <c r="D27" s="188"/>
      <c r="E27" s="188"/>
      <c r="F27" s="188"/>
      <c r="G27" s="189"/>
      <c r="H27" s="186"/>
      <c r="I27" s="190"/>
      <c r="J27" s="186"/>
      <c r="K27" s="190"/>
    </row>
    <row r="28" spans="1:11" s="183" customFormat="1" ht="12.75">
      <c r="A28" s="194"/>
      <c r="B28" s="195"/>
      <c r="C28" s="195"/>
      <c r="D28" s="188"/>
      <c r="E28" s="188"/>
      <c r="F28" s="188"/>
      <c r="G28" s="189"/>
      <c r="H28" s="186"/>
      <c r="I28" s="190"/>
      <c r="J28" s="191"/>
      <c r="K28" s="192"/>
    </row>
    <row r="29" spans="1:11" s="183" customFormat="1" ht="12.75">
      <c r="A29" s="196"/>
      <c r="B29" s="197"/>
      <c r="C29" s="197"/>
      <c r="D29" s="197"/>
      <c r="E29" s="197"/>
      <c r="F29" s="197"/>
      <c r="G29" s="197"/>
      <c r="H29" s="197"/>
      <c r="I29" s="197"/>
      <c r="J29" s="197"/>
      <c r="K29" s="197"/>
    </row>
    <row r="30" spans="1:11" s="183" customFormat="1" ht="12.75">
      <c r="A30" s="196"/>
      <c r="B30" s="197"/>
      <c r="C30" s="197"/>
      <c r="D30" s="197"/>
      <c r="E30" s="197"/>
      <c r="F30" s="197"/>
      <c r="G30" s="197"/>
      <c r="H30" s="197"/>
      <c r="I30" s="197"/>
      <c r="J30" s="197"/>
      <c r="K30" s="197"/>
    </row>
    <row r="31" spans="1:11" s="183" customFormat="1" ht="12.75">
      <c r="A31" s="196"/>
      <c r="B31" s="197"/>
      <c r="C31" s="197"/>
      <c r="D31" s="197"/>
      <c r="E31" s="197"/>
      <c r="F31" s="197"/>
      <c r="G31" s="197"/>
      <c r="H31" s="197"/>
      <c r="I31" s="197"/>
      <c r="J31" s="197"/>
      <c r="K31" s="197"/>
    </row>
    <row r="32" spans="1:11" s="183" customFormat="1" ht="12.75">
      <c r="A32" s="198" t="s">
        <v>10</v>
      </c>
      <c r="B32" s="199"/>
      <c r="C32" s="200"/>
      <c r="D32" s="197"/>
      <c r="E32" s="197"/>
      <c r="F32" s="197"/>
      <c r="G32" s="197"/>
      <c r="H32" s="197"/>
      <c r="I32" s="201" t="s">
        <v>11</v>
      </c>
      <c r="J32" s="197"/>
      <c r="K32" s="197"/>
    </row>
    <row r="33" spans="1:11" s="183" customFormat="1" ht="12.75">
      <c r="A33" s="202" t="s">
        <v>12</v>
      </c>
      <c r="B33" s="199"/>
      <c r="C33" s="200"/>
      <c r="D33" s="197"/>
      <c r="E33" s="197"/>
      <c r="F33" s="197"/>
      <c r="G33" s="197"/>
      <c r="H33" s="197"/>
      <c r="I33" s="203" t="s">
        <v>13</v>
      </c>
      <c r="J33" s="197"/>
      <c r="K33" s="197"/>
    </row>
    <row r="34" spans="1:11">
      <c r="A34" s="199"/>
      <c r="B34" s="199"/>
      <c r="C34" s="200"/>
      <c r="D34" s="175"/>
      <c r="E34" s="175"/>
      <c r="F34" s="175"/>
      <c r="G34" s="175"/>
      <c r="H34" s="175"/>
      <c r="I34" s="200"/>
      <c r="J34" s="175"/>
      <c r="K34" s="175"/>
    </row>
    <row r="35" spans="1:11">
      <c r="A35" s="199"/>
      <c r="B35" s="199"/>
      <c r="C35" s="200"/>
      <c r="D35" s="175"/>
      <c r="E35" s="175"/>
      <c r="F35" s="175"/>
      <c r="G35" s="175"/>
      <c r="H35" s="175"/>
      <c r="I35" s="200"/>
      <c r="J35" s="175"/>
      <c r="K35" s="175"/>
    </row>
    <row r="36" spans="1:11">
      <c r="A36" s="199"/>
      <c r="B36" s="199"/>
      <c r="C36" s="200"/>
      <c r="D36" s="175"/>
      <c r="E36" s="175"/>
      <c r="F36" s="175"/>
      <c r="G36" s="175"/>
      <c r="H36" s="175"/>
      <c r="I36" s="200"/>
      <c r="J36" s="175"/>
      <c r="K36" s="175"/>
    </row>
    <row r="37" spans="1:11">
      <c r="A37" s="199"/>
      <c r="B37" s="199"/>
      <c r="C37" s="200"/>
      <c r="D37" s="175"/>
      <c r="E37" s="175"/>
      <c r="F37" s="175"/>
      <c r="G37" s="175"/>
      <c r="H37" s="175"/>
      <c r="I37" s="200"/>
      <c r="J37" s="175"/>
      <c r="K37" s="175"/>
    </row>
    <row r="38" spans="1:11">
      <c r="A38" s="199"/>
      <c r="B38" s="199"/>
      <c r="C38" s="200"/>
      <c r="D38" s="175"/>
      <c r="E38" s="175"/>
      <c r="F38" s="175"/>
      <c r="G38" s="175"/>
      <c r="H38" s="175"/>
      <c r="I38" s="200"/>
      <c r="J38" s="175"/>
      <c r="K38" s="175"/>
    </row>
    <row r="39" spans="1:11">
      <c r="A39" s="199"/>
      <c r="B39" s="199"/>
      <c r="C39" s="200"/>
      <c r="D39" s="175"/>
      <c r="E39" s="175"/>
      <c r="F39" s="175"/>
      <c r="G39" s="175"/>
      <c r="H39" s="175"/>
      <c r="I39" s="200"/>
      <c r="J39" s="175"/>
      <c r="K39" s="175"/>
    </row>
    <row r="40" spans="1:11">
      <c r="A40" s="199"/>
      <c r="B40" s="199"/>
      <c r="C40" s="200"/>
      <c r="D40" s="175"/>
      <c r="E40" s="175"/>
      <c r="F40" s="175"/>
      <c r="G40" s="175"/>
      <c r="H40" s="175"/>
      <c r="I40" s="200"/>
      <c r="J40" s="175"/>
      <c r="K40" s="175"/>
    </row>
    <row r="41" spans="1:11">
      <c r="A41" s="199"/>
      <c r="B41" s="199"/>
      <c r="C41" s="200"/>
      <c r="D41" s="175"/>
      <c r="E41" s="175"/>
      <c r="F41" s="175"/>
      <c r="G41" s="175"/>
      <c r="H41" s="175"/>
      <c r="I41" s="200"/>
      <c r="J41" s="175"/>
      <c r="K41" s="175"/>
    </row>
    <row r="42" spans="1:11">
      <c r="A42" s="204"/>
      <c r="B42" s="204"/>
      <c r="C42" s="205"/>
      <c r="D42" s="206"/>
      <c r="E42" s="175"/>
      <c r="F42" s="175"/>
      <c r="G42" s="175"/>
      <c r="H42" s="175"/>
      <c r="I42" s="205"/>
      <c r="J42" s="206"/>
      <c r="K42" s="206"/>
    </row>
    <row r="43" spans="1:11">
      <c r="A43" s="198" t="s">
        <v>14</v>
      </c>
      <c r="B43" s="199"/>
      <c r="C43" s="200"/>
      <c r="D43" s="175"/>
      <c r="E43" s="175"/>
      <c r="F43" s="175"/>
      <c r="G43" s="175"/>
      <c r="H43" s="175"/>
      <c r="I43" s="201" t="s">
        <v>1234</v>
      </c>
      <c r="J43" s="175"/>
      <c r="K43" s="175"/>
    </row>
    <row r="44" spans="1:11">
      <c r="A44" s="198" t="s">
        <v>1183</v>
      </c>
      <c r="B44" s="199"/>
      <c r="C44" s="200"/>
      <c r="D44" s="175"/>
      <c r="E44" s="175"/>
      <c r="F44" s="175"/>
      <c r="G44" s="175"/>
      <c r="H44" s="175"/>
      <c r="I44" s="201" t="s">
        <v>1184</v>
      </c>
      <c r="J44" s="175"/>
      <c r="K44" s="175"/>
    </row>
    <row r="45" spans="1:11">
      <c r="A45" s="199" t="s">
        <v>1235</v>
      </c>
      <c r="B45" s="199"/>
      <c r="C45" s="200"/>
      <c r="D45" s="175"/>
      <c r="E45" s="175"/>
      <c r="F45" s="175"/>
      <c r="G45" s="175"/>
      <c r="H45" s="175"/>
      <c r="I45" s="200" t="s">
        <v>1186</v>
      </c>
      <c r="J45" s="175"/>
      <c r="K45" s="175"/>
    </row>
    <row r="46" spans="1:11">
      <c r="A46" s="182"/>
      <c r="B46" s="175"/>
      <c r="C46" s="175"/>
      <c r="D46" s="175"/>
      <c r="E46" s="175"/>
      <c r="F46" s="175"/>
      <c r="G46" s="175"/>
      <c r="H46" s="175"/>
      <c r="I46" s="175"/>
      <c r="J46" s="175"/>
      <c r="K46" s="175"/>
    </row>
  </sheetData>
  <mergeCells count="26">
    <mergeCell ref="A1:K1"/>
    <mergeCell ref="A2:K2"/>
    <mergeCell ref="A3:K4"/>
    <mergeCell ref="A5:K5"/>
    <mergeCell ref="A7:B7"/>
    <mergeCell ref="G7:J7"/>
    <mergeCell ref="A8:B8"/>
    <mergeCell ref="G8:J8"/>
    <mergeCell ref="A9:B9"/>
    <mergeCell ref="G9:J9"/>
    <mergeCell ref="A10:B10"/>
    <mergeCell ref="G10:J10"/>
    <mergeCell ref="F16:F17"/>
    <mergeCell ref="G16:G17"/>
    <mergeCell ref="H16:I16"/>
    <mergeCell ref="J16:K16"/>
    <mergeCell ref="A11:B11"/>
    <mergeCell ref="G11:J11"/>
    <mergeCell ref="G12:J12"/>
    <mergeCell ref="G13:J13"/>
    <mergeCell ref="G14:J14"/>
    <mergeCell ref="A16:A17"/>
    <mergeCell ref="B16:B17"/>
    <mergeCell ref="C16:C17"/>
    <mergeCell ref="D16:D17"/>
    <mergeCell ref="E16:E17"/>
  </mergeCells>
  <printOptions horizontalCentered="1"/>
  <pageMargins left="0.3" right="0.3" top="0.75" bottom="0.5" header="0.3" footer="0.3"/>
  <pageSetup paperSize="9" scale="81" fitToHeight="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9"/>
  <sheetViews>
    <sheetView topLeftCell="A67" zoomScale="98" zoomScaleNormal="98" workbookViewId="0">
      <selection activeCell="B32" sqref="B32"/>
    </sheetView>
  </sheetViews>
  <sheetFormatPr defaultRowHeight="61.5" customHeight="1"/>
  <cols>
    <col min="1" max="1" width="11.42578125" bestFit="1" customWidth="1"/>
    <col min="2" max="2" width="88.140625" bestFit="1" customWidth="1"/>
    <col min="3" max="3" width="33.42578125" customWidth="1"/>
  </cols>
  <sheetData>
    <row r="1" spans="1:4" ht="15.75" customHeight="1">
      <c r="D1" t="s">
        <v>381</v>
      </c>
    </row>
    <row r="2" spans="1:4" s="46" customFormat="1" ht="61.5" customHeight="1">
      <c r="A2" s="46" t="s">
        <v>376</v>
      </c>
      <c r="B2" s="46" t="s">
        <v>377</v>
      </c>
      <c r="C2" s="46" t="s">
        <v>378</v>
      </c>
    </row>
    <row r="3" spans="1:4" ht="42.6" customHeight="1">
      <c r="A3" t="s">
        <v>379</v>
      </c>
      <c r="B3" t="s">
        <v>380</v>
      </c>
    </row>
    <row r="4" spans="1:4" ht="37.15" customHeight="1">
      <c r="A4" t="s">
        <v>381</v>
      </c>
      <c r="B4" t="s">
        <v>382</v>
      </c>
    </row>
    <row r="5" spans="1:4" ht="38.450000000000003" customHeight="1">
      <c r="A5" t="s">
        <v>383</v>
      </c>
      <c r="B5" t="s">
        <v>384</v>
      </c>
    </row>
    <row r="6" spans="1:4" ht="61.5" customHeight="1">
      <c r="A6" t="s">
        <v>385</v>
      </c>
      <c r="B6" t="s">
        <v>386</v>
      </c>
    </row>
    <row r="7" spans="1:4" ht="61.5" customHeight="1">
      <c r="A7" t="s">
        <v>387</v>
      </c>
      <c r="B7" t="s">
        <v>388</v>
      </c>
    </row>
    <row r="8" spans="1:4" ht="61.5" customHeight="1">
      <c r="A8" t="s">
        <v>389</v>
      </c>
      <c r="B8" t="s">
        <v>390</v>
      </c>
    </row>
    <row r="9" spans="1:4" ht="61.5" customHeight="1">
      <c r="A9" t="s">
        <v>392</v>
      </c>
      <c r="B9" t="s">
        <v>393</v>
      </c>
    </row>
    <row r="10" spans="1:4" ht="61.5" customHeight="1">
      <c r="A10" t="s">
        <v>391</v>
      </c>
      <c r="B10" t="s">
        <v>393</v>
      </c>
    </row>
    <row r="11" spans="1:4" ht="61.5" customHeight="1">
      <c r="A11" t="s">
        <v>394</v>
      </c>
      <c r="B11" t="s">
        <v>395</v>
      </c>
    </row>
    <row r="12" spans="1:4" ht="61.5" customHeight="1">
      <c r="A12" t="s">
        <v>396</v>
      </c>
      <c r="B12" t="s">
        <v>397</v>
      </c>
    </row>
    <row r="13" spans="1:4" ht="61.5" customHeight="1">
      <c r="A13" t="s">
        <v>398</v>
      </c>
      <c r="B13" t="s">
        <v>399</v>
      </c>
    </row>
    <row r="14" spans="1:4" ht="61.5" customHeight="1">
      <c r="A14" t="s">
        <v>400</v>
      </c>
      <c r="B14" t="s">
        <v>401</v>
      </c>
    </row>
    <row r="15" spans="1:4" ht="61.5" customHeight="1">
      <c r="A15" t="s">
        <v>402</v>
      </c>
      <c r="B15" t="s">
        <v>403</v>
      </c>
    </row>
    <row r="16" spans="1:4" ht="61.5" customHeight="1">
      <c r="A16" t="s">
        <v>404</v>
      </c>
      <c r="B16" t="s">
        <v>405</v>
      </c>
    </row>
    <row r="17" spans="1:2" ht="61.5" customHeight="1">
      <c r="A17" t="s">
        <v>406</v>
      </c>
      <c r="B17" t="s">
        <v>407</v>
      </c>
    </row>
    <row r="18" spans="1:2" ht="61.5" customHeight="1">
      <c r="A18" t="s">
        <v>408</v>
      </c>
      <c r="B18" t="s">
        <v>409</v>
      </c>
    </row>
    <row r="19" spans="1:2" ht="61.5" customHeight="1">
      <c r="A19" t="s">
        <v>410</v>
      </c>
      <c r="B19" t="s">
        <v>411</v>
      </c>
    </row>
    <row r="20" spans="1:2" ht="61.5" customHeight="1">
      <c r="A20" t="s">
        <v>412</v>
      </c>
      <c r="B20" t="s">
        <v>413</v>
      </c>
    </row>
    <row r="21" spans="1:2" ht="61.5" customHeight="1">
      <c r="A21" t="s">
        <v>414</v>
      </c>
      <c r="B21" t="s">
        <v>415</v>
      </c>
    </row>
    <row r="22" spans="1:2" ht="61.5" customHeight="1">
      <c r="A22" t="s">
        <v>425</v>
      </c>
      <c r="B22" t="s">
        <v>426</v>
      </c>
    </row>
    <row r="23" spans="1:2" ht="61.5" customHeight="1">
      <c r="A23" t="s">
        <v>427</v>
      </c>
      <c r="B23" t="s">
        <v>428</v>
      </c>
    </row>
    <row r="24" spans="1:2" ht="61.5" customHeight="1">
      <c r="A24" t="s">
        <v>429</v>
      </c>
      <c r="B24" t="s">
        <v>430</v>
      </c>
    </row>
    <row r="25" spans="1:2" ht="61.5" customHeight="1">
      <c r="A25" t="s">
        <v>431</v>
      </c>
      <c r="B25" t="s">
        <v>432</v>
      </c>
    </row>
    <row r="26" spans="1:2" ht="61.5" customHeight="1">
      <c r="A26" t="s">
        <v>433</v>
      </c>
      <c r="B26" t="s">
        <v>434</v>
      </c>
    </row>
    <row r="27" spans="1:2" ht="61.5" customHeight="1">
      <c r="A27" t="s">
        <v>435</v>
      </c>
      <c r="B27" t="s">
        <v>436</v>
      </c>
    </row>
    <row r="28" spans="1:2" ht="61.5" customHeight="1">
      <c r="A28" t="s">
        <v>437</v>
      </c>
      <c r="B28" t="s">
        <v>438</v>
      </c>
    </row>
    <row r="29" spans="1:2" ht="61.5" customHeight="1">
      <c r="A29" t="s">
        <v>439</v>
      </c>
      <c r="B29" t="s">
        <v>440</v>
      </c>
    </row>
    <row r="30" spans="1:2" ht="61.5" customHeight="1">
      <c r="A30" t="s">
        <v>441</v>
      </c>
      <c r="B30" t="s">
        <v>442</v>
      </c>
    </row>
    <row r="31" spans="1:2" ht="61.5" customHeight="1">
      <c r="A31" t="s">
        <v>416</v>
      </c>
      <c r="B31" t="s">
        <v>417</v>
      </c>
    </row>
    <row r="32" spans="1:2" ht="61.5" customHeight="1">
      <c r="A32" t="s">
        <v>444</v>
      </c>
      <c r="B32" t="s">
        <v>445</v>
      </c>
    </row>
    <row r="33" spans="1:2" ht="61.5" customHeight="1">
      <c r="A33" t="s">
        <v>446</v>
      </c>
      <c r="B33" t="s">
        <v>447</v>
      </c>
    </row>
    <row r="34" spans="1:2" ht="61.5" customHeight="1">
      <c r="A34" t="s">
        <v>448</v>
      </c>
      <c r="B34" t="s">
        <v>443</v>
      </c>
    </row>
    <row r="35" spans="1:2" ht="61.5" customHeight="1">
      <c r="A35" t="s">
        <v>449</v>
      </c>
      <c r="B35" t="s">
        <v>450</v>
      </c>
    </row>
    <row r="36" spans="1:2" ht="61.5" customHeight="1">
      <c r="A36" t="s">
        <v>451</v>
      </c>
      <c r="B36" t="s">
        <v>452</v>
      </c>
    </row>
    <row r="37" spans="1:2" ht="61.5" customHeight="1">
      <c r="A37" t="s">
        <v>453</v>
      </c>
      <c r="B37" t="s">
        <v>454</v>
      </c>
    </row>
    <row r="38" spans="1:2" ht="61.5" customHeight="1">
      <c r="A38" t="s">
        <v>441</v>
      </c>
      <c r="B38" t="s">
        <v>442</v>
      </c>
    </row>
    <row r="39" spans="1:2" ht="61.5" customHeight="1">
      <c r="A39" t="s">
        <v>456</v>
      </c>
      <c r="B39" t="s">
        <v>457</v>
      </c>
    </row>
  </sheetData>
  <conditionalFormatting sqref="A38:A1048576 A1:A21">
    <cfRule type="duplicateValues" dxfId="2" priority="2"/>
    <cfRule type="duplicateValues" dxfId="1" priority="5"/>
  </conditionalFormatting>
  <conditionalFormatting sqref="A22:B37 B39">
    <cfRule type="duplicateValues" dxfId="0" priority="17"/>
  </conditionalFormatting>
  <pageMargins left="0.7" right="0.7" top="0.75" bottom="0.75" header="0.3" footer="0.3"/>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aruXCJW2QJ2EoXeeH6sskrfoOaA=</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dI/SlZOyahA11BjcMhSqHA0ZZEk=</DigestValue>
    </Reference>
  </SignedInfo>
  <SignatureValue>oIbLwN2yfZrudqhXMbdIeKmLFhA97Cn0VAlhgVuQVYe1RVvuhJDFsy3S13AXVI3XTeTCgg0nlNzI
sEjBsI/8jvR4S+vGCT/ds1d1SyLmRkuZOY9HuumhaSFJxLysszV9MjS72JwNeGQlIC6DEvCZXhfV
WR3Kj7VTmYYuqqSWoGU=</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JOOQerJLkpl2nXpDroRrGtiX5yw=</DigestValue>
      </Reference>
      <Reference URI="/xl/calcChain.xml?ContentType=application/vnd.openxmlformats-officedocument.spreadsheetml.calcChain+xml">
        <DigestMethod Algorithm="http://www.w3.org/2000/09/xmldsig#sha1"/>
        <DigestValue>6XxALW1VJkG8FaXBSkVr3aSkbHk=</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Transform>
          <Transform Algorithm="http://www.w3.org/TR/2001/REC-xml-c14n-20010315"/>
        </Transforms>
        <DigestMethod Algorithm="http://www.w3.org/2000/09/xmldsig#sha1"/>
        <DigestValue>noYhnD13lJa7jdHgrtki7irPVXE=</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2m5gaZknNDBlTSN9qg64y74+EO0=</DigestValue>
      </Reference>
      <Reference URI="/xl/drawings/drawing2.xml?ContentType=application/vnd.openxmlformats-officedocument.drawing+xml">
        <DigestMethod Algorithm="http://www.w3.org/2000/09/xmldsig#sha1"/>
        <DigestValue>w4TQkxCqneVIcZG4uXEc0LeKJ6M=</DigestValue>
      </Reference>
      <Reference URI="/xl/drawings/drawing3.xml?ContentType=application/vnd.openxmlformats-officedocument.drawing+xml">
        <DigestMethod Algorithm="http://www.w3.org/2000/09/xmldsig#sha1"/>
        <DigestValue>amp2j2Hsf2+aDz0xI74bP8Uo4gY=</DigestValue>
      </Reference>
      <Reference URI="/xl/drawings/drawing4.xml?ContentType=application/vnd.openxmlformats-officedocument.drawing+xml">
        <DigestMethod Algorithm="http://www.w3.org/2000/09/xmldsig#sha1"/>
        <DigestValue>dezo+0OPhbWiTIsrCbHyDOHIKnU=</DigestValue>
      </Reference>
      <Reference URI="/xl/drawings/drawing5.xml?ContentType=application/vnd.openxmlformats-officedocument.drawing+xml">
        <DigestMethod Algorithm="http://www.w3.org/2000/09/xmldsig#sha1"/>
        <DigestValue>ctKJ1snTuQQ4xh2mzyVd0LGLt48=</DigestValue>
      </Reference>
      <Reference URI="/xl/drawings/drawing6.xml?ContentType=application/vnd.openxmlformats-officedocument.drawing+xml">
        <DigestMethod Algorithm="http://www.w3.org/2000/09/xmldsig#sha1"/>
        <DigestValue>icLQiNMPJcjGPjNUqckLpk3Ksnk=</DigestValue>
      </Reference>
      <Reference URI="/xl/drawings/drawing7.xml?ContentType=application/vnd.openxmlformats-officedocument.drawing+xml">
        <DigestMethod Algorithm="http://www.w3.org/2000/09/xmldsig#sha1"/>
        <DigestValue>zy37SzLHv5/gxguARzSPEw4Evx0=</DigestValue>
      </Reference>
      <Reference URI="/xl/drawings/drawing8.xml?ContentType=application/vnd.openxmlformats-officedocument.drawing+xml">
        <DigestMethod Algorithm="http://www.w3.org/2000/09/xmldsig#sha1"/>
        <DigestValue>bBNzxJuhFBAhxJcABkry16sTBcU=</DigestValue>
      </Reference>
      <Reference URI="/xl/drawings/drawing9.xml?ContentType=application/vnd.openxmlformats-officedocument.drawing+xml">
        <DigestMethod Algorithm="http://www.w3.org/2000/09/xmldsig#sha1"/>
        <DigestValue>xN/DKXqd4RgzkDvHcedKAXM0MDc=</DigestValue>
      </Reference>
      <Reference URI="/xl/drawings/vmlDrawing1.vml?ContentType=application/vnd.openxmlformats-officedocument.vmlDrawing">
        <DigestMethod Algorithm="http://www.w3.org/2000/09/xmldsig#sha1"/>
        <DigestValue>wyimSGQA1ung/SBQjt0/70+CqHM=</DigestValue>
      </Reference>
      <Reference URI="/xl/drawings/vmlDrawing2.vml?ContentType=application/vnd.openxmlformats-officedocument.vmlDrawing">
        <DigestMethod Algorithm="http://www.w3.org/2000/09/xmldsig#sha1"/>
        <DigestValue>BgkJ0d46mctVWW9FFrZG20tITjU=</DigestValue>
      </Reference>
      <Reference URI="/xl/drawings/vmlDrawing3.vml?ContentType=application/vnd.openxmlformats-officedocument.vmlDrawing">
        <DigestMethod Algorithm="http://www.w3.org/2000/09/xmldsig#sha1"/>
        <DigestValue>XB1ntaOkCI+UwB0jaaoMNhpk91s=</DigestValue>
      </Reference>
      <Reference URI="/xl/drawings/vmlDrawing4.vml?ContentType=application/vnd.openxmlformats-officedocument.vmlDrawing">
        <DigestMethod Algorithm="http://www.w3.org/2000/09/xmldsig#sha1"/>
        <DigestValue>614jOTIAaMc/6uKQBsfsc4KSmZw=</DigestValue>
      </Reference>
      <Reference URI="/xl/drawings/vmlDrawing5.vml?ContentType=application/vnd.openxmlformats-officedocument.vmlDrawing">
        <DigestMethod Algorithm="http://www.w3.org/2000/09/xmldsig#sha1"/>
        <DigestValue>lsb2r34jxPyKftw+n5c/elNV0tU=</DigestValue>
      </Reference>
      <Reference URI="/xl/drawings/vmlDrawing6.vml?ContentType=application/vnd.openxmlformats-officedocument.vmlDrawing">
        <DigestMethod Algorithm="http://www.w3.org/2000/09/xmldsig#sha1"/>
        <DigestValue>rvSn33Deor6c4/2zhT5hgvbuhdY=</DigestValue>
      </Reference>
      <Reference URI="/xl/drawings/vmlDrawing7.vml?ContentType=application/vnd.openxmlformats-officedocument.vmlDrawing">
        <DigestMethod Algorithm="http://www.w3.org/2000/09/xmldsig#sha1"/>
        <DigestValue>aGIoO8rlMDQjW54a9zenTpQ4u/Q=</DigestValue>
      </Reference>
      <Reference URI="/xl/media/image1.emf?ContentType=image/x-emf">
        <DigestMethod Algorithm="http://www.w3.org/2000/09/xmldsig#sha1"/>
        <DigestValue>Ye5ofWM4nnDjyJl6IVVG0og5Igo=</DigestValue>
      </Reference>
      <Reference URI="/xl/media/image10.png?ContentType=image/png">
        <DigestMethod Algorithm="http://www.w3.org/2000/09/xmldsig#sha1"/>
        <DigestValue>S5CPmv46Sj4beG1st/IvFWBiCeI=</DigestValue>
      </Reference>
      <Reference URI="/xl/media/image11.png?ContentType=image/png">
        <DigestMethod Algorithm="http://www.w3.org/2000/09/xmldsig#sha1"/>
        <DigestValue>RbxB6TvTcNa7nC51GdXvRFAYcog=</DigestValue>
      </Reference>
      <Reference URI="/xl/media/image12.png?ContentType=image/png">
        <DigestMethod Algorithm="http://www.w3.org/2000/09/xmldsig#sha1"/>
        <DigestValue>SbQt0+xchS8agX3T2Dv/AJGj/Gc=</DigestValue>
      </Reference>
      <Reference URI="/xl/media/image13.png?ContentType=image/png">
        <DigestMethod Algorithm="http://www.w3.org/2000/09/xmldsig#sha1"/>
        <DigestValue>qqxtOC+GAqgOwXPQ1S3sJ343bSA=</DigestValue>
      </Reference>
      <Reference URI="/xl/media/image2.emf?ContentType=image/x-emf">
        <DigestMethod Algorithm="http://www.w3.org/2000/09/xmldsig#sha1"/>
        <DigestValue>Ye5ofWM4nnDjyJl6IVVG0og5Igo=</DigestValue>
      </Reference>
      <Reference URI="/xl/media/image3.png?ContentType=image/png">
        <DigestMethod Algorithm="http://www.w3.org/2000/09/xmldsig#sha1"/>
        <DigestValue>Ofd1bS7Jxz2UH5umQlaSfGEr80g=</DigestValue>
      </Reference>
      <Reference URI="/xl/media/image4.png?ContentType=image/png">
        <DigestMethod Algorithm="http://www.w3.org/2000/09/xmldsig#sha1"/>
        <DigestValue>gER26nm89MUi/b1OdYynuEa9MOQ=</DigestValue>
      </Reference>
      <Reference URI="/xl/media/image5.png?ContentType=image/png">
        <DigestMethod Algorithm="http://www.w3.org/2000/09/xmldsig#sha1"/>
        <DigestValue>ml5746XsrR2ZlNU6rhUuWjo6al4=</DigestValue>
      </Reference>
      <Reference URI="/xl/media/image6.png?ContentType=image/png">
        <DigestMethod Algorithm="http://www.w3.org/2000/09/xmldsig#sha1"/>
        <DigestValue>lM2Md+1JslHzEzwa4yLeIXnbMIc=</DigestValue>
      </Reference>
      <Reference URI="/xl/media/image7.jpeg?ContentType=image/jpeg">
        <DigestMethod Algorithm="http://www.w3.org/2000/09/xmldsig#sha1"/>
        <DigestValue>3rcz+5Mj8VZe3CJJSEMY/a18me4=</DigestValue>
      </Reference>
      <Reference URI="/xl/media/image8.png?ContentType=image/png">
        <DigestMethod Algorithm="http://www.w3.org/2000/09/xmldsig#sha1"/>
        <DigestValue>TR/24iFFBmDOFWBDDcn57bNqY48=</DigestValue>
      </Reference>
      <Reference URI="/xl/media/image9.jpeg?ContentType=image/jpeg">
        <DigestMethod Algorithm="http://www.w3.org/2000/09/xmldsig#sha1"/>
        <DigestValue>V1XyTh7wfOH3HYroLqvk7OC/z30=</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10.bin?ContentType=application/vnd.openxmlformats-officedocument.spreadsheetml.printerSettings">
        <DigestMethod Algorithm="http://www.w3.org/2000/09/xmldsig#sha1"/>
        <DigestValue>wWqdxq+GLXETZwlazhhmNZyIq7I=</DigestValue>
      </Reference>
      <Reference URI="/xl/printerSettings/printerSettings2.bin?ContentType=application/vnd.openxmlformats-officedocument.spreadsheetml.printerSettings">
        <DigestMethod Algorithm="http://www.w3.org/2000/09/xmldsig#sha1"/>
        <DigestValue>9k3QcDOhi4ZWRD2lOjX1GnZx6sY=</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h84LgCxW027vRpGhFtJGjs6Orh8=</DigestValue>
      </Reference>
      <Reference URI="/xl/sharedStrings.xml?ContentType=application/vnd.openxmlformats-officedocument.spreadsheetml.sharedStrings+xml">
        <DigestMethod Algorithm="http://www.w3.org/2000/09/xmldsig#sha1"/>
        <DigestValue>kHJp6mJNvP+gUMluVRWnUHmq71E=</DigestValue>
      </Reference>
      <Reference URI="/xl/styles.xml?ContentType=application/vnd.openxmlformats-officedocument.spreadsheetml.styles+xml">
        <DigestMethod Algorithm="http://www.w3.org/2000/09/xmldsig#sha1"/>
        <DigestValue>7OyqJq5gMuR5P8A6QXeeQ0JKB1c=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DFxZrQOL63ox1nYPGD662JbjeYo=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8kVPwk5ISmMV5+U/Bz0CDvBgn7Q=</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X/2RpelvrzPzzj/MpPVOmSDBtp4=</DigestValue>
      </Reference>
      <Reference URI="/xl/worksheets/sheet10.xml?ContentType=application/vnd.openxmlformats-officedocument.spreadsheetml.worksheet+xml">
        <DigestMethod Algorithm="http://www.w3.org/2000/09/xmldsig#sha1"/>
        <DigestValue>Ly+d4KwAltKi4dTwEgVLSPTv9Dc=</DigestValue>
      </Reference>
      <Reference URI="/xl/worksheets/sheet2.xml?ContentType=application/vnd.openxmlformats-officedocument.spreadsheetml.worksheet+xml">
        <DigestMethod Algorithm="http://www.w3.org/2000/09/xmldsig#sha1"/>
        <DigestValue>ok56fUJiXzOhcPjSsv5Wq8z9kAU=</DigestValue>
      </Reference>
      <Reference URI="/xl/worksheets/sheet3.xml?ContentType=application/vnd.openxmlformats-officedocument.spreadsheetml.worksheet+xml">
        <DigestMethod Algorithm="http://www.w3.org/2000/09/xmldsig#sha1"/>
        <DigestValue>9HFjqgMmdVhlFypKdqtDCGs5Nhk=</DigestValue>
      </Reference>
      <Reference URI="/xl/worksheets/sheet4.xml?ContentType=application/vnd.openxmlformats-officedocument.spreadsheetml.worksheet+xml">
        <DigestMethod Algorithm="http://www.w3.org/2000/09/xmldsig#sha1"/>
        <DigestValue>poFR+HuiGphTg5aTgUJGgCZiBoM=</DigestValue>
      </Reference>
      <Reference URI="/xl/worksheets/sheet5.xml?ContentType=application/vnd.openxmlformats-officedocument.spreadsheetml.worksheet+xml">
        <DigestMethod Algorithm="http://www.w3.org/2000/09/xmldsig#sha1"/>
        <DigestValue>vwAmpp4z36L5th997Jv3PD0KnXg=</DigestValue>
      </Reference>
      <Reference URI="/xl/worksheets/sheet6.xml?ContentType=application/vnd.openxmlformats-officedocument.spreadsheetml.worksheet+xml">
        <DigestMethod Algorithm="http://www.w3.org/2000/09/xmldsig#sha1"/>
        <DigestValue>J1q/q1Tl9uGFlHN6lO9uyYSk34Q=</DigestValue>
      </Reference>
      <Reference URI="/xl/worksheets/sheet7.xml?ContentType=application/vnd.openxmlformats-officedocument.spreadsheetml.worksheet+xml">
        <DigestMethod Algorithm="http://www.w3.org/2000/09/xmldsig#sha1"/>
        <DigestValue>M0OxnTTVUA+IzsRSPSyIXkjDNZw=</DigestValue>
      </Reference>
      <Reference URI="/xl/worksheets/sheet8.xml?ContentType=application/vnd.openxmlformats-officedocument.spreadsheetml.worksheet+xml">
        <DigestMethod Algorithm="http://www.w3.org/2000/09/xmldsig#sha1"/>
        <DigestValue>bq0Zqc0UAbeYjiMXsBjxcXMhRYg=</DigestValue>
      </Reference>
      <Reference URI="/xl/worksheets/sheet9.xml?ContentType=application/vnd.openxmlformats-officedocument.spreadsheetml.worksheet+xml">
        <DigestMethod Algorithm="http://www.w3.org/2000/09/xmldsig#sha1"/>
        <DigestValue>bbfDLP0Laqf1C3VzGmI2b77xk84=</DigestValue>
      </Reference>
    </Manifest>
    <SignatureProperties>
      <SignatureProperty Id="idSignatureTime" Target="#idPackageSignature">
        <mdssi:SignatureTime xmlns:mdssi="http://schemas.openxmlformats.org/package/2006/digital-signature">
          <mdssi:Format>YYYY-MM-DDThh:mm:ssTZD</mdssi:Format>
          <mdssi:Value>2019-11-06T12:03:56Z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2019-11-06T12:03:56Z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BCTaiSan_06027</vt:lpstr>
      <vt:lpstr>BCKetQuaHoatDong_06028</vt:lpstr>
      <vt:lpstr>BCDanhMucDauTu_06029</vt:lpstr>
      <vt:lpstr>Khac_06030</vt:lpstr>
      <vt:lpstr>GiaTriTaiSanRong_06129</vt:lpstr>
      <vt:lpstr>BCHoatDongVay_06026</vt:lpstr>
      <vt:lpstr>LogoFMS</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Vu, Huong Giang</cp:lastModifiedBy>
  <cp:lastPrinted>2019-11-05T08:47:22Z</cp:lastPrinted>
  <dcterms:created xsi:type="dcterms:W3CDTF">2019-03-13T13:30:00Z</dcterms:created>
  <dcterms:modified xsi:type="dcterms:W3CDTF">2019-11-06T12:03:46Z</dcterms:modified>
</cp:coreProperties>
</file>