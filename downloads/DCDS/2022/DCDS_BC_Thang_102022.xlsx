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931"/>
  <workbookPr/>
  <mc:AlternateContent xmlns:mc="http://schemas.openxmlformats.org/markup-compatibility/2006">
    <mc:Choice Requires="x15">
      <x15ac:absPath xmlns:x15ac="http://schemas.microsoft.com/office/spreadsheetml/2010/11/ac" url="W:\GTO_SSO_FUNDSERVICES_GSSCKL\10. CLIENT PORTFOLIO-VN\KYSO\2022\11. Nov\03\"/>
    </mc:Choice>
  </mc:AlternateContent>
  <xr:revisionPtr revIDLastSave="0" documentId="13_ncr:1_{F2EF310B-BA92-416B-840E-4BC62471ADE7}" xr6:coauthVersionLast="47" xr6:coauthVersionMax="47" xr10:uidLastSave="{00000000-0000-0000-0000-000000000000}"/>
  <bookViews>
    <workbookView xWindow="-110" yWindow="-110" windowWidth="19420" windowHeight="10420" activeTab="1" xr2:uid="{00000000-000D-0000-FFFF-FFFF00000000}"/>
  </bookViews>
  <sheets>
    <sheet name="TONGQUAN" sheetId="1" r:id="rId1"/>
    <sheet name="BCthunhap" sheetId="34" r:id="rId2"/>
    <sheet name="BCtinhhinhtaichinh" sheetId="42" r:id="rId3"/>
    <sheet name="BCTaiSan_06027" sheetId="43" r:id="rId4"/>
    <sheet name="BCKetQuaHoatDong_06028" sheetId="29" r:id="rId5"/>
    <sheet name="BCDanhMucDauTu_06029" sheetId="44" r:id="rId6"/>
    <sheet name="Khac_06030" sheetId="32" r:id="rId7"/>
    <sheet name="BCHoatDongVay_06026" sheetId="45" r:id="rId8"/>
  </sheets>
  <definedNames>
    <definedName name="_xlnm._FilterDatabase" localSheetId="5" hidden="1">BCDanhMucDauTu_06029!$A$18:$J$18</definedName>
    <definedName name="_xlnm._FilterDatabase" localSheetId="4" hidden="1">BCKetQuaHoatDong_06028!$A$18:$I$82</definedName>
    <definedName name="_xlnm._FilterDatabase" localSheetId="3" hidden="1">BCTaiSan_06027!$A$18:$F$18</definedName>
    <definedName name="_xlnm._FilterDatabase" localSheetId="1" hidden="1">BCthunhap!$A$16:$J$77</definedName>
    <definedName name="_xlnm._FilterDatabase" localSheetId="2" hidden="1">BCtinhhinhtaichinh!$A$16:$H$120</definedName>
    <definedName name="_xlnm._FilterDatabase" localSheetId="6" hidden="1">Khac_06030!$A$18:$F$18</definedName>
    <definedName name="addlogo">INDEX(#REF!,MATCH(#REF!,#REF!,0))</definedName>
    <definedName name="_xlnm.Print_Area" localSheetId="5">BCDanhMucDauTu_06029!$A$1:$G$119</definedName>
    <definedName name="_xlnm.Print_Area" localSheetId="7">BCHoatDongVay_06026!$A$1:$K$47</definedName>
    <definedName name="_xlnm.Print_Area" localSheetId="4">BCKetQuaHoatDong_06028!$A:$F</definedName>
    <definedName name="_xlnm.Print_Area" localSheetId="3">BCTaiSan_06027!$A$1:$F$109</definedName>
    <definedName name="_xlnm.Print_Area" localSheetId="1">BCthunhap!$A$1:$G$95</definedName>
    <definedName name="_xlnm.Print_Area" localSheetId="2">BCtinhhinhtaichinh!$A$1:$F$138</definedName>
    <definedName name="_xlnm.Print_Area" localSheetId="6">Khac_06030!$A$1:$E$67</definedName>
    <definedName name="_xlnm.Print_Area" localSheetId="0">TONGQUAN!$A$1:$K$48</definedName>
    <definedName name="_xlnm.Print_Titles" localSheetId="5">BCDanhMucDauTu_06029!$18:$18</definedName>
    <definedName name="_xlnm.Print_Titles" localSheetId="7">BCHoatDongVay_06026!$17:$18</definedName>
    <definedName name="_xlnm.Print_Titles" localSheetId="4">BCKetQuaHoatDong_06028!$18:$18</definedName>
    <definedName name="_xlnm.Print_Titles" localSheetId="3">BCTaiSan_06027!$18:$18</definedName>
    <definedName name="_xlnm.Print_Titles" localSheetId="1">BCthunhap!$16:$17</definedName>
    <definedName name="_xlnm.Print_Titles" localSheetId="2">BCtinhhinhtaichinh!$16:$16</definedName>
    <definedName name="_xlnm.Print_Titles" localSheetId="6">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19" i="1" l="1"/>
</calcChain>
</file>

<file path=xl/sharedStrings.xml><?xml version="1.0" encoding="utf-8"?>
<sst xmlns="http://schemas.openxmlformats.org/spreadsheetml/2006/main" count="1217" uniqueCount="877">
  <si>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</si>
  <si>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</si>
  <si>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</si>
  <si>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</si>
  <si>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</si>
  <si>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</si>
  <si>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</si>
  <si>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</si>
  <si>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</si>
  <si>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</si>
  <si>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</si>
  <si>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</si>
  <si>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</si>
  <si>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</si>
  <si>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</si>
  <si>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STT</t>
  </si>
  <si>
    <t>Nội dung</t>
  </si>
  <si>
    <t>Tên sheet</t>
  </si>
  <si>
    <t>Báo cáo thu nhập giữa niên độ</t>
  </si>
  <si>
    <t>Báo cáo tình hình tài chính giữa niên độ</t>
  </si>
  <si>
    <t>Báo cáo lưu chuyển tiền tệ</t>
  </si>
  <si>
    <t xml:space="preserve">Báo cáo về tài sản của quỹ </t>
  </si>
  <si>
    <t>Báo cáo kết quả hoạt động</t>
  </si>
  <si>
    <t xml:space="preserve">Báo cáo danh mục đầu tư của quỹ </t>
  </si>
  <si>
    <t>Một số chỉ tiêu khác</t>
  </si>
  <si>
    <t>Báo cáo thay đổi giá trị tài sản ròng, giao dịch chứng chỉ quỹ</t>
  </si>
  <si>
    <t>06027</t>
  </si>
  <si>
    <t>06028</t>
  </si>
  <si>
    <t>06029</t>
  </si>
  <si>
    <t>06030</t>
  </si>
  <si>
    <t>06129</t>
  </si>
  <si>
    <t>06203</t>
  </si>
  <si>
    <t>06105</t>
  </si>
  <si>
    <t>Báo cáo thay đổi giá trị tài sản ròng, giao dịch chứng chỉ quỹ giữa niên độ</t>
  </si>
  <si>
    <t>06107</t>
  </si>
  <si>
    <t>Báo cáo danh mục đầu tư</t>
  </si>
  <si>
    <t>06108</t>
  </si>
  <si>
    <t>06262</t>
  </si>
  <si>
    <t>Báo cáo thu nhập</t>
  </si>
  <si>
    <t>06104</t>
  </si>
  <si>
    <t>06126</t>
  </si>
  <si>
    <t>Fund Management Company:</t>
  </si>
  <si>
    <t>I</t>
  </si>
  <si>
    <t>STT
No</t>
  </si>
  <si>
    <t>Nội dung
Indicator</t>
  </si>
  <si>
    <t>Mã chỉ tiêu
Code</t>
  </si>
  <si>
    <t>%/cùng kỳ năm trước
%/against last year</t>
  </si>
  <si>
    <t>Tiền gửi ký quỹ cho hoạt động đầu tư chứng khoán phái sinh
Margin account for trading derivatives</t>
  </si>
  <si>
    <t>II</t>
  </si>
  <si>
    <t>II.1</t>
  </si>
  <si>
    <t>II.2</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</si>
  <si>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</si>
  <si>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</si>
  <si>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</si>
  <si>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</si>
  <si>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</si>
  <si>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</si>
  <si>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</si>
  <si>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</si>
  <si>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</si>
  <si>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</si>
  <si>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</si>
  <si>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</si>
  <si>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Phí dịch vụ lưu ký - giao dịch chứng khoán
Custodian service - Transaction fee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</si>
  <si>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</si>
  <si>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</si>
  <si>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</si>
  <si>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</si>
  <si>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</si>
  <si>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 xml:space="preserve">Chi phí môi giới
Brokerage fee </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</si>
  <si>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</si>
  <si>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</si>
  <si>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</si>
  <si>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</si>
  <si>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</si>
  <si>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</si>
  <si>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</si>
  <si>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Thay đổi giá trị tài sản ròng của Quỹ trong kỳ
Change of Net Asset Value of the Fund during the period</t>
  </si>
  <si>
    <t>Trong đó:
Of which:</t>
  </si>
  <si>
    <t>Giá trị tài sản ròng cuối kỳ
Net Asset Value at the end of period</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</si>
  <si>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</si>
  <si>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</si>
  <si>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</si>
  <si>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</si>
  <si>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</si>
  <si>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</si>
  <si>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CÁC CHỈ TIÊU KHÁC
OTHER INDICATORS</t>
  </si>
  <si>
    <t>Thay đổi số lượng chứng chỉ quỹ trong kỳ
Change of Number of Fund Certificates during the period</t>
  </si>
  <si>
    <t>Thay đổi giá trị vốn trong kỳ (theo mệnh giá) 
Change in capital amount during the period (based on par value)</t>
  </si>
  <si>
    <t>Tỷ lệ nắm giữ chứng chỉ quỹ của công ty quản lý quỹ và người có liên quan cuối kỳ
Fund Management Company and related parties' ownership ratio at the end of the period</t>
  </si>
  <si>
    <t>Tỷ lệ nắm giữ chứng chỉ quỹ của 10 nhà đầu tư lớn nhất cuối kỳ
Top 10 investors' ownership ratio at the end of the period</t>
  </si>
  <si>
    <t>Tỷ lệ nắm giữ chứng chỉ quỹ của nhà đầu tư nước ngoài cuối kỳ
Foreign investors' ownership ratio at the end of the period</t>
  </si>
  <si>
    <t>Số nhà đầu tư tham gia vào quỹ, kể cả giao dịch ký danh
Number of investors of the Fund at the end of the period</t>
  </si>
  <si>
    <t>Ghi chú / Notes:</t>
  </si>
  <si>
    <t>(**) Không tính đến giá trị cam kết của các hợp đồng tương lai chỉ số.
Excluding the committed value of the Index Futures contracts.</t>
  </si>
  <si>
    <t>Mẫu số B01g - QM. Báo cáo thu nhập
Template B01g - QM. Statement of Comprehensive Income</t>
  </si>
  <si>
    <t>(Ban hành kèm theo Thông tư 198/2012/TT-BTC ngày 15 tháng 11 năm 2012 về chế độ kế toán áp dụng đối với quỹ mở) 
(Issued in association with Circular 198/2012/TT-BTC dated 15 Nov 2012 on the Accounting Policies for Open-Ended Fund)</t>
  </si>
  <si>
    <t>BÁO CÁO THU NHẬP
STATEMENT OF COMPREHENSIVE INCOME</t>
  </si>
  <si>
    <t>Chỉ tiêu
Indicator</t>
  </si>
  <si>
    <t>Mã số
Code</t>
  </si>
  <si>
    <t>Thuyết minh
Note</t>
  </si>
  <si>
    <t>Số lũy kế
Year-to-date</t>
  </si>
  <si>
    <t>01</t>
  </si>
  <si>
    <t>02</t>
  </si>
  <si>
    <t>03</t>
  </si>
  <si>
    <t>03.1</t>
  </si>
  <si>
    <t>03.2</t>
  </si>
  <si>
    <t>04</t>
  </si>
  <si>
    <t>05</t>
  </si>
  <si>
    <t>06</t>
  </si>
  <si>
    <t>07</t>
  </si>
  <si>
    <t>08</t>
  </si>
  <si>
    <t>09</t>
  </si>
  <si>
    <t>10</t>
  </si>
  <si>
    <t>2.1. Chi phí giao dịch mua, bán các khoản đầu tư
Expense for purchasing and selling investments</t>
  </si>
  <si>
    <t>11</t>
  </si>
  <si>
    <t>Phí môi giới
Brokerage fee</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</si>
  <si>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</si>
  <si>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</si>
  <si>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</si>
  <si>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</si>
  <si>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</si>
  <si>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</si>
  <si>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</si>
  <si>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</si>
  <si>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</si>
  <si>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</si>
  <si>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</si>
  <si>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</si>
  <si>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</si>
  <si>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</si>
  <si>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</si>
  <si>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</si>
  <si>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</si>
  <si>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</si>
  <si>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</si>
  <si>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</si>
  <si>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</si>
  <si>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</si>
  <si>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</si>
  <si>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</si>
  <si>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</si>
  <si>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</si>
  <si>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</si>
  <si>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</si>
  <si>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</si>
  <si>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</si>
  <si>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</si>
  <si>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</si>
  <si>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</si>
  <si>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</si>
  <si>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</si>
  <si>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</si>
  <si>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</si>
  <si>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</si>
  <si>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</si>
  <si>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</si>
  <si>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</si>
  <si>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</si>
  <si>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</si>
  <si>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</si>
  <si>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</si>
  <si>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</si>
  <si>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</si>
  <si>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</si>
  <si>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</si>
  <si>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</si>
  <si>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</si>
  <si>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</si>
  <si>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</si>
  <si>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</si>
  <si>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</si>
  <si>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</si>
  <si>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</si>
  <si>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</si>
  <si>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</si>
  <si>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</si>
  <si>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</si>
  <si>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</si>
  <si>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</si>
  <si>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</si>
  <si>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</si>
  <si>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t>
  </si>
  <si>
    <t xml:space="preserve">             Người duyệt:</t>
  </si>
  <si>
    <t>Mẫu số B02g - QM. Báo cáo tình hình tài chính
Template B02g - QM. Statement of Financial Position</t>
  </si>
  <si>
    <t>BÁO  CÁO TÌNH HÌNH TÀI CHÍNH
STATEMENT OF FINANCIAL POSITION</t>
  </si>
  <si>
    <t>STT
No.</t>
  </si>
  <si>
    <t>03.3</t>
  </si>
  <si>
    <t>Lũy kế từ đầu năm
Accumulated from beginning of year</t>
  </si>
  <si>
    <t>03.4</t>
  </si>
  <si>
    <t>Tiền lãi hợp đồng mua lại đảo ngược được nhận
Reverse repo contract interest received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</si>
  <si>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</si>
  <si>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</si>
  <si>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</si>
  <si>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</si>
  <si>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Cổ tức, trái tức được nhận
Dividend income, interest income from bonds</t>
  </si>
  <si>
    <t>Cổ tức được nhận
Dividends income</t>
  </si>
  <si>
    <t>Trái tức được nhận
Interest income from bonds</t>
  </si>
  <si>
    <t>Lãi được nhận
Interest income</t>
  </si>
  <si>
    <t>Lãi chứng chỉ tiền gửi
Interest income from Certificates of Deposit</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</si>
  <si>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</si>
  <si>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</si>
  <si>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</si>
  <si>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</si>
  <si>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</si>
  <si>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</si>
  <si>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</si>
  <si>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</si>
  <si>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</si>
  <si>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</si>
  <si>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</si>
  <si>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</si>
  <si>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</si>
  <si>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Giá trị tài sản ròng trên một đơn vị quỹ cuối kỳ
Net asset value per Fund Certificate at the end of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</si>
  <si>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</si>
  <si>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</si>
  <si>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</si>
  <si>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</si>
  <si>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</si>
  <si>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</si>
  <si>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</si>
  <si>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</si>
  <si>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Phí đăng ký niêm yết bổ sung trả VSD
Additional registration fee paid to VSD</t>
  </si>
  <si>
    <t>Phí niêm yết
Listing fee</t>
  </si>
  <si>
    <t>5.2. Chi phí khác
Other expenses</t>
  </si>
  <si>
    <t>Lãi hợp đồng mua lại đảo ngược
Interest income from reverse repo contracts</t>
  </si>
  <si>
    <t>Phí dịch vụ lưu ký cho chứng khoán cơ sở, phí quản lý vị thế và tài sản phái sinh trả cho VSD
Custodian service -  Depository fee, Position and Margin management fee paid to VSD</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</si>
  <si>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</si>
  <si>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</si>
  <si>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</si>
  <si>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</si>
  <si>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</si>
  <si>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</si>
  <si>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</si>
  <si>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</si>
  <si>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Phí thực hiện quyền trả cho VSD
Fee paid to VSD for getting the list of investors</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</si>
  <si>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</si>
  <si>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</si>
  <si>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</si>
  <si>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</si>
  <si>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</si>
  <si>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Chỉ tiêu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</si>
  <si>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</si>
  <si>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</si>
  <si>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</si>
  <si>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</si>
  <si>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</si>
  <si>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</si>
  <si>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</si>
  <si>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</si>
  <si>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</si>
  <si>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</si>
  <si>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</si>
  <si>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</si>
  <si>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</si>
  <si>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Hợp đồng tiền gửi có kỳ hạn trên ba (03) tháng
Deposits with term over three (03) months</t>
  </si>
  <si>
    <t>Quyền mua chứng khoán
Investment - Rights</t>
  </si>
  <si>
    <t>Hợp đồng tương lai chỉ số
Index future contracts</t>
  </si>
  <si>
    <t>Hợp đồng mua lại đảo ngược
Reverse repo contracts</t>
  </si>
  <si>
    <t>Phải thu cổ tức
Dividend receivables</t>
  </si>
  <si>
    <t>Phải thu trái tức
Coupon receivables</t>
  </si>
  <si>
    <t>TỔNG TÀI SẢN
TOTAL ASSETS</t>
  </si>
  <si>
    <t>Phải trả cho nhà đầu tư chờ mua chứng chỉ quỹ
Subscription Pending allotment</t>
  </si>
  <si>
    <t>Phải trả nhà đầu tư trên tài sản giữ hộ
Payables to investors for investment bought on behalf</t>
  </si>
  <si>
    <t>Phí giao dịch
Transaction fee</t>
  </si>
  <si>
    <t>Phải trả khác
Other payables</t>
  </si>
  <si>
    <t>Phải trả phí báo giá
Price feed fee payable</t>
  </si>
  <si>
    <t>Trích trước phí công tác, họp của ban đại diện
Accrued expense for Fund's Board of Representatives travelling, meeting</t>
  </si>
  <si>
    <t>I. TÀI SẢN
ASSETS</t>
  </si>
  <si>
    <t>1</t>
  </si>
  <si>
    <t>1.Tiền gửi ngân hàng và tương đương tiền
Cash at bank and cash equivalent</t>
  </si>
  <si>
    <t>110</t>
  </si>
  <si>
    <t>1.1</t>
  </si>
  <si>
    <t>1.1. Tiền gửi ngân hàng 
Cash at bank</t>
  </si>
  <si>
    <t>111</t>
  </si>
  <si>
    <t/>
  </si>
  <si>
    <t>Tiền gửi của nhà đầu tư cho hoạt động mua chứng chỉ quỹ 
Cash at bank for Fund's subscription</t>
  </si>
  <si>
    <t>111.1</t>
  </si>
  <si>
    <t>Tiền phải trả cho Nhà đầu tư về mua lại Chứng chỉ quỹ
Cash at bank for Fund's redemption</t>
  </si>
  <si>
    <t>111.2</t>
  </si>
  <si>
    <t>Tiền gửi ngân hàng cho hoạt động của Quỹ
Cash at bank for Fund's operation</t>
  </si>
  <si>
    <t>111.3</t>
  </si>
  <si>
    <t>111.4</t>
  </si>
  <si>
    <t>1.2</t>
  </si>
  <si>
    <t>1.2. Tiền gửi có kỳ hạn dưới ba (03) tháng
Deposit with term less than three (03) months</t>
  </si>
  <si>
    <t>112</t>
  </si>
  <si>
    <t>2</t>
  </si>
  <si>
    <t>2. Các khoản đầu tư thuần
Net Investments</t>
  </si>
  <si>
    <t>120</t>
  </si>
  <si>
    <t>2.1</t>
  </si>
  <si>
    <t>2.1. Các khoản đầu tư
Investments</t>
  </si>
  <si>
    <t>121</t>
  </si>
  <si>
    <t>Cổ phiếu niêm yết
Listed Shares</t>
  </si>
  <si>
    <t>121.1</t>
  </si>
  <si>
    <t>Cổ phiếu chưa niêm yết
Unlisted Shares</t>
  </si>
  <si>
    <t>121.2</t>
  </si>
  <si>
    <t>Trái phiếu niêm yết
Listed Bonds</t>
  </si>
  <si>
    <t>121.3</t>
  </si>
  <si>
    <t>Trái phiếu chưa niêm yết 
Unlisted Bonds</t>
  </si>
  <si>
    <t>121.4</t>
  </si>
  <si>
    <t>Chứng chỉ tiền gửi
Certificates of Deposit</t>
  </si>
  <si>
    <t>121.5</t>
  </si>
  <si>
    <t>121.6</t>
  </si>
  <si>
    <t>121.7</t>
  </si>
  <si>
    <t>121.8</t>
  </si>
  <si>
    <t>Đầu tư khác
Other Investments</t>
  </si>
  <si>
    <t>121.9</t>
  </si>
  <si>
    <t>121.10</t>
  </si>
  <si>
    <t>2.2</t>
  </si>
  <si>
    <t>2.2. Dự phòng giảm giá tài sản nhận thế chấp 
Impairment of devaluation of pledged assets</t>
  </si>
  <si>
    <t>122</t>
  </si>
  <si>
    <t>3</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</si>
  <si>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</si>
  <si>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</si>
  <si>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</si>
  <si>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</si>
  <si>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</si>
  <si>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</si>
  <si>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</si>
  <si>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</si>
  <si>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</si>
  <si>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</si>
  <si>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</si>
  <si>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</si>
  <si>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</si>
  <si>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134.1</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</si>
  <si>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</si>
  <si>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</si>
  <si>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</si>
  <si>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</si>
  <si>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</si>
  <si>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Phải thu lãi chứng chỉ tiền gửi
Interest receivables from Certificates of Deposit</t>
  </si>
  <si>
    <t>134.5</t>
  </si>
  <si>
    <t>Trong đó: Phải thu khó đòi về cổ tức, tiền lãi đến ngày nhận  nhưng chưa nhận được
In which: Overdue receivables from dividend, interest income</t>
  </si>
  <si>
    <t>135</t>
  </si>
  <si>
    <t>3.2.2</t>
  </si>
  <si>
    <t>3.2.2.Dự thu cổ tức, tiền lãi chưa đến ngày nhận 
Dividend and interest receivables before payment date</t>
  </si>
  <si>
    <t>136</t>
  </si>
  <si>
    <t>Dự thu cổ tức
Dividend receivables</t>
  </si>
  <si>
    <t>136.1</t>
  </si>
  <si>
    <t>Dự thu lãi trái phiếu
Interest accrual from bonds</t>
  </si>
  <si>
    <t>136.2</t>
  </si>
  <si>
    <t>Dự thu lãi tiền gửi có kỳ hạn dưới 3 tháng
Interest accrual from deposits with term less than three (03) months</t>
  </si>
  <si>
    <t>136.3</t>
  </si>
  <si>
    <t>Dự thu lãi tiền gửi có kỳ hạn trên 3 tháng
Interest accrual from deposit with term more than three (03) months</t>
  </si>
  <si>
    <t>136.4</t>
  </si>
  <si>
    <t>Dự thu lãi chứng chỉ tiền gửi
Interest accrual from Certificates of Deposit</t>
  </si>
  <si>
    <t>136.5</t>
  </si>
  <si>
    <t>Dự thu lãi hợp đồng mua lại đảo ngược
Interest receivables from reverse repo contracts</t>
  </si>
  <si>
    <t>136.6</t>
  </si>
  <si>
    <t>3.3</t>
  </si>
  <si>
    <t>3.3. Các khoản phải thu khác
Other receivables</t>
  </si>
  <si>
    <t>137</t>
  </si>
  <si>
    <t>Phải thu cho khoản cổ phiếu hạn chế chờ mua
Receivable from AP/Investors on securities on hold of buying</t>
  </si>
  <si>
    <t>137.1</t>
  </si>
  <si>
    <t>Các tài sản khác
Other assets</t>
  </si>
  <si>
    <t>137.2</t>
  </si>
  <si>
    <t>Các khoản khác
Others</t>
  </si>
  <si>
    <t>137.3</t>
  </si>
  <si>
    <t>3.4</t>
  </si>
  <si>
    <t>3.4. Dự phòng nợ phải thu khó đòi
Provision for doubtful debt</t>
  </si>
  <si>
    <t>138</t>
  </si>
  <si>
    <t>100</t>
  </si>
  <si>
    <t>II. NỢ PHẢI TRẢ
TOTAL LIABILITIES</t>
  </si>
  <si>
    <t>1. Vay ngắn hạn 
Short-term loans</t>
  </si>
  <si>
    <t>311</t>
  </si>
  <si>
    <t>Gốc hợp đồng repo
Repo contracts - Principal</t>
  </si>
  <si>
    <t>311.1</t>
  </si>
  <si>
    <t>Vay ngắn hạn
Short-term loans</t>
  </si>
  <si>
    <t>311.2</t>
  </si>
  <si>
    <t>2. Phải trả về mua các khoản đầu tư
Payables for securities bought but not yet settled</t>
  </si>
  <si>
    <t>312</t>
  </si>
  <si>
    <t>3. Phải trả phí cho các Đại lý phân phối, Công ty quản lý quỹ về mua bán Chứng chỉ quỹ
Subscription and Redemption fee payable to distributors and fund management company</t>
  </si>
  <si>
    <t>313</t>
  </si>
  <si>
    <t>Phải trả phí cho các Đại lý phân phối về mua bán Chứng chỉ quỹ
Subscription and Redemption fee payable to distributors</t>
  </si>
  <si>
    <t>313.1</t>
  </si>
  <si>
    <t>Phải trả phí cho Công ty quản lý quỹ về mua bán Chứng chỉ quỹ
Subscription and Redemption fee payable to fund management company</t>
  </si>
  <si>
    <t>313.2</t>
  </si>
  <si>
    <t>4</t>
  </si>
  <si>
    <t>4. Thuế và các khoản phải nộp Nhà nước
Tax payables and obligations to the State Budget</t>
  </si>
  <si>
    <t>314</t>
  </si>
  <si>
    <t>5</t>
  </si>
  <si>
    <t>5.Phải trả thu nhập cho Nhà đầu tư
Profit distribution payables</t>
  </si>
  <si>
    <t>315</t>
  </si>
  <si>
    <t>6</t>
  </si>
  <si>
    <t>6. Chi phí phải trả
Expense Accruals</t>
  </si>
  <si>
    <t>316</t>
  </si>
  <si>
    <t>316.1</t>
  </si>
  <si>
    <t>Phải trả phí môi giới
Brokerage fee payables</t>
  </si>
  <si>
    <t>316.1.1</t>
  </si>
  <si>
    <t>Phải trả phí giao dịch thanh toán bù trừ chứng khoán
Clearing Settlement Fee payables</t>
  </si>
  <si>
    <t>316.1.2</t>
  </si>
  <si>
    <t>Trích trước phí kiểm toán
Accrued expense for audit fee</t>
  </si>
  <si>
    <t>316.2</t>
  </si>
  <si>
    <t>Trích trước phí họp đại hội thường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</si>
  <si>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</si>
  <si>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</si>
  <si>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</si>
  <si>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</si>
  <si>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</si>
  <si>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annual listing fee at HOSE</t>
  </si>
  <si>
    <t>316.6</t>
  </si>
  <si>
    <t>Trích trước lãi vay ngắn hạn của hợp đồng vay và hợp đồng repo
Accrued Interest Expense of short-term loan contracts and repo contracts</t>
  </si>
  <si>
    <t>316.7</t>
  </si>
  <si>
    <t>7</t>
  </si>
  <si>
    <t>7. Phải trả cho Nhà đầu tư về mua Chứng chỉ quỹ
Subscription payables to investors</t>
  </si>
  <si>
    <t>317</t>
  </si>
  <si>
    <t>317.1</t>
  </si>
  <si>
    <t>317.2</t>
  </si>
  <si>
    <t>8</t>
  </si>
  <si>
    <t>8. Phải trả cho Nhà đầu tư về mua lại Chứng chỉ quỹ
Redemption payables to investors</t>
  </si>
  <si>
    <t>318</t>
  </si>
  <si>
    <t>9</t>
  </si>
  <si>
    <t>9. Phải trả dịch vụ quản lý Quỹ mở
Fund management related service expense payable</t>
  </si>
  <si>
    <t>319</t>
  </si>
  <si>
    <t>Trích trước phải trả phí quản lý
Accrued expense for Management fee</t>
  </si>
  <si>
    <t>319.1</t>
  </si>
  <si>
    <t>Trích trước phí lưu ký tài sản Quỹ mở
Accrued expense for Custodian fee</t>
  </si>
  <si>
    <t>319.2</t>
  </si>
  <si>
    <t>319.2.1</t>
  </si>
  <si>
    <t>319.2.2</t>
  </si>
  <si>
    <t>319.2.3</t>
  </si>
  <si>
    <t>Trích trước phí quản trị quỹ
Accrued expense for Fund administration fee</t>
  </si>
  <si>
    <t>319.3</t>
  </si>
  <si>
    <t>Trích trước phí giám sát
Accrued expense for Supervising fee</t>
  </si>
  <si>
    <t>319.4</t>
  </si>
  <si>
    <t>Trích trước phí dịch vụ đại lý chuyển nhượng
Accrued expense for Tranfer agency fee</t>
  </si>
  <si>
    <t>319.5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</si>
  <si>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</si>
  <si>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</si>
  <si>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</si>
  <si>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</si>
  <si>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10. Phải trả, phải nộp khác
Other payables</t>
  </si>
  <si>
    <t>320</t>
  </si>
  <si>
    <t>320.1</t>
  </si>
  <si>
    <t>320.2</t>
  </si>
  <si>
    <t>Trích trước phí quản lý thường niên trả cho UBCKNN
Accrued expense for Annual Fee paid to SSC</t>
  </si>
  <si>
    <t>320.3</t>
  </si>
  <si>
    <t>Phí Ngân hàng S2B
S2B Bank charge</t>
  </si>
  <si>
    <t>320.4</t>
  </si>
  <si>
    <t>320.5</t>
  </si>
  <si>
    <t>TỔNG NỢ PHẢI TRẢ
TOTAL LIABILITIES</t>
  </si>
  <si>
    <t>300</t>
  </si>
  <si>
    <t>III. 	GIÁ TRỊ TÀI SẢN RÒNG CÓ THỂ PHÂN PHỐI CHO NHÀ ĐẦU TƯ NẮM GIỮ CHỨNG CHỈ QUỸ MỞ (I-II)
DISTRIBUTABLE NET ASSET VALUE (I-II)</t>
  </si>
  <si>
    <t>400</t>
  </si>
  <si>
    <t>1. Vốn góp của Nhà đầu tư
Contributed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</si>
  <si>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</si>
  <si>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</si>
  <si>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</si>
  <si>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</si>
  <si>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</si>
  <si>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</si>
  <si>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</si>
  <si>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</si>
  <si>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</si>
  <si>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Undistributed earnings at the beginning of the period</t>
  </si>
  <si>
    <t>420.1</t>
  </si>
  <si>
    <t>3.2 Lợi nhuận chưa phân phối  trong kỳ
Undistributed earnings during the period</t>
  </si>
  <si>
    <t>420.2</t>
  </si>
  <si>
    <t>IV. GIÁ TRỊ TÀI SẢN RÒNG QUỸ MỞ TRÊN 1 ĐƠN VỊ CHỨNG CHỈ QUỸ (IV=(I-II)/III)
NET ASSET VALUE  PER FUND CERTIFICATE</t>
  </si>
  <si>
    <t>430</t>
  </si>
  <si>
    <t>V. LỢI NHUẬN ĐÃ PHÂN PHỐI CHO NHÀ ĐẦU TƯ
DISTRIBUTED EARNINGS</t>
  </si>
  <si>
    <t>440</t>
  </si>
  <si>
    <t>1. Lợi nhuận/Tài sản đã phân phối cho Nhà đầu tư trong kỳ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</si>
  <si>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</si>
  <si>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</si>
  <si>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</si>
  <si>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</si>
  <si>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</si>
  <si>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</si>
  <si>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</si>
  <si>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</si>
  <si>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</si>
  <si>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</si>
  <si>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</si>
  <si>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</si>
  <si>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Fund name:</t>
  </si>
  <si>
    <t>Nội dung hoạt động (nêu chi tiết theo mục tiêu và đối tác)
Description</t>
  </si>
  <si>
    <t>Đối tác
Counterparty</t>
  </si>
  <si>
    <t>Mục tiêu/Tài sản đảm bảo Collateral</t>
  </si>
  <si>
    <t>Kỳ hạn
Term</t>
  </si>
  <si>
    <t>Giá trị khoản vay hoặc khoản cho vay
Amount</t>
  </si>
  <si>
    <t>Thời điểm giao dịch 
As at transaction date</t>
  </si>
  <si>
    <t>Thời điểm báo cáo
As at reporting date</t>
  </si>
  <si>
    <t>Ngày tháng năm
Date</t>
  </si>
  <si>
    <t>Tỷ lệ giá trị hợp đồng/giá trị tài sản ròng của quỹ 
Balance/NAV</t>
  </si>
  <si>
    <t>Ngày tháng năm 
Date</t>
  </si>
  <si>
    <t>A</t>
  </si>
  <si>
    <t>B</t>
  </si>
  <si>
    <t>_______________________________________________</t>
  </si>
  <si>
    <t>___________________________________________</t>
  </si>
  <si>
    <t>_____________________________</t>
  </si>
  <si>
    <t>_______________________________________</t>
  </si>
  <si>
    <t>____________________________________</t>
  </si>
  <si>
    <t>BÁO CÁO VỀ TÀI SẢN / ASSET REPORT</t>
  </si>
  <si>
    <t>BÁO CÁO DANH MỤC ĐẦU TƯ / INVESTMENT PORTFOLIO REPORT</t>
  </si>
  <si>
    <t>BÁO CÁO HOẠT ĐỘNG VAY, GIAO DỊCH MUA BÁN LẠI / REPORT ON BORROWING OPERATION, REPO/REVERSE REPO TRANSACTIONS</t>
  </si>
  <si>
    <r>
      <t xml:space="preserve">Các khoản vay tiền </t>
    </r>
    <r>
      <rPr>
        <i/>
        <sz val="10"/>
        <color theme="1"/>
        <rFont val="Tahoma"/>
        <family val="2"/>
      </rPr>
      <t>(nêu chi tiết từng hợp đồng)
Borrowings (detail by each contract)</t>
    </r>
  </si>
  <si>
    <t>Tổng giá trị các khoản vay tiền/giá trị tài sản ròng
Borrowings/NAV</t>
  </si>
  <si>
    <r>
      <t xml:space="preserve">Hợp đồng Repo </t>
    </r>
    <r>
      <rPr>
        <i/>
        <sz val="10"/>
        <color theme="1"/>
        <rFont val="Tahoma"/>
        <family val="2"/>
      </rPr>
      <t>(nêu chi tiết từng hợp đồng)
Repo contract (detail by each contract)</t>
    </r>
  </si>
  <si>
    <t>Tổng giá trị các hợp đồng Repo/giá trị tài sản ròng
Total value of Repo contracts/NAV</t>
  </si>
  <si>
    <t>Tổng giá trị các khoản vay/giá trị tài sản ròng (=I+II)
Total Borrowings, Repo/NAV (=I+II)</t>
  </si>
  <si>
    <r>
      <t xml:space="preserve">Cho vay chứng khoán </t>
    </r>
    <r>
      <rPr>
        <i/>
        <sz val="10"/>
        <rFont val="Tahoma"/>
        <family val="2"/>
      </rPr>
      <t>(nêu chi tiết từng hợp đồng)
Securities lending (detail by each contract)</t>
    </r>
  </si>
  <si>
    <t>Tổng giá trị các hợp đồng/giá trị tài sản ròng
Total contract value/NAV</t>
  </si>
  <si>
    <r>
      <t>Hợp đồng Reverse Repo</t>
    </r>
    <r>
      <rPr>
        <i/>
        <sz val="10"/>
        <color theme="1"/>
        <rFont val="Tahoma"/>
        <family val="2"/>
      </rPr>
      <t xml:space="preserve"> (nêu chi tiết từng hợp đồng)
Reverse Repo contract (Detail by each contract)</t>
    </r>
  </si>
  <si>
    <t>Tổng giá trị các khoản cho vay/giá trị tài sản ròng  (=III + IV)
Total Loans/NAV (=III + IV)</t>
  </si>
  <si>
    <t>I</t>
  </si>
  <si>
    <t>TÀI SẢN
ASSETS</t>
  </si>
  <si>
    <t>I.1</t>
  </si>
  <si>
    <t>Tiền và các khoản tương đương tiền
Cash and Cash Equivalents</t>
  </si>
  <si>
    <t/>
  </si>
  <si>
    <t>Tiền gửi ngân hàng
Cash at bank</t>
  </si>
  <si>
    <t/>
  </si>
  <si>
    <t>Tiền gửi của nhà đầu tư cho hoạt động mua chứng chỉ quỹ 
Cash at bank for Fund's subscription</t>
  </si>
  <si>
    <t/>
  </si>
  <si>
    <t>Tiền phải trả cho Nhà đầu tư về mua lại chứng chỉ quỹ
Cash at bank for Fund's redemption</t>
  </si>
  <si>
    <t/>
  </si>
  <si>
    <t>Tiền gửi ngân hàng cho hoạt động của Quỹ
Cash at bank for Fund's operation</t>
  </si>
  <si>
    <t/>
  </si>
  <si>
    <t>Tiền gửi ký quỹ cho hoạt động đầu tư chứng khoán phái sinh
Margin account for trading derivatives</t>
  </si>
  <si>
    <t/>
  </si>
  <si>
    <t>I.2</t>
  </si>
  <si>
    <t>Các khoản đầu tư (kê chi tiết)
Investments</t>
  </si>
  <si>
    <t/>
  </si>
  <si>
    <t>Cổ phiếu niêm yết
Listed shares</t>
  </si>
  <si>
    <t/>
  </si>
  <si>
    <t>Cổ phiếu chưa niêm yết
Unlisted shares</t>
  </si>
  <si>
    <t/>
  </si>
  <si>
    <t>Trái phiếu
Bonds</t>
  </si>
  <si>
    <t/>
  </si>
  <si>
    <t>Chứng chỉ tiền gửi 
Certificates of Deposit</t>
  </si>
  <si>
    <t/>
  </si>
  <si>
    <t>Hợp đồng tiền gửi có kỳ hạn trên ba (03) tháng
Deposits with term over three (03) months</t>
  </si>
  <si>
    <t/>
  </si>
  <si>
    <t>Quyền mua chứng khoán
Investment - Rights</t>
  </si>
  <si>
    <t/>
  </si>
  <si>
    <t>Hợp đồng tương lai chỉ số
Index future contracts</t>
  </si>
  <si>
    <t/>
  </si>
  <si>
    <t>Đầu tư khác
Other investments</t>
  </si>
  <si>
    <t/>
  </si>
  <si>
    <t>Hợp đồng mua lại đảo ngược
Reverse repo contracts</t>
  </si>
  <si>
    <t>I.3</t>
  </si>
  <si>
    <t/>
  </si>
  <si>
    <t>Phải thu cổ tức
Dividend receivables</t>
  </si>
  <si>
    <t/>
  </si>
  <si>
    <t>Phải thu trái tức
Coupon receivables</t>
  </si>
  <si>
    <t>I.4</t>
  </si>
  <si>
    <t>Lãi được nhận
Interest receivables</t>
  </si>
  <si>
    <t/>
  </si>
  <si>
    <t>Phải thu lãi tiền gửi 
Interest receivable from bank deposits</t>
  </si>
  <si>
    <t/>
  </si>
  <si>
    <t>Phải thu lãi chứng chỉ tiền gửi
Interest receivable from Certificates of Deposit</t>
  </si>
  <si>
    <t/>
  </si>
  <si>
    <t>Phải thu lãi hợp đồng mua lại đảo ngược
Interest receivable from reverse repo contracts</t>
  </si>
  <si>
    <t>I.5</t>
  </si>
  <si>
    <t>Tiền bán chứng khoán chờ thu
Securities Trading Receivables</t>
  </si>
  <si>
    <t>I.6</t>
  </si>
  <si>
    <t>Các khoản phải thu khác
Other Receivables</t>
  </si>
  <si>
    <t/>
  </si>
  <si>
    <t>Dự phòng giảm giá tài sản nhận thế chấp
Impairment of devaluation of pledged assets</t>
  </si>
  <si>
    <t/>
  </si>
  <si>
    <t>Dự phòng nợ phải thu khó đòi
Provision for doubtful debt</t>
  </si>
  <si>
    <t/>
  </si>
  <si>
    <t>Các khoản phải thu khác
Other Receivables</t>
  </si>
  <si>
    <t>I.7</t>
  </si>
  <si>
    <t>Các tài sản khác
Other Assets</t>
  </si>
  <si>
    <t>I.8</t>
  </si>
  <si>
    <t>TỔNG TÀI SẢN
TOTAL ASSETS</t>
  </si>
  <si>
    <t>II</t>
  </si>
  <si>
    <t>NỢ
LIABILITIES</t>
  </si>
  <si>
    <t>Tiền phải thanh toán mua chứng khoán
Securities Trading Payables</t>
  </si>
  <si>
    <t>Các khoản phải trả khác
Other Payables</t>
  </si>
  <si>
    <t/>
  </si>
  <si>
    <t>Phải trả nhà đầu tư
Payables to investors</t>
  </si>
  <si>
    <t/>
  </si>
  <si>
    <t>Phải trả cho nhà đầu tư chờ mua chứng chỉ quỹ
Subscription Pending allotment</t>
  </si>
  <si>
    <t/>
  </si>
  <si>
    <t>Phải trả nhà đầu tư trên tài sản giữ hộ
Payables to investors for investment bought on behalf</t>
  </si>
  <si>
    <t/>
  </si>
  <si>
    <t>Phải trả nhà đầu tư trên cổ tức đã thu
Payables to investors for collected dividend</t>
  </si>
  <si>
    <t/>
  </si>
  <si>
    <t>Phải trả cho Nhà đầu tư về mua lại chứng chỉ quỹ
Redemption payable to investors</t>
  </si>
  <si>
    <t/>
  </si>
  <si>
    <t>Thuế và các khoản phải nộp Nhà nước
Tax payables and obligations to the State Budget</t>
  </si>
  <si>
    <t/>
  </si>
  <si>
    <t>Phải trả phí phát hành, mua lại chứng chỉ quỹ cho Đại lý phân phối và Công ty quản lý quỹ
Subscription and Redemption fee payable to distributors and Fund Management Company</t>
  </si>
  <si>
    <t/>
  </si>
  <si>
    <t>Phải trả thu nhập cho nhà đầu tư
Income payable to investors</t>
  </si>
  <si>
    <t/>
  </si>
  <si>
    <t>Phải trả thù lao Ban đại diện quỹ
Remuneration Payable to Fund's Board of Representatives</t>
  </si>
  <si>
    <t/>
  </si>
  <si>
    <t>Phải trả phí quản lý cho công ty quản lý quỹ
Management fee payable</t>
  </si>
  <si>
    <t/>
  </si>
  <si>
    <t>Phải trả phí quản trị quỹ
Fund Administration fee payable</t>
  </si>
  <si>
    <t/>
  </si>
  <si>
    <t>Phải trả phí giám sát
Supervisory service fee payable</t>
  </si>
  <si>
    <t/>
  </si>
  <si>
    <t>Phí giao dịch
Transaction fee</t>
  </si>
  <si>
    <t/>
  </si>
  <si>
    <t>Phải trả phí môi giới
Brokerage fee payable</t>
  </si>
  <si>
    <t/>
  </si>
  <si>
    <t>Phải trả phí phát hành thanh toán bù trừ chứng khoán
Clearing Settlement fee payable</t>
  </si>
  <si>
    <t/>
  </si>
  <si>
    <t>Trích trước phí lưu ký tài sản Quỹ mở
Accrued expense for Custodian fee</t>
  </si>
  <si>
    <t/>
  </si>
  <si>
    <t>Phí lưu ký - bảo quản tài sản
Custodian service - Safe Custody Fee</t>
  </si>
  <si>
    <t/>
  </si>
  <si>
    <t>Phí lưu ký - giao dịch chứng khoán
Custodian service - Transaction fee</t>
  </si>
  <si>
    <t/>
  </si>
  <si>
    <t>Phí lưu ký cho chứng khoán cơ sở, phí quản lý vị thế và tài sản phái sinh trả cho VSD
Custodian service -  Depository fee, Position and Margin management fee paid to VSD</t>
  </si>
  <si>
    <t/>
  </si>
  <si>
    <t>Phải trả phí kiểm toán
Audit fee payable</t>
  </si>
  <si>
    <t/>
  </si>
  <si>
    <t>Phải trả phí họp đại hội thường niên
General meeting expense payable</t>
  </si>
  <si>
    <t/>
  </si>
  <si>
    <t>Phải trả phí báo cáo thường niên
Annual report fee payable</t>
  </si>
  <si>
    <t/>
  </si>
  <si>
    <t>Phải trả phí dịch vụ đại lý chuyển nhượng
Transfer Agency fee payable</t>
  </si>
  <si>
    <t/>
  </si>
  <si>
    <t>Dự chi phí tính giá trị tài sản ròng tham chiếu (iNAV) cho HOSE
Service fee payable to HOSE for calculating iNAV</t>
  </si>
  <si>
    <t/>
  </si>
  <si>
    <t>Dự chi phí cấp quyền sử dụng chỉ số cho HOSE
Authorising index service fee payable to HOSE</t>
  </si>
  <si>
    <t/>
  </si>
  <si>
    <t>Phải trả khác
Other payables</t>
  </si>
  <si>
    <t/>
  </si>
  <si>
    <t>Phải trả phí báo giá
Price feed fee payable</t>
  </si>
  <si>
    <t/>
  </si>
  <si>
    <t>Trích trước phí công tác, họp của ban đại diện
Accrued expense for Fund's Board of Representatives travelling, meeting</t>
  </si>
  <si>
    <t/>
  </si>
  <si>
    <t>Trích trước phí quản lý thường niên trả UBCKNN
Accrued expense for Annual Management Fee pay to SSC</t>
  </si>
  <si>
    <t/>
  </si>
  <si>
    <t>Phải trả khác
Other payables</t>
  </si>
  <si>
    <t/>
  </si>
  <si>
    <t>Vay ngắn hạn - hợp đồng repo
Short-term loans - Repo contracts</t>
  </si>
  <si>
    <t/>
  </si>
  <si>
    <t>Gốc hợp đồng repo
Principal of repo contracts</t>
  </si>
  <si>
    <t/>
  </si>
  <si>
    <t>Trích trước lãi vay ngắn hạn 
Accrued Interest Expense</t>
  </si>
  <si>
    <t/>
  </si>
  <si>
    <t>Gốc vay ngắn hạn
Principal of Short-term loans</t>
  </si>
  <si>
    <t>II.3</t>
  </si>
  <si>
    <t>TỔNG NỢ
TOTAL LIABILITIES</t>
  </si>
  <si>
    <t/>
  </si>
  <si>
    <t/>
  </si>
  <si>
    <t/>
  </si>
  <si>
    <t>1</t>
  </si>
  <si>
    <t>BCM</t>
  </si>
  <si>
    <t>2</t>
  </si>
  <si>
    <t>BID</t>
  </si>
  <si>
    <t>3</t>
  </si>
  <si>
    <t>BVH</t>
  </si>
  <si>
    <t>4</t>
  </si>
  <si>
    <t>BWE</t>
  </si>
  <si>
    <t>5</t>
  </si>
  <si>
    <t>CTD</t>
  </si>
  <si>
    <t>6</t>
  </si>
  <si>
    <t>CTG</t>
  </si>
  <si>
    <t>7</t>
  </si>
  <si>
    <t>DCM</t>
  </si>
  <si>
    <t>8</t>
  </si>
  <si>
    <t>DGC</t>
  </si>
  <si>
    <t>9</t>
  </si>
  <si>
    <t>DGW</t>
  </si>
  <si>
    <t>10</t>
  </si>
  <si>
    <t>DIG</t>
  </si>
  <si>
    <t>11</t>
  </si>
  <si>
    <t>DPG</t>
  </si>
  <si>
    <t>12</t>
  </si>
  <si>
    <t>DPM</t>
  </si>
  <si>
    <t>13</t>
  </si>
  <si>
    <t>DXG</t>
  </si>
  <si>
    <t>14</t>
  </si>
  <si>
    <t>FPT</t>
  </si>
  <si>
    <t>15</t>
  </si>
  <si>
    <t>FRT</t>
  </si>
  <si>
    <t>16</t>
  </si>
  <si>
    <t>GAS</t>
  </si>
  <si>
    <t>17</t>
  </si>
  <si>
    <t>GEX</t>
  </si>
  <si>
    <t>18</t>
  </si>
  <si>
    <t>HDC</t>
  </si>
  <si>
    <t>19</t>
  </si>
  <si>
    <t>HDG</t>
  </si>
  <si>
    <t>20</t>
  </si>
  <si>
    <t>IDC</t>
  </si>
  <si>
    <t>21</t>
  </si>
  <si>
    <t>KBC</t>
  </si>
  <si>
    <t>22</t>
  </si>
  <si>
    <t>KDH</t>
  </si>
  <si>
    <t>23</t>
  </si>
  <si>
    <t>MBB</t>
  </si>
  <si>
    <t>24</t>
  </si>
  <si>
    <t>MSN</t>
  </si>
  <si>
    <t>25</t>
  </si>
  <si>
    <t>MWG</t>
  </si>
  <si>
    <t>26</t>
  </si>
  <si>
    <t>NLG</t>
  </si>
  <si>
    <t>27</t>
  </si>
  <si>
    <t>NT2</t>
  </si>
  <si>
    <t>28</t>
  </si>
  <si>
    <t>PET</t>
  </si>
  <si>
    <t>29</t>
  </si>
  <si>
    <t>PNJ</t>
  </si>
  <si>
    <t>30</t>
  </si>
  <si>
    <t>POW</t>
  </si>
  <si>
    <t>31</t>
  </si>
  <si>
    <t>PVD</t>
  </si>
  <si>
    <t>32</t>
  </si>
  <si>
    <t>PVS</t>
  </si>
  <si>
    <t>33</t>
  </si>
  <si>
    <t>PVT</t>
  </si>
  <si>
    <t>34</t>
  </si>
  <si>
    <t>SAB</t>
  </si>
  <si>
    <t>35</t>
  </si>
  <si>
    <t>SSI</t>
  </si>
  <si>
    <t>36</t>
  </si>
  <si>
    <t>STB</t>
  </si>
  <si>
    <t>37</t>
  </si>
  <si>
    <t>TCB</t>
  </si>
  <si>
    <t>38</t>
  </si>
  <si>
    <t>TCI</t>
  </si>
  <si>
    <t>39</t>
  </si>
  <si>
    <t>TLG</t>
  </si>
  <si>
    <t>40</t>
  </si>
  <si>
    <t>VCB</t>
  </si>
  <si>
    <t>41</t>
  </si>
  <si>
    <t>VGC</t>
  </si>
  <si>
    <t>42</t>
  </si>
  <si>
    <t>VHC</t>
  </si>
  <si>
    <t>43</t>
  </si>
  <si>
    <t>VHM</t>
  </si>
  <si>
    <t>44</t>
  </si>
  <si>
    <t>VIC</t>
  </si>
  <si>
    <t>45</t>
  </si>
  <si>
    <t>VNM</t>
  </si>
  <si>
    <t>46</t>
  </si>
  <si>
    <t>VPB</t>
  </si>
  <si>
    <t>47</t>
  </si>
  <si>
    <t>VRE</t>
  </si>
  <si>
    <t>48</t>
  </si>
  <si>
    <t>VSH</t>
  </si>
  <si>
    <t>TỔNG
	TOTAL</t>
  </si>
  <si>
    <t>TỔNG
	TOTAL</t>
  </si>
  <si>
    <t>TỔNG CÁC LOẠI CỔ PHIẾU
TOTAL SHARES</t>
  </si>
  <si>
    <t>TRÁI PHIẾU
	BONDS</t>
  </si>
  <si>
    <t>1</t>
  </si>
  <si>
    <t>Trái phiếu niêm yết
Listed bonds</t>
  </si>
  <si>
    <t>1.1</t>
  </si>
  <si>
    <t>CII121029</t>
  </si>
  <si>
    <t>1.2</t>
  </si>
  <si>
    <t>MSN121013</t>
  </si>
  <si>
    <t>2</t>
  </si>
  <si>
    <t>Trái phiếu chưa niêm yết
Unlisted Bonds</t>
  </si>
  <si>
    <t>2.1</t>
  </si>
  <si>
    <t>DAT XANH GROUP JSC 12% 18 Mar 2023</t>
  </si>
  <si>
    <t>2.2</t>
  </si>
  <si>
    <t>KDH TRADING &amp; INV JSC 12% 14/06/2025</t>
  </si>
  <si>
    <t>2.3</t>
  </si>
  <si>
    <t>PDR BOND 12 PCT 02 DEC 2023</t>
  </si>
  <si>
    <t>2.4</t>
  </si>
  <si>
    <t>PHAT DAT REAL ESTATE 13% 24/09/2023</t>
  </si>
  <si>
    <t>TỔNG
	TOTAL</t>
  </si>
  <si>
    <t>CÁC LOẠI CHỨNG KHOÁN KHÁC
	OTHER SECURITIES</t>
  </si>
  <si>
    <t>1</t>
  </si>
  <si>
    <t>Quyền mua chứng khoán
Investment - Rights</t>
  </si>
  <si>
    <t>2</t>
  </si>
  <si>
    <t>Chi tiết loại hợp đồng phái sinh(*)
Index future contracts</t>
  </si>
  <si>
    <t>TỔNG
	TOTAL</t>
  </si>
  <si>
    <t>TỔNG CÁC LOẠI CHỨNG KHOÁN
TOTAL TYPES OF SECURITIES</t>
  </si>
  <si>
    <t>CÁC TÀI SẢN KHÁC
	OTHER ASSETS</t>
  </si>
  <si>
    <t>1</t>
  </si>
  <si>
    <t>Cổ tức được nhận
Dividend receivables</t>
  </si>
  <si>
    <t>2</t>
  </si>
  <si>
    <t>Lãi trái phiếu được nhận
Coupon receivables</t>
  </si>
  <si>
    <t>3</t>
  </si>
  <si>
    <t>Lãi tiền gửi và chứng chỉ tiền gửi được nhận
Interest receivables from bank deposits and certificates of deposit</t>
  </si>
  <si>
    <t>4</t>
  </si>
  <si>
    <t>Tiền bán chứng khoán chờ thu
Outstanding Settlement of sales transactions</t>
  </si>
  <si>
    <t>5</t>
  </si>
  <si>
    <t>Phải thu cho khoản cổ phiếu hạn chế chờ mua
Receivable from AP/Investors on securities on hold of buying</t>
  </si>
  <si>
    <t>6</t>
  </si>
  <si>
    <t>Phải thu khác
Other receivables</t>
  </si>
  <si>
    <t>7</t>
  </si>
  <si>
    <t>Tài sản khác
Other assets</t>
  </si>
  <si>
    <t>TỔNG
	TOTAL</t>
  </si>
  <si>
    <t>TIỀN
	CASH</t>
  </si>
  <si>
    <t>1</t>
  </si>
  <si>
    <t>1.1</t>
  </si>
  <si>
    <t>Tiền gửi ngân hàng
	Cash at Bank</t>
  </si>
  <si>
    <t>1.2</t>
  </si>
  <si>
    <t>Các khoản tương đương tiền
Cash Equivalents</t>
  </si>
  <si>
    <t>Chứng chỉ tiền gửi 
Certificates of deposit</t>
  </si>
  <si>
    <t>Công cụ chuyển nhượng…
Transferable instruments…</t>
  </si>
  <si>
    <t>TỔNG
	TOTAL</t>
  </si>
  <si>
    <t>Tổng giá trị danh mục 
Total value of portfolio</t>
  </si>
  <si>
    <t>Tại ngày 31 tháng 10 năm 2022
/ As at 31 Oct 2022</t>
  </si>
  <si>
    <t>Tháng 10 năm 2022
/ Oct 2022</t>
  </si>
  <si>
    <t>Công ty Cổ phần Quản lý Quỹ Đầu tư Dragon Capital Việt Nam</t>
  </si>
  <si>
    <t>Dragon Capital Vietfund Management Joint Stock Company</t>
  </si>
  <si>
    <t>Ngân hàng TNHH Một thành viên Standard Chartered (Việt Nam)</t>
  </si>
  <si>
    <t>Standard Chartered Bank (Vietnam) Limited</t>
  </si>
  <si>
    <t>Quỹ Đầu tư Chứng khoán Năng động DC</t>
  </si>
  <si>
    <t>Ngày 01 tháng 11 năm 2022</t>
  </si>
  <si>
    <t>01 Nov 2022</t>
  </si>
  <si>
    <t>Trịnh Hoài Nam</t>
  </si>
  <si>
    <t>Nguyễn Minh Đăng Khánh</t>
  </si>
  <si>
    <t>Phó phòng Dịch vụ Quản trị và Giám sát Quỹ</t>
  </si>
  <si>
    <t>Giám đốc điều hành Nghiệp vụ hỗ trợ đầu tư</t>
  </si>
  <si>
    <t>Ngày 31 tháng 10 năm 2022
 As at 31 Oct 2022</t>
  </si>
  <si>
    <t>Ngày 30 tháng 09 năm 2022
 As at 30 Sep 2022</t>
  </si>
  <si>
    <t>Tháng 10 năm 2022
Oct 2022</t>
  </si>
  <si>
    <t>Tháng 09 năm 2022
Sep 2022</t>
  </si>
  <si>
    <t>Năm 2022
Year 2022</t>
  </si>
  <si>
    <t>Năm 2021
Year 2021</t>
  </si>
  <si>
    <t>Tháng 10 năm 2021
Oct 2021</t>
  </si>
  <si>
    <t>Nguyễn Thu Ngọc</t>
  </si>
  <si>
    <t>Ninh Thị Tuệ Minh</t>
  </si>
  <si>
    <t>Kế toán Quỹ</t>
  </si>
  <si>
    <t>Trưởng phòng Kế toán Quỹ</t>
  </si>
  <si>
    <t>DC Dynamic Securities Fund(DCDS)</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</si>
  <si>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</si>
  <si>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</si>
  <si>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BÁO CÁO VỀ HOẠT ĐỘNG ĐẦU TƯ
REPORT ON INVESTMENT ACTIVITIES</t>
  </si>
  <si>
    <t>A.</t>
  </si>
  <si>
    <t>BÁO CÁO CHUNG VỀ HOẠT ĐỘNG ĐẦU TƯ CỦA QUỸ/GENERAL INFORMATION ON FUND'S INVESTMENT ACTIVITIES</t>
  </si>
  <si>
    <t>Tiền, tương đương tiền
Cash, cash equivalents</t>
  </si>
  <si>
    <t>Thu từ cho thuê bất động sản đầu tư (không áp dụng)
Receivables from rental of investment property (not applicable)</t>
  </si>
  <si>
    <t>Cổ tức, trái tức được nhận
Dividend, Coupon receivables</t>
  </si>
  <si>
    <t>Tiền bán bất động sản chờ thu (không áp dụng)
Real Estate Proceeds Receivables (not applicale)</t>
  </si>
  <si>
    <t>I.9</t>
  </si>
  <si>
    <t>I.10</t>
  </si>
  <si>
    <t>Tiền phải thanh toán mua bất động sản (không áp dụng)
Real Estate Trading Payables (not applicable)</t>
  </si>
  <si>
    <t>II.4</t>
  </si>
  <si>
    <t>Tài sản ròng của Quỹ ( = I.10 - II.4)
Net Asset Value ( = I.10 - II.4)</t>
  </si>
  <si>
    <t>Tổng số chứng chỉ quỹ đang lưu hành
Total Outstanding Fund Certificates</t>
  </si>
  <si>
    <t>Giá trị tài sản ròng trên một chứng chỉ quỹ
Net Asset Value per Fund Certificate</t>
  </si>
  <si>
    <t>Thu từ bất động sản cho thuê (không áp dụng)
Income from rental property (not applicable)</t>
  </si>
  <si>
    <t>Chi phí quản lý trả cho Công ty quản lý quỹ
Management Fee paid to Fund Management Company</t>
  </si>
  <si>
    <t>Chi phí lưu ký, giám sát trả cho Ngân hàng Giám sát/VSD
Custody fee, Supervising fee paid to Supervising Bank/VSD</t>
  </si>
  <si>
    <t>Chi phí dịch vụ lưu ký - bảo quản tài sản
Custodian service - Safe Custody Fee</t>
  </si>
  <si>
    <t>Chi phí dịch vụ lưu ký - giao dịch chứng khoán
Custodian service - Transaction fee</t>
  </si>
  <si>
    <t>Chi phí dịch vụ lưu ký cho chứng khoán cơ sở, phí quản lý vị thế và tài sản phái sinh trả cho VSD
Custodian service -  Depository fee, Position and Margin management fee paid to VSD</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</si>
  <si>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</si>
  <si>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</si>
  <si>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</si>
  <si>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</si>
  <si>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</si>
  <si>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</si>
  <si>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</si>
  <si>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</si>
  <si>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</si>
  <si>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</si>
  <si>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</si>
  <si>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BẤT ĐỘNG SẢN ĐẦU TƯ (KHÔNG ÁP DỤNG)
REAL ESTATE INVESTMENT (NOT APPLICABLE)</t>
  </si>
  <si>
    <t>CỔ PHIẾU NIÊM YẾT, ĐĂNG KÝ GIAO DỊCH, CHỨNG CHỈ QUỸ NIÊM YẾT
SHARES LISTED, SHARES REGISTERED FOR TRADING, LISTED FUND CERTIFICATES</t>
  </si>
  <si>
    <t>CỔ PHIẾU CHƯA NIÊM YẾT, ĐĂNG KÝ GIAO DỊCH, CHỨNG CHỈ QUỸ KHÔNG NIÊM YẾT
SHARES UNLISTED, UNREGISTERED FOR TRADING, UNLISTED FUND CERTIFICATES</t>
  </si>
  <si>
    <t>Tiền, tương đương tiền
Cash, Cash Equivalents</t>
  </si>
  <si>
    <t>Tiền gửi ngân hàng có kỳ hạn trên 3 tháng
Deposits with term over three (03) months</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</si>
  <si>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</si>
  <si>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</si>
  <si>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</si>
  <si>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</si>
  <si>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</si>
  <si>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</si>
  <si>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Tốc độ vòng quay danh mục trong kỳ (%) = (Tổng giá trị  mua vào + tổng giá trị bán ra) x 100%/ (2 x Giá trị tài sản ròng trung bình trong kỳ)
Portfolio turnover rate (%) = (Total value of purchase transactions + total value of sales transactions) x 100%/ (2 x Average NAV) (**)</t>
  </si>
  <si>
    <t>Tỷ lệ thu nhập (tính cả thu nhập từ lãi, cổ tức, trái tức, chênh
lệch giá)/ Giá trị tài sản ròng (không áp dụng)
Income (including interest income, dividend, coupon income and unrealised gain)/ Average NAV (%) (not applicable)</t>
  </si>
  <si>
    <t>Quy mô quỹ đầu kỳ (theo mệnh giá)
Fund scale at the beginning of the period (based on par value)</t>
  </si>
  <si>
    <t>Tổng giá trị chứng chỉ quỹ đang lưu hành đầu kỳ (theo mệnh giá)
Total value of outstanding Fund Certificate at the beginning of period (based on par value)</t>
  </si>
  <si>
    <t>Tổng số lượng chứng chỉ quỹ đang lưu hành đầu kỳ
Total number of outstanding Fund Certificate at the beginning of period</t>
  </si>
  <si>
    <t>Thay đổi quy mô quỹ trong kỳ (theo mệnh giá)
Change of Fund scale during the period (based on par value)</t>
  </si>
  <si>
    <t>Số lượng chứng chỉ quỹ phát hành thêm trong kỳ
Number of Fund Certificates subscribed during the period</t>
  </si>
  <si>
    <t>Số lượng chứng chỉ quỹ mua lại trong kỳ
Number of Fund Certificates redeemed during the period</t>
  </si>
  <si>
    <t>Quy mô quỹ cuối kỳ (theo mệnh giá)
Fund scale at the end of the period (based on par value)</t>
  </si>
  <si>
    <t>Tổng giá trị thị trường của quỹ đang lưu hành cuối kỳ (theo mệnh giá)
Total value of outstanding Fund Certificate at the end of the period (based on par value)</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</si>
  <si>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</si>
  <si>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</si>
  <si>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Các chỉ tiêu từ 1 đến 10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10 of "Investment performance indicators" are annualized to reflect a rate that is based on a full year operation by multiplying these indicators with 12 (monthly report) or 4 (quarterly report) or 2 (semi-annual report) or 1 (annual report).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</si>
</sst>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0_);_(* \(#,##0\);_(* &quot;-&quot;_);_(@_)"/>
    <numFmt numFmtId="43" formatCode="_(* #,##0.00_);_(* \(#,##0.00\);_(* &quot;-&quot;??_);_(@_)"/>
    <numFmt numFmtId="164" formatCode="_-* #,##0.00\ _₫_-;\-* #,##0.00\ _₫_-;_-* &quot;-&quot;??\ _₫_-;_-@_-"/>
    <numFmt numFmtId="165" formatCode="_(* #,##0_);_(* \(#,##0\);_(* &quot;-&quot;??_);_(@_)"/>
    <numFmt numFmtId="166" formatCode="_(* #,##0.00_);_(* \(#,##0.00\);_(* &quot;-&quot;_);_(@_)"/>
    <numFmt numFmtId="167" formatCode="_-* #,##0\ _₫_-;\-* #,##0\ _₫_-;_-* &quot;-&quot;\ _₫_-;_-@_-"/>
  </numFmts>
  <fonts count="53">
    <font>
      <sz val="11"/>
      <color theme="1"/>
      <name val="Calibri"/>
      <family val="2"/>
      <scheme val="minor"/>
    </font>
    <font>
      <sz val="11"/>
      <color theme="1"/>
      <name val="Calibri"/>
      <family val="2"/>
      <scheme val="minor"/>
    </font>
    <font>
      <sz val="12"/>
      <name val=".VnTime"/>
      <family val="2"/>
    </font>
    <font>
      <u/>
      <sz val="11"/>
      <color theme="10"/>
      <name val="Calibri"/>
      <family val="2"/>
      <scheme val="minor"/>
    </font>
    <font>
      <sz val="10"/>
      <name val="Arial"/>
      <family val="2"/>
    </font>
    <font>
      <sz val="10"/>
      <color theme="1"/>
      <name val="Arial"/>
      <family val="2"/>
    </font>
    <font>
      <b/>
      <sz val="12"/>
      <color theme="1"/>
      <name val="Arial"/>
      <family val="2"/>
    </font>
    <font>
      <sz val="12"/>
      <color theme="1"/>
      <name val="Arial"/>
      <family val="2"/>
    </font>
    <font>
      <i/>
      <sz val="12"/>
      <color theme="1"/>
      <name val="Arial"/>
      <family val="2"/>
    </font>
    <font>
      <b/>
      <sz val="12"/>
      <color indexed="30"/>
      <name val="Arial"/>
      <family val="2"/>
    </font>
    <font>
      <sz val="12"/>
      <color indexed="8"/>
      <name val="Arial"/>
      <family val="2"/>
    </font>
    <font>
      <sz val="12"/>
      <name val="Arial"/>
      <family val="2"/>
    </font>
    <font>
      <b/>
      <sz val="12"/>
      <color rgb="FF0070C0"/>
      <name val="Arial"/>
      <family val="2"/>
    </font>
    <font>
      <b/>
      <sz val="12"/>
      <color indexed="8"/>
      <name val="Arial"/>
      <family val="2"/>
    </font>
    <font>
      <i/>
      <sz val="12"/>
      <name val="Arial"/>
      <family val="2"/>
    </font>
    <font>
      <b/>
      <sz val="12"/>
      <name val="Arial"/>
      <family val="2"/>
    </font>
    <font>
      <u/>
      <sz val="12"/>
      <color theme="10"/>
      <name val="Arial"/>
      <family val="2"/>
    </font>
    <font>
      <sz val="12"/>
      <color theme="0" tint="-4.9989318521683403E-2"/>
      <name val="Arial"/>
      <family val="2"/>
    </font>
    <font>
      <b/>
      <sz val="10"/>
      <color theme="1"/>
      <name val="Arial"/>
      <family val="2"/>
    </font>
    <font>
      <i/>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2"/>
      <name val="Tahoma"/>
      <family val="2"/>
    </font>
    <font>
      <i/>
      <sz val="8"/>
      <name val="Tahoma"/>
      <family val="2"/>
    </font>
    <font>
      <b/>
      <sz val="8"/>
      <name val="Tahoma"/>
      <family val="2"/>
    </font>
    <font>
      <b/>
      <sz val="10"/>
      <color indexed="8"/>
      <name val="Tahoma"/>
      <family val="2"/>
    </font>
    <font>
      <b/>
      <sz val="8"/>
      <color theme="1"/>
      <name val="Tahoma"/>
      <family val="2"/>
    </font>
    <font>
      <i/>
      <sz val="8"/>
      <color theme="1"/>
      <name val="Tahoma"/>
      <family val="2"/>
    </font>
    <font>
      <b/>
      <sz val="12"/>
      <color theme="1"/>
      <name val="Tahoma"/>
      <family val="2"/>
    </font>
    <font>
      <i/>
      <sz val="10"/>
      <color theme="1"/>
      <name val="Tahoma"/>
      <family val="2"/>
    </font>
    <font>
      <b/>
      <sz val="10"/>
      <color theme="1"/>
      <name val="Tahoma"/>
      <family val="2"/>
    </font>
    <font>
      <i/>
      <sz val="11"/>
      <color theme="1"/>
      <name val="Calibri"/>
      <family val="2"/>
      <scheme val="minor"/>
    </font>
    <font>
      <sz val="11"/>
      <color theme="1"/>
      <name val="Tahoma"/>
      <family val="2"/>
    </font>
    <font>
      <sz val="10"/>
      <color indexed="8"/>
      <name val="Tahoma"/>
      <family val="2"/>
    </font>
    <font>
      <b/>
      <sz val="8"/>
      <color theme="1" tint="4.9989318521683403E-2"/>
      <name val="Tahoma"/>
      <family val="2"/>
    </font>
    <font>
      <i/>
      <sz val="8"/>
      <color indexed="8"/>
      <name val="Tahoma"/>
      <family val="2"/>
    </font>
    <font>
      <b/>
      <sz val="10"/>
      <color rgb="FF0070C0"/>
      <name val="Tahoma"/>
      <family val="2"/>
    </font>
    <font>
      <sz val="10"/>
      <color theme="1" tint="4.9989318521683403E-2"/>
      <name val="Tahoma"/>
      <family val="2"/>
    </font>
    <font>
      <sz val="10"/>
      <name val="Tahoma"/>
      <family val="2"/>
    </font>
    <font>
      <sz val="10"/>
      <name val="Tahoma"/>
      <family val="2"/>
    </font>
    <font>
      <sz val="10"/>
      <name val="Tahoma"/>
      <family val="2"/>
    </font>
    <font>
      <sz val="10"/>
      <name val="Tahoma"/>
      <family val="2"/>
    </font>
    <font>
      <sz val="10"/>
      <name val="Tahoma"/>
      <family val="2"/>
    </font>
    <font>
      <b/>
      <sz val="10"/>
      <name val="Tahoma"/>
      <family val="2"/>
    </font>
    <font>
      <b/>
      <sz val="10"/>
      <name val="Tahoma"/>
      <family val="2"/>
    </font>
    <font>
      <b/>
      <sz val="10"/>
      <name val="Tahoma"/>
      <family val="2"/>
    </font>
    <font>
      <b/>
      <sz val="10"/>
      <name val="Tahoma"/>
      <family val="2"/>
    </font>
    <font>
      <sz val="10"/>
      <name val="Tahoma"/>
      <family val="2"/>
    </font>
    <font>
      <sz val="10"/>
      <name val="Tahoma"/>
      <family val="2"/>
    </font>
    <font>
      <b/>
      <sz val="11"/>
      <color theme="1"/>
      <name val="Calibri"/>
      <family val="2"/>
      <scheme val="minor"/>
    </font>
  </fonts>
  <fills count="18">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rgb="FFFFFF00"/>
        <bgColor indexed="64"/>
      </patternFill>
    </fill>
    <fill>
      <patternFill patternType="solid">
        <fgColor theme="0" tint="-0.249977111117893"/>
        <bgColor indexed="64"/>
      </patternFill>
    </fill>
    <fill>
      <patternFill patternType="solid">
        <fgColor rgb="FFFFC000"/>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9">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s>
  <cellStyleXfs count="15">
    <xf numFmtId="0" fontId="0" fillId="0" borderId="0"/>
    <xf numFmtId="0" fontId="2" fillId="0" borderId="0"/>
    <xf numFmtId="0" fontId="3" fillId="0" borderId="0" applyNumberFormat="0" applyFill="0" applyBorder="0" applyAlignment="0" applyProtection="0"/>
    <xf numFmtId="0" fontId="1" fillId="0" borderId="0"/>
    <xf numFmtId="0" fontId="4" fillId="0" borderId="0"/>
    <xf numFmtId="0" fontId="4" fillId="0" borderId="0"/>
    <xf numFmtId="43" fontId="4" fillId="0" borderId="0" applyFont="0" applyFill="0" applyBorder="0" applyAlignment="0" applyProtection="0"/>
    <xf numFmtId="0" fontId="4" fillId="0" borderId="0"/>
    <xf numFmtId="43" fontId="1"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0" fontId="1" fillId="0" borderId="0" applyFont="0" applyFill="0" applyBorder="0" applyAlignment="0" applyProtection="0"/>
    <xf numFmtId="0" fontId="4" fillId="0" borderId="0"/>
    <xf numFmtId="0" fontId="1" fillId="0" borderId="0"/>
    <xf numFmtId="164" fontId="4" fillId="0" borderId="0" quotePrefix="1" applyFont="0" applyFill="0" applyBorder="0" applyAlignment="0">
      <protection locked="0"/>
    </xf>
  </cellStyleXfs>
  <cellXfs count="298">
    <xf numFmtId="0" fontId="0" fillId="0" borderId="0" xfId="0"/>
    <xf numFmtId="0" fontId="6" fillId="2" borderId="0" xfId="0" applyFont="1" applyFill="1"/>
    <xf numFmtId="0" fontId="7" fillId="2" borderId="0" xfId="0" applyFont="1" applyFill="1"/>
    <xf numFmtId="0" fontId="8" fillId="3" borderId="2" xfId="0" applyFont="1" applyFill="1" applyBorder="1"/>
    <xf numFmtId="0" fontId="7" fillId="3" borderId="3" xfId="0" applyFont="1" applyFill="1" applyBorder="1"/>
    <xf numFmtId="0" fontId="8" fillId="3" borderId="4" xfId="0" applyFont="1" applyFill="1" applyBorder="1"/>
    <xf numFmtId="0" fontId="8" fillId="2" borderId="0" xfId="0" applyFont="1" applyFill="1"/>
    <xf numFmtId="0" fontId="9" fillId="3" borderId="0" xfId="0" applyFont="1" applyFill="1" applyAlignment="1">
      <alignment horizontal="left" vertical="center" wrapText="1"/>
    </xf>
    <xf numFmtId="0" fontId="10" fillId="3" borderId="0" xfId="0" applyFont="1" applyFill="1" applyAlignment="1">
      <alignment vertical="center" wrapText="1"/>
    </xf>
    <xf numFmtId="0" fontId="11" fillId="3" borderId="0" xfId="0" applyFont="1" applyFill="1" applyAlignment="1">
      <alignment horizontal="left" vertical="center" wrapText="1"/>
    </xf>
    <xf numFmtId="0" fontId="9" fillId="3" borderId="0" xfId="0" applyFont="1" applyFill="1" applyAlignment="1">
      <alignment vertical="center" wrapText="1"/>
    </xf>
    <xf numFmtId="0" fontId="7" fillId="3" borderId="0" xfId="0" applyFont="1" applyFill="1" applyAlignment="1">
      <alignment vertical="center" wrapText="1"/>
    </xf>
    <xf numFmtId="0" fontId="12" fillId="3" borderId="0" xfId="0" applyFont="1" applyFill="1" applyAlignment="1">
      <alignment vertical="center" wrapText="1"/>
    </xf>
    <xf numFmtId="0" fontId="11" fillId="3" borderId="0" xfId="0" applyFont="1" applyFill="1"/>
    <xf numFmtId="0" fontId="13" fillId="3" borderId="1" xfId="0" applyFont="1" applyFill="1" applyBorder="1" applyAlignment="1">
      <alignment vertical="center"/>
    </xf>
    <xf numFmtId="0" fontId="7" fillId="3" borderId="5" xfId="0" applyFont="1" applyFill="1" applyBorder="1"/>
    <xf numFmtId="0" fontId="7" fillId="3" borderId="2" xfId="0" applyFont="1" applyFill="1" applyBorder="1"/>
    <xf numFmtId="0" fontId="14" fillId="3" borderId="6" xfId="1" applyNumberFormat="1" applyFont="1" applyFill="1" applyBorder="1" applyAlignment="1">
      <alignment vertical="center"/>
    </xf>
    <xf numFmtId="0" fontId="8" fillId="3" borderId="7" xfId="0" applyFont="1" applyFill="1" applyBorder="1"/>
    <xf numFmtId="0" fontId="7" fillId="3" borderId="0" xfId="0" applyFont="1" applyFill="1" applyBorder="1"/>
    <xf numFmtId="0" fontId="7" fillId="3" borderId="7" xfId="0" applyFont="1" applyFill="1" applyBorder="1"/>
    <xf numFmtId="0" fontId="7" fillId="3" borderId="6" xfId="0" applyFont="1" applyFill="1" applyBorder="1"/>
    <xf numFmtId="0" fontId="15" fillId="3" borderId="6" xfId="1" applyNumberFormat="1" applyFont="1" applyFill="1" applyBorder="1" applyAlignment="1">
      <alignment vertical="center"/>
    </xf>
    <xf numFmtId="0" fontId="15" fillId="3" borderId="6" xfId="1" applyFont="1" applyFill="1" applyBorder="1" applyAlignment="1">
      <alignment vertical="center"/>
    </xf>
    <xf numFmtId="0" fontId="11" fillId="3" borderId="3" xfId="1" applyFont="1" applyFill="1" applyBorder="1" applyAlignment="1">
      <alignment vertical="center"/>
    </xf>
    <xf numFmtId="0" fontId="11" fillId="3" borderId="3" xfId="1" applyNumberFormat="1" applyFont="1" applyFill="1" applyBorder="1" applyAlignment="1">
      <alignment vertical="center"/>
    </xf>
    <xf numFmtId="0" fontId="7" fillId="3" borderId="8" xfId="0" applyFont="1" applyFill="1" applyBorder="1"/>
    <xf numFmtId="0" fontId="7" fillId="3" borderId="4" xfId="0" applyFont="1" applyFill="1" applyBorder="1"/>
    <xf numFmtId="0" fontId="6" fillId="2" borderId="9" xfId="0" applyFont="1" applyFill="1" applyBorder="1" applyAlignment="1">
      <alignment horizontal="left" vertical="top"/>
    </xf>
    <xf numFmtId="49" fontId="6" fillId="2" borderId="9" xfId="0" applyNumberFormat="1" applyFont="1" applyFill="1" applyBorder="1" applyAlignment="1">
      <alignment horizontal="left" vertical="top"/>
    </xf>
    <xf numFmtId="0" fontId="7" fillId="2" borderId="9" xfId="0" applyFont="1" applyFill="1" applyBorder="1" applyAlignment="1">
      <alignment horizontal="left" vertical="top"/>
    </xf>
    <xf numFmtId="0" fontId="7" fillId="2" borderId="9" xfId="0" applyFont="1" applyFill="1" applyBorder="1" applyAlignment="1">
      <alignment horizontal="left" vertical="top" wrapText="1"/>
    </xf>
    <xf numFmtId="49" fontId="16" fillId="2" borderId="9" xfId="2" applyNumberFormat="1" applyFont="1" applyFill="1" applyBorder="1" applyAlignment="1">
      <alignment horizontal="left" vertical="top"/>
    </xf>
    <xf numFmtId="0" fontId="7" fillId="2" borderId="0" xfId="0" applyFont="1" applyFill="1" applyAlignment="1">
      <alignment vertical="center"/>
    </xf>
    <xf numFmtId="0" fontId="17" fillId="2" borderId="0" xfId="0" applyFont="1" applyFill="1" applyAlignment="1">
      <alignment vertical="center"/>
    </xf>
    <xf numFmtId="0" fontId="17" fillId="2" borderId="0" xfId="0" applyFont="1" applyFill="1" applyAlignment="1">
      <alignment vertical="center" wrapText="1"/>
    </xf>
    <xf numFmtId="0" fontId="7" fillId="2" borderId="0" xfId="0" applyFont="1" applyFill="1" applyAlignment="1">
      <alignment vertical="center" wrapText="1"/>
    </xf>
    <xf numFmtId="0" fontId="17" fillId="2" borderId="0" xfId="0" applyFont="1" applyFill="1"/>
    <xf numFmtId="0" fontId="17" fillId="2" borderId="0" xfId="0" applyFont="1" applyFill="1" applyAlignment="1">
      <alignment vertical="top" wrapText="1"/>
    </xf>
    <xf numFmtId="0" fontId="7" fillId="2" borderId="0" xfId="0" applyFont="1" applyFill="1" applyAlignment="1">
      <alignment vertical="top" wrapText="1"/>
    </xf>
    <xf numFmtId="0" fontId="7" fillId="2" borderId="9" xfId="0" applyFont="1" applyFill="1" applyBorder="1" applyAlignment="1">
      <alignment horizontal="left"/>
    </xf>
    <xf numFmtId="0" fontId="7" fillId="2" borderId="9" xfId="0" applyFont="1" applyFill="1" applyBorder="1"/>
    <xf numFmtId="49" fontId="7" fillId="2" borderId="9" xfId="0" applyNumberFormat="1" applyFont="1" applyFill="1" applyBorder="1"/>
    <xf numFmtId="0" fontId="7" fillId="2" borderId="0" xfId="0" applyFont="1" applyFill="1" applyAlignment="1">
      <alignment horizontal="center" vertical="center"/>
    </xf>
    <xf numFmtId="0" fontId="5" fillId="3" borderId="0" xfId="0" applyFont="1" applyFill="1"/>
    <xf numFmtId="0" fontId="18" fillId="3" borderId="0" xfId="0" applyFont="1" applyFill="1"/>
    <xf numFmtId="0" fontId="20" fillId="3" borderId="9" xfId="0" applyNumberFormat="1" applyFont="1" applyFill="1" applyBorder="1" applyAlignment="1" applyProtection="1">
      <alignment horizontal="left" vertical="center" wrapText="1"/>
    </xf>
    <xf numFmtId="0" fontId="20" fillId="3" borderId="0" xfId="0" applyFont="1" applyFill="1"/>
    <xf numFmtId="0" fontId="21" fillId="3" borderId="0" xfId="0" applyFont="1" applyFill="1"/>
    <xf numFmtId="0" fontId="21" fillId="3" borderId="0" xfId="0" applyFont="1" applyFill="1" applyAlignment="1">
      <alignment horizontal="left" vertical="center"/>
    </xf>
    <xf numFmtId="0" fontId="21" fillId="3" borderId="0" xfId="0" applyFont="1" applyFill="1" applyBorder="1" applyAlignment="1">
      <alignment horizontal="left" vertical="center"/>
    </xf>
    <xf numFmtId="0" fontId="23" fillId="3" borderId="0" xfId="0" applyFont="1" applyFill="1"/>
    <xf numFmtId="0" fontId="23" fillId="3" borderId="0" xfId="0" applyFont="1" applyFill="1" applyAlignment="1">
      <alignment horizontal="left" vertical="center"/>
    </xf>
    <xf numFmtId="0" fontId="22" fillId="2" borderId="9" xfId="7" applyFont="1" applyFill="1" applyBorder="1" applyAlignment="1" applyProtection="1">
      <alignment horizontal="center" vertical="center" wrapText="1"/>
    </xf>
    <xf numFmtId="165" fontId="22" fillId="2" borderId="9" xfId="8" applyNumberFormat="1" applyFont="1" applyFill="1" applyBorder="1" applyAlignment="1" applyProtection="1">
      <alignment horizontal="center" vertical="center" wrapText="1"/>
      <protection locked="0"/>
    </xf>
    <xf numFmtId="0" fontId="22" fillId="2" borderId="9" xfId="7" applyNumberFormat="1" applyFont="1" applyFill="1" applyBorder="1" applyAlignment="1" applyProtection="1">
      <alignment horizontal="center" vertical="center" wrapText="1"/>
    </xf>
    <xf numFmtId="0" fontId="21" fillId="3" borderId="0" xfId="0" applyFont="1" applyFill="1" applyAlignment="1">
      <alignment vertical="center"/>
    </xf>
    <xf numFmtId="0" fontId="22" fillId="3" borderId="0" xfId="3" applyFont="1" applyFill="1" applyAlignment="1">
      <alignment vertical="center"/>
    </xf>
    <xf numFmtId="0" fontId="22" fillId="3" borderId="0" xfId="3" applyFont="1" applyFill="1" applyAlignment="1">
      <alignment horizontal="center" vertical="center"/>
    </xf>
    <xf numFmtId="0" fontId="20" fillId="3" borderId="0" xfId="0" applyFont="1" applyFill="1" applyAlignment="1">
      <alignment vertical="center"/>
    </xf>
    <xf numFmtId="0" fontId="24" fillId="3" borderId="0" xfId="0" applyFont="1" applyFill="1" applyBorder="1" applyAlignment="1">
      <alignment horizontal="left" vertical="center" wrapText="1"/>
    </xf>
    <xf numFmtId="0" fontId="22" fillId="2" borderId="9" xfId="0" applyFont="1" applyFill="1" applyBorder="1" applyAlignment="1">
      <alignment horizontal="center" vertical="center"/>
    </xf>
    <xf numFmtId="0" fontId="21" fillId="0" borderId="9" xfId="0" applyFont="1" applyFill="1" applyBorder="1" applyAlignment="1">
      <alignment horizontal="center" vertical="center"/>
    </xf>
    <xf numFmtId="0" fontId="21" fillId="0" borderId="9" xfId="7" applyFont="1" applyFill="1" applyBorder="1" applyAlignment="1" applyProtection="1">
      <alignment horizontal="left" vertical="center" wrapText="1"/>
    </xf>
    <xf numFmtId="0" fontId="21" fillId="0" borderId="9" xfId="3" applyFont="1" applyFill="1" applyBorder="1" applyAlignment="1">
      <alignment horizontal="center" vertical="center"/>
    </xf>
    <xf numFmtId="0" fontId="23" fillId="0" borderId="9" xfId="7" applyFont="1" applyFill="1" applyBorder="1" applyAlignment="1" applyProtection="1">
      <alignment horizontal="left" vertical="center" wrapText="1"/>
    </xf>
    <xf numFmtId="0" fontId="23" fillId="0" borderId="9" xfId="5" applyFont="1" applyFill="1" applyBorder="1" applyAlignment="1" applyProtection="1">
      <alignment horizontal="left" vertical="center" wrapText="1"/>
    </xf>
    <xf numFmtId="0" fontId="21" fillId="3" borderId="9" xfId="3" applyFont="1" applyFill="1" applyBorder="1" applyAlignment="1">
      <alignment horizontal="center" vertical="center"/>
    </xf>
    <xf numFmtId="0" fontId="22" fillId="3" borderId="5" xfId="0" applyFont="1" applyFill="1" applyBorder="1" applyAlignment="1">
      <alignment horizontal="left" vertical="center"/>
    </xf>
    <xf numFmtId="0" fontId="28" fillId="3" borderId="0" xfId="0" applyFont="1" applyFill="1" applyBorder="1" applyAlignment="1">
      <alignment vertical="center"/>
    </xf>
    <xf numFmtId="0" fontId="23" fillId="3" borderId="0" xfId="1" applyNumberFormat="1" applyFont="1" applyFill="1" applyBorder="1" applyAlignment="1">
      <alignment vertical="center"/>
    </xf>
    <xf numFmtId="0" fontId="24" fillId="3" borderId="0" xfId="0" applyFont="1" applyFill="1" applyBorder="1" applyAlignment="1">
      <alignment horizontal="left" vertical="center"/>
    </xf>
    <xf numFmtId="0" fontId="24" fillId="3" borderId="0" xfId="0" applyFont="1" applyFill="1" applyBorder="1" applyAlignment="1">
      <alignment horizontal="left" vertical="center"/>
    </xf>
    <xf numFmtId="0" fontId="33" fillId="3" borderId="0" xfId="3" applyFont="1" applyFill="1" applyAlignment="1">
      <alignment horizontal="center" vertical="center"/>
    </xf>
    <xf numFmtId="0" fontId="33" fillId="3" borderId="0" xfId="3" applyFont="1" applyFill="1" applyAlignment="1">
      <alignment vertical="center"/>
    </xf>
    <xf numFmtId="0" fontId="20" fillId="0" borderId="0" xfId="0" applyFont="1" applyFill="1" applyAlignment="1">
      <alignment vertical="center"/>
    </xf>
    <xf numFmtId="165" fontId="22" fillId="2" borderId="9" xfId="8" applyNumberFormat="1" applyFont="1" applyFill="1" applyBorder="1" applyAlignment="1" applyProtection="1">
      <alignment horizontal="center" vertical="center" wrapText="1"/>
    </xf>
    <xf numFmtId="0" fontId="1" fillId="5" borderId="0" xfId="3" applyFill="1" applyAlignment="1">
      <alignment vertical="center"/>
    </xf>
    <xf numFmtId="49" fontId="22" fillId="2" borderId="9" xfId="7" applyNumberFormat="1" applyFont="1" applyFill="1" applyBorder="1" applyAlignment="1" applyProtection="1">
      <alignment horizontal="left" vertical="center" wrapText="1"/>
    </xf>
    <xf numFmtId="49" fontId="22" fillId="2" borderId="9" xfId="7" applyNumberFormat="1" applyFont="1" applyFill="1" applyBorder="1" applyAlignment="1" applyProtection="1">
      <alignment horizontal="center" vertical="center" wrapText="1"/>
    </xf>
    <xf numFmtId="165" fontId="22" fillId="2" borderId="9" xfId="8" applyNumberFormat="1" applyFont="1" applyFill="1" applyBorder="1" applyAlignment="1" applyProtection="1">
      <alignment horizontal="right" vertical="center" wrapText="1"/>
      <protection locked="0"/>
    </xf>
    <xf numFmtId="0" fontId="1" fillId="2" borderId="0" xfId="3" applyFill="1" applyAlignment="1">
      <alignment vertical="center"/>
    </xf>
    <xf numFmtId="0" fontId="33" fillId="0" borderId="0" xfId="0" applyFont="1" applyFill="1" applyAlignment="1">
      <alignment vertical="center"/>
    </xf>
    <xf numFmtId="49" fontId="21" fillId="0" borderId="9" xfId="7" applyNumberFormat="1" applyFont="1" applyFill="1" applyBorder="1" applyAlignment="1" applyProtection="1">
      <alignment horizontal="left" vertical="center" wrapText="1"/>
    </xf>
    <xf numFmtId="49" fontId="21" fillId="0" borderId="9" xfId="7" applyNumberFormat="1" applyFont="1" applyFill="1" applyBorder="1" applyAlignment="1" applyProtection="1">
      <alignment horizontal="center" vertical="center" wrapText="1"/>
    </xf>
    <xf numFmtId="165" fontId="21" fillId="3" borderId="9" xfId="8" applyNumberFormat="1" applyFont="1" applyFill="1" applyBorder="1" applyAlignment="1" applyProtection="1">
      <alignment horizontal="right" vertical="center" wrapText="1"/>
      <protection locked="0"/>
    </xf>
    <xf numFmtId="0" fontId="23" fillId="0" borderId="9" xfId="3" applyFont="1" applyFill="1" applyBorder="1" applyAlignment="1">
      <alignment horizontal="center" vertical="center"/>
    </xf>
    <xf numFmtId="49" fontId="23" fillId="0" borderId="9" xfId="7" applyNumberFormat="1" applyFont="1" applyFill="1" applyBorder="1" applyAlignment="1" applyProtection="1">
      <alignment horizontal="left" vertical="center" wrapText="1"/>
    </xf>
    <xf numFmtId="49" fontId="23" fillId="0" borderId="9" xfId="7" applyNumberFormat="1" applyFont="1" applyFill="1" applyBorder="1" applyAlignment="1" applyProtection="1">
      <alignment horizontal="center" vertical="center" wrapText="1"/>
    </xf>
    <xf numFmtId="0" fontId="23" fillId="3" borderId="9" xfId="3" applyFont="1" applyFill="1" applyBorder="1" applyAlignment="1">
      <alignment horizontal="center" vertical="center"/>
    </xf>
    <xf numFmtId="49" fontId="23" fillId="3" borderId="9" xfId="7" applyNumberFormat="1" applyFont="1" applyFill="1" applyBorder="1" applyAlignment="1" applyProtection="1">
      <alignment horizontal="left" vertical="center" wrapText="1"/>
    </xf>
    <xf numFmtId="49" fontId="23" fillId="3" borderId="9" xfId="7" applyNumberFormat="1" applyFont="1" applyFill="1" applyBorder="1" applyAlignment="1" applyProtection="1">
      <alignment horizontal="center" vertical="center" wrapText="1"/>
    </xf>
    <xf numFmtId="165" fontId="23" fillId="3" borderId="9" xfId="8" applyNumberFormat="1" applyFont="1" applyFill="1" applyBorder="1" applyAlignment="1" applyProtection="1">
      <alignment horizontal="right" vertical="center" wrapText="1"/>
      <protection locked="0"/>
    </xf>
    <xf numFmtId="0" fontId="34" fillId="5" borderId="0" xfId="3" applyFont="1" applyFill="1" applyAlignment="1">
      <alignment vertical="center"/>
    </xf>
    <xf numFmtId="165" fontId="21" fillId="0" borderId="9" xfId="8" applyNumberFormat="1" applyFont="1" applyFill="1" applyBorder="1" applyAlignment="1" applyProtection="1">
      <alignment horizontal="right" vertical="center" wrapText="1"/>
      <protection locked="0"/>
    </xf>
    <xf numFmtId="0" fontId="1" fillId="4" borderId="0" xfId="3" applyFill="1" applyAlignment="1">
      <alignment vertical="center"/>
    </xf>
    <xf numFmtId="0" fontId="22" fillId="2" borderId="9" xfId="3" applyFont="1" applyFill="1" applyBorder="1" applyAlignment="1">
      <alignment horizontal="center" vertical="center"/>
    </xf>
    <xf numFmtId="0" fontId="35" fillId="5" borderId="0" xfId="3" applyFont="1" applyFill="1" applyAlignment="1">
      <alignment vertical="center"/>
    </xf>
    <xf numFmtId="0" fontId="33" fillId="3" borderId="0" xfId="0" applyFont="1" applyFill="1" applyAlignment="1">
      <alignment vertical="center"/>
    </xf>
    <xf numFmtId="0" fontId="32" fillId="3" borderId="0" xfId="0" applyFont="1" applyFill="1" applyAlignment="1">
      <alignment vertical="center"/>
    </xf>
    <xf numFmtId="0" fontId="32" fillId="0" borderId="0" xfId="0" applyFont="1" applyFill="1" applyAlignment="1">
      <alignment vertical="center"/>
    </xf>
    <xf numFmtId="0" fontId="33" fillId="3" borderId="5" xfId="0" applyFont="1" applyFill="1" applyBorder="1" applyAlignment="1">
      <alignment vertical="center"/>
    </xf>
    <xf numFmtId="0" fontId="20" fillId="3" borderId="5" xfId="0" applyFont="1" applyFill="1" applyBorder="1" applyAlignment="1">
      <alignment vertical="center"/>
    </xf>
    <xf numFmtId="0" fontId="5" fillId="0" borderId="0" xfId="0" applyFont="1" applyFill="1"/>
    <xf numFmtId="0" fontId="33" fillId="2" borderId="9" xfId="0" applyFont="1" applyFill="1" applyBorder="1" applyAlignment="1">
      <alignment horizontal="center" vertical="center" wrapText="1"/>
    </xf>
    <xf numFmtId="10" fontId="21" fillId="3" borderId="14" xfId="0" applyNumberFormat="1" applyFont="1" applyFill="1" applyBorder="1" applyAlignment="1" applyProtection="1">
      <alignment horizontal="right" vertical="center" wrapText="1"/>
      <protection locked="0"/>
    </xf>
    <xf numFmtId="0" fontId="20" fillId="3" borderId="0" xfId="0" applyFont="1" applyFill="1" applyBorder="1" applyAlignment="1">
      <alignment vertical="center"/>
    </xf>
    <xf numFmtId="0" fontId="22" fillId="3" borderId="5" xfId="1" applyNumberFormat="1" applyFont="1" applyFill="1" applyBorder="1" applyAlignment="1">
      <alignment vertical="center"/>
    </xf>
    <xf numFmtId="0" fontId="22" fillId="3" borderId="0" xfId="1" applyNumberFormat="1" applyFont="1" applyFill="1" applyBorder="1" applyAlignment="1">
      <alignment vertical="center"/>
    </xf>
    <xf numFmtId="0" fontId="21" fillId="3" borderId="0" xfId="1" applyFont="1" applyFill="1" applyBorder="1" applyAlignment="1">
      <alignment vertical="center"/>
    </xf>
    <xf numFmtId="0" fontId="21" fillId="3" borderId="0" xfId="1" applyNumberFormat="1" applyFont="1" applyFill="1" applyBorder="1" applyAlignment="1">
      <alignment vertical="center"/>
    </xf>
    <xf numFmtId="0" fontId="18" fillId="0" borderId="0" xfId="0" applyFont="1" applyFill="1" applyAlignment="1">
      <alignment wrapText="1"/>
    </xf>
    <xf numFmtId="0" fontId="19" fillId="0" borderId="0" xfId="0" applyFont="1" applyFill="1" applyAlignment="1">
      <alignment wrapText="1"/>
    </xf>
    <xf numFmtId="0" fontId="19" fillId="0" borderId="0" xfId="0" applyFont="1" applyFill="1" applyAlignment="1"/>
    <xf numFmtId="0" fontId="33" fillId="3" borderId="9" xfId="0" applyFont="1" applyFill="1" applyBorder="1" applyAlignment="1">
      <alignment horizontal="center" vertical="center"/>
    </xf>
    <xf numFmtId="0" fontId="33" fillId="3" borderId="9" xfId="0" applyNumberFormat="1" applyFont="1" applyFill="1" applyBorder="1" applyAlignment="1" applyProtection="1">
      <alignment horizontal="left" vertical="center" wrapText="1"/>
    </xf>
    <xf numFmtId="49" fontId="33" fillId="3" borderId="9" xfId="3" applyNumberFormat="1" applyFont="1" applyFill="1" applyBorder="1" applyAlignment="1" applyProtection="1">
      <alignment horizontal="center" vertical="center" wrapText="1"/>
    </xf>
    <xf numFmtId="0" fontId="18" fillId="0" borderId="0" xfId="0" applyFont="1" applyFill="1"/>
    <xf numFmtId="0" fontId="20" fillId="3" borderId="9" xfId="0" applyFont="1" applyFill="1" applyBorder="1" applyAlignment="1">
      <alignment horizontal="center" vertical="center"/>
    </xf>
    <xf numFmtId="49" fontId="20" fillId="3" borderId="9" xfId="3" applyNumberFormat="1" applyFont="1" applyFill="1" applyBorder="1" applyAlignment="1" applyProtection="1">
      <alignment horizontal="center" vertical="center" wrapText="1"/>
    </xf>
    <xf numFmtId="41" fontId="20" fillId="3" borderId="9" xfId="0" applyNumberFormat="1" applyFont="1" applyFill="1" applyBorder="1" applyAlignment="1">
      <alignment horizontal="right" vertical="center" wrapText="1"/>
    </xf>
    <xf numFmtId="164" fontId="20" fillId="3" borderId="9" xfId="0" applyNumberFormat="1" applyFont="1" applyFill="1" applyBorder="1" applyAlignment="1">
      <alignment horizontal="right" vertical="center" wrapText="1"/>
    </xf>
    <xf numFmtId="43" fontId="20" fillId="3" borderId="9" xfId="0" applyNumberFormat="1" applyFont="1" applyFill="1" applyBorder="1" applyAlignment="1">
      <alignment horizontal="right" vertical="center" wrapText="1"/>
    </xf>
    <xf numFmtId="0" fontId="19" fillId="0" borderId="0" xfId="0" applyFont="1" applyFill="1"/>
    <xf numFmtId="0" fontId="20" fillId="3" borderId="8" xfId="0" applyFont="1" applyFill="1" applyBorder="1" applyAlignment="1">
      <alignment vertical="center"/>
    </xf>
    <xf numFmtId="0" fontId="33" fillId="3" borderId="0" xfId="0" applyFont="1" applyFill="1" applyAlignment="1">
      <alignment horizontal="center" vertical="center"/>
    </xf>
    <xf numFmtId="0" fontId="20" fillId="3" borderId="0" xfId="0" applyFont="1" applyFill="1" applyAlignment="1">
      <alignment vertical="center" wrapText="1"/>
    </xf>
    <xf numFmtId="0" fontId="22" fillId="2" borderId="9" xfId="0" applyNumberFormat="1" applyFont="1" applyFill="1" applyBorder="1" applyAlignment="1" applyProtection="1">
      <alignment horizontal="center" vertical="center" wrapText="1"/>
    </xf>
    <xf numFmtId="49" fontId="22" fillId="2" borderId="9" xfId="0" applyNumberFormat="1" applyFont="1" applyFill="1" applyBorder="1" applyAlignment="1" applyProtection="1">
      <alignment horizontal="center" vertical="center" wrapText="1"/>
    </xf>
    <xf numFmtId="0" fontId="22" fillId="2" borderId="9" xfId="5" applyFont="1" applyFill="1" applyBorder="1" applyAlignment="1" applyProtection="1">
      <alignment horizontal="left" vertical="center" wrapText="1"/>
    </xf>
    <xf numFmtId="49" fontId="22" fillId="2" borderId="9" xfId="5" applyNumberFormat="1" applyFont="1" applyFill="1" applyBorder="1" applyAlignment="1" applyProtection="1">
      <alignment horizontal="center" vertical="center" wrapText="1"/>
    </xf>
    <xf numFmtId="0" fontId="21" fillId="2" borderId="9" xfId="5" applyNumberFormat="1" applyFont="1" applyFill="1" applyBorder="1" applyAlignment="1" applyProtection="1">
      <alignment horizontal="center" vertical="center" wrapText="1"/>
    </xf>
    <xf numFmtId="0" fontId="21" fillId="3" borderId="9" xfId="5" applyFont="1" applyFill="1" applyBorder="1" applyAlignment="1" applyProtection="1">
      <alignment horizontal="left" vertical="center" wrapText="1"/>
    </xf>
    <xf numFmtId="49" fontId="21" fillId="0" borderId="9" xfId="5" applyNumberFormat="1" applyFont="1" applyFill="1" applyBorder="1" applyAlignment="1" applyProtection="1">
      <alignment horizontal="center" vertical="center" wrapText="1"/>
    </xf>
    <xf numFmtId="0" fontId="21" fillId="0" borderId="9" xfId="5" applyNumberFormat="1" applyFont="1" applyFill="1" applyBorder="1" applyAlignment="1" applyProtection="1">
      <alignment horizontal="center" vertical="center" wrapText="1"/>
    </xf>
    <xf numFmtId="0" fontId="21" fillId="3" borderId="9" xfId="5" applyNumberFormat="1" applyFont="1" applyFill="1" applyBorder="1" applyAlignment="1" applyProtection="1">
      <alignment horizontal="center" vertical="center" wrapText="1"/>
    </xf>
    <xf numFmtId="49" fontId="21" fillId="3" borderId="9" xfId="5" applyNumberFormat="1" applyFont="1" applyFill="1" applyBorder="1" applyAlignment="1" applyProtection="1">
      <alignment horizontal="center" vertical="center" wrapText="1"/>
    </xf>
    <xf numFmtId="0" fontId="21" fillId="0" borderId="9" xfId="5" applyFont="1" applyFill="1" applyBorder="1" applyAlignment="1" applyProtection="1">
      <alignment horizontal="left" vertical="center" wrapText="1"/>
    </xf>
    <xf numFmtId="49" fontId="23" fillId="0" borderId="9" xfId="5" applyNumberFormat="1" applyFont="1" applyFill="1" applyBorder="1" applyAlignment="1" applyProtection="1">
      <alignment horizontal="center" vertical="center" wrapText="1"/>
    </xf>
    <xf numFmtId="49" fontId="21" fillId="0" borderId="9" xfId="5" quotePrefix="1" applyNumberFormat="1" applyFont="1" applyFill="1" applyBorder="1" applyAlignment="1" applyProtection="1">
      <alignment horizontal="center" vertical="center" wrapText="1"/>
    </xf>
    <xf numFmtId="49" fontId="23" fillId="0" borderId="9" xfId="5" quotePrefix="1" applyNumberFormat="1" applyFont="1" applyFill="1" applyBorder="1" applyAlignment="1" applyProtection="1">
      <alignment horizontal="center" vertical="center" wrapText="1"/>
    </xf>
    <xf numFmtId="0" fontId="20" fillId="3" borderId="0" xfId="0" applyFont="1" applyFill="1" applyAlignment="1">
      <alignment horizontal="center" vertical="center"/>
    </xf>
    <xf numFmtId="0" fontId="24" fillId="3" borderId="0" xfId="0" applyFont="1" applyFill="1" applyBorder="1" applyAlignment="1">
      <alignment horizontal="left" vertical="center"/>
    </xf>
    <xf numFmtId="0" fontId="22" fillId="2" borderId="9" xfId="7" applyFont="1" applyFill="1" applyBorder="1" applyAlignment="1" applyProtection="1">
      <alignment horizontal="left" vertical="center" wrapText="1"/>
    </xf>
    <xf numFmtId="165" fontId="21" fillId="0" borderId="14" xfId="0" applyNumberFormat="1" applyFont="1" applyFill="1" applyBorder="1" applyAlignment="1" applyProtection="1">
      <alignment horizontal="right" vertical="center" wrapText="1"/>
      <protection locked="0"/>
    </xf>
    <xf numFmtId="4" fontId="21" fillId="3" borderId="14" xfId="0" applyNumberFormat="1" applyFont="1" applyFill="1" applyBorder="1" applyAlignment="1" applyProtection="1">
      <alignment horizontal="center" vertical="center" wrapText="1"/>
      <protection locked="0"/>
    </xf>
    <xf numFmtId="4" fontId="21" fillId="3" borderId="14" xfId="0" applyNumberFormat="1" applyFont="1" applyFill="1" applyBorder="1" applyAlignment="1" applyProtection="1">
      <alignment horizontal="left" vertical="center" wrapText="1"/>
      <protection locked="0"/>
    </xf>
    <xf numFmtId="49" fontId="21" fillId="3" borderId="14" xfId="0" applyNumberFormat="1" applyFont="1" applyFill="1" applyBorder="1" applyAlignment="1" applyProtection="1">
      <alignment horizontal="center" vertical="center" wrapText="1"/>
      <protection locked="0"/>
    </xf>
    <xf numFmtId="4" fontId="23" fillId="3" borderId="14" xfId="0" applyNumberFormat="1" applyFont="1" applyFill="1" applyBorder="1" applyAlignment="1" applyProtection="1">
      <alignment horizontal="left" vertical="center" wrapText="1"/>
      <protection locked="0"/>
    </xf>
    <xf numFmtId="49" fontId="23" fillId="3" borderId="14" xfId="0" applyNumberFormat="1" applyFont="1" applyFill="1" applyBorder="1" applyAlignment="1" applyProtection="1">
      <alignment horizontal="center" vertical="center" wrapText="1"/>
      <protection locked="0"/>
    </xf>
    <xf numFmtId="0" fontId="4" fillId="3" borderId="0" xfId="0" applyFont="1" applyFill="1"/>
    <xf numFmtId="0" fontId="4" fillId="0" borderId="0" xfId="0" applyFont="1" applyFill="1"/>
    <xf numFmtId="0" fontId="21" fillId="3" borderId="14" xfId="0" applyNumberFormat="1" applyFont="1" applyFill="1" applyBorder="1" applyAlignment="1" applyProtection="1">
      <alignment horizontal="center" vertical="center" wrapText="1"/>
      <protection locked="0"/>
    </xf>
    <xf numFmtId="0" fontId="21" fillId="3" borderId="14" xfId="0" applyNumberFormat="1" applyFont="1" applyFill="1" applyBorder="1" applyAlignment="1" applyProtection="1">
      <alignment horizontal="left" vertical="center" wrapText="1"/>
      <protection locked="0"/>
    </xf>
    <xf numFmtId="166" fontId="21" fillId="3" borderId="14" xfId="0" applyNumberFormat="1" applyFont="1" applyFill="1" applyBorder="1" applyAlignment="1" applyProtection="1">
      <alignment horizontal="right" vertical="center" wrapText="1"/>
      <protection locked="0"/>
    </xf>
    <xf numFmtId="166" fontId="22" fillId="2" borderId="9" xfId="8" applyNumberFormat="1" applyFont="1" applyFill="1" applyBorder="1" applyAlignment="1" applyProtection="1">
      <alignment horizontal="right" vertical="center" wrapText="1"/>
      <protection locked="0"/>
    </xf>
    <xf numFmtId="0" fontId="24" fillId="3" borderId="0" xfId="0" applyFont="1" applyFill="1" applyBorder="1" applyAlignment="1">
      <alignment horizontal="left" vertical="center"/>
    </xf>
    <xf numFmtId="0" fontId="20" fillId="3" borderId="0" xfId="0" applyFont="1" applyFill="1" applyAlignment="1">
      <alignment horizontal="center" vertical="center"/>
    </xf>
    <xf numFmtId="165" fontId="22" fillId="2" borderId="9" xfId="11" applyNumberFormat="1" applyFont="1" applyFill="1" applyBorder="1" applyAlignment="1" applyProtection="1">
      <alignment horizontal="center" vertical="center" wrapText="1"/>
    </xf>
    <xf numFmtId="0" fontId="36" fillId="3" borderId="0" xfId="0" applyFont="1" applyFill="1" applyBorder="1" applyAlignment="1">
      <alignment vertical="center"/>
    </xf>
    <xf numFmtId="0" fontId="24" fillId="3" borderId="0" xfId="0" applyFont="1" applyFill="1" applyBorder="1" applyAlignment="1">
      <alignment horizontal="left" vertical="center"/>
    </xf>
    <xf numFmtId="0" fontId="1" fillId="5" borderId="0" xfId="13" applyFill="1" applyAlignment="1">
      <alignment vertical="center"/>
    </xf>
    <xf numFmtId="0" fontId="1" fillId="5" borderId="0" xfId="13" applyFill="1"/>
    <xf numFmtId="0" fontId="23" fillId="3" borderId="0" xfId="12" applyFont="1" applyFill="1" applyAlignment="1">
      <alignment horizontal="center" vertical="center"/>
    </xf>
    <xf numFmtId="0" fontId="21" fillId="3" borderId="0" xfId="12" applyFont="1" applyFill="1"/>
    <xf numFmtId="0" fontId="1" fillId="3" borderId="0" xfId="13" applyFill="1"/>
    <xf numFmtId="0" fontId="1" fillId="3" borderId="0" xfId="13" applyFont="1" applyFill="1"/>
    <xf numFmtId="0" fontId="36" fillId="3" borderId="0" xfId="12" applyFont="1" applyFill="1" applyAlignment="1">
      <alignment horizontal="left" vertical="top"/>
    </xf>
    <xf numFmtId="0" fontId="36" fillId="3" borderId="0" xfId="12" applyFont="1" applyFill="1" applyAlignment="1">
      <alignment horizontal="left" vertical="top" wrapText="1"/>
    </xf>
    <xf numFmtId="0" fontId="39" fillId="3" borderId="0" xfId="12" applyFont="1" applyFill="1" applyAlignment="1">
      <alignment horizontal="left" vertical="top"/>
    </xf>
    <xf numFmtId="0" fontId="21" fillId="3" borderId="0" xfId="12" applyFont="1" applyFill="1" applyAlignment="1">
      <alignment horizontal="left" vertical="top"/>
    </xf>
    <xf numFmtId="0" fontId="20" fillId="3" borderId="0" xfId="12" applyFont="1" applyFill="1" applyAlignment="1">
      <alignment horizontal="left" vertical="top"/>
    </xf>
    <xf numFmtId="0" fontId="1" fillId="3" borderId="0" xfId="13" applyFill="1" applyAlignment="1">
      <alignment horizontal="center"/>
    </xf>
    <xf numFmtId="0" fontId="20" fillId="5" borderId="0" xfId="13" applyFont="1" applyFill="1"/>
    <xf numFmtId="0" fontId="33" fillId="6" borderId="9" xfId="13" applyFont="1" applyFill="1" applyBorder="1" applyAlignment="1">
      <alignment horizontal="center" vertical="center" wrapText="1"/>
    </xf>
    <xf numFmtId="49" fontId="20" fillId="3" borderId="9" xfId="13" applyNumberFormat="1" applyFont="1" applyFill="1" applyBorder="1" applyAlignment="1" applyProtection="1">
      <alignment horizontal="center" vertical="center" wrapText="1"/>
    </xf>
    <xf numFmtId="49" fontId="20" fillId="3" borderId="9" xfId="13" applyNumberFormat="1" applyFont="1" applyFill="1" applyBorder="1" applyAlignment="1" applyProtection="1">
      <alignment horizontal="left" vertical="center" wrapText="1"/>
    </xf>
    <xf numFmtId="0" fontId="20" fillId="3" borderId="9" xfId="13" applyFont="1" applyFill="1" applyBorder="1"/>
    <xf numFmtId="0" fontId="20" fillId="3" borderId="9" xfId="13" applyFont="1" applyFill="1" applyBorder="1" applyAlignment="1">
      <alignment vertical="center" wrapText="1"/>
    </xf>
    <xf numFmtId="167" fontId="20" fillId="3" borderId="9" xfId="13" applyNumberFormat="1" applyFont="1" applyFill="1" applyBorder="1" applyAlignment="1">
      <alignment vertical="center" wrapText="1"/>
    </xf>
    <xf numFmtId="10" fontId="20" fillId="3" borderId="9" xfId="13" applyNumberFormat="1" applyFont="1" applyFill="1" applyBorder="1" applyAlignment="1" applyProtection="1">
      <alignment horizontal="left" vertical="center" wrapText="1"/>
    </xf>
    <xf numFmtId="37" fontId="33" fillId="3" borderId="9" xfId="13" applyNumberFormat="1" applyFont="1" applyFill="1" applyBorder="1" applyAlignment="1" applyProtection="1">
      <alignment horizontal="left" vertical="center" wrapText="1"/>
    </xf>
    <xf numFmtId="10" fontId="33" fillId="3" borderId="9" xfId="13" applyNumberFormat="1" applyFont="1" applyFill="1" applyBorder="1" applyAlignment="1" applyProtection="1">
      <alignment horizontal="left" vertical="center" wrapText="1"/>
    </xf>
    <xf numFmtId="10" fontId="20" fillId="3" borderId="9" xfId="13" applyNumberFormat="1" applyFont="1" applyFill="1" applyBorder="1"/>
    <xf numFmtId="0" fontId="20" fillId="3" borderId="9" xfId="13" applyNumberFormat="1" applyFont="1" applyFill="1" applyBorder="1" applyAlignment="1" applyProtection="1">
      <alignment horizontal="center" vertical="center" wrapText="1"/>
    </xf>
    <xf numFmtId="0" fontId="20" fillId="3" borderId="9" xfId="13" applyNumberFormat="1" applyFont="1" applyFill="1" applyBorder="1" applyAlignment="1" applyProtection="1">
      <alignment horizontal="right" vertical="center" wrapText="1"/>
    </xf>
    <xf numFmtId="0" fontId="20" fillId="3" borderId="0" xfId="13" applyFont="1" applyFill="1" applyAlignment="1">
      <alignment horizontal="center"/>
    </xf>
    <xf numFmtId="0" fontId="20" fillId="3" borderId="0" xfId="13" applyFont="1" applyFill="1"/>
    <xf numFmtId="0" fontId="33" fillId="3" borderId="0" xfId="12" applyFont="1" applyFill="1"/>
    <xf numFmtId="0" fontId="20" fillId="3" borderId="0" xfId="12" applyFont="1" applyFill="1"/>
    <xf numFmtId="165" fontId="20" fillId="3" borderId="0" xfId="14" applyNumberFormat="1" applyFont="1" applyFill="1" applyProtection="1">
      <protection locked="0"/>
    </xf>
    <xf numFmtId="165" fontId="33" fillId="3" borderId="0" xfId="14" applyNumberFormat="1" applyFont="1" applyFill="1" applyProtection="1">
      <protection locked="0"/>
    </xf>
    <xf numFmtId="0" fontId="32" fillId="3" borderId="0" xfId="12" applyFont="1" applyFill="1"/>
    <xf numFmtId="165" fontId="32" fillId="3" borderId="0" xfId="14" applyNumberFormat="1" applyFont="1" applyFill="1" applyProtection="1">
      <protection locked="0"/>
    </xf>
    <xf numFmtId="0" fontId="20" fillId="3" borderId="8" xfId="12" applyFont="1" applyFill="1" applyBorder="1"/>
    <xf numFmtId="165" fontId="20" fillId="3" borderId="8" xfId="14" applyNumberFormat="1" applyFont="1" applyFill="1" applyBorder="1" applyProtection="1">
      <protection locked="0"/>
    </xf>
    <xf numFmtId="0" fontId="1" fillId="3" borderId="8" xfId="13" applyFill="1" applyBorder="1"/>
    <xf numFmtId="0" fontId="1" fillId="5" borderId="0" xfId="13" applyFill="1" applyAlignment="1">
      <alignment horizontal="center"/>
    </xf>
    <xf numFmtId="0" fontId="22" fillId="3" borderId="0" xfId="0" applyFont="1" applyFill="1" applyBorder="1" applyAlignment="1">
      <alignment horizontal="left" vertical="center"/>
    </xf>
    <xf numFmtId="0" fontId="21" fillId="3" borderId="5" xfId="0" applyFont="1" applyFill="1" applyBorder="1" applyAlignment="1">
      <alignment horizontal="left" vertical="center"/>
    </xf>
    <xf numFmtId="0" fontId="33" fillId="3" borderId="0" xfId="0" applyFont="1" applyFill="1" applyBorder="1" applyAlignment="1">
      <alignment horizontal="center" vertical="center"/>
    </xf>
    <xf numFmtId="0" fontId="21" fillId="3" borderId="8" xfId="0" applyFont="1" applyFill="1" applyBorder="1" applyAlignment="1">
      <alignment horizontal="left" vertical="center"/>
    </xf>
    <xf numFmtId="0" fontId="33" fillId="3" borderId="0" xfId="13" applyFont="1" applyFill="1" applyAlignment="1">
      <alignment horizontal="center"/>
    </xf>
    <xf numFmtId="0" fontId="33" fillId="3" borderId="0" xfId="13" applyFont="1" applyFill="1"/>
    <xf numFmtId="49" fontId="21" fillId="3" borderId="9" xfId="13" applyNumberFormat="1" applyFont="1" applyFill="1" applyBorder="1" applyAlignment="1" applyProtection="1">
      <alignment horizontal="left" vertical="center" wrapText="1"/>
    </xf>
    <xf numFmtId="0" fontId="20" fillId="3" borderId="9" xfId="0" applyFont="1" applyFill="1" applyBorder="1" applyAlignment="1">
      <alignment horizontal="center" vertical="center"/>
    </xf>
    <xf numFmtId="0" fontId="33" fillId="3" borderId="0" xfId="0" applyFont="1" applyFill="1" applyAlignment="1">
      <alignment horizontal="center" vertical="center"/>
    </xf>
    <xf numFmtId="4" fontId="41" fillId="7" borderId="15" xfId="0" applyNumberFormat="1" applyFont="1" applyFill="1" applyBorder="1" applyAlignment="1" applyProtection="1">
      <alignment horizontal="left" vertical="center" wrapText="1"/>
      <protection locked="0"/>
    </xf>
    <xf numFmtId="4" fontId="42" fillId="8" borderId="16" xfId="0" applyNumberFormat="1" applyFont="1" applyFill="1" applyBorder="1" applyAlignment="1" applyProtection="1">
      <alignment horizontal="center" vertical="center" wrapText="1"/>
      <protection locked="0"/>
    </xf>
    <xf numFmtId="0" fontId="43" fillId="9" borderId="17" xfId="0" applyNumberFormat="1" applyFont="1" applyFill="1" applyBorder="1" applyAlignment="1" applyProtection="1">
      <alignment horizontal="center" vertical="center" wrapText="1"/>
      <protection locked="0"/>
    </xf>
    <xf numFmtId="10" fontId="44" fillId="10" borderId="18" xfId="0" applyNumberFormat="1" applyFont="1" applyFill="1" applyBorder="1" applyAlignment="1" applyProtection="1">
      <alignment horizontal="right" vertical="center" wrapText="1"/>
      <protection locked="0"/>
    </xf>
    <xf numFmtId="165" fontId="45" fillId="11" borderId="19" xfId="0" applyNumberFormat="1" applyFont="1" applyFill="1" applyBorder="1" applyAlignment="1" applyProtection="1">
      <alignment horizontal="right" vertical="center" wrapText="1"/>
      <protection locked="0"/>
    </xf>
    <xf numFmtId="0" fontId="46" fillId="12" borderId="20" xfId="0" applyNumberFormat="1" applyFont="1" applyFill="1" applyBorder="1" applyAlignment="1" applyProtection="1">
      <alignment horizontal="left" vertical="center" wrapText="1"/>
      <protection locked="0"/>
    </xf>
    <xf numFmtId="0" fontId="47" fillId="13" borderId="21" xfId="0" applyNumberFormat="1" applyFont="1" applyFill="1" applyBorder="1" applyAlignment="1" applyProtection="1">
      <alignment horizontal="center" vertical="center" wrapText="1"/>
      <protection locked="0"/>
    </xf>
    <xf numFmtId="10" fontId="48" fillId="14" borderId="22" xfId="0" applyNumberFormat="1" applyFont="1" applyFill="1" applyBorder="1" applyAlignment="1" applyProtection="1">
      <alignment horizontal="right" vertical="center" wrapText="1"/>
      <protection locked="0"/>
    </xf>
    <xf numFmtId="165" fontId="49" fillId="15" borderId="23" xfId="0" applyNumberFormat="1" applyFont="1" applyFill="1" applyBorder="1" applyAlignment="1" applyProtection="1">
      <alignment horizontal="right" vertical="center" wrapText="1"/>
      <protection locked="0"/>
    </xf>
    <xf numFmtId="43" fontId="50" fillId="16" borderId="24" xfId="0" applyNumberFormat="1" applyFont="1" applyFill="1" applyBorder="1" applyAlignment="1" applyProtection="1">
      <alignment horizontal="right" vertical="center" wrapText="1"/>
      <protection locked="0"/>
    </xf>
    <xf numFmtId="37" fontId="51" fillId="17" borderId="25" xfId="0" applyNumberFormat="1" applyFont="1" applyFill="1" applyBorder="1" applyAlignment="1" applyProtection="1">
      <alignment horizontal="right" vertical="center" wrapText="1"/>
      <protection locked="0"/>
    </xf>
    <xf numFmtId="0" fontId="22" fillId="3" borderId="0" xfId="0" applyFont="1" applyFill="1" applyAlignment="1">
      <alignment vertical="center"/>
    </xf>
    <xf numFmtId="0" fontId="22" fillId="3" borderId="0" xfId="0" applyFont="1" applyFill="1" applyAlignment="1">
      <alignment horizontal="center" vertical="center"/>
    </xf>
    <xf numFmtId="4" fontId="42" fillId="8" borderId="26" xfId="0" applyNumberFormat="1" applyFont="1" applyFill="1" applyBorder="1" applyAlignment="1" applyProtection="1">
      <alignment horizontal="center" vertical="center" wrapText="1"/>
      <protection locked="0"/>
    </xf>
    <xf numFmtId="4" fontId="41" fillId="7" borderId="26" xfId="0" applyNumberFormat="1" applyFont="1" applyFill="1" applyBorder="1" applyAlignment="1" applyProtection="1">
      <alignment horizontal="left" vertical="center" wrapText="1"/>
      <protection locked="0"/>
    </xf>
    <xf numFmtId="165" fontId="45" fillId="11" borderId="26" xfId="0" applyNumberFormat="1" applyFont="1" applyFill="1" applyBorder="1" applyAlignment="1" applyProtection="1">
      <alignment horizontal="right" vertical="center" wrapText="1"/>
      <protection locked="0"/>
    </xf>
    <xf numFmtId="10" fontId="44" fillId="10" borderId="26" xfId="0" applyNumberFormat="1" applyFont="1" applyFill="1" applyBorder="1" applyAlignment="1" applyProtection="1">
      <alignment horizontal="right" vertical="center" wrapText="1"/>
      <protection locked="0"/>
    </xf>
    <xf numFmtId="0" fontId="47" fillId="13" borderId="26" xfId="0" applyNumberFormat="1" applyFont="1" applyFill="1" applyBorder="1" applyAlignment="1" applyProtection="1">
      <alignment horizontal="center" vertical="center" wrapText="1"/>
      <protection locked="0"/>
    </xf>
    <xf numFmtId="165" fontId="49" fillId="15" borderId="26" xfId="0" applyNumberFormat="1" applyFont="1" applyFill="1" applyBorder="1" applyAlignment="1" applyProtection="1">
      <alignment horizontal="right" vertical="center" wrapText="1"/>
      <protection locked="0"/>
    </xf>
    <xf numFmtId="10" fontId="48" fillId="14" borderId="26" xfId="0" applyNumberFormat="1" applyFont="1" applyFill="1" applyBorder="1" applyAlignment="1" applyProtection="1">
      <alignment horizontal="right" vertical="center" wrapText="1"/>
      <protection locked="0"/>
    </xf>
    <xf numFmtId="0" fontId="21" fillId="13" borderId="26" xfId="0" applyNumberFormat="1" applyFont="1" applyFill="1" applyBorder="1" applyAlignment="1" applyProtection="1">
      <alignment horizontal="center" vertical="center" wrapText="1"/>
      <protection locked="0"/>
    </xf>
    <xf numFmtId="0" fontId="21" fillId="12" borderId="26" xfId="0" applyNumberFormat="1" applyFont="1" applyFill="1" applyBorder="1" applyAlignment="1" applyProtection="1">
      <alignment horizontal="left" vertical="center" wrapText="1"/>
      <protection locked="0"/>
    </xf>
    <xf numFmtId="4" fontId="21" fillId="8" borderId="16" xfId="0" applyNumberFormat="1" applyFont="1" applyFill="1" applyBorder="1" applyAlignment="1" applyProtection="1">
      <alignment horizontal="center" vertical="center" wrapText="1"/>
      <protection locked="0"/>
    </xf>
    <xf numFmtId="4" fontId="21" fillId="7" borderId="15" xfId="0" applyNumberFormat="1" applyFont="1" applyFill="1" applyBorder="1" applyAlignment="1" applyProtection="1">
      <alignment horizontal="left" vertical="center" wrapText="1"/>
      <protection locked="0"/>
    </xf>
    <xf numFmtId="49" fontId="22" fillId="0" borderId="9" xfId="7" applyNumberFormat="1" applyFont="1" applyFill="1" applyBorder="1" applyAlignment="1" applyProtection="1">
      <alignment horizontal="center" vertical="center" wrapText="1"/>
    </xf>
    <xf numFmtId="165" fontId="22" fillId="0" borderId="9" xfId="8" applyNumberFormat="1" applyFont="1" applyFill="1" applyBorder="1" applyAlignment="1" applyProtection="1">
      <alignment horizontal="right" vertical="center" wrapText="1"/>
      <protection locked="0"/>
    </xf>
    <xf numFmtId="0" fontId="1" fillId="0" borderId="0" xfId="3" applyFill="1" applyAlignment="1">
      <alignment vertical="center"/>
    </xf>
    <xf numFmtId="0" fontId="47" fillId="13" borderId="27" xfId="0" applyNumberFormat="1" applyFont="1" applyFill="1" applyBorder="1" applyAlignment="1" applyProtection="1">
      <alignment horizontal="center" vertical="center" wrapText="1"/>
      <protection locked="0"/>
    </xf>
    <xf numFmtId="0" fontId="46" fillId="12" borderId="27" xfId="0" applyNumberFormat="1" applyFont="1" applyFill="1" applyBorder="1" applyAlignment="1" applyProtection="1">
      <alignment horizontal="left" vertical="center" wrapText="1"/>
      <protection locked="0"/>
    </xf>
    <xf numFmtId="165" fontId="49" fillId="15" borderId="27" xfId="0" applyNumberFormat="1" applyFont="1" applyFill="1" applyBorder="1" applyAlignment="1" applyProtection="1">
      <alignment horizontal="right" vertical="center" wrapText="1"/>
      <protection locked="0"/>
    </xf>
    <xf numFmtId="10" fontId="48" fillId="14" borderId="27" xfId="0" applyNumberFormat="1" applyFont="1" applyFill="1" applyBorder="1" applyAlignment="1" applyProtection="1">
      <alignment horizontal="right" vertical="center" wrapText="1"/>
      <protection locked="0"/>
    </xf>
    <xf numFmtId="0" fontId="33" fillId="0" borderId="9" xfId="0" applyFont="1" applyFill="1" applyBorder="1" applyAlignment="1">
      <alignment horizontal="center" vertical="center" wrapText="1"/>
    </xf>
    <xf numFmtId="3" fontId="42" fillId="8" borderId="16" xfId="0" applyNumberFormat="1" applyFont="1" applyFill="1" applyBorder="1" applyAlignment="1" applyProtection="1">
      <alignment horizontal="center" vertical="center" wrapText="1"/>
      <protection locked="0"/>
    </xf>
    <xf numFmtId="0" fontId="33" fillId="3" borderId="0" xfId="12" applyFont="1" applyFill="1" applyAlignment="1">
      <alignment horizontal="left" vertical="top"/>
    </xf>
    <xf numFmtId="0" fontId="52" fillId="3" borderId="0" xfId="13" applyFont="1" applyFill="1"/>
    <xf numFmtId="37" fontId="22" fillId="3" borderId="0" xfId="12" applyNumberFormat="1" applyFont="1" applyFill="1" applyAlignment="1">
      <alignment horizontal="left"/>
    </xf>
    <xf numFmtId="0" fontId="33" fillId="3" borderId="0" xfId="12" applyFont="1" applyFill="1" applyAlignment="1">
      <alignment horizontal="center" vertical="top"/>
    </xf>
    <xf numFmtId="10" fontId="44" fillId="10" borderId="28" xfId="0" applyNumberFormat="1" applyFont="1" applyFill="1" applyBorder="1" applyAlignment="1" applyProtection="1">
      <alignment horizontal="right" vertical="center" wrapText="1"/>
      <protection locked="0"/>
    </xf>
    <xf numFmtId="10" fontId="44" fillId="10" borderId="9" xfId="0" applyNumberFormat="1" applyFont="1" applyFill="1" applyBorder="1" applyAlignment="1" applyProtection="1">
      <alignment horizontal="right" vertical="center" wrapText="1"/>
      <protection locked="0"/>
    </xf>
    <xf numFmtId="0" fontId="20" fillId="3" borderId="9" xfId="0" applyFont="1" applyFill="1" applyBorder="1" applyAlignment="1" applyProtection="1">
      <alignment horizontal="left" vertical="center" wrapText="1"/>
    </xf>
    <xf numFmtId="43" fontId="44" fillId="10" borderId="9" xfId="0" applyNumberFormat="1" applyFont="1" applyFill="1" applyBorder="1" applyAlignment="1" applyProtection="1">
      <alignment horizontal="right" vertical="center" wrapText="1"/>
      <protection locked="0"/>
    </xf>
    <xf numFmtId="10" fontId="44" fillId="0" borderId="18" xfId="0" applyNumberFormat="1" applyFont="1" applyFill="1" applyBorder="1" applyAlignment="1" applyProtection="1">
      <alignment horizontal="right" vertical="center" wrapText="1"/>
      <protection locked="0"/>
    </xf>
    <xf numFmtId="0" fontId="7" fillId="3" borderId="1" xfId="0" applyFont="1" applyFill="1" applyBorder="1" applyAlignment="1"/>
    <xf numFmtId="0" fontId="7" fillId="3" borderId="2" xfId="0" applyFont="1" applyFill="1" applyBorder="1" applyAlignment="1"/>
    <xf numFmtId="0" fontId="11" fillId="3" borderId="0" xfId="0" applyFont="1" applyFill="1" applyAlignment="1">
      <alignment horizontal="left" vertical="center" wrapText="1"/>
    </xf>
    <xf numFmtId="0" fontId="9" fillId="3" borderId="0" xfId="0" applyFont="1" applyFill="1" applyAlignment="1">
      <alignment horizontal="left" vertical="center" wrapText="1"/>
    </xf>
    <xf numFmtId="0" fontId="20" fillId="3" borderId="0" xfId="0" applyFont="1" applyFill="1" applyAlignment="1">
      <alignment horizontal="left" vertical="center" wrapText="1"/>
    </xf>
    <xf numFmtId="0" fontId="29" fillId="3" borderId="0" xfId="0" applyFont="1" applyFill="1" applyAlignment="1">
      <alignment horizontal="right" vertical="center" wrapText="1"/>
    </xf>
    <xf numFmtId="0" fontId="30" fillId="3" borderId="0" xfId="0" applyFont="1" applyFill="1" applyAlignment="1">
      <alignment horizontal="right" vertical="center" wrapText="1"/>
    </xf>
    <xf numFmtId="0" fontId="31" fillId="3" borderId="0" xfId="0" applyFont="1" applyFill="1" applyAlignment="1">
      <alignment horizontal="center" vertical="center" wrapText="1"/>
    </xf>
    <xf numFmtId="0" fontId="32" fillId="3" borderId="0" xfId="0" applyFont="1" applyFill="1" applyAlignment="1">
      <alignment horizontal="center" vertical="center"/>
    </xf>
    <xf numFmtId="0" fontId="24" fillId="3" borderId="0" xfId="0" applyFont="1" applyFill="1" applyBorder="1" applyAlignment="1">
      <alignment horizontal="left" vertical="center" wrapText="1"/>
    </xf>
    <xf numFmtId="0" fontId="33" fillId="3" borderId="0" xfId="0" applyFont="1" applyFill="1" applyAlignment="1">
      <alignment horizontal="center" vertical="center"/>
    </xf>
    <xf numFmtId="0" fontId="22" fillId="2" borderId="12" xfId="0" applyFont="1" applyFill="1" applyBorder="1" applyAlignment="1" applyProtection="1">
      <alignment horizontal="center" vertical="center" wrapText="1"/>
    </xf>
    <xf numFmtId="0" fontId="22" fillId="2" borderId="13" xfId="0" applyFont="1" applyFill="1" applyBorder="1" applyAlignment="1" applyProtection="1">
      <alignment horizontal="center" vertical="center" wrapText="1"/>
    </xf>
    <xf numFmtId="49" fontId="22" fillId="2" borderId="12" xfId="0" applyNumberFormat="1" applyFont="1" applyFill="1" applyBorder="1" applyAlignment="1" applyProtection="1">
      <alignment horizontal="center" vertical="center" wrapText="1"/>
    </xf>
    <xf numFmtId="49" fontId="22" fillId="2" borderId="13" xfId="0" applyNumberFormat="1" applyFont="1" applyFill="1" applyBorder="1" applyAlignment="1" applyProtection="1">
      <alignment horizontal="center" vertical="center" wrapText="1"/>
    </xf>
    <xf numFmtId="0" fontId="4" fillId="2" borderId="13" xfId="0" applyFont="1" applyFill="1" applyBorder="1" applyAlignment="1">
      <alignment vertical="center"/>
    </xf>
    <xf numFmtId="165" fontId="22" fillId="2" borderId="10" xfId="8" applyNumberFormat="1" applyFont="1" applyFill="1" applyBorder="1" applyAlignment="1" applyProtection="1">
      <alignment horizontal="center" vertical="center" wrapText="1"/>
      <protection locked="0"/>
    </xf>
    <xf numFmtId="165" fontId="22" fillId="2" borderId="11" xfId="8" applyNumberFormat="1" applyFont="1" applyFill="1" applyBorder="1" applyAlignment="1" applyProtection="1">
      <alignment horizontal="center" vertical="center" wrapText="1"/>
      <protection locked="0"/>
    </xf>
    <xf numFmtId="0" fontId="20" fillId="3" borderId="0" xfId="0" applyFont="1" applyFill="1" applyBorder="1" applyAlignment="1">
      <alignment horizontal="center" vertical="center"/>
    </xf>
    <xf numFmtId="0" fontId="33" fillId="3" borderId="0" xfId="0" applyFont="1" applyFill="1" applyBorder="1" applyAlignment="1">
      <alignment horizontal="center" vertical="center"/>
    </xf>
    <xf numFmtId="0" fontId="20" fillId="3" borderId="0" xfId="0" applyFont="1" applyFill="1" applyAlignment="1">
      <alignment horizontal="center" vertical="center"/>
    </xf>
    <xf numFmtId="0" fontId="21" fillId="3" borderId="0" xfId="0" applyFont="1" applyFill="1" applyAlignment="1">
      <alignment horizontal="left" vertical="center" wrapText="1"/>
    </xf>
    <xf numFmtId="0" fontId="27" fillId="3" borderId="0" xfId="0" applyFont="1" applyFill="1" applyAlignment="1">
      <alignment horizontal="right" vertical="center" wrapText="1"/>
    </xf>
    <xf numFmtId="0" fontId="26" fillId="3" borderId="0" xfId="0" applyFont="1" applyFill="1" applyAlignment="1">
      <alignment horizontal="right" vertical="center" wrapText="1"/>
    </xf>
    <xf numFmtId="0" fontId="25" fillId="3" borderId="0" xfId="0" applyFont="1" applyFill="1" applyAlignment="1">
      <alignment horizontal="center" vertical="center" wrapText="1"/>
    </xf>
    <xf numFmtId="0" fontId="23" fillId="3" borderId="0" xfId="0" applyFont="1" applyFill="1" applyAlignment="1">
      <alignment horizontal="center" vertical="center"/>
    </xf>
    <xf numFmtId="0" fontId="20" fillId="3" borderId="0" xfId="0" applyFont="1" applyFill="1" applyAlignment="1">
      <alignment horizontal="left" vertical="center"/>
    </xf>
    <xf numFmtId="0" fontId="24" fillId="3" borderId="0" xfId="0" applyFont="1" applyFill="1" applyBorder="1" applyAlignment="1">
      <alignment horizontal="left" vertical="center"/>
    </xf>
    <xf numFmtId="0" fontId="20" fillId="3" borderId="9" xfId="0" applyFont="1" applyFill="1" applyBorder="1" applyAlignment="1">
      <alignment horizontal="center" vertical="center"/>
    </xf>
    <xf numFmtId="0" fontId="37" fillId="0" borderId="0" xfId="12" applyFont="1" applyFill="1" applyAlignment="1">
      <alignment horizontal="right" vertical="center" wrapText="1"/>
    </xf>
    <xf numFmtId="0" fontId="38" fillId="3" borderId="0" xfId="12" applyFont="1" applyFill="1" applyAlignment="1">
      <alignment horizontal="right" vertical="center" wrapText="1"/>
    </xf>
    <xf numFmtId="0" fontId="25" fillId="0" borderId="0" xfId="12" applyFont="1" applyFill="1" applyAlignment="1">
      <alignment horizontal="center" vertical="center" wrapText="1"/>
    </xf>
    <xf numFmtId="0" fontId="23" fillId="3" borderId="0" xfId="12" applyFont="1" applyFill="1" applyAlignment="1">
      <alignment horizontal="center" vertical="center"/>
    </xf>
    <xf numFmtId="0" fontId="24" fillId="3" borderId="0" xfId="12" applyFont="1" applyFill="1" applyAlignment="1">
      <alignment horizontal="left" vertical="center" wrapText="1"/>
    </xf>
    <xf numFmtId="0" fontId="22" fillId="3" borderId="0" xfId="12" applyFont="1" applyFill="1" applyAlignment="1">
      <alignment horizontal="left" vertical="center"/>
    </xf>
    <xf numFmtId="0" fontId="39" fillId="3" borderId="0" xfId="12" applyFont="1" applyFill="1" applyAlignment="1">
      <alignment horizontal="left" vertical="center" wrapText="1"/>
    </xf>
    <xf numFmtId="0" fontId="21" fillId="3" borderId="0" xfId="12" applyFont="1" applyFill="1" applyAlignment="1">
      <alignment horizontal="left" vertical="center" wrapText="1"/>
    </xf>
    <xf numFmtId="0" fontId="40" fillId="3" borderId="0" xfId="12" applyFont="1" applyFill="1" applyAlignment="1">
      <alignment horizontal="left" vertical="center" wrapText="1"/>
    </xf>
    <xf numFmtId="0" fontId="24" fillId="3" borderId="0" xfId="12" applyFont="1" applyFill="1" applyAlignment="1">
      <alignment horizontal="left" vertical="top" wrapText="1"/>
    </xf>
    <xf numFmtId="0" fontId="20" fillId="3" borderId="0" xfId="12" applyFont="1" applyFill="1" applyAlignment="1">
      <alignment horizontal="left" vertical="top" wrapText="1"/>
    </xf>
    <xf numFmtId="0" fontId="39" fillId="3" borderId="0" xfId="12" applyFont="1" applyFill="1" applyAlignment="1">
      <alignment horizontal="left" vertical="top" wrapText="1"/>
    </xf>
    <xf numFmtId="0" fontId="33" fillId="6" borderId="12" xfId="13" applyFont="1" applyFill="1" applyBorder="1" applyAlignment="1">
      <alignment horizontal="center" vertical="center" wrapText="1"/>
    </xf>
    <xf numFmtId="0" fontId="33" fillId="6" borderId="13" xfId="13" applyFont="1" applyFill="1" applyBorder="1" applyAlignment="1">
      <alignment horizontal="center" vertical="center" wrapText="1"/>
    </xf>
    <xf numFmtId="0" fontId="33" fillId="6" borderId="10" xfId="13" applyFont="1" applyFill="1" applyBorder="1" applyAlignment="1">
      <alignment horizontal="center" vertical="center" wrapText="1"/>
    </xf>
    <xf numFmtId="0" fontId="33" fillId="6" borderId="11" xfId="13" applyFont="1" applyFill="1" applyBorder="1" applyAlignment="1">
      <alignment horizontal="center" vertical="center" wrapText="1"/>
    </xf>
    <xf numFmtId="0" fontId="36" fillId="3" borderId="0" xfId="12" applyFont="1" applyFill="1" applyAlignment="1">
      <alignment horizontal="left" vertical="top" wrapText="1"/>
    </xf>
    <xf numFmtId="37" fontId="21" fillId="3" borderId="0" xfId="12" applyNumberFormat="1" applyFont="1" applyFill="1" applyAlignment="1">
      <alignment horizontal="left"/>
    </xf>
    <xf numFmtId="0" fontId="33" fillId="6" borderId="12" xfId="13" applyNumberFormat="1" applyFont="1" applyFill="1" applyBorder="1" applyAlignment="1" applyProtection="1">
      <alignment horizontal="center" vertical="center" wrapText="1"/>
    </xf>
    <xf numFmtId="0" fontId="33" fillId="6" borderId="13" xfId="13" applyNumberFormat="1" applyFont="1" applyFill="1" applyBorder="1" applyAlignment="1" applyProtection="1">
      <alignment horizontal="center" vertical="center" wrapText="1"/>
    </xf>
  </cellXfs>
  <cellStyles count="15">
    <cellStyle name="Comma" xfId="8" builtinId="3"/>
    <cellStyle name="Comma 2" xfId="6" xr:uid="{00000000-0005-0000-0000-000001000000}"/>
    <cellStyle name="Comma 3" xfId="9" xr:uid="{00000000-0005-0000-0000-000002000000}"/>
    <cellStyle name="Comma 4" xfId="14" xr:uid="{A4DADE5F-0CFD-4958-BF61-7AE930E0AD9C}"/>
    <cellStyle name="Currency [0] 2" xfId="5" xr:uid="{00000000-0005-0000-0000-000003000000}"/>
    <cellStyle name="Hyperlink" xfId="2" builtinId="8"/>
    <cellStyle name="Normal" xfId="0" builtinId="0"/>
    <cellStyle name="Normal 2" xfId="4" xr:uid="{00000000-0005-0000-0000-000006000000}"/>
    <cellStyle name="Normal 2 2" xfId="7" xr:uid="{00000000-0005-0000-0000-000007000000}"/>
    <cellStyle name="Normal 3" xfId="3" xr:uid="{00000000-0005-0000-0000-000008000000}"/>
    <cellStyle name="Normal 3 2" xfId="13" xr:uid="{F0C370E1-B99D-449E-BE39-F83881089001}"/>
    <cellStyle name="Normal 4" xfId="12" xr:uid="{6387CE64-05F5-4E96-A2BE-F6E39976BB37}"/>
    <cellStyle name="Normal_Bao cao tai chinh 280405" xfId="1" xr:uid="{00000000-0005-0000-0000-000009000000}"/>
    <cellStyle name="Percent 2" xfId="10" xr:uid="{00000000-0005-0000-0000-00000A000000}"/>
    <cellStyle name="Percent 3" xfId="11" xr:uid="{00000000-0005-0000-0000-00000B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7.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1231515</xdr:colOff>
      <xdr:row>1</xdr:row>
      <xdr:rowOff>138225</xdr:rowOff>
    </xdr:to>
    <xdr:pic>
      <xdr:nvPicPr>
        <xdr:cNvPr id="4" name="Picture 3">
          <a:extLst>
            <a:ext uri="{FF2B5EF4-FFF2-40B4-BE49-F238E27FC236}">
              <a16:creationId xmlns:a16="http://schemas.microsoft.com/office/drawing/2014/main" id="{EDD87F9F-4BD8-4CB7-BB88-1C628BBF4B9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231515" cy="42686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732586</xdr:colOff>
      <xdr:row>1</xdr:row>
      <xdr:rowOff>128800</xdr:rowOff>
    </xdr:to>
    <xdr:pic>
      <xdr:nvPicPr>
        <xdr:cNvPr id="4" name="Picture 3">
          <a:extLst>
            <a:ext uri="{FF2B5EF4-FFF2-40B4-BE49-F238E27FC236}">
              <a16:creationId xmlns:a16="http://schemas.microsoft.com/office/drawing/2014/main" id="{E48B76B3-FF0B-4FBB-9179-45F0EA8A22D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231515" cy="426861"/>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622433</xdr:colOff>
      <xdr:row>1</xdr:row>
      <xdr:rowOff>141759</xdr:rowOff>
    </xdr:to>
    <xdr:pic>
      <xdr:nvPicPr>
        <xdr:cNvPr id="3" name="Picture 2">
          <a:extLst>
            <a:ext uri="{FF2B5EF4-FFF2-40B4-BE49-F238E27FC236}">
              <a16:creationId xmlns:a16="http://schemas.microsoft.com/office/drawing/2014/main" id="{146EA6CF-0CE2-43FD-90A7-AE71B89996B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231515" cy="426861"/>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620253</xdr:colOff>
      <xdr:row>1</xdr:row>
      <xdr:rowOff>142001</xdr:rowOff>
    </xdr:to>
    <xdr:pic>
      <xdr:nvPicPr>
        <xdr:cNvPr id="3" name="Picture 2">
          <a:extLst>
            <a:ext uri="{FF2B5EF4-FFF2-40B4-BE49-F238E27FC236}">
              <a16:creationId xmlns:a16="http://schemas.microsoft.com/office/drawing/2014/main" id="{AE30DF9A-33E9-448B-AF70-DC95B0342EC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231515" cy="426861"/>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603199</xdr:colOff>
      <xdr:row>1</xdr:row>
      <xdr:rowOff>106019</xdr:rowOff>
    </xdr:to>
    <xdr:pic>
      <xdr:nvPicPr>
        <xdr:cNvPr id="3" name="Picture 2">
          <a:extLst>
            <a:ext uri="{FF2B5EF4-FFF2-40B4-BE49-F238E27FC236}">
              <a16:creationId xmlns:a16="http://schemas.microsoft.com/office/drawing/2014/main" id="{76CD2EDE-1BD8-4DA0-AF58-E457C7A7D1D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231515" cy="426861"/>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623252</xdr:colOff>
      <xdr:row>1</xdr:row>
      <xdr:rowOff>45861</xdr:rowOff>
    </xdr:to>
    <xdr:pic>
      <xdr:nvPicPr>
        <xdr:cNvPr id="4" name="Picture 3">
          <a:extLst>
            <a:ext uri="{FF2B5EF4-FFF2-40B4-BE49-F238E27FC236}">
              <a16:creationId xmlns:a16="http://schemas.microsoft.com/office/drawing/2014/main" id="{80E327FF-2214-4624-9390-6C7D9AC092E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231515" cy="426861"/>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895339</xdr:colOff>
      <xdr:row>1</xdr:row>
      <xdr:rowOff>98155</xdr:rowOff>
    </xdr:to>
    <xdr:pic>
      <xdr:nvPicPr>
        <xdr:cNvPr id="3" name="Picture 2">
          <a:extLst>
            <a:ext uri="{FF2B5EF4-FFF2-40B4-BE49-F238E27FC236}">
              <a16:creationId xmlns:a16="http://schemas.microsoft.com/office/drawing/2014/main" id="{327AE252-5D5F-46C0-8F79-DDBF7268B2E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231515" cy="426861"/>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48"/>
  <sheetViews>
    <sheetView view="pageBreakPreview" zoomScaleSheetLayoutView="100" workbookViewId="0">
      <selection activeCell="D13" sqref="D13"/>
    </sheetView>
  </sheetViews>
  <sheetFormatPr defaultColWidth="9.1796875" defaultRowHeight="15.5"/>
  <cols>
    <col min="1" max="2" width="9.1796875" style="2"/>
    <col min="3" max="3" width="30.1796875" style="2" customWidth="1"/>
    <col min="4" max="4" width="30.81640625" style="2" customWidth="1"/>
    <col min="5" max="5" width="21.1796875" style="2" customWidth="1"/>
    <col min="6" max="9" width="9.1796875" style="2"/>
    <col min="10" max="10" width="11.81640625" style="2" customWidth="1"/>
    <col min="11" max="11" width="15" style="2" customWidth="1"/>
    <col min="12" max="16384" width="9.1796875" style="2"/>
  </cols>
  <sheetData>
    <row r="1" spans="1:11">
      <c r="A1" s="1" t="s">
        <v>0</v>
      </c>
      <c r="C1" s="249" t="s">
        <v>795</v>
      </c>
      <c r="D1" s="250"/>
    </row>
    <row r="2" spans="1:11">
      <c r="C2" s="4" t="s">
        <v>796</v>
      </c>
      <c r="D2" s="5"/>
    </row>
    <row r="3" spans="1:11">
      <c r="D3" s="6"/>
    </row>
    <row r="4" spans="1:11">
      <c r="A4" s="1" t="s">
        <v>1</v>
      </c>
      <c r="D4" s="6"/>
    </row>
    <row r="5" spans="1:11" ht="15" customHeight="1">
      <c r="C5" s="7" t="s">
        <v>2</v>
      </c>
      <c r="D5" s="252" t="s">
        <v>797</v>
      </c>
      <c r="E5" s="252"/>
      <c r="F5" s="252"/>
      <c r="G5" s="252"/>
      <c r="H5" s="252"/>
      <c r="I5" s="252"/>
    </row>
    <row r="6" spans="1:11" ht="31">
      <c r="C6" s="9" t="s">
        <v>41</v>
      </c>
      <c r="D6" s="251" t="s">
        <v>798</v>
      </c>
      <c r="E6" s="251"/>
      <c r="F6" s="251"/>
      <c r="G6" s="251"/>
      <c r="H6" s="251"/>
      <c r="I6" s="251"/>
    </row>
    <row r="7" spans="1:11">
      <c r="C7" s="10" t="s">
        <v>3</v>
      </c>
      <c r="D7" s="252" t="s">
        <v>799</v>
      </c>
      <c r="E7" s="252"/>
      <c r="F7" s="252"/>
      <c r="G7" s="252"/>
      <c r="H7" s="252"/>
      <c r="I7" s="252"/>
    </row>
    <row r="8" spans="1:11" ht="15" customHeight="1">
      <c r="C8" s="11" t="s">
        <v>4</v>
      </c>
      <c r="D8" s="251" t="s">
        <v>800</v>
      </c>
      <c r="E8" s="251"/>
      <c r="F8" s="251"/>
      <c r="G8" s="251"/>
      <c r="H8" s="251"/>
      <c r="I8" s="251"/>
    </row>
    <row r="9" spans="1:11" ht="15" customHeight="1">
      <c r="C9" s="10" t="s">
        <v>5</v>
      </c>
      <c r="D9" s="252" t="s">
        <v>801</v>
      </c>
      <c r="E9" s="252"/>
      <c r="F9" s="252"/>
      <c r="G9" s="252"/>
      <c r="H9" s="252"/>
      <c r="I9" s="252"/>
    </row>
    <row r="10" spans="1:11" ht="15" customHeight="1">
      <c r="C10" s="8" t="s">
        <v>6</v>
      </c>
      <c r="D10" s="251" t="s">
        <v>819</v>
      </c>
      <c r="E10" s="251"/>
      <c r="F10" s="251"/>
      <c r="G10" s="251"/>
      <c r="H10" s="251"/>
      <c r="I10" s="251"/>
    </row>
    <row r="11" spans="1:11">
      <c r="C11" s="12" t="s">
        <v>7</v>
      </c>
      <c r="D11" s="252" t="s">
        <v>802</v>
      </c>
      <c r="E11" s="252"/>
      <c r="F11" s="252"/>
      <c r="G11" s="252"/>
      <c r="H11" s="252"/>
      <c r="I11" s="252"/>
    </row>
    <row r="12" spans="1:11">
      <c r="C12" s="13" t="s">
        <v>8</v>
      </c>
      <c r="D12" s="251" t="s">
        <v>803</v>
      </c>
      <c r="E12" s="251"/>
      <c r="F12" s="251"/>
      <c r="G12" s="251"/>
      <c r="H12" s="251"/>
      <c r="I12" s="251"/>
    </row>
    <row r="13" spans="1:11">
      <c r="D13" s="6"/>
    </row>
    <row r="14" spans="1:11">
      <c r="A14" s="1" t="s">
        <v>9</v>
      </c>
      <c r="D14" s="6"/>
    </row>
    <row r="15" spans="1:11">
      <c r="D15" s="6"/>
    </row>
    <row r="16" spans="1:11">
      <c r="C16" s="14" t="s">
        <v>10</v>
      </c>
      <c r="D16" s="3"/>
      <c r="F16" s="14" t="s">
        <v>11</v>
      </c>
      <c r="G16" s="15"/>
      <c r="H16" s="15"/>
      <c r="I16" s="15"/>
      <c r="J16" s="15"/>
      <c r="K16" s="16"/>
    </row>
    <row r="17" spans="3:11">
      <c r="C17" s="17" t="s">
        <v>12</v>
      </c>
      <c r="D17" s="18"/>
      <c r="F17" s="17" t="s">
        <v>13</v>
      </c>
      <c r="G17" s="19"/>
      <c r="H17" s="19"/>
      <c r="I17" s="19"/>
      <c r="J17" s="19"/>
      <c r="K17" s="20"/>
    </row>
    <row r="18" spans="3:11">
      <c r="C18" s="21"/>
      <c r="D18" s="18"/>
      <c r="F18" s="21"/>
      <c r="G18" s="19"/>
      <c r="H18" s="19"/>
      <c r="I18" s="19"/>
      <c r="J18" s="19"/>
      <c r="K18" s="20"/>
    </row>
    <row r="19" spans="3:11">
      <c r="C19" s="22" t="s">
        <v>14</v>
      </c>
      <c r="D19" s="18"/>
      <c r="F19" s="22" t="str">
        <f>D5</f>
        <v>Công ty Cổ phần Quản lý Quỹ Đầu tư Dragon Capital Việt Nam</v>
      </c>
      <c r="G19" s="19"/>
      <c r="H19" s="19"/>
      <c r="I19" s="19"/>
      <c r="J19" s="19"/>
      <c r="K19" s="20"/>
    </row>
    <row r="20" spans="3:11">
      <c r="C20" s="23" t="s">
        <v>804</v>
      </c>
      <c r="D20" s="18"/>
      <c r="F20" s="22" t="s">
        <v>805</v>
      </c>
      <c r="G20" s="19"/>
      <c r="H20" s="19"/>
      <c r="I20" s="19"/>
      <c r="J20" s="19"/>
      <c r="K20" s="20"/>
    </row>
    <row r="21" spans="3:11">
      <c r="C21" s="24" t="s">
        <v>806</v>
      </c>
      <c r="D21" s="5"/>
      <c r="F21" s="25" t="s">
        <v>807</v>
      </c>
      <c r="G21" s="26"/>
      <c r="H21" s="26"/>
      <c r="I21" s="26"/>
      <c r="J21" s="26"/>
      <c r="K21" s="27"/>
    </row>
    <row r="22" spans="3:11">
      <c r="D22" s="6"/>
    </row>
    <row r="23" spans="3:11">
      <c r="D23" s="6"/>
    </row>
    <row r="24" spans="3:11">
      <c r="D24" s="6"/>
    </row>
    <row r="25" spans="3:11">
      <c r="D25" s="6"/>
    </row>
    <row r="26" spans="3:11">
      <c r="D26" s="6"/>
    </row>
    <row r="27" spans="3:11">
      <c r="D27" s="6"/>
    </row>
    <row r="28" spans="3:11">
      <c r="D28" s="6"/>
    </row>
    <row r="29" spans="3:11">
      <c r="D29" s="6"/>
    </row>
    <row r="30" spans="3:11">
      <c r="D30" s="6"/>
    </row>
    <row r="31" spans="3:11">
      <c r="D31" s="6"/>
    </row>
    <row r="32" spans="3:11">
      <c r="D32" s="6"/>
    </row>
    <row r="33" spans="2:12">
      <c r="D33" s="6"/>
    </row>
    <row r="34" spans="2:12">
      <c r="B34" s="28" t="s">
        <v>15</v>
      </c>
      <c r="C34" s="28" t="s">
        <v>16</v>
      </c>
      <c r="D34" s="29" t="s">
        <v>17</v>
      </c>
    </row>
    <row r="35" spans="2:12" s="33" customFormat="1">
      <c r="B35" s="30">
        <v>1</v>
      </c>
      <c r="C35" s="31" t="s">
        <v>21</v>
      </c>
      <c r="D35" s="32" t="s">
        <v>26</v>
      </c>
    </row>
    <row r="36" spans="2:12" s="33" customFormat="1">
      <c r="B36" s="30">
        <v>2</v>
      </c>
      <c r="C36" s="31" t="s">
        <v>22</v>
      </c>
      <c r="D36" s="32" t="s">
        <v>27</v>
      </c>
    </row>
    <row r="37" spans="2:12" s="33" customFormat="1" ht="31">
      <c r="B37" s="30">
        <v>3</v>
      </c>
      <c r="C37" s="31" t="s">
        <v>23</v>
      </c>
      <c r="D37" s="32" t="s">
        <v>28</v>
      </c>
      <c r="J37" s="34"/>
      <c r="K37" s="35"/>
      <c r="L37" s="36"/>
    </row>
    <row r="38" spans="2:12">
      <c r="B38" s="30">
        <v>4</v>
      </c>
      <c r="C38" s="30" t="s">
        <v>24</v>
      </c>
      <c r="D38" s="32" t="s">
        <v>29</v>
      </c>
      <c r="J38" s="37"/>
      <c r="K38" s="38"/>
      <c r="L38" s="39"/>
    </row>
    <row r="39" spans="2:12" ht="46.5">
      <c r="B39" s="30">
        <v>5</v>
      </c>
      <c r="C39" s="31" t="s">
        <v>25</v>
      </c>
      <c r="D39" s="32" t="s">
        <v>30</v>
      </c>
    </row>
    <row r="40" spans="2:12">
      <c r="B40" s="30">
        <v>6</v>
      </c>
      <c r="C40" s="30" t="s">
        <v>18</v>
      </c>
      <c r="D40" s="32" t="s">
        <v>31</v>
      </c>
    </row>
    <row r="41" spans="2:12">
      <c r="B41" s="30">
        <v>7</v>
      </c>
      <c r="C41" s="30" t="s">
        <v>19</v>
      </c>
      <c r="D41" s="32" t="s">
        <v>32</v>
      </c>
    </row>
    <row r="42" spans="2:12" ht="46.5">
      <c r="B42" s="30">
        <v>8</v>
      </c>
      <c r="C42" s="31" t="s">
        <v>33</v>
      </c>
      <c r="D42" s="32" t="s">
        <v>34</v>
      </c>
    </row>
    <row r="43" spans="2:12">
      <c r="B43" s="30">
        <v>9</v>
      </c>
      <c r="C43" s="30" t="s">
        <v>35</v>
      </c>
      <c r="D43" s="32" t="s">
        <v>36</v>
      </c>
    </row>
    <row r="44" spans="2:12">
      <c r="B44" s="40">
        <v>10</v>
      </c>
      <c r="C44" s="41" t="s">
        <v>20</v>
      </c>
      <c r="D44" s="42" t="s">
        <v>37</v>
      </c>
    </row>
    <row r="45" spans="2:12">
      <c r="B45" s="30">
        <v>11</v>
      </c>
      <c r="C45" s="41" t="s">
        <v>38</v>
      </c>
      <c r="D45" s="42" t="s">
        <v>39</v>
      </c>
    </row>
    <row r="46" spans="2:12">
      <c r="B46" s="40">
        <v>12</v>
      </c>
      <c r="C46" s="41" t="s">
        <v>21</v>
      </c>
      <c r="D46" s="42" t="s">
        <v>40</v>
      </c>
    </row>
    <row r="47" spans="2:12">
      <c r="B47" s="30"/>
      <c r="C47" s="41"/>
      <c r="D47" s="42"/>
    </row>
    <row r="48" spans="2:12">
      <c r="D48" s="43"/>
    </row>
  </sheetData>
  <mergeCells count="9">
    <mergeCell ref="C1:D1"/>
    <mergeCell ref="D12:I12"/>
    <mergeCell ref="D11:I11"/>
    <mergeCell ref="D10:I10"/>
    <mergeCell ref="D9:I9"/>
    <mergeCell ref="D8:I8"/>
    <mergeCell ref="D7:I7"/>
    <mergeCell ref="D6:I6"/>
    <mergeCell ref="D5:I5"/>
  </mergeCells>
  <hyperlinks>
    <hyperlink ref="D35" location="BCThuNhap_06203!A1" display="BCThuNhap_06203" xr:uid="{00000000-0004-0000-0000-000000000000}"/>
    <hyperlink ref="D36" location="BCTinhHinhTaiChinh_06105!A1" display="BCTinhHinhTaiChinh_06105" xr:uid="{00000000-0004-0000-0000-000001000000}"/>
    <hyperlink ref="D37" location="BCLCGT_06262!A1" display="BCLCGT_06262" xr:uid="{00000000-0004-0000-0000-000002000000}"/>
  </hyperlinks>
  <pageMargins left="0.7" right="0.7" top="0.75" bottom="0.75" header="0.3" footer="0.3"/>
  <pageSetup scale="54" orientation="portrait" r:id="rId1"/>
  <headerFooter>
    <oddHeader>&amp;L&amp;"Arial"&amp;9&amp;K317100PUBLIC&amp;1#</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95"/>
  <sheetViews>
    <sheetView tabSelected="1" view="pageBreakPreview" zoomScale="99" zoomScaleNormal="100" zoomScaleSheetLayoutView="86" workbookViewId="0">
      <selection activeCell="H9" sqref="H9"/>
    </sheetView>
  </sheetViews>
  <sheetFormatPr defaultColWidth="8.7265625" defaultRowHeight="12.5"/>
  <cols>
    <col min="1" max="1" width="53.1796875" style="59" customWidth="1"/>
    <col min="2" max="3" width="8.7265625" style="59"/>
    <col min="4" max="4" width="20.26953125" style="59" customWidth="1"/>
    <col min="5" max="5" width="20.7265625" style="59" customWidth="1"/>
    <col min="6" max="6" width="21.1796875" style="59" customWidth="1"/>
    <col min="7" max="7" width="21.26953125" style="59" customWidth="1"/>
    <col min="8" max="16384" width="8.7265625" style="103"/>
  </cols>
  <sheetData>
    <row r="1" spans="1:7" ht="22.5" customHeight="1">
      <c r="A1" s="254" t="s">
        <v>95</v>
      </c>
      <c r="B1" s="254"/>
      <c r="C1" s="254"/>
      <c r="D1" s="254"/>
      <c r="E1" s="254"/>
      <c r="F1" s="254"/>
      <c r="G1" s="254"/>
    </row>
    <row r="2" spans="1:7" ht="22.5" customHeight="1">
      <c r="A2" s="255" t="s">
        <v>96</v>
      </c>
      <c r="B2" s="255"/>
      <c r="C2" s="255"/>
      <c r="D2" s="255"/>
      <c r="E2" s="255"/>
      <c r="F2" s="255"/>
      <c r="G2" s="255"/>
    </row>
    <row r="3" spans="1:7" ht="43.9" customHeight="1">
      <c r="A3" s="256" t="s">
        <v>97</v>
      </c>
      <c r="B3" s="256"/>
      <c r="C3" s="256"/>
      <c r="D3" s="256"/>
      <c r="E3" s="256"/>
      <c r="F3" s="256"/>
      <c r="G3" s="256"/>
    </row>
    <row r="4" spans="1:7" ht="9.4" customHeight="1"/>
    <row r="5" spans="1:7">
      <c r="A5" s="257" t="s">
        <v>796</v>
      </c>
      <c r="B5" s="257"/>
      <c r="C5" s="257"/>
      <c r="D5" s="257"/>
      <c r="E5" s="257"/>
      <c r="F5" s="257"/>
      <c r="G5" s="257"/>
    </row>
    <row r="7" spans="1:7" ht="16.899999999999999" customHeight="1">
      <c r="A7" s="60" t="s">
        <v>2</v>
      </c>
      <c r="D7" s="258" t="s">
        <v>797</v>
      </c>
      <c r="E7" s="258"/>
      <c r="F7" s="258"/>
      <c r="G7" s="258"/>
    </row>
    <row r="8" spans="1:7" ht="16.899999999999999" customHeight="1">
      <c r="A8" s="126" t="s">
        <v>41</v>
      </c>
      <c r="D8" s="253" t="s">
        <v>798</v>
      </c>
      <c r="E8" s="253"/>
      <c r="F8" s="253"/>
      <c r="G8" s="253"/>
    </row>
    <row r="9" spans="1:7" ht="16.899999999999999" customHeight="1">
      <c r="A9" s="60" t="s">
        <v>3</v>
      </c>
      <c r="D9" s="258" t="s">
        <v>799</v>
      </c>
      <c r="E9" s="258"/>
      <c r="F9" s="258"/>
      <c r="G9" s="258"/>
    </row>
    <row r="10" spans="1:7" ht="16.899999999999999" customHeight="1">
      <c r="A10" s="126" t="s">
        <v>4</v>
      </c>
      <c r="D10" s="253" t="s">
        <v>800</v>
      </c>
      <c r="E10" s="253"/>
      <c r="F10" s="253"/>
      <c r="G10" s="253"/>
    </row>
    <row r="11" spans="1:7" ht="16.899999999999999" customHeight="1">
      <c r="A11" s="60" t="s">
        <v>5</v>
      </c>
      <c r="D11" s="258" t="s">
        <v>801</v>
      </c>
      <c r="E11" s="258"/>
      <c r="F11" s="258"/>
      <c r="G11" s="258"/>
    </row>
    <row r="12" spans="1:7" ht="16.899999999999999" customHeight="1">
      <c r="A12" s="126" t="s">
        <v>6</v>
      </c>
      <c r="D12" s="253" t="s">
        <v>819</v>
      </c>
      <c r="E12" s="253"/>
      <c r="F12" s="253"/>
      <c r="G12" s="253"/>
    </row>
    <row r="13" spans="1:7" ht="16.899999999999999" customHeight="1">
      <c r="A13" s="60" t="s">
        <v>7</v>
      </c>
      <c r="D13" s="258" t="s">
        <v>802</v>
      </c>
      <c r="E13" s="258"/>
      <c r="F13" s="258"/>
      <c r="G13" s="258"/>
    </row>
    <row r="14" spans="1:7" ht="16.899999999999999" customHeight="1">
      <c r="A14" s="126" t="s">
        <v>8</v>
      </c>
      <c r="D14" s="253" t="s">
        <v>803</v>
      </c>
      <c r="E14" s="253"/>
      <c r="F14" s="253"/>
      <c r="G14" s="253"/>
    </row>
    <row r="16" spans="1:7" ht="39" customHeight="1">
      <c r="A16" s="260" t="s">
        <v>98</v>
      </c>
      <c r="B16" s="262" t="s">
        <v>99</v>
      </c>
      <c r="C16" s="262" t="s">
        <v>100</v>
      </c>
      <c r="D16" s="265" t="s">
        <v>812</v>
      </c>
      <c r="E16" s="266"/>
      <c r="F16" s="265" t="s">
        <v>813</v>
      </c>
      <c r="G16" s="266"/>
    </row>
    <row r="17" spans="1:10" ht="39" customHeight="1">
      <c r="A17" s="261"/>
      <c r="B17" s="263"/>
      <c r="C17" s="264"/>
      <c r="D17" s="127" t="s">
        <v>810</v>
      </c>
      <c r="E17" s="128" t="s">
        <v>101</v>
      </c>
      <c r="F17" s="54" t="s">
        <v>814</v>
      </c>
      <c r="G17" s="128" t="s">
        <v>101</v>
      </c>
    </row>
    <row r="18" spans="1:10" s="117" customFormat="1" ht="39" customHeight="1">
      <c r="A18" s="129" t="s">
        <v>244</v>
      </c>
      <c r="B18" s="130" t="s">
        <v>102</v>
      </c>
      <c r="C18" s="131"/>
      <c r="D18" s="80">
        <v>-83563414693</v>
      </c>
      <c r="E18" s="80">
        <v>-600629993539</v>
      </c>
      <c r="F18" s="80">
        <v>90511302786</v>
      </c>
      <c r="G18" s="80">
        <v>362774095757</v>
      </c>
    </row>
    <row r="19" spans="1:10" ht="39" customHeight="1">
      <c r="A19" s="132" t="s">
        <v>245</v>
      </c>
      <c r="B19" s="133" t="s">
        <v>103</v>
      </c>
      <c r="C19" s="134"/>
      <c r="D19" s="85">
        <v>1375870000</v>
      </c>
      <c r="E19" s="85">
        <v>13980402500</v>
      </c>
      <c r="F19" s="85">
        <v>0</v>
      </c>
      <c r="G19" s="85">
        <v>5276188418</v>
      </c>
      <c r="J19" s="117"/>
    </row>
    <row r="20" spans="1:10" ht="39" customHeight="1">
      <c r="A20" s="132" t="s">
        <v>246</v>
      </c>
      <c r="B20" s="133" t="s">
        <v>104</v>
      </c>
      <c r="C20" s="135"/>
      <c r="D20" s="85">
        <v>1589207029</v>
      </c>
      <c r="E20" s="85">
        <v>14545566266</v>
      </c>
      <c r="F20" s="85">
        <v>965623986</v>
      </c>
      <c r="G20" s="85">
        <v>6050884517</v>
      </c>
      <c r="J20" s="117"/>
    </row>
    <row r="21" spans="1:10" ht="39" customHeight="1">
      <c r="A21" s="132" t="s">
        <v>191</v>
      </c>
      <c r="B21" s="133" t="s">
        <v>105</v>
      </c>
      <c r="C21" s="135"/>
      <c r="D21" s="85">
        <v>29439770</v>
      </c>
      <c r="E21" s="85">
        <v>1087182538</v>
      </c>
      <c r="F21" s="85">
        <v>100171931</v>
      </c>
      <c r="G21" s="85">
        <v>339459861</v>
      </c>
      <c r="J21" s="117"/>
    </row>
    <row r="22" spans="1:10" ht="39" customHeight="1">
      <c r="A22" s="132" t="s">
        <v>199</v>
      </c>
      <c r="B22" s="133" t="s">
        <v>106</v>
      </c>
      <c r="C22" s="135"/>
      <c r="D22" s="85">
        <v>0</v>
      </c>
      <c r="E22" s="85">
        <v>835328767</v>
      </c>
      <c r="F22" s="85">
        <v>135041096</v>
      </c>
      <c r="G22" s="85">
        <v>2567315066</v>
      </c>
      <c r="J22" s="117"/>
    </row>
    <row r="23" spans="1:10" ht="39" customHeight="1">
      <c r="A23" s="132" t="s">
        <v>247</v>
      </c>
      <c r="B23" s="133" t="s">
        <v>187</v>
      </c>
      <c r="C23" s="135"/>
      <c r="D23" s="85">
        <v>1559767259</v>
      </c>
      <c r="E23" s="85">
        <v>12623054961</v>
      </c>
      <c r="F23" s="85">
        <v>730410959</v>
      </c>
      <c r="G23" s="85">
        <v>3144109590</v>
      </c>
      <c r="J23" s="117"/>
    </row>
    <row r="24" spans="1:10" ht="39" customHeight="1">
      <c r="A24" s="132" t="s">
        <v>190</v>
      </c>
      <c r="B24" s="133" t="s">
        <v>189</v>
      </c>
      <c r="C24" s="135"/>
      <c r="D24" s="85">
        <v>0</v>
      </c>
      <c r="E24" s="85">
        <v>0</v>
      </c>
      <c r="F24" s="85">
        <v>0</v>
      </c>
      <c r="G24" s="85">
        <v>0</v>
      </c>
      <c r="J24" s="117"/>
    </row>
    <row r="25" spans="1:10" ht="39" customHeight="1">
      <c r="A25" s="132" t="s">
        <v>192</v>
      </c>
      <c r="B25" s="136" t="s">
        <v>107</v>
      </c>
      <c r="C25" s="135"/>
      <c r="D25" s="85">
        <v>-105316707435</v>
      </c>
      <c r="E25" s="85">
        <v>-378329868971</v>
      </c>
      <c r="F25" s="85">
        <v>26799939836</v>
      </c>
      <c r="G25" s="85">
        <v>203278092957</v>
      </c>
      <c r="J25" s="117"/>
    </row>
    <row r="26" spans="1:10" ht="46.15" customHeight="1">
      <c r="A26" s="132" t="s">
        <v>193</v>
      </c>
      <c r="B26" s="136" t="s">
        <v>108</v>
      </c>
      <c r="C26" s="135"/>
      <c r="D26" s="85">
        <v>18788215713</v>
      </c>
      <c r="E26" s="85">
        <v>-250826093334</v>
      </c>
      <c r="F26" s="85">
        <v>62745738964</v>
      </c>
      <c r="G26" s="85">
        <v>148168929865</v>
      </c>
      <c r="J26" s="117"/>
    </row>
    <row r="27" spans="1:10" ht="39" customHeight="1">
      <c r="A27" s="132" t="s">
        <v>248</v>
      </c>
      <c r="B27" s="136" t="s">
        <v>109</v>
      </c>
      <c r="C27" s="135"/>
      <c r="D27" s="85">
        <v>0</v>
      </c>
      <c r="E27" s="85">
        <v>0</v>
      </c>
      <c r="F27" s="85">
        <v>0</v>
      </c>
      <c r="G27" s="85">
        <v>0</v>
      </c>
      <c r="J27" s="117"/>
    </row>
    <row r="28" spans="1:10" ht="49.15" customHeight="1">
      <c r="A28" s="132" t="s">
        <v>194</v>
      </c>
      <c r="B28" s="136" t="s">
        <v>110</v>
      </c>
      <c r="C28" s="135"/>
      <c r="D28" s="85">
        <v>0</v>
      </c>
      <c r="E28" s="85">
        <v>0</v>
      </c>
      <c r="F28" s="85">
        <v>0</v>
      </c>
      <c r="G28" s="85">
        <v>0</v>
      </c>
      <c r="J28" s="117"/>
    </row>
    <row r="29" spans="1:10" ht="39" customHeight="1">
      <c r="A29" s="132" t="s">
        <v>249</v>
      </c>
      <c r="B29" s="136" t="s">
        <v>111</v>
      </c>
      <c r="C29" s="135"/>
      <c r="D29" s="85">
        <v>0</v>
      </c>
      <c r="E29" s="85">
        <v>0</v>
      </c>
      <c r="F29" s="85">
        <v>0</v>
      </c>
      <c r="G29" s="85">
        <v>0</v>
      </c>
      <c r="J29" s="117"/>
    </row>
    <row r="30" spans="1:10" ht="76.900000000000006" customHeight="1">
      <c r="A30" s="132" t="s">
        <v>250</v>
      </c>
      <c r="B30" s="136" t="s">
        <v>112</v>
      </c>
      <c r="C30" s="135"/>
      <c r="D30" s="85">
        <v>0</v>
      </c>
      <c r="E30" s="85">
        <v>0</v>
      </c>
      <c r="F30" s="85">
        <v>0</v>
      </c>
      <c r="G30" s="85">
        <v>0</v>
      </c>
      <c r="J30" s="117"/>
    </row>
    <row r="31" spans="1:10" s="117" customFormat="1" ht="39" customHeight="1">
      <c r="A31" s="129" t="s">
        <v>214</v>
      </c>
      <c r="B31" s="130" t="s">
        <v>113</v>
      </c>
      <c r="C31" s="131"/>
      <c r="D31" s="80">
        <v>2844467197</v>
      </c>
      <c r="E31" s="80">
        <v>13959634949</v>
      </c>
      <c r="F31" s="80">
        <v>546393827</v>
      </c>
      <c r="G31" s="80">
        <v>2687810503</v>
      </c>
    </row>
    <row r="32" spans="1:10" ht="39" customHeight="1">
      <c r="A32" s="132" t="s">
        <v>114</v>
      </c>
      <c r="B32" s="136" t="s">
        <v>115</v>
      </c>
      <c r="C32" s="135"/>
      <c r="D32" s="85">
        <v>2834467197</v>
      </c>
      <c r="E32" s="85">
        <v>13949634949</v>
      </c>
      <c r="F32" s="85">
        <v>546393827</v>
      </c>
      <c r="G32" s="85">
        <v>2687810503</v>
      </c>
      <c r="J32" s="117"/>
    </row>
    <row r="33" spans="1:10" ht="39" customHeight="1">
      <c r="A33" s="137" t="s">
        <v>116</v>
      </c>
      <c r="B33" s="133" t="s">
        <v>117</v>
      </c>
      <c r="C33" s="134"/>
      <c r="D33" s="85">
        <v>2828978199</v>
      </c>
      <c r="E33" s="85">
        <v>13918857075</v>
      </c>
      <c r="F33" s="85">
        <v>546167327</v>
      </c>
      <c r="G33" s="85">
        <v>2683776387</v>
      </c>
      <c r="J33" s="117"/>
    </row>
    <row r="34" spans="1:10" ht="39" customHeight="1">
      <c r="A34" s="137" t="s">
        <v>70</v>
      </c>
      <c r="B34" s="133" t="s">
        <v>118</v>
      </c>
      <c r="C34" s="134"/>
      <c r="D34" s="85">
        <v>5488998</v>
      </c>
      <c r="E34" s="85">
        <v>30777874</v>
      </c>
      <c r="F34" s="85">
        <v>226500</v>
      </c>
      <c r="G34" s="85">
        <v>4034116</v>
      </c>
      <c r="J34" s="117"/>
    </row>
    <row r="35" spans="1:10" ht="42" customHeight="1">
      <c r="A35" s="137" t="s">
        <v>119</v>
      </c>
      <c r="B35" s="133" t="s">
        <v>120</v>
      </c>
      <c r="C35" s="135"/>
      <c r="D35" s="85">
        <v>0</v>
      </c>
      <c r="E35" s="85">
        <v>0</v>
      </c>
      <c r="F35" s="85">
        <v>0</v>
      </c>
      <c r="G35" s="85">
        <v>0</v>
      </c>
      <c r="J35" s="117"/>
    </row>
    <row r="36" spans="1:10" ht="39" customHeight="1">
      <c r="A36" s="137" t="s">
        <v>121</v>
      </c>
      <c r="B36" s="133" t="s">
        <v>122</v>
      </c>
      <c r="C36" s="135"/>
      <c r="D36" s="85">
        <v>0</v>
      </c>
      <c r="E36" s="85">
        <v>0</v>
      </c>
      <c r="F36" s="85">
        <v>0</v>
      </c>
      <c r="G36" s="85">
        <v>0</v>
      </c>
      <c r="J36" s="117"/>
    </row>
    <row r="37" spans="1:10" ht="70.900000000000006" customHeight="1">
      <c r="A37" s="137" t="s">
        <v>123</v>
      </c>
      <c r="B37" s="133" t="s">
        <v>124</v>
      </c>
      <c r="C37" s="135"/>
      <c r="D37" s="85">
        <v>0</v>
      </c>
      <c r="E37" s="85">
        <v>0</v>
      </c>
      <c r="F37" s="85">
        <v>0</v>
      </c>
      <c r="G37" s="85">
        <v>0</v>
      </c>
      <c r="J37" s="117"/>
    </row>
    <row r="38" spans="1:10" ht="39" customHeight="1">
      <c r="A38" s="137" t="s">
        <v>215</v>
      </c>
      <c r="B38" s="133" t="s">
        <v>125</v>
      </c>
      <c r="C38" s="135"/>
      <c r="D38" s="85">
        <v>10000000</v>
      </c>
      <c r="E38" s="85">
        <v>10000000</v>
      </c>
      <c r="F38" s="85">
        <v>0</v>
      </c>
      <c r="G38" s="85">
        <v>0</v>
      </c>
      <c r="J38" s="117"/>
    </row>
    <row r="39" spans="1:10" s="117" customFormat="1" ht="39" customHeight="1">
      <c r="A39" s="129" t="s">
        <v>216</v>
      </c>
      <c r="B39" s="130" t="s">
        <v>126</v>
      </c>
      <c r="C39" s="131"/>
      <c r="D39" s="80">
        <v>2418663212</v>
      </c>
      <c r="E39" s="80">
        <v>28684641538</v>
      </c>
      <c r="F39" s="80">
        <v>2168209540</v>
      </c>
      <c r="G39" s="80">
        <v>14357081045</v>
      </c>
    </row>
    <row r="40" spans="1:10" ht="39" customHeight="1">
      <c r="A40" s="137" t="s">
        <v>251</v>
      </c>
      <c r="B40" s="133" t="s">
        <v>127</v>
      </c>
      <c r="C40" s="135"/>
      <c r="D40" s="85">
        <v>2181912035</v>
      </c>
      <c r="E40" s="85">
        <v>26254238780</v>
      </c>
      <c r="F40" s="85">
        <v>1995324168</v>
      </c>
      <c r="G40" s="85">
        <v>12927176318</v>
      </c>
      <c r="J40" s="117"/>
    </row>
    <row r="41" spans="1:10" ht="39" customHeight="1">
      <c r="A41" s="137" t="s">
        <v>128</v>
      </c>
      <c r="B41" s="133" t="s">
        <v>129</v>
      </c>
      <c r="C41" s="134"/>
      <c r="D41" s="85">
        <v>106585429</v>
      </c>
      <c r="E41" s="85">
        <v>849016084</v>
      </c>
      <c r="F41" s="85">
        <v>54112993</v>
      </c>
      <c r="G41" s="85">
        <v>417232606</v>
      </c>
      <c r="J41" s="117"/>
    </row>
    <row r="42" spans="1:10" ht="39" customHeight="1">
      <c r="A42" s="65" t="s">
        <v>51</v>
      </c>
      <c r="B42" s="138" t="s">
        <v>130</v>
      </c>
      <c r="C42" s="134"/>
      <c r="D42" s="85">
        <v>44757168</v>
      </c>
      <c r="E42" s="85">
        <v>538548482</v>
      </c>
      <c r="F42" s="85">
        <v>40929726</v>
      </c>
      <c r="G42" s="85">
        <v>323145355</v>
      </c>
      <c r="J42" s="117"/>
    </row>
    <row r="43" spans="1:10" ht="39" customHeight="1">
      <c r="A43" s="65" t="s">
        <v>52</v>
      </c>
      <c r="B43" s="138" t="s">
        <v>131</v>
      </c>
      <c r="C43" s="134"/>
      <c r="D43" s="85">
        <v>53100000</v>
      </c>
      <c r="E43" s="85">
        <v>229800000</v>
      </c>
      <c r="F43" s="85">
        <v>8800000</v>
      </c>
      <c r="G43" s="85">
        <v>61300000</v>
      </c>
      <c r="J43" s="117"/>
    </row>
    <row r="44" spans="1:10" ht="60" customHeight="1">
      <c r="A44" s="65" t="s">
        <v>226</v>
      </c>
      <c r="B44" s="138" t="s">
        <v>132</v>
      </c>
      <c r="C44" s="134"/>
      <c r="D44" s="85">
        <v>8728261</v>
      </c>
      <c r="E44" s="85">
        <v>80667602</v>
      </c>
      <c r="F44" s="85">
        <v>4383267</v>
      </c>
      <c r="G44" s="85">
        <v>32787251</v>
      </c>
      <c r="J44" s="117"/>
    </row>
    <row r="45" spans="1:10" ht="39" customHeight="1">
      <c r="A45" s="137" t="s">
        <v>133</v>
      </c>
      <c r="B45" s="133" t="s">
        <v>134</v>
      </c>
      <c r="C45" s="134"/>
      <c r="D45" s="85">
        <v>49232888</v>
      </c>
      <c r="E45" s="85">
        <v>592403338</v>
      </c>
      <c r="F45" s="85">
        <v>45022698</v>
      </c>
      <c r="G45" s="85">
        <v>306862072</v>
      </c>
      <c r="J45" s="117"/>
    </row>
    <row r="46" spans="1:10" ht="39" customHeight="1">
      <c r="A46" s="137" t="s">
        <v>135</v>
      </c>
      <c r="B46" s="133" t="s">
        <v>136</v>
      </c>
      <c r="C46" s="134"/>
      <c r="D46" s="85">
        <v>30770556</v>
      </c>
      <c r="E46" s="85">
        <v>370252085</v>
      </c>
      <c r="F46" s="85">
        <v>28139188</v>
      </c>
      <c r="G46" s="85">
        <v>182306326</v>
      </c>
      <c r="J46" s="117"/>
    </row>
    <row r="47" spans="1:10" ht="39" customHeight="1">
      <c r="A47" s="137" t="s">
        <v>137</v>
      </c>
      <c r="B47" s="133" t="s">
        <v>138</v>
      </c>
      <c r="C47" s="134"/>
      <c r="D47" s="85">
        <v>13200000</v>
      </c>
      <c r="E47" s="85">
        <v>118800000</v>
      </c>
      <c r="F47" s="85">
        <v>11000000</v>
      </c>
      <c r="G47" s="85">
        <v>110000000</v>
      </c>
      <c r="J47" s="117"/>
    </row>
    <row r="48" spans="1:10" ht="39" customHeight="1">
      <c r="A48" s="137" t="s">
        <v>139</v>
      </c>
      <c r="B48" s="133" t="s">
        <v>140</v>
      </c>
      <c r="C48" s="134"/>
      <c r="D48" s="85">
        <v>0</v>
      </c>
      <c r="E48" s="85">
        <v>0</v>
      </c>
      <c r="F48" s="85">
        <v>0</v>
      </c>
      <c r="G48" s="85">
        <v>0</v>
      </c>
      <c r="J48" s="117"/>
    </row>
    <row r="49" spans="1:10" ht="43.9" customHeight="1">
      <c r="A49" s="66" t="s">
        <v>252</v>
      </c>
      <c r="B49" s="138" t="s">
        <v>141</v>
      </c>
      <c r="C49" s="134"/>
      <c r="D49" s="85">
        <v>0</v>
      </c>
      <c r="E49" s="85">
        <v>0</v>
      </c>
      <c r="F49" s="85">
        <v>0</v>
      </c>
      <c r="G49" s="85">
        <v>0</v>
      </c>
      <c r="J49" s="117"/>
    </row>
    <row r="50" spans="1:10" ht="39" customHeight="1">
      <c r="A50" s="66" t="s">
        <v>253</v>
      </c>
      <c r="B50" s="138" t="s">
        <v>142</v>
      </c>
      <c r="C50" s="134"/>
      <c r="D50" s="85">
        <v>0</v>
      </c>
      <c r="E50" s="85">
        <v>0</v>
      </c>
      <c r="F50" s="85">
        <v>0</v>
      </c>
      <c r="G50" s="85">
        <v>0</v>
      </c>
      <c r="J50" s="117"/>
    </row>
    <row r="51" spans="1:10" ht="39" customHeight="1">
      <c r="A51" s="137" t="s">
        <v>143</v>
      </c>
      <c r="B51" s="133" t="s">
        <v>144</v>
      </c>
      <c r="C51" s="134"/>
      <c r="D51" s="85">
        <v>0</v>
      </c>
      <c r="E51" s="85">
        <v>35094216</v>
      </c>
      <c r="F51" s="85">
        <v>0</v>
      </c>
      <c r="G51" s="85">
        <v>1353506</v>
      </c>
      <c r="J51" s="117"/>
    </row>
    <row r="52" spans="1:10" ht="39" customHeight="1">
      <c r="A52" s="137" t="s">
        <v>217</v>
      </c>
      <c r="B52" s="133" t="s">
        <v>145</v>
      </c>
      <c r="C52" s="134"/>
      <c r="D52" s="85">
        <v>16501517</v>
      </c>
      <c r="E52" s="85">
        <v>157471273</v>
      </c>
      <c r="F52" s="85">
        <v>15415068</v>
      </c>
      <c r="G52" s="85">
        <v>153755946</v>
      </c>
      <c r="J52" s="117"/>
    </row>
    <row r="53" spans="1:10" ht="39" customHeight="1">
      <c r="A53" s="137" t="s">
        <v>146</v>
      </c>
      <c r="B53" s="133" t="s">
        <v>147</v>
      </c>
      <c r="C53" s="134"/>
      <c r="D53" s="85">
        <v>0</v>
      </c>
      <c r="E53" s="85">
        <v>0</v>
      </c>
      <c r="F53" s="85">
        <v>0</v>
      </c>
      <c r="G53" s="85">
        <v>0</v>
      </c>
      <c r="J53" s="117"/>
    </row>
    <row r="54" spans="1:10" ht="39" customHeight="1">
      <c r="A54" s="137" t="s">
        <v>218</v>
      </c>
      <c r="B54" s="139" t="s">
        <v>148</v>
      </c>
      <c r="C54" s="134"/>
      <c r="D54" s="85">
        <v>20460787</v>
      </c>
      <c r="E54" s="85">
        <v>307365762</v>
      </c>
      <c r="F54" s="85">
        <v>19195425</v>
      </c>
      <c r="G54" s="85">
        <v>258394271</v>
      </c>
      <c r="J54" s="117"/>
    </row>
    <row r="55" spans="1:10" ht="39" customHeight="1">
      <c r="A55" s="66" t="s">
        <v>66</v>
      </c>
      <c r="B55" s="140" t="s">
        <v>149</v>
      </c>
      <c r="C55" s="134"/>
      <c r="D55" s="85">
        <v>12719537</v>
      </c>
      <c r="E55" s="85">
        <v>155584138</v>
      </c>
      <c r="F55" s="85">
        <v>18443836</v>
      </c>
      <c r="G55" s="85">
        <v>184158904</v>
      </c>
      <c r="J55" s="117"/>
    </row>
    <row r="56" spans="1:10" ht="39" customHeight="1">
      <c r="A56" s="66" t="s">
        <v>150</v>
      </c>
      <c r="B56" s="140" t="s">
        <v>151</v>
      </c>
      <c r="C56" s="134"/>
      <c r="D56" s="85">
        <v>0</v>
      </c>
      <c r="E56" s="85">
        <v>0</v>
      </c>
      <c r="F56" s="85">
        <v>0</v>
      </c>
      <c r="G56" s="85">
        <v>0</v>
      </c>
      <c r="J56" s="117"/>
    </row>
    <row r="57" spans="1:10" ht="39" customHeight="1">
      <c r="A57" s="66" t="s">
        <v>152</v>
      </c>
      <c r="B57" s="140" t="s">
        <v>153</v>
      </c>
      <c r="C57" s="135"/>
      <c r="D57" s="85">
        <v>0</v>
      </c>
      <c r="E57" s="85">
        <v>0</v>
      </c>
      <c r="F57" s="85">
        <v>0</v>
      </c>
      <c r="G57" s="85">
        <v>0</v>
      </c>
      <c r="J57" s="117"/>
    </row>
    <row r="58" spans="1:10" ht="39" customHeight="1">
      <c r="A58" s="66" t="s">
        <v>219</v>
      </c>
      <c r="B58" s="140" t="s">
        <v>154</v>
      </c>
      <c r="C58" s="134"/>
      <c r="D58" s="85">
        <v>0</v>
      </c>
      <c r="E58" s="85">
        <v>74199999</v>
      </c>
      <c r="F58" s="85">
        <v>0</v>
      </c>
      <c r="G58" s="85">
        <v>62250000</v>
      </c>
      <c r="J58" s="117"/>
    </row>
    <row r="59" spans="1:10" ht="39" customHeight="1">
      <c r="A59" s="66" t="s">
        <v>67</v>
      </c>
      <c r="B59" s="140" t="s">
        <v>155</v>
      </c>
      <c r="C59" s="135"/>
      <c r="D59" s="85">
        <v>0</v>
      </c>
      <c r="E59" s="85">
        <v>0</v>
      </c>
      <c r="F59" s="85">
        <v>0</v>
      </c>
      <c r="G59" s="85">
        <v>0</v>
      </c>
      <c r="J59" s="117"/>
    </row>
    <row r="60" spans="1:10" ht="39" customHeight="1">
      <c r="A60" s="66" t="s">
        <v>220</v>
      </c>
      <c r="B60" s="140" t="s">
        <v>156</v>
      </c>
      <c r="C60" s="135"/>
      <c r="D60" s="85">
        <v>0</v>
      </c>
      <c r="E60" s="85">
        <v>0</v>
      </c>
      <c r="F60" s="85">
        <v>0</v>
      </c>
      <c r="G60" s="85">
        <v>0</v>
      </c>
      <c r="J60" s="117"/>
    </row>
    <row r="61" spans="1:10" ht="39" customHeight="1">
      <c r="A61" s="66" t="s">
        <v>221</v>
      </c>
      <c r="B61" s="140" t="s">
        <v>157</v>
      </c>
      <c r="C61" s="135"/>
      <c r="D61" s="85">
        <v>0</v>
      </c>
      <c r="E61" s="85">
        <v>0</v>
      </c>
      <c r="F61" s="85">
        <v>0</v>
      </c>
      <c r="G61" s="85">
        <v>0</v>
      </c>
      <c r="J61" s="117"/>
    </row>
    <row r="62" spans="1:10" ht="39" customHeight="1">
      <c r="A62" s="66" t="s">
        <v>74</v>
      </c>
      <c r="B62" s="140" t="s">
        <v>158</v>
      </c>
      <c r="C62" s="135"/>
      <c r="D62" s="85">
        <v>7741250</v>
      </c>
      <c r="E62" s="85">
        <v>76481625</v>
      </c>
      <c r="F62" s="85">
        <v>751589</v>
      </c>
      <c r="G62" s="85">
        <v>10885367</v>
      </c>
      <c r="J62" s="117"/>
    </row>
    <row r="63" spans="1:10" ht="39" customHeight="1">
      <c r="A63" s="66" t="s">
        <v>68</v>
      </c>
      <c r="B63" s="140" t="s">
        <v>159</v>
      </c>
      <c r="C63" s="135"/>
      <c r="D63" s="85">
        <v>0</v>
      </c>
      <c r="E63" s="85">
        <v>0</v>
      </c>
      <c r="F63" s="85">
        <v>0</v>
      </c>
      <c r="G63" s="85">
        <v>0</v>
      </c>
      <c r="J63" s="117"/>
    </row>
    <row r="64" spans="1:10" ht="39" customHeight="1">
      <c r="A64" s="66" t="s">
        <v>207</v>
      </c>
      <c r="B64" s="140" t="s">
        <v>160</v>
      </c>
      <c r="C64" s="134"/>
      <c r="D64" s="85">
        <v>0</v>
      </c>
      <c r="E64" s="85">
        <v>0</v>
      </c>
      <c r="F64" s="85">
        <v>0</v>
      </c>
      <c r="G64" s="85">
        <v>0</v>
      </c>
      <c r="J64" s="117"/>
    </row>
    <row r="65" spans="1:10" ht="39" customHeight="1">
      <c r="A65" s="66" t="s">
        <v>235</v>
      </c>
      <c r="B65" s="140" t="s">
        <v>161</v>
      </c>
      <c r="C65" s="134"/>
      <c r="D65" s="85">
        <v>0</v>
      </c>
      <c r="E65" s="85">
        <v>1100000</v>
      </c>
      <c r="F65" s="85">
        <v>0</v>
      </c>
      <c r="G65" s="85">
        <v>1100000</v>
      </c>
      <c r="J65" s="117"/>
    </row>
    <row r="66" spans="1:10" ht="39" customHeight="1">
      <c r="A66" s="66" t="s">
        <v>222</v>
      </c>
      <c r="B66" s="140" t="s">
        <v>162</v>
      </c>
      <c r="C66" s="134"/>
      <c r="D66" s="85">
        <v>0</v>
      </c>
      <c r="E66" s="85">
        <v>0</v>
      </c>
      <c r="F66" s="85">
        <v>0</v>
      </c>
      <c r="G66" s="85">
        <v>0</v>
      </c>
      <c r="J66" s="117"/>
    </row>
    <row r="67" spans="1:10" ht="39" customHeight="1">
      <c r="A67" s="66" t="s">
        <v>223</v>
      </c>
      <c r="B67" s="140" t="s">
        <v>163</v>
      </c>
      <c r="C67" s="134"/>
      <c r="D67" s="85">
        <v>0</v>
      </c>
      <c r="E67" s="85">
        <v>0</v>
      </c>
      <c r="F67" s="85">
        <v>0</v>
      </c>
      <c r="G67" s="85">
        <v>0</v>
      </c>
      <c r="J67" s="117"/>
    </row>
    <row r="68" spans="1:10" ht="39" customHeight="1">
      <c r="A68" s="66" t="s">
        <v>164</v>
      </c>
      <c r="B68" s="140" t="s">
        <v>165</v>
      </c>
      <c r="C68" s="134"/>
      <c r="D68" s="85">
        <v>0</v>
      </c>
      <c r="E68" s="85">
        <v>0</v>
      </c>
      <c r="F68" s="85">
        <v>0</v>
      </c>
      <c r="G68" s="85">
        <v>0</v>
      </c>
      <c r="J68" s="117"/>
    </row>
    <row r="69" spans="1:10" s="117" customFormat="1" ht="45" customHeight="1">
      <c r="A69" s="129" t="s">
        <v>166</v>
      </c>
      <c r="B69" s="130" t="s">
        <v>167</v>
      </c>
      <c r="C69" s="131"/>
      <c r="D69" s="80">
        <v>-88826545102</v>
      </c>
      <c r="E69" s="80">
        <v>-643274270026</v>
      </c>
      <c r="F69" s="80">
        <v>87796699419</v>
      </c>
      <c r="G69" s="80">
        <v>345729204209</v>
      </c>
    </row>
    <row r="70" spans="1:10" s="117" customFormat="1" ht="39" customHeight="1">
      <c r="A70" s="129" t="s">
        <v>168</v>
      </c>
      <c r="B70" s="130" t="s">
        <v>169</v>
      </c>
      <c r="C70" s="131"/>
      <c r="D70" s="80">
        <v>0</v>
      </c>
      <c r="E70" s="80">
        <v>0</v>
      </c>
      <c r="F70" s="80">
        <v>0</v>
      </c>
      <c r="G70" s="80">
        <v>0</v>
      </c>
    </row>
    <row r="71" spans="1:10" ht="39" customHeight="1">
      <c r="A71" s="132" t="s">
        <v>254</v>
      </c>
      <c r="B71" s="136" t="s">
        <v>170</v>
      </c>
      <c r="C71" s="135"/>
      <c r="D71" s="85">
        <v>0</v>
      </c>
      <c r="E71" s="85">
        <v>0</v>
      </c>
      <c r="F71" s="85">
        <v>0</v>
      </c>
      <c r="G71" s="85">
        <v>0</v>
      </c>
      <c r="J71" s="117"/>
    </row>
    <row r="72" spans="1:10" ht="39" customHeight="1">
      <c r="A72" s="132" t="s">
        <v>224</v>
      </c>
      <c r="B72" s="136" t="s">
        <v>171</v>
      </c>
      <c r="C72" s="135"/>
      <c r="D72" s="85">
        <v>0</v>
      </c>
      <c r="E72" s="85">
        <v>0</v>
      </c>
      <c r="F72" s="85">
        <v>0</v>
      </c>
      <c r="G72" s="85">
        <v>0</v>
      </c>
      <c r="J72" s="117"/>
    </row>
    <row r="73" spans="1:10" s="117" customFormat="1" ht="48" customHeight="1">
      <c r="A73" s="129" t="s">
        <v>172</v>
      </c>
      <c r="B73" s="130" t="s">
        <v>173</v>
      </c>
      <c r="C73" s="131"/>
      <c r="D73" s="80">
        <v>-88826545102</v>
      </c>
      <c r="E73" s="80">
        <v>-643274270026</v>
      </c>
      <c r="F73" s="80">
        <v>87796699419</v>
      </c>
      <c r="G73" s="80">
        <v>345729204209</v>
      </c>
    </row>
    <row r="74" spans="1:10" ht="39" customHeight="1">
      <c r="A74" s="137" t="s">
        <v>174</v>
      </c>
      <c r="B74" s="133" t="s">
        <v>175</v>
      </c>
      <c r="C74" s="135"/>
      <c r="D74" s="85">
        <v>-107614760815</v>
      </c>
      <c r="E74" s="85">
        <v>-392448176692</v>
      </c>
      <c r="F74" s="85">
        <v>25050960455</v>
      </c>
      <c r="G74" s="85">
        <v>197560274344</v>
      </c>
      <c r="J74" s="117"/>
    </row>
    <row r="75" spans="1:10" ht="39" customHeight="1">
      <c r="A75" s="137" t="s">
        <v>176</v>
      </c>
      <c r="B75" s="133" t="s">
        <v>177</v>
      </c>
      <c r="C75" s="135"/>
      <c r="D75" s="85">
        <v>18788215713</v>
      </c>
      <c r="E75" s="85">
        <v>-250826093334</v>
      </c>
      <c r="F75" s="85">
        <v>62745738964</v>
      </c>
      <c r="G75" s="85">
        <v>148168929865</v>
      </c>
      <c r="J75" s="117"/>
    </row>
    <row r="76" spans="1:10" s="117" customFormat="1" ht="39" customHeight="1">
      <c r="A76" s="129" t="s">
        <v>178</v>
      </c>
      <c r="B76" s="130" t="s">
        <v>179</v>
      </c>
      <c r="C76" s="131"/>
      <c r="D76" s="80">
        <v>0</v>
      </c>
      <c r="E76" s="80">
        <v>0</v>
      </c>
      <c r="F76" s="80">
        <v>0</v>
      </c>
      <c r="G76" s="80">
        <v>0</v>
      </c>
    </row>
    <row r="77" spans="1:10" s="117" customFormat="1" ht="43.5" customHeight="1">
      <c r="A77" s="129" t="s">
        <v>180</v>
      </c>
      <c r="B77" s="130" t="s">
        <v>181</v>
      </c>
      <c r="C77" s="131"/>
      <c r="D77" s="80">
        <v>-88826545102</v>
      </c>
      <c r="E77" s="80">
        <v>-643274270026</v>
      </c>
      <c r="F77" s="80">
        <v>87796699419</v>
      </c>
      <c r="G77" s="80">
        <v>345729204209</v>
      </c>
    </row>
    <row r="80" spans="1:10" s="117" customFormat="1" ht="16.899999999999999" customHeight="1">
      <c r="A80" s="125" t="s">
        <v>182</v>
      </c>
      <c r="B80" s="259" t="s">
        <v>183</v>
      </c>
      <c r="C80" s="259"/>
      <c r="D80" s="259"/>
      <c r="E80" s="259"/>
      <c r="F80" s="259"/>
      <c r="G80" s="259"/>
    </row>
    <row r="93" spans="1:7">
      <c r="A93" s="106" t="s">
        <v>489</v>
      </c>
      <c r="B93" s="267" t="s">
        <v>490</v>
      </c>
      <c r="C93" s="267"/>
      <c r="D93" s="267"/>
      <c r="E93" s="267"/>
      <c r="F93" s="267" t="s">
        <v>491</v>
      </c>
      <c r="G93" s="267"/>
    </row>
    <row r="94" spans="1:7" ht="16.899999999999999" customHeight="1">
      <c r="A94" s="200" t="s">
        <v>815</v>
      </c>
      <c r="B94" s="268" t="s">
        <v>816</v>
      </c>
      <c r="C94" s="268"/>
      <c r="D94" s="268"/>
      <c r="E94" s="268"/>
      <c r="F94" s="268" t="s">
        <v>805</v>
      </c>
      <c r="G94" s="268"/>
    </row>
    <row r="95" spans="1:7" ht="16.899999999999999" customHeight="1">
      <c r="A95" s="141" t="s">
        <v>817</v>
      </c>
      <c r="B95" s="269" t="s">
        <v>818</v>
      </c>
      <c r="C95" s="269"/>
      <c r="D95" s="269"/>
      <c r="E95" s="269"/>
      <c r="F95" s="269" t="s">
        <v>807</v>
      </c>
      <c r="G95" s="269"/>
    </row>
  </sheetData>
  <mergeCells count="24">
    <mergeCell ref="B93:E93"/>
    <mergeCell ref="F93:G93"/>
    <mergeCell ref="B94:E94"/>
    <mergeCell ref="F94:G94"/>
    <mergeCell ref="B95:E95"/>
    <mergeCell ref="F95:G95"/>
    <mergeCell ref="A16:A17"/>
    <mergeCell ref="B16:B17"/>
    <mergeCell ref="C16:C17"/>
    <mergeCell ref="D16:E16"/>
    <mergeCell ref="F16:G16"/>
    <mergeCell ref="B80:G80"/>
    <mergeCell ref="D9:G9"/>
    <mergeCell ref="D10:G10"/>
    <mergeCell ref="D11:G11"/>
    <mergeCell ref="D12:G12"/>
    <mergeCell ref="D13:G13"/>
    <mergeCell ref="D14:G14"/>
    <mergeCell ref="D8:G8"/>
    <mergeCell ref="A1:G1"/>
    <mergeCell ref="A2:G2"/>
    <mergeCell ref="A3:G3"/>
    <mergeCell ref="A5:G5"/>
    <mergeCell ref="D7:G7"/>
  </mergeCells>
  <printOptions horizontalCentered="1"/>
  <pageMargins left="0.3" right="0.3" top="0.5" bottom="0.5" header="0.3" footer="0.3"/>
  <pageSetup paperSize="9" scale="63" orientation="portrait" r:id="rId1"/>
  <headerFooter>
    <oddHeader>&amp;L&amp;"Arial"&amp;9&amp;K317100PUBLIC&amp;1#</oddHeader>
  </headerFooter>
  <rowBreaks count="2" manualBreakCount="2">
    <brk id="38" max="6" man="1"/>
    <brk id="67" max="6"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138"/>
  <sheetViews>
    <sheetView view="pageBreakPreview" topLeftCell="A116" zoomScale="98" zoomScaleNormal="100" zoomScaleSheetLayoutView="98" workbookViewId="0">
      <selection activeCell="J120" sqref="A1:XFD1048576"/>
    </sheetView>
  </sheetViews>
  <sheetFormatPr defaultColWidth="8.7265625" defaultRowHeight="12.5"/>
  <cols>
    <col min="1" max="1" width="7.1796875" style="59" customWidth="1"/>
    <col min="2" max="2" width="45.453125" style="59" customWidth="1"/>
    <col min="3" max="3" width="10.54296875" style="59" customWidth="1"/>
    <col min="4" max="4" width="8.7265625" style="59"/>
    <col min="5" max="5" width="22.26953125" style="59" customWidth="1"/>
    <col min="6" max="6" width="37.08984375" style="59" customWidth="1"/>
    <col min="7" max="7" width="8.7265625" style="44"/>
    <col min="8" max="16384" width="8.7265625" style="103"/>
  </cols>
  <sheetData>
    <row r="1" spans="1:6" ht="23.65" customHeight="1">
      <c r="A1" s="254" t="s">
        <v>184</v>
      </c>
      <c r="B1" s="254"/>
      <c r="C1" s="254"/>
      <c r="D1" s="254"/>
      <c r="E1" s="254"/>
      <c r="F1" s="254"/>
    </row>
    <row r="2" spans="1:6" ht="32.65" customHeight="1">
      <c r="A2" s="255" t="s">
        <v>96</v>
      </c>
      <c r="B2" s="255"/>
      <c r="C2" s="255"/>
      <c r="D2" s="255"/>
      <c r="E2" s="255"/>
      <c r="F2" s="255"/>
    </row>
    <row r="3" spans="1:6" ht="31.15" customHeight="1">
      <c r="A3" s="256" t="s">
        <v>185</v>
      </c>
      <c r="B3" s="256"/>
      <c r="C3" s="256"/>
      <c r="D3" s="256"/>
      <c r="E3" s="256"/>
      <c r="F3" s="256"/>
    </row>
    <row r="4" spans="1:6" ht="6" customHeight="1"/>
    <row r="5" spans="1:6" ht="16.899999999999999" customHeight="1">
      <c r="A5" s="257" t="s">
        <v>795</v>
      </c>
      <c r="B5" s="257"/>
      <c r="C5" s="257"/>
      <c r="D5" s="257"/>
      <c r="E5" s="257"/>
      <c r="F5" s="257"/>
    </row>
    <row r="6" spans="1:6" ht="16.899999999999999" customHeight="1"/>
    <row r="7" spans="1:6" ht="16.899999999999999" customHeight="1">
      <c r="A7" s="142" t="s">
        <v>2</v>
      </c>
      <c r="C7" s="258" t="s">
        <v>797</v>
      </c>
      <c r="D7" s="258"/>
      <c r="E7" s="258"/>
      <c r="F7" s="258"/>
    </row>
    <row r="8" spans="1:6" ht="16.899999999999999" customHeight="1">
      <c r="A8" s="59" t="s">
        <v>41</v>
      </c>
      <c r="C8" s="253" t="s">
        <v>798</v>
      </c>
      <c r="D8" s="253"/>
      <c r="E8" s="253"/>
      <c r="F8" s="253"/>
    </row>
    <row r="9" spans="1:6" ht="16.899999999999999" customHeight="1">
      <c r="A9" s="142" t="s">
        <v>3</v>
      </c>
      <c r="C9" s="258" t="s">
        <v>799</v>
      </c>
      <c r="D9" s="258"/>
      <c r="E9" s="258"/>
      <c r="F9" s="258"/>
    </row>
    <row r="10" spans="1:6" ht="16.899999999999999" customHeight="1">
      <c r="A10" s="59" t="s">
        <v>4</v>
      </c>
      <c r="C10" s="253" t="s">
        <v>800</v>
      </c>
      <c r="D10" s="253"/>
      <c r="E10" s="253"/>
      <c r="F10" s="253"/>
    </row>
    <row r="11" spans="1:6" ht="16.899999999999999" customHeight="1">
      <c r="A11" s="142" t="s">
        <v>5</v>
      </c>
      <c r="C11" s="258" t="s">
        <v>801</v>
      </c>
      <c r="D11" s="258"/>
      <c r="E11" s="258"/>
      <c r="F11" s="258"/>
    </row>
    <row r="12" spans="1:6" ht="16.899999999999999" customHeight="1">
      <c r="A12" s="59" t="s">
        <v>6</v>
      </c>
      <c r="C12" s="253" t="s">
        <v>819</v>
      </c>
      <c r="D12" s="253"/>
      <c r="E12" s="253"/>
      <c r="F12" s="253"/>
    </row>
    <row r="13" spans="1:6" ht="16.899999999999999" customHeight="1">
      <c r="A13" s="142" t="s">
        <v>7</v>
      </c>
      <c r="C13" s="258" t="s">
        <v>802</v>
      </c>
      <c r="D13" s="258"/>
      <c r="E13" s="258"/>
      <c r="F13" s="258"/>
    </row>
    <row r="14" spans="1:6" ht="16.899999999999999" customHeight="1">
      <c r="A14" s="59" t="s">
        <v>8</v>
      </c>
      <c r="C14" s="253" t="s">
        <v>803</v>
      </c>
      <c r="D14" s="253"/>
      <c r="E14" s="253"/>
      <c r="F14" s="253"/>
    </row>
    <row r="15" spans="1:6" ht="16.899999999999999" customHeight="1"/>
    <row r="16" spans="1:6" ht="46.9" customHeight="1">
      <c r="A16" s="104" t="s">
        <v>186</v>
      </c>
      <c r="B16" s="104" t="s">
        <v>98</v>
      </c>
      <c r="C16" s="104" t="s">
        <v>99</v>
      </c>
      <c r="D16" s="104" t="s">
        <v>100</v>
      </c>
      <c r="E16" s="104" t="s">
        <v>808</v>
      </c>
      <c r="F16" s="104" t="s">
        <v>809</v>
      </c>
    </row>
    <row r="17" spans="1:7" ht="39" customHeight="1">
      <c r="A17" s="61" t="s">
        <v>42</v>
      </c>
      <c r="B17" s="143" t="s">
        <v>268</v>
      </c>
      <c r="C17" s="53" t="s">
        <v>42</v>
      </c>
      <c r="D17" s="80"/>
      <c r="E17" s="80"/>
      <c r="F17" s="80"/>
    </row>
    <row r="18" spans="1:7" ht="39" customHeight="1">
      <c r="A18" s="145" t="s">
        <v>269</v>
      </c>
      <c r="B18" s="146" t="s">
        <v>270</v>
      </c>
      <c r="C18" s="147" t="s">
        <v>271</v>
      </c>
      <c r="D18" s="145"/>
      <c r="E18" s="144">
        <v>96908114995</v>
      </c>
      <c r="F18" s="144">
        <v>139573196624</v>
      </c>
    </row>
    <row r="19" spans="1:7" ht="39" customHeight="1">
      <c r="A19" s="145" t="s">
        <v>272</v>
      </c>
      <c r="B19" s="146" t="s">
        <v>273</v>
      </c>
      <c r="C19" s="147" t="s">
        <v>274</v>
      </c>
      <c r="D19" s="145"/>
      <c r="E19" s="144">
        <v>96908114995</v>
      </c>
      <c r="F19" s="144">
        <v>139573196624</v>
      </c>
    </row>
    <row r="20" spans="1:7" s="151" customFormat="1" ht="49.15" customHeight="1">
      <c r="A20" s="145" t="s">
        <v>275</v>
      </c>
      <c r="B20" s="148" t="s">
        <v>276</v>
      </c>
      <c r="C20" s="149" t="s">
        <v>277</v>
      </c>
      <c r="D20" s="145"/>
      <c r="E20" s="144">
        <v>0</v>
      </c>
      <c r="F20" s="144">
        <v>0</v>
      </c>
      <c r="G20" s="150"/>
    </row>
    <row r="21" spans="1:7" s="151" customFormat="1" ht="46.5" customHeight="1">
      <c r="A21" s="145" t="s">
        <v>275</v>
      </c>
      <c r="B21" s="148" t="s">
        <v>278</v>
      </c>
      <c r="C21" s="149" t="s">
        <v>279</v>
      </c>
      <c r="D21" s="145"/>
      <c r="E21" s="144">
        <v>413842807</v>
      </c>
      <c r="F21" s="144">
        <v>403232456</v>
      </c>
      <c r="G21" s="150"/>
    </row>
    <row r="22" spans="1:7" s="151" customFormat="1" ht="39" customHeight="1">
      <c r="A22" s="145" t="s">
        <v>275</v>
      </c>
      <c r="B22" s="148" t="s">
        <v>280</v>
      </c>
      <c r="C22" s="149" t="s">
        <v>281</v>
      </c>
      <c r="D22" s="145"/>
      <c r="E22" s="144">
        <v>96494272188</v>
      </c>
      <c r="F22" s="144">
        <v>139169964168</v>
      </c>
      <c r="G22" s="150"/>
    </row>
    <row r="23" spans="1:7" ht="47.65" customHeight="1">
      <c r="A23" s="145" t="s">
        <v>275</v>
      </c>
      <c r="B23" s="148" t="s">
        <v>47</v>
      </c>
      <c r="C23" s="149" t="s">
        <v>282</v>
      </c>
      <c r="D23" s="145"/>
      <c r="E23" s="144">
        <v>0</v>
      </c>
      <c r="F23" s="144">
        <v>0</v>
      </c>
    </row>
    <row r="24" spans="1:7" ht="39" customHeight="1">
      <c r="A24" s="145" t="s">
        <v>283</v>
      </c>
      <c r="B24" s="146" t="s">
        <v>284</v>
      </c>
      <c r="C24" s="147" t="s">
        <v>285</v>
      </c>
      <c r="D24" s="145"/>
      <c r="E24" s="144">
        <v>0</v>
      </c>
      <c r="F24" s="144">
        <v>0</v>
      </c>
    </row>
    <row r="25" spans="1:7" ht="39" customHeight="1">
      <c r="A25" s="145" t="s">
        <v>286</v>
      </c>
      <c r="B25" s="146" t="s">
        <v>287</v>
      </c>
      <c r="C25" s="147" t="s">
        <v>288</v>
      </c>
      <c r="D25" s="145"/>
      <c r="E25" s="144">
        <v>1141569316710</v>
      </c>
      <c r="F25" s="144">
        <v>1251466821400</v>
      </c>
    </row>
    <row r="26" spans="1:7" ht="39" customHeight="1">
      <c r="A26" s="145" t="s">
        <v>289</v>
      </c>
      <c r="B26" s="146" t="s">
        <v>290</v>
      </c>
      <c r="C26" s="147" t="s">
        <v>291</v>
      </c>
      <c r="D26" s="145"/>
      <c r="E26" s="144">
        <v>1141569316710</v>
      </c>
      <c r="F26" s="144">
        <v>1251466821400</v>
      </c>
    </row>
    <row r="27" spans="1:7" ht="39" customHeight="1">
      <c r="A27" s="145" t="s">
        <v>275</v>
      </c>
      <c r="B27" s="148" t="s">
        <v>292</v>
      </c>
      <c r="C27" s="149" t="s">
        <v>293</v>
      </c>
      <c r="D27" s="145"/>
      <c r="E27" s="144">
        <v>970185249850</v>
      </c>
      <c r="F27" s="144">
        <v>1111099596800</v>
      </c>
    </row>
    <row r="28" spans="1:7" ht="39" customHeight="1">
      <c r="A28" s="145" t="s">
        <v>275</v>
      </c>
      <c r="B28" s="148" t="s">
        <v>294</v>
      </c>
      <c r="C28" s="149" t="s">
        <v>295</v>
      </c>
      <c r="D28" s="145"/>
      <c r="E28" s="144">
        <v>0</v>
      </c>
      <c r="F28" s="144">
        <v>0</v>
      </c>
    </row>
    <row r="29" spans="1:7" ht="39" customHeight="1">
      <c r="A29" s="145" t="s">
        <v>275</v>
      </c>
      <c r="B29" s="148" t="s">
        <v>296</v>
      </c>
      <c r="C29" s="149" t="s">
        <v>297</v>
      </c>
      <c r="D29" s="145"/>
      <c r="E29" s="144">
        <v>50344600000</v>
      </c>
      <c r="F29" s="144">
        <v>50373800000</v>
      </c>
    </row>
    <row r="30" spans="1:7" ht="39" customHeight="1">
      <c r="A30" s="145" t="s">
        <v>275</v>
      </c>
      <c r="B30" s="148" t="s">
        <v>298</v>
      </c>
      <c r="C30" s="149" t="s">
        <v>299</v>
      </c>
      <c r="D30" s="145"/>
      <c r="E30" s="144">
        <v>121039466860</v>
      </c>
      <c r="F30" s="144">
        <v>89993424600</v>
      </c>
    </row>
    <row r="31" spans="1:7" ht="39" customHeight="1">
      <c r="A31" s="145" t="s">
        <v>275</v>
      </c>
      <c r="B31" s="148" t="s">
        <v>300</v>
      </c>
      <c r="C31" s="149" t="s">
        <v>301</v>
      </c>
      <c r="D31" s="145"/>
      <c r="E31" s="144">
        <v>0</v>
      </c>
      <c r="F31" s="144">
        <v>0</v>
      </c>
    </row>
    <row r="32" spans="1:7" ht="39" customHeight="1">
      <c r="A32" s="145" t="s">
        <v>275</v>
      </c>
      <c r="B32" s="148" t="s">
        <v>255</v>
      </c>
      <c r="C32" s="149" t="s">
        <v>302</v>
      </c>
      <c r="D32" s="145"/>
      <c r="E32" s="144">
        <v>0</v>
      </c>
      <c r="F32" s="144">
        <v>0</v>
      </c>
    </row>
    <row r="33" spans="1:6" ht="39" customHeight="1">
      <c r="A33" s="145" t="s">
        <v>275</v>
      </c>
      <c r="B33" s="148" t="s">
        <v>256</v>
      </c>
      <c r="C33" s="149" t="s">
        <v>303</v>
      </c>
      <c r="D33" s="145"/>
      <c r="E33" s="144">
        <v>0</v>
      </c>
      <c r="F33" s="144">
        <v>0</v>
      </c>
    </row>
    <row r="34" spans="1:6" ht="39" customHeight="1">
      <c r="A34" s="145" t="s">
        <v>275</v>
      </c>
      <c r="B34" s="148" t="s">
        <v>257</v>
      </c>
      <c r="C34" s="149" t="s">
        <v>304</v>
      </c>
      <c r="D34" s="145"/>
      <c r="E34" s="144">
        <v>0</v>
      </c>
      <c r="F34" s="144">
        <v>0</v>
      </c>
    </row>
    <row r="35" spans="1:6" ht="39" customHeight="1">
      <c r="A35" s="145" t="s">
        <v>275</v>
      </c>
      <c r="B35" s="148" t="s">
        <v>305</v>
      </c>
      <c r="C35" s="149" t="s">
        <v>306</v>
      </c>
      <c r="D35" s="145"/>
      <c r="E35" s="144">
        <v>0</v>
      </c>
      <c r="F35" s="144">
        <v>0</v>
      </c>
    </row>
    <row r="36" spans="1:6" ht="39" customHeight="1">
      <c r="A36" s="145" t="s">
        <v>275</v>
      </c>
      <c r="B36" s="148" t="s">
        <v>258</v>
      </c>
      <c r="C36" s="149" t="s">
        <v>307</v>
      </c>
      <c r="D36" s="145"/>
      <c r="E36" s="144">
        <v>0</v>
      </c>
      <c r="F36" s="144">
        <v>0</v>
      </c>
    </row>
    <row r="37" spans="1:6" ht="39" customHeight="1">
      <c r="A37" s="145" t="s">
        <v>308</v>
      </c>
      <c r="B37" s="146" t="s">
        <v>309</v>
      </c>
      <c r="C37" s="147" t="s">
        <v>310</v>
      </c>
      <c r="D37" s="145"/>
      <c r="E37" s="144">
        <v>0</v>
      </c>
      <c r="F37" s="144">
        <v>0</v>
      </c>
    </row>
    <row r="38" spans="1:6" ht="39" customHeight="1">
      <c r="A38" s="145" t="s">
        <v>311</v>
      </c>
      <c r="B38" s="146" t="s">
        <v>312</v>
      </c>
      <c r="C38" s="147" t="s">
        <v>313</v>
      </c>
      <c r="D38" s="145"/>
      <c r="E38" s="144">
        <v>126974625686</v>
      </c>
      <c r="F38" s="144">
        <v>125714890549</v>
      </c>
    </row>
    <row r="39" spans="1:6" ht="39" customHeight="1">
      <c r="A39" s="145" t="s">
        <v>314</v>
      </c>
      <c r="B39" s="146" t="s">
        <v>315</v>
      </c>
      <c r="C39" s="147" t="s">
        <v>316</v>
      </c>
      <c r="D39" s="145"/>
      <c r="E39" s="144">
        <v>123346955000</v>
      </c>
      <c r="F39" s="144">
        <v>120431730000</v>
      </c>
    </row>
    <row r="40" spans="1:6" ht="43.15" customHeight="1">
      <c r="A40" s="145" t="s">
        <v>275</v>
      </c>
      <c r="B40" s="148" t="s">
        <v>317</v>
      </c>
      <c r="C40" s="149" t="s">
        <v>318</v>
      </c>
      <c r="D40" s="145"/>
      <c r="E40" s="144">
        <v>0</v>
      </c>
      <c r="F40" s="144">
        <v>0</v>
      </c>
    </row>
    <row r="41" spans="1:6" ht="46.9" customHeight="1">
      <c r="A41" s="145" t="s">
        <v>319</v>
      </c>
      <c r="B41" s="146" t="s">
        <v>320</v>
      </c>
      <c r="C41" s="147" t="s">
        <v>321</v>
      </c>
      <c r="D41" s="145"/>
      <c r="E41" s="144">
        <v>4494070686</v>
      </c>
      <c r="F41" s="144">
        <v>6149560549</v>
      </c>
    </row>
    <row r="42" spans="1:6" ht="43.9" customHeight="1">
      <c r="A42" s="145" t="s">
        <v>322</v>
      </c>
      <c r="B42" s="146" t="s">
        <v>323</v>
      </c>
      <c r="C42" s="147" t="s">
        <v>324</v>
      </c>
      <c r="D42" s="145"/>
      <c r="E42" s="144">
        <v>866400000</v>
      </c>
      <c r="F42" s="144">
        <v>866400000</v>
      </c>
    </row>
    <row r="43" spans="1:6" ht="39" customHeight="1">
      <c r="A43" s="145" t="s">
        <v>275</v>
      </c>
      <c r="B43" s="148" t="s">
        <v>259</v>
      </c>
      <c r="C43" s="149" t="s">
        <v>325</v>
      </c>
      <c r="D43" s="145"/>
      <c r="E43" s="144">
        <v>866400000</v>
      </c>
      <c r="F43" s="144">
        <v>866400000</v>
      </c>
    </row>
    <row r="44" spans="1:6" ht="39" customHeight="1">
      <c r="A44" s="145" t="s">
        <v>275</v>
      </c>
      <c r="B44" s="148" t="s">
        <v>260</v>
      </c>
      <c r="C44" s="149" t="s">
        <v>326</v>
      </c>
      <c r="D44" s="145"/>
      <c r="E44" s="144">
        <v>0</v>
      </c>
      <c r="F44" s="144">
        <v>0</v>
      </c>
    </row>
    <row r="45" spans="1:6" ht="46.15" customHeight="1">
      <c r="A45" s="145" t="s">
        <v>275</v>
      </c>
      <c r="B45" s="148" t="s">
        <v>327</v>
      </c>
      <c r="C45" s="149" t="s">
        <v>328</v>
      </c>
      <c r="D45" s="145"/>
      <c r="E45" s="144">
        <v>0</v>
      </c>
      <c r="F45" s="144">
        <v>0</v>
      </c>
    </row>
    <row r="46" spans="1:6" ht="44.65" customHeight="1">
      <c r="A46" s="145" t="s">
        <v>275</v>
      </c>
      <c r="B46" s="148" t="s">
        <v>329</v>
      </c>
      <c r="C46" s="149" t="s">
        <v>330</v>
      </c>
      <c r="D46" s="145"/>
      <c r="E46" s="144">
        <v>0</v>
      </c>
      <c r="F46" s="144">
        <v>0</v>
      </c>
    </row>
    <row r="47" spans="1:6" ht="39" customHeight="1">
      <c r="A47" s="145" t="s">
        <v>275</v>
      </c>
      <c r="B47" s="148" t="s">
        <v>331</v>
      </c>
      <c r="C47" s="149" t="s">
        <v>332</v>
      </c>
      <c r="D47" s="145"/>
      <c r="E47" s="144">
        <v>0</v>
      </c>
      <c r="F47" s="144">
        <v>0</v>
      </c>
    </row>
    <row r="48" spans="1:6" ht="55.9" customHeight="1">
      <c r="A48" s="145" t="s">
        <v>275</v>
      </c>
      <c r="B48" s="146" t="s">
        <v>333</v>
      </c>
      <c r="C48" s="147" t="s">
        <v>334</v>
      </c>
      <c r="D48" s="145"/>
      <c r="E48" s="144">
        <v>866400000</v>
      </c>
      <c r="F48" s="144">
        <v>866400000</v>
      </c>
    </row>
    <row r="49" spans="1:7" ht="39" customHeight="1">
      <c r="A49" s="145" t="s">
        <v>335</v>
      </c>
      <c r="B49" s="146" t="s">
        <v>336</v>
      </c>
      <c r="C49" s="147" t="s">
        <v>337</v>
      </c>
      <c r="D49" s="145"/>
      <c r="E49" s="144">
        <v>3627670686</v>
      </c>
      <c r="F49" s="144">
        <v>5283160549</v>
      </c>
    </row>
    <row r="50" spans="1:7" ht="39" customHeight="1">
      <c r="A50" s="145" t="s">
        <v>275</v>
      </c>
      <c r="B50" s="148" t="s">
        <v>338</v>
      </c>
      <c r="C50" s="149" t="s">
        <v>339</v>
      </c>
      <c r="D50" s="145"/>
      <c r="E50" s="144">
        <v>177520000</v>
      </c>
      <c r="F50" s="144">
        <v>2898640000</v>
      </c>
    </row>
    <row r="51" spans="1:7" ht="39" customHeight="1">
      <c r="A51" s="145" t="s">
        <v>275</v>
      </c>
      <c r="B51" s="148" t="s">
        <v>340</v>
      </c>
      <c r="C51" s="149" t="s">
        <v>341</v>
      </c>
      <c r="D51" s="145"/>
      <c r="E51" s="144">
        <v>3450150686</v>
      </c>
      <c r="F51" s="144">
        <v>2384520549</v>
      </c>
    </row>
    <row r="52" spans="1:7" ht="46.15" customHeight="1">
      <c r="A52" s="145" t="s">
        <v>275</v>
      </c>
      <c r="B52" s="148" t="s">
        <v>342</v>
      </c>
      <c r="C52" s="149" t="s">
        <v>343</v>
      </c>
      <c r="D52" s="145"/>
      <c r="E52" s="144">
        <v>0</v>
      </c>
      <c r="F52" s="144">
        <v>0</v>
      </c>
    </row>
    <row r="53" spans="1:7" ht="42" customHeight="1">
      <c r="A53" s="145" t="s">
        <v>275</v>
      </c>
      <c r="B53" s="148" t="s">
        <v>344</v>
      </c>
      <c r="C53" s="149" t="s">
        <v>345</v>
      </c>
      <c r="D53" s="145"/>
      <c r="E53" s="144">
        <v>0</v>
      </c>
      <c r="F53" s="144">
        <v>0</v>
      </c>
    </row>
    <row r="54" spans="1:7" ht="39" customHeight="1">
      <c r="A54" s="145" t="s">
        <v>275</v>
      </c>
      <c r="B54" s="148" t="s">
        <v>346</v>
      </c>
      <c r="C54" s="149" t="s">
        <v>347</v>
      </c>
      <c r="D54" s="145"/>
      <c r="E54" s="144">
        <v>0</v>
      </c>
      <c r="F54" s="144">
        <v>0</v>
      </c>
    </row>
    <row r="55" spans="1:7" ht="39" customHeight="1">
      <c r="A55" s="145" t="s">
        <v>275</v>
      </c>
      <c r="B55" s="148" t="s">
        <v>348</v>
      </c>
      <c r="C55" s="149" t="s">
        <v>349</v>
      </c>
      <c r="D55" s="145"/>
      <c r="E55" s="144">
        <v>0</v>
      </c>
      <c r="F55" s="144">
        <v>0</v>
      </c>
    </row>
    <row r="56" spans="1:7" ht="39" customHeight="1">
      <c r="A56" s="145" t="s">
        <v>350</v>
      </c>
      <c r="B56" s="146" t="s">
        <v>351</v>
      </c>
      <c r="C56" s="147" t="s">
        <v>352</v>
      </c>
      <c r="D56" s="145"/>
      <c r="E56" s="144">
        <v>0</v>
      </c>
      <c r="F56" s="144">
        <v>0</v>
      </c>
    </row>
    <row r="57" spans="1:7" s="151" customFormat="1" ht="46.9" customHeight="1">
      <c r="A57" s="145" t="s">
        <v>275</v>
      </c>
      <c r="B57" s="148" t="s">
        <v>353</v>
      </c>
      <c r="C57" s="149" t="s">
        <v>354</v>
      </c>
      <c r="D57" s="145"/>
      <c r="E57" s="144">
        <v>0</v>
      </c>
      <c r="F57" s="144">
        <v>0</v>
      </c>
      <c r="G57" s="150"/>
    </row>
    <row r="58" spans="1:7" ht="39" customHeight="1">
      <c r="A58" s="145" t="s">
        <v>275</v>
      </c>
      <c r="B58" s="148" t="s">
        <v>355</v>
      </c>
      <c r="C58" s="149" t="s">
        <v>356</v>
      </c>
      <c r="D58" s="145"/>
      <c r="E58" s="144">
        <v>0</v>
      </c>
      <c r="F58" s="144">
        <v>0</v>
      </c>
    </row>
    <row r="59" spans="1:7" ht="39" customHeight="1">
      <c r="A59" s="145" t="s">
        <v>275</v>
      </c>
      <c r="B59" s="148" t="s">
        <v>357</v>
      </c>
      <c r="C59" s="149" t="s">
        <v>358</v>
      </c>
      <c r="D59" s="145"/>
      <c r="E59" s="144">
        <v>0</v>
      </c>
      <c r="F59" s="144">
        <v>0</v>
      </c>
    </row>
    <row r="60" spans="1:7" ht="39" customHeight="1">
      <c r="A60" s="145" t="s">
        <v>359</v>
      </c>
      <c r="B60" s="146" t="s">
        <v>360</v>
      </c>
      <c r="C60" s="147" t="s">
        <v>361</v>
      </c>
      <c r="D60" s="145"/>
      <c r="E60" s="144">
        <v>-866400000</v>
      </c>
      <c r="F60" s="144">
        <v>-866400000</v>
      </c>
    </row>
    <row r="61" spans="1:7" ht="39" customHeight="1">
      <c r="A61" s="61" t="s">
        <v>275</v>
      </c>
      <c r="B61" s="143" t="s">
        <v>261</v>
      </c>
      <c r="C61" s="53" t="s">
        <v>362</v>
      </c>
      <c r="D61" s="80"/>
      <c r="E61" s="80">
        <v>1365452057391</v>
      </c>
      <c r="F61" s="80">
        <v>1516754908573</v>
      </c>
    </row>
    <row r="62" spans="1:7" ht="39" customHeight="1">
      <c r="A62" s="61" t="s">
        <v>48</v>
      </c>
      <c r="B62" s="143" t="s">
        <v>363</v>
      </c>
      <c r="C62" s="53" t="s">
        <v>48</v>
      </c>
      <c r="D62" s="80"/>
      <c r="E62" s="80"/>
      <c r="F62" s="80"/>
    </row>
    <row r="63" spans="1:7" ht="39" customHeight="1">
      <c r="A63" s="145" t="s">
        <v>269</v>
      </c>
      <c r="B63" s="146" t="s">
        <v>364</v>
      </c>
      <c r="C63" s="147" t="s">
        <v>365</v>
      </c>
      <c r="D63" s="145"/>
      <c r="E63" s="144">
        <v>0</v>
      </c>
      <c r="F63" s="144">
        <v>0</v>
      </c>
    </row>
    <row r="64" spans="1:7" ht="39" customHeight="1">
      <c r="A64" s="145" t="s">
        <v>275</v>
      </c>
      <c r="B64" s="148" t="s">
        <v>366</v>
      </c>
      <c r="C64" s="149" t="s">
        <v>367</v>
      </c>
      <c r="D64" s="145"/>
      <c r="E64" s="144">
        <v>0</v>
      </c>
      <c r="F64" s="144">
        <v>0</v>
      </c>
    </row>
    <row r="65" spans="1:6" ht="39" customHeight="1">
      <c r="A65" s="145" t="s">
        <v>275</v>
      </c>
      <c r="B65" s="148" t="s">
        <v>368</v>
      </c>
      <c r="C65" s="149" t="s">
        <v>369</v>
      </c>
      <c r="D65" s="145"/>
      <c r="E65" s="144">
        <v>0</v>
      </c>
      <c r="F65" s="144">
        <v>0</v>
      </c>
    </row>
    <row r="66" spans="1:6" ht="39" customHeight="1">
      <c r="A66" s="145" t="s">
        <v>286</v>
      </c>
      <c r="B66" s="146" t="s">
        <v>370</v>
      </c>
      <c r="C66" s="147" t="s">
        <v>371</v>
      </c>
      <c r="D66" s="145"/>
      <c r="E66" s="144">
        <v>59218800000</v>
      </c>
      <c r="F66" s="144">
        <v>107015735000</v>
      </c>
    </row>
    <row r="67" spans="1:6" ht="60" customHeight="1">
      <c r="A67" s="145" t="s">
        <v>311</v>
      </c>
      <c r="B67" s="146" t="s">
        <v>372</v>
      </c>
      <c r="C67" s="147" t="s">
        <v>373</v>
      </c>
      <c r="D67" s="145"/>
      <c r="E67" s="144">
        <v>282599368</v>
      </c>
      <c r="F67" s="144">
        <v>584424999</v>
      </c>
    </row>
    <row r="68" spans="1:6" ht="57.4" customHeight="1">
      <c r="A68" s="145" t="s">
        <v>275</v>
      </c>
      <c r="B68" s="148" t="s">
        <v>374</v>
      </c>
      <c r="C68" s="149" t="s">
        <v>375</v>
      </c>
      <c r="D68" s="145"/>
      <c r="E68" s="144">
        <v>6835448</v>
      </c>
      <c r="F68" s="144">
        <v>6835448</v>
      </c>
    </row>
    <row r="69" spans="1:6" ht="60" customHeight="1">
      <c r="A69" s="145" t="s">
        <v>275</v>
      </c>
      <c r="B69" s="148" t="s">
        <v>376</v>
      </c>
      <c r="C69" s="149" t="s">
        <v>377</v>
      </c>
      <c r="D69" s="145"/>
      <c r="E69" s="144">
        <v>275763920</v>
      </c>
      <c r="F69" s="144">
        <v>577589551</v>
      </c>
    </row>
    <row r="70" spans="1:6" ht="39" customHeight="1">
      <c r="A70" s="145" t="s">
        <v>378</v>
      </c>
      <c r="B70" s="146" t="s">
        <v>379</v>
      </c>
      <c r="C70" s="147" t="s">
        <v>380</v>
      </c>
      <c r="D70" s="145"/>
      <c r="E70" s="144">
        <v>18431219</v>
      </c>
      <c r="F70" s="144">
        <v>17755063</v>
      </c>
    </row>
    <row r="71" spans="1:6" ht="39" customHeight="1">
      <c r="A71" s="145" t="s">
        <v>381</v>
      </c>
      <c r="B71" s="146" t="s">
        <v>382</v>
      </c>
      <c r="C71" s="147" t="s">
        <v>383</v>
      </c>
      <c r="D71" s="145"/>
      <c r="E71" s="144">
        <v>39925000</v>
      </c>
      <c r="F71" s="144">
        <v>39925000</v>
      </c>
    </row>
    <row r="72" spans="1:6" ht="39" customHeight="1">
      <c r="A72" s="145" t="s">
        <v>384</v>
      </c>
      <c r="B72" s="146" t="s">
        <v>385</v>
      </c>
      <c r="C72" s="147" t="s">
        <v>386</v>
      </c>
      <c r="D72" s="145"/>
      <c r="E72" s="144">
        <v>478097568</v>
      </c>
      <c r="F72" s="144">
        <v>528199079</v>
      </c>
    </row>
    <row r="73" spans="1:6" ht="39" customHeight="1">
      <c r="A73" s="145" t="s">
        <v>275</v>
      </c>
      <c r="B73" s="148" t="s">
        <v>264</v>
      </c>
      <c r="C73" s="149" t="s">
        <v>387</v>
      </c>
      <c r="D73" s="145"/>
      <c r="E73" s="144">
        <v>298984157</v>
      </c>
      <c r="F73" s="144">
        <v>366306722</v>
      </c>
    </row>
    <row r="74" spans="1:6" ht="39" customHeight="1">
      <c r="A74" s="145" t="s">
        <v>275</v>
      </c>
      <c r="B74" s="148" t="s">
        <v>388</v>
      </c>
      <c r="C74" s="149" t="s">
        <v>389</v>
      </c>
      <c r="D74" s="145"/>
      <c r="E74" s="144">
        <v>298984157</v>
      </c>
      <c r="F74" s="144">
        <v>366306722</v>
      </c>
    </row>
    <row r="75" spans="1:6" ht="39" customHeight="1">
      <c r="A75" s="145" t="s">
        <v>275</v>
      </c>
      <c r="B75" s="148" t="s">
        <v>390</v>
      </c>
      <c r="C75" s="149" t="s">
        <v>391</v>
      </c>
      <c r="D75" s="145"/>
      <c r="E75" s="144">
        <v>0</v>
      </c>
      <c r="F75" s="144">
        <v>0</v>
      </c>
    </row>
    <row r="76" spans="1:6" ht="39" customHeight="1">
      <c r="A76" s="145" t="s">
        <v>275</v>
      </c>
      <c r="B76" s="148" t="s">
        <v>392</v>
      </c>
      <c r="C76" s="149" t="s">
        <v>393</v>
      </c>
      <c r="D76" s="145"/>
      <c r="E76" s="144">
        <v>156529273</v>
      </c>
      <c r="F76" s="144">
        <v>140027756</v>
      </c>
    </row>
    <row r="77" spans="1:6" ht="39" customHeight="1">
      <c r="A77" s="145" t="s">
        <v>275</v>
      </c>
      <c r="B77" s="148" t="s">
        <v>394</v>
      </c>
      <c r="C77" s="149" t="s">
        <v>395</v>
      </c>
      <c r="D77" s="145"/>
      <c r="E77" s="144">
        <v>0</v>
      </c>
      <c r="F77" s="144">
        <v>0</v>
      </c>
    </row>
    <row r="78" spans="1:6" ht="39" customHeight="1">
      <c r="A78" s="145" t="s">
        <v>275</v>
      </c>
      <c r="B78" s="148" t="s">
        <v>396</v>
      </c>
      <c r="C78" s="149" t="s">
        <v>397</v>
      </c>
      <c r="D78" s="145"/>
      <c r="E78" s="144">
        <v>0</v>
      </c>
      <c r="F78" s="144">
        <v>0</v>
      </c>
    </row>
    <row r="79" spans="1:6" ht="45.4" customHeight="1">
      <c r="A79" s="145" t="s">
        <v>275</v>
      </c>
      <c r="B79" s="148" t="s">
        <v>398</v>
      </c>
      <c r="C79" s="149" t="s">
        <v>399</v>
      </c>
      <c r="D79" s="145"/>
      <c r="E79" s="144">
        <v>22584138</v>
      </c>
      <c r="F79" s="144">
        <v>21864601</v>
      </c>
    </row>
    <row r="80" spans="1:6" ht="48.4" customHeight="1">
      <c r="A80" s="145" t="s">
        <v>275</v>
      </c>
      <c r="B80" s="148" t="s">
        <v>400</v>
      </c>
      <c r="C80" s="149" t="s">
        <v>401</v>
      </c>
      <c r="D80" s="145"/>
      <c r="E80" s="144">
        <v>0</v>
      </c>
      <c r="F80" s="144">
        <v>0</v>
      </c>
    </row>
    <row r="81" spans="1:6" ht="56.65" customHeight="1">
      <c r="A81" s="145" t="s">
        <v>275</v>
      </c>
      <c r="B81" s="148" t="s">
        <v>402</v>
      </c>
      <c r="C81" s="149" t="s">
        <v>403</v>
      </c>
      <c r="D81" s="145"/>
      <c r="E81" s="144">
        <v>0</v>
      </c>
      <c r="F81" s="144">
        <v>0</v>
      </c>
    </row>
    <row r="82" spans="1:6" ht="39" customHeight="1">
      <c r="A82" s="145" t="s">
        <v>404</v>
      </c>
      <c r="B82" s="146" t="s">
        <v>405</v>
      </c>
      <c r="C82" s="147" t="s">
        <v>406</v>
      </c>
      <c r="D82" s="145"/>
      <c r="E82" s="144">
        <v>1197176892</v>
      </c>
      <c r="F82" s="144">
        <v>1721270399</v>
      </c>
    </row>
    <row r="83" spans="1:6" ht="39" customHeight="1">
      <c r="A83" s="145" t="s">
        <v>275</v>
      </c>
      <c r="B83" s="148" t="s">
        <v>262</v>
      </c>
      <c r="C83" s="149" t="s">
        <v>407</v>
      </c>
      <c r="D83" s="145"/>
      <c r="E83" s="144">
        <v>1197176892</v>
      </c>
      <c r="F83" s="144">
        <v>1721270399</v>
      </c>
    </row>
    <row r="84" spans="1:6" ht="45" customHeight="1">
      <c r="A84" s="145" t="s">
        <v>275</v>
      </c>
      <c r="B84" s="148" t="s">
        <v>263</v>
      </c>
      <c r="C84" s="149" t="s">
        <v>408</v>
      </c>
      <c r="D84" s="145"/>
      <c r="E84" s="144">
        <v>0</v>
      </c>
      <c r="F84" s="144">
        <v>0</v>
      </c>
    </row>
    <row r="85" spans="1:6" ht="39" customHeight="1">
      <c r="A85" s="145" t="s">
        <v>409</v>
      </c>
      <c r="B85" s="146" t="s">
        <v>410</v>
      </c>
      <c r="C85" s="147" t="s">
        <v>411</v>
      </c>
      <c r="D85" s="145"/>
      <c r="E85" s="144">
        <v>1759366630</v>
      </c>
      <c r="F85" s="144">
        <v>7869937385</v>
      </c>
    </row>
    <row r="86" spans="1:6" ht="39" customHeight="1">
      <c r="A86" s="145" t="s">
        <v>412</v>
      </c>
      <c r="B86" s="146" t="s">
        <v>413</v>
      </c>
      <c r="C86" s="147" t="s">
        <v>414</v>
      </c>
      <c r="D86" s="145"/>
      <c r="E86" s="144">
        <v>2377872647</v>
      </c>
      <c r="F86" s="144">
        <v>2654747362</v>
      </c>
    </row>
    <row r="87" spans="1:6" ht="39" customHeight="1">
      <c r="A87" s="145" t="s">
        <v>275</v>
      </c>
      <c r="B87" s="148" t="s">
        <v>415</v>
      </c>
      <c r="C87" s="149" t="s">
        <v>416</v>
      </c>
      <c r="D87" s="145"/>
      <c r="E87" s="144">
        <v>2181912035</v>
      </c>
      <c r="F87" s="144">
        <v>2462067601</v>
      </c>
    </row>
    <row r="88" spans="1:6" ht="39" customHeight="1">
      <c r="A88" s="145" t="s">
        <v>275</v>
      </c>
      <c r="B88" s="148" t="s">
        <v>417</v>
      </c>
      <c r="C88" s="149" t="s">
        <v>418</v>
      </c>
      <c r="D88" s="145"/>
      <c r="E88" s="144">
        <v>102757168</v>
      </c>
      <c r="F88" s="144">
        <v>89203951</v>
      </c>
    </row>
    <row r="89" spans="1:6" ht="39" customHeight="1">
      <c r="A89" s="145" t="s">
        <v>275</v>
      </c>
      <c r="B89" s="148" t="s">
        <v>51</v>
      </c>
      <c r="C89" s="149" t="s">
        <v>419</v>
      </c>
      <c r="D89" s="145"/>
      <c r="E89" s="144">
        <v>44757168</v>
      </c>
      <c r="F89" s="144">
        <v>50503951</v>
      </c>
    </row>
    <row r="90" spans="1:6" ht="39" customHeight="1">
      <c r="A90" s="145" t="s">
        <v>275</v>
      </c>
      <c r="B90" s="148" t="s">
        <v>63</v>
      </c>
      <c r="C90" s="149" t="s">
        <v>420</v>
      </c>
      <c r="D90" s="145"/>
      <c r="E90" s="144">
        <v>58000000</v>
      </c>
      <c r="F90" s="144">
        <v>38700000</v>
      </c>
    </row>
    <row r="91" spans="1:6" ht="57" customHeight="1">
      <c r="A91" s="145" t="s">
        <v>275</v>
      </c>
      <c r="B91" s="148" t="s">
        <v>226</v>
      </c>
      <c r="C91" s="149" t="s">
        <v>421</v>
      </c>
      <c r="D91" s="145"/>
      <c r="E91" s="144">
        <v>0</v>
      </c>
      <c r="F91" s="144">
        <v>0</v>
      </c>
    </row>
    <row r="92" spans="1:6" ht="39" customHeight="1">
      <c r="A92" s="145" t="s">
        <v>275</v>
      </c>
      <c r="B92" s="148" t="s">
        <v>422</v>
      </c>
      <c r="C92" s="149" t="s">
        <v>423</v>
      </c>
      <c r="D92" s="145"/>
      <c r="E92" s="144">
        <v>30770556</v>
      </c>
      <c r="F92" s="144">
        <v>34721464</v>
      </c>
    </row>
    <row r="93" spans="1:6" ht="39" customHeight="1">
      <c r="A93" s="145" t="s">
        <v>275</v>
      </c>
      <c r="B93" s="148" t="s">
        <v>424</v>
      </c>
      <c r="C93" s="149" t="s">
        <v>425</v>
      </c>
      <c r="D93" s="145"/>
      <c r="E93" s="144">
        <v>49232888</v>
      </c>
      <c r="F93" s="144">
        <v>55554346</v>
      </c>
    </row>
    <row r="94" spans="1:6" ht="39" customHeight="1">
      <c r="A94" s="145" t="s">
        <v>275</v>
      </c>
      <c r="B94" s="148" t="s">
        <v>426</v>
      </c>
      <c r="C94" s="149" t="s">
        <v>427</v>
      </c>
      <c r="D94" s="145"/>
      <c r="E94" s="144">
        <v>13200000</v>
      </c>
      <c r="F94" s="144">
        <v>13200000</v>
      </c>
    </row>
    <row r="95" spans="1:6" ht="57.4" customHeight="1">
      <c r="A95" s="145" t="s">
        <v>275</v>
      </c>
      <c r="B95" s="148" t="s">
        <v>428</v>
      </c>
      <c r="C95" s="149" t="s">
        <v>429</v>
      </c>
      <c r="D95" s="145"/>
      <c r="E95" s="144">
        <v>0</v>
      </c>
      <c r="F95" s="144">
        <v>0</v>
      </c>
    </row>
    <row r="96" spans="1:6" ht="47.65" customHeight="1">
      <c r="A96" s="145" t="s">
        <v>275</v>
      </c>
      <c r="B96" s="148" t="s">
        <v>430</v>
      </c>
      <c r="C96" s="149" t="s">
        <v>431</v>
      </c>
      <c r="D96" s="145"/>
      <c r="E96" s="144">
        <v>0</v>
      </c>
      <c r="F96" s="144">
        <v>0</v>
      </c>
    </row>
    <row r="97" spans="1:6" ht="39" customHeight="1">
      <c r="A97" s="145" t="s">
        <v>113</v>
      </c>
      <c r="B97" s="146" t="s">
        <v>432</v>
      </c>
      <c r="C97" s="147" t="s">
        <v>433</v>
      </c>
      <c r="D97" s="145"/>
      <c r="E97" s="144">
        <v>176482966</v>
      </c>
      <c r="F97" s="144">
        <v>176482966</v>
      </c>
    </row>
    <row r="98" spans="1:6" ht="39" customHeight="1">
      <c r="A98" s="145" t="s">
        <v>275</v>
      </c>
      <c r="B98" s="148" t="s">
        <v>266</v>
      </c>
      <c r="C98" s="149" t="s">
        <v>434</v>
      </c>
      <c r="D98" s="145"/>
      <c r="E98" s="144">
        <v>0</v>
      </c>
      <c r="F98" s="144">
        <v>0</v>
      </c>
    </row>
    <row r="99" spans="1:6" ht="45.4" customHeight="1">
      <c r="A99" s="145" t="s">
        <v>275</v>
      </c>
      <c r="B99" s="148" t="s">
        <v>267</v>
      </c>
      <c r="C99" s="149" t="s">
        <v>435</v>
      </c>
      <c r="D99" s="145"/>
      <c r="E99" s="144">
        <v>0</v>
      </c>
      <c r="F99" s="144">
        <v>0</v>
      </c>
    </row>
    <row r="100" spans="1:6" ht="39" customHeight="1">
      <c r="A100" s="145" t="s">
        <v>275</v>
      </c>
      <c r="B100" s="148" t="s">
        <v>436</v>
      </c>
      <c r="C100" s="149" t="s">
        <v>437</v>
      </c>
      <c r="D100" s="145"/>
      <c r="E100" s="144">
        <v>0</v>
      </c>
      <c r="F100" s="144">
        <v>0</v>
      </c>
    </row>
    <row r="101" spans="1:6" ht="39" customHeight="1">
      <c r="A101" s="145" t="s">
        <v>275</v>
      </c>
      <c r="B101" s="148" t="s">
        <v>438</v>
      </c>
      <c r="C101" s="149" t="s">
        <v>439</v>
      </c>
      <c r="D101" s="145"/>
      <c r="E101" s="144">
        <v>0</v>
      </c>
      <c r="F101" s="144">
        <v>0</v>
      </c>
    </row>
    <row r="102" spans="1:6" ht="39" customHeight="1">
      <c r="A102" s="145" t="s">
        <v>275</v>
      </c>
      <c r="B102" s="148" t="s">
        <v>265</v>
      </c>
      <c r="C102" s="149" t="s">
        <v>440</v>
      </c>
      <c r="D102" s="145"/>
      <c r="E102" s="144">
        <v>176482966</v>
      </c>
      <c r="F102" s="144">
        <v>176482966</v>
      </c>
    </row>
    <row r="103" spans="1:6" ht="39" customHeight="1">
      <c r="A103" s="61" t="s">
        <v>275</v>
      </c>
      <c r="B103" s="143" t="s">
        <v>441</v>
      </c>
      <c r="C103" s="53" t="s">
        <v>442</v>
      </c>
      <c r="D103" s="80"/>
      <c r="E103" s="80">
        <v>65548752290</v>
      </c>
      <c r="F103" s="80">
        <v>120608477253</v>
      </c>
    </row>
    <row r="104" spans="1:6" ht="59.65" customHeight="1">
      <c r="A104" s="61" t="s">
        <v>54</v>
      </c>
      <c r="B104" s="143" t="s">
        <v>443</v>
      </c>
      <c r="C104" s="53" t="s">
        <v>444</v>
      </c>
      <c r="D104" s="80"/>
      <c r="E104" s="80">
        <v>1299903305101</v>
      </c>
      <c r="F104" s="80">
        <v>1396146431320</v>
      </c>
    </row>
    <row r="105" spans="1:6" ht="39" customHeight="1">
      <c r="A105" s="145" t="s">
        <v>269</v>
      </c>
      <c r="B105" s="146" t="s">
        <v>445</v>
      </c>
      <c r="C105" s="147" t="s">
        <v>446</v>
      </c>
      <c r="D105" s="145"/>
      <c r="E105" s="144">
        <v>248057786700</v>
      </c>
      <c r="F105" s="144">
        <v>249489133400</v>
      </c>
    </row>
    <row r="106" spans="1:6" ht="39" customHeight="1">
      <c r="A106" s="145" t="s">
        <v>272</v>
      </c>
      <c r="B106" s="146" t="s">
        <v>447</v>
      </c>
      <c r="C106" s="147" t="s">
        <v>448</v>
      </c>
      <c r="D106" s="145"/>
      <c r="E106" s="144">
        <v>1884320892100</v>
      </c>
      <c r="F106" s="144">
        <v>1880839921900</v>
      </c>
    </row>
    <row r="107" spans="1:6" ht="39" customHeight="1">
      <c r="A107" s="145" t="s">
        <v>283</v>
      </c>
      <c r="B107" s="146" t="s">
        <v>449</v>
      </c>
      <c r="C107" s="147" t="s">
        <v>450</v>
      </c>
      <c r="D107" s="145"/>
      <c r="E107" s="144">
        <v>-1636263105400</v>
      </c>
      <c r="F107" s="144">
        <v>-1631350788500</v>
      </c>
    </row>
    <row r="108" spans="1:6" ht="39" customHeight="1">
      <c r="A108" s="145" t="s">
        <v>286</v>
      </c>
      <c r="B108" s="146" t="s">
        <v>451</v>
      </c>
      <c r="C108" s="147" t="s">
        <v>452</v>
      </c>
      <c r="D108" s="145"/>
      <c r="E108" s="144">
        <v>1005922648813</v>
      </c>
      <c r="F108" s="144">
        <v>1011907883230</v>
      </c>
    </row>
    <row r="109" spans="1:6" ht="39" customHeight="1">
      <c r="A109" s="145" t="s">
        <v>311</v>
      </c>
      <c r="B109" s="146" t="s">
        <v>453</v>
      </c>
      <c r="C109" s="147" t="s">
        <v>454</v>
      </c>
      <c r="D109" s="145"/>
      <c r="E109" s="144">
        <v>45922869588</v>
      </c>
      <c r="F109" s="144">
        <v>134749414690</v>
      </c>
    </row>
    <row r="110" spans="1:6" ht="39" customHeight="1">
      <c r="A110" s="145" t="s">
        <v>314</v>
      </c>
      <c r="B110" s="146" t="s">
        <v>455</v>
      </c>
      <c r="C110" s="147" t="s">
        <v>456</v>
      </c>
      <c r="D110" s="145"/>
      <c r="E110" s="144">
        <v>134749414690</v>
      </c>
      <c r="F110" s="144">
        <v>332296855018</v>
      </c>
    </row>
    <row r="111" spans="1:6" ht="39" customHeight="1">
      <c r="A111" s="145" t="s">
        <v>319</v>
      </c>
      <c r="B111" s="146" t="s">
        <v>457</v>
      </c>
      <c r="C111" s="147" t="s">
        <v>458</v>
      </c>
      <c r="D111" s="145"/>
      <c r="E111" s="144">
        <v>-88826545102</v>
      </c>
      <c r="F111" s="144">
        <v>-197547440328</v>
      </c>
    </row>
    <row r="112" spans="1:6" ht="47.65" customHeight="1">
      <c r="A112" s="61" t="s">
        <v>55</v>
      </c>
      <c r="B112" s="143" t="s">
        <v>459</v>
      </c>
      <c r="C112" s="53" t="s">
        <v>460</v>
      </c>
      <c r="D112" s="80"/>
      <c r="E112" s="155">
        <v>52403.24</v>
      </c>
      <c r="F112" s="155">
        <v>55960.21</v>
      </c>
    </row>
    <row r="113" spans="1:7" ht="45.4" customHeight="1">
      <c r="A113" s="61" t="s">
        <v>56</v>
      </c>
      <c r="B113" s="143" t="s">
        <v>461</v>
      </c>
      <c r="C113" s="53" t="s">
        <v>462</v>
      </c>
      <c r="D113" s="80"/>
      <c r="E113" s="80">
        <v>0</v>
      </c>
      <c r="F113" s="80">
        <v>0</v>
      </c>
    </row>
    <row r="114" spans="1:7" ht="54" customHeight="1">
      <c r="A114" s="145" t="s">
        <v>269</v>
      </c>
      <c r="B114" s="146" t="s">
        <v>463</v>
      </c>
      <c r="C114" s="147" t="s">
        <v>464</v>
      </c>
      <c r="D114" s="145"/>
      <c r="E114" s="144">
        <v>0</v>
      </c>
      <c r="F114" s="144">
        <v>0</v>
      </c>
    </row>
    <row r="115" spans="1:7" ht="51.65" customHeight="1">
      <c r="A115" s="145" t="s">
        <v>286</v>
      </c>
      <c r="B115" s="146" t="s">
        <v>465</v>
      </c>
      <c r="C115" s="147" t="s">
        <v>466</v>
      </c>
      <c r="D115" s="145"/>
      <c r="E115" s="144">
        <v>0</v>
      </c>
      <c r="F115" s="144">
        <v>0</v>
      </c>
    </row>
    <row r="116" spans="1:7" ht="46.5" customHeight="1">
      <c r="A116" s="61" t="s">
        <v>57</v>
      </c>
      <c r="B116" s="143" t="s">
        <v>467</v>
      </c>
      <c r="C116" s="53" t="s">
        <v>57</v>
      </c>
      <c r="D116" s="80"/>
      <c r="E116" s="80"/>
      <c r="F116" s="80"/>
    </row>
    <row r="117" spans="1:7" ht="39" customHeight="1">
      <c r="A117" s="145" t="s">
        <v>269</v>
      </c>
      <c r="B117" s="146" t="s">
        <v>468</v>
      </c>
      <c r="C117" s="147" t="s">
        <v>469</v>
      </c>
      <c r="D117" s="145"/>
      <c r="E117" s="144">
        <v>0</v>
      </c>
      <c r="F117" s="144">
        <v>0</v>
      </c>
    </row>
    <row r="118" spans="1:7" ht="39" customHeight="1">
      <c r="A118" s="145" t="s">
        <v>286</v>
      </c>
      <c r="B118" s="146" t="s">
        <v>470</v>
      </c>
      <c r="C118" s="147" t="s">
        <v>471</v>
      </c>
      <c r="D118" s="145"/>
      <c r="E118" s="144">
        <v>0</v>
      </c>
      <c r="F118" s="144">
        <v>0</v>
      </c>
    </row>
    <row r="119" spans="1:7" ht="39" customHeight="1">
      <c r="A119" s="145" t="s">
        <v>311</v>
      </c>
      <c r="B119" s="146" t="s">
        <v>472</v>
      </c>
      <c r="C119" s="147" t="s">
        <v>473</v>
      </c>
      <c r="D119" s="145"/>
      <c r="E119" s="144">
        <v>0</v>
      </c>
      <c r="F119" s="144">
        <v>0</v>
      </c>
    </row>
    <row r="120" spans="1:7" ht="39" customHeight="1">
      <c r="A120" s="152" t="s">
        <v>378</v>
      </c>
      <c r="B120" s="153" t="s">
        <v>474</v>
      </c>
      <c r="C120" s="147" t="s">
        <v>475</v>
      </c>
      <c r="D120" s="152"/>
      <c r="E120" s="154">
        <v>24805778.670000002</v>
      </c>
      <c r="F120" s="154">
        <v>24948913.34</v>
      </c>
    </row>
    <row r="121" spans="1:7" s="117" customFormat="1" ht="13">
      <c r="A121" s="59"/>
      <c r="B121" s="59"/>
      <c r="C121" s="59"/>
      <c r="D121" s="59"/>
      <c r="E121" s="59"/>
      <c r="F121" s="59"/>
      <c r="G121" s="45"/>
    </row>
    <row r="123" spans="1:7" ht="16.899999999999999" customHeight="1">
      <c r="A123" s="259" t="s">
        <v>182</v>
      </c>
      <c r="B123" s="259"/>
      <c r="C123" s="259" t="s">
        <v>183</v>
      </c>
      <c r="D123" s="259"/>
      <c r="E123" s="259"/>
      <c r="F123" s="259"/>
    </row>
    <row r="136" spans="1:6">
      <c r="A136" s="269" t="s">
        <v>491</v>
      </c>
      <c r="B136" s="269"/>
      <c r="C136" s="269" t="s">
        <v>492</v>
      </c>
      <c r="D136" s="269"/>
      <c r="E136" s="269"/>
      <c r="F136" s="59" t="s">
        <v>493</v>
      </c>
    </row>
    <row r="137" spans="1:6" ht="16.899999999999999" customHeight="1">
      <c r="A137" s="268" t="s">
        <v>815</v>
      </c>
      <c r="B137" s="268"/>
      <c r="C137" s="268" t="s">
        <v>816</v>
      </c>
      <c r="D137" s="268"/>
      <c r="E137" s="268"/>
      <c r="F137" s="200" t="s">
        <v>805</v>
      </c>
    </row>
    <row r="138" spans="1:6" ht="16.899999999999999" customHeight="1">
      <c r="A138" s="269" t="s">
        <v>817</v>
      </c>
      <c r="B138" s="269"/>
      <c r="C138" s="269" t="s">
        <v>818</v>
      </c>
      <c r="D138" s="269"/>
      <c r="E138" s="269"/>
      <c r="F138" s="157" t="s">
        <v>807</v>
      </c>
    </row>
  </sheetData>
  <mergeCells count="20">
    <mergeCell ref="C14:F14"/>
    <mergeCell ref="A1:F1"/>
    <mergeCell ref="A2:F2"/>
    <mergeCell ref="A3:F3"/>
    <mergeCell ref="A5:F5"/>
    <mergeCell ref="C7:F7"/>
    <mergeCell ref="C8:F8"/>
    <mergeCell ref="C9:F9"/>
    <mergeCell ref="C10:F10"/>
    <mergeCell ref="C11:F11"/>
    <mergeCell ref="C12:F12"/>
    <mergeCell ref="C13:F13"/>
    <mergeCell ref="A138:B138"/>
    <mergeCell ref="C138:E138"/>
    <mergeCell ref="A123:B123"/>
    <mergeCell ref="C123:F123"/>
    <mergeCell ref="A136:B136"/>
    <mergeCell ref="C136:E136"/>
    <mergeCell ref="A137:B137"/>
    <mergeCell ref="C137:E137"/>
  </mergeCells>
  <printOptions horizontalCentered="1"/>
  <pageMargins left="0.3" right="0.3" top="0.75" bottom="0.75" header="0.3" footer="0.3"/>
  <pageSetup paperSize="9" scale="74" orientation="portrait" r:id="rId1"/>
  <headerFooter>
    <oddHeader>&amp;L&amp;"Arial"&amp;9&amp;K317100PUBLIC&amp;1#</oddHead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08"/>
  <sheetViews>
    <sheetView view="pageBreakPreview" topLeftCell="A12" zoomScale="98" zoomScaleNormal="100" zoomScaleSheetLayoutView="98" workbookViewId="0">
      <selection activeCell="C19" sqref="C19:C94"/>
    </sheetView>
  </sheetViews>
  <sheetFormatPr defaultColWidth="8.7265625" defaultRowHeight="12.5"/>
  <cols>
    <col min="1" max="1" width="8.7265625" style="47"/>
    <col min="2" max="2" width="44.26953125" style="47" customWidth="1"/>
    <col min="3" max="3" width="10.26953125" style="47" customWidth="1"/>
    <col min="4" max="4" width="23.26953125" style="47" customWidth="1"/>
    <col min="5" max="5" width="26.1796875" style="47" customWidth="1"/>
    <col min="6" max="6" width="21.7265625" style="47" customWidth="1"/>
    <col min="7" max="14" width="8.7265625" style="47" hidden="1" customWidth="1"/>
    <col min="15" max="16384" width="8.7265625" style="47"/>
  </cols>
  <sheetData>
    <row r="1" spans="1:6" s="48" customFormat="1" ht="22.9" customHeight="1">
      <c r="A1" s="271" t="s">
        <v>820</v>
      </c>
      <c r="B1" s="271"/>
      <c r="C1" s="271"/>
      <c r="D1" s="271"/>
      <c r="E1" s="271"/>
      <c r="F1" s="271"/>
    </row>
    <row r="2" spans="1:6" s="48" customFormat="1" ht="50.5" customHeight="1">
      <c r="A2" s="272" t="s">
        <v>821</v>
      </c>
      <c r="B2" s="272"/>
      <c r="C2" s="272"/>
      <c r="D2" s="272"/>
      <c r="E2" s="272"/>
      <c r="F2" s="272"/>
    </row>
    <row r="3" spans="1:6" s="48" customFormat="1">
      <c r="A3" s="273" t="s">
        <v>822</v>
      </c>
      <c r="B3" s="273"/>
      <c r="C3" s="273"/>
      <c r="D3" s="273"/>
      <c r="E3" s="273"/>
      <c r="F3" s="273"/>
    </row>
    <row r="4" spans="1:6" s="48" customFormat="1" ht="32.65" customHeight="1">
      <c r="A4" s="273"/>
      <c r="B4" s="273"/>
      <c r="C4" s="273"/>
      <c r="D4" s="273"/>
      <c r="E4" s="273"/>
      <c r="F4" s="273"/>
    </row>
    <row r="5" spans="1:6" s="48" customFormat="1" ht="16.899999999999999" customHeight="1">
      <c r="A5" s="274" t="s">
        <v>795</v>
      </c>
      <c r="B5" s="274"/>
      <c r="C5" s="274"/>
      <c r="D5" s="274"/>
      <c r="E5" s="274"/>
      <c r="F5" s="274"/>
    </row>
    <row r="6" spans="1:6">
      <c r="A6" s="59"/>
      <c r="B6" s="59"/>
      <c r="C6" s="59"/>
      <c r="D6" s="59"/>
      <c r="E6" s="59"/>
      <c r="F6" s="59"/>
    </row>
    <row r="7" spans="1:6" ht="16.899999999999999" customHeight="1">
      <c r="A7" s="258" t="s">
        <v>2</v>
      </c>
      <c r="B7" s="258"/>
      <c r="C7" s="258" t="s">
        <v>797</v>
      </c>
      <c r="D7" s="258"/>
      <c r="E7" s="258"/>
      <c r="F7" s="258"/>
    </row>
    <row r="8" spans="1:6" s="48" customFormat="1" ht="16.899999999999999" customHeight="1">
      <c r="A8" s="270" t="s">
        <v>41</v>
      </c>
      <c r="B8" s="270"/>
      <c r="C8" s="270" t="s">
        <v>798</v>
      </c>
      <c r="D8" s="270"/>
      <c r="E8" s="270"/>
      <c r="F8" s="270"/>
    </row>
    <row r="9" spans="1:6" ht="16.899999999999999" customHeight="1">
      <c r="A9" s="258" t="s">
        <v>3</v>
      </c>
      <c r="B9" s="258"/>
      <c r="C9" s="258" t="s">
        <v>799</v>
      </c>
      <c r="D9" s="258"/>
      <c r="E9" s="258"/>
      <c r="F9" s="258"/>
    </row>
    <row r="10" spans="1:6" s="48" customFormat="1" ht="16.899999999999999" customHeight="1">
      <c r="A10" s="270" t="s">
        <v>4</v>
      </c>
      <c r="B10" s="270"/>
      <c r="C10" s="270" t="s">
        <v>800</v>
      </c>
      <c r="D10" s="270"/>
      <c r="E10" s="270"/>
      <c r="F10" s="270"/>
    </row>
    <row r="11" spans="1:6" ht="16.899999999999999" customHeight="1">
      <c r="A11" s="258" t="s">
        <v>5</v>
      </c>
      <c r="B11" s="258"/>
      <c r="C11" s="258" t="s">
        <v>801</v>
      </c>
      <c r="D11" s="258"/>
      <c r="E11" s="258"/>
      <c r="F11" s="258"/>
    </row>
    <row r="12" spans="1:6" s="48" customFormat="1" ht="16.899999999999999" customHeight="1">
      <c r="A12" s="270" t="s">
        <v>6</v>
      </c>
      <c r="B12" s="270"/>
      <c r="C12" s="270" t="s">
        <v>819</v>
      </c>
      <c r="D12" s="270"/>
      <c r="E12" s="270"/>
      <c r="F12" s="270"/>
    </row>
    <row r="13" spans="1:6" ht="16.899999999999999" customHeight="1">
      <c r="A13" s="258" t="s">
        <v>7</v>
      </c>
      <c r="B13" s="258"/>
      <c r="C13" s="258" t="s">
        <v>802</v>
      </c>
      <c r="D13" s="258"/>
      <c r="E13" s="258"/>
      <c r="F13" s="258"/>
    </row>
    <row r="14" spans="1:6" s="48" customFormat="1" ht="16.899999999999999" customHeight="1">
      <c r="A14" s="270" t="s">
        <v>8</v>
      </c>
      <c r="B14" s="270"/>
      <c r="C14" s="270" t="s">
        <v>803</v>
      </c>
      <c r="D14" s="270"/>
      <c r="E14" s="270"/>
      <c r="F14" s="270"/>
    </row>
    <row r="15" spans="1:6" s="48" customFormat="1" ht="7.5" customHeight="1">
      <c r="A15" s="56"/>
      <c r="B15" s="56"/>
      <c r="C15" s="56"/>
      <c r="D15" s="56"/>
      <c r="E15" s="56"/>
      <c r="F15" s="56"/>
    </row>
    <row r="16" spans="1:6" s="48" customFormat="1" ht="16.899999999999999" customHeight="1">
      <c r="A16" s="219" t="s">
        <v>823</v>
      </c>
      <c r="B16" s="218" t="s">
        <v>824</v>
      </c>
      <c r="C16" s="218"/>
      <c r="D16" s="218"/>
      <c r="E16" s="218"/>
      <c r="F16" s="218"/>
    </row>
    <row r="17" spans="1:6" s="48" customFormat="1" ht="16.899999999999999" customHeight="1">
      <c r="A17" s="58" t="s">
        <v>42</v>
      </c>
      <c r="B17" s="57" t="s">
        <v>494</v>
      </c>
      <c r="C17" s="56"/>
      <c r="D17" s="56"/>
      <c r="E17" s="56"/>
      <c r="F17" s="56"/>
    </row>
    <row r="18" spans="1:6" s="48" customFormat="1" ht="50.65" customHeight="1">
      <c r="A18" s="55" t="s">
        <v>43</v>
      </c>
      <c r="B18" s="53" t="s">
        <v>44</v>
      </c>
      <c r="C18" s="55" t="s">
        <v>45</v>
      </c>
      <c r="D18" s="54" t="s">
        <v>808</v>
      </c>
      <c r="E18" s="54" t="s">
        <v>809</v>
      </c>
      <c r="F18" s="158" t="s">
        <v>46</v>
      </c>
    </row>
    <row r="19" spans="1:6" ht="39" customHeight="1">
      <c r="A19" s="213" t="s">
        <v>506</v>
      </c>
      <c r="B19" s="212" t="s">
        <v>507</v>
      </c>
      <c r="C19" s="213"/>
      <c r="D19" s="215"/>
      <c r="E19" s="215"/>
      <c r="F19" s="214"/>
    </row>
    <row r="20" spans="1:6" ht="39" customHeight="1">
      <c r="A20" s="208" t="s">
        <v>508</v>
      </c>
      <c r="B20" s="207" t="s">
        <v>509</v>
      </c>
      <c r="C20" s="208"/>
      <c r="D20" s="211">
        <v>96908114995</v>
      </c>
      <c r="E20" s="211">
        <v>139573196624</v>
      </c>
      <c r="F20" s="210">
        <v>0.57388809749695902</v>
      </c>
    </row>
    <row r="21" spans="1:6" ht="39" customHeight="1">
      <c r="A21" s="208" t="s">
        <v>510</v>
      </c>
      <c r="B21" s="207" t="s">
        <v>511</v>
      </c>
      <c r="C21" s="208"/>
      <c r="D21" s="211">
        <v>96908114995</v>
      </c>
      <c r="E21" s="211">
        <v>139573196624</v>
      </c>
      <c r="F21" s="210">
        <v>0.69787158276587502</v>
      </c>
    </row>
    <row r="22" spans="1:6" ht="48" customHeight="1">
      <c r="A22" s="208" t="s">
        <v>512</v>
      </c>
      <c r="B22" s="207" t="s">
        <v>513</v>
      </c>
      <c r="C22" s="208"/>
      <c r="D22" s="211">
        <v>0</v>
      </c>
      <c r="E22" s="211">
        <v>0</v>
      </c>
      <c r="F22" s="210"/>
    </row>
    <row r="23" spans="1:6" ht="45" customHeight="1">
      <c r="A23" s="208" t="s">
        <v>514</v>
      </c>
      <c r="B23" s="207" t="s">
        <v>515</v>
      </c>
      <c r="C23" s="208"/>
      <c r="D23" s="211">
        <v>413842807</v>
      </c>
      <c r="E23" s="211">
        <v>403232456</v>
      </c>
      <c r="F23" s="210">
        <v>3.3027319307096898</v>
      </c>
    </row>
    <row r="24" spans="1:6" ht="42" customHeight="1">
      <c r="A24" s="208" t="s">
        <v>516</v>
      </c>
      <c r="B24" s="207" t="s">
        <v>517</v>
      </c>
      <c r="C24" s="208"/>
      <c r="D24" s="211">
        <v>96494272188</v>
      </c>
      <c r="E24" s="211">
        <v>139169964168</v>
      </c>
      <c r="F24" s="210">
        <v>0.69551895096166605</v>
      </c>
    </row>
    <row r="25" spans="1:6" ht="48" customHeight="1">
      <c r="A25" s="208" t="s">
        <v>518</v>
      </c>
      <c r="B25" s="207" t="s">
        <v>519</v>
      </c>
      <c r="C25" s="208"/>
      <c r="D25" s="211">
        <v>0</v>
      </c>
      <c r="E25" s="211">
        <v>0</v>
      </c>
      <c r="F25" s="210"/>
    </row>
    <row r="26" spans="1:6" ht="39" customHeight="1">
      <c r="A26" s="208" t="s">
        <v>520</v>
      </c>
      <c r="B26" s="207" t="s">
        <v>825</v>
      </c>
      <c r="C26" s="208"/>
      <c r="D26" s="211">
        <v>0</v>
      </c>
      <c r="E26" s="211">
        <v>0</v>
      </c>
      <c r="F26" s="210">
        <v>0</v>
      </c>
    </row>
    <row r="27" spans="1:6" ht="39" customHeight="1">
      <c r="A27" s="208" t="s">
        <v>521</v>
      </c>
      <c r="B27" s="207" t="s">
        <v>522</v>
      </c>
      <c r="C27" s="208"/>
      <c r="D27" s="211">
        <v>1141569316710</v>
      </c>
      <c r="E27" s="211">
        <v>1251466821400</v>
      </c>
      <c r="F27" s="210">
        <v>0.99819585621274398</v>
      </c>
    </row>
    <row r="28" spans="1:6" ht="39" customHeight="1">
      <c r="A28" s="208" t="s">
        <v>523</v>
      </c>
      <c r="B28" s="207" t="s">
        <v>524</v>
      </c>
      <c r="C28" s="208"/>
      <c r="D28" s="211">
        <v>970185249850</v>
      </c>
      <c r="E28" s="211">
        <v>1111099596800</v>
      </c>
      <c r="F28" s="210">
        <v>0.92079459240320305</v>
      </c>
    </row>
    <row r="29" spans="1:6" ht="39" customHeight="1">
      <c r="A29" s="208" t="s">
        <v>525</v>
      </c>
      <c r="B29" s="207" t="s">
        <v>526</v>
      </c>
      <c r="C29" s="208"/>
      <c r="D29" s="211">
        <v>0</v>
      </c>
      <c r="E29" s="211">
        <v>0</v>
      </c>
      <c r="F29" s="210"/>
    </row>
    <row r="30" spans="1:6" ht="39" customHeight="1">
      <c r="A30" s="208" t="s">
        <v>527</v>
      </c>
      <c r="B30" s="207" t="s">
        <v>528</v>
      </c>
      <c r="C30" s="208"/>
      <c r="D30" s="211">
        <v>171384066860</v>
      </c>
      <c r="E30" s="211">
        <v>140367224600</v>
      </c>
      <c r="F30" s="210">
        <v>2.4485738173182598</v>
      </c>
    </row>
    <row r="31" spans="1:6" ht="39" customHeight="1">
      <c r="A31" s="208" t="s">
        <v>529</v>
      </c>
      <c r="B31" s="207" t="s">
        <v>530</v>
      </c>
      <c r="C31" s="208"/>
      <c r="D31" s="211">
        <v>0</v>
      </c>
      <c r="E31" s="211">
        <v>0</v>
      </c>
      <c r="F31" s="210">
        <v>0</v>
      </c>
    </row>
    <row r="32" spans="1:6" ht="39" customHeight="1">
      <c r="A32" s="208" t="s">
        <v>531</v>
      </c>
      <c r="B32" s="207" t="s">
        <v>532</v>
      </c>
      <c r="C32" s="208"/>
      <c r="D32" s="211">
        <v>0</v>
      </c>
      <c r="E32" s="211">
        <v>0</v>
      </c>
      <c r="F32" s="210"/>
    </row>
    <row r="33" spans="1:6" ht="39" customHeight="1">
      <c r="A33" s="208" t="s">
        <v>533</v>
      </c>
      <c r="B33" s="207" t="s">
        <v>534</v>
      </c>
      <c r="C33" s="208"/>
      <c r="D33" s="211">
        <v>0</v>
      </c>
      <c r="E33" s="211">
        <v>0</v>
      </c>
      <c r="F33" s="210"/>
    </row>
    <row r="34" spans="1:6" ht="39" customHeight="1">
      <c r="A34" s="208" t="s">
        <v>535</v>
      </c>
      <c r="B34" s="207" t="s">
        <v>536</v>
      </c>
      <c r="C34" s="208"/>
      <c r="D34" s="211">
        <v>0</v>
      </c>
      <c r="E34" s="211">
        <v>0</v>
      </c>
      <c r="F34" s="210"/>
    </row>
    <row r="35" spans="1:6" ht="39" customHeight="1">
      <c r="A35" s="208" t="s">
        <v>537</v>
      </c>
      <c r="B35" s="207" t="s">
        <v>538</v>
      </c>
      <c r="C35" s="208"/>
      <c r="D35" s="211">
        <v>0</v>
      </c>
      <c r="E35" s="211">
        <v>0</v>
      </c>
      <c r="F35" s="210"/>
    </row>
    <row r="36" spans="1:6" ht="39" customHeight="1">
      <c r="A36" s="208" t="s">
        <v>539</v>
      </c>
      <c r="B36" s="207" t="s">
        <v>540</v>
      </c>
      <c r="C36" s="208"/>
      <c r="D36" s="211">
        <v>0</v>
      </c>
      <c r="E36" s="211">
        <v>0</v>
      </c>
      <c r="F36" s="210"/>
    </row>
    <row r="37" spans="1:6" ht="52" customHeight="1">
      <c r="A37" s="220" t="s">
        <v>541</v>
      </c>
      <c r="B37" s="221" t="s">
        <v>826</v>
      </c>
      <c r="C37" s="220"/>
      <c r="D37" s="222"/>
      <c r="E37" s="222"/>
      <c r="F37" s="223"/>
    </row>
    <row r="38" spans="1:6" ht="39" customHeight="1">
      <c r="A38" s="208" t="s">
        <v>546</v>
      </c>
      <c r="B38" s="207" t="s">
        <v>827</v>
      </c>
      <c r="C38" s="208"/>
      <c r="D38" s="211">
        <v>4494070686</v>
      </c>
      <c r="E38" s="211">
        <v>6149560549</v>
      </c>
      <c r="F38" s="210">
        <v>1.60089612338229</v>
      </c>
    </row>
    <row r="39" spans="1:6" ht="39" customHeight="1">
      <c r="A39" s="208" t="s">
        <v>542</v>
      </c>
      <c r="B39" s="207" t="s">
        <v>543</v>
      </c>
      <c r="C39" s="208"/>
      <c r="D39" s="211">
        <v>1043920000</v>
      </c>
      <c r="E39" s="211">
        <v>3765040000</v>
      </c>
      <c r="F39" s="210">
        <v>1.2048938134810701</v>
      </c>
    </row>
    <row r="40" spans="1:6" ht="39" customHeight="1">
      <c r="A40" s="208" t="s">
        <v>544</v>
      </c>
      <c r="B40" s="207" t="s">
        <v>545</v>
      </c>
      <c r="C40" s="208"/>
      <c r="D40" s="211">
        <v>3450150686</v>
      </c>
      <c r="E40" s="211">
        <v>2384520549</v>
      </c>
      <c r="F40" s="210">
        <v>1.7776750427238299</v>
      </c>
    </row>
    <row r="41" spans="1:6" ht="39" customHeight="1">
      <c r="A41" s="208" t="s">
        <v>554</v>
      </c>
      <c r="B41" s="207" t="s">
        <v>547</v>
      </c>
      <c r="C41" s="208"/>
      <c r="D41" s="211">
        <v>0</v>
      </c>
      <c r="E41" s="211">
        <v>0</v>
      </c>
      <c r="F41" s="210">
        <v>0</v>
      </c>
    </row>
    <row r="42" spans="1:6" ht="39" customHeight="1">
      <c r="A42" s="208" t="s">
        <v>548</v>
      </c>
      <c r="B42" s="207" t="s">
        <v>549</v>
      </c>
      <c r="C42" s="208"/>
      <c r="D42" s="211">
        <v>0</v>
      </c>
      <c r="E42" s="211">
        <v>0</v>
      </c>
      <c r="F42" s="210">
        <v>0</v>
      </c>
    </row>
    <row r="43" spans="1:6" ht="39" customHeight="1">
      <c r="A43" s="208" t="s">
        <v>550</v>
      </c>
      <c r="B43" s="207" t="s">
        <v>551</v>
      </c>
      <c r="C43" s="208"/>
      <c r="D43" s="211">
        <v>0</v>
      </c>
      <c r="E43" s="211">
        <v>0</v>
      </c>
      <c r="F43" s="210">
        <v>0</v>
      </c>
    </row>
    <row r="44" spans="1:6" ht="39" customHeight="1">
      <c r="A44" s="208" t="s">
        <v>552</v>
      </c>
      <c r="B44" s="207" t="s">
        <v>553</v>
      </c>
      <c r="C44" s="208"/>
      <c r="D44" s="211">
        <v>0</v>
      </c>
      <c r="E44" s="211">
        <v>0</v>
      </c>
      <c r="F44" s="210"/>
    </row>
    <row r="45" spans="1:6" ht="39" customHeight="1">
      <c r="A45" s="220" t="s">
        <v>556</v>
      </c>
      <c r="B45" s="221" t="s">
        <v>828</v>
      </c>
      <c r="C45" s="220"/>
      <c r="D45" s="222"/>
      <c r="E45" s="222"/>
      <c r="F45" s="223"/>
    </row>
    <row r="46" spans="1:6" ht="39" customHeight="1">
      <c r="A46" s="208" t="s">
        <v>564</v>
      </c>
      <c r="B46" s="207" t="s">
        <v>555</v>
      </c>
      <c r="C46" s="208"/>
      <c r="D46" s="211">
        <v>123346955000</v>
      </c>
      <c r="E46" s="211">
        <v>120431730000</v>
      </c>
      <c r="F46" s="210">
        <v>5.21815272410372</v>
      </c>
    </row>
    <row r="47" spans="1:6" ht="39" customHeight="1">
      <c r="A47" s="208" t="s">
        <v>566</v>
      </c>
      <c r="B47" s="207" t="s">
        <v>557</v>
      </c>
      <c r="C47" s="208"/>
      <c r="D47" s="211">
        <v>-866400000</v>
      </c>
      <c r="E47" s="211">
        <v>-866400000</v>
      </c>
      <c r="F47" s="210">
        <v>1.00002793245148</v>
      </c>
    </row>
    <row r="48" spans="1:6" ht="39" customHeight="1">
      <c r="A48" s="208" t="s">
        <v>558</v>
      </c>
      <c r="B48" s="207" t="s">
        <v>559</v>
      </c>
      <c r="C48" s="208"/>
      <c r="D48" s="211">
        <v>0</v>
      </c>
      <c r="E48" s="211">
        <v>0</v>
      </c>
      <c r="F48" s="210"/>
    </row>
    <row r="49" spans="1:6" ht="39" customHeight="1">
      <c r="A49" s="208" t="s">
        <v>560</v>
      </c>
      <c r="B49" s="207" t="s">
        <v>561</v>
      </c>
      <c r="C49" s="208"/>
      <c r="D49" s="211">
        <v>-866400000</v>
      </c>
      <c r="E49" s="211">
        <v>-866400000</v>
      </c>
      <c r="F49" s="210">
        <v>1</v>
      </c>
    </row>
    <row r="50" spans="1:6" ht="39" customHeight="1">
      <c r="A50" s="208" t="s">
        <v>562</v>
      </c>
      <c r="B50" s="207" t="s">
        <v>563</v>
      </c>
      <c r="C50" s="208"/>
      <c r="D50" s="211">
        <v>0</v>
      </c>
      <c r="E50" s="211">
        <v>0</v>
      </c>
      <c r="F50" s="210">
        <v>0</v>
      </c>
    </row>
    <row r="51" spans="1:6" ht="39" customHeight="1">
      <c r="A51" s="208" t="s">
        <v>829</v>
      </c>
      <c r="B51" s="207" t="s">
        <v>565</v>
      </c>
      <c r="C51" s="208"/>
      <c r="D51" s="211">
        <v>0</v>
      </c>
      <c r="E51" s="211">
        <v>0</v>
      </c>
      <c r="F51" s="210"/>
    </row>
    <row r="52" spans="1:6" ht="39" customHeight="1">
      <c r="A52" s="213" t="s">
        <v>830</v>
      </c>
      <c r="B52" s="212" t="s">
        <v>567</v>
      </c>
      <c r="C52" s="213"/>
      <c r="D52" s="215">
        <v>1365452057391</v>
      </c>
      <c r="E52" s="215">
        <v>1516754908573</v>
      </c>
      <c r="F52" s="214">
        <v>1.0203379660534699</v>
      </c>
    </row>
    <row r="53" spans="1:6" ht="39" customHeight="1">
      <c r="A53" s="213" t="s">
        <v>568</v>
      </c>
      <c r="B53" s="212" t="s">
        <v>569</v>
      </c>
      <c r="C53" s="213"/>
      <c r="D53" s="215"/>
      <c r="E53" s="215"/>
      <c r="F53" s="214"/>
    </row>
    <row r="54" spans="1:6" ht="39" customHeight="1">
      <c r="A54" s="227" t="s">
        <v>49</v>
      </c>
      <c r="B54" s="228" t="s">
        <v>831</v>
      </c>
      <c r="C54" s="224"/>
      <c r="D54" s="225"/>
      <c r="E54" s="225"/>
      <c r="F54" s="226"/>
    </row>
    <row r="55" spans="1:6" ht="39" customHeight="1">
      <c r="A55" s="229" t="s">
        <v>50</v>
      </c>
      <c r="B55" s="230" t="s">
        <v>570</v>
      </c>
      <c r="C55" s="208"/>
      <c r="D55" s="211">
        <v>59218800000</v>
      </c>
      <c r="E55" s="211">
        <v>107015735000</v>
      </c>
      <c r="F55" s="210">
        <v>3.6658034335568899</v>
      </c>
    </row>
    <row r="56" spans="1:6" ht="39" customHeight="1">
      <c r="A56" s="229" t="s">
        <v>640</v>
      </c>
      <c r="B56" s="230" t="s">
        <v>571</v>
      </c>
      <c r="C56" s="208"/>
      <c r="D56" s="211">
        <v>6329952290</v>
      </c>
      <c r="E56" s="211">
        <v>13592742253</v>
      </c>
      <c r="F56" s="210">
        <v>0.30954680729358103</v>
      </c>
    </row>
    <row r="57" spans="1:6" ht="39" customHeight="1">
      <c r="A57" s="208" t="s">
        <v>572</v>
      </c>
      <c r="B57" s="207" t="s">
        <v>573</v>
      </c>
      <c r="C57" s="208"/>
      <c r="D57" s="211">
        <v>2956543522</v>
      </c>
      <c r="E57" s="211">
        <v>9591207784</v>
      </c>
      <c r="F57" s="210">
        <v>0.17580014759822801</v>
      </c>
    </row>
    <row r="58" spans="1:6" ht="39" customHeight="1">
      <c r="A58" s="208" t="s">
        <v>574</v>
      </c>
      <c r="B58" s="207" t="s">
        <v>575</v>
      </c>
      <c r="C58" s="208"/>
      <c r="D58" s="211">
        <v>1197176892</v>
      </c>
      <c r="E58" s="211">
        <v>1721270399</v>
      </c>
      <c r="F58" s="210">
        <v>8.8799802470416994E-2</v>
      </c>
    </row>
    <row r="59" spans="1:6" ht="48" customHeight="1">
      <c r="A59" s="208" t="s">
        <v>576</v>
      </c>
      <c r="B59" s="207" t="s">
        <v>577</v>
      </c>
      <c r="C59" s="208"/>
      <c r="D59" s="211">
        <v>0</v>
      </c>
      <c r="E59" s="211">
        <v>0</v>
      </c>
      <c r="F59" s="210"/>
    </row>
    <row r="60" spans="1:6" ht="39" customHeight="1">
      <c r="A60" s="208" t="s">
        <v>578</v>
      </c>
      <c r="B60" s="207" t="s">
        <v>579</v>
      </c>
      <c r="C60" s="208"/>
      <c r="D60" s="211">
        <v>0</v>
      </c>
      <c r="E60" s="211">
        <v>0</v>
      </c>
      <c r="F60" s="210"/>
    </row>
    <row r="61" spans="1:6" ht="39" customHeight="1">
      <c r="A61" s="208" t="s">
        <v>580</v>
      </c>
      <c r="B61" s="207" t="s">
        <v>581</v>
      </c>
      <c r="C61" s="208"/>
      <c r="D61" s="211">
        <v>1759366630</v>
      </c>
      <c r="E61" s="211">
        <v>7869937385</v>
      </c>
      <c r="F61" s="210">
        <v>0.52740581002800802</v>
      </c>
    </row>
    <row r="62" spans="1:6" ht="39" customHeight="1">
      <c r="A62" s="208" t="s">
        <v>582</v>
      </c>
      <c r="B62" s="207" t="s">
        <v>583</v>
      </c>
      <c r="C62" s="208"/>
      <c r="D62" s="211">
        <v>18431219</v>
      </c>
      <c r="E62" s="211">
        <v>17755063</v>
      </c>
      <c r="F62" s="210">
        <v>0.48045426018221998</v>
      </c>
    </row>
    <row r="63" spans="1:6" ht="61" customHeight="1">
      <c r="A63" s="208" t="s">
        <v>584</v>
      </c>
      <c r="B63" s="207" t="s">
        <v>585</v>
      </c>
      <c r="C63" s="208"/>
      <c r="D63" s="211">
        <v>282599368</v>
      </c>
      <c r="E63" s="211">
        <v>584424999</v>
      </c>
      <c r="F63" s="210">
        <v>0.28836078475981503</v>
      </c>
    </row>
    <row r="64" spans="1:6" ht="39" customHeight="1">
      <c r="A64" s="208" t="s">
        <v>586</v>
      </c>
      <c r="B64" s="207" t="s">
        <v>587</v>
      </c>
      <c r="C64" s="208"/>
      <c r="D64" s="211">
        <v>39925000</v>
      </c>
      <c r="E64" s="211">
        <v>39925000</v>
      </c>
      <c r="F64" s="210">
        <v>1</v>
      </c>
    </row>
    <row r="65" spans="1:6" ht="39" customHeight="1">
      <c r="A65" s="208" t="s">
        <v>588</v>
      </c>
      <c r="B65" s="207" t="s">
        <v>589</v>
      </c>
      <c r="C65" s="208"/>
      <c r="D65" s="211">
        <v>22584138</v>
      </c>
      <c r="E65" s="211">
        <v>21864601</v>
      </c>
      <c r="F65" s="210">
        <v>0.72480527556425001</v>
      </c>
    </row>
    <row r="66" spans="1:6" ht="39" customHeight="1">
      <c r="A66" s="208" t="s">
        <v>590</v>
      </c>
      <c r="B66" s="207" t="s">
        <v>591</v>
      </c>
      <c r="C66" s="208"/>
      <c r="D66" s="211">
        <v>2181912035</v>
      </c>
      <c r="E66" s="211">
        <v>2462067601</v>
      </c>
      <c r="F66" s="210">
        <v>1.09351255800556</v>
      </c>
    </row>
    <row r="67" spans="1:6" ht="39" customHeight="1">
      <c r="A67" s="208" t="s">
        <v>592</v>
      </c>
      <c r="B67" s="207" t="s">
        <v>593</v>
      </c>
      <c r="C67" s="208"/>
      <c r="D67" s="211">
        <v>30770556</v>
      </c>
      <c r="E67" s="211">
        <v>34721464</v>
      </c>
      <c r="F67" s="210">
        <v>1.09351257754844</v>
      </c>
    </row>
    <row r="68" spans="1:6" ht="39" customHeight="1">
      <c r="A68" s="208" t="s">
        <v>594</v>
      </c>
      <c r="B68" s="207" t="s">
        <v>595</v>
      </c>
      <c r="C68" s="208"/>
      <c r="D68" s="211">
        <v>49232888</v>
      </c>
      <c r="E68" s="211">
        <v>55554346</v>
      </c>
      <c r="F68" s="210">
        <v>1.0935126100172901</v>
      </c>
    </row>
    <row r="69" spans="1:6" ht="39" customHeight="1">
      <c r="A69" s="208" t="s">
        <v>596</v>
      </c>
      <c r="B69" s="207" t="s">
        <v>597</v>
      </c>
      <c r="C69" s="208"/>
      <c r="D69" s="211">
        <v>298984157</v>
      </c>
      <c r="E69" s="211">
        <v>366306722</v>
      </c>
      <c r="F69" s="210">
        <v>3.5247518063040801</v>
      </c>
    </row>
    <row r="70" spans="1:6" ht="39" customHeight="1">
      <c r="A70" s="208" t="s">
        <v>598</v>
      </c>
      <c r="B70" s="207" t="s">
        <v>599</v>
      </c>
      <c r="C70" s="208"/>
      <c r="D70" s="211">
        <v>298984157</v>
      </c>
      <c r="E70" s="211">
        <v>366306722</v>
      </c>
      <c r="F70" s="210">
        <v>3.5247518063040801</v>
      </c>
    </row>
    <row r="71" spans="1:6" ht="46" customHeight="1">
      <c r="A71" s="208" t="s">
        <v>600</v>
      </c>
      <c r="B71" s="207" t="s">
        <v>601</v>
      </c>
      <c r="C71" s="208"/>
      <c r="D71" s="211">
        <v>0</v>
      </c>
      <c r="E71" s="211">
        <v>0</v>
      </c>
      <c r="F71" s="210"/>
    </row>
    <row r="72" spans="1:6" ht="39" customHeight="1">
      <c r="A72" s="208" t="s">
        <v>602</v>
      </c>
      <c r="B72" s="207" t="s">
        <v>603</v>
      </c>
      <c r="C72" s="208"/>
      <c r="D72" s="211">
        <v>102757168</v>
      </c>
      <c r="E72" s="211">
        <v>89203951</v>
      </c>
      <c r="F72" s="210">
        <v>2.0539222621367101</v>
      </c>
    </row>
    <row r="73" spans="1:6" ht="39" customHeight="1">
      <c r="A73" s="208" t="s">
        <v>604</v>
      </c>
      <c r="B73" s="207" t="s">
        <v>605</v>
      </c>
      <c r="C73" s="208"/>
      <c r="D73" s="211">
        <v>44757168</v>
      </c>
      <c r="E73" s="211">
        <v>50503951</v>
      </c>
      <c r="F73" s="210">
        <v>1.0935125243692101</v>
      </c>
    </row>
    <row r="74" spans="1:6" ht="39" customHeight="1">
      <c r="A74" s="208" t="s">
        <v>606</v>
      </c>
      <c r="B74" s="207" t="s">
        <v>607</v>
      </c>
      <c r="C74" s="208"/>
      <c r="D74" s="211">
        <v>58000000</v>
      </c>
      <c r="E74" s="211">
        <v>38700000</v>
      </c>
      <c r="F74" s="210">
        <v>6.3736263736263696</v>
      </c>
    </row>
    <row r="75" spans="1:6" ht="60" customHeight="1">
      <c r="A75" s="208" t="s">
        <v>608</v>
      </c>
      <c r="B75" s="207" t="s">
        <v>609</v>
      </c>
      <c r="C75" s="208"/>
      <c r="D75" s="211">
        <v>0</v>
      </c>
      <c r="E75" s="211">
        <v>0</v>
      </c>
      <c r="F75" s="210"/>
    </row>
    <row r="76" spans="1:6" ht="39" customHeight="1">
      <c r="A76" s="208" t="s">
        <v>610</v>
      </c>
      <c r="B76" s="207" t="s">
        <v>611</v>
      </c>
      <c r="C76" s="208"/>
      <c r="D76" s="211">
        <v>156529273</v>
      </c>
      <c r="E76" s="211">
        <v>140027756</v>
      </c>
      <c r="F76" s="210">
        <v>1.03547166800284</v>
      </c>
    </row>
    <row r="77" spans="1:6" ht="39" customHeight="1">
      <c r="A77" s="208" t="s">
        <v>612</v>
      </c>
      <c r="B77" s="207" t="s">
        <v>613</v>
      </c>
      <c r="C77" s="208"/>
      <c r="D77" s="211">
        <v>0</v>
      </c>
      <c r="E77" s="211">
        <v>0</v>
      </c>
      <c r="F77" s="210"/>
    </row>
    <row r="78" spans="1:6" ht="39" customHeight="1">
      <c r="A78" s="208" t="s">
        <v>614</v>
      </c>
      <c r="B78" s="207" t="s">
        <v>615</v>
      </c>
      <c r="C78" s="208"/>
      <c r="D78" s="211">
        <v>0</v>
      </c>
      <c r="E78" s="211">
        <v>0</v>
      </c>
      <c r="F78" s="210"/>
    </row>
    <row r="79" spans="1:6" ht="39" customHeight="1">
      <c r="A79" s="208" t="s">
        <v>616</v>
      </c>
      <c r="B79" s="207" t="s">
        <v>617</v>
      </c>
      <c r="C79" s="208"/>
      <c r="D79" s="211">
        <v>13200000</v>
      </c>
      <c r="E79" s="211">
        <v>13200000</v>
      </c>
      <c r="F79" s="210">
        <v>1.2</v>
      </c>
    </row>
    <row r="80" spans="1:6" ht="48" customHeight="1">
      <c r="A80" s="208" t="s">
        <v>618</v>
      </c>
      <c r="B80" s="207" t="s">
        <v>619</v>
      </c>
      <c r="C80" s="208"/>
      <c r="D80" s="211">
        <v>0</v>
      </c>
      <c r="E80" s="211">
        <v>0</v>
      </c>
      <c r="F80" s="210"/>
    </row>
    <row r="81" spans="1:6" ht="39" customHeight="1">
      <c r="A81" s="208" t="s">
        <v>620</v>
      </c>
      <c r="B81" s="207" t="s">
        <v>621</v>
      </c>
      <c r="C81" s="208"/>
      <c r="D81" s="211">
        <v>0</v>
      </c>
      <c r="E81" s="211">
        <v>0</v>
      </c>
      <c r="F81" s="210"/>
    </row>
    <row r="82" spans="1:6" ht="39" customHeight="1">
      <c r="A82" s="208" t="s">
        <v>622</v>
      </c>
      <c r="B82" s="207" t="s">
        <v>623</v>
      </c>
      <c r="C82" s="208"/>
      <c r="D82" s="211">
        <v>176482966</v>
      </c>
      <c r="E82" s="211">
        <v>176482966</v>
      </c>
      <c r="F82" s="210">
        <v>1</v>
      </c>
    </row>
    <row r="83" spans="1:6" ht="39" customHeight="1">
      <c r="A83" s="208" t="s">
        <v>624</v>
      </c>
      <c r="B83" s="207" t="s">
        <v>625</v>
      </c>
      <c r="C83" s="208"/>
      <c r="D83" s="211">
        <v>0</v>
      </c>
      <c r="E83" s="211">
        <v>0</v>
      </c>
      <c r="F83" s="210"/>
    </row>
    <row r="84" spans="1:6" ht="48" customHeight="1">
      <c r="A84" s="208" t="s">
        <v>626</v>
      </c>
      <c r="B84" s="207" t="s">
        <v>627</v>
      </c>
      <c r="C84" s="208"/>
      <c r="D84" s="211">
        <v>0</v>
      </c>
      <c r="E84" s="211">
        <v>0</v>
      </c>
      <c r="F84" s="210"/>
    </row>
    <row r="85" spans="1:6" ht="45" customHeight="1">
      <c r="A85" s="208" t="s">
        <v>628</v>
      </c>
      <c r="B85" s="207" t="s">
        <v>629</v>
      </c>
      <c r="C85" s="208"/>
      <c r="D85" s="211">
        <v>0</v>
      </c>
      <c r="E85" s="211">
        <v>0</v>
      </c>
      <c r="F85" s="210"/>
    </row>
    <row r="86" spans="1:6" ht="39" customHeight="1">
      <c r="A86" s="208" t="s">
        <v>630</v>
      </c>
      <c r="B86" s="207" t="s">
        <v>631</v>
      </c>
      <c r="C86" s="208"/>
      <c r="D86" s="211">
        <v>176482966</v>
      </c>
      <c r="E86" s="211">
        <v>176482966</v>
      </c>
      <c r="F86" s="210">
        <v>1</v>
      </c>
    </row>
    <row r="87" spans="1:6" ht="39" customHeight="1">
      <c r="A87" s="208" t="s">
        <v>632</v>
      </c>
      <c r="B87" s="207" t="s">
        <v>633</v>
      </c>
      <c r="C87" s="208"/>
      <c r="D87" s="211">
        <v>0</v>
      </c>
      <c r="E87" s="211">
        <v>0</v>
      </c>
      <c r="F87" s="210"/>
    </row>
    <row r="88" spans="1:6" ht="39" customHeight="1">
      <c r="A88" s="208" t="s">
        <v>634</v>
      </c>
      <c r="B88" s="207" t="s">
        <v>635</v>
      </c>
      <c r="C88" s="208"/>
      <c r="D88" s="211">
        <v>0</v>
      </c>
      <c r="E88" s="211">
        <v>0</v>
      </c>
      <c r="F88" s="210"/>
    </row>
    <row r="89" spans="1:6" ht="39" customHeight="1">
      <c r="A89" s="208" t="s">
        <v>636</v>
      </c>
      <c r="B89" s="207" t="s">
        <v>637</v>
      </c>
      <c r="C89" s="208"/>
      <c r="D89" s="211">
        <v>0</v>
      </c>
      <c r="E89" s="211">
        <v>0</v>
      </c>
      <c r="F89" s="210"/>
    </row>
    <row r="90" spans="1:6" ht="39" customHeight="1">
      <c r="A90" s="208" t="s">
        <v>638</v>
      </c>
      <c r="B90" s="207" t="s">
        <v>639</v>
      </c>
      <c r="C90" s="208"/>
      <c r="D90" s="211">
        <v>0</v>
      </c>
      <c r="E90" s="211">
        <v>0</v>
      </c>
      <c r="F90" s="210"/>
    </row>
    <row r="91" spans="1:6" ht="39" customHeight="1">
      <c r="A91" s="213" t="s">
        <v>832</v>
      </c>
      <c r="B91" s="212" t="s">
        <v>641</v>
      </c>
      <c r="C91" s="213"/>
      <c r="D91" s="215">
        <v>65548752290</v>
      </c>
      <c r="E91" s="215">
        <v>120608477253</v>
      </c>
      <c r="F91" s="214">
        <v>1.7907792104241</v>
      </c>
    </row>
    <row r="92" spans="1:6" ht="39" customHeight="1">
      <c r="A92" s="208" t="s">
        <v>642</v>
      </c>
      <c r="B92" s="207" t="s">
        <v>833</v>
      </c>
      <c r="C92" s="208"/>
      <c r="D92" s="211">
        <v>1299903305101</v>
      </c>
      <c r="E92" s="211">
        <v>1396146431320</v>
      </c>
      <c r="F92" s="210">
        <v>0.99867221109501403</v>
      </c>
    </row>
    <row r="93" spans="1:6" ht="39" customHeight="1">
      <c r="A93" s="208" t="s">
        <v>643</v>
      </c>
      <c r="B93" s="207" t="s">
        <v>834</v>
      </c>
      <c r="C93" s="208"/>
      <c r="D93" s="216">
        <v>24805778.670000002</v>
      </c>
      <c r="E93" s="216">
        <v>24948913.34</v>
      </c>
      <c r="F93" s="210">
        <v>1.4928557575543899</v>
      </c>
    </row>
    <row r="94" spans="1:6" ht="39" customHeight="1">
      <c r="A94" s="208" t="s">
        <v>644</v>
      </c>
      <c r="B94" s="207" t="s">
        <v>835</v>
      </c>
      <c r="C94" s="208"/>
      <c r="D94" s="216">
        <v>52403.24</v>
      </c>
      <c r="E94" s="216">
        <v>55960.21</v>
      </c>
      <c r="F94" s="210">
        <v>0.66896765396698199</v>
      </c>
    </row>
    <row r="95" spans="1:6" s="48" customFormat="1" ht="16.899999999999999" customHeight="1"/>
    <row r="96" spans="1:6" s="48" customFormat="1" ht="16.899999999999999" customHeight="1">
      <c r="A96" s="69" t="s">
        <v>10</v>
      </c>
      <c r="B96" s="49"/>
      <c r="C96" s="49"/>
      <c r="D96" s="69" t="s">
        <v>11</v>
      </c>
      <c r="E96" s="49"/>
      <c r="F96" s="49"/>
    </row>
    <row r="97" spans="1:6" s="51" customFormat="1" ht="16.899999999999999" customHeight="1">
      <c r="A97" s="70" t="s">
        <v>12</v>
      </c>
      <c r="B97" s="52"/>
      <c r="C97" s="52"/>
      <c r="D97" s="70" t="s">
        <v>13</v>
      </c>
      <c r="E97" s="52"/>
      <c r="F97" s="52"/>
    </row>
    <row r="98" spans="1:6" s="48" customFormat="1" ht="16.899999999999999" customHeight="1">
      <c r="A98" s="49"/>
      <c r="B98" s="49"/>
      <c r="C98" s="49"/>
      <c r="D98" s="49"/>
      <c r="E98" s="49"/>
      <c r="F98" s="49"/>
    </row>
    <row r="99" spans="1:6" s="48" customFormat="1" ht="16.899999999999999" customHeight="1">
      <c r="A99" s="49"/>
      <c r="B99" s="49"/>
      <c r="C99" s="49"/>
      <c r="D99" s="49"/>
      <c r="E99" s="49"/>
      <c r="F99" s="49"/>
    </row>
    <row r="100" spans="1:6" s="48" customFormat="1" ht="16.899999999999999" customHeight="1">
      <c r="A100" s="49"/>
      <c r="B100" s="49"/>
      <c r="C100" s="49"/>
      <c r="D100" s="49"/>
      <c r="E100" s="49"/>
      <c r="F100" s="49"/>
    </row>
    <row r="101" spans="1:6" s="48" customFormat="1" ht="16.899999999999999" customHeight="1">
      <c r="A101" s="49"/>
      <c r="B101" s="49"/>
      <c r="C101" s="49"/>
      <c r="D101" s="49"/>
      <c r="E101" s="49"/>
      <c r="F101" s="49"/>
    </row>
    <row r="102" spans="1:6" s="48" customFormat="1" ht="16.899999999999999" customHeight="1">
      <c r="A102" s="49"/>
      <c r="B102" s="49"/>
      <c r="C102" s="49"/>
      <c r="D102" s="49"/>
      <c r="E102" s="49"/>
      <c r="F102" s="49"/>
    </row>
    <row r="103" spans="1:6" s="48" customFormat="1" ht="16.899999999999999" customHeight="1">
      <c r="A103" s="49"/>
      <c r="B103" s="49"/>
      <c r="C103" s="49"/>
      <c r="D103" s="49"/>
      <c r="E103" s="49"/>
      <c r="F103" s="49"/>
    </row>
    <row r="104" spans="1:6" s="48" customFormat="1" ht="16.899999999999999" customHeight="1">
      <c r="A104" s="201"/>
      <c r="B104" s="201"/>
      <c r="C104" s="49"/>
      <c r="D104" s="201"/>
      <c r="E104" s="201"/>
      <c r="F104" s="201"/>
    </row>
    <row r="105" spans="1:6" s="48" customFormat="1" ht="16.899999999999999" customHeight="1">
      <c r="A105" s="68" t="s">
        <v>14</v>
      </c>
      <c r="B105" s="199"/>
      <c r="C105" s="49"/>
      <c r="D105" s="68" t="s">
        <v>797</v>
      </c>
      <c r="E105" s="199"/>
      <c r="F105" s="199"/>
    </row>
    <row r="106" spans="1:6" s="48" customFormat="1" ht="16.899999999999999" customHeight="1">
      <c r="A106" s="198" t="s">
        <v>804</v>
      </c>
      <c r="B106" s="50"/>
      <c r="C106" s="49"/>
      <c r="D106" s="198" t="s">
        <v>805</v>
      </c>
      <c r="E106" s="50"/>
      <c r="F106" s="50"/>
    </row>
    <row r="107" spans="1:6" s="48" customFormat="1" ht="16.899999999999999" customHeight="1">
      <c r="A107" s="49" t="s">
        <v>806</v>
      </c>
      <c r="B107" s="49"/>
      <c r="C107" s="49"/>
      <c r="D107" s="49" t="s">
        <v>807</v>
      </c>
      <c r="E107" s="49"/>
      <c r="F107" s="49"/>
    </row>
    <row r="108" spans="1:6" ht="16.899999999999999" customHeight="1"/>
  </sheetData>
  <mergeCells count="20">
    <mergeCell ref="A1:F1"/>
    <mergeCell ref="A2:F2"/>
    <mergeCell ref="A3:F4"/>
    <mergeCell ref="A5:F5"/>
    <mergeCell ref="A7:B7"/>
    <mergeCell ref="C7:F7"/>
    <mergeCell ref="A8:B8"/>
    <mergeCell ref="C8:F8"/>
    <mergeCell ref="A9:B9"/>
    <mergeCell ref="C9:F9"/>
    <mergeCell ref="A10:B10"/>
    <mergeCell ref="C10:F10"/>
    <mergeCell ref="A14:B14"/>
    <mergeCell ref="C14:F14"/>
    <mergeCell ref="A11:B11"/>
    <mergeCell ref="C11:F11"/>
    <mergeCell ref="A12:B12"/>
    <mergeCell ref="C12:F12"/>
    <mergeCell ref="A13:B13"/>
    <mergeCell ref="C13:F13"/>
  </mergeCells>
  <printOptions horizontalCentered="1"/>
  <pageMargins left="0.3" right="0.3" top="0.75" bottom="0.5" header="0.3" footer="0.3"/>
  <pageSetup paperSize="9" scale="70" fitToHeight="6" orientation="portrait" r:id="rId1"/>
  <headerFooter>
    <oddHeader>&amp;L&amp;"Arial"&amp;9&amp;K317100PUBLIC&amp;1#</oddHeader>
  </headerFooter>
  <colBreaks count="1" manualBreakCount="1">
    <brk id="6" max="108" man="1"/>
  </col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96"/>
  <sheetViews>
    <sheetView view="pageBreakPreview" topLeftCell="A13" zoomScale="107" zoomScaleNormal="100" zoomScaleSheetLayoutView="95" workbookViewId="0">
      <selection activeCell="C19" sqref="C19:C82"/>
    </sheetView>
  </sheetViews>
  <sheetFormatPr defaultColWidth="8.7265625" defaultRowHeight="12.5"/>
  <cols>
    <col min="1" max="1" width="8.7265625" style="59"/>
    <col min="2" max="2" width="46.26953125" style="59" customWidth="1"/>
    <col min="3" max="3" width="10.7265625" style="59" bestFit="1" customWidth="1"/>
    <col min="4" max="4" width="21.26953125" style="59" customWidth="1"/>
    <col min="5" max="5" width="21" style="59" customWidth="1"/>
    <col min="6" max="6" width="22" style="59" customWidth="1"/>
    <col min="7" max="7" width="8.7265625" style="59"/>
    <col min="8" max="16384" width="8.7265625" style="75"/>
  </cols>
  <sheetData>
    <row r="1" spans="1:6" ht="22.9" customHeight="1">
      <c r="A1" s="254" t="s">
        <v>820</v>
      </c>
      <c r="B1" s="254"/>
      <c r="C1" s="254"/>
      <c r="D1" s="254"/>
      <c r="E1" s="254"/>
      <c r="F1" s="254"/>
    </row>
    <row r="2" spans="1:6" ht="45" customHeight="1">
      <c r="A2" s="255" t="s">
        <v>821</v>
      </c>
      <c r="B2" s="255"/>
      <c r="C2" s="255"/>
      <c r="D2" s="255"/>
      <c r="E2" s="255"/>
      <c r="F2" s="255"/>
    </row>
    <row r="3" spans="1:6" ht="22.5" customHeight="1">
      <c r="A3" s="256" t="s">
        <v>822</v>
      </c>
      <c r="B3" s="256"/>
      <c r="C3" s="256"/>
      <c r="D3" s="256"/>
      <c r="E3" s="256"/>
      <c r="F3" s="256"/>
    </row>
    <row r="4" spans="1:6" ht="21" customHeight="1">
      <c r="A4" s="256"/>
      <c r="B4" s="256"/>
      <c r="C4" s="256"/>
      <c r="D4" s="256"/>
      <c r="E4" s="256"/>
      <c r="F4" s="256"/>
    </row>
    <row r="5" spans="1:6" ht="16.149999999999999" customHeight="1">
      <c r="A5" s="257" t="s">
        <v>796</v>
      </c>
      <c r="B5" s="257"/>
      <c r="C5" s="257"/>
      <c r="D5" s="257"/>
      <c r="E5" s="257"/>
      <c r="F5" s="257"/>
    </row>
    <row r="7" spans="1:6" ht="16.899999999999999" customHeight="1">
      <c r="A7" s="71" t="s">
        <v>2</v>
      </c>
      <c r="C7" s="276" t="s">
        <v>797</v>
      </c>
      <c r="D7" s="276"/>
      <c r="E7" s="276"/>
      <c r="F7" s="276"/>
    </row>
    <row r="8" spans="1:6" ht="16.899999999999999" customHeight="1">
      <c r="A8" s="59" t="s">
        <v>41</v>
      </c>
      <c r="C8" s="275" t="s">
        <v>798</v>
      </c>
      <c r="D8" s="275"/>
      <c r="E8" s="275"/>
      <c r="F8" s="275"/>
    </row>
    <row r="9" spans="1:6" ht="16.899999999999999" customHeight="1">
      <c r="A9" s="71" t="s">
        <v>3</v>
      </c>
      <c r="C9" s="276" t="s">
        <v>799</v>
      </c>
      <c r="D9" s="276"/>
      <c r="E9" s="276"/>
      <c r="F9" s="276"/>
    </row>
    <row r="10" spans="1:6" ht="16.899999999999999" customHeight="1">
      <c r="A10" s="59" t="s">
        <v>4</v>
      </c>
      <c r="C10" s="275" t="s">
        <v>800</v>
      </c>
      <c r="D10" s="275"/>
      <c r="E10" s="275"/>
      <c r="F10" s="275"/>
    </row>
    <row r="11" spans="1:6" ht="16.899999999999999" customHeight="1">
      <c r="A11" s="71" t="s">
        <v>5</v>
      </c>
      <c r="C11" s="276" t="s">
        <v>801</v>
      </c>
      <c r="D11" s="276"/>
      <c r="E11" s="276"/>
      <c r="F11" s="276"/>
    </row>
    <row r="12" spans="1:6" ht="16.899999999999999" customHeight="1">
      <c r="A12" s="59" t="s">
        <v>6</v>
      </c>
      <c r="C12" s="275" t="s">
        <v>819</v>
      </c>
      <c r="D12" s="275"/>
      <c r="E12" s="275"/>
      <c r="F12" s="275"/>
    </row>
    <row r="13" spans="1:6" ht="16.899999999999999" customHeight="1">
      <c r="A13" s="71" t="s">
        <v>7</v>
      </c>
      <c r="C13" s="276" t="s">
        <v>802</v>
      </c>
      <c r="D13" s="276"/>
      <c r="E13" s="276"/>
      <c r="F13" s="276"/>
    </row>
    <row r="14" spans="1:6" ht="16.899999999999999" customHeight="1">
      <c r="A14" s="59" t="s">
        <v>8</v>
      </c>
      <c r="C14" s="275" t="s">
        <v>803</v>
      </c>
      <c r="D14" s="275"/>
      <c r="E14" s="275"/>
      <c r="F14" s="275"/>
    </row>
    <row r="15" spans="1:6" ht="16.899999999999999" customHeight="1"/>
    <row r="16" spans="1:6" ht="16.899999999999999" customHeight="1">
      <c r="A16" s="206" t="s">
        <v>823</v>
      </c>
      <c r="B16" s="98" t="s">
        <v>824</v>
      </c>
      <c r="C16" s="98"/>
      <c r="D16" s="98"/>
      <c r="E16" s="98"/>
      <c r="F16" s="98"/>
    </row>
    <row r="17" spans="1:7" ht="16.899999999999999" customHeight="1">
      <c r="A17" s="73" t="s">
        <v>48</v>
      </c>
      <c r="B17" s="74" t="s">
        <v>53</v>
      </c>
    </row>
    <row r="18" spans="1:7" ht="44.65" customHeight="1">
      <c r="A18" s="55" t="s">
        <v>43</v>
      </c>
      <c r="B18" s="53" t="s">
        <v>44</v>
      </c>
      <c r="C18" s="53" t="s">
        <v>45</v>
      </c>
      <c r="D18" s="54" t="s">
        <v>810</v>
      </c>
      <c r="E18" s="54" t="s">
        <v>811</v>
      </c>
      <c r="F18" s="76" t="s">
        <v>188</v>
      </c>
      <c r="G18" s="77"/>
    </row>
    <row r="19" spans="1:7" s="82" customFormat="1" ht="39" customHeight="1">
      <c r="A19" s="61" t="s">
        <v>42</v>
      </c>
      <c r="B19" s="78" t="s">
        <v>61</v>
      </c>
      <c r="C19" s="79"/>
      <c r="D19" s="80">
        <v>2965077029</v>
      </c>
      <c r="E19" s="80">
        <v>2722677858</v>
      </c>
      <c r="F19" s="80">
        <v>28525968766</v>
      </c>
      <c r="G19" s="81"/>
    </row>
    <row r="20" spans="1:7" s="82" customFormat="1" ht="39" customHeight="1">
      <c r="A20" s="62">
        <v>1</v>
      </c>
      <c r="B20" s="83" t="s">
        <v>836</v>
      </c>
      <c r="C20" s="231"/>
      <c r="D20" s="232"/>
      <c r="E20" s="232"/>
      <c r="F20" s="232"/>
      <c r="G20" s="233"/>
    </row>
    <row r="21" spans="1:7" ht="39" customHeight="1">
      <c r="A21" s="64">
        <v>2</v>
      </c>
      <c r="B21" s="83" t="s">
        <v>195</v>
      </c>
      <c r="C21" s="84"/>
      <c r="D21" s="85">
        <v>2935637259</v>
      </c>
      <c r="E21" s="85">
        <v>2646405755</v>
      </c>
      <c r="F21" s="85">
        <v>26603457461</v>
      </c>
      <c r="G21" s="77"/>
    </row>
    <row r="22" spans="1:7" ht="39" customHeight="1">
      <c r="A22" s="86"/>
      <c r="B22" s="87" t="s">
        <v>196</v>
      </c>
      <c r="C22" s="88"/>
      <c r="D22" s="85">
        <v>1375870000</v>
      </c>
      <c r="E22" s="85">
        <v>1353940000</v>
      </c>
      <c r="F22" s="85">
        <v>13980402500</v>
      </c>
      <c r="G22" s="77"/>
    </row>
    <row r="23" spans="1:7" ht="39" customHeight="1">
      <c r="A23" s="86"/>
      <c r="B23" s="87" t="s">
        <v>197</v>
      </c>
      <c r="C23" s="88"/>
      <c r="D23" s="85">
        <v>1559767259</v>
      </c>
      <c r="E23" s="85">
        <v>1292465755</v>
      </c>
      <c r="F23" s="85">
        <v>12623054961</v>
      </c>
      <c r="G23" s="77"/>
    </row>
    <row r="24" spans="1:7" ht="39" customHeight="1">
      <c r="A24" s="64">
        <v>3</v>
      </c>
      <c r="B24" s="83" t="s">
        <v>198</v>
      </c>
      <c r="C24" s="84"/>
      <c r="D24" s="85">
        <v>29439770</v>
      </c>
      <c r="E24" s="85">
        <v>76272103</v>
      </c>
      <c r="F24" s="85">
        <v>1922511305</v>
      </c>
      <c r="G24" s="77"/>
    </row>
    <row r="25" spans="1:7" ht="39" customHeight="1">
      <c r="A25" s="86"/>
      <c r="B25" s="87" t="s">
        <v>191</v>
      </c>
      <c r="C25" s="88"/>
      <c r="D25" s="85">
        <v>29439770</v>
      </c>
      <c r="E25" s="85">
        <v>14100871</v>
      </c>
      <c r="F25" s="85">
        <v>1087182538</v>
      </c>
      <c r="G25" s="77"/>
    </row>
    <row r="26" spans="1:7" ht="39" customHeight="1">
      <c r="A26" s="86"/>
      <c r="B26" s="87" t="s">
        <v>199</v>
      </c>
      <c r="C26" s="88"/>
      <c r="D26" s="85">
        <v>0</v>
      </c>
      <c r="E26" s="85">
        <v>62171232</v>
      </c>
      <c r="F26" s="85">
        <v>835328767</v>
      </c>
      <c r="G26" s="77"/>
    </row>
    <row r="27" spans="1:7" ht="39" customHeight="1">
      <c r="A27" s="86"/>
      <c r="B27" s="87" t="s">
        <v>225</v>
      </c>
      <c r="C27" s="88"/>
      <c r="D27" s="85">
        <v>0</v>
      </c>
      <c r="E27" s="85">
        <v>0</v>
      </c>
      <c r="F27" s="85">
        <v>0</v>
      </c>
      <c r="G27" s="77"/>
    </row>
    <row r="28" spans="1:7" ht="39" customHeight="1">
      <c r="A28" s="64">
        <v>4</v>
      </c>
      <c r="B28" s="83" t="s">
        <v>200</v>
      </c>
      <c r="C28" s="84"/>
      <c r="D28" s="85">
        <v>0</v>
      </c>
      <c r="E28" s="85">
        <v>0</v>
      </c>
      <c r="F28" s="85">
        <v>0</v>
      </c>
      <c r="G28" s="77"/>
    </row>
    <row r="29" spans="1:7" ht="39" customHeight="1">
      <c r="A29" s="89"/>
      <c r="B29" s="90" t="s">
        <v>201</v>
      </c>
      <c r="C29" s="91"/>
      <c r="D29" s="92">
        <v>0</v>
      </c>
      <c r="E29" s="92">
        <v>0</v>
      </c>
      <c r="F29" s="85">
        <v>0</v>
      </c>
      <c r="G29" s="93"/>
    </row>
    <row r="30" spans="1:7" ht="39" customHeight="1">
      <c r="A30" s="89"/>
      <c r="B30" s="90" t="s">
        <v>202</v>
      </c>
      <c r="C30" s="91"/>
      <c r="D30" s="92">
        <v>0</v>
      </c>
      <c r="E30" s="92">
        <v>0</v>
      </c>
      <c r="F30" s="85">
        <v>0</v>
      </c>
      <c r="G30" s="93"/>
    </row>
    <row r="31" spans="1:7" ht="77.650000000000006" customHeight="1">
      <c r="A31" s="89"/>
      <c r="B31" s="90" t="s">
        <v>62</v>
      </c>
      <c r="C31" s="91"/>
      <c r="D31" s="92">
        <v>0</v>
      </c>
      <c r="E31" s="92">
        <v>0</v>
      </c>
      <c r="F31" s="85">
        <v>0</v>
      </c>
      <c r="G31" s="93"/>
    </row>
    <row r="32" spans="1:7" s="82" customFormat="1" ht="39" customHeight="1">
      <c r="A32" s="61" t="s">
        <v>48</v>
      </c>
      <c r="B32" s="78" t="s">
        <v>203</v>
      </c>
      <c r="C32" s="79"/>
      <c r="D32" s="80">
        <v>5263130409</v>
      </c>
      <c r="E32" s="80">
        <v>4689951336</v>
      </c>
      <c r="F32" s="80">
        <v>42644276487</v>
      </c>
      <c r="G32" s="81"/>
    </row>
    <row r="33" spans="1:7" ht="39" customHeight="1">
      <c r="A33" s="64">
        <v>1</v>
      </c>
      <c r="B33" s="83" t="s">
        <v>837</v>
      </c>
      <c r="C33" s="84"/>
      <c r="D33" s="85">
        <v>2181912035</v>
      </c>
      <c r="E33" s="85">
        <v>2462067601</v>
      </c>
      <c r="F33" s="85">
        <v>26254238780</v>
      </c>
      <c r="G33" s="77"/>
    </row>
    <row r="34" spans="1:7" ht="57" customHeight="1">
      <c r="A34" s="64">
        <v>2</v>
      </c>
      <c r="B34" s="83" t="s">
        <v>838</v>
      </c>
      <c r="C34" s="84"/>
      <c r="D34" s="94">
        <v>155818317</v>
      </c>
      <c r="E34" s="94">
        <v>150800912</v>
      </c>
      <c r="F34" s="85">
        <v>1441419422</v>
      </c>
      <c r="G34" s="77"/>
    </row>
    <row r="35" spans="1:7" ht="39" customHeight="1">
      <c r="A35" s="67"/>
      <c r="B35" s="87" t="s">
        <v>839</v>
      </c>
      <c r="C35" s="88"/>
      <c r="D35" s="94">
        <v>44757168</v>
      </c>
      <c r="E35" s="94">
        <v>50503951</v>
      </c>
      <c r="F35" s="85">
        <v>538548482</v>
      </c>
      <c r="G35" s="77"/>
    </row>
    <row r="36" spans="1:7" ht="39" customHeight="1">
      <c r="A36" s="67"/>
      <c r="B36" s="87" t="s">
        <v>840</v>
      </c>
      <c r="C36" s="88"/>
      <c r="D36" s="94">
        <v>53100000</v>
      </c>
      <c r="E36" s="94">
        <v>36300000</v>
      </c>
      <c r="F36" s="85">
        <v>229800000</v>
      </c>
      <c r="G36" s="77"/>
    </row>
    <row r="37" spans="1:7" ht="57" customHeight="1">
      <c r="A37" s="67"/>
      <c r="B37" s="87" t="s">
        <v>841</v>
      </c>
      <c r="C37" s="88"/>
      <c r="D37" s="94">
        <v>8728261</v>
      </c>
      <c r="E37" s="94">
        <v>8442615</v>
      </c>
      <c r="F37" s="94">
        <v>80667602</v>
      </c>
      <c r="G37" s="77"/>
    </row>
    <row r="38" spans="1:7" ht="39" customHeight="1">
      <c r="A38" s="67"/>
      <c r="B38" s="87" t="s">
        <v>842</v>
      </c>
      <c r="C38" s="88"/>
      <c r="D38" s="85">
        <v>49232888</v>
      </c>
      <c r="E38" s="85">
        <v>55554346</v>
      </c>
      <c r="F38" s="85">
        <v>592403338</v>
      </c>
      <c r="G38" s="77"/>
    </row>
    <row r="39" spans="1:7" ht="73.5" customHeight="1">
      <c r="A39" s="64">
        <v>3</v>
      </c>
      <c r="B39" s="63" t="s">
        <v>843</v>
      </c>
      <c r="C39" s="84"/>
      <c r="D39" s="85">
        <v>43970556</v>
      </c>
      <c r="E39" s="85">
        <v>47921464</v>
      </c>
      <c r="F39" s="85">
        <v>489052085</v>
      </c>
      <c r="G39" s="77"/>
    </row>
    <row r="40" spans="1:7" ht="39" customHeight="1">
      <c r="A40" s="67"/>
      <c r="B40" s="65" t="s">
        <v>227</v>
      </c>
      <c r="C40" s="88"/>
      <c r="D40" s="85">
        <v>30770556</v>
      </c>
      <c r="E40" s="85">
        <v>34721464</v>
      </c>
      <c r="F40" s="85">
        <v>370252085</v>
      </c>
      <c r="G40" s="77"/>
    </row>
    <row r="41" spans="1:7" ht="39" customHeight="1">
      <c r="A41" s="67"/>
      <c r="B41" s="65" t="s">
        <v>64</v>
      </c>
      <c r="C41" s="88"/>
      <c r="D41" s="94">
        <v>13200000</v>
      </c>
      <c r="E41" s="94">
        <v>13200000</v>
      </c>
      <c r="F41" s="94">
        <v>118800000</v>
      </c>
      <c r="G41" s="77"/>
    </row>
    <row r="42" spans="1:7" ht="39" customHeight="1">
      <c r="A42" s="67">
        <v>4</v>
      </c>
      <c r="B42" s="65" t="s">
        <v>844</v>
      </c>
      <c r="C42" s="88"/>
      <c r="D42" s="94"/>
      <c r="E42" s="94"/>
      <c r="F42" s="94"/>
      <c r="G42" s="77"/>
    </row>
    <row r="43" spans="1:7" ht="39" customHeight="1">
      <c r="A43" s="67">
        <v>5</v>
      </c>
      <c r="B43" s="65" t="s">
        <v>845</v>
      </c>
      <c r="C43" s="88"/>
      <c r="D43" s="94"/>
      <c r="E43" s="94"/>
      <c r="F43" s="94"/>
      <c r="G43" s="77"/>
    </row>
    <row r="44" spans="1:7" ht="39" customHeight="1">
      <c r="A44" s="64">
        <v>6</v>
      </c>
      <c r="B44" s="83" t="s">
        <v>65</v>
      </c>
      <c r="C44" s="84"/>
      <c r="D44" s="85">
        <v>16501517</v>
      </c>
      <c r="E44" s="85">
        <v>15969211</v>
      </c>
      <c r="F44" s="85">
        <v>157471273</v>
      </c>
      <c r="G44" s="77"/>
    </row>
    <row r="45" spans="1:7" ht="77.650000000000006" customHeight="1">
      <c r="A45" s="64">
        <v>7</v>
      </c>
      <c r="B45" s="83" t="s">
        <v>228</v>
      </c>
      <c r="C45" s="84"/>
      <c r="D45" s="85">
        <v>12719537</v>
      </c>
      <c r="E45" s="85">
        <v>12696325</v>
      </c>
      <c r="F45" s="85">
        <v>229784137</v>
      </c>
      <c r="G45" s="77"/>
    </row>
    <row r="46" spans="1:7" ht="39" customHeight="1">
      <c r="A46" s="67"/>
      <c r="B46" s="66" t="s">
        <v>229</v>
      </c>
      <c r="C46" s="88"/>
      <c r="D46" s="85">
        <v>12719537</v>
      </c>
      <c r="E46" s="85">
        <v>12696325</v>
      </c>
      <c r="F46" s="85">
        <v>155584138</v>
      </c>
      <c r="G46" s="77"/>
    </row>
    <row r="47" spans="1:7" ht="39" customHeight="1">
      <c r="A47" s="67"/>
      <c r="B47" s="66" t="s">
        <v>204</v>
      </c>
      <c r="C47" s="88"/>
      <c r="D47" s="85">
        <v>0</v>
      </c>
      <c r="E47" s="85">
        <v>0</v>
      </c>
      <c r="F47" s="85">
        <v>74199999</v>
      </c>
      <c r="G47" s="77"/>
    </row>
    <row r="48" spans="1:7" ht="39" customHeight="1">
      <c r="A48" s="67"/>
      <c r="B48" s="66" t="s">
        <v>67</v>
      </c>
      <c r="C48" s="88"/>
      <c r="D48" s="94">
        <v>0</v>
      </c>
      <c r="E48" s="94">
        <v>0</v>
      </c>
      <c r="F48" s="85">
        <v>0</v>
      </c>
      <c r="G48" s="77"/>
    </row>
    <row r="49" spans="1:7" ht="148.9" customHeight="1">
      <c r="A49" s="64">
        <v>8</v>
      </c>
      <c r="B49" s="63" t="s">
        <v>230</v>
      </c>
      <c r="C49" s="84"/>
      <c r="D49" s="85">
        <v>0</v>
      </c>
      <c r="E49" s="85">
        <v>0</v>
      </c>
      <c r="F49" s="85">
        <v>35094216</v>
      </c>
      <c r="G49" s="77"/>
    </row>
    <row r="50" spans="1:7" ht="39" customHeight="1">
      <c r="A50" s="67"/>
      <c r="B50" s="65" t="s">
        <v>205</v>
      </c>
      <c r="C50" s="88"/>
      <c r="D50" s="85">
        <v>0</v>
      </c>
      <c r="E50" s="85">
        <v>0</v>
      </c>
      <c r="F50" s="85">
        <v>35094216</v>
      </c>
      <c r="G50" s="77"/>
    </row>
    <row r="51" spans="1:7" ht="39" customHeight="1">
      <c r="A51" s="67"/>
      <c r="B51" s="65" t="s">
        <v>152</v>
      </c>
      <c r="C51" s="88"/>
      <c r="D51" s="85">
        <v>0</v>
      </c>
      <c r="E51" s="85">
        <v>0</v>
      </c>
      <c r="F51" s="85">
        <v>0</v>
      </c>
      <c r="G51" s="77"/>
    </row>
    <row r="52" spans="1:7" ht="39" customHeight="1">
      <c r="A52" s="67"/>
      <c r="B52" s="65" t="s">
        <v>231</v>
      </c>
      <c r="C52" s="88"/>
      <c r="D52" s="85">
        <v>0</v>
      </c>
      <c r="E52" s="85">
        <v>0</v>
      </c>
      <c r="F52" s="85">
        <v>0</v>
      </c>
      <c r="G52" s="77"/>
    </row>
    <row r="53" spans="1:7" ht="39" customHeight="1">
      <c r="A53" s="67"/>
      <c r="B53" s="66" t="s">
        <v>206</v>
      </c>
      <c r="C53" s="88"/>
      <c r="D53" s="85">
        <v>0</v>
      </c>
      <c r="E53" s="85">
        <v>0</v>
      </c>
      <c r="F53" s="85">
        <v>0</v>
      </c>
      <c r="G53" s="77"/>
    </row>
    <row r="54" spans="1:7" ht="39" customHeight="1">
      <c r="A54" s="67"/>
      <c r="B54" s="66" t="s">
        <v>846</v>
      </c>
      <c r="C54" s="88"/>
      <c r="D54" s="85">
        <v>0</v>
      </c>
      <c r="E54" s="85">
        <v>0</v>
      </c>
      <c r="F54" s="85">
        <v>0</v>
      </c>
      <c r="G54" s="77"/>
    </row>
    <row r="55" spans="1:7" ht="66" customHeight="1">
      <c r="A55" s="64">
        <v>9</v>
      </c>
      <c r="B55" s="83" t="s">
        <v>232</v>
      </c>
      <c r="C55" s="84"/>
      <c r="D55" s="94">
        <v>2844467197</v>
      </c>
      <c r="E55" s="94">
        <v>1990166823</v>
      </c>
      <c r="F55" s="94">
        <v>13959634949</v>
      </c>
      <c r="G55" s="77"/>
    </row>
    <row r="56" spans="1:7" ht="39" customHeight="1">
      <c r="A56" s="67"/>
      <c r="B56" s="87" t="s">
        <v>69</v>
      </c>
      <c r="C56" s="88"/>
      <c r="D56" s="94">
        <v>2828978199</v>
      </c>
      <c r="E56" s="94">
        <v>1984597772</v>
      </c>
      <c r="F56" s="85">
        <v>13918857075</v>
      </c>
      <c r="G56" s="77"/>
    </row>
    <row r="57" spans="1:7" ht="39" customHeight="1">
      <c r="A57" s="67"/>
      <c r="B57" s="87" t="s">
        <v>70</v>
      </c>
      <c r="C57" s="88"/>
      <c r="D57" s="94">
        <v>5488998</v>
      </c>
      <c r="E57" s="94">
        <v>5569051</v>
      </c>
      <c r="F57" s="85">
        <v>30777874</v>
      </c>
      <c r="G57" s="77"/>
    </row>
    <row r="58" spans="1:7" ht="39" customHeight="1">
      <c r="A58" s="67"/>
      <c r="B58" s="87" t="s">
        <v>71</v>
      </c>
      <c r="C58" s="88"/>
      <c r="D58" s="94">
        <v>10000000</v>
      </c>
      <c r="E58" s="94">
        <v>0</v>
      </c>
      <c r="F58" s="85">
        <v>10000000</v>
      </c>
      <c r="G58" s="77"/>
    </row>
    <row r="59" spans="1:7" ht="39" customHeight="1">
      <c r="A59" s="64">
        <v>10</v>
      </c>
      <c r="B59" s="83" t="s">
        <v>847</v>
      </c>
      <c r="C59" s="84"/>
      <c r="D59" s="94">
        <v>7741250</v>
      </c>
      <c r="E59" s="94">
        <v>10329000</v>
      </c>
      <c r="F59" s="94">
        <v>77581625</v>
      </c>
      <c r="G59" s="77"/>
    </row>
    <row r="60" spans="1:7" ht="39" customHeight="1">
      <c r="A60" s="64"/>
      <c r="B60" s="87" t="s">
        <v>72</v>
      </c>
      <c r="C60" s="88"/>
      <c r="D60" s="94">
        <v>0</v>
      </c>
      <c r="E60" s="94">
        <v>0</v>
      </c>
      <c r="F60" s="94">
        <v>0</v>
      </c>
      <c r="G60" s="95"/>
    </row>
    <row r="61" spans="1:7" ht="39" customHeight="1">
      <c r="A61" s="64"/>
      <c r="B61" s="87" t="s">
        <v>233</v>
      </c>
      <c r="C61" s="88"/>
      <c r="D61" s="94">
        <v>0</v>
      </c>
      <c r="E61" s="94">
        <v>0</v>
      </c>
      <c r="F61" s="94">
        <v>0</v>
      </c>
      <c r="G61" s="95"/>
    </row>
    <row r="62" spans="1:7" ht="39" customHeight="1">
      <c r="A62" s="64"/>
      <c r="B62" s="87" t="s">
        <v>73</v>
      </c>
      <c r="C62" s="88"/>
      <c r="D62" s="94">
        <v>0</v>
      </c>
      <c r="E62" s="94">
        <v>0</v>
      </c>
      <c r="F62" s="94">
        <v>0</v>
      </c>
      <c r="G62" s="95"/>
    </row>
    <row r="63" spans="1:7" ht="39" customHeight="1">
      <c r="A63" s="64"/>
      <c r="B63" s="87" t="s">
        <v>74</v>
      </c>
      <c r="C63" s="88"/>
      <c r="D63" s="94">
        <v>7741250</v>
      </c>
      <c r="E63" s="94">
        <v>10329000</v>
      </c>
      <c r="F63" s="94">
        <v>76481625</v>
      </c>
      <c r="G63" s="95"/>
    </row>
    <row r="64" spans="1:7" ht="39" customHeight="1">
      <c r="A64" s="64"/>
      <c r="B64" s="87" t="s">
        <v>234</v>
      </c>
      <c r="C64" s="88"/>
      <c r="D64" s="94">
        <v>0</v>
      </c>
      <c r="E64" s="94">
        <v>0</v>
      </c>
      <c r="F64" s="94">
        <v>0</v>
      </c>
      <c r="G64" s="95"/>
    </row>
    <row r="65" spans="1:7" ht="39" customHeight="1">
      <c r="A65" s="64"/>
      <c r="B65" s="87" t="s">
        <v>71</v>
      </c>
      <c r="C65" s="88"/>
      <c r="D65" s="94">
        <v>0</v>
      </c>
      <c r="E65" s="94">
        <v>0</v>
      </c>
      <c r="F65" s="94">
        <v>0</v>
      </c>
      <c r="G65" s="95"/>
    </row>
    <row r="66" spans="1:7" ht="39" customHeight="1">
      <c r="A66" s="64"/>
      <c r="B66" s="87" t="s">
        <v>235</v>
      </c>
      <c r="C66" s="88"/>
      <c r="D66" s="94">
        <v>0</v>
      </c>
      <c r="E66" s="94">
        <v>0</v>
      </c>
      <c r="F66" s="94">
        <v>1100000</v>
      </c>
      <c r="G66" s="95"/>
    </row>
    <row r="67" spans="1:7" s="82" customFormat="1" ht="45.75" customHeight="1">
      <c r="A67" s="96" t="s">
        <v>54</v>
      </c>
      <c r="B67" s="78" t="s">
        <v>236</v>
      </c>
      <c r="C67" s="79"/>
      <c r="D67" s="80">
        <v>-2298053380</v>
      </c>
      <c r="E67" s="80">
        <v>-1967273478</v>
      </c>
      <c r="F67" s="80">
        <v>-14118307721</v>
      </c>
      <c r="G67" s="81"/>
    </row>
    <row r="68" spans="1:7" s="82" customFormat="1" ht="39" customHeight="1">
      <c r="A68" s="96" t="s">
        <v>55</v>
      </c>
      <c r="B68" s="78" t="s">
        <v>208</v>
      </c>
      <c r="C68" s="79"/>
      <c r="D68" s="80">
        <v>-86528491722</v>
      </c>
      <c r="E68" s="80">
        <v>-195580166850</v>
      </c>
      <c r="F68" s="80">
        <v>-629155962305</v>
      </c>
      <c r="G68" s="81"/>
    </row>
    <row r="69" spans="1:7" ht="61.5" customHeight="1">
      <c r="A69" s="64">
        <v>1</v>
      </c>
      <c r="B69" s="83" t="s">
        <v>848</v>
      </c>
      <c r="C69" s="84"/>
      <c r="D69" s="85">
        <v>-105316707435</v>
      </c>
      <c r="E69" s="85">
        <v>-62093357278</v>
      </c>
      <c r="F69" s="85">
        <v>-378329868971</v>
      </c>
      <c r="G69" s="77"/>
    </row>
    <row r="70" spans="1:7" ht="39" customHeight="1">
      <c r="A70" s="64">
        <v>2</v>
      </c>
      <c r="B70" s="83" t="s">
        <v>75</v>
      </c>
      <c r="C70" s="84"/>
      <c r="D70" s="85">
        <v>18788215713</v>
      </c>
      <c r="E70" s="85">
        <v>-133486809572</v>
      </c>
      <c r="F70" s="85">
        <v>-250826093334</v>
      </c>
      <c r="G70" s="77"/>
    </row>
    <row r="71" spans="1:7" s="82" customFormat="1" ht="75" customHeight="1">
      <c r="A71" s="96" t="s">
        <v>56</v>
      </c>
      <c r="B71" s="78" t="s">
        <v>237</v>
      </c>
      <c r="C71" s="79"/>
      <c r="D71" s="80">
        <v>-88826545102</v>
      </c>
      <c r="E71" s="80">
        <v>-197547440328</v>
      </c>
      <c r="F71" s="80">
        <v>-643274270026</v>
      </c>
      <c r="G71" s="81"/>
    </row>
    <row r="72" spans="1:7" s="82" customFormat="1" ht="39" customHeight="1">
      <c r="A72" s="96" t="s">
        <v>57</v>
      </c>
      <c r="B72" s="78" t="s">
        <v>76</v>
      </c>
      <c r="C72" s="79"/>
      <c r="D72" s="80">
        <v>1396146431320</v>
      </c>
      <c r="E72" s="80">
        <v>1610464632241</v>
      </c>
      <c r="F72" s="80">
        <v>1641867480749</v>
      </c>
      <c r="G72" s="81"/>
    </row>
    <row r="73" spans="1:7" s="82" customFormat="1" ht="46.5" customHeight="1">
      <c r="A73" s="96" t="s">
        <v>58</v>
      </c>
      <c r="B73" s="78" t="s">
        <v>77</v>
      </c>
      <c r="C73" s="79"/>
      <c r="D73" s="80">
        <v>-96243126219</v>
      </c>
      <c r="E73" s="80">
        <v>-214318200921</v>
      </c>
      <c r="F73" s="80">
        <v>-341964175648</v>
      </c>
      <c r="G73" s="81"/>
    </row>
    <row r="74" spans="1:7" ht="39" customHeight="1">
      <c r="A74" s="64"/>
      <c r="B74" s="83" t="s">
        <v>78</v>
      </c>
      <c r="C74" s="84"/>
      <c r="D74" s="85"/>
      <c r="E74" s="85"/>
      <c r="F74" s="85"/>
      <c r="G74" s="77"/>
    </row>
    <row r="75" spans="1:7" ht="58.5" customHeight="1">
      <c r="A75" s="64">
        <v>1</v>
      </c>
      <c r="B75" s="83" t="s">
        <v>849</v>
      </c>
      <c r="C75" s="84"/>
      <c r="D75" s="85">
        <v>-88826545102</v>
      </c>
      <c r="E75" s="85">
        <v>-197547440328</v>
      </c>
      <c r="F75" s="94">
        <v>-643274270026</v>
      </c>
      <c r="G75" s="77"/>
    </row>
    <row r="76" spans="1:7" ht="58.5" customHeight="1">
      <c r="A76" s="64">
        <v>2</v>
      </c>
      <c r="B76" s="83" t="s">
        <v>850</v>
      </c>
      <c r="C76" s="84"/>
      <c r="D76" s="85">
        <v>0</v>
      </c>
      <c r="E76" s="85">
        <v>0</v>
      </c>
      <c r="F76" s="94">
        <v>0</v>
      </c>
      <c r="G76" s="77"/>
    </row>
    <row r="77" spans="1:7" ht="58.5" customHeight="1">
      <c r="A77" s="64">
        <v>3</v>
      </c>
      <c r="B77" s="83" t="s">
        <v>851</v>
      </c>
      <c r="C77" s="84"/>
      <c r="D77" s="85">
        <v>-7416581117</v>
      </c>
      <c r="E77" s="85">
        <v>-16770760593</v>
      </c>
      <c r="F77" s="85">
        <v>301310094378</v>
      </c>
      <c r="G77" s="77"/>
    </row>
    <row r="78" spans="1:7" ht="62.65" customHeight="1">
      <c r="A78" s="64"/>
      <c r="B78" s="83" t="s">
        <v>238</v>
      </c>
      <c r="C78" s="84"/>
      <c r="D78" s="94">
        <v>18405663150</v>
      </c>
      <c r="E78" s="94">
        <v>27230061056</v>
      </c>
      <c r="F78" s="94">
        <v>698107928278</v>
      </c>
      <c r="G78" s="77"/>
    </row>
    <row r="79" spans="1:7" ht="46.9" customHeight="1">
      <c r="A79" s="64"/>
      <c r="B79" s="83" t="s">
        <v>239</v>
      </c>
      <c r="C79" s="84"/>
      <c r="D79" s="94">
        <v>-25822244267</v>
      </c>
      <c r="E79" s="94">
        <v>-44000821649</v>
      </c>
      <c r="F79" s="85">
        <v>-396797833900</v>
      </c>
      <c r="G79" s="77"/>
    </row>
    <row r="80" spans="1:7" s="82" customFormat="1" ht="37.9" customHeight="1">
      <c r="A80" s="61" t="s">
        <v>59</v>
      </c>
      <c r="B80" s="78" t="s">
        <v>79</v>
      </c>
      <c r="C80" s="79"/>
      <c r="D80" s="80">
        <v>1299903305101</v>
      </c>
      <c r="E80" s="80">
        <v>1396146431320</v>
      </c>
      <c r="F80" s="80">
        <v>1299903305101</v>
      </c>
      <c r="G80" s="81"/>
    </row>
    <row r="81" spans="1:7" s="82" customFormat="1" ht="57.4" customHeight="1">
      <c r="A81" s="61" t="s">
        <v>60</v>
      </c>
      <c r="B81" s="78" t="s">
        <v>209</v>
      </c>
      <c r="C81" s="79"/>
      <c r="D81" s="80">
        <v>0</v>
      </c>
      <c r="E81" s="80">
        <v>0</v>
      </c>
      <c r="F81" s="80">
        <v>0</v>
      </c>
      <c r="G81" s="97"/>
    </row>
    <row r="82" spans="1:7" ht="57" customHeight="1">
      <c r="A82" s="62"/>
      <c r="B82" s="83" t="s">
        <v>210</v>
      </c>
      <c r="C82" s="84"/>
      <c r="D82" s="105">
        <v>0</v>
      </c>
      <c r="E82" s="105">
        <v>0</v>
      </c>
      <c r="F82" s="105">
        <v>0</v>
      </c>
      <c r="G82" s="97"/>
    </row>
    <row r="85" spans="1:7" ht="16.899999999999999" customHeight="1">
      <c r="A85" s="98" t="s">
        <v>10</v>
      </c>
      <c r="D85" s="98" t="s">
        <v>11</v>
      </c>
    </row>
    <row r="86" spans="1:7" s="100" customFormat="1" ht="16.899999999999999" customHeight="1">
      <c r="A86" s="99" t="s">
        <v>12</v>
      </c>
      <c r="B86" s="99"/>
      <c r="C86" s="99"/>
      <c r="D86" s="99" t="s">
        <v>13</v>
      </c>
      <c r="E86" s="99"/>
      <c r="F86" s="99"/>
      <c r="G86" s="99"/>
    </row>
    <row r="87" spans="1:7" ht="16.899999999999999" customHeight="1"/>
    <row r="88" spans="1:7" ht="16.899999999999999" customHeight="1"/>
    <row r="89" spans="1:7" ht="16.899999999999999" customHeight="1"/>
    <row r="90" spans="1:7" ht="16.899999999999999" customHeight="1"/>
    <row r="91" spans="1:7" ht="16.899999999999999" customHeight="1"/>
    <row r="92" spans="1:7" ht="16.899999999999999" customHeight="1"/>
    <row r="93" spans="1:7" ht="16.899999999999999" customHeight="1"/>
    <row r="94" spans="1:7" ht="16.899999999999999" customHeight="1">
      <c r="A94" s="101" t="s">
        <v>14</v>
      </c>
      <c r="B94" s="102"/>
      <c r="D94" s="101" t="s">
        <v>797</v>
      </c>
      <c r="E94" s="102"/>
      <c r="F94" s="102"/>
    </row>
    <row r="95" spans="1:7" ht="16.899999999999999" customHeight="1">
      <c r="A95" s="98" t="s">
        <v>804</v>
      </c>
      <c r="D95" s="98" t="s">
        <v>805</v>
      </c>
    </row>
    <row r="96" spans="1:7" ht="16.899999999999999" customHeight="1">
      <c r="A96" s="59" t="s">
        <v>806</v>
      </c>
      <c r="D96" s="59" t="s">
        <v>807</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75" orientation="portrait" r:id="rId1"/>
  <headerFooter>
    <oddHeader>&amp;L&amp;"Arial"&amp;9&amp;K317100PUBLIC&amp;1#</oddHead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19"/>
  <sheetViews>
    <sheetView view="pageBreakPreview" topLeftCell="A18" zoomScale="95" zoomScaleNormal="100" zoomScaleSheetLayoutView="95" workbookViewId="0">
      <selection activeCell="C20" sqref="C20:C105"/>
    </sheetView>
  </sheetViews>
  <sheetFormatPr defaultColWidth="8.7265625" defaultRowHeight="12.5"/>
  <cols>
    <col min="1" max="1" width="9" style="59" customWidth="1"/>
    <col min="2" max="2" width="39.81640625" style="59" customWidth="1"/>
    <col min="3" max="3" width="9.26953125" style="59" customWidth="1"/>
    <col min="4" max="4" width="17.81640625" style="59" customWidth="1"/>
    <col min="5" max="5" width="18.26953125" style="59" customWidth="1"/>
    <col min="6" max="6" width="21.26953125" style="59" customWidth="1"/>
    <col min="7" max="7" width="15.453125" style="59" customWidth="1"/>
    <col min="8" max="16384" width="8.7265625" style="103"/>
  </cols>
  <sheetData>
    <row r="1" spans="1:7" ht="25.9" customHeight="1">
      <c r="A1" s="254" t="s">
        <v>820</v>
      </c>
      <c r="B1" s="254"/>
      <c r="C1" s="254"/>
      <c r="D1" s="254"/>
      <c r="E1" s="254"/>
      <c r="F1" s="254"/>
      <c r="G1" s="254"/>
    </row>
    <row r="2" spans="1:7" ht="44.5" customHeight="1">
      <c r="A2" s="255" t="s">
        <v>852</v>
      </c>
      <c r="B2" s="255"/>
      <c r="C2" s="255"/>
      <c r="D2" s="255"/>
      <c r="E2" s="255"/>
      <c r="F2" s="255"/>
      <c r="G2" s="255"/>
    </row>
    <row r="3" spans="1:7" ht="15" customHeight="1">
      <c r="A3" s="256" t="s">
        <v>822</v>
      </c>
      <c r="B3" s="256"/>
      <c r="C3" s="256"/>
      <c r="D3" s="256"/>
      <c r="E3" s="256"/>
      <c r="F3" s="256"/>
      <c r="G3" s="256"/>
    </row>
    <row r="4" spans="1:7" ht="27.4" customHeight="1">
      <c r="A4" s="256"/>
      <c r="B4" s="256"/>
      <c r="C4" s="256"/>
      <c r="D4" s="256"/>
      <c r="E4" s="256"/>
      <c r="F4" s="256"/>
      <c r="G4" s="256"/>
    </row>
    <row r="5" spans="1:7" ht="16.899999999999999" customHeight="1">
      <c r="A5" s="257" t="s">
        <v>795</v>
      </c>
      <c r="B5" s="257"/>
      <c r="C5" s="257"/>
      <c r="D5" s="257"/>
      <c r="E5" s="257"/>
      <c r="F5" s="257"/>
      <c r="G5" s="257"/>
    </row>
    <row r="6" spans="1:7" ht="16.899999999999999" customHeight="1"/>
    <row r="7" spans="1:7" ht="16.899999999999999" customHeight="1">
      <c r="A7" s="156" t="s">
        <v>2</v>
      </c>
      <c r="C7" s="276" t="s">
        <v>797</v>
      </c>
      <c r="D7" s="276"/>
      <c r="E7" s="276"/>
      <c r="F7" s="276"/>
      <c r="G7" s="276"/>
    </row>
    <row r="8" spans="1:7" ht="16.899999999999999" customHeight="1">
      <c r="A8" s="59" t="s">
        <v>41</v>
      </c>
      <c r="C8" s="275" t="s">
        <v>798</v>
      </c>
      <c r="D8" s="275"/>
      <c r="E8" s="275"/>
      <c r="F8" s="275"/>
      <c r="G8" s="275"/>
    </row>
    <row r="9" spans="1:7" ht="16.899999999999999" customHeight="1">
      <c r="A9" s="156" t="s">
        <v>3</v>
      </c>
      <c r="C9" s="276" t="s">
        <v>799</v>
      </c>
      <c r="D9" s="276"/>
      <c r="E9" s="276"/>
      <c r="F9" s="276"/>
      <c r="G9" s="276"/>
    </row>
    <row r="10" spans="1:7" ht="16.899999999999999" customHeight="1">
      <c r="A10" s="59" t="s">
        <v>4</v>
      </c>
      <c r="C10" s="275" t="s">
        <v>800</v>
      </c>
      <c r="D10" s="275"/>
      <c r="E10" s="275"/>
      <c r="F10" s="275"/>
      <c r="G10" s="275"/>
    </row>
    <row r="11" spans="1:7" ht="16.899999999999999" customHeight="1">
      <c r="A11" s="160" t="s">
        <v>5</v>
      </c>
      <c r="C11" s="276" t="s">
        <v>801</v>
      </c>
      <c r="D11" s="276"/>
      <c r="E11" s="276"/>
      <c r="F11" s="276"/>
      <c r="G11" s="276"/>
    </row>
    <row r="12" spans="1:7" ht="16.899999999999999" customHeight="1">
      <c r="A12" s="59" t="s">
        <v>6</v>
      </c>
      <c r="C12" s="275" t="s">
        <v>819</v>
      </c>
      <c r="D12" s="275"/>
      <c r="E12" s="275"/>
      <c r="F12" s="275"/>
      <c r="G12" s="275"/>
    </row>
    <row r="13" spans="1:7" ht="16.899999999999999" customHeight="1">
      <c r="A13" s="156" t="s">
        <v>7</v>
      </c>
      <c r="C13" s="276" t="s">
        <v>802</v>
      </c>
      <c r="D13" s="276"/>
      <c r="E13" s="276"/>
      <c r="F13" s="276"/>
      <c r="G13" s="276"/>
    </row>
    <row r="14" spans="1:7" ht="16.899999999999999" customHeight="1">
      <c r="A14" s="59" t="s">
        <v>8</v>
      </c>
      <c r="C14" s="275" t="s">
        <v>803</v>
      </c>
      <c r="D14" s="275"/>
      <c r="E14" s="275"/>
      <c r="F14" s="275"/>
      <c r="G14" s="275"/>
    </row>
    <row r="15" spans="1:7" ht="18" hidden="1" customHeight="1"/>
    <row r="16" spans="1:7" ht="16.899999999999999" customHeight="1">
      <c r="A16" s="206" t="s">
        <v>823</v>
      </c>
      <c r="B16" s="98" t="s">
        <v>824</v>
      </c>
      <c r="C16" s="98"/>
      <c r="D16" s="98"/>
      <c r="E16" s="98"/>
      <c r="F16" s="98"/>
      <c r="G16" s="98"/>
    </row>
    <row r="17" spans="1:7" ht="16.899999999999999" customHeight="1">
      <c r="A17" s="73" t="s">
        <v>54</v>
      </c>
      <c r="B17" s="74" t="s">
        <v>495</v>
      </c>
    </row>
    <row r="18" spans="1:7" ht="75.400000000000006" customHeight="1">
      <c r="A18" s="104" t="s">
        <v>186</v>
      </c>
      <c r="B18" s="104" t="s">
        <v>80</v>
      </c>
      <c r="C18" s="104" t="s">
        <v>45</v>
      </c>
      <c r="D18" s="104" t="s">
        <v>81</v>
      </c>
      <c r="E18" s="104" t="s">
        <v>82</v>
      </c>
      <c r="F18" s="104" t="s">
        <v>83</v>
      </c>
      <c r="G18" s="104" t="s">
        <v>84</v>
      </c>
    </row>
    <row r="19" spans="1:7" ht="75.400000000000006" customHeight="1">
      <c r="A19" s="238" t="s">
        <v>42</v>
      </c>
      <c r="B19" s="235" t="s">
        <v>853</v>
      </c>
      <c r="C19" s="238"/>
      <c r="D19" s="238"/>
      <c r="E19" s="238"/>
      <c r="F19" s="238"/>
      <c r="G19" s="238"/>
    </row>
    <row r="20" spans="1:7" ht="72" customHeight="1">
      <c r="A20" s="234" t="s">
        <v>48</v>
      </c>
      <c r="B20" s="235" t="s">
        <v>854</v>
      </c>
      <c r="C20" s="234"/>
      <c r="D20" s="236"/>
      <c r="E20" s="236"/>
      <c r="F20" s="236"/>
      <c r="G20" s="237"/>
    </row>
    <row r="21" spans="1:7" ht="34" customHeight="1">
      <c r="A21" s="208" t="s">
        <v>645</v>
      </c>
      <c r="B21" s="207" t="s">
        <v>646</v>
      </c>
      <c r="C21" s="209"/>
      <c r="D21" s="211">
        <v>308000</v>
      </c>
      <c r="E21" s="217">
        <v>81800</v>
      </c>
      <c r="F21" s="211">
        <v>25194400000</v>
      </c>
      <c r="G21" s="210">
        <v>1.8451325232274701E-2</v>
      </c>
    </row>
    <row r="22" spans="1:7" ht="34" customHeight="1">
      <c r="A22" s="208" t="s">
        <v>647</v>
      </c>
      <c r="B22" s="207" t="s">
        <v>648</v>
      </c>
      <c r="C22" s="209"/>
      <c r="D22" s="211">
        <v>968000</v>
      </c>
      <c r="E22" s="217">
        <v>34550</v>
      </c>
      <c r="F22" s="211">
        <v>33444400000</v>
      </c>
      <c r="G22" s="210">
        <v>2.44932803161928E-2</v>
      </c>
    </row>
    <row r="23" spans="1:7" ht="34" customHeight="1">
      <c r="A23" s="208" t="s">
        <v>649</v>
      </c>
      <c r="B23" s="207" t="s">
        <v>650</v>
      </c>
      <c r="C23" s="209"/>
      <c r="D23" s="211">
        <v>426800</v>
      </c>
      <c r="E23" s="217">
        <v>52500</v>
      </c>
      <c r="F23" s="211">
        <v>22407000000</v>
      </c>
      <c r="G23" s="210">
        <v>1.64099500079216E-2</v>
      </c>
    </row>
    <row r="24" spans="1:7" ht="34" customHeight="1">
      <c r="A24" s="208" t="s">
        <v>651</v>
      </c>
      <c r="B24" s="207" t="s">
        <v>652</v>
      </c>
      <c r="C24" s="209"/>
      <c r="D24" s="211">
        <v>81000</v>
      </c>
      <c r="E24" s="217">
        <v>45500</v>
      </c>
      <c r="F24" s="211">
        <v>3685500000</v>
      </c>
      <c r="G24" s="210">
        <v>2.6991061165794199E-3</v>
      </c>
    </row>
    <row r="25" spans="1:7" ht="34" customHeight="1">
      <c r="A25" s="208" t="s">
        <v>653</v>
      </c>
      <c r="B25" s="207" t="s">
        <v>654</v>
      </c>
      <c r="C25" s="209"/>
      <c r="D25" s="211">
        <v>77300</v>
      </c>
      <c r="E25" s="217">
        <v>42100</v>
      </c>
      <c r="F25" s="211">
        <v>3254330000</v>
      </c>
      <c r="G25" s="210">
        <v>2.3833352349390598E-3</v>
      </c>
    </row>
    <row r="26" spans="1:7" ht="34" customHeight="1">
      <c r="A26" s="208" t="s">
        <v>655</v>
      </c>
      <c r="B26" s="207" t="s">
        <v>656</v>
      </c>
      <c r="C26" s="209"/>
      <c r="D26" s="211">
        <v>826000</v>
      </c>
      <c r="E26" s="217">
        <v>24600</v>
      </c>
      <c r="F26" s="211">
        <v>20319600000</v>
      </c>
      <c r="G26" s="210">
        <v>1.48812255179615E-2</v>
      </c>
    </row>
    <row r="27" spans="1:7" ht="34" customHeight="1">
      <c r="A27" s="208" t="s">
        <v>657</v>
      </c>
      <c r="B27" s="207" t="s">
        <v>658</v>
      </c>
      <c r="C27" s="209"/>
      <c r="D27" s="211">
        <v>8000</v>
      </c>
      <c r="E27" s="217">
        <v>33000</v>
      </c>
      <c r="F27" s="211">
        <v>264000000</v>
      </c>
      <c r="G27" s="210">
        <v>1.9334256268538E-4</v>
      </c>
    </row>
    <row r="28" spans="1:7" ht="34" customHeight="1">
      <c r="A28" s="208" t="s">
        <v>659</v>
      </c>
      <c r="B28" s="207" t="s">
        <v>660</v>
      </c>
      <c r="C28" s="209"/>
      <c r="D28" s="211">
        <v>137000</v>
      </c>
      <c r="E28" s="217">
        <v>76900</v>
      </c>
      <c r="F28" s="211">
        <v>10535300000</v>
      </c>
      <c r="G28" s="210">
        <v>7.7156132600730296E-3</v>
      </c>
    </row>
    <row r="29" spans="1:7" ht="34" customHeight="1">
      <c r="A29" s="208" t="s">
        <v>661</v>
      </c>
      <c r="B29" s="207" t="s">
        <v>662</v>
      </c>
      <c r="C29" s="209"/>
      <c r="D29" s="211">
        <v>218000</v>
      </c>
      <c r="E29" s="217">
        <v>61000</v>
      </c>
      <c r="F29" s="211">
        <v>13298000000</v>
      </c>
      <c r="G29" s="210">
        <v>9.7388992370840092E-3</v>
      </c>
    </row>
    <row r="30" spans="1:7" ht="34" customHeight="1">
      <c r="A30" s="208" t="s">
        <v>663</v>
      </c>
      <c r="B30" s="207" t="s">
        <v>664</v>
      </c>
      <c r="C30" s="209"/>
      <c r="D30" s="211">
        <v>200000</v>
      </c>
      <c r="E30" s="217">
        <v>17700</v>
      </c>
      <c r="F30" s="211">
        <v>3540000000</v>
      </c>
      <c r="G30" s="210">
        <v>2.5925479996448601E-3</v>
      </c>
    </row>
    <row r="31" spans="1:7" ht="34" customHeight="1">
      <c r="A31" s="208" t="s">
        <v>665</v>
      </c>
      <c r="B31" s="207" t="s">
        <v>666</v>
      </c>
      <c r="C31" s="209"/>
      <c r="D31" s="211">
        <v>168000</v>
      </c>
      <c r="E31" s="217">
        <v>25800</v>
      </c>
      <c r="F31" s="211">
        <v>4334400000</v>
      </c>
      <c r="G31" s="210">
        <v>3.1743333473617801E-3</v>
      </c>
    </row>
    <row r="32" spans="1:7" ht="34" customHeight="1">
      <c r="A32" s="208" t="s">
        <v>667</v>
      </c>
      <c r="B32" s="207" t="s">
        <v>668</v>
      </c>
      <c r="C32" s="209"/>
      <c r="D32" s="211">
        <v>220300</v>
      </c>
      <c r="E32" s="217">
        <v>43300</v>
      </c>
      <c r="F32" s="211">
        <v>9538990000</v>
      </c>
      <c r="G32" s="210">
        <v>6.9859574698114E-3</v>
      </c>
    </row>
    <row r="33" spans="1:7" ht="34" customHeight="1">
      <c r="A33" s="208" t="s">
        <v>669</v>
      </c>
      <c r="B33" s="207" t="s">
        <v>670</v>
      </c>
      <c r="C33" s="209"/>
      <c r="D33" s="211">
        <v>1268000</v>
      </c>
      <c r="E33" s="217">
        <v>14000</v>
      </c>
      <c r="F33" s="211">
        <v>17752000000</v>
      </c>
      <c r="G33" s="210">
        <v>1.30008226242078E-2</v>
      </c>
    </row>
    <row r="34" spans="1:7" ht="34" customHeight="1">
      <c r="A34" s="208" t="s">
        <v>671</v>
      </c>
      <c r="B34" s="207" t="s">
        <v>672</v>
      </c>
      <c r="C34" s="209"/>
      <c r="D34" s="211">
        <v>566800</v>
      </c>
      <c r="E34" s="217">
        <v>75600</v>
      </c>
      <c r="F34" s="211">
        <v>42850080000</v>
      </c>
      <c r="G34" s="210">
        <v>3.1381607115429998E-2</v>
      </c>
    </row>
    <row r="35" spans="1:7" ht="34" customHeight="1">
      <c r="A35" s="208" t="s">
        <v>673</v>
      </c>
      <c r="B35" s="207" t="s">
        <v>674</v>
      </c>
      <c r="C35" s="209"/>
      <c r="D35" s="211">
        <v>436800</v>
      </c>
      <c r="E35" s="217">
        <v>81800</v>
      </c>
      <c r="F35" s="211">
        <v>35730240000</v>
      </c>
      <c r="G35" s="210">
        <v>2.6167333965771401E-2</v>
      </c>
    </row>
    <row r="36" spans="1:7" ht="34" customHeight="1">
      <c r="A36" s="208" t="s">
        <v>675</v>
      </c>
      <c r="B36" s="207" t="s">
        <v>676</v>
      </c>
      <c r="C36" s="209"/>
      <c r="D36" s="211">
        <v>240200</v>
      </c>
      <c r="E36" s="217">
        <v>111100</v>
      </c>
      <c r="F36" s="211">
        <v>26686220000</v>
      </c>
      <c r="G36" s="210">
        <v>1.9543871830249401E-2</v>
      </c>
    </row>
    <row r="37" spans="1:7" ht="34" customHeight="1">
      <c r="A37" s="208" t="s">
        <v>677</v>
      </c>
      <c r="B37" s="207" t="s">
        <v>678</v>
      </c>
      <c r="C37" s="209"/>
      <c r="D37" s="211">
        <v>268000</v>
      </c>
      <c r="E37" s="217">
        <v>13400</v>
      </c>
      <c r="F37" s="211">
        <v>3591200000</v>
      </c>
      <c r="G37" s="210">
        <v>2.6300447390747599E-3</v>
      </c>
    </row>
    <row r="38" spans="1:7" ht="34" customHeight="1">
      <c r="A38" s="208" t="s">
        <v>679</v>
      </c>
      <c r="B38" s="207" t="s">
        <v>680</v>
      </c>
      <c r="C38" s="209"/>
      <c r="D38" s="211">
        <v>1155300</v>
      </c>
      <c r="E38" s="217">
        <v>28200</v>
      </c>
      <c r="F38" s="211">
        <v>32579460000</v>
      </c>
      <c r="G38" s="210">
        <v>2.3859834421612901E-2</v>
      </c>
    </row>
    <row r="39" spans="1:7" ht="34" customHeight="1">
      <c r="A39" s="208" t="s">
        <v>681</v>
      </c>
      <c r="B39" s="207" t="s">
        <v>682</v>
      </c>
      <c r="C39" s="209"/>
      <c r="D39" s="211">
        <v>686500</v>
      </c>
      <c r="E39" s="217">
        <v>29700</v>
      </c>
      <c r="F39" s="211">
        <v>20389050000</v>
      </c>
      <c r="G39" s="210">
        <v>1.4932087794395201E-2</v>
      </c>
    </row>
    <row r="40" spans="1:7" ht="34" customHeight="1">
      <c r="A40" s="208" t="s">
        <v>683</v>
      </c>
      <c r="B40" s="207" t="s">
        <v>684</v>
      </c>
      <c r="C40" s="209"/>
      <c r="D40" s="211">
        <v>279500</v>
      </c>
      <c r="E40" s="217">
        <v>44200</v>
      </c>
      <c r="F40" s="211">
        <v>12353900000</v>
      </c>
      <c r="G40" s="210">
        <v>9.0474798680261793E-3</v>
      </c>
    </row>
    <row r="41" spans="1:7" ht="34" customHeight="1">
      <c r="A41" s="208" t="s">
        <v>685</v>
      </c>
      <c r="B41" s="207" t="s">
        <v>686</v>
      </c>
      <c r="C41" s="209"/>
      <c r="D41" s="211">
        <v>1144300</v>
      </c>
      <c r="E41" s="217">
        <v>17500</v>
      </c>
      <c r="F41" s="211">
        <v>20025250000</v>
      </c>
      <c r="G41" s="210">
        <v>1.46656558841492E-2</v>
      </c>
    </row>
    <row r="42" spans="1:7" ht="34" customHeight="1">
      <c r="A42" s="208" t="s">
        <v>687</v>
      </c>
      <c r="B42" s="207" t="s">
        <v>688</v>
      </c>
      <c r="C42" s="209"/>
      <c r="D42" s="211">
        <v>468000</v>
      </c>
      <c r="E42" s="217">
        <v>22700</v>
      </c>
      <c r="F42" s="211">
        <v>10623600000</v>
      </c>
      <c r="G42" s="210">
        <v>7.78028048842575E-3</v>
      </c>
    </row>
    <row r="43" spans="1:7" ht="34" customHeight="1">
      <c r="A43" s="208" t="s">
        <v>689</v>
      </c>
      <c r="B43" s="207" t="s">
        <v>690</v>
      </c>
      <c r="C43" s="209"/>
      <c r="D43" s="211">
        <v>1133622</v>
      </c>
      <c r="E43" s="217">
        <v>17700</v>
      </c>
      <c r="F43" s="211">
        <v>20065109400</v>
      </c>
      <c r="G43" s="210">
        <v>1.4694847242267E-2</v>
      </c>
    </row>
    <row r="44" spans="1:7" ht="34" customHeight="1">
      <c r="A44" s="208" t="s">
        <v>691</v>
      </c>
      <c r="B44" s="207" t="s">
        <v>692</v>
      </c>
      <c r="C44" s="209"/>
      <c r="D44" s="211">
        <v>272400</v>
      </c>
      <c r="E44" s="217">
        <v>85500</v>
      </c>
      <c r="F44" s="211">
        <v>23290200000</v>
      </c>
      <c r="G44" s="210">
        <v>1.7056768763087201E-2</v>
      </c>
    </row>
    <row r="45" spans="1:7" ht="34" customHeight="1">
      <c r="A45" s="208" t="s">
        <v>693</v>
      </c>
      <c r="B45" s="207" t="s">
        <v>694</v>
      </c>
      <c r="C45" s="209"/>
      <c r="D45" s="211">
        <v>2730060</v>
      </c>
      <c r="E45" s="217">
        <v>51600</v>
      </c>
      <c r="F45" s="211">
        <v>140871096000</v>
      </c>
      <c r="G45" s="210">
        <v>0.10316810117022</v>
      </c>
    </row>
    <row r="46" spans="1:7" ht="34" customHeight="1">
      <c r="A46" s="208" t="s">
        <v>695</v>
      </c>
      <c r="B46" s="207" t="s">
        <v>696</v>
      </c>
      <c r="C46" s="209"/>
      <c r="D46" s="211">
        <v>239000</v>
      </c>
      <c r="E46" s="217">
        <v>22800</v>
      </c>
      <c r="F46" s="211">
        <v>5449200000</v>
      </c>
      <c r="G46" s="210">
        <v>3.9907662597923098E-3</v>
      </c>
    </row>
    <row r="47" spans="1:7" ht="34" customHeight="1">
      <c r="A47" s="208" t="s">
        <v>697</v>
      </c>
      <c r="B47" s="207" t="s">
        <v>698</v>
      </c>
      <c r="C47" s="209"/>
      <c r="D47" s="211">
        <v>646200</v>
      </c>
      <c r="E47" s="217">
        <v>25400</v>
      </c>
      <c r="F47" s="211">
        <v>16413480000</v>
      </c>
      <c r="G47" s="210">
        <v>1.20205465370652E-2</v>
      </c>
    </row>
    <row r="48" spans="1:7" ht="34" customHeight="1">
      <c r="A48" s="208" t="s">
        <v>699</v>
      </c>
      <c r="B48" s="207" t="s">
        <v>700</v>
      </c>
      <c r="C48" s="209"/>
      <c r="D48" s="211">
        <v>220000</v>
      </c>
      <c r="E48" s="217">
        <v>22350</v>
      </c>
      <c r="F48" s="211">
        <v>4917000000</v>
      </c>
      <c r="G48" s="210">
        <v>3.6010052300152E-3</v>
      </c>
    </row>
    <row r="49" spans="1:7" ht="34" customHeight="1">
      <c r="A49" s="208" t="s">
        <v>701</v>
      </c>
      <c r="B49" s="207" t="s">
        <v>702</v>
      </c>
      <c r="C49" s="209"/>
      <c r="D49" s="211">
        <v>241800</v>
      </c>
      <c r="E49" s="217">
        <v>103300</v>
      </c>
      <c r="F49" s="211">
        <v>24977940000</v>
      </c>
      <c r="G49" s="210">
        <v>1.8292798978036599E-2</v>
      </c>
    </row>
    <row r="50" spans="1:7" ht="34" customHeight="1">
      <c r="A50" s="208" t="s">
        <v>703</v>
      </c>
      <c r="B50" s="207" t="s">
        <v>704</v>
      </c>
      <c r="C50" s="209"/>
      <c r="D50" s="211">
        <v>2361700</v>
      </c>
      <c r="E50" s="217">
        <v>10350</v>
      </c>
      <c r="F50" s="211">
        <v>24443595000</v>
      </c>
      <c r="G50" s="210">
        <v>1.7901467039937599E-2</v>
      </c>
    </row>
    <row r="51" spans="1:7" ht="34" customHeight="1">
      <c r="A51" s="208" t="s">
        <v>705</v>
      </c>
      <c r="B51" s="207" t="s">
        <v>706</v>
      </c>
      <c r="C51" s="209"/>
      <c r="D51" s="211">
        <v>768000</v>
      </c>
      <c r="E51" s="217">
        <v>17200</v>
      </c>
      <c r="F51" s="211">
        <v>13209600000</v>
      </c>
      <c r="G51" s="210">
        <v>9.6741587729120906E-3</v>
      </c>
    </row>
    <row r="52" spans="1:7" ht="34" customHeight="1">
      <c r="A52" s="208" t="s">
        <v>707</v>
      </c>
      <c r="B52" s="207" t="s">
        <v>708</v>
      </c>
      <c r="C52" s="209"/>
      <c r="D52" s="211">
        <v>807900</v>
      </c>
      <c r="E52" s="217">
        <v>21400</v>
      </c>
      <c r="F52" s="211">
        <v>17289060000</v>
      </c>
      <c r="G52" s="210">
        <v>1.2661784722807899E-2</v>
      </c>
    </row>
    <row r="53" spans="1:7" ht="34" customHeight="1">
      <c r="A53" s="208" t="s">
        <v>709</v>
      </c>
      <c r="B53" s="207" t="s">
        <v>710</v>
      </c>
      <c r="C53" s="209"/>
      <c r="D53" s="211">
        <v>858800</v>
      </c>
      <c r="E53" s="217">
        <v>16700</v>
      </c>
      <c r="F53" s="211">
        <v>14341960000</v>
      </c>
      <c r="G53" s="210">
        <v>1.0503451895193999E-2</v>
      </c>
    </row>
    <row r="54" spans="1:7" ht="34" customHeight="1">
      <c r="A54" s="208" t="s">
        <v>711</v>
      </c>
      <c r="B54" s="207" t="s">
        <v>712</v>
      </c>
      <c r="C54" s="209"/>
      <c r="D54" s="211">
        <v>216000</v>
      </c>
      <c r="E54" s="217">
        <v>185300</v>
      </c>
      <c r="F54" s="211">
        <v>40024800000</v>
      </c>
      <c r="G54" s="210">
        <v>2.9312490162764299E-2</v>
      </c>
    </row>
    <row r="55" spans="1:7" ht="34" customHeight="1">
      <c r="A55" s="208" t="s">
        <v>713</v>
      </c>
      <c r="B55" s="207" t="s">
        <v>714</v>
      </c>
      <c r="C55" s="209"/>
      <c r="D55" s="211">
        <v>215600</v>
      </c>
      <c r="E55" s="217">
        <v>16300</v>
      </c>
      <c r="F55" s="211">
        <v>3514280000</v>
      </c>
      <c r="G55" s="210">
        <v>2.57371174694688E-3</v>
      </c>
    </row>
    <row r="56" spans="1:7" ht="34" customHeight="1">
      <c r="A56" s="208" t="s">
        <v>715</v>
      </c>
      <c r="B56" s="207" t="s">
        <v>716</v>
      </c>
      <c r="C56" s="209"/>
      <c r="D56" s="211">
        <v>1977800</v>
      </c>
      <c r="E56" s="217">
        <v>16150</v>
      </c>
      <c r="F56" s="211">
        <v>31941470000</v>
      </c>
      <c r="G56" s="210">
        <v>2.3392597218705201E-2</v>
      </c>
    </row>
    <row r="57" spans="1:7" ht="34" customHeight="1">
      <c r="A57" s="208" t="s">
        <v>717</v>
      </c>
      <c r="B57" s="207" t="s">
        <v>718</v>
      </c>
      <c r="C57" s="209"/>
      <c r="D57" s="211">
        <v>533400</v>
      </c>
      <c r="E57" s="217">
        <v>24600</v>
      </c>
      <c r="F57" s="211">
        <v>13121640000</v>
      </c>
      <c r="G57" s="210">
        <v>9.60974054634464E-3</v>
      </c>
    </row>
    <row r="58" spans="1:7" ht="34" customHeight="1">
      <c r="A58" s="208" t="s">
        <v>719</v>
      </c>
      <c r="B58" s="207" t="s">
        <v>720</v>
      </c>
      <c r="C58" s="209"/>
      <c r="D58" s="211">
        <v>300000</v>
      </c>
      <c r="E58" s="217">
        <v>7600</v>
      </c>
      <c r="F58" s="211">
        <v>2280000000</v>
      </c>
      <c r="G58" s="210">
        <v>1.6697766777373699E-3</v>
      </c>
    </row>
    <row r="59" spans="1:7" ht="34" customHeight="1">
      <c r="A59" s="208" t="s">
        <v>721</v>
      </c>
      <c r="B59" s="207" t="s">
        <v>722</v>
      </c>
      <c r="C59" s="209"/>
      <c r="D59" s="211">
        <v>239000</v>
      </c>
      <c r="E59" s="217">
        <v>53300</v>
      </c>
      <c r="F59" s="211">
        <v>12738700000</v>
      </c>
      <c r="G59" s="210">
        <v>9.3292913003039605E-3</v>
      </c>
    </row>
    <row r="60" spans="1:7" ht="34" customHeight="1">
      <c r="A60" s="208" t="s">
        <v>723</v>
      </c>
      <c r="B60" s="207" t="s">
        <v>724</v>
      </c>
      <c r="C60" s="209"/>
      <c r="D60" s="211">
        <v>995157</v>
      </c>
      <c r="E60" s="217">
        <v>73500</v>
      </c>
      <c r="F60" s="211">
        <v>73144039500</v>
      </c>
      <c r="G60" s="210">
        <v>5.3567636523070603E-2</v>
      </c>
    </row>
    <row r="61" spans="1:7" ht="34" customHeight="1">
      <c r="A61" s="208" t="s">
        <v>725</v>
      </c>
      <c r="B61" s="207" t="s">
        <v>726</v>
      </c>
      <c r="C61" s="209"/>
      <c r="D61" s="211">
        <v>418000</v>
      </c>
      <c r="E61" s="217">
        <v>40600</v>
      </c>
      <c r="F61" s="211">
        <v>16970800000</v>
      </c>
      <c r="G61" s="210">
        <v>1.24287044046252E-2</v>
      </c>
    </row>
    <row r="62" spans="1:7" ht="34" customHeight="1">
      <c r="A62" s="208" t="s">
        <v>727</v>
      </c>
      <c r="B62" s="207" t="s">
        <v>728</v>
      </c>
      <c r="C62" s="209"/>
      <c r="D62" s="211">
        <v>16900</v>
      </c>
      <c r="E62" s="217">
        <v>73000</v>
      </c>
      <c r="F62" s="211">
        <v>1233700000</v>
      </c>
      <c r="G62" s="210">
        <v>9.0351030145815504E-4</v>
      </c>
    </row>
    <row r="63" spans="1:7" ht="34" customHeight="1">
      <c r="A63" s="208" t="s">
        <v>729</v>
      </c>
      <c r="B63" s="207" t="s">
        <v>730</v>
      </c>
      <c r="C63" s="209"/>
      <c r="D63" s="211">
        <v>198000</v>
      </c>
      <c r="E63" s="217">
        <v>45000</v>
      </c>
      <c r="F63" s="211">
        <v>8910000000</v>
      </c>
      <c r="G63" s="210">
        <v>6.5253114906315603E-3</v>
      </c>
    </row>
    <row r="64" spans="1:7" ht="34" customHeight="1">
      <c r="A64" s="208" t="s">
        <v>731</v>
      </c>
      <c r="B64" s="207" t="s">
        <v>732</v>
      </c>
      <c r="C64" s="209"/>
      <c r="D64" s="211">
        <v>129000</v>
      </c>
      <c r="E64" s="217">
        <v>55400</v>
      </c>
      <c r="F64" s="211">
        <v>7146600000</v>
      </c>
      <c r="G64" s="210">
        <v>5.2338710548762704E-3</v>
      </c>
    </row>
    <row r="65" spans="1:7" ht="34" customHeight="1">
      <c r="A65" s="208" t="s">
        <v>733</v>
      </c>
      <c r="B65" s="207" t="s">
        <v>734</v>
      </c>
      <c r="C65" s="209"/>
      <c r="D65" s="211">
        <v>712000</v>
      </c>
      <c r="E65" s="217">
        <v>78500</v>
      </c>
      <c r="F65" s="211">
        <v>55892000000</v>
      </c>
      <c r="G65" s="210">
        <v>4.0932964066709203E-2</v>
      </c>
    </row>
    <row r="66" spans="1:7" ht="34" customHeight="1">
      <c r="A66" s="208" t="s">
        <v>735</v>
      </c>
      <c r="B66" s="207" t="s">
        <v>736</v>
      </c>
      <c r="C66" s="209"/>
      <c r="D66" s="211">
        <v>533337</v>
      </c>
      <c r="E66" s="217">
        <v>16350</v>
      </c>
      <c r="F66" s="211">
        <v>8720059950</v>
      </c>
      <c r="G66" s="210">
        <v>6.3862073390270604E-3</v>
      </c>
    </row>
    <row r="67" spans="1:7" ht="34" customHeight="1">
      <c r="A67" s="208" t="s">
        <v>737</v>
      </c>
      <c r="B67" s="207" t="s">
        <v>738</v>
      </c>
      <c r="C67" s="209"/>
      <c r="D67" s="211">
        <v>505000</v>
      </c>
      <c r="E67" s="217">
        <v>24600</v>
      </c>
      <c r="F67" s="211">
        <v>12423000000</v>
      </c>
      <c r="G67" s="210">
        <v>9.0980858190926901E-3</v>
      </c>
    </row>
    <row r="68" spans="1:7" ht="34" customHeight="1">
      <c r="A68" s="208" t="s">
        <v>739</v>
      </c>
      <c r="B68" s="207" t="s">
        <v>740</v>
      </c>
      <c r="C68" s="209"/>
      <c r="D68" s="211">
        <v>130000</v>
      </c>
      <c r="E68" s="217">
        <v>34300</v>
      </c>
      <c r="F68" s="211">
        <v>4459000000</v>
      </c>
      <c r="G68" s="210">
        <v>3.2655851780837401E-3</v>
      </c>
    </row>
    <row r="69" spans="1:7" ht="39" customHeight="1">
      <c r="A69" s="213"/>
      <c r="B69" s="212" t="s">
        <v>741</v>
      </c>
      <c r="C69" s="213"/>
      <c r="D69" s="215"/>
      <c r="E69" s="215"/>
      <c r="F69" s="215">
        <v>970185249850</v>
      </c>
      <c r="G69" s="214">
        <v>0.710523115475585</v>
      </c>
    </row>
    <row r="70" spans="1:7" ht="80.5" customHeight="1">
      <c r="A70" s="213" t="s">
        <v>54</v>
      </c>
      <c r="B70" s="212" t="s">
        <v>855</v>
      </c>
      <c r="C70" s="213"/>
      <c r="D70" s="215"/>
      <c r="E70" s="215"/>
      <c r="F70" s="215"/>
      <c r="G70" s="214"/>
    </row>
    <row r="71" spans="1:7" ht="39" customHeight="1">
      <c r="A71" s="213"/>
      <c r="B71" s="212" t="s">
        <v>742</v>
      </c>
      <c r="C71" s="213"/>
      <c r="D71" s="215">
        <v>0</v>
      </c>
      <c r="E71" s="215"/>
      <c r="F71" s="215">
        <v>0</v>
      </c>
      <c r="G71" s="214">
        <v>0</v>
      </c>
    </row>
    <row r="72" spans="1:7" ht="39" customHeight="1">
      <c r="A72" s="213"/>
      <c r="B72" s="212" t="s">
        <v>743</v>
      </c>
      <c r="C72" s="213"/>
      <c r="D72" s="215"/>
      <c r="E72" s="215"/>
      <c r="F72" s="215">
        <v>970185249850</v>
      </c>
      <c r="G72" s="214">
        <v>0.710523115475585</v>
      </c>
    </row>
    <row r="73" spans="1:7" ht="39" customHeight="1">
      <c r="A73" s="213" t="s">
        <v>55</v>
      </c>
      <c r="B73" s="212" t="s">
        <v>744</v>
      </c>
      <c r="C73" s="213"/>
      <c r="D73" s="215"/>
      <c r="E73" s="215"/>
      <c r="F73" s="215"/>
      <c r="G73" s="214"/>
    </row>
    <row r="74" spans="1:7" ht="39" customHeight="1">
      <c r="A74" s="208" t="s">
        <v>745</v>
      </c>
      <c r="B74" s="207" t="s">
        <v>746</v>
      </c>
      <c r="C74" s="209"/>
      <c r="D74" s="211"/>
      <c r="E74" s="217"/>
      <c r="F74" s="211">
        <v>50344600000</v>
      </c>
      <c r="G74" s="210">
        <v>3.6870280232463498E-2</v>
      </c>
    </row>
    <row r="75" spans="1:7" ht="34" customHeight="1">
      <c r="A75" s="208" t="s">
        <v>747</v>
      </c>
      <c r="B75" s="207" t="s">
        <v>748</v>
      </c>
      <c r="C75" s="209"/>
      <c r="D75" s="211">
        <v>300000</v>
      </c>
      <c r="E75" s="217">
        <v>100208</v>
      </c>
      <c r="F75" s="211">
        <v>30062400000</v>
      </c>
      <c r="G75" s="210">
        <v>2.20164449108824E-2</v>
      </c>
    </row>
    <row r="76" spans="1:7" ht="34" customHeight="1">
      <c r="A76" s="208" t="s">
        <v>749</v>
      </c>
      <c r="B76" s="207" t="s">
        <v>750</v>
      </c>
      <c r="C76" s="209"/>
      <c r="D76" s="211">
        <v>200000</v>
      </c>
      <c r="E76" s="217">
        <v>101411</v>
      </c>
      <c r="F76" s="211">
        <v>20282200000</v>
      </c>
      <c r="G76" s="210">
        <v>1.48538353215811E-2</v>
      </c>
    </row>
    <row r="77" spans="1:7" ht="39" customHeight="1">
      <c r="A77" s="208" t="s">
        <v>751</v>
      </c>
      <c r="B77" s="207" t="s">
        <v>752</v>
      </c>
      <c r="C77" s="209"/>
      <c r="D77" s="211"/>
      <c r="E77" s="217"/>
      <c r="F77" s="211">
        <v>121039466860</v>
      </c>
      <c r="G77" s="210">
        <v>8.8644245109032099E-2</v>
      </c>
    </row>
    <row r="78" spans="1:7" ht="34" customHeight="1">
      <c r="A78" s="208" t="s">
        <v>753</v>
      </c>
      <c r="B78" s="207" t="s">
        <v>754</v>
      </c>
      <c r="C78" s="209"/>
      <c r="D78" s="211">
        <v>510</v>
      </c>
      <c r="E78" s="217">
        <v>100077386</v>
      </c>
      <c r="F78" s="211">
        <v>51039466860</v>
      </c>
      <c r="G78" s="210">
        <v>3.7379171669726902E-2</v>
      </c>
    </row>
    <row r="79" spans="1:7" ht="34" customHeight="1">
      <c r="A79" s="208" t="s">
        <v>755</v>
      </c>
      <c r="B79" s="207" t="s">
        <v>756</v>
      </c>
      <c r="C79" s="209"/>
      <c r="D79" s="211">
        <v>30</v>
      </c>
      <c r="E79" s="217">
        <v>1000000000</v>
      </c>
      <c r="F79" s="211">
        <v>30000000000</v>
      </c>
      <c r="G79" s="210">
        <v>2.19707457597022E-2</v>
      </c>
    </row>
    <row r="80" spans="1:7" ht="34" customHeight="1">
      <c r="A80" s="208" t="s">
        <v>757</v>
      </c>
      <c r="B80" s="207" t="s">
        <v>758</v>
      </c>
      <c r="C80" s="209"/>
      <c r="D80" s="211">
        <v>200</v>
      </c>
      <c r="E80" s="217">
        <v>100000000</v>
      </c>
      <c r="F80" s="211">
        <v>20000000000</v>
      </c>
      <c r="G80" s="210">
        <v>1.46471638398015E-2</v>
      </c>
    </row>
    <row r="81" spans="1:7" ht="34" customHeight="1">
      <c r="A81" s="208" t="s">
        <v>759</v>
      </c>
      <c r="B81" s="207" t="s">
        <v>760</v>
      </c>
      <c r="C81" s="209"/>
      <c r="D81" s="211">
        <v>200</v>
      </c>
      <c r="E81" s="217">
        <v>100000000</v>
      </c>
      <c r="F81" s="211">
        <v>20000000000</v>
      </c>
      <c r="G81" s="210">
        <v>1.46471638398015E-2</v>
      </c>
    </row>
    <row r="82" spans="1:7" ht="39" customHeight="1">
      <c r="A82" s="213"/>
      <c r="B82" s="212" t="s">
        <v>761</v>
      </c>
      <c r="C82" s="213"/>
      <c r="D82" s="215"/>
      <c r="E82" s="215"/>
      <c r="F82" s="215">
        <v>171384066860</v>
      </c>
      <c r="G82" s="214">
        <v>0.12551452534149601</v>
      </c>
    </row>
    <row r="83" spans="1:7" ht="39" customHeight="1">
      <c r="A83" s="213" t="s">
        <v>56</v>
      </c>
      <c r="B83" s="212" t="s">
        <v>762</v>
      </c>
      <c r="C83" s="213"/>
      <c r="D83" s="215"/>
      <c r="E83" s="215"/>
      <c r="F83" s="215"/>
      <c r="G83" s="214"/>
    </row>
    <row r="84" spans="1:7" ht="39" customHeight="1">
      <c r="A84" s="208" t="s">
        <v>763</v>
      </c>
      <c r="B84" s="207" t="s">
        <v>764</v>
      </c>
      <c r="C84" s="209"/>
      <c r="D84" s="211">
        <v>0</v>
      </c>
      <c r="E84" s="217"/>
      <c r="F84" s="211">
        <v>0</v>
      </c>
      <c r="G84" s="210">
        <v>0</v>
      </c>
    </row>
    <row r="85" spans="1:7" ht="39" customHeight="1">
      <c r="A85" s="208" t="s">
        <v>765</v>
      </c>
      <c r="B85" s="207" t="s">
        <v>766</v>
      </c>
      <c r="C85" s="209"/>
      <c r="D85" s="211">
        <v>0</v>
      </c>
      <c r="E85" s="217"/>
      <c r="F85" s="211">
        <v>0</v>
      </c>
      <c r="G85" s="210">
        <v>0</v>
      </c>
    </row>
    <row r="86" spans="1:7" ht="34" customHeight="1">
      <c r="A86" s="213"/>
      <c r="B86" s="212" t="s">
        <v>767</v>
      </c>
      <c r="C86" s="213"/>
      <c r="D86" s="215"/>
      <c r="E86" s="215"/>
      <c r="F86" s="215">
        <v>0</v>
      </c>
      <c r="G86" s="214">
        <v>0</v>
      </c>
    </row>
    <row r="87" spans="1:7" ht="39" customHeight="1">
      <c r="A87" s="213"/>
      <c r="B87" s="212" t="s">
        <v>768</v>
      </c>
      <c r="C87" s="213"/>
      <c r="D87" s="215"/>
      <c r="E87" s="215"/>
      <c r="F87" s="215">
        <v>1141569316710</v>
      </c>
      <c r="G87" s="214">
        <v>0.83603764081707999</v>
      </c>
    </row>
    <row r="88" spans="1:7" ht="39" customHeight="1">
      <c r="A88" s="213" t="s">
        <v>57</v>
      </c>
      <c r="B88" s="212" t="s">
        <v>769</v>
      </c>
      <c r="C88" s="213"/>
      <c r="D88" s="215"/>
      <c r="E88" s="215"/>
      <c r="F88" s="215"/>
      <c r="G88" s="214"/>
    </row>
    <row r="89" spans="1:7" ht="39" customHeight="1">
      <c r="A89" s="208" t="s">
        <v>770</v>
      </c>
      <c r="B89" s="207" t="s">
        <v>771</v>
      </c>
      <c r="C89" s="209"/>
      <c r="D89" s="211"/>
      <c r="E89" s="217"/>
      <c r="F89" s="211">
        <v>1043920000</v>
      </c>
      <c r="G89" s="210">
        <v>7.6452336378227896E-4</v>
      </c>
    </row>
    <row r="90" spans="1:7" ht="39" customHeight="1">
      <c r="A90" s="208" t="s">
        <v>772</v>
      </c>
      <c r="B90" s="207" t="s">
        <v>773</v>
      </c>
      <c r="C90" s="209"/>
      <c r="D90" s="211"/>
      <c r="E90" s="217"/>
      <c r="F90" s="211">
        <v>3450150686</v>
      </c>
      <c r="G90" s="210">
        <v>2.5267461184922701E-3</v>
      </c>
    </row>
    <row r="91" spans="1:7" ht="47" customHeight="1">
      <c r="A91" s="208" t="s">
        <v>774</v>
      </c>
      <c r="B91" s="207" t="s">
        <v>775</v>
      </c>
      <c r="C91" s="209"/>
      <c r="D91" s="211"/>
      <c r="E91" s="217"/>
      <c r="F91" s="211">
        <v>0</v>
      </c>
      <c r="G91" s="210">
        <v>0</v>
      </c>
    </row>
    <row r="92" spans="1:7" ht="45" customHeight="1">
      <c r="A92" s="208" t="s">
        <v>776</v>
      </c>
      <c r="B92" s="207" t="s">
        <v>777</v>
      </c>
      <c r="C92" s="209"/>
      <c r="D92" s="211"/>
      <c r="E92" s="217"/>
      <c r="F92" s="211">
        <v>123346955000</v>
      </c>
      <c r="G92" s="210">
        <v>9.0334152951281096E-2</v>
      </c>
    </row>
    <row r="93" spans="1:7" ht="57" customHeight="1">
      <c r="A93" s="208" t="s">
        <v>778</v>
      </c>
      <c r="B93" s="207" t="s">
        <v>779</v>
      </c>
      <c r="C93" s="209"/>
      <c r="D93" s="211"/>
      <c r="E93" s="217"/>
      <c r="F93" s="211">
        <v>0</v>
      </c>
      <c r="G93" s="210">
        <v>0</v>
      </c>
    </row>
    <row r="94" spans="1:7" ht="39" customHeight="1">
      <c r="A94" s="208" t="s">
        <v>780</v>
      </c>
      <c r="B94" s="207" t="s">
        <v>781</v>
      </c>
      <c r="C94" s="209"/>
      <c r="D94" s="211"/>
      <c r="E94" s="217"/>
      <c r="F94" s="211">
        <v>-866400000</v>
      </c>
      <c r="G94" s="210">
        <v>-6.3451513754020003E-4</v>
      </c>
    </row>
    <row r="95" spans="1:7" ht="39" customHeight="1">
      <c r="A95" s="208" t="s">
        <v>782</v>
      </c>
      <c r="B95" s="207" t="s">
        <v>783</v>
      </c>
      <c r="C95" s="209"/>
      <c r="D95" s="211"/>
      <c r="E95" s="217"/>
      <c r="F95" s="211">
        <v>0</v>
      </c>
      <c r="G95" s="210">
        <v>0</v>
      </c>
    </row>
    <row r="96" spans="1:7" ht="39" customHeight="1">
      <c r="A96" s="213"/>
      <c r="B96" s="212" t="s">
        <v>784</v>
      </c>
      <c r="C96" s="213"/>
      <c r="D96" s="215"/>
      <c r="E96" s="215"/>
      <c r="F96" s="215">
        <v>126974625686</v>
      </c>
      <c r="G96" s="214">
        <v>9.2990907296015404E-2</v>
      </c>
    </row>
    <row r="97" spans="1:7" ht="39" customHeight="1">
      <c r="A97" s="213" t="s">
        <v>58</v>
      </c>
      <c r="B97" s="212" t="s">
        <v>785</v>
      </c>
      <c r="C97" s="213"/>
      <c r="D97" s="215"/>
      <c r="E97" s="215"/>
      <c r="F97" s="215"/>
      <c r="G97" s="214"/>
    </row>
    <row r="98" spans="1:7" ht="39" customHeight="1">
      <c r="A98" s="208" t="s">
        <v>786</v>
      </c>
      <c r="B98" s="207" t="s">
        <v>856</v>
      </c>
      <c r="C98" s="209"/>
      <c r="D98" s="211"/>
      <c r="E98" s="217"/>
      <c r="F98" s="211">
        <v>96908114995</v>
      </c>
      <c r="G98" s="210">
        <v>7.0971451886904402E-2</v>
      </c>
    </row>
    <row r="99" spans="1:7" ht="39" customHeight="1">
      <c r="A99" s="208" t="s">
        <v>787</v>
      </c>
      <c r="B99" s="207" t="s">
        <v>788</v>
      </c>
      <c r="C99" s="209"/>
      <c r="D99" s="211"/>
      <c r="E99" s="217"/>
      <c r="F99" s="211">
        <v>96908114995</v>
      </c>
      <c r="G99" s="210">
        <v>7.0971451886904402E-2</v>
      </c>
    </row>
    <row r="100" spans="1:7" ht="39" customHeight="1">
      <c r="A100" s="208" t="s">
        <v>789</v>
      </c>
      <c r="B100" s="207" t="s">
        <v>790</v>
      </c>
      <c r="C100" s="209"/>
      <c r="D100" s="211"/>
      <c r="E100" s="217"/>
      <c r="F100" s="211">
        <v>0</v>
      </c>
      <c r="G100" s="210">
        <v>0</v>
      </c>
    </row>
    <row r="101" spans="1:7" ht="39" customHeight="1">
      <c r="A101" s="239">
        <v>2</v>
      </c>
      <c r="B101" s="207" t="s">
        <v>857</v>
      </c>
      <c r="C101" s="209"/>
      <c r="D101" s="211"/>
      <c r="E101" s="217"/>
      <c r="F101" s="211">
        <v>0</v>
      </c>
      <c r="G101" s="210">
        <v>0</v>
      </c>
    </row>
    <row r="102" spans="1:7" ht="39" customHeight="1">
      <c r="A102" s="239">
        <v>3</v>
      </c>
      <c r="B102" s="207" t="s">
        <v>791</v>
      </c>
      <c r="C102" s="209"/>
      <c r="D102" s="211"/>
      <c r="E102" s="217"/>
      <c r="F102" s="211">
        <v>0</v>
      </c>
      <c r="G102" s="210">
        <v>0</v>
      </c>
    </row>
    <row r="103" spans="1:7" ht="39" customHeight="1">
      <c r="A103" s="239">
        <v>4</v>
      </c>
      <c r="B103" s="207" t="s">
        <v>792</v>
      </c>
      <c r="C103" s="209"/>
      <c r="D103" s="211"/>
      <c r="E103" s="217"/>
      <c r="F103" s="211">
        <v>0</v>
      </c>
      <c r="G103" s="210">
        <v>0</v>
      </c>
    </row>
    <row r="104" spans="1:7" ht="39" customHeight="1">
      <c r="A104" s="213"/>
      <c r="B104" s="212" t="s">
        <v>793</v>
      </c>
      <c r="C104" s="213"/>
      <c r="D104" s="215"/>
      <c r="E104" s="215"/>
      <c r="F104" s="215">
        <v>96908114995</v>
      </c>
      <c r="G104" s="214">
        <v>7.0971451886904402E-2</v>
      </c>
    </row>
    <row r="105" spans="1:7" ht="39" customHeight="1">
      <c r="A105" s="213" t="s">
        <v>59</v>
      </c>
      <c r="B105" s="212" t="s">
        <v>794</v>
      </c>
      <c r="C105" s="213"/>
      <c r="D105" s="215"/>
      <c r="E105" s="215"/>
      <c r="F105" s="215">
        <v>1365452057391</v>
      </c>
      <c r="G105" s="214">
        <v>1</v>
      </c>
    </row>
    <row r="106" spans="1:7" ht="16.899999999999999" customHeight="1">
      <c r="A106" s="159"/>
      <c r="B106" s="106"/>
      <c r="C106" s="106"/>
      <c r="D106" s="106"/>
      <c r="E106" s="69"/>
      <c r="F106" s="106"/>
    </row>
    <row r="107" spans="1:7" ht="16.899999999999999" customHeight="1">
      <c r="A107" s="69" t="s">
        <v>10</v>
      </c>
      <c r="B107" s="106"/>
      <c r="C107" s="106"/>
      <c r="D107" s="106"/>
      <c r="E107" s="69" t="s">
        <v>11</v>
      </c>
      <c r="F107" s="106"/>
    </row>
    <row r="108" spans="1:7" ht="16.899999999999999" customHeight="1">
      <c r="A108" s="70" t="s">
        <v>12</v>
      </c>
      <c r="B108" s="106"/>
      <c r="C108" s="106"/>
      <c r="D108" s="106"/>
      <c r="E108" s="70" t="s">
        <v>13</v>
      </c>
      <c r="F108" s="106"/>
    </row>
    <row r="109" spans="1:7" ht="16.899999999999999" customHeight="1"/>
    <row r="110" spans="1:7" ht="16.899999999999999" customHeight="1">
      <c r="A110" s="98"/>
      <c r="E110" s="98"/>
    </row>
    <row r="111" spans="1:7" ht="16.899999999999999" customHeight="1"/>
    <row r="112" spans="1:7" ht="16.899999999999999" customHeight="1"/>
    <row r="113" spans="1:7" ht="16.899999999999999" customHeight="1"/>
    <row r="114" spans="1:7" ht="16.899999999999999" customHeight="1"/>
    <row r="115" spans="1:7" ht="16.899999999999999" customHeight="1"/>
    <row r="116" spans="1:7" ht="16.899999999999999" customHeight="1"/>
    <row r="117" spans="1:7" ht="16.899999999999999" customHeight="1">
      <c r="A117" s="107" t="s">
        <v>14</v>
      </c>
      <c r="B117" s="102"/>
      <c r="C117" s="102"/>
      <c r="E117" s="107" t="s">
        <v>797</v>
      </c>
      <c r="F117" s="102"/>
      <c r="G117" s="102"/>
    </row>
    <row r="118" spans="1:7" ht="16.899999999999999" customHeight="1">
      <c r="A118" s="108" t="s">
        <v>804</v>
      </c>
      <c r="E118" s="108" t="s">
        <v>805</v>
      </c>
    </row>
    <row r="119" spans="1:7" ht="16.899999999999999" customHeight="1">
      <c r="A119" s="109" t="s">
        <v>806</v>
      </c>
      <c r="E119" s="110" t="s">
        <v>807</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74" fitToWidth="0" fitToHeight="0" orientation="portrait" r:id="rId1"/>
  <headerFooter>
    <oddHeader>&amp;L&amp;"Arial"&amp;9&amp;K317100PUBLIC&amp;1#</oddHead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67"/>
  <sheetViews>
    <sheetView view="pageBreakPreview" topLeftCell="A21" zoomScale="95" zoomScaleNormal="100" zoomScaleSheetLayoutView="95" workbookViewId="0">
      <selection activeCell="D21" sqref="D21:E22"/>
    </sheetView>
  </sheetViews>
  <sheetFormatPr defaultColWidth="8.7265625" defaultRowHeight="12.5"/>
  <cols>
    <col min="1" max="1" width="8.7265625" style="59"/>
    <col min="2" max="2" width="56.81640625" style="59" customWidth="1"/>
    <col min="3" max="3" width="10.7265625" style="59" bestFit="1" customWidth="1"/>
    <col min="4" max="4" width="29.26953125" style="59" customWidth="1"/>
    <col min="5" max="5" width="28.81640625" style="59" customWidth="1"/>
    <col min="6" max="6" width="8.453125" style="103" customWidth="1"/>
    <col min="7" max="16384" width="8.7265625" style="103"/>
  </cols>
  <sheetData>
    <row r="1" spans="1:6" ht="30" customHeight="1">
      <c r="A1" s="254" t="s">
        <v>820</v>
      </c>
      <c r="B1" s="254"/>
      <c r="C1" s="254"/>
      <c r="D1" s="254"/>
      <c r="E1" s="254"/>
      <c r="F1" s="111"/>
    </row>
    <row r="2" spans="1:6" ht="50.15" customHeight="1">
      <c r="A2" s="255" t="s">
        <v>852</v>
      </c>
      <c r="B2" s="255"/>
      <c r="C2" s="255"/>
      <c r="D2" s="255"/>
      <c r="E2" s="255"/>
      <c r="F2" s="112"/>
    </row>
    <row r="3" spans="1:6" ht="13">
      <c r="A3" s="256" t="s">
        <v>822</v>
      </c>
      <c r="B3" s="256"/>
      <c r="C3" s="256"/>
      <c r="D3" s="256"/>
      <c r="E3" s="256"/>
      <c r="F3" s="111"/>
    </row>
    <row r="4" spans="1:6" ht="20.65" customHeight="1">
      <c r="A4" s="256"/>
      <c r="B4" s="256"/>
      <c r="C4" s="256"/>
      <c r="D4" s="256"/>
      <c r="E4" s="256"/>
      <c r="F4" s="111"/>
    </row>
    <row r="5" spans="1:6" ht="16.899999999999999" customHeight="1">
      <c r="A5" s="257" t="s">
        <v>796</v>
      </c>
      <c r="B5" s="257"/>
      <c r="C5" s="257"/>
      <c r="D5" s="257"/>
      <c r="E5" s="257"/>
      <c r="F5" s="113"/>
    </row>
    <row r="7" spans="1:6" ht="16.899999999999999" customHeight="1">
      <c r="A7" s="72" t="s">
        <v>2</v>
      </c>
      <c r="C7" s="276" t="s">
        <v>797</v>
      </c>
      <c r="D7" s="276"/>
      <c r="E7" s="276"/>
    </row>
    <row r="8" spans="1:6" ht="16.899999999999999" customHeight="1">
      <c r="A8" s="59" t="s">
        <v>41</v>
      </c>
      <c r="C8" s="275" t="s">
        <v>798</v>
      </c>
      <c r="D8" s="275"/>
      <c r="E8" s="275"/>
    </row>
    <row r="9" spans="1:6" ht="16.899999999999999" customHeight="1">
      <c r="A9" s="72" t="s">
        <v>3</v>
      </c>
      <c r="C9" s="276" t="s">
        <v>799</v>
      </c>
      <c r="D9" s="276"/>
      <c r="E9" s="276"/>
    </row>
    <row r="10" spans="1:6" ht="16.899999999999999" customHeight="1">
      <c r="A10" s="59" t="s">
        <v>4</v>
      </c>
      <c r="C10" s="275" t="s">
        <v>800</v>
      </c>
      <c r="D10" s="275"/>
      <c r="E10" s="275"/>
    </row>
    <row r="11" spans="1:6" ht="16.899999999999999" customHeight="1">
      <c r="A11" s="72" t="s">
        <v>5</v>
      </c>
      <c r="C11" s="276" t="s">
        <v>801</v>
      </c>
      <c r="D11" s="276"/>
      <c r="E11" s="276"/>
    </row>
    <row r="12" spans="1:6" ht="16.899999999999999" customHeight="1">
      <c r="A12" s="59" t="s">
        <v>6</v>
      </c>
      <c r="C12" s="275" t="s">
        <v>819</v>
      </c>
      <c r="D12" s="275"/>
      <c r="E12" s="275"/>
    </row>
    <row r="13" spans="1:6" ht="16.899999999999999" customHeight="1">
      <c r="A13" s="72" t="s">
        <v>7</v>
      </c>
      <c r="C13" s="276" t="s">
        <v>802</v>
      </c>
      <c r="D13" s="276"/>
      <c r="E13" s="276"/>
    </row>
    <row r="14" spans="1:6" ht="16.899999999999999" customHeight="1">
      <c r="A14" s="59" t="s">
        <v>8</v>
      </c>
      <c r="C14" s="275" t="s">
        <v>803</v>
      </c>
      <c r="D14" s="275"/>
      <c r="E14" s="275"/>
    </row>
    <row r="16" spans="1:6" ht="16.899999999999999" customHeight="1">
      <c r="A16" s="206" t="s">
        <v>823</v>
      </c>
      <c r="B16" s="98" t="s">
        <v>824</v>
      </c>
      <c r="C16" s="98"/>
      <c r="D16" s="98"/>
      <c r="E16" s="98"/>
    </row>
    <row r="17" spans="1:5" ht="16.899999999999999" customHeight="1">
      <c r="A17" s="73" t="s">
        <v>56</v>
      </c>
      <c r="B17" s="74" t="s">
        <v>240</v>
      </c>
    </row>
    <row r="18" spans="1:5" ht="42" customHeight="1">
      <c r="A18" s="104" t="s">
        <v>43</v>
      </c>
      <c r="B18" s="104" t="s">
        <v>241</v>
      </c>
      <c r="C18" s="104" t="s">
        <v>45</v>
      </c>
      <c r="D18" s="104" t="s">
        <v>810</v>
      </c>
      <c r="E18" s="104" t="s">
        <v>811</v>
      </c>
    </row>
    <row r="19" spans="1:5" s="117" customFormat="1" ht="39" customHeight="1">
      <c r="A19" s="114" t="s">
        <v>42</v>
      </c>
      <c r="B19" s="115" t="s">
        <v>85</v>
      </c>
      <c r="C19" s="116"/>
      <c r="D19" s="210"/>
      <c r="E19" s="210"/>
    </row>
    <row r="20" spans="1:5" ht="58.5" customHeight="1">
      <c r="A20" s="118">
        <v>1</v>
      </c>
      <c r="B20" s="46" t="s">
        <v>858</v>
      </c>
      <c r="C20" s="119"/>
      <c r="D20" s="210">
        <v>1.9876034669981901E-2</v>
      </c>
      <c r="E20" s="210">
        <v>1.9235073982509801E-2</v>
      </c>
    </row>
    <row r="21" spans="1:5" ht="55.5" customHeight="1">
      <c r="A21" s="118">
        <v>2</v>
      </c>
      <c r="B21" s="46" t="s">
        <v>859</v>
      </c>
      <c r="C21" s="119"/>
      <c r="D21" s="248">
        <v>1.339910594821748E-3</v>
      </c>
      <c r="E21" s="248">
        <v>1.1121840739494405E-3</v>
      </c>
    </row>
    <row r="22" spans="1:5" ht="97.5" customHeight="1">
      <c r="A22" s="118">
        <v>3</v>
      </c>
      <c r="B22" s="46" t="s">
        <v>860</v>
      </c>
      <c r="C22" s="119"/>
      <c r="D22" s="248">
        <v>4.8005762696067266E-4</v>
      </c>
      <c r="E22" s="248">
        <v>4.4034827844722049E-4</v>
      </c>
    </row>
    <row r="23" spans="1:5" ht="50">
      <c r="A23" s="118">
        <v>4</v>
      </c>
      <c r="B23" s="46" t="s">
        <v>242</v>
      </c>
      <c r="C23" s="119"/>
      <c r="D23" s="210">
        <v>1.50319865667406E-4</v>
      </c>
      <c r="E23" s="210">
        <v>1.2476056908532901E-4</v>
      </c>
    </row>
    <row r="24" spans="1:5" ht="50">
      <c r="A24" s="205">
        <v>5</v>
      </c>
      <c r="B24" s="46" t="s">
        <v>861</v>
      </c>
      <c r="C24" s="119"/>
      <c r="D24" s="223"/>
      <c r="E24" s="223"/>
    </row>
    <row r="25" spans="1:5" ht="75">
      <c r="A25" s="205">
        <v>6</v>
      </c>
      <c r="B25" s="46" t="s">
        <v>862</v>
      </c>
      <c r="C25" s="119"/>
      <c r="D25" s="223"/>
      <c r="E25" s="223"/>
    </row>
    <row r="26" spans="1:5" ht="79.5" customHeight="1">
      <c r="A26" s="118">
        <v>7</v>
      </c>
      <c r="B26" s="46" t="s">
        <v>243</v>
      </c>
      <c r="C26" s="119"/>
      <c r="D26" s="210">
        <v>1.15868080079643E-4</v>
      </c>
      <c r="E26" s="210">
        <v>9.9190920095694395E-5</v>
      </c>
    </row>
    <row r="27" spans="1:5" ht="39" customHeight="1">
      <c r="A27" s="118">
        <v>8</v>
      </c>
      <c r="B27" s="46" t="s">
        <v>863</v>
      </c>
      <c r="C27" s="119"/>
      <c r="D27" s="210">
        <v>4.7944262098503901E-2</v>
      </c>
      <c r="E27" s="210">
        <v>3.6640570261226899E-2</v>
      </c>
    </row>
    <row r="28" spans="1:5" ht="82.5" customHeight="1">
      <c r="A28" s="118">
        <v>9</v>
      </c>
      <c r="B28" s="46" t="s">
        <v>864</v>
      </c>
      <c r="C28" s="119"/>
      <c r="D28" s="244">
        <v>9.7532894748650101</v>
      </c>
      <c r="E28" s="244">
        <v>5.2715159081844298</v>
      </c>
    </row>
    <row r="29" spans="1:5" ht="66.5" customHeight="1">
      <c r="A29" s="205">
        <v>10</v>
      </c>
      <c r="B29" s="46" t="s">
        <v>865</v>
      </c>
      <c r="C29" s="119"/>
      <c r="D29" s="245"/>
      <c r="E29" s="245"/>
    </row>
    <row r="30" spans="1:5" ht="39" customHeight="1">
      <c r="A30" s="114" t="s">
        <v>48</v>
      </c>
      <c r="B30" s="115" t="s">
        <v>86</v>
      </c>
      <c r="C30" s="116"/>
      <c r="D30" s="120"/>
      <c r="E30" s="120"/>
    </row>
    <row r="31" spans="1:5" ht="40.9" customHeight="1">
      <c r="A31" s="277">
        <v>1</v>
      </c>
      <c r="B31" s="46" t="s">
        <v>866</v>
      </c>
      <c r="C31" s="119"/>
      <c r="D31" s="120">
        <v>249489133400</v>
      </c>
      <c r="E31" s="120">
        <v>252389245100</v>
      </c>
    </row>
    <row r="32" spans="1:5" ht="42.4" customHeight="1">
      <c r="A32" s="277"/>
      <c r="B32" s="46" t="s">
        <v>867</v>
      </c>
      <c r="C32" s="119"/>
      <c r="D32" s="120">
        <v>249489133400</v>
      </c>
      <c r="E32" s="120">
        <v>252389245100</v>
      </c>
    </row>
    <row r="33" spans="1:5" s="117" customFormat="1" ht="44.65" customHeight="1">
      <c r="A33" s="277"/>
      <c r="B33" s="46" t="s">
        <v>868</v>
      </c>
      <c r="C33" s="119"/>
      <c r="D33" s="122">
        <v>24948913.34</v>
      </c>
      <c r="E33" s="122">
        <v>25238924.510000002</v>
      </c>
    </row>
    <row r="34" spans="1:5" ht="43.5" customHeight="1">
      <c r="A34" s="277">
        <v>2</v>
      </c>
      <c r="B34" s="46" t="s">
        <v>869</v>
      </c>
      <c r="C34" s="119"/>
      <c r="D34" s="120">
        <v>-1431346700</v>
      </c>
      <c r="E34" s="120">
        <v>-2900111700</v>
      </c>
    </row>
    <row r="35" spans="1:5" ht="39" customHeight="1">
      <c r="A35" s="277"/>
      <c r="B35" s="46" t="s">
        <v>87</v>
      </c>
      <c r="C35" s="119"/>
      <c r="D35" s="122">
        <v>-143134.67000000001</v>
      </c>
      <c r="E35" s="122">
        <v>-290011.17</v>
      </c>
    </row>
    <row r="36" spans="1:5" ht="39" customHeight="1">
      <c r="A36" s="277"/>
      <c r="B36" s="46" t="s">
        <v>88</v>
      </c>
      <c r="C36" s="119"/>
      <c r="D36" s="120">
        <v>-1431346700</v>
      </c>
      <c r="E36" s="120">
        <v>-2900111700</v>
      </c>
    </row>
    <row r="37" spans="1:5" ht="39" customHeight="1">
      <c r="A37" s="277"/>
      <c r="B37" s="46" t="s">
        <v>870</v>
      </c>
      <c r="C37" s="119"/>
      <c r="D37" s="121">
        <v>348097.02</v>
      </c>
      <c r="E37" s="121">
        <v>449858.53</v>
      </c>
    </row>
    <row r="38" spans="1:5" ht="39" customHeight="1">
      <c r="A38" s="277"/>
      <c r="B38" s="46" t="s">
        <v>211</v>
      </c>
      <c r="C38" s="119"/>
      <c r="D38" s="120">
        <v>3480970200</v>
      </c>
      <c r="E38" s="120">
        <v>4498585300</v>
      </c>
    </row>
    <row r="39" spans="1:5" ht="39" customHeight="1">
      <c r="A39" s="277"/>
      <c r="B39" s="46" t="s">
        <v>871</v>
      </c>
      <c r="C39" s="119"/>
      <c r="D39" s="122">
        <v>-491231.69</v>
      </c>
      <c r="E39" s="122">
        <v>-739869.7</v>
      </c>
    </row>
    <row r="40" spans="1:5" ht="44.65" customHeight="1">
      <c r="A40" s="277"/>
      <c r="B40" s="46" t="s">
        <v>212</v>
      </c>
      <c r="C40" s="119"/>
      <c r="D40" s="120">
        <v>-4912316900</v>
      </c>
      <c r="E40" s="120">
        <v>-7398697000</v>
      </c>
    </row>
    <row r="41" spans="1:5" ht="39" customHeight="1">
      <c r="A41" s="277">
        <v>3</v>
      </c>
      <c r="B41" s="46" t="s">
        <v>872</v>
      </c>
      <c r="C41" s="119"/>
      <c r="D41" s="120">
        <v>248057786700</v>
      </c>
      <c r="E41" s="120">
        <v>249489133400</v>
      </c>
    </row>
    <row r="42" spans="1:5" ht="48" customHeight="1">
      <c r="A42" s="277"/>
      <c r="B42" s="46" t="s">
        <v>873</v>
      </c>
      <c r="C42" s="119"/>
      <c r="D42" s="120">
        <v>248057786700</v>
      </c>
      <c r="E42" s="120">
        <v>249489133400</v>
      </c>
    </row>
    <row r="43" spans="1:5" ht="39" customHeight="1">
      <c r="A43" s="277"/>
      <c r="B43" s="46" t="s">
        <v>874</v>
      </c>
      <c r="C43" s="119"/>
      <c r="D43" s="122">
        <v>24805778.670000002</v>
      </c>
      <c r="E43" s="122">
        <v>24948913.34</v>
      </c>
    </row>
    <row r="44" spans="1:5" ht="60" customHeight="1">
      <c r="A44" s="118">
        <v>4</v>
      </c>
      <c r="B44" s="46" t="s">
        <v>89</v>
      </c>
      <c r="C44" s="119"/>
      <c r="D44" s="210">
        <v>1.4671210480489199E-3</v>
      </c>
      <c r="E44" s="210">
        <v>1.43329769568232E-3</v>
      </c>
    </row>
    <row r="45" spans="1:5" ht="39" customHeight="1">
      <c r="A45" s="118">
        <v>5</v>
      </c>
      <c r="B45" s="46" t="s">
        <v>90</v>
      </c>
      <c r="C45" s="119"/>
      <c r="D45" s="210">
        <v>0.26069999999999999</v>
      </c>
      <c r="E45" s="210">
        <v>0.2606</v>
      </c>
    </row>
    <row r="46" spans="1:5" ht="39" customHeight="1">
      <c r="A46" s="118">
        <v>6</v>
      </c>
      <c r="B46" s="46" t="s">
        <v>91</v>
      </c>
      <c r="C46" s="119"/>
      <c r="D46" s="244">
        <v>0.12089999999999999</v>
      </c>
      <c r="E46" s="244">
        <v>0.1201</v>
      </c>
    </row>
    <row r="47" spans="1:5" ht="39" customHeight="1">
      <c r="A47" s="205">
        <v>7</v>
      </c>
      <c r="B47" s="246" t="s">
        <v>213</v>
      </c>
      <c r="C47" s="119"/>
      <c r="D47" s="247">
        <v>52403.24</v>
      </c>
      <c r="E47" s="247">
        <v>55960.21</v>
      </c>
    </row>
    <row r="48" spans="1:5" ht="53.5" customHeight="1">
      <c r="A48" s="205">
        <v>8</v>
      </c>
      <c r="B48" s="246" t="s">
        <v>875</v>
      </c>
      <c r="C48" s="119"/>
      <c r="D48" s="247"/>
      <c r="E48" s="247"/>
    </row>
    <row r="49" spans="1:5" ht="39" customHeight="1">
      <c r="A49" s="118">
        <v>9</v>
      </c>
      <c r="B49" s="46" t="s">
        <v>92</v>
      </c>
      <c r="C49" s="119"/>
      <c r="D49" s="120">
        <v>20837</v>
      </c>
      <c r="E49" s="120">
        <v>20273</v>
      </c>
    </row>
    <row r="50" spans="1:5" ht="16.899999999999999" customHeight="1">
      <c r="A50" s="98" t="s">
        <v>93</v>
      </c>
    </row>
    <row r="51" spans="1:5" ht="60.4" customHeight="1">
      <c r="A51" s="253" t="s">
        <v>876</v>
      </c>
      <c r="B51" s="253"/>
      <c r="C51" s="253"/>
      <c r="D51" s="253"/>
      <c r="E51" s="253"/>
    </row>
    <row r="52" spans="1:5" ht="28.5" customHeight="1">
      <c r="A52" s="253" t="s">
        <v>94</v>
      </c>
      <c r="B52" s="275"/>
      <c r="C52" s="275"/>
      <c r="D52" s="275"/>
      <c r="E52" s="275"/>
    </row>
    <row r="54" spans="1:5" ht="16.899999999999999" customHeight="1">
      <c r="A54" s="98" t="s">
        <v>10</v>
      </c>
      <c r="D54" s="98" t="s">
        <v>11</v>
      </c>
    </row>
    <row r="55" spans="1:5" s="123" customFormat="1" ht="16.899999999999999" customHeight="1">
      <c r="A55" s="99" t="s">
        <v>12</v>
      </c>
      <c r="B55" s="99"/>
      <c r="C55" s="99"/>
      <c r="D55" s="99" t="s">
        <v>13</v>
      </c>
      <c r="E55" s="99"/>
    </row>
    <row r="56" spans="1:5" ht="16.899999999999999" customHeight="1"/>
    <row r="57" spans="1:5" ht="16.899999999999999" customHeight="1"/>
    <row r="64" spans="1:5">
      <c r="A64" s="124"/>
      <c r="B64" s="124"/>
      <c r="D64" s="124"/>
      <c r="E64" s="124"/>
    </row>
    <row r="65" spans="1:4" ht="16.899999999999999" customHeight="1">
      <c r="A65" s="98" t="s">
        <v>14</v>
      </c>
      <c r="D65" s="98" t="s">
        <v>797</v>
      </c>
    </row>
    <row r="66" spans="1:4" ht="16.899999999999999" customHeight="1">
      <c r="A66" s="98" t="s">
        <v>804</v>
      </c>
      <c r="D66" s="98" t="s">
        <v>805</v>
      </c>
    </row>
    <row r="67" spans="1:4" ht="16.899999999999999" customHeight="1">
      <c r="A67" s="59" t="s">
        <v>806</v>
      </c>
      <c r="D67" s="59" t="s">
        <v>807</v>
      </c>
    </row>
  </sheetData>
  <mergeCells count="17">
    <mergeCell ref="A31:A33"/>
    <mergeCell ref="A34:A40"/>
    <mergeCell ref="A41:A43"/>
    <mergeCell ref="A51:E51"/>
    <mergeCell ref="A52:E52"/>
    <mergeCell ref="C14:E14"/>
    <mergeCell ref="A1:E1"/>
    <mergeCell ref="A2:E2"/>
    <mergeCell ref="A3:E4"/>
    <mergeCell ref="A5:E5"/>
    <mergeCell ref="C7:E7"/>
    <mergeCell ref="C8:E8"/>
    <mergeCell ref="C9:E9"/>
    <mergeCell ref="C10:E10"/>
    <mergeCell ref="C11:E11"/>
    <mergeCell ref="C12:E12"/>
    <mergeCell ref="C13:E13"/>
  </mergeCells>
  <printOptions horizontalCentered="1"/>
  <pageMargins left="0.3" right="0.3" top="0.75" bottom="0.5" header="0.3" footer="0.3"/>
  <pageSetup paperSize="9" scale="71" orientation="portrait" r:id="rId1"/>
  <headerFooter>
    <oddHeader>&amp;L&amp;"Arial"&amp;9&amp;K317100PUBLIC&amp;1#</oddHeader>
  </headerFooter>
  <rowBreaks count="1" manualBreakCount="1">
    <brk id="33" max="4" man="1"/>
  </row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E47DD0-1BE0-4510-A6ED-10B3511AEB20}">
  <sheetPr>
    <pageSetUpPr fitToPage="1"/>
  </sheetPr>
  <dimension ref="A1:K47"/>
  <sheetViews>
    <sheetView view="pageBreakPreview" topLeftCell="A14" zoomScale="85" zoomScaleNormal="85" zoomScaleSheetLayoutView="85" workbookViewId="0">
      <selection activeCell="C19" sqref="C19:C28"/>
    </sheetView>
  </sheetViews>
  <sheetFormatPr defaultColWidth="9.1796875" defaultRowHeight="14.5"/>
  <cols>
    <col min="1" max="1" width="4.81640625" style="197" customWidth="1"/>
    <col min="2" max="2" width="34.453125" style="162" customWidth="1"/>
    <col min="3" max="4" width="9.1796875" style="162"/>
    <col min="5" max="5" width="12.26953125" style="162" customWidth="1"/>
    <col min="6" max="6" width="9.1796875" style="162"/>
    <col min="7" max="7" width="15.26953125" style="162" customWidth="1"/>
    <col min="8" max="10" width="19" style="162" customWidth="1"/>
    <col min="11" max="11" width="19.54296875" style="162" customWidth="1"/>
    <col min="12" max="16384" width="9.1796875" style="162"/>
  </cols>
  <sheetData>
    <row r="1" spans="1:11" s="161" customFormat="1" ht="26.25" customHeight="1">
      <c r="A1" s="278" t="s">
        <v>820</v>
      </c>
      <c r="B1" s="278"/>
      <c r="C1" s="278"/>
      <c r="D1" s="278"/>
      <c r="E1" s="278"/>
      <c r="F1" s="278"/>
      <c r="G1" s="278"/>
      <c r="H1" s="278"/>
      <c r="I1" s="278"/>
      <c r="J1" s="278"/>
      <c r="K1" s="278"/>
    </row>
    <row r="2" spans="1:11" ht="49" customHeight="1">
      <c r="A2" s="279" t="s">
        <v>821</v>
      </c>
      <c r="B2" s="279"/>
      <c r="C2" s="279"/>
      <c r="D2" s="279"/>
      <c r="E2" s="279"/>
      <c r="F2" s="279"/>
      <c r="G2" s="279"/>
      <c r="H2" s="279"/>
      <c r="I2" s="279"/>
      <c r="J2" s="279"/>
      <c r="K2" s="279"/>
    </row>
    <row r="3" spans="1:11" ht="19.149999999999999" customHeight="1">
      <c r="A3" s="280" t="s">
        <v>822</v>
      </c>
      <c r="B3" s="280"/>
      <c r="C3" s="280"/>
      <c r="D3" s="280"/>
      <c r="E3" s="280"/>
      <c r="F3" s="280"/>
      <c r="G3" s="280"/>
      <c r="H3" s="280"/>
      <c r="I3" s="280"/>
      <c r="J3" s="280"/>
      <c r="K3" s="280"/>
    </row>
    <row r="4" spans="1:11" ht="21.65" customHeight="1">
      <c r="A4" s="280"/>
      <c r="B4" s="280"/>
      <c r="C4" s="280"/>
      <c r="D4" s="280"/>
      <c r="E4" s="280"/>
      <c r="F4" s="280"/>
      <c r="G4" s="280"/>
      <c r="H4" s="280"/>
      <c r="I4" s="280"/>
      <c r="J4" s="280"/>
      <c r="K4" s="280"/>
    </row>
    <row r="5" spans="1:11">
      <c r="A5" s="281" t="s">
        <v>796</v>
      </c>
      <c r="B5" s="281"/>
      <c r="C5" s="281"/>
      <c r="D5" s="281"/>
      <c r="E5" s="281"/>
      <c r="F5" s="281"/>
      <c r="G5" s="281"/>
      <c r="H5" s="281"/>
      <c r="I5" s="281"/>
      <c r="J5" s="281"/>
      <c r="K5" s="281"/>
    </row>
    <row r="6" spans="1:11">
      <c r="A6" s="163"/>
      <c r="B6" s="163"/>
      <c r="C6" s="163"/>
      <c r="D6" s="163"/>
      <c r="E6" s="163"/>
      <c r="F6" s="164"/>
      <c r="G6" s="165"/>
      <c r="H6" s="165"/>
      <c r="I6" s="165"/>
      <c r="J6" s="165"/>
      <c r="K6" s="165"/>
    </row>
    <row r="7" spans="1:11">
      <c r="A7" s="282" t="s">
        <v>2</v>
      </c>
      <c r="B7" s="283"/>
      <c r="C7" s="166"/>
      <c r="D7" s="166"/>
      <c r="E7" s="166"/>
      <c r="F7" s="166"/>
      <c r="G7" s="284" t="s">
        <v>797</v>
      </c>
      <c r="H7" s="284"/>
      <c r="I7" s="284"/>
      <c r="J7" s="284"/>
      <c r="K7" s="165"/>
    </row>
    <row r="8" spans="1:11" ht="15" customHeight="1">
      <c r="A8" s="285" t="s">
        <v>41</v>
      </c>
      <c r="B8" s="285"/>
      <c r="C8" s="166"/>
      <c r="D8" s="166"/>
      <c r="E8" s="166"/>
      <c r="F8" s="166"/>
      <c r="G8" s="286" t="s">
        <v>798</v>
      </c>
      <c r="H8" s="286"/>
      <c r="I8" s="286"/>
      <c r="J8" s="286"/>
      <c r="K8" s="165"/>
    </row>
    <row r="9" spans="1:11">
      <c r="A9" s="287" t="s">
        <v>3</v>
      </c>
      <c r="B9" s="288"/>
      <c r="C9" s="166"/>
      <c r="D9" s="166"/>
      <c r="E9" s="166"/>
      <c r="F9" s="166"/>
      <c r="G9" s="289" t="s">
        <v>799</v>
      </c>
      <c r="H9" s="289"/>
      <c r="I9" s="289"/>
      <c r="J9" s="289"/>
      <c r="K9" s="165"/>
    </row>
    <row r="10" spans="1:11" ht="15" customHeight="1">
      <c r="A10" s="288" t="s">
        <v>4</v>
      </c>
      <c r="B10" s="288"/>
      <c r="C10" s="166"/>
      <c r="D10" s="166"/>
      <c r="E10" s="166"/>
      <c r="F10" s="166"/>
      <c r="G10" s="286" t="s">
        <v>800</v>
      </c>
      <c r="H10" s="286"/>
      <c r="I10" s="286"/>
      <c r="J10" s="286"/>
      <c r="K10" s="165"/>
    </row>
    <row r="11" spans="1:11" ht="15" customHeight="1">
      <c r="A11" s="287" t="s">
        <v>5</v>
      </c>
      <c r="B11" s="294"/>
      <c r="C11" s="166"/>
      <c r="D11" s="166"/>
      <c r="E11" s="166"/>
      <c r="F11" s="166"/>
      <c r="G11" s="284" t="s">
        <v>801</v>
      </c>
      <c r="H11" s="284"/>
      <c r="I11" s="284"/>
      <c r="J11" s="284"/>
      <c r="K11" s="165"/>
    </row>
    <row r="12" spans="1:11" ht="15" customHeight="1">
      <c r="A12" s="167" t="s">
        <v>476</v>
      </c>
      <c r="B12" s="168"/>
      <c r="C12" s="166"/>
      <c r="D12" s="166"/>
      <c r="E12" s="166"/>
      <c r="F12" s="166"/>
      <c r="G12" s="286" t="s">
        <v>819</v>
      </c>
      <c r="H12" s="286"/>
      <c r="I12" s="286"/>
      <c r="J12" s="286"/>
      <c r="K12" s="165"/>
    </row>
    <row r="13" spans="1:11" ht="15" customHeight="1">
      <c r="A13" s="169" t="s">
        <v>7</v>
      </c>
      <c r="B13" s="170"/>
      <c r="C13" s="166"/>
      <c r="D13" s="166"/>
      <c r="E13" s="166"/>
      <c r="F13" s="166"/>
      <c r="G13" s="284" t="s">
        <v>802</v>
      </c>
      <c r="H13" s="284"/>
      <c r="I13" s="284"/>
      <c r="J13" s="284"/>
      <c r="K13" s="165"/>
    </row>
    <row r="14" spans="1:11">
      <c r="A14" s="171" t="s">
        <v>8</v>
      </c>
      <c r="B14" s="171"/>
      <c r="C14" s="166"/>
      <c r="D14" s="166"/>
      <c r="E14" s="166"/>
      <c r="F14" s="166"/>
      <c r="G14" s="295" t="s">
        <v>803</v>
      </c>
      <c r="H14" s="295"/>
      <c r="I14" s="295"/>
      <c r="J14" s="295"/>
      <c r="K14" s="165"/>
    </row>
    <row r="15" spans="1:11">
      <c r="A15" s="243" t="s">
        <v>823</v>
      </c>
      <c r="B15" s="240" t="s">
        <v>824</v>
      </c>
      <c r="C15" s="241"/>
      <c r="D15" s="241"/>
      <c r="E15" s="241"/>
      <c r="F15" s="241"/>
      <c r="G15" s="242"/>
      <c r="H15" s="242"/>
      <c r="I15" s="242"/>
      <c r="J15" s="242"/>
      <c r="K15" s="241"/>
    </row>
    <row r="16" spans="1:11">
      <c r="A16" s="202" t="s">
        <v>55</v>
      </c>
      <c r="B16" s="203" t="s">
        <v>496</v>
      </c>
      <c r="C16" s="165"/>
      <c r="D16" s="165"/>
      <c r="E16" s="165"/>
      <c r="F16" s="165"/>
      <c r="G16" s="165"/>
      <c r="H16" s="165"/>
      <c r="I16" s="165"/>
      <c r="J16" s="165"/>
      <c r="K16" s="165"/>
    </row>
    <row r="17" spans="1:11" s="173" customFormat="1" ht="37.5" customHeight="1">
      <c r="A17" s="290" t="s">
        <v>186</v>
      </c>
      <c r="B17" s="290" t="s">
        <v>477</v>
      </c>
      <c r="C17" s="296" t="s">
        <v>45</v>
      </c>
      <c r="D17" s="290" t="s">
        <v>478</v>
      </c>
      <c r="E17" s="290" t="s">
        <v>479</v>
      </c>
      <c r="F17" s="290" t="s">
        <v>480</v>
      </c>
      <c r="G17" s="290" t="s">
        <v>481</v>
      </c>
      <c r="H17" s="292" t="s">
        <v>482</v>
      </c>
      <c r="I17" s="293"/>
      <c r="J17" s="292" t="s">
        <v>483</v>
      </c>
      <c r="K17" s="293"/>
    </row>
    <row r="18" spans="1:11" s="173" customFormat="1" ht="73.5" customHeight="1">
      <c r="A18" s="291"/>
      <c r="B18" s="291"/>
      <c r="C18" s="297"/>
      <c r="D18" s="291"/>
      <c r="E18" s="291"/>
      <c r="F18" s="291"/>
      <c r="G18" s="291"/>
      <c r="H18" s="174" t="s">
        <v>484</v>
      </c>
      <c r="I18" s="174" t="s">
        <v>485</v>
      </c>
      <c r="J18" s="174" t="s">
        <v>486</v>
      </c>
      <c r="K18" s="174" t="s">
        <v>485</v>
      </c>
    </row>
    <row r="19" spans="1:11" s="173" customFormat="1" ht="47.25" customHeight="1">
      <c r="A19" s="175" t="s">
        <v>269</v>
      </c>
      <c r="B19" s="176" t="s">
        <v>497</v>
      </c>
      <c r="C19" s="175"/>
      <c r="D19" s="177"/>
      <c r="E19" s="177"/>
      <c r="F19" s="178"/>
      <c r="G19" s="179"/>
      <c r="H19" s="176"/>
      <c r="I19" s="180"/>
      <c r="J19" s="181"/>
      <c r="K19" s="182"/>
    </row>
    <row r="20" spans="1:11" s="173" customFormat="1" ht="45.75" customHeight="1">
      <c r="A20" s="175" t="s">
        <v>42</v>
      </c>
      <c r="B20" s="176" t="s">
        <v>498</v>
      </c>
      <c r="C20" s="175"/>
      <c r="D20" s="178"/>
      <c r="E20" s="178"/>
      <c r="F20" s="178"/>
      <c r="G20" s="179"/>
      <c r="H20" s="176"/>
      <c r="I20" s="180"/>
      <c r="J20" s="176"/>
      <c r="K20" s="180"/>
    </row>
    <row r="21" spans="1:11" s="173" customFormat="1" ht="45.75" customHeight="1">
      <c r="A21" s="175" t="s">
        <v>286</v>
      </c>
      <c r="B21" s="176" t="s">
        <v>499</v>
      </c>
      <c r="C21" s="175"/>
      <c r="D21" s="178"/>
      <c r="E21" s="178"/>
      <c r="F21" s="178"/>
      <c r="G21" s="177"/>
      <c r="H21" s="176"/>
      <c r="I21" s="183"/>
      <c r="J21" s="176"/>
      <c r="K21" s="183"/>
    </row>
    <row r="22" spans="1:11" s="173" customFormat="1" ht="44.25" customHeight="1">
      <c r="A22" s="175" t="s">
        <v>48</v>
      </c>
      <c r="B22" s="176" t="s">
        <v>500</v>
      </c>
      <c r="C22" s="175"/>
      <c r="D22" s="178"/>
      <c r="E22" s="178"/>
      <c r="F22" s="178"/>
      <c r="G22" s="179"/>
      <c r="H22" s="176"/>
      <c r="I22" s="180"/>
      <c r="J22" s="176"/>
      <c r="K22" s="180"/>
    </row>
    <row r="23" spans="1:11" s="173" customFormat="1" ht="44.25" customHeight="1">
      <c r="A23" s="175" t="s">
        <v>487</v>
      </c>
      <c r="B23" s="176" t="s">
        <v>501</v>
      </c>
      <c r="C23" s="175"/>
      <c r="D23" s="178"/>
      <c r="E23" s="178"/>
      <c r="F23" s="178"/>
      <c r="G23" s="179"/>
      <c r="H23" s="176"/>
      <c r="I23" s="180"/>
      <c r="J23" s="176"/>
      <c r="K23" s="180"/>
    </row>
    <row r="24" spans="1:11" s="173" customFormat="1" ht="57.75" customHeight="1">
      <c r="A24" s="175" t="s">
        <v>311</v>
      </c>
      <c r="B24" s="204" t="s">
        <v>502</v>
      </c>
      <c r="C24" s="175"/>
      <c r="D24" s="178"/>
      <c r="E24" s="178"/>
      <c r="F24" s="178"/>
      <c r="G24" s="179"/>
      <c r="H24" s="176"/>
      <c r="I24" s="180"/>
      <c r="J24" s="176"/>
      <c r="K24" s="180"/>
    </row>
    <row r="25" spans="1:11" s="173" customFormat="1" ht="44.25" customHeight="1">
      <c r="A25" s="175" t="s">
        <v>54</v>
      </c>
      <c r="B25" s="176" t="s">
        <v>503</v>
      </c>
      <c r="C25" s="175"/>
      <c r="D25" s="178"/>
      <c r="E25" s="178"/>
      <c r="F25" s="178"/>
      <c r="G25" s="179"/>
      <c r="H25" s="176"/>
      <c r="I25" s="180"/>
      <c r="J25" s="176"/>
      <c r="K25" s="180"/>
    </row>
    <row r="26" spans="1:11" s="173" customFormat="1" ht="51" customHeight="1">
      <c r="A26" s="175" t="s">
        <v>378</v>
      </c>
      <c r="B26" s="176" t="s">
        <v>504</v>
      </c>
      <c r="C26" s="175"/>
      <c r="D26" s="178"/>
      <c r="E26" s="178"/>
      <c r="F26" s="178"/>
      <c r="G26" s="179"/>
      <c r="H26" s="176"/>
      <c r="I26" s="180"/>
      <c r="J26" s="176"/>
      <c r="K26" s="180"/>
    </row>
    <row r="27" spans="1:11" s="173" customFormat="1" ht="44.25" customHeight="1">
      <c r="A27" s="175" t="s">
        <v>55</v>
      </c>
      <c r="B27" s="176" t="s">
        <v>503</v>
      </c>
      <c r="C27" s="175"/>
      <c r="D27" s="178"/>
      <c r="E27" s="178"/>
      <c r="F27" s="178"/>
      <c r="G27" s="179"/>
      <c r="H27" s="176"/>
      <c r="I27" s="180"/>
      <c r="J27" s="176"/>
      <c r="K27" s="180"/>
    </row>
    <row r="28" spans="1:11" s="173" customFormat="1" ht="44.25" customHeight="1">
      <c r="A28" s="175" t="s">
        <v>488</v>
      </c>
      <c r="B28" s="176" t="s">
        <v>505</v>
      </c>
      <c r="C28" s="175"/>
      <c r="D28" s="178"/>
      <c r="E28" s="178"/>
      <c r="F28" s="178"/>
      <c r="G28" s="179"/>
      <c r="H28" s="176"/>
      <c r="I28" s="180"/>
      <c r="J28" s="176"/>
      <c r="K28" s="180"/>
    </row>
    <row r="29" spans="1:11" s="173" customFormat="1" ht="12.5">
      <c r="A29" s="184"/>
      <c r="B29" s="185"/>
      <c r="C29" s="185"/>
      <c r="D29" s="178"/>
      <c r="E29" s="178"/>
      <c r="F29" s="178"/>
      <c r="G29" s="179"/>
      <c r="H29" s="176"/>
      <c r="I29" s="180"/>
      <c r="J29" s="181"/>
      <c r="K29" s="182"/>
    </row>
    <row r="30" spans="1:11" s="173" customFormat="1" ht="12.5">
      <c r="A30" s="186"/>
      <c r="B30" s="187"/>
      <c r="C30" s="187"/>
      <c r="D30" s="187"/>
      <c r="E30" s="187"/>
      <c r="F30" s="187"/>
      <c r="G30" s="187"/>
      <c r="H30" s="187"/>
      <c r="I30" s="187"/>
      <c r="J30" s="187"/>
      <c r="K30" s="187"/>
    </row>
    <row r="31" spans="1:11" s="173" customFormat="1" ht="12.5">
      <c r="A31" s="186"/>
      <c r="B31" s="187"/>
      <c r="C31" s="187"/>
      <c r="D31" s="187"/>
      <c r="E31" s="187"/>
      <c r="F31" s="187"/>
      <c r="G31" s="187"/>
      <c r="H31" s="187"/>
      <c r="I31" s="187"/>
      <c r="J31" s="187"/>
      <c r="K31" s="187"/>
    </row>
    <row r="32" spans="1:11" s="173" customFormat="1" ht="12.5">
      <c r="A32" s="186"/>
      <c r="B32" s="187"/>
      <c r="C32" s="187"/>
      <c r="D32" s="187"/>
      <c r="E32" s="187"/>
      <c r="F32" s="187"/>
      <c r="G32" s="187"/>
      <c r="H32" s="187"/>
      <c r="I32" s="187"/>
      <c r="J32" s="187"/>
      <c r="K32" s="187"/>
    </row>
    <row r="33" spans="1:11" s="173" customFormat="1" ht="12.5">
      <c r="A33" s="188" t="s">
        <v>10</v>
      </c>
      <c r="B33" s="189"/>
      <c r="C33" s="190"/>
      <c r="D33" s="187"/>
      <c r="E33" s="187"/>
      <c r="F33" s="187"/>
      <c r="G33" s="187"/>
      <c r="H33" s="187"/>
      <c r="I33" s="191" t="s">
        <v>11</v>
      </c>
      <c r="J33" s="187"/>
      <c r="K33" s="187"/>
    </row>
    <row r="34" spans="1:11" s="173" customFormat="1" ht="12.5">
      <c r="A34" s="192" t="s">
        <v>12</v>
      </c>
      <c r="B34" s="189"/>
      <c r="C34" s="190"/>
      <c r="D34" s="187"/>
      <c r="E34" s="187"/>
      <c r="F34" s="187"/>
      <c r="G34" s="187"/>
      <c r="H34" s="187"/>
      <c r="I34" s="193" t="s">
        <v>13</v>
      </c>
      <c r="J34" s="187"/>
      <c r="K34" s="187"/>
    </row>
    <row r="35" spans="1:11">
      <c r="A35" s="189"/>
      <c r="B35" s="189"/>
      <c r="C35" s="190"/>
      <c r="D35" s="165"/>
      <c r="E35" s="165"/>
      <c r="F35" s="165"/>
      <c r="G35" s="165"/>
      <c r="H35" s="165"/>
      <c r="I35" s="190"/>
      <c r="J35" s="165"/>
      <c r="K35" s="165"/>
    </row>
    <row r="36" spans="1:11">
      <c r="A36" s="189"/>
      <c r="B36" s="189"/>
      <c r="C36" s="190"/>
      <c r="D36" s="165"/>
      <c r="E36" s="165"/>
      <c r="F36" s="165"/>
      <c r="G36" s="165"/>
      <c r="H36" s="165"/>
      <c r="I36" s="190"/>
      <c r="J36" s="165"/>
      <c r="K36" s="165"/>
    </row>
    <row r="37" spans="1:11">
      <c r="A37" s="189"/>
      <c r="B37" s="189"/>
      <c r="C37" s="190"/>
      <c r="D37" s="165"/>
      <c r="E37" s="165"/>
      <c r="F37" s="165"/>
      <c r="G37" s="165"/>
      <c r="H37" s="165"/>
      <c r="I37" s="190"/>
      <c r="J37" s="165"/>
      <c r="K37" s="165"/>
    </row>
    <row r="38" spans="1:11">
      <c r="A38" s="189"/>
      <c r="B38" s="189"/>
      <c r="C38" s="190"/>
      <c r="D38" s="165"/>
      <c r="E38" s="165"/>
      <c r="F38" s="165"/>
      <c r="G38" s="165"/>
      <c r="H38" s="165"/>
      <c r="I38" s="190"/>
      <c r="J38" s="165"/>
      <c r="K38" s="165"/>
    </row>
    <row r="39" spans="1:11">
      <c r="A39" s="189"/>
      <c r="B39" s="189"/>
      <c r="C39" s="190"/>
      <c r="D39" s="165"/>
      <c r="E39" s="165"/>
      <c r="F39" s="165"/>
      <c r="G39" s="165"/>
      <c r="H39" s="165"/>
      <c r="I39" s="190"/>
      <c r="J39" s="165"/>
      <c r="K39" s="165"/>
    </row>
    <row r="40" spans="1:11">
      <c r="A40" s="189"/>
      <c r="B40" s="189"/>
      <c r="C40" s="190"/>
      <c r="D40" s="165"/>
      <c r="E40" s="165"/>
      <c r="F40" s="165"/>
      <c r="G40" s="165"/>
      <c r="H40" s="165"/>
      <c r="I40" s="190"/>
      <c r="J40" s="165"/>
      <c r="K40" s="165"/>
    </row>
    <row r="41" spans="1:11">
      <c r="A41" s="189"/>
      <c r="B41" s="189"/>
      <c r="C41" s="190"/>
      <c r="D41" s="165"/>
      <c r="E41" s="165"/>
      <c r="F41" s="165"/>
      <c r="G41" s="165"/>
      <c r="H41" s="165"/>
      <c r="I41" s="190"/>
      <c r="J41" s="165"/>
      <c r="K41" s="165"/>
    </row>
    <row r="42" spans="1:11">
      <c r="A42" s="189"/>
      <c r="B42" s="189"/>
      <c r="C42" s="190"/>
      <c r="D42" s="165"/>
      <c r="E42" s="165"/>
      <c r="F42" s="165"/>
      <c r="G42" s="165"/>
      <c r="H42" s="165"/>
      <c r="I42" s="190"/>
      <c r="J42" s="165"/>
      <c r="K42" s="165"/>
    </row>
    <row r="43" spans="1:11">
      <c r="A43" s="194"/>
      <c r="B43" s="194"/>
      <c r="C43" s="195"/>
      <c r="D43" s="196"/>
      <c r="E43" s="165"/>
      <c r="F43" s="165"/>
      <c r="G43" s="165"/>
      <c r="H43" s="165"/>
      <c r="I43" s="195"/>
      <c r="J43" s="196"/>
      <c r="K43" s="196"/>
    </row>
    <row r="44" spans="1:11">
      <c r="A44" s="188" t="s">
        <v>14</v>
      </c>
      <c r="B44" s="189"/>
      <c r="C44" s="190"/>
      <c r="D44" s="165"/>
      <c r="E44" s="165"/>
      <c r="F44" s="165"/>
      <c r="G44" s="165"/>
      <c r="H44" s="165"/>
      <c r="I44" s="191" t="s">
        <v>797</v>
      </c>
      <c r="J44" s="165"/>
      <c r="K44" s="165"/>
    </row>
    <row r="45" spans="1:11">
      <c r="A45" s="188" t="s">
        <v>804</v>
      </c>
      <c r="B45" s="189"/>
      <c r="C45" s="190"/>
      <c r="D45" s="165"/>
      <c r="E45" s="165"/>
      <c r="F45" s="165"/>
      <c r="G45" s="165"/>
      <c r="H45" s="165"/>
      <c r="I45" s="191" t="s">
        <v>805</v>
      </c>
      <c r="J45" s="165"/>
      <c r="K45" s="165"/>
    </row>
    <row r="46" spans="1:11">
      <c r="A46" s="189" t="s">
        <v>806</v>
      </c>
      <c r="B46" s="189"/>
      <c r="C46" s="190"/>
      <c r="D46" s="165"/>
      <c r="E46" s="165"/>
      <c r="F46" s="165"/>
      <c r="G46" s="165"/>
      <c r="H46" s="165"/>
      <c r="I46" s="190" t="s">
        <v>807</v>
      </c>
      <c r="J46" s="165"/>
      <c r="K46" s="165"/>
    </row>
    <row r="47" spans="1:11">
      <c r="A47" s="172"/>
      <c r="B47" s="165"/>
      <c r="C47" s="165"/>
      <c r="D47" s="165"/>
      <c r="E47" s="165"/>
      <c r="F47" s="165"/>
      <c r="G47" s="165"/>
      <c r="H47" s="165"/>
      <c r="I47" s="165"/>
      <c r="J47" s="165"/>
      <c r="K47" s="165"/>
    </row>
  </sheetData>
  <mergeCells count="26">
    <mergeCell ref="F17:F18"/>
    <mergeCell ref="G17:G18"/>
    <mergeCell ref="H17:I17"/>
    <mergeCell ref="J17:K17"/>
    <mergeCell ref="A11:B11"/>
    <mergeCell ref="G11:J11"/>
    <mergeCell ref="G12:J12"/>
    <mergeCell ref="G13:J13"/>
    <mergeCell ref="G14:J14"/>
    <mergeCell ref="A17:A18"/>
    <mergeCell ref="B17:B18"/>
    <mergeCell ref="C17:C18"/>
    <mergeCell ref="D17:D18"/>
    <mergeCell ref="E17:E18"/>
    <mergeCell ref="A8:B8"/>
    <mergeCell ref="G8:J8"/>
    <mergeCell ref="A9:B9"/>
    <mergeCell ref="G9:J9"/>
    <mergeCell ref="A10:B10"/>
    <mergeCell ref="G10:J10"/>
    <mergeCell ref="A1:K1"/>
    <mergeCell ref="A2:K2"/>
    <mergeCell ref="A3:K4"/>
    <mergeCell ref="A5:K5"/>
    <mergeCell ref="A7:B7"/>
    <mergeCell ref="G7:J7"/>
  </mergeCells>
  <printOptions horizontalCentered="1"/>
  <pageMargins left="0.3" right="0.3" top="0.75" bottom="0.5" header="0.3" footer="0.3"/>
  <pageSetup paperSize="9" scale="72" fitToHeight="2" orientation="landscape"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Q1u5JF/OMlkyxptNhxhvcx5gHdM=</DigestValue>
    </Reference>
    <Reference Type="http://www.w3.org/2000/09/xmldsig#Object" URI="#idOfficeObject">
      <DigestMethod Algorithm="http://www.w3.org/2000/09/xmldsig#sha1"/>
      <DigestValue>YSiBaQjDJzzgiOZUaSIXa03lwkQ=</DigestValue>
    </Reference>
    <Reference Type="http://uri.etsi.org/01903#SignedProperties" URI="#idSignedProperties">
      <Transforms>
        <Transform Algorithm="http://www.w3.org/TR/2001/REC-xml-c14n-20010315"/>
      </Transforms>
      <DigestMethod Algorithm="http://www.w3.org/2000/09/xmldsig#sha1"/>
      <DigestValue>MHhoPOJVpom/AwFRl0a5cTk3q3k=</DigestValue>
    </Reference>
  </SignedInfo>
  <SignatureValue>OPOZ1tlCibrNN/RTUiDVmEnoxDHQqq8cvlL3Kaurqe13Fb8yICdT4Wro6cprYpLYlwx3qw0Ih2AH
dUk2TEAVrYOsht0Q1cA5jTuFGVvXzz7sAD9qdCF9GVG+bw50ZdbVdG7S3R0Q7cz+OFACXukbMclN
GUHXOXWylbAdQDryV0E=</SignatureValue>
  <KeyInfo>
    <X509Data>
      <X509Certificate>MIIFxzCCA6+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IsZAEBDA5NU1Q6MDEwMzYxNzE0NzCBnzANBgkqhkiG9w0BAQEFAAOBjQAwgYkCgYEA7pSndCidHVtQiMDE4bOk9SyBIX6c9nWX+dmD57yq14r6IEC/aY9rUI5C8IDq9KtxLw5W9dOOtF2lGqGZhtabbtVgH42a6zkGzLQpFLDJaqf0TNZK+1TJjieHgd/5yPfMK5qTZyy6FXqNcU8qZKy8cA+jtzRwN6EjN+ijvxtqI80CAwEAAaOCAa4wggGqMHAGCCsGAQUFBwEBBGQwYjAyBggrBgEFBQcwAoYmaHR0cDovL3B1Yi52bnB0LWNhLnZuL2NlcnRzL3ZucHRjYS5jZXIwLAYIKwYBBQUHMAGGIGh0dHA6Ly9vY3NwLnZucHQtY2Eudm4vcmVzcG9uZGVyMB0GA1UdDgQWBBR7hLXIeO5HLjmgRjdorTv/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YlojxYBRd5ItKL3R6f4A/ANfu2k1dBiw8AqqwY1U/ynWxv6iIHXesF+7eZI86UbQW15oMjizCWQIxiHttjxpogjFq1TF2Bg6gWVoyAbDkG8SyIfWwzKwqid7C9JZAGbnvamhJDa4vjvA/qeOf5XckKEOO5Iz52h2ermbDEePxRJg8NcYy46nZr3z9e/QlFk02JBTS+0H0RAU/cmsuPnWlWOKGRpvV8fJ5UaOUmrIvtGZmQ09YM5wgM6gVGmTEctMkin6FIjFobyTjIQTMBFtPBUQLPRuxScov7U0jPV5GPJWcB3dE/7uqGVakcKqeqHVBBdMibQ1t1Jz5H80bRTWG5RMHPsFdLpXoOqxQPD9f1xdKrzhejfgo9EzeTeXlnKyDRrEyVJXEy/LtXOIdSL0qj2dsO/1DFJXhmn9NL3Qoxfj7Sj/Tav8VsFQCGF00r/G49/y+NfX5pdcBYU7C2LbQ0GonFN4GIEfdlmuHyBU0hZmSLBSZfhX/5x50fwXbi+RHwKwunQ93tDL8Ykl3VPpvXhUyz9PHkW4SnNCJp3fZnfySyNZutOk3By4sKl02AHS9vpFmMNwnMfqv3ycGRT5vAHOPsbUGpf4BgU7bdNd6xuEVUrcjmtd4oV+LkztdBgK+c+bDIssmnzJKQ==</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12"/>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EQCQ1owCM9q3zhS2PcLF8hRqIe8=</DigestValue>
      </Reference>
      <Reference URI="/xl/calcChain.xml?ContentType=application/vnd.openxmlformats-officedocument.spreadsheetml.calcChain+xml">
        <DigestMethod Algorithm="http://www.w3.org/2000/09/xmldsig#sha1"/>
        <DigestValue>xiSGNR5xbmmEmuxN6IInxrY4BmE=</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drawing1.xml?ContentType=application/vnd.openxmlformats-officedocument.drawing+xml">
        <DigestMethod Algorithm="http://www.w3.org/2000/09/xmldsig#sha1"/>
        <DigestValue>67+YrCaFa08CzeYZD5HF9CZfX+A=</DigestValue>
      </Reference>
      <Reference URI="/xl/drawings/drawing2.xml?ContentType=application/vnd.openxmlformats-officedocument.drawing+xml">
        <DigestMethod Algorithm="http://www.w3.org/2000/09/xmldsig#sha1"/>
        <DigestValue>1pE7sXbGC/kb58sxsaxxV3w5RuA=</DigestValue>
      </Reference>
      <Reference URI="/xl/drawings/drawing3.xml?ContentType=application/vnd.openxmlformats-officedocument.drawing+xml">
        <DigestMethod Algorithm="http://www.w3.org/2000/09/xmldsig#sha1"/>
        <DigestValue>BoaY1ieD1I9SrDlD9cF7Zqt35GU=</DigestValue>
      </Reference>
      <Reference URI="/xl/drawings/drawing4.xml?ContentType=application/vnd.openxmlformats-officedocument.drawing+xml">
        <DigestMethod Algorithm="http://www.w3.org/2000/09/xmldsig#sha1"/>
        <DigestValue>2/pNe/msXlbmcjchXjgFBN9YNQg=</DigestValue>
      </Reference>
      <Reference URI="/xl/drawings/drawing5.xml?ContentType=application/vnd.openxmlformats-officedocument.drawing+xml">
        <DigestMethod Algorithm="http://www.w3.org/2000/09/xmldsig#sha1"/>
        <DigestValue>D1gDZ91JRYyVVfx2x9Hed8740LU=</DigestValue>
      </Reference>
      <Reference URI="/xl/drawings/drawing6.xml?ContentType=application/vnd.openxmlformats-officedocument.drawing+xml">
        <DigestMethod Algorithm="http://www.w3.org/2000/09/xmldsig#sha1"/>
        <DigestValue>NCyo1ezbX0ER7Uajq5BuhvnOzPE=</DigestValue>
      </Reference>
      <Reference URI="/xl/drawings/drawing7.xml?ContentType=application/vnd.openxmlformats-officedocument.drawing+xml">
        <DigestMethod Algorithm="http://www.w3.org/2000/09/xmldsig#sha1"/>
        <DigestValue>3SilF6pT+QD/XgBSQA+ihgQk1io=</DigestValue>
      </Reference>
      <Reference URI="/xl/media/image1.jpeg?ContentType=image/jpeg">
        <DigestMethod Algorithm="http://www.w3.org/2000/09/xmldsig#sha1"/>
        <DigestValue>LcOkGzmVM5+bKjNlT1bLqBKVQkA=</DigestValue>
      </Reference>
      <Reference URI="/xl/printerSettings/printerSettings1.bin?ContentType=application/vnd.openxmlformats-officedocument.spreadsheetml.printerSettings">
        <DigestMethod Algorithm="http://www.w3.org/2000/09/xmldsig#sha1"/>
        <DigestValue>n8EA7YFL0S43qbRJBBRo0Zh4wQg=</DigestValue>
      </Reference>
      <Reference URI="/xl/printerSettings/printerSettings2.bin?ContentType=application/vnd.openxmlformats-officedocument.spreadsheetml.printerSettings">
        <DigestMethod Algorithm="http://www.w3.org/2000/09/xmldsig#sha1"/>
        <DigestValue>bUHVyzDsdTcA10rhHu71cnbRUsU=</DigestValue>
      </Reference>
      <Reference URI="/xl/printerSettings/printerSettings3.bin?ContentType=application/vnd.openxmlformats-officedocument.spreadsheetml.printerSettings">
        <DigestMethod Algorithm="http://www.w3.org/2000/09/xmldsig#sha1"/>
        <DigestValue>bUHVyzDsdTcA10rhHu71cnbRUsU=</DigestValue>
      </Reference>
      <Reference URI="/xl/printerSettings/printerSettings4.bin?ContentType=application/vnd.openxmlformats-officedocument.spreadsheetml.printerSettings">
        <DigestMethod Algorithm="http://www.w3.org/2000/09/xmldsig#sha1"/>
        <DigestValue>bUHVyzDsdTcA10rhHu71cnbRUsU=</DigestValue>
      </Reference>
      <Reference URI="/xl/printerSettings/printerSettings5.bin?ContentType=application/vnd.openxmlformats-officedocument.spreadsheetml.printerSettings">
        <DigestMethod Algorithm="http://www.w3.org/2000/09/xmldsig#sha1"/>
        <DigestValue>bUHVyzDsdTcA10rhHu71cnbRUsU=</DigestValue>
      </Reference>
      <Reference URI="/xl/printerSettings/printerSettings6.bin?ContentType=application/vnd.openxmlformats-officedocument.spreadsheetml.printerSettings">
        <DigestMethod Algorithm="http://www.w3.org/2000/09/xmldsig#sha1"/>
        <DigestValue>bUHVyzDsdTcA10rhHu71cnbRUsU=</DigestValue>
      </Reference>
      <Reference URI="/xl/printerSettings/printerSettings7.bin?ContentType=application/vnd.openxmlformats-officedocument.spreadsheetml.printerSettings">
        <DigestMethod Algorithm="http://www.w3.org/2000/09/xmldsig#sha1"/>
        <DigestValue>bUHVyzDsdTcA10rhHu71cnbRUsU=</DigestValue>
      </Reference>
      <Reference URI="/xl/printerSettings/printerSettings8.bin?ContentType=application/vnd.openxmlformats-officedocument.spreadsheetml.printerSettings">
        <DigestMethod Algorithm="http://www.w3.org/2000/09/xmldsig#sha1"/>
        <DigestValue>nqK6u4N/0Yzsu5YS/q7f68eSaLM=</DigestValue>
      </Reference>
      <Reference URI="/xl/sharedStrings.xml?ContentType=application/vnd.openxmlformats-officedocument.spreadsheetml.sharedStrings+xml">
        <DigestMethod Algorithm="http://www.w3.org/2000/09/xmldsig#sha1"/>
        <DigestValue>zxQAlt5/u/7/HzIkOQhCG3WYpHI=</DigestValue>
      </Reference>
      <Reference URI="/xl/styles.xml?ContentType=application/vnd.openxmlformats-officedocument.spreadsheetml.styles+xml">
        <DigestMethod Algorithm="http://www.w3.org/2000/09/xmldsig#sha1"/>
        <DigestValue>au+4sY45X+IaC5Z/TRT/ywzlUsg=</DigestValue>
      </Reference>
      <Reference URI="/xl/theme/theme1.xml?ContentType=application/vnd.openxmlformats-officedocument.theme+xml">
        <DigestMethod Algorithm="http://www.w3.org/2000/09/xmldsig#sha1"/>
        <DigestValue>7lPr5U+szqez1hlrpGbpz47SRGM=</DigestValue>
      </Reference>
      <Reference URI="/xl/workbook.xml?ContentType=application/vnd.openxmlformats-officedocument.spreadsheetml.sheet.main+xml">
        <DigestMethod Algorithm="http://www.w3.org/2000/09/xmldsig#sha1"/>
        <DigestValue>HsFSnFyG3n+EPwVF8njZzx2Q22Q=</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imM1jITENJkcDA1fIMO1bCu/6oY=</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0/AJzcN/9l0f02AjmRw3U5MPiro=</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vmyDWoLXOSA0mHRRlwQSrpDoONQ=</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8TmIL4546k7/mbLPICC2nRrRUBg=</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1aMZFZb3XqOYapFQbMMfJ27g+jQ=</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GJcRD91QOfbAR68ShU4DQnpzDaU=</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+3wJG/rZwAVJPZ/ie513Hlf5U7I=</DigestValue>
      </Reference>
      <Reference URI="/xl/worksheets/sheet1.xml?ContentType=application/vnd.openxmlformats-officedocument.spreadsheetml.worksheet+xml">
        <DigestMethod Algorithm="http://www.w3.org/2000/09/xmldsig#sha1"/>
        <DigestValue>pGUrqmIRqGSSQjgSBkR9MJ73IrA=</DigestValue>
      </Reference>
      <Reference URI="/xl/worksheets/sheet2.xml?ContentType=application/vnd.openxmlformats-officedocument.spreadsheetml.worksheet+xml">
        <DigestMethod Algorithm="http://www.w3.org/2000/09/xmldsig#sha1"/>
        <DigestValue>nK7dqDv/uaRR7NGAqLvdr82HdYg=</DigestValue>
      </Reference>
      <Reference URI="/xl/worksheets/sheet3.xml?ContentType=application/vnd.openxmlformats-officedocument.spreadsheetml.worksheet+xml">
        <DigestMethod Algorithm="http://www.w3.org/2000/09/xmldsig#sha1"/>
        <DigestValue>byZj/IIaBNIaABjrGbLDvt+leM8=</DigestValue>
      </Reference>
      <Reference URI="/xl/worksheets/sheet4.xml?ContentType=application/vnd.openxmlformats-officedocument.spreadsheetml.worksheet+xml">
        <DigestMethod Algorithm="http://www.w3.org/2000/09/xmldsig#sha1"/>
        <DigestValue>JNfrKUlmS8105tdlxX4sxk5g9r0=</DigestValue>
      </Reference>
      <Reference URI="/xl/worksheets/sheet5.xml?ContentType=application/vnd.openxmlformats-officedocument.spreadsheetml.worksheet+xml">
        <DigestMethod Algorithm="http://www.w3.org/2000/09/xmldsig#sha1"/>
        <DigestValue>WoLFT66FB0HOsR+A44MP+7463Sc=</DigestValue>
      </Reference>
      <Reference URI="/xl/worksheets/sheet6.xml?ContentType=application/vnd.openxmlformats-officedocument.spreadsheetml.worksheet+xml">
        <DigestMethod Algorithm="http://www.w3.org/2000/09/xmldsig#sha1"/>
        <DigestValue>RW7xvuyIlYxRl4ewWEnxmI0F3I4=</DigestValue>
      </Reference>
      <Reference URI="/xl/worksheets/sheet7.xml?ContentType=application/vnd.openxmlformats-officedocument.spreadsheetml.worksheet+xml">
        <DigestMethod Algorithm="http://www.w3.org/2000/09/xmldsig#sha1"/>
        <DigestValue>Oeq+u+8vZwqhkqcDHXARYFRI0dE=</DigestValue>
      </Reference>
      <Reference URI="/xl/worksheets/sheet8.xml?ContentType=application/vnd.openxmlformats-officedocument.spreadsheetml.worksheet+xml">
        <DigestMethod Algorithm="http://www.w3.org/2000/09/xmldsig#sha1"/>
        <DigestValue>S07Xrvv9/PtQ45lGfAydw8qIihE=</DigestValue>
      </Reference>
    </Manifest>
    <SignatureProperties>
      <SignatureProperty Id="idSignatureTime" Target="#idPackageSignature">
        <mdssi:SignatureTime xmlns:mdssi="http://schemas.openxmlformats.org/package/2006/digital-signature">
          <mdssi:Format>YYYY-MM-DDThh:mm:ssTZD</mdssi:Format>
          <mdssi:Value>2022-11-03T07:25:54Z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16.0.14931/23</OfficeVersion>
          <ApplicationVersion>16.0.14931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2022-11-03T07:25:54Z</xd:SigningTime>
          <xd:SigningCertificate>
            <xd:Cert>
              <xd:CertDigest>
                <DigestMethod Algorithm="http://www.w3.org/2000/09/xmldsig#sha1"/>
                <DigestValue>i/4xqchdECz631I9Txom3VmEQqE=</DigestValue>
              </xd:CertDigest>
              <xd:IssuerSerial>
                <X509IssuerName>CN=VNPT Certification Authority, OU=VNPT-CA Trust Network, O=VNPT Group, C=VN</X509IssuerName>
                <X509SerialNumber>111660364321857326909802287856997449013</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15</vt:i4>
      </vt:variant>
    </vt:vector>
  </HeadingPairs>
  <TitlesOfParts>
    <vt:vector size="23" baseType="lpstr">
      <vt:lpstr>TONGQUAN</vt:lpstr>
      <vt:lpstr>BCthunhap</vt:lpstr>
      <vt:lpstr>BCtinhhinhtaichinh</vt:lpstr>
      <vt:lpstr>BCTaiSan_06027</vt:lpstr>
      <vt:lpstr>BCKetQuaHoatDong_06028</vt:lpstr>
      <vt:lpstr>BCDanhMucDauTu_06029</vt:lpstr>
      <vt:lpstr>Khac_06030</vt:lpstr>
      <vt:lpstr>BCHoatDongVay_06026</vt:lpstr>
      <vt:lpstr>BCDanhMucDauTu_06029!Print_Area</vt:lpstr>
      <vt:lpstr>BCHoatDongVay_06026!Print_Area</vt:lpstr>
      <vt:lpstr>BCKetQuaHoatDong_06028!Print_Area</vt:lpstr>
      <vt:lpstr>BCTaiSan_06027!Print_Area</vt:lpstr>
      <vt:lpstr>BCthunhap!Print_Area</vt:lpstr>
      <vt:lpstr>BCtinhhinhtaichinh!Print_Area</vt:lpstr>
      <vt:lpstr>Khac_06030!Print_Area</vt:lpstr>
      <vt:lpstr>TONGQUAN!Print_Area</vt:lpstr>
      <vt:lpstr>BCDanhMucDauTu_06029!Print_Titles</vt:lpstr>
      <vt:lpstr>BCHoatDongVay_06026!Print_Titles</vt:lpstr>
      <vt:lpstr>BCKetQuaHoatDong_06028!Print_Titles</vt:lpstr>
      <vt:lpstr>BCTaiSan_06027!Print_Titles</vt:lpstr>
      <vt:lpstr>BCthunhap!Print_Titles</vt:lpstr>
      <vt:lpstr>BCtinhhinhtaichinh!Print_Titles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Phan Quang, Vu</cp:lastModifiedBy>
  <cp:lastPrinted>2020-01-10T08:38:16Z</cp:lastPrinted>
  <dcterms:created xsi:type="dcterms:W3CDTF">2019-03-13T13:30:00Z</dcterms:created>
  <dcterms:modified xsi:type="dcterms:W3CDTF">2022-11-03T07:25:52Z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etDate">
    <vt:lpwstr>2022-11-03T07:25:51Z</vt:lpwstr>
  </property>
  <property fmtid="{D5CDD505-2E9C-101B-9397-08002B2CF9AE}" pid="4" name="MSIP_Label_ebbfc019-7f88-4fb6-96d6-94ffadd4b772_Method">
    <vt:lpwstr>Privileged</vt:lpwstr>
  </property>
  <property fmtid="{D5CDD505-2E9C-101B-9397-08002B2CF9AE}" pid="5" name="MSIP_Label_ebbfc019-7f88-4fb6-96d6-94ffadd4b772_Name">
    <vt:lpwstr>ebbfc019-7f88-4fb6-96d6-94ffadd4b772</vt:lpwstr>
  </property>
  <property fmtid="{D5CDD505-2E9C-101B-9397-08002B2CF9AE}" pid="6" name="MSIP_Label_ebbfc019-7f88-4fb6-96d6-94ffadd4b772_SiteId">
    <vt:lpwstr>b44900f1-2def-4c3b-9ec6-9020d604e19e</vt:lpwstr>
  </property>
  <property fmtid="{D5CDD505-2E9C-101B-9397-08002B2CF9AE}" pid="7" name="MSIP_Label_ebbfc019-7f88-4fb6-96d6-94ffadd4b772_ActionId">
    <vt:lpwstr>22eedc20-64be-4611-a39b-bd7128cc66cf</vt:lpwstr>
  </property>
  <property fmtid="{D5CDD505-2E9C-101B-9397-08002B2CF9AE}" pid="8" name="MSIP_Label_ebbfc019-7f88-4fb6-96d6-94ffadd4b772_ContentBits">
    <vt:lpwstr>1</vt:lpwstr>
  </property>
</Properties>
</file>