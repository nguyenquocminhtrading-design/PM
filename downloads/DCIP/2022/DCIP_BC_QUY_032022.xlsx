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14.10\"/>
    </mc:Choice>
  </mc:AlternateContent>
  <xr:revisionPtr revIDLastSave="0" documentId="13_ncr:1_{801D5CCA-89E0-4ED5-8143-04B20B49B948}" xr6:coauthVersionLast="47" xr6:coauthVersionMax="47"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LCT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BCLCTT_06262!$A$17:$G$64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7">BCHoatDongVay_06026!$A$1:$K$47</definedName>
    <definedName name="_xlnm.Print_Area" localSheetId="5">BCKetQuaHoatDong_06028!$A:$F</definedName>
    <definedName name="_xlnm.Print_Area" localSheetId="3">BCLCTT_06262!$A$1:$E$80</definedName>
    <definedName name="_xlnm.Print_Area" localSheetId="4">BCTaiSan_06027!$A$1:$N$108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BCLCTT_06262!$17:$17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7" i="44" l="1"/>
  <c r="G63" i="44" s="1"/>
  <c r="F57" i="44"/>
  <c r="F63" i="44" s="1"/>
  <c r="F77" i="29"/>
  <c r="E77" i="29"/>
  <c r="D77" i="29"/>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D67" i="32" l="1"/>
  <c r="D66" i="32"/>
  <c r="A67" i="32"/>
  <c r="A66" i="32"/>
  <c r="A65" i="32"/>
  <c r="D55" i="32"/>
  <c r="D54" i="32"/>
  <c r="A55" i="32"/>
  <c r="A54" i="32"/>
  <c r="C14" i="32"/>
  <c r="C12" i="32"/>
  <c r="C10" i="32"/>
  <c r="C13" i="32"/>
  <c r="C11" i="32"/>
  <c r="C9" i="32"/>
  <c r="C8" i="32"/>
  <c r="C7" i="32"/>
  <c r="A5" i="32"/>
  <c r="E18" i="32"/>
  <c r="D18" i="32"/>
  <c r="D96" i="29" l="1"/>
  <c r="D95" i="29"/>
  <c r="A96" i="29"/>
  <c r="A95" i="29"/>
  <c r="A94" i="29"/>
  <c r="D86" i="29"/>
  <c r="D85" i="29"/>
  <c r="A86" i="29"/>
  <c r="A85" i="29"/>
  <c r="C14" i="29"/>
  <c r="C12" i="29"/>
  <c r="C10" i="29"/>
  <c r="C13" i="29"/>
  <c r="C11" i="29"/>
  <c r="C9" i="29"/>
  <c r="A5" i="29"/>
  <c r="C8" i="29"/>
  <c r="C7" i="29"/>
  <c r="F19" i="1" l="1"/>
  <c r="I44" i="45" s="1"/>
  <c r="D65" i="32" l="1"/>
  <c r="D94" i="29"/>
</calcChain>
</file>

<file path=xl/sharedStrings.xml><?xml version="1.0" encoding="utf-8"?>
<sst xmlns="http://schemas.openxmlformats.org/spreadsheetml/2006/main" count="1170" uniqueCount="888">
  <si>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</si>
  <si>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</si>
  <si>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</si>
  <si>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</si>
  <si>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</si>
  <si>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</si>
  <si>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</si>
  <si>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</si>
  <si>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</si>
  <si>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</si>
  <si>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</si>
  <si>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</si>
  <si>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</si>
  <si>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</si>
  <si>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</si>
  <si>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</si>
  <si>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</si>
  <si>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</si>
  <si>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</si>
  <si>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</si>
  <si>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</si>
  <si>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</si>
  <si>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</si>
  <si>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</si>
  <si>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</si>
  <si>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</si>
  <si>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</si>
  <si>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</si>
  <si>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</si>
  <si>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</si>
  <si>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</si>
  <si>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</si>
  <si>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</si>
  <si>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</si>
  <si>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</si>
  <si>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</si>
  <si>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</si>
  <si>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</si>
  <si>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</si>
  <si>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</si>
  <si>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</si>
  <si>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</si>
  <si>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</si>
  <si>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</si>
  <si>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</si>
  <si>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</si>
  <si>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</si>
  <si>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</si>
  <si>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</si>
  <si>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</si>
  <si>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</si>
  <si>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</si>
  <si>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</si>
  <si>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</si>
  <si>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</si>
  <si>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</si>
  <si>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</si>
  <si>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</si>
  <si>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</si>
  <si>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</si>
  <si>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</si>
  <si>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</si>
  <si>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</si>
  <si>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</si>
  <si>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</si>
  <si>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</si>
  <si>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</si>
  <si>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</si>
  <si>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</si>
  <si>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</si>
  <si>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</si>
  <si>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</si>
  <si>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</si>
  <si>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</si>
  <si>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</si>
  <si>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</si>
  <si>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</si>
  <si>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</si>
  <si>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</si>
  <si>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</si>
  <si>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</si>
  <si>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</si>
  <si>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</si>
  <si>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</si>
  <si>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</si>
  <si>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</si>
  <si>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</si>
  <si>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</si>
  <si>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</si>
  <si>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</si>
  <si>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</si>
  <si>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</si>
  <si>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</si>
  <si>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</si>
  <si>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</si>
  <si>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</si>
  <si>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</si>
  <si>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</si>
  <si>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</si>
  <si>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</si>
  <si>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</si>
  <si>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</si>
  <si>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</si>
  <si>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</si>
  <si>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</si>
  <si>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</si>
  <si>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</si>
  <si>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</si>
  <si>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</si>
  <si>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</si>
  <si>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</si>
  <si>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</si>
  <si>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</si>
  <si>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</si>
  <si>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</si>
  <si>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</si>
  <si>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</si>
  <si>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</si>
  <si>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</si>
  <si>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</si>
  <si>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</si>
  <si>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</si>
  <si>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</si>
  <si>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</si>
  <si>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</si>
  <si>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</si>
  <si>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</si>
  <si>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</si>
  <si>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</si>
  <si>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</si>
  <si>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</si>
  <si>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</si>
  <si>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</si>
  <si>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</si>
  <si>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</si>
  <si>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</si>
  <si>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</si>
  <si>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</si>
  <si>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</si>
  <si>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</si>
  <si>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</si>
  <si>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</si>
  <si>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</si>
  <si>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</si>
  <si>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</si>
  <si>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</si>
  <si>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</si>
  <si>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</si>
  <si>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</si>
  <si>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</si>
  <si>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</si>
  <si>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</si>
  <si>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</si>
  <si>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</si>
  <si>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</si>
  <si>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</si>
  <si>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</si>
  <si>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</si>
  <si>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</si>
  <si>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</si>
  <si>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</si>
  <si>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</si>
  <si>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</si>
  <si>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</si>
  <si>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</si>
  <si>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</si>
  <si>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</si>
  <si>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</si>
  <si>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</si>
  <si>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</si>
  <si>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</si>
  <si>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</si>
  <si>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</si>
  <si>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</si>
  <si>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</si>
  <si>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</si>
  <si>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</si>
  <si>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</si>
  <si>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</si>
  <si>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</si>
  <si>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</si>
  <si>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</si>
  <si>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</si>
  <si>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</si>
  <si>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</si>
  <si>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</si>
  <si>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</si>
  <si>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</si>
  <si>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</si>
  <si>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</si>
  <si>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</si>
  <si>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</si>
  <si>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</si>
  <si>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</si>
  <si>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</si>
  <si>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</si>
  <si>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</si>
  <si>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</si>
  <si>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</si>
  <si>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</si>
  <si>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</si>
  <si>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</si>
  <si>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</si>
  <si>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</si>
  <si>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</si>
  <si>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</si>
  <si>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</si>
  <si>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</si>
  <si>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</si>
  <si>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</si>
  <si>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</si>
  <si>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</si>
  <si>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</si>
  <si>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</si>
  <si>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</si>
  <si>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</si>
  <si>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</si>
  <si>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</si>
  <si>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</si>
  <si>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</si>
  <si>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</si>
  <si>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</si>
  <si>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</si>
  <si>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</si>
  <si>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</si>
  <si>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</si>
  <si>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</si>
  <si>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</si>
  <si>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</si>
  <si>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</si>
  <si>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</si>
  <si>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</si>
  <si>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</si>
  <si>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</si>
  <si>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</si>
  <si>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</si>
  <si>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</si>
  <si>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</si>
  <si>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</si>
  <si>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</si>
  <si>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</si>
  <si>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</si>
  <si>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</si>
  <si>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</si>
  <si>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</si>
  <si>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</si>
  <si>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</si>
  <si>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</si>
  <si>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</si>
  <si>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</si>
  <si>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</si>
  <si>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</si>
  <si>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</si>
  <si>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</si>
  <si>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</si>
  <si>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</si>
  <si>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</si>
  <si>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</si>
  <si>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</si>
  <si>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</si>
  <si>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</si>
  <si>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</si>
  <si>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</si>
  <si>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</si>
  <si>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</si>
  <si>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</si>
  <si>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</si>
  <si>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</si>
  <si>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</si>
  <si>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</si>
  <si>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</si>
  <si>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</si>
  <si>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</si>
  <si>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</si>
  <si>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</si>
  <si>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</si>
  <si>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</si>
  <si>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</si>
  <si>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</si>
  <si>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</si>
  <si>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</si>
  <si>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</si>
  <si>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</si>
  <si>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</si>
  <si>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</si>
  <si>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</si>
  <si>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</si>
  <si>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</si>
  <si>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</si>
  <si>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</si>
  <si>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</si>
  <si>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</si>
  <si>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</si>
  <si>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</si>
  <si>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</si>
  <si>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</si>
  <si>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</si>
  <si>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</si>
  <si>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</si>
  <si>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</si>
  <si>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</si>
  <si>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</si>
  <si>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</si>
  <si>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</si>
  <si>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</si>
  <si>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</si>
  <si>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</si>
  <si>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</si>
  <si>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</si>
  <si>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</si>
  <si>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</si>
  <si>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</si>
  <si>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</si>
  <si>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</si>
  <si>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</si>
  <si>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</si>
  <si>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</si>
  <si>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</si>
  <si>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</si>
  <si>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</si>
  <si>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</si>
  <si>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</si>
  <si>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</si>
  <si>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</si>
  <si>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</si>
  <si>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</si>
  <si>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</si>
  <si>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</si>
  <si>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</si>
  <si>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</si>
  <si>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</si>
  <si>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</si>
  <si>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</si>
  <si>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</si>
  <si>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</si>
  <si>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</si>
  <si>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</si>
  <si>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</si>
  <si>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</si>
  <si>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</si>
  <si>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</si>
  <si>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</si>
  <si>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</si>
  <si>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</si>
  <si>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</si>
  <si>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</si>
  <si>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</si>
  <si>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</si>
  <si>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</si>
  <si>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</si>
  <si>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</si>
  <si>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</si>
  <si>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</si>
  <si>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</si>
  <si>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</si>
  <si>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</si>
  <si>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</si>
  <si>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</si>
  <si>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</si>
  <si>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</si>
  <si>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</si>
  <si>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</si>
  <si>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</si>
  <si>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</si>
  <si>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</si>
  <si>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</si>
  <si>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</si>
  <si>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</si>
  <si>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</si>
  <si>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</si>
  <si>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</si>
  <si>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</si>
  <si>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</si>
  <si>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</si>
  <si>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</si>
  <si>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</si>
  <si>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</si>
  <si>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</si>
  <si>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</si>
  <si>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</si>
  <si>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</si>
  <si>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</si>
  <si>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</si>
  <si>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</si>
  <si>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</si>
  <si>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</si>
  <si>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</si>
  <si>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</si>
  <si>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</si>
  <si>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</si>
  <si>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</si>
  <si>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</si>
  <si>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</si>
  <si>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</si>
  <si>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</si>
  <si>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</si>
  <si>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</si>
  <si>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</si>
  <si>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</si>
  <si>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</si>
  <si>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</si>
  <si>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</si>
  <si>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</si>
  <si>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</si>
  <si>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</si>
  <si>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</si>
  <si>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</si>
  <si>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</si>
  <si>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</si>
  <si>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</si>
  <si>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</si>
  <si>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</si>
  <si>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</si>
  <si>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</si>
  <si>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</si>
  <si>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</si>
  <si>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</si>
  <si>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</si>
  <si>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</si>
  <si>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</si>
  <si>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</si>
  <si>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</si>
  <si>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</si>
  <si>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</si>
  <si>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</si>
  <si>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</si>
  <si>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</si>
  <si>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</si>
  <si>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</si>
  <si>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</si>
  <si>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</si>
  <si>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</si>
  <si>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</si>
  <si>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</si>
  <si>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</si>
  <si>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</si>
  <si>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</si>
  <si>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</si>
  <si>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</si>
  <si>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</si>
  <si>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</si>
  <si>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</si>
  <si>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</si>
  <si>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</si>
  <si>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</si>
  <si>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</si>
  <si>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</si>
  <si>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</si>
  <si>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</si>
  <si>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</si>
  <si>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</si>
  <si>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</si>
  <si>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</si>
  <si>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</si>
  <si>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</si>
  <si>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</si>
  <si>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</si>
  <si>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</si>
  <si>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</si>
  <si>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</si>
  <si>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</si>
  <si>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</si>
  <si>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</si>
  <si>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</si>
  <si>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</si>
  <si>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</si>
  <si>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</si>
  <si>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</si>
  <si>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</si>
  <si>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</si>
  <si>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</si>
  <si>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</si>
  <si>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</si>
  <si>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</si>
  <si>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</si>
  <si>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</si>
  <si>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</si>
  <si>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</si>
  <si>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</si>
  <si>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</si>
  <si>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</si>
  <si>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</si>
  <si>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</si>
  <si>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</si>
  <si>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</si>
  <si>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</si>
  <si>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</si>
  <si>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</si>
  <si>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</si>
  <si>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</si>
  <si>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</si>
  <si>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</si>
  <si>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</si>
  <si>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</si>
  <si>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</si>
  <si>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</si>
  <si>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</si>
  <si>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</si>
  <si>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</si>
  <si>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</si>
  <si>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</si>
  <si>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</si>
  <si>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</si>
  <si>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</si>
  <si>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</si>
  <si>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</si>
  <si>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</si>
  <si>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</si>
  <si>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</si>
  <si>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</si>
  <si>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</si>
  <si>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</si>
  <si>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</si>
  <si>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</si>
  <si>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</si>
  <si>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</si>
  <si>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</si>
  <si>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</si>
  <si>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</si>
  <si>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</si>
  <si>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</si>
  <si>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</si>
  <si>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</si>
  <si>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</si>
  <si>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</si>
  <si>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</si>
  <si>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</si>
  <si>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</si>
  <si>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</si>
  <si>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</si>
  <si>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</si>
  <si>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</si>
  <si>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</si>
  <si>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</si>
  <si>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</si>
  <si>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</si>
  <si>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</si>
  <si>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</si>
  <si>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</si>
  <si>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</si>
  <si>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</si>
  <si>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</si>
  <si>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</si>
  <si>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</si>
  <si>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</si>
  <si>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</si>
  <si>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</si>
  <si>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</si>
  <si>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</si>
  <si>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</si>
  <si>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</si>
  <si>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</si>
  <si>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</si>
  <si>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</si>
  <si>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</si>
  <si>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</si>
  <si>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</si>
  <si>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</si>
  <si>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</si>
  <si>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</si>
  <si>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</si>
  <si>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</si>
  <si>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</si>
  <si>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</si>
  <si>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</si>
  <si>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</si>
  <si>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</si>
  <si>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</si>
  <si>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</si>
  <si>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</si>
  <si>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</si>
  <si>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</si>
  <si>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</si>
  <si>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</si>
  <si>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</si>
  <si>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</si>
  <si>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</si>
  <si>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</si>
  <si>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</si>
  <si>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</si>
  <si>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</si>
  <si>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</si>
  <si>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</si>
  <si>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</si>
  <si>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</si>
  <si>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</si>
  <si>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</si>
  <si>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</si>
  <si>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</si>
  <si>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</si>
  <si>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</si>
  <si>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</si>
  <si>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</si>
  <si>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</si>
  <si>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</si>
  <si>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</si>
  <si>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</si>
  <si>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</si>
  <si>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</si>
  <si>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</si>
  <si>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</si>
  <si>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</si>
  <si>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</si>
  <si>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</si>
  <si>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</si>
  <si>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</si>
  <si>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</si>
  <si>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</si>
  <si>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</si>
  <si>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</si>
  <si>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</si>
  <si>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</si>
  <si>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</si>
  <si>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</si>
  <si>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</si>
  <si>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</si>
  <si>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</si>
  <si>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</si>
  <si>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</si>
  <si>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</si>
  <si>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</si>
  <si>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</si>
  <si>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</si>
  <si>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</si>
  <si>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</si>
  <si>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</si>
  <si>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</si>
  <si>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</si>
  <si>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</si>
  <si>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</si>
  <si>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</si>
  <si>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</si>
  <si>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</si>
  <si>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</si>
  <si>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</si>
  <si>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</si>
  <si>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</si>
  <si>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</si>
  <si>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</si>
  <si>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</si>
  <si>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</si>
  <si>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</si>
  <si>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</si>
  <si>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</si>
  <si>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</si>
  <si>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</si>
  <si>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</si>
  <si>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</si>
  <si>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</si>
  <si>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</si>
  <si>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</si>
  <si>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</si>
  <si>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</si>
  <si>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</si>
  <si>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</si>
  <si>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</si>
  <si>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</si>
  <si>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</si>
  <si>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</si>
  <si>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</si>
  <si>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</si>
  <si>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</si>
  <si>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</si>
  <si>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</si>
  <si>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</si>
  <si>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</si>
  <si>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</si>
  <si>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</si>
  <si>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</si>
  <si>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</si>
  <si>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</si>
  <si>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</si>
  <si>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</si>
  <si>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</si>
  <si>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</si>
  <si>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</si>
  <si>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</si>
  <si>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</si>
  <si>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</si>
  <si>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</si>
  <si>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</si>
  <si>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</si>
  <si>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</si>
  <si>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</si>
  <si>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</si>
  <si>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</si>
  <si>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</si>
  <si>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</si>
  <si>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</si>
  <si>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</si>
  <si>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</si>
  <si>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</si>
  <si>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</si>
  <si>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</si>
  <si>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</si>
  <si>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</si>
  <si>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</si>
  <si>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</si>
  <si>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</si>
  <si>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</si>
  <si>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</si>
  <si>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</si>
  <si>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</si>
  <si>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</si>
  <si>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</si>
  <si>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</si>
  <si>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</si>
  <si>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</si>
  <si>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</si>
  <si>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</si>
  <si>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</si>
  <si>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</si>
  <si>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</si>
  <si>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</si>
  <si>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</si>
  <si>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</si>
  <si>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</si>
  <si>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</si>
  <si>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</si>
  <si>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</si>
  <si>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</si>
  <si>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BCG122006</t>
  </si>
  <si>
    <t>1.2</t>
  </si>
  <si>
    <t>CII121029</t>
  </si>
  <si>
    <t>1.3</t>
  </si>
  <si>
    <t>KBC121020</t>
  </si>
  <si>
    <t>1.4</t>
  </si>
  <si>
    <t>MSN12003</t>
  </si>
  <si>
    <t>1.5</t>
  </si>
  <si>
    <t>MSN121015</t>
  </si>
  <si>
    <t>1.6</t>
  </si>
  <si>
    <t>TNG119007</t>
  </si>
  <si>
    <t>1.7</t>
  </si>
  <si>
    <t>TNG122017</t>
  </si>
  <si>
    <t>1.8</t>
  </si>
  <si>
    <t>VND122013</t>
  </si>
  <si>
    <t>1.9</t>
  </si>
  <si>
    <t>VND122014</t>
  </si>
  <si>
    <t>2</t>
  </si>
  <si>
    <t>Trái phiếu chưa niêm yết
Unlisted Bonds</t>
  </si>
  <si>
    <t>2.1</t>
  </si>
  <si>
    <t>DAT XANH GROUP JSC 12% 18 Mar 2023</t>
  </si>
  <si>
    <t>2.2</t>
  </si>
  <si>
    <t>KDH TRADING &amp; INV JSC 12% 14/06/2025</t>
  </si>
  <si>
    <t>2.3</t>
  </si>
  <si>
    <t>KDH TRADING &amp; INV JSC 12% 23/08/2025</t>
  </si>
  <si>
    <t>2.4</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</si>
  <si>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</si>
  <si>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</si>
  <si>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</si>
  <si>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</si>
  <si>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</si>
  <si>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</si>
  <si>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</si>
  <si>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</si>
  <si>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</si>
  <si>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</si>
  <si>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</si>
  <si>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</si>
  <si>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</si>
  <si>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</si>
  <si>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</si>
  <si>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</si>
  <si>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</si>
  <si>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</si>
  <si>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</si>
  <si>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</si>
  <si>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</si>
  <si>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</si>
  <si>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</si>
  <si>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</si>
  <si>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</si>
  <si>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</si>
  <si>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</si>
  <si>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</si>
  <si>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</si>
  <si>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</si>
  <si>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</si>
  <si>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</si>
  <si>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</si>
  <si>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</si>
  <si>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</si>
  <si>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Quý III năm 2022
/ Quarter III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</si>
  <si>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</si>
  <si>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</si>
  <si>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</si>
  <si>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</si>
  <si>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</si>
  <si>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DC Income Plus Bond Fund(VFMVFC)</t>
  </si>
  <si>
    <t>Ngày 05 tháng 10 năm 2022</t>
  </si>
  <si>
    <t>05 Oct 2022</t>
  </si>
  <si>
    <t>Trịnh Hoài Nam</t>
  </si>
  <si>
    <t>Nguyễn Minh Đăng Khánh</t>
  </si>
  <si>
    <t>Phó phòng Dịch vụ Quản trị và Giám sát Quỹ</t>
  </si>
  <si>
    <t>Giám đốc điều hành Nghiệp vụ hỗ trợ đầu tư</t>
  </si>
  <si>
    <t>Ngày 30 tháng 09 năm 2022
 As at 30 Sep 2022</t>
  </si>
  <si>
    <t>Ngày 30 tháng 06 năm 2022
 As at 30 Jun 2022</t>
  </si>
  <si>
    <t>Quý III năm 2022
Quarter III 2022</t>
  </si>
  <si>
    <t>Quý II năm 2022
Quarter II 2022</t>
  </si>
  <si>
    <t>Năm 2022
Year 2022</t>
  </si>
  <si>
    <t>Năm 2021
Year 2021</t>
  </si>
  <si>
    <t>Quý III năm  2021
Quarter III  2021</t>
  </si>
  <si>
    <t>Nguyễn Kiều Trúc Ly</t>
  </si>
  <si>
    <t>Ninh Thị Tuệ Minh</t>
  </si>
  <si>
    <t>Kế toán Quỹ</t>
  </si>
  <si>
    <t>Trưởng phòng Kế toán Quỹ</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</si>
  <si>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</si>
  <si>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</si>
  <si>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</si>
  <si>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</si>
  <si>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</si>
  <si>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</si>
  <si>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</si>
  <si>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</si>
  <si>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</si>
  <si>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</si>
  <si>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</si>
  <si>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</si>
  <si>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</si>
  <si>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</si>
  <si>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</si>
  <si>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</si>
  <si>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</si>
  <si>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</si>
  <si>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</si>
  <si>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_____________________________________</t>
  </si>
  <si>
    <t>_________________________________________________</t>
  </si>
  <si>
    <t xml:space="preserve">                Nguyễn Kiều Trúc Ly                                           Ninh Thị Tuệ Minh                             Nguyễn Minh Đăng Khánh</t>
  </si>
  <si>
    <t xml:space="preserve">                       Kế toán Quỹ                                              Trưởng phòng Kế toán Quỹ              Giám đốc điều hành Nghiệp vụ hỗ trợ đầu tư</t>
  </si>
  <si>
    <t>_______________________________________            _________________________        ________________________________________</t>
  </si>
  <si>
    <t xml:space="preserve">      Ninh Thị Tuệ Minh                                Nguyễn Minh Đăng Khánh</t>
  </si>
  <si>
    <t>Trưởng phòng Kế toán Quỹ                Giám đốc điều hành Nghiệp vụ hỗ trợ đầu tư</t>
  </si>
  <si>
    <t>____________________________________               __________________________          _____________________________________________</t>
  </si>
  <si>
    <t xml:space="preserve">                  Người duyệt:</t>
  </si>
  <si>
    <t xml:space="preserve">                        Người duyệt:</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</si>
  <si>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</si>
  <si>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</si>
  <si>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</si>
  <si>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</si>
  <si>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</si>
  <si>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</si>
  <si>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</si>
  <si>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</si>
  <si>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</si>
  <si>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</si>
  <si>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</si>
  <si>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</si>
  <si>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</si>
  <si>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</si>
  <si>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</si>
  <si>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</si>
  <si>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</si>
  <si>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</si>
  <si>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</si>
  <si>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</si>
  <si>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</si>
  <si>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</si>
  <si>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</si>
  <si>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</si>
  <si>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</si>
  <si>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</si>
  <si>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</si>
  <si>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</si>
  <si>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</si>
  <si>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</si>
  <si>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</si>
  <si>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</si>
  <si>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</si>
  <si>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</si>
  <si>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</si>
  <si>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</si>
  <si>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</si>
  <si>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</si>
  <si>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</si>
  <si>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</si>
  <si>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</si>
  <si>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</si>
  <si>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</si>
  <si>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</si>
  <si>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</si>
  <si>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</si>
  <si>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</si>
  <si>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</si>
  <si>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710 of "Investment performance indicators" are annualized to reflect a rate that is based on a full year operation by multiplying these indicators with 12 (monthly report) or 4 (quarterly report) or 2 (semi-annual report) or 1 (annual report).</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</si>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</sst>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0" fontId="22" fillId="3" borderId="8" xfId="0" applyFont="1" applyFill="1" applyBorder="1"/>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0" fontId="1" fillId="0" borderId="0" xfId="3" applyFill="1" applyAlignment="1">
      <alignment vertical="center"/>
    </xf>
    <xf numFmtId="3" fontId="43" fillId="8" borderId="16" xfId="0" applyNumberFormat="1" applyFont="1" applyFill="1" applyBorder="1" applyAlignment="1" applyProtection="1">
      <alignment horizontal="center" vertical="center" wrapText="1"/>
      <protection locked="0"/>
    </xf>
    <xf numFmtId="3" fontId="42" fillId="7" borderId="15"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left" vertical="center"/>
    </xf>
    <xf numFmtId="0" fontId="21" fillId="3" borderId="0" xfId="0" applyFont="1" applyFill="1" applyAlignment="1">
      <alignment horizontal="left" vertical="center"/>
    </xf>
    <xf numFmtId="0" fontId="34" fillId="3" borderId="0" xfId="0" applyFont="1" applyFill="1" applyAlignment="1">
      <alignment horizontal="left" vertical="center"/>
    </xf>
    <xf numFmtId="0" fontId="34" fillId="3" borderId="0" xfId="0" applyFont="1" applyFill="1" applyBorder="1" applyAlignment="1">
      <alignment horizontal="center" vertical="center" wrapText="1"/>
    </xf>
    <xf numFmtId="0" fontId="34"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1359564</xdr:colOff>
      <xdr:row>2</xdr:row>
      <xdr:rowOff>170735</xdr:rowOff>
    </xdr:to>
    <xdr:pic>
      <xdr:nvPicPr>
        <xdr:cNvPr id="4" name="Picture 3">
          <a:extLst>
            <a:ext uri="{FF2B5EF4-FFF2-40B4-BE49-F238E27FC236}">
              <a16:creationId xmlns:a16="http://schemas.microsoft.com/office/drawing/2014/main" id="{A30B725B-1E69-479A-BD21-855B76E6F1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48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860635</xdr:colOff>
      <xdr:row>2</xdr:row>
      <xdr:rowOff>35253</xdr:rowOff>
    </xdr:to>
    <xdr:pic>
      <xdr:nvPicPr>
        <xdr:cNvPr id="4" name="Picture 3">
          <a:extLst>
            <a:ext uri="{FF2B5EF4-FFF2-40B4-BE49-F238E27FC236}">
              <a16:creationId xmlns:a16="http://schemas.microsoft.com/office/drawing/2014/main" id="{AB22CD3C-4BE5-42A3-9D1B-0145F10DF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480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1359564</xdr:colOff>
      <xdr:row>2</xdr:row>
      <xdr:rowOff>65721</xdr:rowOff>
    </xdr:to>
    <xdr:pic>
      <xdr:nvPicPr>
        <xdr:cNvPr id="4" name="Picture 3">
          <a:extLst>
            <a:ext uri="{FF2B5EF4-FFF2-40B4-BE49-F238E27FC236}">
              <a16:creationId xmlns:a16="http://schemas.microsoft.com/office/drawing/2014/main" id="{943AB697-801F-43F4-AB81-1E322864D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480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447091</xdr:colOff>
      <xdr:row>1</xdr:row>
      <xdr:rowOff>295986</xdr:rowOff>
    </xdr:to>
    <xdr:pic>
      <xdr:nvPicPr>
        <xdr:cNvPr id="3" name="Picture 2">
          <a:extLst>
            <a:ext uri="{FF2B5EF4-FFF2-40B4-BE49-F238E27FC236}">
              <a16:creationId xmlns:a16="http://schemas.microsoft.com/office/drawing/2014/main" id="{A801443D-B167-42C6-8766-6573A05CC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56173" cy="5810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5935</xdr:colOff>
      <xdr:row>0</xdr:row>
      <xdr:rowOff>0</xdr:rowOff>
    </xdr:from>
    <xdr:to>
      <xdr:col>1</xdr:col>
      <xdr:colOff>385747</xdr:colOff>
      <xdr:row>1</xdr:row>
      <xdr:rowOff>260411</xdr:rowOff>
    </xdr:to>
    <xdr:pic>
      <xdr:nvPicPr>
        <xdr:cNvPr id="3" name="Picture 2">
          <a:extLst>
            <a:ext uri="{FF2B5EF4-FFF2-40B4-BE49-F238E27FC236}">
              <a16:creationId xmlns:a16="http://schemas.microsoft.com/office/drawing/2014/main" id="{CE567F5E-B389-4625-A62A-4F65260A14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5" y="0"/>
          <a:ext cx="991074" cy="5452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731248</xdr:colOff>
      <xdr:row>1</xdr:row>
      <xdr:rowOff>427166</xdr:rowOff>
    </xdr:to>
    <xdr:pic>
      <xdr:nvPicPr>
        <xdr:cNvPr id="3" name="Picture 2">
          <a:extLst>
            <a:ext uri="{FF2B5EF4-FFF2-40B4-BE49-F238E27FC236}">
              <a16:creationId xmlns:a16="http://schemas.microsoft.com/office/drawing/2014/main" id="{866DA79B-F562-4158-A909-46D7DF3D1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480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1023388</xdr:colOff>
      <xdr:row>1</xdr:row>
      <xdr:rowOff>419302</xdr:rowOff>
    </xdr:to>
    <xdr:pic>
      <xdr:nvPicPr>
        <xdr:cNvPr id="3" name="Picture 2">
          <a:extLst>
            <a:ext uri="{FF2B5EF4-FFF2-40B4-BE49-F238E27FC236}">
              <a16:creationId xmlns:a16="http://schemas.microsoft.com/office/drawing/2014/main" id="{A287435F-EEB7-4AB5-A2D7-0EDE3CD383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4800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441158</xdr:colOff>
      <xdr:row>1</xdr:row>
      <xdr:rowOff>196373</xdr:rowOff>
    </xdr:to>
    <xdr:pic>
      <xdr:nvPicPr>
        <xdr:cNvPr id="4" name="Picture 3">
          <a:extLst>
            <a:ext uri="{FF2B5EF4-FFF2-40B4-BE49-F238E27FC236}">
              <a16:creationId xmlns:a16="http://schemas.microsoft.com/office/drawing/2014/main" id="{3B847A79-05FD-4D0C-89F0-DA395FE684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49421" cy="5773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4" sqref="D4"/>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41" t="s">
        <v>781</v>
      </c>
      <c r="D1" s="242"/>
    </row>
    <row r="2" spans="1:11">
      <c r="C2" s="4" t="s">
        <v>782</v>
      </c>
      <c r="D2" s="5"/>
    </row>
    <row r="3" spans="1:11">
      <c r="D3" s="6"/>
    </row>
    <row r="4" spans="1:11" ht="15.75">
      <c r="A4" s="1" t="s">
        <v>1</v>
      </c>
      <c r="D4" s="6"/>
    </row>
    <row r="5" spans="1:11" ht="15" customHeight="1">
      <c r="C5" s="7" t="s">
        <v>2</v>
      </c>
      <c r="D5" s="244" t="s">
        <v>783</v>
      </c>
      <c r="E5" s="244"/>
      <c r="F5" s="244"/>
      <c r="G5" s="244"/>
      <c r="H5" s="244"/>
      <c r="I5" s="244"/>
    </row>
    <row r="6" spans="1:11" ht="30">
      <c r="C6" s="9" t="s">
        <v>40</v>
      </c>
      <c r="D6" s="243" t="s">
        <v>784</v>
      </c>
      <c r="E6" s="243"/>
      <c r="F6" s="243"/>
      <c r="G6" s="243"/>
      <c r="H6" s="243"/>
      <c r="I6" s="243"/>
    </row>
    <row r="7" spans="1:11" ht="15.75">
      <c r="C7" s="10" t="s">
        <v>3</v>
      </c>
      <c r="D7" s="244" t="s">
        <v>785</v>
      </c>
      <c r="E7" s="244"/>
      <c r="F7" s="244"/>
      <c r="G7" s="244"/>
      <c r="H7" s="244"/>
      <c r="I7" s="244"/>
    </row>
    <row r="8" spans="1:11" ht="15" customHeight="1">
      <c r="C8" s="11" t="s">
        <v>4</v>
      </c>
      <c r="D8" s="243" t="s">
        <v>786</v>
      </c>
      <c r="E8" s="243"/>
      <c r="F8" s="243"/>
      <c r="G8" s="243"/>
      <c r="H8" s="243"/>
      <c r="I8" s="243"/>
    </row>
    <row r="9" spans="1:11" ht="15" customHeight="1">
      <c r="C9" s="10" t="s">
        <v>5</v>
      </c>
      <c r="D9" s="244" t="s">
        <v>787</v>
      </c>
      <c r="E9" s="244"/>
      <c r="F9" s="244"/>
      <c r="G9" s="244"/>
      <c r="H9" s="244"/>
      <c r="I9" s="244"/>
    </row>
    <row r="10" spans="1:11" ht="15" customHeight="1">
      <c r="C10" s="8" t="s">
        <v>6</v>
      </c>
      <c r="D10" s="243" t="s">
        <v>788</v>
      </c>
      <c r="E10" s="243"/>
      <c r="F10" s="243"/>
      <c r="G10" s="243"/>
      <c r="H10" s="243"/>
      <c r="I10" s="243"/>
    </row>
    <row r="11" spans="1:11" ht="15.75">
      <c r="C11" s="12" t="s">
        <v>7</v>
      </c>
      <c r="D11" s="244" t="s">
        <v>789</v>
      </c>
      <c r="E11" s="244"/>
      <c r="F11" s="244"/>
      <c r="G11" s="244"/>
      <c r="H11" s="244"/>
      <c r="I11" s="244"/>
    </row>
    <row r="12" spans="1:11">
      <c r="C12" s="13" t="s">
        <v>8</v>
      </c>
      <c r="D12" s="243" t="s">
        <v>790</v>
      </c>
      <c r="E12" s="243"/>
      <c r="F12" s="243"/>
      <c r="G12" s="243"/>
      <c r="H12" s="243"/>
      <c r="I12" s="24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791</v>
      </c>
      <c r="D20" s="18"/>
      <c r="F20" s="22" t="s">
        <v>792</v>
      </c>
      <c r="G20" s="19"/>
      <c r="H20" s="19"/>
      <c r="I20" s="19"/>
      <c r="J20" s="19"/>
      <c r="K20" s="20"/>
    </row>
    <row r="21" spans="3:11">
      <c r="C21" s="24" t="s">
        <v>793</v>
      </c>
      <c r="D21" s="5"/>
      <c r="F21" s="25" t="s">
        <v>794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560</v>
      </c>
      <c r="C35" s="31" t="s">
        <v>806</v>
      </c>
      <c r="D35" s="32"/>
    </row>
    <row r="36" spans="2:12" s="33" customFormat="1">
      <c r="B36" s="30" t="s">
        <v>807</v>
      </c>
      <c r="C36" s="31" t="s">
        <v>808</v>
      </c>
      <c r="D36" s="32" t="s">
        <v>25</v>
      </c>
    </row>
    <row r="37" spans="2:12" s="33" customFormat="1">
      <c r="B37" s="30" t="s">
        <v>809</v>
      </c>
      <c r="C37" s="31" t="s">
        <v>22</v>
      </c>
      <c r="D37" s="32" t="s">
        <v>26</v>
      </c>
      <c r="J37" s="34"/>
      <c r="K37" s="35"/>
      <c r="L37" s="36"/>
    </row>
    <row r="38" spans="2:12">
      <c r="B38" s="30" t="s">
        <v>810</v>
      </c>
      <c r="C38" s="30" t="s">
        <v>34</v>
      </c>
      <c r="D38" s="32" t="s">
        <v>27</v>
      </c>
      <c r="J38" s="37"/>
      <c r="K38" s="38"/>
      <c r="L38" s="39"/>
    </row>
    <row r="39" spans="2:12" ht="30">
      <c r="B39" s="30" t="s">
        <v>811</v>
      </c>
      <c r="C39" s="31" t="s">
        <v>812</v>
      </c>
      <c r="D39" s="32" t="s">
        <v>813</v>
      </c>
    </row>
    <row r="40" spans="2:12">
      <c r="B40" s="30" t="s">
        <v>814</v>
      </c>
      <c r="C40" s="30" t="s">
        <v>23</v>
      </c>
      <c r="D40" s="32" t="s">
        <v>28</v>
      </c>
    </row>
    <row r="41" spans="2:12">
      <c r="B41" s="30" t="s">
        <v>815</v>
      </c>
      <c r="C41" s="30" t="s">
        <v>816</v>
      </c>
      <c r="D41" s="32" t="s">
        <v>817</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818</v>
      </c>
      <c r="C50" s="41" t="s">
        <v>819</v>
      </c>
      <c r="D50" s="42" t="s">
        <v>820</v>
      </c>
    </row>
    <row r="51" spans="2:4">
      <c r="B51" s="40" t="s">
        <v>821</v>
      </c>
      <c r="C51" s="41" t="s">
        <v>822</v>
      </c>
      <c r="D51" s="42" t="s">
        <v>820</v>
      </c>
    </row>
    <row r="52" spans="2:4">
      <c r="B52" s="30" t="s">
        <v>561</v>
      </c>
      <c r="C52" s="41" t="s">
        <v>823</v>
      </c>
      <c r="D52" s="42" t="s">
        <v>824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85" zoomScaleNormal="100" zoomScaleSheetLayoutView="85" workbookViewId="0">
      <selection activeCell="J20" sqref="J20"/>
    </sheetView>
  </sheetViews>
  <sheetFormatPr defaultColWidth="8.7109375" defaultRowHeight="12.75"/>
  <cols>
    <col min="1" max="1" width="53.140625" style="58" customWidth="1"/>
    <col min="2" max="3" width="8.7109375" style="58"/>
    <col min="4" max="4" width="20.28515625" style="58" customWidth="1"/>
    <col min="5" max="5" width="20.7109375" style="58" customWidth="1"/>
    <col min="6" max="6" width="21.140625" style="58" customWidth="1"/>
    <col min="7" max="7" width="21.28515625" style="58" customWidth="1"/>
    <col min="8" max="16384" width="8.7109375" style="103"/>
  </cols>
  <sheetData>
    <row r="1" spans="1:7" ht="22.5" customHeight="1">
      <c r="A1" s="246" t="s">
        <v>97</v>
      </c>
      <c r="B1" s="246"/>
      <c r="C1" s="246"/>
      <c r="D1" s="246"/>
      <c r="E1" s="246"/>
      <c r="F1" s="246"/>
      <c r="G1" s="246"/>
    </row>
    <row r="2" spans="1:7" ht="22.5" customHeight="1">
      <c r="A2" s="247" t="s">
        <v>98</v>
      </c>
      <c r="B2" s="247"/>
      <c r="C2" s="247"/>
      <c r="D2" s="247"/>
      <c r="E2" s="247"/>
      <c r="F2" s="247"/>
      <c r="G2" s="247"/>
    </row>
    <row r="3" spans="1:7" ht="43.9" customHeight="1">
      <c r="A3" s="248" t="s">
        <v>99</v>
      </c>
      <c r="B3" s="248"/>
      <c r="C3" s="248"/>
      <c r="D3" s="248"/>
      <c r="E3" s="248"/>
      <c r="F3" s="248"/>
      <c r="G3" s="248"/>
    </row>
    <row r="4" spans="1:7" ht="9.4" customHeight="1"/>
    <row r="5" spans="1:7">
      <c r="A5" s="249" t="str">
        <f>TONGQUAN!C2</f>
        <v>Quý III năm 2022
/ Quarter III 2022</v>
      </c>
      <c r="B5" s="249"/>
      <c r="C5" s="249"/>
      <c r="D5" s="249"/>
      <c r="E5" s="249"/>
      <c r="F5" s="249"/>
      <c r="G5" s="249"/>
    </row>
    <row r="7" spans="1:7" ht="16.899999999999999" customHeight="1">
      <c r="A7" s="59" t="s">
        <v>2</v>
      </c>
      <c r="D7" s="250" t="str">
        <f>TONGQUAN!D5</f>
        <v>Công ty Cổ phần Quản lý Quỹ Đầu tư Dragon Capital Việt Nam</v>
      </c>
      <c r="E7" s="250"/>
      <c r="F7" s="250"/>
      <c r="G7" s="250"/>
    </row>
    <row r="8" spans="1:7" ht="16.899999999999999" customHeight="1">
      <c r="A8" s="126" t="s">
        <v>40</v>
      </c>
      <c r="D8" s="245" t="str">
        <f>TONGQUAN!D6</f>
        <v>Dragon Capital Vietfund Management Joint Stock Company</v>
      </c>
      <c r="E8" s="245"/>
      <c r="F8" s="245"/>
      <c r="G8" s="245"/>
    </row>
    <row r="9" spans="1:7" ht="16.899999999999999" customHeight="1">
      <c r="A9" s="59" t="s">
        <v>3</v>
      </c>
      <c r="D9" s="250" t="str">
        <f>TONGQUAN!D7</f>
        <v>Ngân hàng TNHH Một thành viên Standard Chartered (Việt Nam)</v>
      </c>
      <c r="E9" s="250"/>
      <c r="F9" s="250"/>
      <c r="G9" s="250"/>
    </row>
    <row r="10" spans="1:7" ht="16.899999999999999" customHeight="1">
      <c r="A10" s="126" t="s">
        <v>4</v>
      </c>
      <c r="D10" s="245" t="str">
        <f>TONGQUAN!D8</f>
        <v>Standard Chartered Bank (Vietnam) Limited</v>
      </c>
      <c r="E10" s="245"/>
      <c r="F10" s="245"/>
      <c r="G10" s="245"/>
    </row>
    <row r="11" spans="1:7" ht="16.899999999999999" customHeight="1">
      <c r="A11" s="59" t="s">
        <v>5</v>
      </c>
      <c r="D11" s="250" t="str">
        <f>TONGQUAN!D9</f>
        <v>Quỹ Đầu tư Trái phiếu Gia tăng Thu nhập Cố định DC</v>
      </c>
      <c r="E11" s="250"/>
      <c r="F11" s="250"/>
      <c r="G11" s="250"/>
    </row>
    <row r="12" spans="1:7" ht="16.899999999999999" customHeight="1">
      <c r="A12" s="126" t="s">
        <v>6</v>
      </c>
      <c r="D12" s="245" t="str">
        <f>TONGQUAN!D10</f>
        <v>DC Income Plus Bond Fund(VFMVFC)</v>
      </c>
      <c r="E12" s="245"/>
      <c r="F12" s="245"/>
      <c r="G12" s="245"/>
    </row>
    <row r="13" spans="1:7" ht="16.899999999999999" customHeight="1">
      <c r="A13" s="59" t="s">
        <v>7</v>
      </c>
      <c r="D13" s="250" t="str">
        <f>TONGQUAN!D11</f>
        <v>Ngày 05 tháng 10 năm 2022</v>
      </c>
      <c r="E13" s="250"/>
      <c r="F13" s="250"/>
      <c r="G13" s="250"/>
    </row>
    <row r="14" spans="1:7" ht="16.899999999999999" customHeight="1">
      <c r="A14" s="126" t="s">
        <v>8</v>
      </c>
      <c r="D14" s="245" t="str">
        <f>TONGQUAN!D12</f>
        <v>05 Oct 2022</v>
      </c>
      <c r="E14" s="245"/>
      <c r="F14" s="245"/>
      <c r="G14" s="245"/>
    </row>
    <row r="16" spans="1:7" ht="39" customHeight="1">
      <c r="A16" s="252" t="s">
        <v>100</v>
      </c>
      <c r="B16" s="254" t="s">
        <v>101</v>
      </c>
      <c r="C16" s="254" t="s">
        <v>102</v>
      </c>
      <c r="D16" s="257" t="s">
        <v>799</v>
      </c>
      <c r="E16" s="258"/>
      <c r="F16" s="257" t="s">
        <v>800</v>
      </c>
      <c r="G16" s="258"/>
    </row>
    <row r="17" spans="1:10" ht="39" customHeight="1">
      <c r="A17" s="253"/>
      <c r="B17" s="255"/>
      <c r="C17" s="256"/>
      <c r="D17" s="127" t="str">
        <f>BCKetQuaHoatDong_06028!D18</f>
        <v>Quý III năm 2022
Quarter III 2022</v>
      </c>
      <c r="E17" s="128" t="s">
        <v>103</v>
      </c>
      <c r="F17" s="53" t="s">
        <v>801</v>
      </c>
      <c r="G17" s="128" t="s">
        <v>103</v>
      </c>
    </row>
    <row r="18" spans="1:10" s="117" customFormat="1" ht="39" customHeight="1">
      <c r="A18" s="129" t="s">
        <v>297</v>
      </c>
      <c r="B18" s="130" t="s">
        <v>104</v>
      </c>
      <c r="C18" s="131"/>
      <c r="D18" s="79">
        <v>12115899732</v>
      </c>
      <c r="E18" s="79">
        <v>23528831260</v>
      </c>
      <c r="F18" s="79">
        <v>4156664698</v>
      </c>
      <c r="G18" s="79">
        <v>5750628763</v>
      </c>
    </row>
    <row r="19" spans="1:10" ht="39" customHeight="1">
      <c r="A19" s="132" t="s">
        <v>298</v>
      </c>
      <c r="B19" s="133" t="s">
        <v>105</v>
      </c>
      <c r="C19" s="134"/>
      <c r="D19" s="84">
        <v>0</v>
      </c>
      <c r="E19" s="84">
        <v>0</v>
      </c>
      <c r="F19" s="84">
        <v>17000</v>
      </c>
      <c r="G19" s="84">
        <v>212000</v>
      </c>
      <c r="J19" s="117"/>
    </row>
    <row r="20" spans="1:10" ht="39" customHeight="1">
      <c r="A20" s="132" t="s">
        <v>299</v>
      </c>
      <c r="B20" s="133" t="s">
        <v>106</v>
      </c>
      <c r="C20" s="135"/>
      <c r="D20" s="84">
        <v>12859723014</v>
      </c>
      <c r="E20" s="84">
        <v>24194718123</v>
      </c>
      <c r="F20" s="84">
        <v>4195213657</v>
      </c>
      <c r="G20" s="84">
        <v>5772572637</v>
      </c>
      <c r="J20" s="117"/>
    </row>
    <row r="21" spans="1:10" ht="39" customHeight="1">
      <c r="A21" s="132" t="s">
        <v>229</v>
      </c>
      <c r="B21" s="133" t="s">
        <v>107</v>
      </c>
      <c r="C21" s="135"/>
      <c r="D21" s="84">
        <v>1372469591</v>
      </c>
      <c r="E21" s="84">
        <v>2683328986</v>
      </c>
      <c r="F21" s="84">
        <v>642653249</v>
      </c>
      <c r="G21" s="84">
        <v>1153190312</v>
      </c>
      <c r="J21" s="117"/>
    </row>
    <row r="22" spans="1:10" ht="39" customHeight="1">
      <c r="A22" s="132" t="s">
        <v>237</v>
      </c>
      <c r="B22" s="133" t="s">
        <v>108</v>
      </c>
      <c r="C22" s="135"/>
      <c r="D22" s="84">
        <v>1395767124</v>
      </c>
      <c r="E22" s="84">
        <v>3846643836</v>
      </c>
      <c r="F22" s="84">
        <v>1643397260</v>
      </c>
      <c r="G22" s="84">
        <v>2082547945</v>
      </c>
      <c r="J22" s="117"/>
    </row>
    <row r="23" spans="1:10" ht="39" customHeight="1">
      <c r="A23" s="132" t="s">
        <v>300</v>
      </c>
      <c r="B23" s="133" t="s">
        <v>223</v>
      </c>
      <c r="C23" s="135"/>
      <c r="D23" s="84">
        <v>10091486299</v>
      </c>
      <c r="E23" s="84">
        <v>17664745301</v>
      </c>
      <c r="F23" s="84">
        <v>1909163148</v>
      </c>
      <c r="G23" s="84">
        <v>2536834380</v>
      </c>
      <c r="J23" s="117"/>
    </row>
    <row r="24" spans="1:10" ht="39" customHeight="1">
      <c r="A24" s="132" t="s">
        <v>226</v>
      </c>
      <c r="B24" s="133" t="s">
        <v>225</v>
      </c>
      <c r="C24" s="135"/>
      <c r="D24" s="84">
        <v>0</v>
      </c>
      <c r="E24" s="84">
        <v>0</v>
      </c>
      <c r="F24" s="84">
        <v>0</v>
      </c>
      <c r="G24" s="84">
        <v>0</v>
      </c>
      <c r="J24" s="117"/>
    </row>
    <row r="25" spans="1:10" ht="39" customHeight="1">
      <c r="A25" s="132" t="s">
        <v>230</v>
      </c>
      <c r="B25" s="136" t="s">
        <v>109</v>
      </c>
      <c r="C25" s="135"/>
      <c r="D25" s="84">
        <v>128662233</v>
      </c>
      <c r="E25" s="84">
        <v>484419112</v>
      </c>
      <c r="F25" s="84">
        <v>-38705479</v>
      </c>
      <c r="G25" s="84">
        <v>-11222836</v>
      </c>
      <c r="J25" s="117"/>
    </row>
    <row r="26" spans="1:10" ht="46.15" customHeight="1">
      <c r="A26" s="132" t="s">
        <v>231</v>
      </c>
      <c r="B26" s="136" t="s">
        <v>110</v>
      </c>
      <c r="C26" s="135"/>
      <c r="D26" s="84">
        <v>-872485515</v>
      </c>
      <c r="E26" s="84">
        <v>-1150305975</v>
      </c>
      <c r="F26" s="84">
        <v>139520</v>
      </c>
      <c r="G26" s="84">
        <v>-10933038</v>
      </c>
      <c r="J26" s="117"/>
    </row>
    <row r="27" spans="1:10" ht="39" customHeight="1">
      <c r="A27" s="132" t="s">
        <v>301</v>
      </c>
      <c r="B27" s="136" t="s">
        <v>111</v>
      </c>
      <c r="C27" s="135"/>
      <c r="D27" s="84">
        <v>0</v>
      </c>
      <c r="E27" s="84">
        <v>0</v>
      </c>
      <c r="F27" s="84">
        <v>0</v>
      </c>
      <c r="G27" s="84">
        <v>0</v>
      </c>
      <c r="J27" s="117"/>
    </row>
    <row r="28" spans="1:10" ht="49.15" customHeight="1">
      <c r="A28" s="132" t="s">
        <v>232</v>
      </c>
      <c r="B28" s="136" t="s">
        <v>112</v>
      </c>
      <c r="C28" s="135"/>
      <c r="D28" s="84">
        <v>0</v>
      </c>
      <c r="E28" s="84">
        <v>0</v>
      </c>
      <c r="F28" s="84">
        <v>0</v>
      </c>
      <c r="G28" s="84">
        <v>0</v>
      </c>
      <c r="J28" s="117"/>
    </row>
    <row r="29" spans="1:10" ht="39" customHeight="1">
      <c r="A29" s="132" t="s">
        <v>302</v>
      </c>
      <c r="B29" s="136" t="s">
        <v>113</v>
      </c>
      <c r="C29" s="135"/>
      <c r="D29" s="84">
        <v>0</v>
      </c>
      <c r="E29" s="84">
        <v>0</v>
      </c>
      <c r="F29" s="84">
        <v>0</v>
      </c>
      <c r="G29" s="84">
        <v>0</v>
      </c>
      <c r="J29" s="117"/>
    </row>
    <row r="30" spans="1:10" ht="76.900000000000006" customHeight="1">
      <c r="A30" s="132" t="s">
        <v>303</v>
      </c>
      <c r="B30" s="136" t="s">
        <v>114</v>
      </c>
      <c r="C30" s="135"/>
      <c r="D30" s="84">
        <v>0</v>
      </c>
      <c r="E30" s="84">
        <v>0</v>
      </c>
      <c r="F30" s="84">
        <v>0</v>
      </c>
      <c r="G30" s="84">
        <v>0</v>
      </c>
      <c r="J30" s="117"/>
    </row>
    <row r="31" spans="1:10" s="117" customFormat="1" ht="39" customHeight="1">
      <c r="A31" s="129" t="s">
        <v>253</v>
      </c>
      <c r="B31" s="130" t="s">
        <v>115</v>
      </c>
      <c r="C31" s="131"/>
      <c r="D31" s="79">
        <v>89589215</v>
      </c>
      <c r="E31" s="79">
        <v>138255696</v>
      </c>
      <c r="F31" s="79">
        <v>16892178</v>
      </c>
      <c r="G31" s="79">
        <v>43317668</v>
      </c>
    </row>
    <row r="32" spans="1:10" ht="39" customHeight="1">
      <c r="A32" s="132" t="s">
        <v>116</v>
      </c>
      <c r="B32" s="136" t="s">
        <v>117</v>
      </c>
      <c r="C32" s="135"/>
      <c r="D32" s="84">
        <v>74589215</v>
      </c>
      <c r="E32" s="84">
        <v>120255696</v>
      </c>
      <c r="F32" s="84">
        <v>16892178</v>
      </c>
      <c r="G32" s="84">
        <v>23317668</v>
      </c>
      <c r="J32" s="117"/>
    </row>
    <row r="33" spans="1:10" ht="39" customHeight="1">
      <c r="A33" s="137" t="s">
        <v>118</v>
      </c>
      <c r="B33" s="133" t="s">
        <v>119</v>
      </c>
      <c r="C33" s="134"/>
      <c r="D33" s="84">
        <v>74439215</v>
      </c>
      <c r="E33" s="84">
        <v>119943696</v>
      </c>
      <c r="F33" s="84">
        <v>16891998</v>
      </c>
      <c r="G33" s="84">
        <v>23317488</v>
      </c>
      <c r="J33" s="117"/>
    </row>
    <row r="34" spans="1:10" ht="39" customHeight="1">
      <c r="A34" s="137" t="s">
        <v>69</v>
      </c>
      <c r="B34" s="133" t="s">
        <v>120</v>
      </c>
      <c r="C34" s="134"/>
      <c r="D34" s="84">
        <v>150000</v>
      </c>
      <c r="E34" s="84">
        <v>312000</v>
      </c>
      <c r="F34" s="84">
        <v>180</v>
      </c>
      <c r="G34" s="84">
        <v>180</v>
      </c>
      <c r="J34" s="117"/>
    </row>
    <row r="35" spans="1:10" ht="42" customHeight="1">
      <c r="A35" s="137" t="s">
        <v>121</v>
      </c>
      <c r="B35" s="133" t="s">
        <v>122</v>
      </c>
      <c r="C35" s="135"/>
      <c r="D35" s="84">
        <v>0</v>
      </c>
      <c r="E35" s="84">
        <v>0</v>
      </c>
      <c r="F35" s="84">
        <v>0</v>
      </c>
      <c r="G35" s="84">
        <v>0</v>
      </c>
      <c r="J35" s="117"/>
    </row>
    <row r="36" spans="1:10" ht="39" customHeight="1">
      <c r="A36" s="137" t="s">
        <v>123</v>
      </c>
      <c r="B36" s="133" t="s">
        <v>124</v>
      </c>
      <c r="C36" s="135"/>
      <c r="D36" s="84">
        <v>0</v>
      </c>
      <c r="E36" s="84">
        <v>0</v>
      </c>
      <c r="F36" s="84">
        <v>0</v>
      </c>
      <c r="G36" s="84">
        <v>0</v>
      </c>
      <c r="J36" s="117"/>
    </row>
    <row r="37" spans="1:10" ht="70.900000000000006" customHeight="1">
      <c r="A37" s="137" t="s">
        <v>125</v>
      </c>
      <c r="B37" s="133" t="s">
        <v>126</v>
      </c>
      <c r="C37" s="135"/>
      <c r="D37" s="84">
        <v>0</v>
      </c>
      <c r="E37" s="84">
        <v>0</v>
      </c>
      <c r="F37" s="84">
        <v>0</v>
      </c>
      <c r="G37" s="84">
        <v>0</v>
      </c>
      <c r="J37" s="117"/>
    </row>
    <row r="38" spans="1:10" ht="39" customHeight="1">
      <c r="A38" s="137" t="s">
        <v>254</v>
      </c>
      <c r="B38" s="133" t="s">
        <v>127</v>
      </c>
      <c r="C38" s="135"/>
      <c r="D38" s="84">
        <v>15000000</v>
      </c>
      <c r="E38" s="84">
        <v>18000000</v>
      </c>
      <c r="F38" s="84">
        <v>0</v>
      </c>
      <c r="G38" s="84">
        <v>20000000</v>
      </c>
      <c r="J38" s="117"/>
    </row>
    <row r="39" spans="1:10" s="117" customFormat="1" ht="39" customHeight="1">
      <c r="A39" s="129" t="s">
        <v>255</v>
      </c>
      <c r="B39" s="130" t="s">
        <v>128</v>
      </c>
      <c r="C39" s="131"/>
      <c r="D39" s="79">
        <v>2418177251</v>
      </c>
      <c r="E39" s="79">
        <v>4821602442</v>
      </c>
      <c r="F39" s="79">
        <v>988763471</v>
      </c>
      <c r="G39" s="79">
        <v>1908639725</v>
      </c>
    </row>
    <row r="40" spans="1:10" ht="39" customHeight="1">
      <c r="A40" s="137" t="s">
        <v>304</v>
      </c>
      <c r="B40" s="133" t="s">
        <v>129</v>
      </c>
      <c r="C40" s="135"/>
      <c r="D40" s="84">
        <v>1978054608</v>
      </c>
      <c r="E40" s="84">
        <v>3713556681</v>
      </c>
      <c r="F40" s="84">
        <v>671262110</v>
      </c>
      <c r="G40" s="84">
        <v>1011884624</v>
      </c>
      <c r="J40" s="117"/>
    </row>
    <row r="41" spans="1:10" ht="39" customHeight="1">
      <c r="A41" s="137" t="s">
        <v>130</v>
      </c>
      <c r="B41" s="133" t="s">
        <v>131</v>
      </c>
      <c r="C41" s="134"/>
      <c r="D41" s="84">
        <v>86663286</v>
      </c>
      <c r="E41" s="84">
        <v>165888891</v>
      </c>
      <c r="F41" s="84">
        <v>36159583</v>
      </c>
      <c r="G41" s="84">
        <v>106510609</v>
      </c>
      <c r="J41" s="117"/>
    </row>
    <row r="42" spans="1:10" ht="39" customHeight="1">
      <c r="A42" s="64" t="s">
        <v>50</v>
      </c>
      <c r="B42" s="138" t="s">
        <v>132</v>
      </c>
      <c r="C42" s="134"/>
      <c r="D42" s="84">
        <v>82418938</v>
      </c>
      <c r="E42" s="84">
        <v>155651573</v>
      </c>
      <c r="F42" s="84">
        <v>34500000</v>
      </c>
      <c r="G42" s="84">
        <v>103500000</v>
      </c>
      <c r="J42" s="117"/>
    </row>
    <row r="43" spans="1:10" ht="39" customHeight="1">
      <c r="A43" s="64" t="s">
        <v>51</v>
      </c>
      <c r="B43" s="138" t="s">
        <v>133</v>
      </c>
      <c r="C43" s="134"/>
      <c r="D43" s="84">
        <v>3300000</v>
      </c>
      <c r="E43" s="84">
        <v>8200000</v>
      </c>
      <c r="F43" s="84">
        <v>1500000</v>
      </c>
      <c r="G43" s="84">
        <v>2850000</v>
      </c>
      <c r="J43" s="117"/>
    </row>
    <row r="44" spans="1:10" ht="60" customHeight="1">
      <c r="A44" s="64" t="s">
        <v>279</v>
      </c>
      <c r="B44" s="138" t="s">
        <v>134</v>
      </c>
      <c r="C44" s="134"/>
      <c r="D44" s="84">
        <v>944348</v>
      </c>
      <c r="E44" s="84">
        <v>2037318</v>
      </c>
      <c r="F44" s="84">
        <v>159583</v>
      </c>
      <c r="G44" s="84">
        <v>160609</v>
      </c>
      <c r="J44" s="117"/>
    </row>
    <row r="45" spans="1:10" ht="39" customHeight="1">
      <c r="A45" s="137" t="s">
        <v>135</v>
      </c>
      <c r="B45" s="133" t="s">
        <v>136</v>
      </c>
      <c r="C45" s="134"/>
      <c r="D45" s="84">
        <v>62833974</v>
      </c>
      <c r="E45" s="84">
        <v>171733974</v>
      </c>
      <c r="F45" s="84">
        <v>54450000</v>
      </c>
      <c r="G45" s="84">
        <v>163350000</v>
      </c>
      <c r="J45" s="117"/>
    </row>
    <row r="46" spans="1:10" ht="39" customHeight="1">
      <c r="A46" s="137" t="s">
        <v>137</v>
      </c>
      <c r="B46" s="133" t="s">
        <v>138</v>
      </c>
      <c r="C46" s="134"/>
      <c r="D46" s="84">
        <v>114590599</v>
      </c>
      <c r="E46" s="84">
        <v>338165599</v>
      </c>
      <c r="F46" s="84">
        <v>111787500</v>
      </c>
      <c r="G46" s="84">
        <v>335362500</v>
      </c>
      <c r="J46" s="117"/>
    </row>
    <row r="47" spans="1:10" ht="39" customHeight="1">
      <c r="A47" s="137" t="s">
        <v>139</v>
      </c>
      <c r="B47" s="133" t="s">
        <v>140</v>
      </c>
      <c r="C47" s="134"/>
      <c r="D47" s="84">
        <v>39600000</v>
      </c>
      <c r="E47" s="84">
        <v>105600000</v>
      </c>
      <c r="F47" s="84">
        <v>33000000</v>
      </c>
      <c r="G47" s="84">
        <v>99000000</v>
      </c>
      <c r="J47" s="117"/>
    </row>
    <row r="48" spans="1:10" ht="39" customHeight="1">
      <c r="A48" s="137" t="s">
        <v>141</v>
      </c>
      <c r="B48" s="133" t="s">
        <v>142</v>
      </c>
      <c r="C48" s="134"/>
      <c r="D48" s="84">
        <v>0</v>
      </c>
      <c r="E48" s="84">
        <v>0</v>
      </c>
      <c r="F48" s="84">
        <v>0</v>
      </c>
      <c r="G48" s="84">
        <v>0</v>
      </c>
      <c r="J48" s="117"/>
    </row>
    <row r="49" spans="1:10" ht="43.9" customHeight="1">
      <c r="A49" s="65" t="s">
        <v>305</v>
      </c>
      <c r="B49" s="138" t="s">
        <v>143</v>
      </c>
      <c r="C49" s="134"/>
      <c r="D49" s="84">
        <v>0</v>
      </c>
      <c r="E49" s="84">
        <v>0</v>
      </c>
      <c r="F49" s="84">
        <v>0</v>
      </c>
      <c r="G49" s="84">
        <v>0</v>
      </c>
      <c r="J49" s="117"/>
    </row>
    <row r="50" spans="1:10" ht="39" customHeight="1">
      <c r="A50" s="65" t="s">
        <v>306</v>
      </c>
      <c r="B50" s="138" t="s">
        <v>144</v>
      </c>
      <c r="C50" s="134"/>
      <c r="D50" s="84">
        <v>0</v>
      </c>
      <c r="E50" s="84">
        <v>0</v>
      </c>
      <c r="F50" s="84">
        <v>0</v>
      </c>
      <c r="G50" s="84">
        <v>0</v>
      </c>
      <c r="J50" s="117"/>
    </row>
    <row r="51" spans="1:10" ht="39" customHeight="1">
      <c r="A51" s="137" t="s">
        <v>145</v>
      </c>
      <c r="B51" s="133" t="s">
        <v>146</v>
      </c>
      <c r="C51" s="134"/>
      <c r="D51" s="84">
        <v>0</v>
      </c>
      <c r="E51" s="84">
        <v>0</v>
      </c>
      <c r="F51" s="84">
        <v>0</v>
      </c>
      <c r="G51" s="84">
        <v>201586</v>
      </c>
      <c r="J51" s="117"/>
    </row>
    <row r="52" spans="1:10" ht="39" customHeight="1">
      <c r="A52" s="137" t="s">
        <v>256</v>
      </c>
      <c r="B52" s="133" t="s">
        <v>147</v>
      </c>
      <c r="C52" s="134"/>
      <c r="D52" s="84">
        <v>29800768</v>
      </c>
      <c r="E52" s="84">
        <v>80215438</v>
      </c>
      <c r="F52" s="84">
        <v>23567124</v>
      </c>
      <c r="G52" s="84">
        <v>73375452</v>
      </c>
      <c r="J52" s="117"/>
    </row>
    <row r="53" spans="1:10" ht="39" customHeight="1">
      <c r="A53" s="137" t="s">
        <v>148</v>
      </c>
      <c r="B53" s="133" t="s">
        <v>149</v>
      </c>
      <c r="C53" s="134"/>
      <c r="D53" s="84">
        <v>0</v>
      </c>
      <c r="E53" s="84">
        <v>0</v>
      </c>
      <c r="F53" s="84">
        <v>0</v>
      </c>
      <c r="G53" s="84">
        <v>0</v>
      </c>
      <c r="J53" s="117"/>
    </row>
    <row r="54" spans="1:10" ht="39" customHeight="1">
      <c r="A54" s="137" t="s">
        <v>257</v>
      </c>
      <c r="B54" s="139" t="s">
        <v>150</v>
      </c>
      <c r="C54" s="134"/>
      <c r="D54" s="84">
        <v>106634016</v>
      </c>
      <c r="E54" s="84">
        <v>246441859</v>
      </c>
      <c r="F54" s="84">
        <v>58537154</v>
      </c>
      <c r="G54" s="84">
        <v>118954954</v>
      </c>
      <c r="J54" s="117"/>
    </row>
    <row r="55" spans="1:10" ht="39" customHeight="1">
      <c r="A55" s="65" t="s">
        <v>65</v>
      </c>
      <c r="B55" s="140" t="s">
        <v>151</v>
      </c>
      <c r="C55" s="134"/>
      <c r="D55" s="84">
        <v>19141983</v>
      </c>
      <c r="E55" s="84">
        <v>70858064</v>
      </c>
      <c r="F55" s="84">
        <v>29273049</v>
      </c>
      <c r="G55" s="84">
        <v>69059144</v>
      </c>
      <c r="J55" s="117"/>
    </row>
    <row r="56" spans="1:10" ht="39" customHeight="1">
      <c r="A56" s="65" t="s">
        <v>152</v>
      </c>
      <c r="B56" s="140" t="s">
        <v>153</v>
      </c>
      <c r="C56" s="134"/>
      <c r="D56" s="84">
        <v>0</v>
      </c>
      <c r="E56" s="84">
        <v>0</v>
      </c>
      <c r="F56" s="84">
        <v>0</v>
      </c>
      <c r="G56" s="84">
        <v>0</v>
      </c>
      <c r="J56" s="117"/>
    </row>
    <row r="57" spans="1:10" ht="39" customHeight="1">
      <c r="A57" s="65" t="s">
        <v>154</v>
      </c>
      <c r="B57" s="140" t="s">
        <v>155</v>
      </c>
      <c r="C57" s="135"/>
      <c r="D57" s="84">
        <v>0</v>
      </c>
      <c r="E57" s="84">
        <v>0</v>
      </c>
      <c r="F57" s="84">
        <v>0</v>
      </c>
      <c r="G57" s="84">
        <v>0</v>
      </c>
      <c r="J57" s="117"/>
    </row>
    <row r="58" spans="1:10" ht="39" customHeight="1">
      <c r="A58" s="65" t="s">
        <v>258</v>
      </c>
      <c r="B58" s="140" t="s">
        <v>156</v>
      </c>
      <c r="C58" s="134"/>
      <c r="D58" s="84">
        <v>45233333</v>
      </c>
      <c r="E58" s="84">
        <v>74199999</v>
      </c>
      <c r="F58" s="84">
        <v>19550000</v>
      </c>
      <c r="G58" s="84">
        <v>19550000</v>
      </c>
      <c r="J58" s="117"/>
    </row>
    <row r="59" spans="1:10" ht="39" customHeight="1">
      <c r="A59" s="65" t="s">
        <v>66</v>
      </c>
      <c r="B59" s="140" t="s">
        <v>157</v>
      </c>
      <c r="C59" s="135"/>
      <c r="D59" s="84">
        <v>0</v>
      </c>
      <c r="E59" s="84">
        <v>0</v>
      </c>
      <c r="F59" s="84">
        <v>0</v>
      </c>
      <c r="G59" s="84">
        <v>0</v>
      </c>
      <c r="J59" s="117"/>
    </row>
    <row r="60" spans="1:10" ht="39" customHeight="1">
      <c r="A60" s="65" t="s">
        <v>259</v>
      </c>
      <c r="B60" s="140" t="s">
        <v>158</v>
      </c>
      <c r="C60" s="135"/>
      <c r="D60" s="84">
        <v>0</v>
      </c>
      <c r="E60" s="84">
        <v>0</v>
      </c>
      <c r="F60" s="84">
        <v>0</v>
      </c>
      <c r="G60" s="84">
        <v>0</v>
      </c>
      <c r="J60" s="117"/>
    </row>
    <row r="61" spans="1:10" ht="39" customHeight="1">
      <c r="A61" s="65" t="s">
        <v>260</v>
      </c>
      <c r="B61" s="140" t="s">
        <v>159</v>
      </c>
      <c r="C61" s="135"/>
      <c r="D61" s="84">
        <v>0</v>
      </c>
      <c r="E61" s="84">
        <v>0</v>
      </c>
      <c r="F61" s="84">
        <v>2520548</v>
      </c>
      <c r="G61" s="84">
        <v>7479452</v>
      </c>
      <c r="J61" s="117"/>
    </row>
    <row r="62" spans="1:10" ht="39" customHeight="1">
      <c r="A62" s="65" t="s">
        <v>73</v>
      </c>
      <c r="B62" s="140" t="s">
        <v>160</v>
      </c>
      <c r="C62" s="135"/>
      <c r="D62" s="84">
        <v>42258700</v>
      </c>
      <c r="E62" s="84">
        <v>100283796</v>
      </c>
      <c r="F62" s="84">
        <v>7193557</v>
      </c>
      <c r="G62" s="84">
        <v>21766358</v>
      </c>
      <c r="J62" s="117"/>
    </row>
    <row r="63" spans="1:10" ht="39" customHeight="1">
      <c r="A63" s="65" t="s">
        <v>67</v>
      </c>
      <c r="B63" s="140" t="s">
        <v>161</v>
      </c>
      <c r="C63" s="135"/>
      <c r="D63" s="84">
        <v>0</v>
      </c>
      <c r="E63" s="84">
        <v>0</v>
      </c>
      <c r="F63" s="84">
        <v>0</v>
      </c>
      <c r="G63" s="84">
        <v>0</v>
      </c>
      <c r="J63" s="117"/>
    </row>
    <row r="64" spans="1:10" ht="39" customHeight="1">
      <c r="A64" s="65" t="s">
        <v>245</v>
      </c>
      <c r="B64" s="140" t="s">
        <v>162</v>
      </c>
      <c r="C64" s="134"/>
      <c r="D64" s="84">
        <v>0</v>
      </c>
      <c r="E64" s="84">
        <v>0</v>
      </c>
      <c r="F64" s="84">
        <v>0</v>
      </c>
      <c r="G64" s="84">
        <v>0</v>
      </c>
      <c r="J64" s="117"/>
    </row>
    <row r="65" spans="1:10" ht="39" customHeight="1">
      <c r="A65" s="65" t="s">
        <v>288</v>
      </c>
      <c r="B65" s="140" t="s">
        <v>163</v>
      </c>
      <c r="C65" s="134"/>
      <c r="D65" s="84">
        <v>0</v>
      </c>
      <c r="E65" s="84">
        <v>1100000</v>
      </c>
      <c r="F65" s="84">
        <v>0</v>
      </c>
      <c r="G65" s="84">
        <v>1100000</v>
      </c>
      <c r="J65" s="117"/>
    </row>
    <row r="66" spans="1:10" ht="39" customHeight="1">
      <c r="A66" s="65" t="s">
        <v>261</v>
      </c>
      <c r="B66" s="140" t="s">
        <v>164</v>
      </c>
      <c r="C66" s="134"/>
      <c r="D66" s="84">
        <v>0</v>
      </c>
      <c r="E66" s="84">
        <v>0</v>
      </c>
      <c r="F66" s="84">
        <v>0</v>
      </c>
      <c r="G66" s="84">
        <v>0</v>
      </c>
      <c r="J66" s="117"/>
    </row>
    <row r="67" spans="1:10" ht="39" customHeight="1">
      <c r="A67" s="65" t="s">
        <v>262</v>
      </c>
      <c r="B67" s="140" t="s">
        <v>165</v>
      </c>
      <c r="C67" s="134"/>
      <c r="D67" s="84">
        <v>0</v>
      </c>
      <c r="E67" s="84">
        <v>0</v>
      </c>
      <c r="F67" s="84">
        <v>0</v>
      </c>
      <c r="G67" s="84">
        <v>0</v>
      </c>
      <c r="J67" s="117"/>
    </row>
    <row r="68" spans="1:10" ht="39" customHeight="1">
      <c r="A68" s="65" t="s">
        <v>166</v>
      </c>
      <c r="B68" s="140" t="s">
        <v>167</v>
      </c>
      <c r="C68" s="134"/>
      <c r="D68" s="84">
        <v>0</v>
      </c>
      <c r="E68" s="84">
        <v>0</v>
      </c>
      <c r="F68" s="84">
        <v>0</v>
      </c>
      <c r="G68" s="84">
        <v>0</v>
      </c>
      <c r="J68" s="117"/>
    </row>
    <row r="69" spans="1:10" s="117" customFormat="1" ht="45" customHeight="1">
      <c r="A69" s="129" t="s">
        <v>168</v>
      </c>
      <c r="B69" s="130" t="s">
        <v>169</v>
      </c>
      <c r="C69" s="131"/>
      <c r="D69" s="79">
        <v>9608133266</v>
      </c>
      <c r="E69" s="79">
        <v>18568973122</v>
      </c>
      <c r="F69" s="79">
        <v>3151009049</v>
      </c>
      <c r="G69" s="79">
        <v>3798671370</v>
      </c>
    </row>
    <row r="70" spans="1:10" s="117" customFormat="1" ht="39" customHeight="1">
      <c r="A70" s="129" t="s">
        <v>170</v>
      </c>
      <c r="B70" s="130" t="s">
        <v>171</v>
      </c>
      <c r="C70" s="131"/>
      <c r="D70" s="79">
        <v>0</v>
      </c>
      <c r="E70" s="79">
        <v>0</v>
      </c>
      <c r="F70" s="79">
        <v>0</v>
      </c>
      <c r="G70" s="79">
        <v>0</v>
      </c>
    </row>
    <row r="71" spans="1:10" ht="39" customHeight="1">
      <c r="A71" s="132" t="s">
        <v>307</v>
      </c>
      <c r="B71" s="136" t="s">
        <v>172</v>
      </c>
      <c r="C71" s="135"/>
      <c r="D71" s="84">
        <v>0</v>
      </c>
      <c r="E71" s="84">
        <v>0</v>
      </c>
      <c r="F71" s="84">
        <v>0</v>
      </c>
      <c r="G71" s="84">
        <v>0</v>
      </c>
      <c r="J71" s="117"/>
    </row>
    <row r="72" spans="1:10" ht="39" customHeight="1">
      <c r="A72" s="132" t="s">
        <v>263</v>
      </c>
      <c r="B72" s="136" t="s">
        <v>173</v>
      </c>
      <c r="C72" s="135"/>
      <c r="D72" s="84">
        <v>0</v>
      </c>
      <c r="E72" s="84">
        <v>0</v>
      </c>
      <c r="F72" s="84">
        <v>0</v>
      </c>
      <c r="G72" s="84">
        <v>0</v>
      </c>
      <c r="J72" s="117"/>
    </row>
    <row r="73" spans="1:10" s="117" customFormat="1" ht="48" customHeight="1">
      <c r="A73" s="129" t="s">
        <v>174</v>
      </c>
      <c r="B73" s="130" t="s">
        <v>175</v>
      </c>
      <c r="C73" s="131"/>
      <c r="D73" s="79">
        <v>9608133266</v>
      </c>
      <c r="E73" s="79">
        <v>18568973122</v>
      </c>
      <c r="F73" s="79">
        <v>3151009049</v>
      </c>
      <c r="G73" s="79">
        <v>3798671370</v>
      </c>
    </row>
    <row r="74" spans="1:10" ht="39" customHeight="1">
      <c r="A74" s="137" t="s">
        <v>176</v>
      </c>
      <c r="B74" s="133" t="s">
        <v>177</v>
      </c>
      <c r="C74" s="135"/>
      <c r="D74" s="84">
        <v>10480618781</v>
      </c>
      <c r="E74" s="84">
        <v>19719279097</v>
      </c>
      <c r="F74" s="84">
        <v>3150869529</v>
      </c>
      <c r="G74" s="84">
        <v>3809604408</v>
      </c>
      <c r="J74" s="117"/>
    </row>
    <row r="75" spans="1:10" ht="39" customHeight="1">
      <c r="A75" s="137" t="s">
        <v>178</v>
      </c>
      <c r="B75" s="133" t="s">
        <v>179</v>
      </c>
      <c r="C75" s="135"/>
      <c r="D75" s="84">
        <v>-872485515</v>
      </c>
      <c r="E75" s="84">
        <v>-1150305975</v>
      </c>
      <c r="F75" s="84">
        <v>139520</v>
      </c>
      <c r="G75" s="84">
        <v>-10933038</v>
      </c>
      <c r="J75" s="117"/>
    </row>
    <row r="76" spans="1:10" s="117" customFormat="1" ht="39" customHeight="1">
      <c r="A76" s="129" t="s">
        <v>180</v>
      </c>
      <c r="B76" s="130" t="s">
        <v>181</v>
      </c>
      <c r="C76" s="131"/>
      <c r="D76" s="79">
        <v>0</v>
      </c>
      <c r="E76" s="79">
        <v>0</v>
      </c>
      <c r="F76" s="79">
        <v>0</v>
      </c>
      <c r="G76" s="79">
        <v>0</v>
      </c>
    </row>
    <row r="77" spans="1:10" s="117" customFormat="1" ht="43.5" customHeight="1">
      <c r="A77" s="129" t="s">
        <v>182</v>
      </c>
      <c r="B77" s="130" t="s">
        <v>183</v>
      </c>
      <c r="C77" s="131"/>
      <c r="D77" s="79">
        <v>9608133266</v>
      </c>
      <c r="E77" s="79">
        <v>18568973122</v>
      </c>
      <c r="F77" s="79">
        <v>3151009049</v>
      </c>
      <c r="G77" s="79">
        <v>3798671370</v>
      </c>
    </row>
    <row r="80" spans="1:10" s="117" customFormat="1" ht="16.899999999999999" customHeight="1">
      <c r="A80" s="125" t="s">
        <v>184</v>
      </c>
      <c r="B80" s="251" t="s">
        <v>185</v>
      </c>
      <c r="C80" s="251"/>
      <c r="D80" s="251"/>
      <c r="E80" s="251"/>
      <c r="F80" s="251"/>
      <c r="G80" s="251"/>
    </row>
    <row r="93" spans="1:7">
      <c r="A93" s="106" t="s">
        <v>562</v>
      </c>
      <c r="B93" s="259" t="s">
        <v>825</v>
      </c>
      <c r="C93" s="259"/>
      <c r="D93" s="259"/>
      <c r="E93" s="259"/>
      <c r="F93" s="259" t="s">
        <v>826</v>
      </c>
      <c r="G93" s="259"/>
    </row>
    <row r="94" spans="1:7" ht="16.899999999999999" customHeight="1">
      <c r="A94" s="213" t="s">
        <v>802</v>
      </c>
      <c r="B94" s="260" t="s">
        <v>803</v>
      </c>
      <c r="C94" s="260"/>
      <c r="D94" s="260"/>
      <c r="E94" s="260"/>
      <c r="F94" s="260" t="s">
        <v>792</v>
      </c>
      <c r="G94" s="260"/>
    </row>
    <row r="95" spans="1:7" ht="16.899999999999999" customHeight="1">
      <c r="A95" s="142" t="s">
        <v>804</v>
      </c>
      <c r="B95" s="261" t="s">
        <v>805</v>
      </c>
      <c r="C95" s="261"/>
      <c r="D95" s="261"/>
      <c r="E95" s="261"/>
      <c r="F95" s="261" t="s">
        <v>794</v>
      </c>
      <c r="G95" s="26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1"/>
  <sheetViews>
    <sheetView view="pageBreakPreview" zoomScale="98" zoomScaleNormal="100" zoomScaleSheetLayoutView="98" workbookViewId="0">
      <selection activeCell="G18" sqref="G18"/>
    </sheetView>
  </sheetViews>
  <sheetFormatPr defaultColWidth="8.7109375" defaultRowHeight="12.75"/>
  <cols>
    <col min="1" max="1" width="7.140625" style="58" customWidth="1"/>
    <col min="2" max="2" width="45.42578125" style="58" customWidth="1"/>
    <col min="3" max="3" width="10.5703125" style="58" customWidth="1"/>
    <col min="4" max="4" width="8.7109375" style="58"/>
    <col min="5" max="6" width="22.28515625" style="58" customWidth="1"/>
    <col min="7" max="7" width="8.7109375" style="43"/>
    <col min="8" max="16384" width="8.7109375" style="103"/>
  </cols>
  <sheetData>
    <row r="1" spans="1:6" ht="23.65" customHeight="1">
      <c r="A1" s="246" t="s">
        <v>186</v>
      </c>
      <c r="B1" s="246"/>
      <c r="C1" s="246"/>
      <c r="D1" s="246"/>
      <c r="E1" s="246"/>
      <c r="F1" s="246"/>
    </row>
    <row r="2" spans="1:6" ht="32.65" customHeight="1">
      <c r="A2" s="247" t="s">
        <v>98</v>
      </c>
      <c r="B2" s="247"/>
      <c r="C2" s="247"/>
      <c r="D2" s="247"/>
      <c r="E2" s="247"/>
      <c r="F2" s="247"/>
    </row>
    <row r="3" spans="1:6" ht="31.15" customHeight="1">
      <c r="A3" s="248" t="s">
        <v>187</v>
      </c>
      <c r="B3" s="248"/>
      <c r="C3" s="248"/>
      <c r="D3" s="248"/>
      <c r="E3" s="248"/>
      <c r="F3" s="248"/>
    </row>
    <row r="4" spans="1:6" ht="6" customHeight="1"/>
    <row r="5" spans="1:6" ht="16.899999999999999" customHeight="1">
      <c r="A5" s="249" t="str">
        <f>TONGQUAN!C1</f>
        <v>Tại ngày 30 tháng 09 năm 2022
/ As at 30 Sep 2022</v>
      </c>
      <c r="B5" s="249"/>
      <c r="C5" s="249"/>
      <c r="D5" s="249"/>
      <c r="E5" s="249"/>
      <c r="F5" s="249"/>
    </row>
    <row r="6" spans="1:6" ht="16.899999999999999" customHeight="1"/>
    <row r="7" spans="1:6" ht="16.899999999999999" customHeight="1">
      <c r="A7" s="156" t="s">
        <v>2</v>
      </c>
      <c r="C7" s="250" t="str">
        <f>TONGQUAN!D5</f>
        <v>Công ty Cổ phần Quản lý Quỹ Đầu tư Dragon Capital Việt Nam</v>
      </c>
      <c r="D7" s="250"/>
      <c r="E7" s="250"/>
      <c r="F7" s="250"/>
    </row>
    <row r="8" spans="1:6" ht="16.899999999999999" customHeight="1">
      <c r="A8" s="58" t="s">
        <v>40</v>
      </c>
      <c r="C8" s="245" t="str">
        <f>TONGQUAN!D6</f>
        <v>Dragon Capital Vietfund Management Joint Stock Company</v>
      </c>
      <c r="D8" s="245"/>
      <c r="E8" s="245"/>
      <c r="F8" s="245"/>
    </row>
    <row r="9" spans="1:6" ht="16.899999999999999" customHeight="1">
      <c r="A9" s="156" t="s">
        <v>3</v>
      </c>
      <c r="C9" s="250" t="str">
        <f>TONGQUAN!D7</f>
        <v>Ngân hàng TNHH Một thành viên Standard Chartered (Việt Nam)</v>
      </c>
      <c r="D9" s="250"/>
      <c r="E9" s="250"/>
      <c r="F9" s="250"/>
    </row>
    <row r="10" spans="1:6" ht="16.899999999999999" customHeight="1">
      <c r="A10" s="58" t="s">
        <v>4</v>
      </c>
      <c r="C10" s="245" t="str">
        <f>TONGQUAN!D8</f>
        <v>Standard Chartered Bank (Vietnam) Limited</v>
      </c>
      <c r="D10" s="245"/>
      <c r="E10" s="245"/>
      <c r="F10" s="245"/>
    </row>
    <row r="11" spans="1:6" ht="16.899999999999999" customHeight="1">
      <c r="A11" s="156" t="s">
        <v>5</v>
      </c>
      <c r="C11" s="250" t="str">
        <f>TONGQUAN!D9</f>
        <v>Quỹ Đầu tư Trái phiếu Gia tăng Thu nhập Cố định DC</v>
      </c>
      <c r="D11" s="250"/>
      <c r="E11" s="250"/>
      <c r="F11" s="250"/>
    </row>
    <row r="12" spans="1:6" ht="16.899999999999999" customHeight="1">
      <c r="A12" s="58" t="s">
        <v>6</v>
      </c>
      <c r="C12" s="245" t="str">
        <f>TONGQUAN!D10</f>
        <v>DC Income Plus Bond Fund(VFMVFC)</v>
      </c>
      <c r="D12" s="245"/>
      <c r="E12" s="245"/>
      <c r="F12" s="245"/>
    </row>
    <row r="13" spans="1:6" ht="16.899999999999999" customHeight="1">
      <c r="A13" s="156" t="s">
        <v>7</v>
      </c>
      <c r="C13" s="250" t="str">
        <f>TONGQUAN!D11</f>
        <v>Ngày 05 tháng 10 năm 2022</v>
      </c>
      <c r="D13" s="250"/>
      <c r="E13" s="250"/>
      <c r="F13" s="250"/>
    </row>
    <row r="14" spans="1:6" ht="16.899999999999999" customHeight="1">
      <c r="A14" s="58" t="s">
        <v>8</v>
      </c>
      <c r="C14" s="245" t="str">
        <f>TONGQUAN!D12</f>
        <v>05 Oct 2022</v>
      </c>
      <c r="D14" s="245"/>
      <c r="E14" s="245"/>
      <c r="F14" s="245"/>
    </row>
    <row r="15" spans="1:6" ht="16.899999999999999" customHeight="1"/>
    <row r="16" spans="1:6" ht="46.9" customHeight="1">
      <c r="A16" s="104" t="s">
        <v>188</v>
      </c>
      <c r="B16" s="104" t="s">
        <v>100</v>
      </c>
      <c r="C16" s="104" t="s">
        <v>101</v>
      </c>
      <c r="D16" s="104" t="s">
        <v>102</v>
      </c>
      <c r="E16" s="104" t="str">
        <f>BCTaiSan_06027!D18</f>
        <v>Ngày 30 tháng 09 năm 2022
 As at 30 Sep 2022</v>
      </c>
      <c r="F16" s="104" t="str">
        <f>BCTaiSan_06027!E18</f>
        <v>Ngày 30 tháng 06 năm 2022
 As at 30 Jun 2022</v>
      </c>
    </row>
    <row r="17" spans="1:7" ht="39" customHeight="1">
      <c r="A17" s="60" t="s">
        <v>41</v>
      </c>
      <c r="B17" s="157" t="s">
        <v>341</v>
      </c>
      <c r="C17" s="52" t="s">
        <v>41</v>
      </c>
      <c r="D17" s="79"/>
      <c r="E17" s="79"/>
      <c r="F17" s="79"/>
    </row>
    <row r="18" spans="1:7" ht="39" customHeight="1">
      <c r="A18" s="159" t="s">
        <v>342</v>
      </c>
      <c r="B18" s="160" t="s">
        <v>343</v>
      </c>
      <c r="C18" s="161" t="s">
        <v>344</v>
      </c>
      <c r="D18" s="159"/>
      <c r="E18" s="158">
        <v>147951287500</v>
      </c>
      <c r="F18" s="158">
        <v>69607440580</v>
      </c>
    </row>
    <row r="19" spans="1:7" ht="39" customHeight="1">
      <c r="A19" s="159" t="s">
        <v>345</v>
      </c>
      <c r="B19" s="160" t="s">
        <v>346</v>
      </c>
      <c r="C19" s="161" t="s">
        <v>347</v>
      </c>
      <c r="D19" s="159"/>
      <c r="E19" s="158">
        <v>78951287500</v>
      </c>
      <c r="F19" s="158">
        <v>8607440580</v>
      </c>
    </row>
    <row r="20" spans="1:7" s="165" customFormat="1" ht="49.15" customHeight="1">
      <c r="A20" s="159" t="s">
        <v>348</v>
      </c>
      <c r="B20" s="162" t="s">
        <v>349</v>
      </c>
      <c r="C20" s="163" t="s">
        <v>350</v>
      </c>
      <c r="D20" s="159"/>
      <c r="E20" s="158">
        <v>0</v>
      </c>
      <c r="F20" s="158">
        <v>0</v>
      </c>
      <c r="G20" s="164"/>
    </row>
    <row r="21" spans="1:7" s="165" customFormat="1" ht="46.5" customHeight="1">
      <c r="A21" s="159" t="s">
        <v>348</v>
      </c>
      <c r="B21" s="162" t="s">
        <v>351</v>
      </c>
      <c r="C21" s="163" t="s">
        <v>352</v>
      </c>
      <c r="D21" s="159"/>
      <c r="E21" s="158">
        <v>50120632</v>
      </c>
      <c r="F21" s="158">
        <v>11385290</v>
      </c>
      <c r="G21" s="164"/>
    </row>
    <row r="22" spans="1:7" s="165" customFormat="1" ht="39" customHeight="1">
      <c r="A22" s="159" t="s">
        <v>348</v>
      </c>
      <c r="B22" s="162" t="s">
        <v>353</v>
      </c>
      <c r="C22" s="163" t="s">
        <v>354</v>
      </c>
      <c r="D22" s="159"/>
      <c r="E22" s="158">
        <v>78901166868</v>
      </c>
      <c r="F22" s="158">
        <v>8596055290</v>
      </c>
      <c r="G22" s="164"/>
    </row>
    <row r="23" spans="1:7" ht="47.65" customHeight="1">
      <c r="A23" s="159" t="s">
        <v>348</v>
      </c>
      <c r="B23" s="162" t="s">
        <v>46</v>
      </c>
      <c r="C23" s="163" t="s">
        <v>355</v>
      </c>
      <c r="D23" s="159"/>
      <c r="E23" s="158">
        <v>0</v>
      </c>
      <c r="F23" s="158">
        <v>0</v>
      </c>
    </row>
    <row r="24" spans="1:7" ht="39" customHeight="1">
      <c r="A24" s="159" t="s">
        <v>356</v>
      </c>
      <c r="B24" s="160" t="s">
        <v>357</v>
      </c>
      <c r="C24" s="161" t="s">
        <v>358</v>
      </c>
      <c r="D24" s="159"/>
      <c r="E24" s="158">
        <v>69000000000</v>
      </c>
      <c r="F24" s="158">
        <v>61000000000</v>
      </c>
    </row>
    <row r="25" spans="1:7" ht="39" customHeight="1">
      <c r="A25" s="159" t="s">
        <v>359</v>
      </c>
      <c r="B25" s="160" t="s">
        <v>360</v>
      </c>
      <c r="C25" s="161" t="s">
        <v>361</v>
      </c>
      <c r="D25" s="159"/>
      <c r="E25" s="158">
        <v>895944472888</v>
      </c>
      <c r="F25" s="158">
        <v>294518928855</v>
      </c>
    </row>
    <row r="26" spans="1:7" ht="39" customHeight="1">
      <c r="A26" s="159" t="s">
        <v>362</v>
      </c>
      <c r="B26" s="160" t="s">
        <v>363</v>
      </c>
      <c r="C26" s="161" t="s">
        <v>364</v>
      </c>
      <c r="D26" s="159"/>
      <c r="E26" s="158">
        <v>895944472888</v>
      </c>
      <c r="F26" s="158">
        <v>294518928855</v>
      </c>
    </row>
    <row r="27" spans="1:7" ht="39" customHeight="1">
      <c r="A27" s="159" t="s">
        <v>348</v>
      </c>
      <c r="B27" s="162" t="s">
        <v>365</v>
      </c>
      <c r="C27" s="163" t="s">
        <v>366</v>
      </c>
      <c r="D27" s="159"/>
      <c r="E27" s="158">
        <v>0</v>
      </c>
      <c r="F27" s="158">
        <v>0</v>
      </c>
    </row>
    <row r="28" spans="1:7" ht="39" customHeight="1">
      <c r="A28" s="159" t="s">
        <v>348</v>
      </c>
      <c r="B28" s="162" t="s">
        <v>367</v>
      </c>
      <c r="C28" s="163" t="s">
        <v>368</v>
      </c>
      <c r="D28" s="159"/>
      <c r="E28" s="158">
        <v>0</v>
      </c>
      <c r="F28" s="158">
        <v>0</v>
      </c>
    </row>
    <row r="29" spans="1:7" ht="39" customHeight="1">
      <c r="A29" s="159" t="s">
        <v>348</v>
      </c>
      <c r="B29" s="162" t="s">
        <v>369</v>
      </c>
      <c r="C29" s="163" t="s">
        <v>370</v>
      </c>
      <c r="D29" s="159"/>
      <c r="E29" s="158">
        <v>576115043700</v>
      </c>
      <c r="F29" s="158">
        <v>203377325500</v>
      </c>
    </row>
    <row r="30" spans="1:7" ht="39" customHeight="1">
      <c r="A30" s="159" t="s">
        <v>348</v>
      </c>
      <c r="B30" s="162" t="s">
        <v>371</v>
      </c>
      <c r="C30" s="163" t="s">
        <v>372</v>
      </c>
      <c r="D30" s="159"/>
      <c r="E30" s="158">
        <v>99082914650</v>
      </c>
      <c r="F30" s="158">
        <v>31003554040</v>
      </c>
    </row>
    <row r="31" spans="1:7" ht="39" customHeight="1">
      <c r="A31" s="159" t="s">
        <v>348</v>
      </c>
      <c r="B31" s="162" t="s">
        <v>373</v>
      </c>
      <c r="C31" s="163" t="s">
        <v>374</v>
      </c>
      <c r="D31" s="159"/>
      <c r="E31" s="158">
        <v>190146514538</v>
      </c>
      <c r="F31" s="158">
        <v>50538049315</v>
      </c>
    </row>
    <row r="32" spans="1:7" ht="39" customHeight="1">
      <c r="A32" s="159" t="s">
        <v>348</v>
      </c>
      <c r="B32" s="162" t="s">
        <v>328</v>
      </c>
      <c r="C32" s="163" t="s">
        <v>375</v>
      </c>
      <c r="D32" s="159"/>
      <c r="E32" s="158">
        <v>30600000000</v>
      </c>
      <c r="F32" s="158">
        <v>9600000000</v>
      </c>
    </row>
    <row r="33" spans="1:6" ht="39" customHeight="1">
      <c r="A33" s="159" t="s">
        <v>348</v>
      </c>
      <c r="B33" s="162" t="s">
        <v>329</v>
      </c>
      <c r="C33" s="163" t="s">
        <v>376</v>
      </c>
      <c r="D33" s="159"/>
      <c r="E33" s="158">
        <v>0</v>
      </c>
      <c r="F33" s="158">
        <v>0</v>
      </c>
    </row>
    <row r="34" spans="1:6" ht="39" customHeight="1">
      <c r="A34" s="159" t="s">
        <v>348</v>
      </c>
      <c r="B34" s="162" t="s">
        <v>330</v>
      </c>
      <c r="C34" s="163" t="s">
        <v>377</v>
      </c>
      <c r="D34" s="159"/>
      <c r="E34" s="158">
        <v>0</v>
      </c>
      <c r="F34" s="158">
        <v>0</v>
      </c>
    </row>
    <row r="35" spans="1:6" ht="39" customHeight="1">
      <c r="A35" s="159" t="s">
        <v>348</v>
      </c>
      <c r="B35" s="162" t="s">
        <v>378</v>
      </c>
      <c r="C35" s="163" t="s">
        <v>379</v>
      </c>
      <c r="D35" s="159"/>
      <c r="E35" s="158">
        <v>0</v>
      </c>
      <c r="F35" s="158">
        <v>0</v>
      </c>
    </row>
    <row r="36" spans="1:6" ht="39" customHeight="1">
      <c r="A36" s="159" t="s">
        <v>348</v>
      </c>
      <c r="B36" s="162" t="s">
        <v>331</v>
      </c>
      <c r="C36" s="163" t="s">
        <v>380</v>
      </c>
      <c r="D36" s="159"/>
      <c r="E36" s="158">
        <v>0</v>
      </c>
      <c r="F36" s="158">
        <v>0</v>
      </c>
    </row>
    <row r="37" spans="1:6" ht="39" customHeight="1">
      <c r="A37" s="159" t="s">
        <v>381</v>
      </c>
      <c r="B37" s="160" t="s">
        <v>382</v>
      </c>
      <c r="C37" s="161" t="s">
        <v>383</v>
      </c>
      <c r="D37" s="159"/>
      <c r="E37" s="158">
        <v>0</v>
      </c>
      <c r="F37" s="158">
        <v>0</v>
      </c>
    </row>
    <row r="38" spans="1:6" ht="39" customHeight="1">
      <c r="A38" s="159" t="s">
        <v>384</v>
      </c>
      <c r="B38" s="160" t="s">
        <v>385</v>
      </c>
      <c r="C38" s="161" t="s">
        <v>386</v>
      </c>
      <c r="D38" s="159"/>
      <c r="E38" s="158">
        <v>26686447536</v>
      </c>
      <c r="F38" s="158">
        <v>6275483056</v>
      </c>
    </row>
    <row r="39" spans="1:6" ht="39" customHeight="1">
      <c r="A39" s="159" t="s">
        <v>387</v>
      </c>
      <c r="B39" s="160" t="s">
        <v>388</v>
      </c>
      <c r="C39" s="161" t="s">
        <v>389</v>
      </c>
      <c r="D39" s="159"/>
      <c r="E39" s="158">
        <v>0</v>
      </c>
      <c r="F39" s="158">
        <v>0</v>
      </c>
    </row>
    <row r="40" spans="1:6" ht="43.15" customHeight="1">
      <c r="A40" s="159" t="s">
        <v>348</v>
      </c>
      <c r="B40" s="162" t="s">
        <v>390</v>
      </c>
      <c r="C40" s="163" t="s">
        <v>391</v>
      </c>
      <c r="D40" s="159"/>
      <c r="E40" s="158">
        <v>0</v>
      </c>
      <c r="F40" s="158">
        <v>0</v>
      </c>
    </row>
    <row r="41" spans="1:6" ht="46.9" customHeight="1">
      <c r="A41" s="159" t="s">
        <v>392</v>
      </c>
      <c r="B41" s="160" t="s">
        <v>393</v>
      </c>
      <c r="C41" s="161" t="s">
        <v>394</v>
      </c>
      <c r="D41" s="159"/>
      <c r="E41" s="158">
        <v>26686337536</v>
      </c>
      <c r="F41" s="158">
        <v>6275470956</v>
      </c>
    </row>
    <row r="42" spans="1:6" ht="43.9" customHeight="1">
      <c r="A42" s="159" t="s">
        <v>395</v>
      </c>
      <c r="B42" s="160" t="s">
        <v>396</v>
      </c>
      <c r="C42" s="161" t="s">
        <v>397</v>
      </c>
      <c r="D42" s="159"/>
      <c r="E42" s="158">
        <v>0</v>
      </c>
      <c r="F42" s="158">
        <v>0</v>
      </c>
    </row>
    <row r="43" spans="1:6" ht="39" customHeight="1">
      <c r="A43" s="159" t="s">
        <v>348</v>
      </c>
      <c r="B43" s="162" t="s">
        <v>332</v>
      </c>
      <c r="C43" s="163" t="s">
        <v>398</v>
      </c>
      <c r="D43" s="159"/>
      <c r="E43" s="158">
        <v>0</v>
      </c>
      <c r="F43" s="158">
        <v>0</v>
      </c>
    </row>
    <row r="44" spans="1:6" ht="39" customHeight="1">
      <c r="A44" s="159" t="s">
        <v>348</v>
      </c>
      <c r="B44" s="162" t="s">
        <v>333</v>
      </c>
      <c r="C44" s="163" t="s">
        <v>399</v>
      </c>
      <c r="D44" s="159"/>
      <c r="E44" s="158">
        <v>0</v>
      </c>
      <c r="F44" s="158">
        <v>0</v>
      </c>
    </row>
    <row r="45" spans="1:6" ht="46.15" customHeight="1">
      <c r="A45" s="159" t="s">
        <v>348</v>
      </c>
      <c r="B45" s="162" t="s">
        <v>400</v>
      </c>
      <c r="C45" s="163" t="s">
        <v>401</v>
      </c>
      <c r="D45" s="159"/>
      <c r="E45" s="158">
        <v>0</v>
      </c>
      <c r="F45" s="158">
        <v>0</v>
      </c>
    </row>
    <row r="46" spans="1:6" ht="44.65" customHeight="1">
      <c r="A46" s="159" t="s">
        <v>348</v>
      </c>
      <c r="B46" s="162" t="s">
        <v>402</v>
      </c>
      <c r="C46" s="163" t="s">
        <v>403</v>
      </c>
      <c r="D46" s="159"/>
      <c r="E46" s="158">
        <v>0</v>
      </c>
      <c r="F46" s="158">
        <v>0</v>
      </c>
    </row>
    <row r="47" spans="1:6" ht="39" customHeight="1">
      <c r="A47" s="159" t="s">
        <v>348</v>
      </c>
      <c r="B47" s="162" t="s">
        <v>404</v>
      </c>
      <c r="C47" s="163" t="s">
        <v>405</v>
      </c>
      <c r="D47" s="159"/>
      <c r="E47" s="158">
        <v>0</v>
      </c>
      <c r="F47" s="158">
        <v>0</v>
      </c>
    </row>
    <row r="48" spans="1:6" ht="55.9" customHeight="1">
      <c r="A48" s="159" t="s">
        <v>348</v>
      </c>
      <c r="B48" s="160" t="s">
        <v>406</v>
      </c>
      <c r="C48" s="161" t="s">
        <v>407</v>
      </c>
      <c r="D48" s="159"/>
      <c r="E48" s="158">
        <v>0</v>
      </c>
      <c r="F48" s="158">
        <v>0</v>
      </c>
    </row>
    <row r="49" spans="1:7" ht="39" customHeight="1">
      <c r="A49" s="159" t="s">
        <v>408</v>
      </c>
      <c r="B49" s="160" t="s">
        <v>409</v>
      </c>
      <c r="C49" s="161" t="s">
        <v>410</v>
      </c>
      <c r="D49" s="159"/>
      <c r="E49" s="158">
        <v>26686337536</v>
      </c>
      <c r="F49" s="158">
        <v>6275470956</v>
      </c>
    </row>
    <row r="50" spans="1:7" ht="39" customHeight="1">
      <c r="A50" s="159" t="s">
        <v>348</v>
      </c>
      <c r="B50" s="162" t="s">
        <v>411</v>
      </c>
      <c r="C50" s="163" t="s">
        <v>412</v>
      </c>
      <c r="D50" s="159"/>
      <c r="E50" s="158">
        <v>0</v>
      </c>
      <c r="F50" s="158">
        <v>0</v>
      </c>
    </row>
    <row r="51" spans="1:7" ht="39" customHeight="1">
      <c r="A51" s="159" t="s">
        <v>348</v>
      </c>
      <c r="B51" s="162" t="s">
        <v>413</v>
      </c>
      <c r="C51" s="163" t="s">
        <v>414</v>
      </c>
      <c r="D51" s="159"/>
      <c r="E51" s="158">
        <v>19742010958</v>
      </c>
      <c r="F51" s="158">
        <v>5447342740</v>
      </c>
    </row>
    <row r="52" spans="1:7" ht="46.15" customHeight="1">
      <c r="A52" s="159" t="s">
        <v>348</v>
      </c>
      <c r="B52" s="162" t="s">
        <v>415</v>
      </c>
      <c r="C52" s="163" t="s">
        <v>416</v>
      </c>
      <c r="D52" s="159"/>
      <c r="E52" s="158">
        <v>53671233</v>
      </c>
      <c r="F52" s="158">
        <v>114169861</v>
      </c>
    </row>
    <row r="53" spans="1:7" ht="42" customHeight="1">
      <c r="A53" s="159" t="s">
        <v>348</v>
      </c>
      <c r="B53" s="162" t="s">
        <v>417</v>
      </c>
      <c r="C53" s="163" t="s">
        <v>418</v>
      </c>
      <c r="D53" s="159"/>
      <c r="E53" s="158">
        <v>395340275</v>
      </c>
      <c r="F53" s="158">
        <v>3519999</v>
      </c>
    </row>
    <row r="54" spans="1:7" ht="39" customHeight="1">
      <c r="A54" s="159" t="s">
        <v>348</v>
      </c>
      <c r="B54" s="162" t="s">
        <v>419</v>
      </c>
      <c r="C54" s="163" t="s">
        <v>420</v>
      </c>
      <c r="D54" s="159"/>
      <c r="E54" s="158">
        <v>6495315070</v>
      </c>
      <c r="F54" s="158">
        <v>710438356</v>
      </c>
    </row>
    <row r="55" spans="1:7" ht="39" customHeight="1">
      <c r="A55" s="159" t="s">
        <v>348</v>
      </c>
      <c r="B55" s="162" t="s">
        <v>421</v>
      </c>
      <c r="C55" s="163" t="s">
        <v>422</v>
      </c>
      <c r="D55" s="159"/>
      <c r="E55" s="158">
        <v>0</v>
      </c>
      <c r="F55" s="158">
        <v>0</v>
      </c>
    </row>
    <row r="56" spans="1:7" ht="39" customHeight="1">
      <c r="A56" s="159" t="s">
        <v>423</v>
      </c>
      <c r="B56" s="160" t="s">
        <v>424</v>
      </c>
      <c r="C56" s="161" t="s">
        <v>425</v>
      </c>
      <c r="D56" s="159"/>
      <c r="E56" s="158">
        <v>110000</v>
      </c>
      <c r="F56" s="158">
        <v>12100</v>
      </c>
    </row>
    <row r="57" spans="1:7" s="165" customFormat="1" ht="46.9" customHeight="1">
      <c r="A57" s="159" t="s">
        <v>348</v>
      </c>
      <c r="B57" s="162" t="s">
        <v>426</v>
      </c>
      <c r="C57" s="163" t="s">
        <v>427</v>
      </c>
      <c r="D57" s="159"/>
      <c r="E57" s="158">
        <v>0</v>
      </c>
      <c r="F57" s="158">
        <v>0</v>
      </c>
      <c r="G57" s="164"/>
    </row>
    <row r="58" spans="1:7" ht="39" customHeight="1">
      <c r="A58" s="159" t="s">
        <v>348</v>
      </c>
      <c r="B58" s="162" t="s">
        <v>428</v>
      </c>
      <c r="C58" s="163" t="s">
        <v>429</v>
      </c>
      <c r="D58" s="159"/>
      <c r="E58" s="158">
        <v>0</v>
      </c>
      <c r="F58" s="158">
        <v>0</v>
      </c>
    </row>
    <row r="59" spans="1:7" ht="39" customHeight="1">
      <c r="A59" s="159" t="s">
        <v>348</v>
      </c>
      <c r="B59" s="162" t="s">
        <v>430</v>
      </c>
      <c r="C59" s="163" t="s">
        <v>431</v>
      </c>
      <c r="D59" s="159"/>
      <c r="E59" s="158">
        <v>110000</v>
      </c>
      <c r="F59" s="158">
        <v>12100</v>
      </c>
    </row>
    <row r="60" spans="1:7" ht="39" customHeight="1">
      <c r="A60" s="159" t="s">
        <v>432</v>
      </c>
      <c r="B60" s="160" t="s">
        <v>433</v>
      </c>
      <c r="C60" s="161" t="s">
        <v>434</v>
      </c>
      <c r="D60" s="159"/>
      <c r="E60" s="158">
        <v>0</v>
      </c>
      <c r="F60" s="158">
        <v>0</v>
      </c>
    </row>
    <row r="61" spans="1:7" ht="39" customHeight="1">
      <c r="A61" s="60" t="s">
        <v>348</v>
      </c>
      <c r="B61" s="157" t="s">
        <v>334</v>
      </c>
      <c r="C61" s="52" t="s">
        <v>435</v>
      </c>
      <c r="D61" s="79"/>
      <c r="E61" s="79">
        <v>1070582207924</v>
      </c>
      <c r="F61" s="79">
        <v>370401852491</v>
      </c>
    </row>
    <row r="62" spans="1:7" ht="39" customHeight="1">
      <c r="A62" s="60" t="s">
        <v>47</v>
      </c>
      <c r="B62" s="157" t="s">
        <v>436</v>
      </c>
      <c r="C62" s="52" t="s">
        <v>47</v>
      </c>
      <c r="D62" s="79"/>
      <c r="E62" s="79"/>
      <c r="F62" s="79"/>
    </row>
    <row r="63" spans="1:7" ht="39" customHeight="1">
      <c r="A63" s="159" t="s">
        <v>342</v>
      </c>
      <c r="B63" s="160" t="s">
        <v>437</v>
      </c>
      <c r="C63" s="161" t="s">
        <v>438</v>
      </c>
      <c r="D63" s="159"/>
      <c r="E63" s="158">
        <v>0</v>
      </c>
      <c r="F63" s="158">
        <v>0</v>
      </c>
    </row>
    <row r="64" spans="1:7" ht="39" customHeight="1">
      <c r="A64" s="159" t="s">
        <v>348</v>
      </c>
      <c r="B64" s="162" t="s">
        <v>439</v>
      </c>
      <c r="C64" s="163" t="s">
        <v>440</v>
      </c>
      <c r="D64" s="159"/>
      <c r="E64" s="158">
        <v>0</v>
      </c>
      <c r="F64" s="158">
        <v>0</v>
      </c>
    </row>
    <row r="65" spans="1:6" ht="39" customHeight="1">
      <c r="A65" s="159" t="s">
        <v>348</v>
      </c>
      <c r="B65" s="162" t="s">
        <v>441</v>
      </c>
      <c r="C65" s="163" t="s">
        <v>442</v>
      </c>
      <c r="D65" s="159"/>
      <c r="E65" s="158">
        <v>0</v>
      </c>
      <c r="F65" s="158">
        <v>0</v>
      </c>
    </row>
    <row r="66" spans="1:6" ht="39" customHeight="1">
      <c r="A66" s="159" t="s">
        <v>359</v>
      </c>
      <c r="B66" s="160" t="s">
        <v>443</v>
      </c>
      <c r="C66" s="161" t="s">
        <v>444</v>
      </c>
      <c r="D66" s="159"/>
      <c r="E66" s="158">
        <v>18794840000</v>
      </c>
      <c r="F66" s="158">
        <v>0</v>
      </c>
    </row>
    <row r="67" spans="1:6" ht="60" customHeight="1">
      <c r="A67" s="159" t="s">
        <v>384</v>
      </c>
      <c r="B67" s="160" t="s">
        <v>445</v>
      </c>
      <c r="C67" s="161" t="s">
        <v>446</v>
      </c>
      <c r="D67" s="159"/>
      <c r="E67" s="158">
        <v>198646364</v>
      </c>
      <c r="F67" s="158">
        <v>23552296</v>
      </c>
    </row>
    <row r="68" spans="1:6" ht="57.4" customHeight="1">
      <c r="A68" s="159" t="s">
        <v>348</v>
      </c>
      <c r="B68" s="162" t="s">
        <v>447</v>
      </c>
      <c r="C68" s="163" t="s">
        <v>448</v>
      </c>
      <c r="D68" s="159"/>
      <c r="E68" s="158">
        <v>0</v>
      </c>
      <c r="F68" s="158">
        <v>0</v>
      </c>
    </row>
    <row r="69" spans="1:6" ht="60" customHeight="1">
      <c r="A69" s="159" t="s">
        <v>348</v>
      </c>
      <c r="B69" s="162" t="s">
        <v>449</v>
      </c>
      <c r="C69" s="163" t="s">
        <v>450</v>
      </c>
      <c r="D69" s="159"/>
      <c r="E69" s="158">
        <v>198646364</v>
      </c>
      <c r="F69" s="158">
        <v>23552296</v>
      </c>
    </row>
    <row r="70" spans="1:6" ht="39" customHeight="1">
      <c r="A70" s="159" t="s">
        <v>451</v>
      </c>
      <c r="B70" s="160" t="s">
        <v>452</v>
      </c>
      <c r="C70" s="161" t="s">
        <v>453</v>
      </c>
      <c r="D70" s="159"/>
      <c r="E70" s="158">
        <v>212217997</v>
      </c>
      <c r="F70" s="158">
        <v>10671744</v>
      </c>
    </row>
    <row r="71" spans="1:6" ht="39" customHeight="1">
      <c r="A71" s="159" t="s">
        <v>454</v>
      </c>
      <c r="B71" s="160" t="s">
        <v>455</v>
      </c>
      <c r="C71" s="161" t="s">
        <v>456</v>
      </c>
      <c r="D71" s="159"/>
      <c r="E71" s="158">
        <v>0</v>
      </c>
      <c r="F71" s="158">
        <v>0</v>
      </c>
    </row>
    <row r="72" spans="1:6" ht="39" customHeight="1">
      <c r="A72" s="159" t="s">
        <v>457</v>
      </c>
      <c r="B72" s="160" t="s">
        <v>458</v>
      </c>
      <c r="C72" s="161" t="s">
        <v>459</v>
      </c>
      <c r="D72" s="159"/>
      <c r="E72" s="158">
        <v>38816264</v>
      </c>
      <c r="F72" s="158">
        <v>58114545</v>
      </c>
    </row>
    <row r="73" spans="1:6" ht="39" customHeight="1">
      <c r="A73" s="159" t="s">
        <v>348</v>
      </c>
      <c r="B73" s="162" t="s">
        <v>337</v>
      </c>
      <c r="C73" s="163" t="s">
        <v>460</v>
      </c>
      <c r="D73" s="159"/>
      <c r="E73" s="158">
        <v>3758968</v>
      </c>
      <c r="F73" s="158">
        <v>0</v>
      </c>
    </row>
    <row r="74" spans="1:6" ht="39" customHeight="1">
      <c r="A74" s="159" t="s">
        <v>348</v>
      </c>
      <c r="B74" s="162" t="s">
        <v>461</v>
      </c>
      <c r="C74" s="163" t="s">
        <v>462</v>
      </c>
      <c r="D74" s="159"/>
      <c r="E74" s="158">
        <v>3758968</v>
      </c>
      <c r="F74" s="158">
        <v>0</v>
      </c>
    </row>
    <row r="75" spans="1:6" ht="39" customHeight="1">
      <c r="A75" s="159" t="s">
        <v>348</v>
      </c>
      <c r="B75" s="162" t="s">
        <v>463</v>
      </c>
      <c r="C75" s="163" t="s">
        <v>464</v>
      </c>
      <c r="D75" s="159"/>
      <c r="E75" s="158">
        <v>0</v>
      </c>
      <c r="F75" s="158">
        <v>0</v>
      </c>
    </row>
    <row r="76" spans="1:6" ht="39" customHeight="1">
      <c r="A76" s="159" t="s">
        <v>348</v>
      </c>
      <c r="B76" s="162" t="s">
        <v>465</v>
      </c>
      <c r="C76" s="163" t="s">
        <v>466</v>
      </c>
      <c r="D76" s="159"/>
      <c r="E76" s="158">
        <v>24199232</v>
      </c>
      <c r="F76" s="158">
        <v>48398464</v>
      </c>
    </row>
    <row r="77" spans="1:6" ht="39" customHeight="1">
      <c r="A77" s="159" t="s">
        <v>348</v>
      </c>
      <c r="B77" s="162" t="s">
        <v>467</v>
      </c>
      <c r="C77" s="163" t="s">
        <v>468</v>
      </c>
      <c r="D77" s="159"/>
      <c r="E77" s="158">
        <v>0</v>
      </c>
      <c r="F77" s="158">
        <v>0</v>
      </c>
    </row>
    <row r="78" spans="1:6" ht="39" customHeight="1">
      <c r="A78" s="159" t="s">
        <v>348</v>
      </c>
      <c r="B78" s="162" t="s">
        <v>469</v>
      </c>
      <c r="C78" s="163" t="s">
        <v>470</v>
      </c>
      <c r="D78" s="159"/>
      <c r="E78" s="158">
        <v>0</v>
      </c>
      <c r="F78" s="158">
        <v>0</v>
      </c>
    </row>
    <row r="79" spans="1:6" ht="45.4" customHeight="1">
      <c r="A79" s="159" t="s">
        <v>348</v>
      </c>
      <c r="B79" s="162" t="s">
        <v>471</v>
      </c>
      <c r="C79" s="163" t="s">
        <v>472</v>
      </c>
      <c r="D79" s="159"/>
      <c r="E79" s="158">
        <v>10858064</v>
      </c>
      <c r="F79" s="158">
        <v>9716081</v>
      </c>
    </row>
    <row r="80" spans="1:6" ht="48.4" customHeight="1">
      <c r="A80" s="159" t="s">
        <v>348</v>
      </c>
      <c r="B80" s="162" t="s">
        <v>473</v>
      </c>
      <c r="C80" s="163" t="s">
        <v>474</v>
      </c>
      <c r="D80" s="159"/>
      <c r="E80" s="158">
        <v>0</v>
      </c>
      <c r="F80" s="158">
        <v>0</v>
      </c>
    </row>
    <row r="81" spans="1:6" ht="56.65" customHeight="1">
      <c r="A81" s="159" t="s">
        <v>348</v>
      </c>
      <c r="B81" s="162" t="s">
        <v>475</v>
      </c>
      <c r="C81" s="163" t="s">
        <v>476</v>
      </c>
      <c r="D81" s="159"/>
      <c r="E81" s="158">
        <v>0</v>
      </c>
      <c r="F81" s="158">
        <v>0</v>
      </c>
    </row>
    <row r="82" spans="1:6" ht="39" customHeight="1">
      <c r="A82" s="159" t="s">
        <v>477</v>
      </c>
      <c r="B82" s="160" t="s">
        <v>478</v>
      </c>
      <c r="C82" s="161" t="s">
        <v>479</v>
      </c>
      <c r="D82" s="159"/>
      <c r="E82" s="158">
        <v>28138885128</v>
      </c>
      <c r="F82" s="158">
        <v>8533790040</v>
      </c>
    </row>
    <row r="83" spans="1:6" ht="39" customHeight="1">
      <c r="A83" s="159" t="s">
        <v>348</v>
      </c>
      <c r="B83" s="162" t="s">
        <v>335</v>
      </c>
      <c r="C83" s="163" t="s">
        <v>480</v>
      </c>
      <c r="D83" s="159"/>
      <c r="E83" s="158">
        <v>28138885128</v>
      </c>
      <c r="F83" s="158">
        <v>8533790040</v>
      </c>
    </row>
    <row r="84" spans="1:6" ht="45" customHeight="1">
      <c r="A84" s="159" t="s">
        <v>348</v>
      </c>
      <c r="B84" s="162" t="s">
        <v>336</v>
      </c>
      <c r="C84" s="163" t="s">
        <v>481</v>
      </c>
      <c r="D84" s="159"/>
      <c r="E84" s="158">
        <v>0</v>
      </c>
      <c r="F84" s="158">
        <v>0</v>
      </c>
    </row>
    <row r="85" spans="1:6" ht="39" customHeight="1">
      <c r="A85" s="159" t="s">
        <v>482</v>
      </c>
      <c r="B85" s="160" t="s">
        <v>483</v>
      </c>
      <c r="C85" s="161" t="s">
        <v>484</v>
      </c>
      <c r="D85" s="159"/>
      <c r="E85" s="158">
        <v>50120632</v>
      </c>
      <c r="F85" s="158">
        <v>0</v>
      </c>
    </row>
    <row r="86" spans="1:6" ht="39" customHeight="1">
      <c r="A86" s="159" t="s">
        <v>485</v>
      </c>
      <c r="B86" s="160" t="s">
        <v>486</v>
      </c>
      <c r="C86" s="161" t="s">
        <v>487</v>
      </c>
      <c r="D86" s="159"/>
      <c r="E86" s="158">
        <v>1031315411</v>
      </c>
      <c r="F86" s="158">
        <v>413195766</v>
      </c>
    </row>
    <row r="87" spans="1:6" ht="39" customHeight="1">
      <c r="A87" s="159" t="s">
        <v>348</v>
      </c>
      <c r="B87" s="162" t="s">
        <v>488</v>
      </c>
      <c r="C87" s="163" t="s">
        <v>489</v>
      </c>
      <c r="D87" s="159"/>
      <c r="E87" s="158">
        <v>914114480</v>
      </c>
      <c r="F87" s="158">
        <v>332335935</v>
      </c>
    </row>
    <row r="88" spans="1:6" ht="39" customHeight="1">
      <c r="A88" s="159" t="s">
        <v>348</v>
      </c>
      <c r="B88" s="162" t="s">
        <v>490</v>
      </c>
      <c r="C88" s="163" t="s">
        <v>491</v>
      </c>
      <c r="D88" s="159"/>
      <c r="E88" s="158">
        <v>38838101</v>
      </c>
      <c r="F88" s="158">
        <v>14447331</v>
      </c>
    </row>
    <row r="89" spans="1:6" ht="39" customHeight="1">
      <c r="A89" s="159" t="s">
        <v>348</v>
      </c>
      <c r="B89" s="162" t="s">
        <v>50</v>
      </c>
      <c r="C89" s="163" t="s">
        <v>492</v>
      </c>
      <c r="D89" s="159"/>
      <c r="E89" s="158">
        <v>38088101</v>
      </c>
      <c r="F89" s="158">
        <v>13847331</v>
      </c>
    </row>
    <row r="90" spans="1:6" ht="39" customHeight="1">
      <c r="A90" s="159" t="s">
        <v>348</v>
      </c>
      <c r="B90" s="162" t="s">
        <v>62</v>
      </c>
      <c r="C90" s="163" t="s">
        <v>493</v>
      </c>
      <c r="D90" s="159"/>
      <c r="E90" s="158">
        <v>750000</v>
      </c>
      <c r="F90" s="158">
        <v>600000</v>
      </c>
    </row>
    <row r="91" spans="1:6" ht="57" customHeight="1">
      <c r="A91" s="159" t="s">
        <v>348</v>
      </c>
      <c r="B91" s="162" t="s">
        <v>279</v>
      </c>
      <c r="C91" s="163" t="s">
        <v>494</v>
      </c>
      <c r="D91" s="159"/>
      <c r="E91" s="158">
        <v>0</v>
      </c>
      <c r="F91" s="158">
        <v>0</v>
      </c>
    </row>
    <row r="92" spans="1:6" ht="39" customHeight="1">
      <c r="A92" s="159" t="s">
        <v>348</v>
      </c>
      <c r="B92" s="162" t="s">
        <v>495</v>
      </c>
      <c r="C92" s="163" t="s">
        <v>496</v>
      </c>
      <c r="D92" s="159"/>
      <c r="E92" s="158">
        <v>40024682</v>
      </c>
      <c r="F92" s="158">
        <v>37262500</v>
      </c>
    </row>
    <row r="93" spans="1:6" ht="39" customHeight="1">
      <c r="A93" s="159" t="s">
        <v>348</v>
      </c>
      <c r="B93" s="162" t="s">
        <v>497</v>
      </c>
      <c r="C93" s="163" t="s">
        <v>498</v>
      </c>
      <c r="D93" s="159"/>
      <c r="E93" s="158">
        <v>25138148</v>
      </c>
      <c r="F93" s="158">
        <v>18150000</v>
      </c>
    </row>
    <row r="94" spans="1:6" ht="39" customHeight="1">
      <c r="A94" s="159" t="s">
        <v>348</v>
      </c>
      <c r="B94" s="162" t="s">
        <v>499</v>
      </c>
      <c r="C94" s="163" t="s">
        <v>500</v>
      </c>
      <c r="D94" s="159"/>
      <c r="E94" s="158">
        <v>13200000</v>
      </c>
      <c r="F94" s="158">
        <v>11000000</v>
      </c>
    </row>
    <row r="95" spans="1:6" ht="57.4" customHeight="1">
      <c r="A95" s="159" t="s">
        <v>348</v>
      </c>
      <c r="B95" s="162" t="s">
        <v>501</v>
      </c>
      <c r="C95" s="163" t="s">
        <v>502</v>
      </c>
      <c r="D95" s="159"/>
      <c r="E95" s="158">
        <v>0</v>
      </c>
      <c r="F95" s="158">
        <v>0</v>
      </c>
    </row>
    <row r="96" spans="1:6" ht="47.65" customHeight="1">
      <c r="A96" s="159" t="s">
        <v>348</v>
      </c>
      <c r="B96" s="162" t="s">
        <v>503</v>
      </c>
      <c r="C96" s="163" t="s">
        <v>504</v>
      </c>
      <c r="D96" s="159"/>
      <c r="E96" s="158">
        <v>0</v>
      </c>
      <c r="F96" s="158">
        <v>0</v>
      </c>
    </row>
    <row r="97" spans="1:6" ht="39" customHeight="1">
      <c r="A97" s="159" t="s">
        <v>115</v>
      </c>
      <c r="B97" s="160" t="s">
        <v>505</v>
      </c>
      <c r="C97" s="161" t="s">
        <v>506</v>
      </c>
      <c r="D97" s="159"/>
      <c r="E97" s="158">
        <v>5000000</v>
      </c>
      <c r="F97" s="158">
        <v>5000000</v>
      </c>
    </row>
    <row r="98" spans="1:6" ht="39" customHeight="1">
      <c r="A98" s="159" t="s">
        <v>348</v>
      </c>
      <c r="B98" s="162" t="s">
        <v>339</v>
      </c>
      <c r="C98" s="163" t="s">
        <v>507</v>
      </c>
      <c r="D98" s="159"/>
      <c r="E98" s="158">
        <v>0</v>
      </c>
      <c r="F98" s="158">
        <v>0</v>
      </c>
    </row>
    <row r="99" spans="1:6" ht="45.4" customHeight="1">
      <c r="A99" s="159" t="s">
        <v>348</v>
      </c>
      <c r="B99" s="162" t="s">
        <v>340</v>
      </c>
      <c r="C99" s="163" t="s">
        <v>508</v>
      </c>
      <c r="D99" s="159"/>
      <c r="E99" s="158">
        <v>0</v>
      </c>
      <c r="F99" s="158">
        <v>0</v>
      </c>
    </row>
    <row r="100" spans="1:6" ht="39" customHeight="1">
      <c r="A100" s="159" t="s">
        <v>348</v>
      </c>
      <c r="B100" s="162" t="s">
        <v>509</v>
      </c>
      <c r="C100" s="163" t="s">
        <v>510</v>
      </c>
      <c r="D100" s="159"/>
      <c r="E100" s="158">
        <v>5000000</v>
      </c>
      <c r="F100" s="158">
        <v>5000000</v>
      </c>
    </row>
    <row r="101" spans="1:6" ht="39" customHeight="1">
      <c r="A101" s="159" t="s">
        <v>348</v>
      </c>
      <c r="B101" s="162" t="s">
        <v>511</v>
      </c>
      <c r="C101" s="163" t="s">
        <v>512</v>
      </c>
      <c r="D101" s="159"/>
      <c r="E101" s="158">
        <v>0</v>
      </c>
      <c r="F101" s="158">
        <v>0</v>
      </c>
    </row>
    <row r="102" spans="1:6" ht="39" customHeight="1">
      <c r="A102" s="159" t="s">
        <v>348</v>
      </c>
      <c r="B102" s="162" t="s">
        <v>338</v>
      </c>
      <c r="C102" s="163" t="s">
        <v>513</v>
      </c>
      <c r="D102" s="159"/>
      <c r="E102" s="158">
        <v>0</v>
      </c>
      <c r="F102" s="158">
        <v>0</v>
      </c>
    </row>
    <row r="103" spans="1:6" ht="39" customHeight="1">
      <c r="A103" s="60" t="s">
        <v>348</v>
      </c>
      <c r="B103" s="157" t="s">
        <v>514</v>
      </c>
      <c r="C103" s="52" t="s">
        <v>515</v>
      </c>
      <c r="D103" s="79"/>
      <c r="E103" s="79">
        <v>48469841796</v>
      </c>
      <c r="F103" s="79">
        <v>9044324391</v>
      </c>
    </row>
    <row r="104" spans="1:6" ht="59.65" customHeight="1">
      <c r="A104" s="60" t="s">
        <v>53</v>
      </c>
      <c r="B104" s="157" t="s">
        <v>516</v>
      </c>
      <c r="C104" s="52" t="s">
        <v>517</v>
      </c>
      <c r="D104" s="79"/>
      <c r="E104" s="79">
        <v>1022112366128</v>
      </c>
      <c r="F104" s="79">
        <v>361357528100</v>
      </c>
    </row>
    <row r="105" spans="1:6" ht="39" customHeight="1">
      <c r="A105" s="159" t="s">
        <v>342</v>
      </c>
      <c r="B105" s="160" t="s">
        <v>518</v>
      </c>
      <c r="C105" s="161" t="s">
        <v>519</v>
      </c>
      <c r="D105" s="159"/>
      <c r="E105" s="158">
        <v>1010259593200</v>
      </c>
      <c r="F105" s="158">
        <v>362616543400</v>
      </c>
    </row>
    <row r="106" spans="1:6" ht="39" customHeight="1">
      <c r="A106" s="159" t="s">
        <v>345</v>
      </c>
      <c r="B106" s="160" t="s">
        <v>520</v>
      </c>
      <c r="C106" s="161" t="s">
        <v>521</v>
      </c>
      <c r="D106" s="159"/>
      <c r="E106" s="158">
        <v>1442420089000</v>
      </c>
      <c r="F106" s="158">
        <v>486583297500</v>
      </c>
    </row>
    <row r="107" spans="1:6" ht="39" customHeight="1">
      <c r="A107" s="159" t="s">
        <v>356</v>
      </c>
      <c r="B107" s="160" t="s">
        <v>522</v>
      </c>
      <c r="C107" s="161" t="s">
        <v>523</v>
      </c>
      <c r="D107" s="159"/>
      <c r="E107" s="158">
        <v>-432160495800</v>
      </c>
      <c r="F107" s="158">
        <v>-123966754100</v>
      </c>
    </row>
    <row r="108" spans="1:6" ht="39" customHeight="1">
      <c r="A108" s="159" t="s">
        <v>359</v>
      </c>
      <c r="B108" s="160" t="s">
        <v>524</v>
      </c>
      <c r="C108" s="161" t="s">
        <v>525</v>
      </c>
      <c r="D108" s="159"/>
      <c r="E108" s="158">
        <v>-14041235000</v>
      </c>
      <c r="F108" s="158">
        <v>-17544889962</v>
      </c>
    </row>
    <row r="109" spans="1:6" ht="39" customHeight="1">
      <c r="A109" s="159" t="s">
        <v>384</v>
      </c>
      <c r="B109" s="160" t="s">
        <v>526</v>
      </c>
      <c r="C109" s="161" t="s">
        <v>527</v>
      </c>
      <c r="D109" s="159"/>
      <c r="E109" s="158">
        <v>25894007928</v>
      </c>
      <c r="F109" s="158">
        <v>16285874662</v>
      </c>
    </row>
    <row r="110" spans="1:6" ht="39" customHeight="1">
      <c r="A110" s="159" t="s">
        <v>387</v>
      </c>
      <c r="B110" s="160" t="s">
        <v>528</v>
      </c>
      <c r="C110" s="161" t="s">
        <v>529</v>
      </c>
      <c r="D110" s="159"/>
      <c r="E110" s="158">
        <v>16285874662</v>
      </c>
      <c r="F110" s="158">
        <v>11658621203</v>
      </c>
    </row>
    <row r="111" spans="1:6" ht="39" customHeight="1">
      <c r="A111" s="159" t="s">
        <v>392</v>
      </c>
      <c r="B111" s="160" t="s">
        <v>530</v>
      </c>
      <c r="C111" s="161" t="s">
        <v>531</v>
      </c>
      <c r="D111" s="159"/>
      <c r="E111" s="158">
        <v>9608133266</v>
      </c>
      <c r="F111" s="158">
        <v>4627253459</v>
      </c>
    </row>
    <row r="112" spans="1:6" ht="47.65" customHeight="1">
      <c r="A112" s="60" t="s">
        <v>54</v>
      </c>
      <c r="B112" s="157" t="s">
        <v>532</v>
      </c>
      <c r="C112" s="52" t="s">
        <v>533</v>
      </c>
      <c r="D112" s="79"/>
      <c r="E112" s="169">
        <v>10117.32</v>
      </c>
      <c r="F112" s="169">
        <v>9965.27</v>
      </c>
    </row>
    <row r="113" spans="1:7" ht="45.4" customHeight="1">
      <c r="A113" s="60" t="s">
        <v>55</v>
      </c>
      <c r="B113" s="157" t="s">
        <v>534</v>
      </c>
      <c r="C113" s="52" t="s">
        <v>535</v>
      </c>
      <c r="D113" s="79"/>
      <c r="E113" s="79">
        <v>0</v>
      </c>
      <c r="F113" s="79">
        <v>0</v>
      </c>
    </row>
    <row r="114" spans="1:7" ht="54" customHeight="1">
      <c r="A114" s="159" t="s">
        <v>342</v>
      </c>
      <c r="B114" s="160" t="s">
        <v>536</v>
      </c>
      <c r="C114" s="161" t="s">
        <v>537</v>
      </c>
      <c r="D114" s="159"/>
      <c r="E114" s="158">
        <v>0</v>
      </c>
      <c r="F114" s="158">
        <v>0</v>
      </c>
    </row>
    <row r="115" spans="1:7" ht="51.6" customHeight="1">
      <c r="A115" s="159" t="s">
        <v>359</v>
      </c>
      <c r="B115" s="160" t="s">
        <v>538</v>
      </c>
      <c r="C115" s="161" t="s">
        <v>539</v>
      </c>
      <c r="D115" s="159"/>
      <c r="E115" s="158">
        <v>0</v>
      </c>
      <c r="F115" s="158">
        <v>0</v>
      </c>
    </row>
    <row r="116" spans="1:7" ht="46.5" customHeight="1">
      <c r="A116" s="60" t="s">
        <v>56</v>
      </c>
      <c r="B116" s="157" t="s">
        <v>540</v>
      </c>
      <c r="C116" s="52" t="s">
        <v>56</v>
      </c>
      <c r="D116" s="79"/>
      <c r="E116" s="79"/>
      <c r="F116" s="79"/>
    </row>
    <row r="117" spans="1:7" ht="39" customHeight="1">
      <c r="A117" s="159" t="s">
        <v>342</v>
      </c>
      <c r="B117" s="160" t="s">
        <v>541</v>
      </c>
      <c r="C117" s="161" t="s">
        <v>542</v>
      </c>
      <c r="D117" s="159"/>
      <c r="E117" s="158">
        <v>0</v>
      </c>
      <c r="F117" s="158">
        <v>0</v>
      </c>
    </row>
    <row r="118" spans="1:7" ht="39" customHeight="1">
      <c r="A118" s="159" t="s">
        <v>359</v>
      </c>
      <c r="B118" s="160" t="s">
        <v>543</v>
      </c>
      <c r="C118" s="161" t="s">
        <v>544</v>
      </c>
      <c r="D118" s="159"/>
      <c r="E118" s="158">
        <v>0</v>
      </c>
      <c r="F118" s="158">
        <v>0</v>
      </c>
    </row>
    <row r="119" spans="1:7" ht="39" customHeight="1">
      <c r="A119" s="159" t="s">
        <v>384</v>
      </c>
      <c r="B119" s="160" t="s">
        <v>545</v>
      </c>
      <c r="C119" s="161" t="s">
        <v>546</v>
      </c>
      <c r="D119" s="159"/>
      <c r="E119" s="158">
        <v>0</v>
      </c>
      <c r="F119" s="158">
        <v>0</v>
      </c>
    </row>
    <row r="120" spans="1:7" ht="39" customHeight="1">
      <c r="A120" s="166" t="s">
        <v>451</v>
      </c>
      <c r="B120" s="167" t="s">
        <v>547</v>
      </c>
      <c r="C120" s="161" t="s">
        <v>548</v>
      </c>
      <c r="D120" s="166"/>
      <c r="E120" s="168">
        <v>101025959.31999999</v>
      </c>
      <c r="F120" s="168">
        <v>36261654.340000004</v>
      </c>
    </row>
    <row r="121" spans="1:7" s="117" customFormat="1">
      <c r="A121" s="58"/>
      <c r="B121" s="58"/>
      <c r="C121" s="58"/>
      <c r="D121" s="58"/>
      <c r="E121" s="58"/>
      <c r="F121" s="58"/>
      <c r="G121" s="44"/>
    </row>
    <row r="123" spans="1:7" ht="16.899999999999999" customHeight="1">
      <c r="A123" s="251" t="s">
        <v>184</v>
      </c>
      <c r="B123" s="251"/>
      <c r="C123" s="264" t="s">
        <v>834</v>
      </c>
      <c r="D123" s="264"/>
      <c r="E123" s="264"/>
      <c r="F123" s="264"/>
    </row>
    <row r="136" spans="1:6">
      <c r="A136" s="263" t="s">
        <v>829</v>
      </c>
      <c r="B136" s="263"/>
      <c r="C136" s="263"/>
      <c r="D136" s="263"/>
      <c r="E136" s="263"/>
      <c r="F136" s="263"/>
    </row>
    <row r="137" spans="1:6" ht="16.899999999999999" customHeight="1">
      <c r="A137" s="262" t="s">
        <v>827</v>
      </c>
      <c r="B137" s="262"/>
      <c r="C137" s="262"/>
      <c r="D137" s="262"/>
      <c r="E137" s="262"/>
      <c r="F137" s="262"/>
    </row>
    <row r="138" spans="1:6" ht="16.899999999999999" customHeight="1">
      <c r="A138" s="263" t="s">
        <v>828</v>
      </c>
      <c r="B138" s="263"/>
      <c r="C138" s="263"/>
      <c r="D138" s="263"/>
      <c r="E138" s="263"/>
      <c r="F138" s="263"/>
    </row>
    <row r="140" spans="1:6">
      <c r="A140" s="260"/>
      <c r="B140" s="260"/>
      <c r="C140" s="260"/>
      <c r="D140" s="260"/>
      <c r="E140" s="260"/>
      <c r="F140" s="218"/>
    </row>
    <row r="141" spans="1:6">
      <c r="A141" s="261"/>
      <c r="B141" s="261"/>
      <c r="C141" s="261"/>
      <c r="D141" s="261"/>
      <c r="E141" s="261"/>
      <c r="F141" s="219"/>
    </row>
  </sheetData>
  <mergeCells count="21">
    <mergeCell ref="A123:B123"/>
    <mergeCell ref="C123:F123"/>
    <mergeCell ref="A136:F136"/>
    <mergeCell ref="C14:F14"/>
    <mergeCell ref="A1:F1"/>
    <mergeCell ref="A2:F2"/>
    <mergeCell ref="A3:F3"/>
    <mergeCell ref="A5:F5"/>
    <mergeCell ref="C7:F7"/>
    <mergeCell ref="C8:F8"/>
    <mergeCell ref="C9:F9"/>
    <mergeCell ref="C10:F10"/>
    <mergeCell ref="C11:F11"/>
    <mergeCell ref="C12:F12"/>
    <mergeCell ref="C13:F13"/>
    <mergeCell ref="A140:B140"/>
    <mergeCell ref="C140:E140"/>
    <mergeCell ref="A141:B141"/>
    <mergeCell ref="C141:E141"/>
    <mergeCell ref="A137:F137"/>
    <mergeCell ref="A138:F138"/>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2"/>
  <sheetViews>
    <sheetView view="pageBreakPreview" zoomScale="94" zoomScaleNormal="100" zoomScaleSheetLayoutView="94" workbookViewId="0">
      <selection activeCell="F21" sqref="F21"/>
    </sheetView>
  </sheetViews>
  <sheetFormatPr defaultColWidth="8.7109375" defaultRowHeight="12.75"/>
  <cols>
    <col min="1" max="1" width="44.7109375" style="58" customWidth="1"/>
    <col min="2" max="2" width="9.42578125" style="58" customWidth="1"/>
    <col min="3" max="3" width="11" style="58" customWidth="1"/>
    <col min="4" max="4" width="26" style="58" customWidth="1"/>
    <col min="5" max="5" width="26.7109375" style="58" customWidth="1"/>
    <col min="6" max="6" width="24.42578125" style="103" customWidth="1"/>
    <col min="7" max="16384" width="8.7109375" style="103"/>
  </cols>
  <sheetData>
    <row r="1" spans="1:6" ht="30.4" customHeight="1">
      <c r="A1" s="246" t="s">
        <v>227</v>
      </c>
      <c r="B1" s="246"/>
      <c r="C1" s="246"/>
      <c r="D1" s="246"/>
      <c r="E1" s="246"/>
      <c r="F1" s="111"/>
    </row>
    <row r="2" spans="1:6" ht="24.4" customHeight="1">
      <c r="A2" s="247" t="s">
        <v>228</v>
      </c>
      <c r="B2" s="247"/>
      <c r="C2" s="247"/>
      <c r="D2" s="247"/>
      <c r="E2" s="247"/>
      <c r="F2" s="112"/>
    </row>
    <row r="3" spans="1:6" ht="39.4" customHeight="1">
      <c r="A3" s="248" t="s">
        <v>189</v>
      </c>
      <c r="B3" s="248"/>
      <c r="C3" s="248"/>
      <c r="D3" s="248"/>
      <c r="E3" s="248"/>
      <c r="F3" s="143"/>
    </row>
    <row r="4" spans="1:6" ht="16.899999999999999" customHeight="1">
      <c r="A4" s="249" t="str">
        <f>TONGQUAN!C2</f>
        <v>Quý III năm 2022
/ Quarter III 2022</v>
      </c>
      <c r="B4" s="249"/>
      <c r="C4" s="249"/>
      <c r="D4" s="249"/>
      <c r="E4" s="249"/>
      <c r="F4" s="144"/>
    </row>
    <row r="5" spans="1:6" ht="0.4" customHeight="1"/>
    <row r="7" spans="1:6" ht="16.899999999999999" customHeight="1">
      <c r="A7" s="102" t="s">
        <v>2</v>
      </c>
      <c r="B7" s="250" t="str">
        <f>TONGQUAN!D5</f>
        <v>Công ty Cổ phần Quản lý Quỹ Đầu tư Dragon Capital Việt Nam</v>
      </c>
      <c r="C7" s="250"/>
      <c r="D7" s="250"/>
      <c r="E7" s="250"/>
    </row>
    <row r="8" spans="1:6" ht="16.899999999999999" customHeight="1">
      <c r="A8" s="58" t="s">
        <v>40</v>
      </c>
      <c r="B8" s="245" t="str">
        <f>TONGQUAN!D6</f>
        <v>Dragon Capital Vietfund Management Joint Stock Company</v>
      </c>
      <c r="C8" s="245"/>
      <c r="D8" s="245"/>
      <c r="E8" s="245"/>
    </row>
    <row r="9" spans="1:6" ht="16.899999999999999" customHeight="1">
      <c r="A9" s="102" t="s">
        <v>3</v>
      </c>
      <c r="B9" s="250" t="str">
        <f>TONGQUAN!D7</f>
        <v>Ngân hàng TNHH Một thành viên Standard Chartered (Việt Nam)</v>
      </c>
      <c r="C9" s="250"/>
      <c r="D9" s="250"/>
      <c r="E9" s="250"/>
    </row>
    <row r="10" spans="1:6" ht="16.899999999999999" customHeight="1">
      <c r="A10" s="58" t="s">
        <v>4</v>
      </c>
      <c r="B10" s="245" t="str">
        <f>TONGQUAN!D8</f>
        <v>Standard Chartered Bank (Vietnam) Limited</v>
      </c>
      <c r="C10" s="245"/>
      <c r="D10" s="245"/>
      <c r="E10" s="245"/>
    </row>
    <row r="11" spans="1:6" ht="16.899999999999999" customHeight="1">
      <c r="A11" s="102" t="s">
        <v>5</v>
      </c>
      <c r="B11" s="250" t="str">
        <f>TONGQUAN!D9</f>
        <v>Quỹ Đầu tư Trái phiếu Gia tăng Thu nhập Cố định DC</v>
      </c>
      <c r="C11" s="250"/>
      <c r="D11" s="250"/>
      <c r="E11" s="250"/>
    </row>
    <row r="12" spans="1:6" ht="16.899999999999999" customHeight="1">
      <c r="A12" s="58" t="s">
        <v>6</v>
      </c>
      <c r="B12" s="245" t="str">
        <f>TONGQUAN!D10</f>
        <v>DC Income Plus Bond Fund(VFMVFC)</v>
      </c>
      <c r="C12" s="245"/>
      <c r="D12" s="245"/>
      <c r="E12" s="245"/>
    </row>
    <row r="13" spans="1:6" ht="16.899999999999999" customHeight="1">
      <c r="A13" s="102" t="s">
        <v>7</v>
      </c>
      <c r="B13" s="250" t="str">
        <f>TONGQUAN!D11</f>
        <v>Ngày 05 tháng 10 năm 2022</v>
      </c>
      <c r="C13" s="250"/>
      <c r="D13" s="250"/>
      <c r="E13" s="250"/>
    </row>
    <row r="14" spans="1:6" ht="16.899999999999999" customHeight="1">
      <c r="A14" s="58" t="s">
        <v>8</v>
      </c>
      <c r="B14" s="245" t="str">
        <f>TONGQUAN!D12</f>
        <v>05 Oct 2022</v>
      </c>
      <c r="C14" s="245"/>
      <c r="D14" s="245"/>
      <c r="E14" s="245"/>
    </row>
    <row r="17" spans="1:7" ht="45.4" customHeight="1">
      <c r="A17" s="104" t="s">
        <v>100</v>
      </c>
      <c r="B17" s="104" t="s">
        <v>101</v>
      </c>
      <c r="C17" s="104" t="s">
        <v>102</v>
      </c>
      <c r="D17" s="104" t="str">
        <f>BCKetQuaHoatDong_06028!D18</f>
        <v>Quý III năm 2022
Quarter III 2022</v>
      </c>
      <c r="E17" s="104" t="str">
        <f>BCKetQuaHoatDong_06028!E18</f>
        <v>Quý II năm 2022
Quarter II 2022</v>
      </c>
    </row>
    <row r="18" spans="1:7" s="117" customFormat="1" ht="42" customHeight="1">
      <c r="A18" s="145" t="s">
        <v>190</v>
      </c>
      <c r="B18" s="146" t="s">
        <v>41</v>
      </c>
      <c r="C18" s="147"/>
      <c r="D18" s="228"/>
      <c r="E18" s="228"/>
    </row>
    <row r="19" spans="1:7" ht="42" customHeight="1">
      <c r="A19" s="148" t="s">
        <v>264</v>
      </c>
      <c r="B19" s="149" t="s">
        <v>104</v>
      </c>
      <c r="C19" s="150"/>
      <c r="D19" s="228">
        <v>9608133266</v>
      </c>
      <c r="E19" s="228">
        <v>4627253459</v>
      </c>
      <c r="G19" s="117"/>
    </row>
    <row r="20" spans="1:7" ht="63.4" customHeight="1">
      <c r="A20" s="148" t="s">
        <v>191</v>
      </c>
      <c r="B20" s="149" t="s">
        <v>105</v>
      </c>
      <c r="C20" s="150"/>
      <c r="D20" s="228">
        <v>848286283</v>
      </c>
      <c r="E20" s="228">
        <v>66583055</v>
      </c>
      <c r="G20" s="117"/>
    </row>
    <row r="21" spans="1:7" ht="58.9" customHeight="1">
      <c r="A21" s="148" t="s">
        <v>308</v>
      </c>
      <c r="B21" s="149" t="s">
        <v>106</v>
      </c>
      <c r="C21" s="150"/>
      <c r="D21" s="120">
        <v>872485515</v>
      </c>
      <c r="E21" s="120">
        <v>85239386</v>
      </c>
      <c r="G21" s="117"/>
    </row>
    <row r="22" spans="1:7" ht="42" customHeight="1">
      <c r="A22" s="148" t="s">
        <v>309</v>
      </c>
      <c r="B22" s="149" t="s">
        <v>109</v>
      </c>
      <c r="C22" s="150"/>
      <c r="D22" s="120">
        <v>-24199232</v>
      </c>
      <c r="E22" s="120">
        <v>-18656331</v>
      </c>
      <c r="G22" s="117"/>
    </row>
    <row r="23" spans="1:7" ht="57.4" customHeight="1">
      <c r="A23" s="148" t="s">
        <v>192</v>
      </c>
      <c r="B23" s="149" t="s">
        <v>110</v>
      </c>
      <c r="C23" s="150"/>
      <c r="D23" s="228">
        <v>10456419549</v>
      </c>
      <c r="E23" s="228">
        <v>4693836514</v>
      </c>
      <c r="G23" s="117"/>
    </row>
    <row r="24" spans="1:7" ht="42" customHeight="1">
      <c r="A24" s="148" t="s">
        <v>310</v>
      </c>
      <c r="B24" s="149" t="s">
        <v>128</v>
      </c>
      <c r="C24" s="150"/>
      <c r="D24" s="120">
        <v>-602298029548</v>
      </c>
      <c r="E24" s="120">
        <v>-34954774026</v>
      </c>
      <c r="G24" s="117"/>
    </row>
    <row r="25" spans="1:7" ht="58.9" customHeight="1">
      <c r="A25" s="148" t="s">
        <v>193</v>
      </c>
      <c r="B25" s="149" t="s">
        <v>111</v>
      </c>
      <c r="C25" s="150"/>
      <c r="D25" s="120">
        <v>0</v>
      </c>
      <c r="E25" s="120">
        <v>0</v>
      </c>
      <c r="G25" s="117"/>
    </row>
    <row r="26" spans="1:7" ht="60.4" customHeight="1">
      <c r="A26" s="148" t="s">
        <v>194</v>
      </c>
      <c r="B26" s="149" t="s">
        <v>112</v>
      </c>
      <c r="C26" s="150"/>
      <c r="D26" s="120">
        <v>-20410866580</v>
      </c>
      <c r="E26" s="120">
        <v>-39370962</v>
      </c>
      <c r="G26" s="117"/>
    </row>
    <row r="27" spans="1:7" ht="42" customHeight="1">
      <c r="A27" s="148" t="s">
        <v>265</v>
      </c>
      <c r="B27" s="149" t="s">
        <v>113</v>
      </c>
      <c r="C27" s="150"/>
      <c r="D27" s="120">
        <v>-97900</v>
      </c>
      <c r="E27" s="120">
        <v>-12100</v>
      </c>
      <c r="G27" s="117"/>
    </row>
    <row r="28" spans="1:7" ht="42" customHeight="1">
      <c r="A28" s="148" t="s">
        <v>311</v>
      </c>
      <c r="B28" s="149" t="s">
        <v>114</v>
      </c>
      <c r="C28" s="150"/>
      <c r="D28" s="120">
        <v>0</v>
      </c>
      <c r="E28" s="120">
        <v>0</v>
      </c>
      <c r="G28" s="117"/>
    </row>
    <row r="29" spans="1:7" ht="51" customHeight="1">
      <c r="A29" s="148" t="s">
        <v>195</v>
      </c>
      <c r="B29" s="149" t="s">
        <v>115</v>
      </c>
      <c r="C29" s="150"/>
      <c r="D29" s="120">
        <v>18794840000</v>
      </c>
      <c r="E29" s="120">
        <v>0</v>
      </c>
      <c r="G29" s="117"/>
    </row>
    <row r="30" spans="1:7" ht="75" customHeight="1">
      <c r="A30" s="148" t="s">
        <v>196</v>
      </c>
      <c r="B30" s="149" t="s">
        <v>117</v>
      </c>
      <c r="C30" s="150"/>
      <c r="D30" s="120">
        <v>175094068</v>
      </c>
      <c r="E30" s="120">
        <v>13777608</v>
      </c>
      <c r="G30" s="117"/>
    </row>
    <row r="31" spans="1:7" ht="47.65" customHeight="1">
      <c r="A31" s="148" t="s">
        <v>312</v>
      </c>
      <c r="B31" s="149" t="s">
        <v>122</v>
      </c>
      <c r="C31" s="150"/>
      <c r="D31" s="120">
        <v>0</v>
      </c>
      <c r="E31" s="120">
        <v>0</v>
      </c>
      <c r="G31" s="117"/>
    </row>
    <row r="32" spans="1:7" ht="57" customHeight="1">
      <c r="A32" s="148" t="s">
        <v>313</v>
      </c>
      <c r="B32" s="149" t="s">
        <v>124</v>
      </c>
      <c r="C32" s="150"/>
      <c r="D32" s="120">
        <v>201546253</v>
      </c>
      <c r="E32" s="120">
        <v>4905520</v>
      </c>
      <c r="G32" s="117"/>
    </row>
    <row r="33" spans="1:7" ht="53.65" customHeight="1">
      <c r="A33" s="148" t="s">
        <v>314</v>
      </c>
      <c r="B33" s="149" t="s">
        <v>126</v>
      </c>
      <c r="C33" s="150"/>
      <c r="D33" s="120">
        <v>19605095088</v>
      </c>
      <c r="E33" s="120">
        <v>8323499286</v>
      </c>
      <c r="G33" s="117"/>
    </row>
    <row r="34" spans="1:7" ht="55.15" customHeight="1">
      <c r="A34" s="148" t="s">
        <v>315</v>
      </c>
      <c r="B34" s="149" t="s">
        <v>127</v>
      </c>
      <c r="C34" s="150"/>
      <c r="D34" s="120">
        <v>50120632</v>
      </c>
      <c r="E34" s="120">
        <v>0</v>
      </c>
      <c r="G34" s="117"/>
    </row>
    <row r="35" spans="1:7" ht="39.4" customHeight="1">
      <c r="A35" s="148" t="s">
        <v>316</v>
      </c>
      <c r="B35" s="149" t="s">
        <v>197</v>
      </c>
      <c r="C35" s="150"/>
      <c r="D35" s="120">
        <v>4900951</v>
      </c>
      <c r="E35" s="120">
        <v>-1503097</v>
      </c>
      <c r="G35" s="117"/>
    </row>
    <row r="36" spans="1:7" ht="47.65" customHeight="1">
      <c r="A36" s="151" t="s">
        <v>317</v>
      </c>
      <c r="B36" s="149" t="s">
        <v>198</v>
      </c>
      <c r="C36" s="150"/>
      <c r="D36" s="120">
        <v>618119645</v>
      </c>
      <c r="E36" s="120">
        <v>51825087</v>
      </c>
      <c r="G36" s="117"/>
    </row>
    <row r="37" spans="1:7" ht="48" customHeight="1">
      <c r="A37" s="148" t="s">
        <v>199</v>
      </c>
      <c r="B37" s="149" t="s">
        <v>200</v>
      </c>
      <c r="C37" s="150"/>
      <c r="D37" s="120">
        <v>0</v>
      </c>
      <c r="E37" s="120">
        <v>0</v>
      </c>
      <c r="G37" s="117"/>
    </row>
    <row r="38" spans="1:7" s="117" customFormat="1" ht="52.15" customHeight="1">
      <c r="A38" s="145" t="s">
        <v>266</v>
      </c>
      <c r="B38" s="146" t="s">
        <v>201</v>
      </c>
      <c r="C38" s="147"/>
      <c r="D38" s="228">
        <v>-572802857842</v>
      </c>
      <c r="E38" s="228">
        <v>-21907816170</v>
      </c>
    </row>
    <row r="39" spans="1:7" s="117" customFormat="1" ht="42" customHeight="1">
      <c r="A39" s="145" t="s">
        <v>267</v>
      </c>
      <c r="B39" s="146" t="s">
        <v>47</v>
      </c>
      <c r="C39" s="147"/>
      <c r="D39" s="228"/>
      <c r="E39" s="228"/>
    </row>
    <row r="40" spans="1:7" ht="42" customHeight="1">
      <c r="A40" s="148" t="s">
        <v>318</v>
      </c>
      <c r="B40" s="149" t="s">
        <v>177</v>
      </c>
      <c r="C40" s="150"/>
      <c r="D40" s="120">
        <v>961853905123</v>
      </c>
      <c r="E40" s="120">
        <v>98241194677</v>
      </c>
      <c r="G40" s="117"/>
    </row>
    <row r="41" spans="1:7" ht="42" customHeight="1">
      <c r="A41" s="148" t="s">
        <v>319</v>
      </c>
      <c r="B41" s="149" t="s">
        <v>179</v>
      </c>
      <c r="C41" s="150"/>
      <c r="D41" s="120">
        <v>-310707200361</v>
      </c>
      <c r="E41" s="120">
        <v>-21675506517</v>
      </c>
      <c r="G41" s="117"/>
    </row>
    <row r="42" spans="1:7" ht="42" customHeight="1">
      <c r="A42" s="148" t="s">
        <v>268</v>
      </c>
      <c r="B42" s="149" t="s">
        <v>202</v>
      </c>
      <c r="C42" s="150"/>
      <c r="D42" s="120">
        <v>0</v>
      </c>
      <c r="E42" s="120">
        <v>0</v>
      </c>
      <c r="G42" s="117"/>
    </row>
    <row r="43" spans="1:7" ht="42" customHeight="1">
      <c r="A43" s="148" t="s">
        <v>269</v>
      </c>
      <c r="B43" s="149" t="s">
        <v>203</v>
      </c>
      <c r="C43" s="150"/>
      <c r="D43" s="120">
        <v>0</v>
      </c>
      <c r="E43" s="120">
        <v>0</v>
      </c>
      <c r="G43" s="117"/>
    </row>
    <row r="44" spans="1:7" ht="42" customHeight="1">
      <c r="A44" s="148" t="s">
        <v>320</v>
      </c>
      <c r="B44" s="149" t="s">
        <v>204</v>
      </c>
      <c r="C44" s="150"/>
      <c r="D44" s="120">
        <v>0</v>
      </c>
      <c r="E44" s="120">
        <v>0</v>
      </c>
      <c r="G44" s="117"/>
    </row>
    <row r="45" spans="1:7" ht="46.9" customHeight="1">
      <c r="A45" s="145" t="s">
        <v>321</v>
      </c>
      <c r="B45" s="146" t="s">
        <v>175</v>
      </c>
      <c r="C45" s="150"/>
      <c r="D45" s="228">
        <v>651146704762</v>
      </c>
      <c r="E45" s="228">
        <v>76565688160</v>
      </c>
      <c r="G45" s="117"/>
    </row>
    <row r="46" spans="1:7" s="117" customFormat="1" ht="52.5" customHeight="1">
      <c r="A46" s="145" t="s">
        <v>270</v>
      </c>
      <c r="B46" s="146" t="s">
        <v>181</v>
      </c>
      <c r="C46" s="147"/>
      <c r="D46" s="228">
        <v>78343846920</v>
      </c>
      <c r="E46" s="228">
        <v>54657871990</v>
      </c>
    </row>
    <row r="47" spans="1:7" s="117" customFormat="1" ht="53.65" customHeight="1">
      <c r="A47" s="145" t="s">
        <v>271</v>
      </c>
      <c r="B47" s="146" t="s">
        <v>205</v>
      </c>
      <c r="C47" s="147"/>
      <c r="D47" s="228">
        <v>69607440580</v>
      </c>
      <c r="E47" s="228">
        <v>14949568590</v>
      </c>
    </row>
    <row r="48" spans="1:7" ht="47.65" customHeight="1">
      <c r="A48" s="148" t="s">
        <v>322</v>
      </c>
      <c r="B48" s="149" t="s">
        <v>206</v>
      </c>
      <c r="C48" s="150"/>
      <c r="D48" s="120">
        <v>69607440580</v>
      </c>
      <c r="E48" s="120">
        <v>14949568590</v>
      </c>
      <c r="G48" s="117"/>
    </row>
    <row r="49" spans="1:7" ht="61.15" customHeight="1">
      <c r="A49" s="152" t="s">
        <v>323</v>
      </c>
      <c r="B49" s="149" t="s">
        <v>207</v>
      </c>
      <c r="C49" s="150"/>
      <c r="D49" s="120">
        <v>69596055290</v>
      </c>
      <c r="E49" s="120">
        <v>14949468680</v>
      </c>
      <c r="G49" s="117"/>
    </row>
    <row r="50" spans="1:7" ht="42" customHeight="1">
      <c r="A50" s="153" t="s">
        <v>324</v>
      </c>
      <c r="B50" s="154" t="s">
        <v>208</v>
      </c>
      <c r="C50" s="150"/>
      <c r="D50" s="120">
        <v>8596055290</v>
      </c>
      <c r="E50" s="120">
        <v>449468680</v>
      </c>
      <c r="G50" s="117"/>
    </row>
    <row r="51" spans="1:7" ht="42" customHeight="1">
      <c r="A51" s="155" t="s">
        <v>325</v>
      </c>
      <c r="B51" s="154" t="s">
        <v>209</v>
      </c>
      <c r="C51" s="150"/>
      <c r="D51" s="120">
        <v>61000000000</v>
      </c>
      <c r="E51" s="120">
        <v>14500000000</v>
      </c>
      <c r="G51" s="117"/>
    </row>
    <row r="52" spans="1:7" ht="45" customHeight="1">
      <c r="A52" s="153" t="s">
        <v>46</v>
      </c>
      <c r="B52" s="154" t="s">
        <v>210</v>
      </c>
      <c r="C52" s="150"/>
      <c r="D52" s="120">
        <v>0</v>
      </c>
      <c r="E52" s="120">
        <v>0</v>
      </c>
      <c r="G52" s="117"/>
    </row>
    <row r="53" spans="1:7" ht="42" customHeight="1">
      <c r="A53" s="148" t="s">
        <v>272</v>
      </c>
      <c r="B53" s="149" t="s">
        <v>211</v>
      </c>
      <c r="C53" s="150"/>
      <c r="D53" s="120">
        <v>11385290</v>
      </c>
      <c r="E53" s="120">
        <v>99910</v>
      </c>
      <c r="G53" s="117"/>
    </row>
    <row r="54" spans="1:7" ht="42" customHeight="1">
      <c r="A54" s="148" t="s">
        <v>273</v>
      </c>
      <c r="B54" s="149" t="s">
        <v>212</v>
      </c>
      <c r="C54" s="150"/>
      <c r="D54" s="120">
        <v>0</v>
      </c>
      <c r="E54" s="120">
        <v>0</v>
      </c>
      <c r="G54" s="117"/>
    </row>
    <row r="55" spans="1:7" s="117" customFormat="1" ht="57" customHeight="1">
      <c r="A55" s="145" t="s">
        <v>274</v>
      </c>
      <c r="B55" s="146" t="s">
        <v>213</v>
      </c>
      <c r="C55" s="147"/>
      <c r="D55" s="228">
        <v>147951287500</v>
      </c>
      <c r="E55" s="228">
        <v>69607440580</v>
      </c>
    </row>
    <row r="56" spans="1:7" ht="42" customHeight="1">
      <c r="A56" s="148" t="s">
        <v>326</v>
      </c>
      <c r="B56" s="149" t="s">
        <v>214</v>
      </c>
      <c r="C56" s="150"/>
      <c r="D56" s="120">
        <v>147951287500</v>
      </c>
      <c r="E56" s="120">
        <v>69607440580</v>
      </c>
      <c r="G56" s="117"/>
    </row>
    <row r="57" spans="1:7" ht="61.15" customHeight="1">
      <c r="A57" s="148" t="s">
        <v>323</v>
      </c>
      <c r="B57" s="149" t="s">
        <v>215</v>
      </c>
      <c r="C57" s="150"/>
      <c r="D57" s="120">
        <v>147901166868</v>
      </c>
      <c r="E57" s="120">
        <v>69596055290</v>
      </c>
      <c r="G57" s="117"/>
    </row>
    <row r="58" spans="1:7" ht="42" customHeight="1">
      <c r="A58" s="153" t="s">
        <v>324</v>
      </c>
      <c r="B58" s="154" t="s">
        <v>216</v>
      </c>
      <c r="C58" s="150"/>
      <c r="D58" s="120">
        <v>78901166868</v>
      </c>
      <c r="E58" s="120">
        <v>8596055290</v>
      </c>
      <c r="G58" s="117"/>
    </row>
    <row r="59" spans="1:7" ht="42" customHeight="1">
      <c r="A59" s="155" t="s">
        <v>325</v>
      </c>
      <c r="B59" s="154" t="s">
        <v>217</v>
      </c>
      <c r="C59" s="150"/>
      <c r="D59" s="120">
        <v>69000000000</v>
      </c>
      <c r="E59" s="120">
        <v>61000000000</v>
      </c>
      <c r="G59" s="117"/>
    </row>
    <row r="60" spans="1:7" ht="47.65" customHeight="1">
      <c r="A60" s="153" t="s">
        <v>46</v>
      </c>
      <c r="B60" s="154" t="s">
        <v>218</v>
      </c>
      <c r="C60" s="150"/>
      <c r="D60" s="120">
        <v>0</v>
      </c>
      <c r="E60" s="120">
        <v>0</v>
      </c>
      <c r="G60" s="117"/>
    </row>
    <row r="61" spans="1:7" ht="55.15" customHeight="1">
      <c r="A61" s="148" t="s">
        <v>327</v>
      </c>
      <c r="B61" s="149" t="s">
        <v>219</v>
      </c>
      <c r="C61" s="150"/>
      <c r="D61" s="120">
        <v>50120632</v>
      </c>
      <c r="E61" s="120">
        <v>11385290</v>
      </c>
      <c r="G61" s="117"/>
    </row>
    <row r="62" spans="1:7" ht="52.15" customHeight="1">
      <c r="A62" s="148" t="s">
        <v>275</v>
      </c>
      <c r="B62" s="149" t="s">
        <v>220</v>
      </c>
      <c r="C62" s="150"/>
      <c r="D62" s="120">
        <v>0</v>
      </c>
      <c r="E62" s="120">
        <v>0</v>
      </c>
      <c r="G62" s="117"/>
    </row>
    <row r="63" spans="1:7" s="117" customFormat="1" ht="62.65" customHeight="1">
      <c r="A63" s="145" t="s">
        <v>276</v>
      </c>
      <c r="B63" s="146" t="s">
        <v>221</v>
      </c>
      <c r="C63" s="147"/>
      <c r="D63" s="228">
        <v>78343846920</v>
      </c>
      <c r="E63" s="228">
        <v>54657871990</v>
      </c>
    </row>
    <row r="64" spans="1:7" s="117" customFormat="1" ht="42" customHeight="1">
      <c r="A64" s="145" t="s">
        <v>277</v>
      </c>
      <c r="B64" s="146" t="s">
        <v>222</v>
      </c>
      <c r="C64" s="147"/>
      <c r="D64" s="228">
        <v>0</v>
      </c>
      <c r="E64" s="228">
        <v>0</v>
      </c>
    </row>
    <row r="67" spans="1:6" ht="25.15" customHeight="1">
      <c r="A67" s="141" t="s">
        <v>184</v>
      </c>
      <c r="B67" s="126"/>
      <c r="C67" s="264" t="s">
        <v>833</v>
      </c>
      <c r="D67" s="264"/>
      <c r="E67" s="264"/>
      <c r="F67" s="97"/>
    </row>
    <row r="68" spans="1:6">
      <c r="A68" s="142"/>
      <c r="B68" s="142"/>
      <c r="C68" s="142"/>
      <c r="D68" s="142"/>
      <c r="E68" s="142"/>
    </row>
    <row r="69" spans="1:6">
      <c r="A69" s="142"/>
      <c r="B69" s="142"/>
      <c r="C69" s="142"/>
      <c r="D69" s="142"/>
      <c r="E69" s="142"/>
    </row>
    <row r="70" spans="1:6">
      <c r="A70" s="142"/>
      <c r="B70" s="142"/>
      <c r="C70" s="142"/>
      <c r="D70" s="142"/>
      <c r="E70" s="142"/>
    </row>
    <row r="71" spans="1:6">
      <c r="A71" s="142"/>
      <c r="B71" s="142"/>
      <c r="C71" s="142"/>
      <c r="D71" s="142"/>
      <c r="E71" s="142"/>
    </row>
    <row r="72" spans="1:6">
      <c r="A72" s="142"/>
      <c r="B72" s="142"/>
      <c r="C72" s="142"/>
      <c r="D72" s="142"/>
      <c r="E72" s="142"/>
    </row>
    <row r="73" spans="1:6">
      <c r="A73" s="142"/>
      <c r="B73" s="142"/>
      <c r="C73" s="142"/>
      <c r="D73" s="142"/>
      <c r="E73" s="142"/>
    </row>
    <row r="74" spans="1:6">
      <c r="A74" s="142"/>
      <c r="B74" s="142"/>
      <c r="C74" s="142"/>
      <c r="D74" s="142"/>
      <c r="E74" s="142"/>
    </row>
    <row r="75" spans="1:6">
      <c r="A75" s="142"/>
      <c r="B75" s="142"/>
      <c r="C75" s="142"/>
      <c r="D75" s="142"/>
      <c r="E75" s="142"/>
    </row>
    <row r="76" spans="1:6">
      <c r="A76" s="142"/>
      <c r="B76" s="142"/>
      <c r="C76" s="142"/>
      <c r="D76" s="142"/>
      <c r="E76" s="142"/>
    </row>
    <row r="77" spans="1:6">
      <c r="A77" s="142"/>
      <c r="B77" s="142"/>
      <c r="C77" s="142"/>
      <c r="D77" s="142"/>
      <c r="E77" s="142"/>
    </row>
    <row r="78" spans="1:6">
      <c r="A78" s="263" t="s">
        <v>832</v>
      </c>
      <c r="B78" s="263"/>
      <c r="C78" s="263"/>
      <c r="D78" s="263"/>
      <c r="E78" s="263"/>
    </row>
    <row r="79" spans="1:6" ht="16.899999999999999" customHeight="1">
      <c r="A79" s="213" t="s">
        <v>802</v>
      </c>
      <c r="B79" s="266" t="s">
        <v>830</v>
      </c>
      <c r="C79" s="266"/>
      <c r="D79" s="266"/>
      <c r="E79" s="266"/>
    </row>
    <row r="80" spans="1:6" ht="16.899999999999999" customHeight="1">
      <c r="A80" s="142" t="s">
        <v>804</v>
      </c>
      <c r="B80" s="263" t="s">
        <v>831</v>
      </c>
      <c r="C80" s="263"/>
      <c r="D80" s="263"/>
      <c r="E80" s="263"/>
    </row>
    <row r="81" spans="2:5">
      <c r="B81" s="265"/>
      <c r="C81" s="265"/>
      <c r="D81" s="265"/>
      <c r="E81" s="218"/>
    </row>
    <row r="82" spans="2:5">
      <c r="B82" s="261"/>
      <c r="C82" s="261"/>
      <c r="D82" s="261"/>
      <c r="E82" s="219"/>
    </row>
  </sheetData>
  <mergeCells count="18">
    <mergeCell ref="B14:E14"/>
    <mergeCell ref="A78:E78"/>
    <mergeCell ref="B8:E8"/>
    <mergeCell ref="A1:E1"/>
    <mergeCell ref="A2:E2"/>
    <mergeCell ref="A3:E3"/>
    <mergeCell ref="A4:E4"/>
    <mergeCell ref="B7:E7"/>
    <mergeCell ref="B9:E9"/>
    <mergeCell ref="B10:E10"/>
    <mergeCell ref="B11:E11"/>
    <mergeCell ref="B12:E12"/>
    <mergeCell ref="B13:E13"/>
    <mergeCell ref="B81:D81"/>
    <mergeCell ref="B82:D82"/>
    <mergeCell ref="B79:E79"/>
    <mergeCell ref="B80:E80"/>
    <mergeCell ref="C67:E67"/>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C19" sqref="C19:C94"/>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68" t="s">
        <v>835</v>
      </c>
      <c r="B1" s="268"/>
      <c r="C1" s="268"/>
      <c r="D1" s="268"/>
      <c r="E1" s="268"/>
      <c r="F1" s="268"/>
    </row>
    <row r="2" spans="1:6" s="47" customFormat="1" ht="50.45" customHeight="1">
      <c r="A2" s="269" t="s">
        <v>836</v>
      </c>
      <c r="B2" s="269"/>
      <c r="C2" s="269"/>
      <c r="D2" s="269"/>
      <c r="E2" s="269"/>
      <c r="F2" s="269"/>
    </row>
    <row r="3" spans="1:6" s="47" customFormat="1">
      <c r="A3" s="270" t="s">
        <v>837</v>
      </c>
      <c r="B3" s="270"/>
      <c r="C3" s="270"/>
      <c r="D3" s="270"/>
      <c r="E3" s="270"/>
      <c r="F3" s="270"/>
    </row>
    <row r="4" spans="1:6" s="47" customFormat="1" ht="32.65" customHeight="1">
      <c r="A4" s="270"/>
      <c r="B4" s="270"/>
      <c r="C4" s="270"/>
      <c r="D4" s="270"/>
      <c r="E4" s="270"/>
      <c r="F4" s="270"/>
    </row>
    <row r="5" spans="1:6" s="47" customFormat="1" ht="16.899999999999999" customHeight="1">
      <c r="A5" s="271" t="str">
        <f>TONGQUAN!C1</f>
        <v>Tại ngày 30 tháng 09 năm 2022
/ As at 30 Sep 2022</v>
      </c>
      <c r="B5" s="271"/>
      <c r="C5" s="271"/>
      <c r="D5" s="271"/>
      <c r="E5" s="271"/>
      <c r="F5" s="271"/>
    </row>
    <row r="6" spans="1:6">
      <c r="A6" s="58"/>
      <c r="B6" s="58"/>
      <c r="C6" s="58"/>
      <c r="D6" s="58"/>
      <c r="E6" s="58"/>
      <c r="F6" s="58"/>
    </row>
    <row r="7" spans="1:6" ht="16.899999999999999" customHeight="1">
      <c r="A7" s="250" t="s">
        <v>2</v>
      </c>
      <c r="B7" s="250"/>
      <c r="C7" s="250" t="str">
        <f>TONGQUAN!D5</f>
        <v>Công ty Cổ phần Quản lý Quỹ Đầu tư Dragon Capital Việt Nam</v>
      </c>
      <c r="D7" s="250"/>
      <c r="E7" s="250"/>
      <c r="F7" s="250"/>
    </row>
    <row r="8" spans="1:6" s="47" customFormat="1" ht="16.899999999999999" customHeight="1">
      <c r="A8" s="267" t="s">
        <v>40</v>
      </c>
      <c r="B8" s="267"/>
      <c r="C8" s="267" t="str">
        <f>TONGQUAN!D6</f>
        <v>Dragon Capital Vietfund Management Joint Stock Company</v>
      </c>
      <c r="D8" s="267"/>
      <c r="E8" s="267"/>
      <c r="F8" s="267"/>
    </row>
    <row r="9" spans="1:6" ht="16.899999999999999" customHeight="1">
      <c r="A9" s="250" t="s">
        <v>3</v>
      </c>
      <c r="B9" s="250"/>
      <c r="C9" s="250" t="str">
        <f>TONGQUAN!D7</f>
        <v>Ngân hàng TNHH Một thành viên Standard Chartered (Việt Nam)</v>
      </c>
      <c r="D9" s="250"/>
      <c r="E9" s="250"/>
      <c r="F9" s="250"/>
    </row>
    <row r="10" spans="1:6" s="47" customFormat="1" ht="16.899999999999999" customHeight="1">
      <c r="A10" s="267" t="s">
        <v>4</v>
      </c>
      <c r="B10" s="267"/>
      <c r="C10" s="267" t="str">
        <f>TONGQUAN!D8</f>
        <v>Standard Chartered Bank (Vietnam) Limited</v>
      </c>
      <c r="D10" s="267"/>
      <c r="E10" s="267"/>
      <c r="F10" s="267"/>
    </row>
    <row r="11" spans="1:6" ht="16.899999999999999" customHeight="1">
      <c r="A11" s="250" t="s">
        <v>5</v>
      </c>
      <c r="B11" s="250"/>
      <c r="C11" s="250" t="str">
        <f>TONGQUAN!D9</f>
        <v>Quỹ Đầu tư Trái phiếu Gia tăng Thu nhập Cố định DC</v>
      </c>
      <c r="D11" s="250"/>
      <c r="E11" s="250"/>
      <c r="F11" s="250"/>
    </row>
    <row r="12" spans="1:6" s="47" customFormat="1" ht="16.899999999999999" customHeight="1">
      <c r="A12" s="267" t="s">
        <v>6</v>
      </c>
      <c r="B12" s="267"/>
      <c r="C12" s="267" t="str">
        <f>TONGQUAN!D10</f>
        <v>DC Income Plus Bond Fund(VFMVFC)</v>
      </c>
      <c r="D12" s="267"/>
      <c r="E12" s="267"/>
      <c r="F12" s="267"/>
    </row>
    <row r="13" spans="1:6" ht="16.899999999999999" customHeight="1">
      <c r="A13" s="250" t="s">
        <v>7</v>
      </c>
      <c r="B13" s="250"/>
      <c r="C13" s="250" t="str">
        <f>TONGQUAN!D11</f>
        <v>Ngày 05 tháng 10 năm 2022</v>
      </c>
      <c r="D13" s="250"/>
      <c r="E13" s="250"/>
      <c r="F13" s="250"/>
    </row>
    <row r="14" spans="1:6" s="47" customFormat="1" ht="16.899999999999999" customHeight="1">
      <c r="A14" s="267" t="s">
        <v>8</v>
      </c>
      <c r="B14" s="267"/>
      <c r="C14" s="267" t="str">
        <f>TONGQUAN!D12</f>
        <v>05 Oct 2022</v>
      </c>
      <c r="D14" s="267"/>
      <c r="E14" s="267"/>
      <c r="F14" s="267"/>
    </row>
    <row r="15" spans="1:6" s="47" customFormat="1" ht="7.5" customHeight="1">
      <c r="A15" s="55"/>
      <c r="B15" s="55"/>
      <c r="C15" s="55"/>
      <c r="D15" s="55"/>
      <c r="E15" s="55"/>
      <c r="F15" s="55"/>
    </row>
    <row r="16" spans="1:6" s="47" customFormat="1" ht="16.899999999999999" customHeight="1">
      <c r="A16" s="57" t="s">
        <v>838</v>
      </c>
      <c r="B16" s="56" t="s">
        <v>839</v>
      </c>
      <c r="C16" s="55"/>
      <c r="D16" s="55"/>
      <c r="E16" s="55"/>
      <c r="F16" s="55"/>
    </row>
    <row r="17" spans="1:6" s="47" customFormat="1" ht="16.899999999999999" customHeight="1">
      <c r="A17" s="57" t="s">
        <v>41</v>
      </c>
      <c r="B17" s="56" t="s">
        <v>566</v>
      </c>
      <c r="C17" s="55"/>
      <c r="D17" s="55"/>
      <c r="E17" s="55"/>
      <c r="F17" s="55"/>
    </row>
    <row r="18" spans="1:6" s="47" customFormat="1" ht="50.65" customHeight="1">
      <c r="A18" s="54" t="s">
        <v>42</v>
      </c>
      <c r="B18" s="52" t="s">
        <v>43</v>
      </c>
      <c r="C18" s="54" t="s">
        <v>44</v>
      </c>
      <c r="D18" s="53" t="s">
        <v>795</v>
      </c>
      <c r="E18" s="53" t="s">
        <v>796</v>
      </c>
      <c r="F18" s="171" t="s">
        <v>45</v>
      </c>
    </row>
    <row r="19" spans="1:6" ht="39" customHeight="1">
      <c r="A19" s="226" t="s">
        <v>578</v>
      </c>
      <c r="B19" s="225" t="s">
        <v>579</v>
      </c>
      <c r="C19" s="226"/>
      <c r="D19" s="228"/>
      <c r="E19" s="228"/>
      <c r="F19" s="227"/>
    </row>
    <row r="20" spans="1:6" ht="39" customHeight="1">
      <c r="A20" s="221" t="s">
        <v>580</v>
      </c>
      <c r="B20" s="220" t="s">
        <v>581</v>
      </c>
      <c r="C20" s="221"/>
      <c r="D20" s="224">
        <v>147951287500</v>
      </c>
      <c r="E20" s="224">
        <v>69607440580</v>
      </c>
      <c r="F20" s="223">
        <v>6.8331915053311603</v>
      </c>
    </row>
    <row r="21" spans="1:6" ht="39" customHeight="1">
      <c r="A21" s="221" t="s">
        <v>582</v>
      </c>
      <c r="B21" s="220" t="s">
        <v>583</v>
      </c>
      <c r="C21" s="221"/>
      <c r="D21" s="224">
        <v>78951287500</v>
      </c>
      <c r="E21" s="224">
        <v>8607440580</v>
      </c>
      <c r="F21" s="223">
        <v>224.384383842771</v>
      </c>
    </row>
    <row r="22" spans="1:6" ht="48" customHeight="1">
      <c r="A22" s="221" t="s">
        <v>584</v>
      </c>
      <c r="B22" s="220" t="s">
        <v>585</v>
      </c>
      <c r="C22" s="221"/>
      <c r="D22" s="224">
        <v>0</v>
      </c>
      <c r="E22" s="224">
        <v>0</v>
      </c>
      <c r="F22" s="223"/>
    </row>
    <row r="23" spans="1:6" ht="45" customHeight="1">
      <c r="A23" s="221" t="s">
        <v>586</v>
      </c>
      <c r="B23" s="220" t="s">
        <v>587</v>
      </c>
      <c r="C23" s="221"/>
      <c r="D23" s="224">
        <v>50120632</v>
      </c>
      <c r="E23" s="224">
        <v>11385290</v>
      </c>
      <c r="F23" s="223"/>
    </row>
    <row r="24" spans="1:6" ht="42" customHeight="1">
      <c r="A24" s="221" t="s">
        <v>588</v>
      </c>
      <c r="B24" s="220" t="s">
        <v>589</v>
      </c>
      <c r="C24" s="221"/>
      <c r="D24" s="224">
        <v>78901166868</v>
      </c>
      <c r="E24" s="224">
        <v>8596055290</v>
      </c>
      <c r="F24" s="223">
        <v>224.24193794372101</v>
      </c>
    </row>
    <row r="25" spans="1:6" ht="48" customHeight="1">
      <c r="A25" s="221" t="s">
        <v>590</v>
      </c>
      <c r="B25" s="220" t="s">
        <v>591</v>
      </c>
      <c r="C25" s="221"/>
      <c r="D25" s="224">
        <v>0</v>
      </c>
      <c r="E25" s="224">
        <v>0</v>
      </c>
      <c r="F25" s="223"/>
    </row>
    <row r="26" spans="1:6" ht="39" customHeight="1">
      <c r="A26" s="221" t="s">
        <v>592</v>
      </c>
      <c r="B26" s="220" t="s">
        <v>840</v>
      </c>
      <c r="C26" s="221"/>
      <c r="D26" s="224">
        <v>69000000000</v>
      </c>
      <c r="E26" s="224">
        <v>61000000000</v>
      </c>
      <c r="F26" s="223">
        <v>3.23943661971831</v>
      </c>
    </row>
    <row r="27" spans="1:6" ht="39" customHeight="1">
      <c r="A27" s="221" t="s">
        <v>593</v>
      </c>
      <c r="B27" s="220" t="s">
        <v>594</v>
      </c>
      <c r="C27" s="221"/>
      <c r="D27" s="224">
        <v>895944472888</v>
      </c>
      <c r="E27" s="224">
        <v>294518928855</v>
      </c>
      <c r="F27" s="223">
        <v>4.5095858628815</v>
      </c>
    </row>
    <row r="28" spans="1:6" ht="39" customHeight="1">
      <c r="A28" s="221" t="s">
        <v>595</v>
      </c>
      <c r="B28" s="220" t="s">
        <v>596</v>
      </c>
      <c r="C28" s="221"/>
      <c r="D28" s="224">
        <v>0</v>
      </c>
      <c r="E28" s="224">
        <v>0</v>
      </c>
      <c r="F28" s="223">
        <v>0</v>
      </c>
    </row>
    <row r="29" spans="1:6" ht="39" customHeight="1">
      <c r="A29" s="221" t="s">
        <v>597</v>
      </c>
      <c r="B29" s="220" t="s">
        <v>598</v>
      </c>
      <c r="C29" s="221"/>
      <c r="D29" s="224">
        <v>0</v>
      </c>
      <c r="E29" s="224">
        <v>0</v>
      </c>
      <c r="F29" s="223"/>
    </row>
    <row r="30" spans="1:6" ht="39" customHeight="1">
      <c r="A30" s="221" t="s">
        <v>599</v>
      </c>
      <c r="B30" s="220" t="s">
        <v>600</v>
      </c>
      <c r="C30" s="221"/>
      <c r="D30" s="224">
        <v>675197958350</v>
      </c>
      <c r="E30" s="224">
        <v>234380879540</v>
      </c>
      <c r="F30" s="223">
        <v>8.6391257331605296</v>
      </c>
    </row>
    <row r="31" spans="1:6" ht="39" customHeight="1">
      <c r="A31" s="221" t="s">
        <v>601</v>
      </c>
      <c r="B31" s="220" t="s">
        <v>602</v>
      </c>
      <c r="C31" s="221"/>
      <c r="D31" s="224">
        <v>190146514538</v>
      </c>
      <c r="E31" s="224">
        <v>50538049315</v>
      </c>
      <c r="F31" s="223">
        <v>2.3615359574175399</v>
      </c>
    </row>
    <row r="32" spans="1:6" ht="39" customHeight="1">
      <c r="A32" s="221" t="s">
        <v>603</v>
      </c>
      <c r="B32" s="220" t="s">
        <v>604</v>
      </c>
      <c r="C32" s="221"/>
      <c r="D32" s="224">
        <v>30600000000</v>
      </c>
      <c r="E32" s="224">
        <v>9600000000</v>
      </c>
      <c r="F32" s="223">
        <v>0.76500000000000001</v>
      </c>
    </row>
    <row r="33" spans="1:6" ht="39" customHeight="1">
      <c r="A33" s="221" t="s">
        <v>605</v>
      </c>
      <c r="B33" s="220" t="s">
        <v>606</v>
      </c>
      <c r="C33" s="221"/>
      <c r="D33" s="224">
        <v>0</v>
      </c>
      <c r="E33" s="224">
        <v>0</v>
      </c>
      <c r="F33" s="223"/>
    </row>
    <row r="34" spans="1:6" ht="39" customHeight="1">
      <c r="A34" s="221" t="s">
        <v>607</v>
      </c>
      <c r="B34" s="220" t="s">
        <v>608</v>
      </c>
      <c r="C34" s="221"/>
      <c r="D34" s="224">
        <v>0</v>
      </c>
      <c r="E34" s="224">
        <v>0</v>
      </c>
      <c r="F34" s="223"/>
    </row>
    <row r="35" spans="1:6" ht="39" customHeight="1">
      <c r="A35" s="221" t="s">
        <v>609</v>
      </c>
      <c r="B35" s="220" t="s">
        <v>610</v>
      </c>
      <c r="C35" s="221"/>
      <c r="D35" s="224">
        <v>0</v>
      </c>
      <c r="E35" s="224">
        <v>0</v>
      </c>
      <c r="F35" s="223"/>
    </row>
    <row r="36" spans="1:6" ht="39" customHeight="1">
      <c r="A36" s="221" t="s">
        <v>611</v>
      </c>
      <c r="B36" s="220" t="s">
        <v>612</v>
      </c>
      <c r="C36" s="221"/>
      <c r="D36" s="224">
        <v>0</v>
      </c>
      <c r="E36" s="224">
        <v>0</v>
      </c>
      <c r="F36" s="223"/>
    </row>
    <row r="37" spans="1:6" ht="51">
      <c r="A37" s="234" t="s">
        <v>613</v>
      </c>
      <c r="B37" s="235" t="s">
        <v>841</v>
      </c>
      <c r="C37" s="234"/>
      <c r="D37" s="236"/>
      <c r="E37" s="236"/>
      <c r="F37" s="237"/>
    </row>
    <row r="38" spans="1:6" ht="39" customHeight="1">
      <c r="A38" s="221" t="s">
        <v>618</v>
      </c>
      <c r="B38" s="220" t="s">
        <v>842</v>
      </c>
      <c r="C38" s="221"/>
      <c r="D38" s="224">
        <v>19742010958</v>
      </c>
      <c r="E38" s="224">
        <v>5447342740</v>
      </c>
      <c r="F38" s="223">
        <v>14.664086798516299</v>
      </c>
    </row>
    <row r="39" spans="1:6" ht="39" customHeight="1">
      <c r="A39" s="221" t="s">
        <v>614</v>
      </c>
      <c r="B39" s="220" t="s">
        <v>615</v>
      </c>
      <c r="C39" s="221"/>
      <c r="D39" s="224">
        <v>0</v>
      </c>
      <c r="E39" s="224">
        <v>0</v>
      </c>
      <c r="F39" s="223"/>
    </row>
    <row r="40" spans="1:6" ht="39" customHeight="1">
      <c r="A40" s="221" t="s">
        <v>616</v>
      </c>
      <c r="B40" s="220" t="s">
        <v>617</v>
      </c>
      <c r="C40" s="221"/>
      <c r="D40" s="224">
        <v>19742010958</v>
      </c>
      <c r="E40" s="224">
        <v>5447342740</v>
      </c>
      <c r="F40" s="223">
        <v>14.664086798516299</v>
      </c>
    </row>
    <row r="41" spans="1:6" ht="39" customHeight="1">
      <c r="A41" s="221" t="s">
        <v>626</v>
      </c>
      <c r="B41" s="220" t="s">
        <v>619</v>
      </c>
      <c r="C41" s="221"/>
      <c r="D41" s="224">
        <v>6944326578</v>
      </c>
      <c r="E41" s="224">
        <v>828128216</v>
      </c>
      <c r="F41" s="223">
        <v>1.52030214214527</v>
      </c>
    </row>
    <row r="42" spans="1:6" ht="39" customHeight="1">
      <c r="A42" s="221" t="s">
        <v>620</v>
      </c>
      <c r="B42" s="220" t="s">
        <v>621</v>
      </c>
      <c r="C42" s="221"/>
      <c r="D42" s="224">
        <v>449011508</v>
      </c>
      <c r="E42" s="224">
        <v>117689860</v>
      </c>
      <c r="F42" s="223">
        <v>0.58034275630413901</v>
      </c>
    </row>
    <row r="43" spans="1:6" ht="39" customHeight="1">
      <c r="A43" s="221" t="s">
        <v>622</v>
      </c>
      <c r="B43" s="220" t="s">
        <v>623</v>
      </c>
      <c r="C43" s="221"/>
      <c r="D43" s="224">
        <v>6495315070</v>
      </c>
      <c r="E43" s="224">
        <v>710438356</v>
      </c>
      <c r="F43" s="223">
        <v>1.7119842295118799</v>
      </c>
    </row>
    <row r="44" spans="1:6" ht="39" customHeight="1">
      <c r="A44" s="221" t="s">
        <v>624</v>
      </c>
      <c r="B44" s="220" t="s">
        <v>625</v>
      </c>
      <c r="C44" s="221"/>
      <c r="D44" s="224">
        <v>0</v>
      </c>
      <c r="E44" s="224">
        <v>0</v>
      </c>
      <c r="F44" s="223"/>
    </row>
    <row r="45" spans="1:6" ht="39" customHeight="1">
      <c r="A45" s="234" t="s">
        <v>628</v>
      </c>
      <c r="B45" s="235" t="s">
        <v>843</v>
      </c>
      <c r="C45" s="234"/>
      <c r="D45" s="236"/>
      <c r="E45" s="236"/>
      <c r="F45" s="237"/>
    </row>
    <row r="46" spans="1:6" ht="39" customHeight="1">
      <c r="A46" s="221" t="s">
        <v>636</v>
      </c>
      <c r="B46" s="220" t="s">
        <v>627</v>
      </c>
      <c r="C46" s="221"/>
      <c r="D46" s="224">
        <v>0</v>
      </c>
      <c r="E46" s="224">
        <v>0</v>
      </c>
      <c r="F46" s="223"/>
    </row>
    <row r="47" spans="1:6" ht="39" customHeight="1">
      <c r="A47" s="221" t="s">
        <v>638</v>
      </c>
      <c r="B47" s="220" t="s">
        <v>629</v>
      </c>
      <c r="C47" s="221"/>
      <c r="D47" s="224">
        <v>110000</v>
      </c>
      <c r="E47" s="224">
        <v>12100</v>
      </c>
      <c r="F47" s="223"/>
    </row>
    <row r="48" spans="1:6" ht="39" customHeight="1">
      <c r="A48" s="221" t="s">
        <v>630</v>
      </c>
      <c r="B48" s="220" t="s">
        <v>631</v>
      </c>
      <c r="C48" s="221"/>
      <c r="D48" s="224">
        <v>0</v>
      </c>
      <c r="E48" s="224">
        <v>0</v>
      </c>
      <c r="F48" s="223"/>
    </row>
    <row r="49" spans="1:6" ht="39" customHeight="1">
      <c r="A49" s="221" t="s">
        <v>632</v>
      </c>
      <c r="B49" s="220" t="s">
        <v>633</v>
      </c>
      <c r="C49" s="221"/>
      <c r="D49" s="224">
        <v>0</v>
      </c>
      <c r="E49" s="224">
        <v>0</v>
      </c>
      <c r="F49" s="223"/>
    </row>
    <row r="50" spans="1:6" ht="39" customHeight="1">
      <c r="A50" s="221" t="s">
        <v>634</v>
      </c>
      <c r="B50" s="220" t="s">
        <v>635</v>
      </c>
      <c r="C50" s="221"/>
      <c r="D50" s="224">
        <v>110000</v>
      </c>
      <c r="E50" s="224">
        <v>12100</v>
      </c>
      <c r="F50" s="223"/>
    </row>
    <row r="51" spans="1:6" ht="39" customHeight="1">
      <c r="A51" s="221" t="s">
        <v>844</v>
      </c>
      <c r="B51" s="220" t="s">
        <v>637</v>
      </c>
      <c r="C51" s="221"/>
      <c r="D51" s="224">
        <v>0</v>
      </c>
      <c r="E51" s="224">
        <v>0</v>
      </c>
      <c r="F51" s="223">
        <v>0</v>
      </c>
    </row>
    <row r="52" spans="1:6" ht="39" customHeight="1">
      <c r="A52" s="226" t="s">
        <v>845</v>
      </c>
      <c r="B52" s="225" t="s">
        <v>639</v>
      </c>
      <c r="C52" s="226"/>
      <c r="D52" s="228">
        <v>1070582207924</v>
      </c>
      <c r="E52" s="228">
        <v>370401852491</v>
      </c>
      <c r="F52" s="227">
        <v>3.87553103476447</v>
      </c>
    </row>
    <row r="53" spans="1:6" ht="39" customHeight="1">
      <c r="A53" s="226" t="s">
        <v>640</v>
      </c>
      <c r="B53" s="225" t="s">
        <v>641</v>
      </c>
      <c r="C53" s="226"/>
      <c r="D53" s="228"/>
      <c r="E53" s="228"/>
      <c r="F53" s="227"/>
    </row>
    <row r="54" spans="1:6" ht="39" customHeight="1">
      <c r="A54" s="221" t="s">
        <v>48</v>
      </c>
      <c r="B54" s="220" t="s">
        <v>846</v>
      </c>
      <c r="C54" s="221"/>
      <c r="D54" s="224"/>
      <c r="E54" s="224"/>
      <c r="F54" s="223"/>
    </row>
    <row r="55" spans="1:6" ht="39" customHeight="1">
      <c r="A55" s="221" t="s">
        <v>49</v>
      </c>
      <c r="B55" s="220" t="s">
        <v>642</v>
      </c>
      <c r="C55" s="221"/>
      <c r="D55" s="224">
        <v>18794840000</v>
      </c>
      <c r="E55" s="224">
        <v>0</v>
      </c>
      <c r="F55" s="223"/>
    </row>
    <row r="56" spans="1:6" ht="39" customHeight="1">
      <c r="A56" s="221" t="s">
        <v>712</v>
      </c>
      <c r="B56" s="220" t="s">
        <v>643</v>
      </c>
      <c r="C56" s="221"/>
      <c r="D56" s="224">
        <v>29675001796</v>
      </c>
      <c r="E56" s="224">
        <v>9044324391</v>
      </c>
      <c r="F56" s="223">
        <v>67.261647477794298</v>
      </c>
    </row>
    <row r="57" spans="1:6" ht="39" customHeight="1">
      <c r="A57" s="221" t="s">
        <v>644</v>
      </c>
      <c r="B57" s="220" t="s">
        <v>645</v>
      </c>
      <c r="C57" s="221"/>
      <c r="D57" s="224">
        <v>28189005760</v>
      </c>
      <c r="E57" s="224">
        <v>8533790040</v>
      </c>
      <c r="F57" s="223">
        <v>2236.0155858718199</v>
      </c>
    </row>
    <row r="58" spans="1:6" ht="39" customHeight="1">
      <c r="A58" s="221" t="s">
        <v>646</v>
      </c>
      <c r="B58" s="220" t="s">
        <v>647</v>
      </c>
      <c r="C58" s="221"/>
      <c r="D58" s="224">
        <v>28138885128</v>
      </c>
      <c r="E58" s="224">
        <v>8533790040</v>
      </c>
      <c r="F58" s="223">
        <v>2232.0399041723699</v>
      </c>
    </row>
    <row r="59" spans="1:6" ht="48" customHeight="1">
      <c r="A59" s="221" t="s">
        <v>648</v>
      </c>
      <c r="B59" s="220" t="s">
        <v>649</v>
      </c>
      <c r="C59" s="221"/>
      <c r="D59" s="224">
        <v>0</v>
      </c>
      <c r="E59" s="224">
        <v>0</v>
      </c>
      <c r="F59" s="223"/>
    </row>
    <row r="60" spans="1:6" ht="39" customHeight="1">
      <c r="A60" s="221" t="s">
        <v>650</v>
      </c>
      <c r="B60" s="220" t="s">
        <v>651</v>
      </c>
      <c r="C60" s="221"/>
      <c r="D60" s="224">
        <v>0</v>
      </c>
      <c r="E60" s="224">
        <v>0</v>
      </c>
      <c r="F60" s="223"/>
    </row>
    <row r="61" spans="1:6" ht="39" customHeight="1">
      <c r="A61" s="221" t="s">
        <v>652</v>
      </c>
      <c r="B61" s="220" t="s">
        <v>653</v>
      </c>
      <c r="C61" s="221"/>
      <c r="D61" s="224">
        <v>50120632</v>
      </c>
      <c r="E61" s="224">
        <v>0</v>
      </c>
      <c r="F61" s="223"/>
    </row>
    <row r="62" spans="1:6" ht="39" customHeight="1">
      <c r="A62" s="221" t="s">
        <v>654</v>
      </c>
      <c r="B62" s="220" t="s">
        <v>655</v>
      </c>
      <c r="C62" s="221"/>
      <c r="D62" s="224">
        <v>212217997</v>
      </c>
      <c r="E62" s="224">
        <v>10671744</v>
      </c>
      <c r="F62" s="223">
        <v>216.49904919885799</v>
      </c>
    </row>
    <row r="63" spans="1:6" ht="60.95" customHeight="1">
      <c r="A63" s="221" t="s">
        <v>656</v>
      </c>
      <c r="B63" s="220" t="s">
        <v>657</v>
      </c>
      <c r="C63" s="221"/>
      <c r="D63" s="224">
        <v>198646364</v>
      </c>
      <c r="E63" s="224">
        <v>23552296</v>
      </c>
      <c r="F63" s="223">
        <v>68.209982772929905</v>
      </c>
    </row>
    <row r="64" spans="1:6" ht="39" customHeight="1">
      <c r="A64" s="221" t="s">
        <v>658</v>
      </c>
      <c r="B64" s="220" t="s">
        <v>659</v>
      </c>
      <c r="C64" s="221"/>
      <c r="D64" s="224">
        <v>0</v>
      </c>
      <c r="E64" s="224">
        <v>0</v>
      </c>
      <c r="F64" s="223"/>
    </row>
    <row r="65" spans="1:6" ht="39" customHeight="1">
      <c r="A65" s="221" t="s">
        <v>660</v>
      </c>
      <c r="B65" s="220" t="s">
        <v>661</v>
      </c>
      <c r="C65" s="221"/>
      <c r="D65" s="224">
        <v>10858064</v>
      </c>
      <c r="E65" s="224">
        <v>9716081</v>
      </c>
      <c r="F65" s="223">
        <v>0.75881995456891105</v>
      </c>
    </row>
    <row r="66" spans="1:6" ht="39" customHeight="1">
      <c r="A66" s="221" t="s">
        <v>662</v>
      </c>
      <c r="B66" s="220" t="s">
        <v>663</v>
      </c>
      <c r="C66" s="221"/>
      <c r="D66" s="224">
        <v>914114480</v>
      </c>
      <c r="E66" s="224">
        <v>332335935</v>
      </c>
      <c r="F66" s="223">
        <v>3.88895063585676</v>
      </c>
    </row>
    <row r="67" spans="1:6" ht="39" customHeight="1">
      <c r="A67" s="221" t="s">
        <v>664</v>
      </c>
      <c r="B67" s="220" t="s">
        <v>665</v>
      </c>
      <c r="C67" s="221"/>
      <c r="D67" s="224">
        <v>40024682</v>
      </c>
      <c r="E67" s="224">
        <v>37262500</v>
      </c>
      <c r="F67" s="223">
        <v>1.0741276618584401</v>
      </c>
    </row>
    <row r="68" spans="1:6" ht="39" customHeight="1">
      <c r="A68" s="221" t="s">
        <v>666</v>
      </c>
      <c r="B68" s="220" t="s">
        <v>667</v>
      </c>
      <c r="C68" s="221"/>
      <c r="D68" s="224">
        <v>25138148</v>
      </c>
      <c r="E68" s="224">
        <v>18150000</v>
      </c>
      <c r="F68" s="223">
        <v>1.3850219283746601</v>
      </c>
    </row>
    <row r="69" spans="1:6" ht="39" customHeight="1">
      <c r="A69" s="221" t="s">
        <v>668</v>
      </c>
      <c r="B69" s="220" t="s">
        <v>669</v>
      </c>
      <c r="C69" s="221"/>
      <c r="D69" s="224">
        <v>3758968</v>
      </c>
      <c r="E69" s="224">
        <v>0</v>
      </c>
      <c r="F69" s="223"/>
    </row>
    <row r="70" spans="1:6" ht="39" customHeight="1">
      <c r="A70" s="221" t="s">
        <v>670</v>
      </c>
      <c r="B70" s="220" t="s">
        <v>671</v>
      </c>
      <c r="C70" s="221"/>
      <c r="D70" s="224">
        <v>3758968</v>
      </c>
      <c r="E70" s="224">
        <v>0</v>
      </c>
      <c r="F70" s="223"/>
    </row>
    <row r="71" spans="1:6" ht="45.95" customHeight="1">
      <c r="A71" s="221" t="s">
        <v>672</v>
      </c>
      <c r="B71" s="220" t="s">
        <v>673</v>
      </c>
      <c r="C71" s="221"/>
      <c r="D71" s="224">
        <v>0</v>
      </c>
      <c r="E71" s="224">
        <v>0</v>
      </c>
      <c r="F71" s="223"/>
    </row>
    <row r="72" spans="1:6" ht="39" customHeight="1">
      <c r="A72" s="221" t="s">
        <v>674</v>
      </c>
      <c r="B72" s="220" t="s">
        <v>675</v>
      </c>
      <c r="C72" s="221"/>
      <c r="D72" s="224">
        <v>38838101</v>
      </c>
      <c r="E72" s="224">
        <v>14447331</v>
      </c>
      <c r="F72" s="223">
        <v>3.2500502928870301</v>
      </c>
    </row>
    <row r="73" spans="1:6" ht="39" customHeight="1">
      <c r="A73" s="221" t="s">
        <v>676</v>
      </c>
      <c r="B73" s="220" t="s">
        <v>677</v>
      </c>
      <c r="C73" s="221"/>
      <c r="D73" s="224">
        <v>38088101</v>
      </c>
      <c r="E73" s="224">
        <v>13847331</v>
      </c>
      <c r="F73" s="223">
        <v>3.3120087826087001</v>
      </c>
    </row>
    <row r="74" spans="1:6" ht="39" customHeight="1">
      <c r="A74" s="221" t="s">
        <v>678</v>
      </c>
      <c r="B74" s="220" t="s">
        <v>679</v>
      </c>
      <c r="C74" s="221"/>
      <c r="D74" s="224">
        <v>750000</v>
      </c>
      <c r="E74" s="224">
        <v>600000</v>
      </c>
      <c r="F74" s="223">
        <v>1.6666666666666701</v>
      </c>
    </row>
    <row r="75" spans="1:6" ht="60" customHeight="1">
      <c r="A75" s="221" t="s">
        <v>680</v>
      </c>
      <c r="B75" s="220" t="s">
        <v>681</v>
      </c>
      <c r="C75" s="221"/>
      <c r="D75" s="224">
        <v>0</v>
      </c>
      <c r="E75" s="224">
        <v>0</v>
      </c>
      <c r="F75" s="223"/>
    </row>
    <row r="76" spans="1:6" ht="39" customHeight="1">
      <c r="A76" s="221" t="s">
        <v>682</v>
      </c>
      <c r="B76" s="220" t="s">
        <v>683</v>
      </c>
      <c r="C76" s="221"/>
      <c r="D76" s="224">
        <v>24199232</v>
      </c>
      <c r="E76" s="224">
        <v>48398464</v>
      </c>
      <c r="F76" s="223">
        <v>0.34603512736934899</v>
      </c>
    </row>
    <row r="77" spans="1:6" ht="39" customHeight="1">
      <c r="A77" s="221" t="s">
        <v>684</v>
      </c>
      <c r="B77" s="220" t="s">
        <v>685</v>
      </c>
      <c r="C77" s="221"/>
      <c r="D77" s="224">
        <v>0</v>
      </c>
      <c r="E77" s="224">
        <v>0</v>
      </c>
      <c r="F77" s="223"/>
    </row>
    <row r="78" spans="1:6" ht="39" customHeight="1">
      <c r="A78" s="221" t="s">
        <v>686</v>
      </c>
      <c r="B78" s="220" t="s">
        <v>687</v>
      </c>
      <c r="C78" s="221"/>
      <c r="D78" s="224">
        <v>0</v>
      </c>
      <c r="E78" s="224">
        <v>0</v>
      </c>
      <c r="F78" s="223"/>
    </row>
    <row r="79" spans="1:6" ht="39" customHeight="1">
      <c r="A79" s="221" t="s">
        <v>688</v>
      </c>
      <c r="B79" s="220" t="s">
        <v>689</v>
      </c>
      <c r="C79" s="221"/>
      <c r="D79" s="224">
        <v>13200000</v>
      </c>
      <c r="E79" s="224">
        <v>11000000</v>
      </c>
      <c r="F79" s="223">
        <v>1.2</v>
      </c>
    </row>
    <row r="80" spans="1:6" ht="48" customHeight="1">
      <c r="A80" s="221" t="s">
        <v>690</v>
      </c>
      <c r="B80" s="220" t="s">
        <v>691</v>
      </c>
      <c r="C80" s="221"/>
      <c r="D80" s="224">
        <v>0</v>
      </c>
      <c r="E80" s="224">
        <v>0</v>
      </c>
      <c r="F80" s="223"/>
    </row>
    <row r="81" spans="1:6" ht="39" customHeight="1">
      <c r="A81" s="221" t="s">
        <v>692</v>
      </c>
      <c r="B81" s="220" t="s">
        <v>693</v>
      </c>
      <c r="C81" s="221"/>
      <c r="D81" s="224">
        <v>0</v>
      </c>
      <c r="E81" s="224">
        <v>0</v>
      </c>
      <c r="F81" s="223"/>
    </row>
    <row r="82" spans="1:6" ht="39" customHeight="1">
      <c r="A82" s="221" t="s">
        <v>694</v>
      </c>
      <c r="B82" s="220" t="s">
        <v>695</v>
      </c>
      <c r="C82" s="221"/>
      <c r="D82" s="224">
        <v>5000000</v>
      </c>
      <c r="E82" s="224">
        <v>5000000</v>
      </c>
      <c r="F82" s="223">
        <v>0.18498340254918999</v>
      </c>
    </row>
    <row r="83" spans="1:6" ht="39" customHeight="1">
      <c r="A83" s="221" t="s">
        <v>696</v>
      </c>
      <c r="B83" s="220" t="s">
        <v>697</v>
      </c>
      <c r="C83" s="221"/>
      <c r="D83" s="224">
        <v>0</v>
      </c>
      <c r="E83" s="224">
        <v>0</v>
      </c>
      <c r="F83" s="223">
        <v>0</v>
      </c>
    </row>
    <row r="84" spans="1:6" ht="48" customHeight="1">
      <c r="A84" s="221" t="s">
        <v>698</v>
      </c>
      <c r="B84" s="220" t="s">
        <v>699</v>
      </c>
      <c r="C84" s="221"/>
      <c r="D84" s="224">
        <v>0</v>
      </c>
      <c r="E84" s="224">
        <v>0</v>
      </c>
      <c r="F84" s="223"/>
    </row>
    <row r="85" spans="1:6" ht="45" customHeight="1">
      <c r="A85" s="221" t="s">
        <v>700</v>
      </c>
      <c r="B85" s="220" t="s">
        <v>701</v>
      </c>
      <c r="C85" s="221"/>
      <c r="D85" s="224">
        <v>5000000</v>
      </c>
      <c r="E85" s="224">
        <v>5000000</v>
      </c>
      <c r="F85" s="223">
        <v>0.66849817339559103</v>
      </c>
    </row>
    <row r="86" spans="1:6" ht="39" customHeight="1">
      <c r="A86" s="221" t="s">
        <v>702</v>
      </c>
      <c r="B86" s="220" t="s">
        <v>703</v>
      </c>
      <c r="C86" s="221"/>
      <c r="D86" s="224">
        <v>0</v>
      </c>
      <c r="E86" s="224">
        <v>0</v>
      </c>
      <c r="F86" s="223"/>
    </row>
    <row r="87" spans="1:6" ht="39" customHeight="1">
      <c r="A87" s="221" t="s">
        <v>704</v>
      </c>
      <c r="B87" s="220" t="s">
        <v>705</v>
      </c>
      <c r="C87" s="221"/>
      <c r="D87" s="224">
        <v>0</v>
      </c>
      <c r="E87" s="224">
        <v>0</v>
      </c>
      <c r="F87" s="223"/>
    </row>
    <row r="88" spans="1:6" ht="39" customHeight="1">
      <c r="A88" s="221" t="s">
        <v>706</v>
      </c>
      <c r="B88" s="220" t="s">
        <v>707</v>
      </c>
      <c r="C88" s="221"/>
      <c r="D88" s="224">
        <v>0</v>
      </c>
      <c r="E88" s="224">
        <v>0</v>
      </c>
      <c r="F88" s="223"/>
    </row>
    <row r="89" spans="1:6" ht="39" customHeight="1">
      <c r="A89" s="221" t="s">
        <v>708</v>
      </c>
      <c r="B89" s="220" t="s">
        <v>709</v>
      </c>
      <c r="C89" s="221"/>
      <c r="D89" s="224">
        <v>0</v>
      </c>
      <c r="E89" s="224">
        <v>0</v>
      </c>
      <c r="F89" s="223"/>
    </row>
    <row r="90" spans="1:6" ht="39" customHeight="1">
      <c r="A90" s="221" t="s">
        <v>710</v>
      </c>
      <c r="B90" s="220" t="s">
        <v>711</v>
      </c>
      <c r="C90" s="221"/>
      <c r="D90" s="224">
        <v>0</v>
      </c>
      <c r="E90" s="224">
        <v>0</v>
      </c>
      <c r="F90" s="223"/>
    </row>
    <row r="91" spans="1:6" ht="39" customHeight="1">
      <c r="A91" s="226" t="s">
        <v>847</v>
      </c>
      <c r="B91" s="225" t="s">
        <v>713</v>
      </c>
      <c r="C91" s="226"/>
      <c r="D91" s="228">
        <v>48469841796</v>
      </c>
      <c r="E91" s="228">
        <v>9044324391</v>
      </c>
      <c r="F91" s="227">
        <v>109.862214486082</v>
      </c>
    </row>
    <row r="92" spans="1:6" ht="39" customHeight="1">
      <c r="A92" s="221" t="s">
        <v>348</v>
      </c>
      <c r="B92" s="220" t="s">
        <v>848</v>
      </c>
      <c r="C92" s="221"/>
      <c r="D92" s="224">
        <v>1022112366128</v>
      </c>
      <c r="E92" s="224">
        <v>361357528100</v>
      </c>
      <c r="F92" s="223">
        <v>3.70598801149983</v>
      </c>
    </row>
    <row r="93" spans="1:6" ht="39" customHeight="1">
      <c r="A93" s="221" t="s">
        <v>348</v>
      </c>
      <c r="B93" s="220" t="s">
        <v>849</v>
      </c>
      <c r="C93" s="221"/>
      <c r="D93" s="229">
        <v>101025959.31999999</v>
      </c>
      <c r="E93" s="229">
        <v>36261654.340000004</v>
      </c>
      <c r="F93" s="223">
        <v>3.46786829029831</v>
      </c>
    </row>
    <row r="94" spans="1:6" ht="39" customHeight="1">
      <c r="A94" s="221" t="s">
        <v>348</v>
      </c>
      <c r="B94" s="220" t="s">
        <v>850</v>
      </c>
      <c r="C94" s="221"/>
      <c r="D94" s="229">
        <v>10117.32</v>
      </c>
      <c r="E94" s="229">
        <v>9965.27</v>
      </c>
      <c r="F94" s="223">
        <v>1.0686651350709</v>
      </c>
    </row>
    <row r="95" spans="1:6" s="47" customFormat="1" ht="16.899999999999999" customHeight="1"/>
    <row r="96" spans="1:6" s="47" customFormat="1" ht="16.899999999999999" customHeight="1">
      <c r="A96" s="68" t="s">
        <v>10</v>
      </c>
      <c r="B96" s="48"/>
      <c r="C96" s="48"/>
      <c r="D96" s="68" t="s">
        <v>11</v>
      </c>
      <c r="E96" s="48"/>
    </row>
    <row r="97" spans="1:6" s="50" customFormat="1" ht="16.899999999999999" customHeight="1">
      <c r="A97" s="69" t="s">
        <v>12</v>
      </c>
      <c r="B97" s="51"/>
      <c r="C97" s="51"/>
      <c r="D97" s="69" t="s">
        <v>13</v>
      </c>
      <c r="E97" s="51"/>
    </row>
    <row r="98" spans="1:6" s="47" customFormat="1" ht="16.899999999999999" customHeight="1">
      <c r="A98" s="48"/>
      <c r="B98" s="48"/>
      <c r="C98" s="48"/>
      <c r="D98" s="48"/>
      <c r="E98" s="48"/>
    </row>
    <row r="99" spans="1:6" s="47" customFormat="1" ht="16.899999999999999" customHeight="1">
      <c r="A99" s="48"/>
      <c r="B99" s="48"/>
      <c r="C99" s="48"/>
      <c r="D99" s="48"/>
      <c r="E99" s="48"/>
    </row>
    <row r="100" spans="1:6" s="47" customFormat="1" ht="16.899999999999999" customHeight="1">
      <c r="A100" s="48"/>
      <c r="B100" s="48"/>
      <c r="C100" s="48"/>
      <c r="D100" s="48"/>
      <c r="E100" s="48"/>
    </row>
    <row r="101" spans="1:6" s="47" customFormat="1" ht="16.899999999999999" customHeight="1">
      <c r="A101" s="48"/>
      <c r="B101" s="48"/>
      <c r="C101" s="48"/>
      <c r="D101" s="48"/>
      <c r="E101" s="48"/>
    </row>
    <row r="102" spans="1:6" s="47" customFormat="1" ht="16.899999999999999" customHeight="1">
      <c r="A102" s="48"/>
      <c r="B102" s="48"/>
      <c r="C102" s="48"/>
      <c r="D102" s="48"/>
      <c r="E102" s="48"/>
    </row>
    <row r="103" spans="1:6" s="47" customFormat="1" ht="16.899999999999999" customHeight="1">
      <c r="A103" s="48"/>
      <c r="B103" s="48"/>
      <c r="C103" s="48"/>
      <c r="D103" s="48"/>
      <c r="E103" s="48"/>
    </row>
    <row r="104" spans="1:6" s="47" customFormat="1" ht="16.899999999999999" customHeight="1">
      <c r="A104" s="214"/>
      <c r="B104" s="214"/>
      <c r="C104" s="48"/>
      <c r="D104" s="214"/>
      <c r="E104" s="214"/>
      <c r="F104" s="233"/>
    </row>
    <row r="105" spans="1:6" s="47" customFormat="1" ht="16.899999999999999" customHeight="1">
      <c r="A105" s="67" t="s">
        <v>14</v>
      </c>
      <c r="B105" s="212"/>
      <c r="C105" s="48"/>
      <c r="D105" s="67" t="s">
        <v>783</v>
      </c>
      <c r="E105" s="212"/>
    </row>
    <row r="106" spans="1:6" s="47" customFormat="1" ht="16.899999999999999" customHeight="1">
      <c r="A106" s="211" t="s">
        <v>791</v>
      </c>
      <c r="B106" s="49"/>
      <c r="C106" s="48"/>
      <c r="D106" s="211" t="s">
        <v>792</v>
      </c>
      <c r="E106" s="49"/>
    </row>
    <row r="107" spans="1:6" s="47" customFormat="1" ht="16.899999999999999" customHeight="1">
      <c r="A107" s="48" t="s">
        <v>793</v>
      </c>
      <c r="B107" s="48"/>
      <c r="C107" s="48"/>
      <c r="D107" s="48" t="s">
        <v>794</v>
      </c>
      <c r="E107" s="48"/>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H18" sqref="H18"/>
    </sheetView>
  </sheetViews>
  <sheetFormatPr defaultColWidth="8.7109375" defaultRowHeight="12.75"/>
  <cols>
    <col min="1" max="1" width="8.7109375" style="58"/>
    <col min="2" max="2" width="46.28515625" style="58" customWidth="1"/>
    <col min="3" max="3" width="10.7109375" style="58" bestFit="1" customWidth="1"/>
    <col min="4" max="4" width="21.28515625" style="58" customWidth="1"/>
    <col min="5" max="5" width="21" style="58" customWidth="1"/>
    <col min="6" max="6" width="22" style="58" customWidth="1"/>
    <col min="7" max="7" width="8.7109375" style="58"/>
    <col min="8" max="16384" width="8.7109375" style="74"/>
  </cols>
  <sheetData>
    <row r="1" spans="1:6" ht="22.9" customHeight="1">
      <c r="A1" s="246" t="s">
        <v>835</v>
      </c>
      <c r="B1" s="246"/>
      <c r="C1" s="246"/>
      <c r="D1" s="246"/>
      <c r="E1" s="246"/>
      <c r="F1" s="246"/>
    </row>
    <row r="2" spans="1:6" ht="45" customHeight="1">
      <c r="A2" s="247" t="s">
        <v>836</v>
      </c>
      <c r="B2" s="247"/>
      <c r="C2" s="247"/>
      <c r="D2" s="247"/>
      <c r="E2" s="247"/>
      <c r="F2" s="247"/>
    </row>
    <row r="3" spans="1:6" ht="22.5" customHeight="1">
      <c r="A3" s="248" t="s">
        <v>837</v>
      </c>
      <c r="B3" s="248"/>
      <c r="C3" s="248"/>
      <c r="D3" s="248"/>
      <c r="E3" s="248"/>
      <c r="F3" s="248"/>
    </row>
    <row r="4" spans="1:6" ht="21" customHeight="1">
      <c r="A4" s="248"/>
      <c r="B4" s="248"/>
      <c r="C4" s="248"/>
      <c r="D4" s="248"/>
      <c r="E4" s="248"/>
      <c r="F4" s="248"/>
    </row>
    <row r="5" spans="1:6" ht="16.149999999999999" customHeight="1">
      <c r="A5" s="249" t="str">
        <f>TONGQUAN!C2</f>
        <v>Quý III năm 2022
/ Quarter III 2022</v>
      </c>
      <c r="B5" s="249"/>
      <c r="C5" s="249"/>
      <c r="D5" s="249"/>
      <c r="E5" s="249"/>
      <c r="F5" s="249"/>
    </row>
    <row r="7" spans="1:6" ht="16.899999999999999" customHeight="1">
      <c r="A7" s="70" t="s">
        <v>2</v>
      </c>
      <c r="C7" s="272" t="str">
        <f>TONGQUAN!D5</f>
        <v>Công ty Cổ phần Quản lý Quỹ Đầu tư Dragon Capital Việt Nam</v>
      </c>
      <c r="D7" s="272"/>
      <c r="E7" s="272"/>
      <c r="F7" s="272"/>
    </row>
    <row r="8" spans="1:6" ht="16.899999999999999" customHeight="1">
      <c r="A8" s="58" t="s">
        <v>40</v>
      </c>
      <c r="C8" s="263" t="str">
        <f>TONGQUAN!D6</f>
        <v>Dragon Capital Vietfund Management Joint Stock Company</v>
      </c>
      <c r="D8" s="263"/>
      <c r="E8" s="263"/>
      <c r="F8" s="263"/>
    </row>
    <row r="9" spans="1:6" ht="16.899999999999999" customHeight="1">
      <c r="A9" s="70" t="s">
        <v>3</v>
      </c>
      <c r="C9" s="272" t="str">
        <f>TONGQUAN!D7</f>
        <v>Ngân hàng TNHH Một thành viên Standard Chartered (Việt Nam)</v>
      </c>
      <c r="D9" s="272"/>
      <c r="E9" s="272"/>
      <c r="F9" s="272"/>
    </row>
    <row r="10" spans="1:6" ht="16.899999999999999" customHeight="1">
      <c r="A10" s="58" t="s">
        <v>4</v>
      </c>
      <c r="C10" s="263" t="str">
        <f>TONGQUAN!D8</f>
        <v>Standard Chartered Bank (Vietnam) Limited</v>
      </c>
      <c r="D10" s="263"/>
      <c r="E10" s="263"/>
      <c r="F10" s="263"/>
    </row>
    <row r="11" spans="1:6" ht="16.899999999999999" customHeight="1">
      <c r="A11" s="70" t="s">
        <v>5</v>
      </c>
      <c r="C11" s="272" t="str">
        <f>TONGQUAN!D9</f>
        <v>Quỹ Đầu tư Trái phiếu Gia tăng Thu nhập Cố định DC</v>
      </c>
      <c r="D11" s="272"/>
      <c r="E11" s="272"/>
      <c r="F11" s="272"/>
    </row>
    <row r="12" spans="1:6" ht="16.899999999999999" customHeight="1">
      <c r="A12" s="58" t="s">
        <v>6</v>
      </c>
      <c r="C12" s="263" t="str">
        <f>TONGQUAN!D10</f>
        <v>DC Income Plus Bond Fund(VFMVFC)</v>
      </c>
      <c r="D12" s="263"/>
      <c r="E12" s="263"/>
      <c r="F12" s="263"/>
    </row>
    <row r="13" spans="1:6" ht="16.899999999999999" customHeight="1">
      <c r="A13" s="70" t="s">
        <v>7</v>
      </c>
      <c r="C13" s="272" t="str">
        <f>TONGQUAN!D11</f>
        <v>Ngày 05 tháng 10 năm 2022</v>
      </c>
      <c r="D13" s="272"/>
      <c r="E13" s="272"/>
      <c r="F13" s="272"/>
    </row>
    <row r="14" spans="1:6" ht="16.899999999999999" customHeight="1">
      <c r="A14" s="58" t="s">
        <v>8</v>
      </c>
      <c r="C14" s="263" t="str">
        <f>TONGQUAN!D12</f>
        <v>05 Oct 2022</v>
      </c>
      <c r="D14" s="263"/>
      <c r="E14" s="263"/>
      <c r="F14" s="263"/>
    </row>
    <row r="15" spans="1:6" ht="16.899999999999999" customHeight="1"/>
    <row r="16" spans="1:6" ht="16.899999999999999" customHeight="1">
      <c r="A16" s="72" t="s">
        <v>838</v>
      </c>
      <c r="B16" s="73" t="s">
        <v>839</v>
      </c>
    </row>
    <row r="17" spans="1:7" ht="16.899999999999999" customHeight="1">
      <c r="A17" s="72" t="s">
        <v>47</v>
      </c>
      <c r="B17" s="73" t="s">
        <v>52</v>
      </c>
    </row>
    <row r="18" spans="1:7" ht="44.65" customHeight="1">
      <c r="A18" s="54" t="s">
        <v>42</v>
      </c>
      <c r="B18" s="52" t="s">
        <v>43</v>
      </c>
      <c r="C18" s="52" t="s">
        <v>44</v>
      </c>
      <c r="D18" s="53" t="s">
        <v>797</v>
      </c>
      <c r="E18" s="53" t="s">
        <v>798</v>
      </c>
      <c r="F18" s="75" t="s">
        <v>224</v>
      </c>
      <c r="G18" s="76"/>
    </row>
    <row r="19" spans="1:7" s="81" customFormat="1" ht="39" customHeight="1">
      <c r="A19" s="60" t="s">
        <v>41</v>
      </c>
      <c r="B19" s="77" t="s">
        <v>60</v>
      </c>
      <c r="C19" s="78"/>
      <c r="D19" s="79">
        <v>12859723014</v>
      </c>
      <c r="E19" s="79">
        <v>6148459931</v>
      </c>
      <c r="F19" s="79">
        <v>24194718123</v>
      </c>
      <c r="G19" s="80"/>
    </row>
    <row r="20" spans="1:7" ht="39" customHeight="1">
      <c r="A20" s="63">
        <v>1</v>
      </c>
      <c r="B20" s="82" t="s">
        <v>851</v>
      </c>
      <c r="C20" s="83"/>
      <c r="D20" s="84"/>
      <c r="E20" s="84"/>
      <c r="F20" s="84"/>
      <c r="G20" s="76"/>
    </row>
    <row r="21" spans="1:7" ht="39" customHeight="1">
      <c r="A21" s="63">
        <v>2</v>
      </c>
      <c r="B21" s="82" t="s">
        <v>233</v>
      </c>
      <c r="C21" s="83"/>
      <c r="D21" s="84">
        <v>10091486299</v>
      </c>
      <c r="E21" s="84">
        <v>4489323424</v>
      </c>
      <c r="F21" s="84">
        <v>17664745301</v>
      </c>
      <c r="G21" s="76"/>
    </row>
    <row r="22" spans="1:7" ht="39" customHeight="1">
      <c r="A22" s="85"/>
      <c r="B22" s="86" t="s">
        <v>234</v>
      </c>
      <c r="C22" s="87"/>
      <c r="D22" s="84">
        <v>0</v>
      </c>
      <c r="E22" s="84">
        <v>0</v>
      </c>
      <c r="F22" s="84">
        <v>0</v>
      </c>
      <c r="G22" s="76"/>
    </row>
    <row r="23" spans="1:7" ht="39" customHeight="1">
      <c r="A23" s="85"/>
      <c r="B23" s="86" t="s">
        <v>235</v>
      </c>
      <c r="C23" s="87"/>
      <c r="D23" s="84">
        <v>10091486299</v>
      </c>
      <c r="E23" s="84">
        <v>4489323424</v>
      </c>
      <c r="F23" s="84">
        <v>17664745301</v>
      </c>
      <c r="G23" s="76"/>
    </row>
    <row r="24" spans="1:7" ht="39" customHeight="1">
      <c r="A24" s="63">
        <v>3</v>
      </c>
      <c r="B24" s="82" t="s">
        <v>236</v>
      </c>
      <c r="C24" s="83"/>
      <c r="D24" s="93">
        <v>2768236715</v>
      </c>
      <c r="E24" s="93">
        <v>1659136507</v>
      </c>
      <c r="F24" s="93">
        <v>6529972822</v>
      </c>
      <c r="G24" s="238"/>
    </row>
    <row r="25" spans="1:7" ht="39" customHeight="1">
      <c r="A25" s="85"/>
      <c r="B25" s="86" t="s">
        <v>229</v>
      </c>
      <c r="C25" s="87"/>
      <c r="D25" s="84">
        <v>1372469591</v>
      </c>
      <c r="E25" s="84">
        <v>669355686</v>
      </c>
      <c r="F25" s="84">
        <v>2683328986</v>
      </c>
      <c r="G25" s="76"/>
    </row>
    <row r="26" spans="1:7" ht="39" customHeight="1">
      <c r="A26" s="85"/>
      <c r="B26" s="86" t="s">
        <v>237</v>
      </c>
      <c r="C26" s="87"/>
      <c r="D26" s="84">
        <v>1395767124</v>
      </c>
      <c r="E26" s="84">
        <v>989780821</v>
      </c>
      <c r="F26" s="84">
        <v>3846643836</v>
      </c>
      <c r="G26" s="76"/>
    </row>
    <row r="27" spans="1:7" ht="39" customHeight="1">
      <c r="A27" s="85"/>
      <c r="B27" s="86" t="s">
        <v>278</v>
      </c>
      <c r="C27" s="87"/>
      <c r="D27" s="84">
        <v>0</v>
      </c>
      <c r="E27" s="84">
        <v>0</v>
      </c>
      <c r="F27" s="84">
        <v>0</v>
      </c>
      <c r="G27" s="76"/>
    </row>
    <row r="28" spans="1:7" ht="39" customHeight="1">
      <c r="A28" s="63">
        <v>4</v>
      </c>
      <c r="B28" s="82" t="s">
        <v>238</v>
      </c>
      <c r="C28" s="83"/>
      <c r="D28" s="84">
        <v>0</v>
      </c>
      <c r="E28" s="84">
        <v>0</v>
      </c>
      <c r="F28" s="84">
        <v>0</v>
      </c>
      <c r="G28" s="76"/>
    </row>
    <row r="29" spans="1:7" ht="39" customHeight="1">
      <c r="A29" s="88"/>
      <c r="B29" s="89" t="s">
        <v>239</v>
      </c>
      <c r="C29" s="90"/>
      <c r="D29" s="91">
        <v>0</v>
      </c>
      <c r="E29" s="91">
        <v>0</v>
      </c>
      <c r="F29" s="84">
        <v>0</v>
      </c>
      <c r="G29" s="92"/>
    </row>
    <row r="30" spans="1:7" ht="39" customHeight="1">
      <c r="A30" s="88"/>
      <c r="B30" s="89" t="s">
        <v>240</v>
      </c>
      <c r="C30" s="90"/>
      <c r="D30" s="91">
        <v>0</v>
      </c>
      <c r="E30" s="91">
        <v>0</v>
      </c>
      <c r="F30" s="84">
        <v>0</v>
      </c>
      <c r="G30" s="92"/>
    </row>
    <row r="31" spans="1:7" ht="77.650000000000006" customHeight="1">
      <c r="A31" s="88"/>
      <c r="B31" s="89" t="s">
        <v>61</v>
      </c>
      <c r="C31" s="90"/>
      <c r="D31" s="91">
        <v>0</v>
      </c>
      <c r="E31" s="91">
        <v>0</v>
      </c>
      <c r="F31" s="84">
        <v>0</v>
      </c>
      <c r="G31" s="92"/>
    </row>
    <row r="32" spans="1:7" s="81" customFormat="1" ht="39" customHeight="1">
      <c r="A32" s="60" t="s">
        <v>47</v>
      </c>
      <c r="B32" s="77" t="s">
        <v>241</v>
      </c>
      <c r="C32" s="78"/>
      <c r="D32" s="79">
        <v>2507766466</v>
      </c>
      <c r="E32" s="79">
        <v>1315919034</v>
      </c>
      <c r="F32" s="79">
        <v>4959858138</v>
      </c>
      <c r="G32" s="80"/>
    </row>
    <row r="33" spans="1:7" ht="39" customHeight="1">
      <c r="A33" s="63">
        <v>1</v>
      </c>
      <c r="B33" s="82" t="s">
        <v>852</v>
      </c>
      <c r="C33" s="83"/>
      <c r="D33" s="84">
        <v>1978054608</v>
      </c>
      <c r="E33" s="84">
        <v>921012824</v>
      </c>
      <c r="F33" s="84">
        <v>3713556681</v>
      </c>
      <c r="G33" s="76"/>
    </row>
    <row r="34" spans="1:7" ht="51">
      <c r="A34" s="63">
        <v>2</v>
      </c>
      <c r="B34" s="82" t="s">
        <v>853</v>
      </c>
      <c r="C34" s="83"/>
      <c r="D34" s="93">
        <v>149497260</v>
      </c>
      <c r="E34" s="93">
        <v>95106858</v>
      </c>
      <c r="F34" s="84">
        <v>337622865</v>
      </c>
      <c r="G34" s="76"/>
    </row>
    <row r="35" spans="1:7" ht="39" customHeight="1">
      <c r="A35" s="66"/>
      <c r="B35" s="86" t="s">
        <v>854</v>
      </c>
      <c r="C35" s="87"/>
      <c r="D35" s="93">
        <v>82418938</v>
      </c>
      <c r="E35" s="93">
        <v>38375536</v>
      </c>
      <c r="F35" s="84">
        <v>155651573</v>
      </c>
      <c r="G35" s="76"/>
    </row>
    <row r="36" spans="1:7" ht="39" customHeight="1">
      <c r="A36" s="66"/>
      <c r="B36" s="86" t="s">
        <v>855</v>
      </c>
      <c r="C36" s="87"/>
      <c r="D36" s="93">
        <v>3300000</v>
      </c>
      <c r="E36" s="93">
        <v>1650000</v>
      </c>
      <c r="F36" s="84">
        <v>8200000</v>
      </c>
      <c r="G36" s="76"/>
    </row>
    <row r="37" spans="1:7" ht="57" customHeight="1">
      <c r="A37" s="66"/>
      <c r="B37" s="86" t="s">
        <v>856</v>
      </c>
      <c r="C37" s="87"/>
      <c r="D37" s="93">
        <v>944348</v>
      </c>
      <c r="E37" s="93">
        <v>631322</v>
      </c>
      <c r="F37" s="93">
        <v>2037318</v>
      </c>
      <c r="G37" s="76"/>
    </row>
    <row r="38" spans="1:7" ht="39" customHeight="1">
      <c r="A38" s="66"/>
      <c r="B38" s="86" t="s">
        <v>857</v>
      </c>
      <c r="C38" s="87"/>
      <c r="D38" s="84">
        <v>62833974</v>
      </c>
      <c r="E38" s="84">
        <v>54450000</v>
      </c>
      <c r="F38" s="84">
        <v>171733974</v>
      </c>
      <c r="G38" s="76"/>
    </row>
    <row r="39" spans="1:7" ht="73.5" customHeight="1">
      <c r="A39" s="63">
        <v>3</v>
      </c>
      <c r="B39" s="62" t="s">
        <v>858</v>
      </c>
      <c r="C39" s="83"/>
      <c r="D39" s="84">
        <v>154190599</v>
      </c>
      <c r="E39" s="84">
        <v>144787500</v>
      </c>
      <c r="F39" s="84">
        <v>443765599</v>
      </c>
      <c r="G39" s="76"/>
    </row>
    <row r="40" spans="1:7" ht="39" customHeight="1">
      <c r="A40" s="66"/>
      <c r="B40" s="64" t="s">
        <v>280</v>
      </c>
      <c r="C40" s="87"/>
      <c r="D40" s="84">
        <v>114590599</v>
      </c>
      <c r="E40" s="84">
        <v>111787500</v>
      </c>
      <c r="F40" s="84">
        <v>338165599</v>
      </c>
      <c r="G40" s="76"/>
    </row>
    <row r="41" spans="1:7" ht="39" customHeight="1">
      <c r="A41" s="66"/>
      <c r="B41" s="64" t="s">
        <v>63</v>
      </c>
      <c r="C41" s="87"/>
      <c r="D41" s="93">
        <v>39600000</v>
      </c>
      <c r="E41" s="93">
        <v>33000000</v>
      </c>
      <c r="F41" s="93">
        <v>105600000</v>
      </c>
      <c r="G41" s="76"/>
    </row>
    <row r="42" spans="1:7" ht="39" customHeight="1">
      <c r="A42" s="63">
        <v>4</v>
      </c>
      <c r="B42" s="82" t="s">
        <v>859</v>
      </c>
      <c r="C42" s="83"/>
      <c r="D42" s="84"/>
      <c r="E42" s="84"/>
      <c r="F42" s="84"/>
      <c r="G42" s="76"/>
    </row>
    <row r="43" spans="1:7" ht="39" customHeight="1">
      <c r="A43" s="63">
        <v>5</v>
      </c>
      <c r="B43" s="82" t="s">
        <v>860</v>
      </c>
      <c r="C43" s="83"/>
      <c r="D43" s="84"/>
      <c r="E43" s="84"/>
      <c r="F43" s="84"/>
      <c r="G43" s="76"/>
    </row>
    <row r="44" spans="1:7" ht="39" customHeight="1">
      <c r="A44" s="63">
        <v>6</v>
      </c>
      <c r="B44" s="82" t="s">
        <v>64</v>
      </c>
      <c r="C44" s="83"/>
      <c r="D44" s="84">
        <v>29800768</v>
      </c>
      <c r="E44" s="84">
        <v>27359875</v>
      </c>
      <c r="F44" s="84">
        <v>80215438</v>
      </c>
      <c r="G44" s="76"/>
    </row>
    <row r="45" spans="1:7" ht="77.650000000000006" customHeight="1">
      <c r="A45" s="63">
        <v>7</v>
      </c>
      <c r="B45" s="82" t="s">
        <v>281</v>
      </c>
      <c r="C45" s="83"/>
      <c r="D45" s="84">
        <v>64375316</v>
      </c>
      <c r="E45" s="84">
        <v>51463569</v>
      </c>
      <c r="F45" s="84">
        <v>145058063</v>
      </c>
      <c r="G45" s="76"/>
    </row>
    <row r="46" spans="1:7" ht="39" customHeight="1">
      <c r="A46" s="66"/>
      <c r="B46" s="65" t="s">
        <v>282</v>
      </c>
      <c r="C46" s="87"/>
      <c r="D46" s="84">
        <v>19141983</v>
      </c>
      <c r="E46" s="84">
        <v>22496903</v>
      </c>
      <c r="F46" s="84">
        <v>70858064</v>
      </c>
      <c r="G46" s="76"/>
    </row>
    <row r="47" spans="1:7" ht="39" customHeight="1">
      <c r="A47" s="66"/>
      <c r="B47" s="65" t="s">
        <v>242</v>
      </c>
      <c r="C47" s="87"/>
      <c r="D47" s="84">
        <v>45233333</v>
      </c>
      <c r="E47" s="84">
        <v>28966666</v>
      </c>
      <c r="F47" s="84">
        <v>74199999</v>
      </c>
      <c r="G47" s="76"/>
    </row>
    <row r="48" spans="1:7" ht="39" customHeight="1">
      <c r="A48" s="66"/>
      <c r="B48" s="65" t="s">
        <v>66</v>
      </c>
      <c r="C48" s="87"/>
      <c r="D48" s="93">
        <v>0</v>
      </c>
      <c r="E48" s="93">
        <v>0</v>
      </c>
      <c r="F48" s="84">
        <v>0</v>
      </c>
      <c r="G48" s="76"/>
    </row>
    <row r="49" spans="1:7" ht="148.9" customHeight="1">
      <c r="A49" s="63">
        <v>8</v>
      </c>
      <c r="B49" s="62" t="s">
        <v>283</v>
      </c>
      <c r="C49" s="83"/>
      <c r="D49" s="84">
        <v>0</v>
      </c>
      <c r="E49" s="84">
        <v>0</v>
      </c>
      <c r="F49" s="84">
        <v>0</v>
      </c>
      <c r="G49" s="76"/>
    </row>
    <row r="50" spans="1:7" ht="39" customHeight="1">
      <c r="A50" s="66"/>
      <c r="B50" s="64" t="s">
        <v>243</v>
      </c>
      <c r="C50" s="87"/>
      <c r="D50" s="84">
        <v>0</v>
      </c>
      <c r="E50" s="84">
        <v>0</v>
      </c>
      <c r="F50" s="84">
        <v>0</v>
      </c>
      <c r="G50" s="76"/>
    </row>
    <row r="51" spans="1:7" ht="39" customHeight="1">
      <c r="A51" s="66"/>
      <c r="B51" s="64" t="s">
        <v>154</v>
      </c>
      <c r="C51" s="87"/>
      <c r="D51" s="84">
        <v>0</v>
      </c>
      <c r="E51" s="84">
        <v>0</v>
      </c>
      <c r="F51" s="84">
        <v>0</v>
      </c>
      <c r="G51" s="76"/>
    </row>
    <row r="52" spans="1:7" ht="39" customHeight="1">
      <c r="A52" s="66"/>
      <c r="B52" s="64" t="s">
        <v>284</v>
      </c>
      <c r="C52" s="87"/>
      <c r="D52" s="84">
        <v>0</v>
      </c>
      <c r="E52" s="84">
        <v>0</v>
      </c>
      <c r="F52" s="84">
        <v>0</v>
      </c>
      <c r="G52" s="76"/>
    </row>
    <row r="53" spans="1:7" ht="39" customHeight="1">
      <c r="A53" s="66"/>
      <c r="B53" s="65" t="s">
        <v>244</v>
      </c>
      <c r="C53" s="87"/>
      <c r="D53" s="84">
        <v>0</v>
      </c>
      <c r="E53" s="84">
        <v>0</v>
      </c>
      <c r="F53" s="84">
        <v>0</v>
      </c>
      <c r="G53" s="76"/>
    </row>
    <row r="54" spans="1:7" ht="39" customHeight="1">
      <c r="A54" s="66"/>
      <c r="B54" s="65" t="s">
        <v>861</v>
      </c>
      <c r="C54" s="87"/>
      <c r="D54" s="84">
        <v>0</v>
      </c>
      <c r="E54" s="84">
        <v>0</v>
      </c>
      <c r="F54" s="84">
        <v>0</v>
      </c>
      <c r="G54" s="76"/>
    </row>
    <row r="55" spans="1:7" ht="66" customHeight="1">
      <c r="A55" s="63">
        <v>9</v>
      </c>
      <c r="B55" s="82" t="s">
        <v>285</v>
      </c>
      <c r="C55" s="83"/>
      <c r="D55" s="93">
        <v>89589215</v>
      </c>
      <c r="E55" s="93">
        <v>37874858</v>
      </c>
      <c r="F55" s="93">
        <v>138255696</v>
      </c>
      <c r="G55" s="76"/>
    </row>
    <row r="56" spans="1:7" ht="39" customHeight="1">
      <c r="A56" s="66"/>
      <c r="B56" s="86" t="s">
        <v>68</v>
      </c>
      <c r="C56" s="87"/>
      <c r="D56" s="93">
        <v>74439215</v>
      </c>
      <c r="E56" s="93">
        <v>34814858</v>
      </c>
      <c r="F56" s="84">
        <v>119943696</v>
      </c>
      <c r="G56" s="76"/>
    </row>
    <row r="57" spans="1:7" ht="39" customHeight="1">
      <c r="A57" s="66"/>
      <c r="B57" s="86" t="s">
        <v>69</v>
      </c>
      <c r="C57" s="87"/>
      <c r="D57" s="93">
        <v>150000</v>
      </c>
      <c r="E57" s="93">
        <v>60000</v>
      </c>
      <c r="F57" s="84">
        <v>312000</v>
      </c>
      <c r="G57" s="76"/>
    </row>
    <row r="58" spans="1:7" ht="39" customHeight="1">
      <c r="A58" s="66"/>
      <c r="B58" s="86" t="s">
        <v>70</v>
      </c>
      <c r="C58" s="87"/>
      <c r="D58" s="93">
        <v>15000000</v>
      </c>
      <c r="E58" s="93">
        <v>3000000</v>
      </c>
      <c r="F58" s="84">
        <v>18000000</v>
      </c>
      <c r="G58" s="76"/>
    </row>
    <row r="59" spans="1:7" ht="39" customHeight="1">
      <c r="A59" s="63">
        <v>10</v>
      </c>
      <c r="B59" s="82" t="s">
        <v>862</v>
      </c>
      <c r="C59" s="83"/>
      <c r="D59" s="93">
        <v>42258700</v>
      </c>
      <c r="E59" s="93">
        <v>38313550</v>
      </c>
      <c r="F59" s="93">
        <v>101383796</v>
      </c>
      <c r="G59" s="76"/>
    </row>
    <row r="60" spans="1:7" ht="39" customHeight="1">
      <c r="A60" s="63"/>
      <c r="B60" s="86" t="s">
        <v>71</v>
      </c>
      <c r="C60" s="87"/>
      <c r="D60" s="93">
        <v>0</v>
      </c>
      <c r="E60" s="93">
        <v>0</v>
      </c>
      <c r="F60" s="93">
        <v>0</v>
      </c>
      <c r="G60" s="94"/>
    </row>
    <row r="61" spans="1:7" ht="39" customHeight="1">
      <c r="A61" s="63"/>
      <c r="B61" s="86" t="s">
        <v>286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42258700</v>
      </c>
      <c r="E63" s="93">
        <v>38313550</v>
      </c>
      <c r="F63" s="93">
        <v>100283796</v>
      </c>
      <c r="G63" s="94"/>
    </row>
    <row r="64" spans="1:7" ht="39" customHeight="1">
      <c r="A64" s="63"/>
      <c r="B64" s="86" t="s">
        <v>287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288</v>
      </c>
      <c r="C66" s="87"/>
      <c r="D66" s="93">
        <v>0</v>
      </c>
      <c r="E66" s="93">
        <v>0</v>
      </c>
      <c r="F66" s="93">
        <v>1100000</v>
      </c>
      <c r="G66" s="94"/>
    </row>
    <row r="67" spans="1:7" s="81" customFormat="1" ht="45.75" customHeight="1">
      <c r="A67" s="95" t="s">
        <v>53</v>
      </c>
      <c r="B67" s="77" t="s">
        <v>289</v>
      </c>
      <c r="C67" s="78"/>
      <c r="D67" s="79">
        <v>10351956548</v>
      </c>
      <c r="E67" s="79">
        <v>4832540897</v>
      </c>
      <c r="F67" s="79">
        <v>19234859985</v>
      </c>
      <c r="G67" s="80"/>
    </row>
    <row r="68" spans="1:7" s="81" customFormat="1" ht="39" customHeight="1">
      <c r="A68" s="95" t="s">
        <v>54</v>
      </c>
      <c r="B68" s="77" t="s">
        <v>246</v>
      </c>
      <c r="C68" s="78"/>
      <c r="D68" s="79">
        <v>-743823282</v>
      </c>
      <c r="E68" s="79">
        <v>-205287438</v>
      </c>
      <c r="F68" s="79">
        <v>-665886863</v>
      </c>
      <c r="G68" s="80"/>
    </row>
    <row r="69" spans="1:7" ht="60.95" customHeight="1">
      <c r="A69" s="63">
        <v>1</v>
      </c>
      <c r="B69" s="82" t="s">
        <v>863</v>
      </c>
      <c r="C69" s="83"/>
      <c r="D69" s="84">
        <v>128662233</v>
      </c>
      <c r="E69" s="84">
        <v>-120048052</v>
      </c>
      <c r="F69" s="84">
        <v>484419112</v>
      </c>
      <c r="G69" s="76"/>
    </row>
    <row r="70" spans="1:7" ht="39" customHeight="1">
      <c r="A70" s="63">
        <v>2</v>
      </c>
      <c r="B70" s="82" t="s">
        <v>74</v>
      </c>
      <c r="C70" s="83"/>
      <c r="D70" s="84">
        <v>-872485515</v>
      </c>
      <c r="E70" s="84">
        <v>-85239386</v>
      </c>
      <c r="F70" s="84">
        <v>-1150305975</v>
      </c>
      <c r="G70" s="76"/>
    </row>
    <row r="71" spans="1:7" s="81" customFormat="1" ht="75" customHeight="1">
      <c r="A71" s="95" t="s">
        <v>55</v>
      </c>
      <c r="B71" s="77" t="s">
        <v>290</v>
      </c>
      <c r="C71" s="78"/>
      <c r="D71" s="79">
        <v>9608133266</v>
      </c>
      <c r="E71" s="79">
        <v>4627253459</v>
      </c>
      <c r="F71" s="79">
        <v>18568973122</v>
      </c>
      <c r="G71" s="80"/>
    </row>
    <row r="72" spans="1:7" s="81" customFormat="1" ht="39" customHeight="1">
      <c r="A72" s="95" t="s">
        <v>56</v>
      </c>
      <c r="B72" s="77" t="s">
        <v>75</v>
      </c>
      <c r="C72" s="78"/>
      <c r="D72" s="79">
        <v>361357528100</v>
      </c>
      <c r="E72" s="79">
        <v>280164586481</v>
      </c>
      <c r="F72" s="79">
        <v>271332225925</v>
      </c>
      <c r="G72" s="80"/>
    </row>
    <row r="73" spans="1:7" s="81" customFormat="1" ht="46.5" customHeight="1">
      <c r="A73" s="95" t="s">
        <v>57</v>
      </c>
      <c r="B73" s="77" t="s">
        <v>76</v>
      </c>
      <c r="C73" s="78"/>
      <c r="D73" s="79">
        <v>660754838028</v>
      </c>
      <c r="E73" s="79">
        <v>81192941619</v>
      </c>
      <c r="F73" s="79">
        <v>750780140203</v>
      </c>
      <c r="G73" s="80"/>
    </row>
    <row r="74" spans="1:7" ht="39" customHeight="1">
      <c r="A74" s="63"/>
      <c r="B74" s="82" t="s">
        <v>77</v>
      </c>
      <c r="C74" s="83"/>
      <c r="D74" s="84"/>
      <c r="E74" s="84"/>
      <c r="F74" s="84"/>
      <c r="G74" s="76"/>
    </row>
    <row r="75" spans="1:7" ht="58.5" customHeight="1">
      <c r="A75" s="63">
        <v>1</v>
      </c>
      <c r="B75" s="82" t="s">
        <v>864</v>
      </c>
      <c r="C75" s="83"/>
      <c r="D75" s="84">
        <v>9608133266</v>
      </c>
      <c r="E75" s="84">
        <v>4627253459</v>
      </c>
      <c r="F75" s="93">
        <v>18568973122</v>
      </c>
      <c r="G75" s="76"/>
    </row>
    <row r="76" spans="1:7" ht="58.5" customHeight="1">
      <c r="A76" s="63">
        <v>2</v>
      </c>
      <c r="B76" s="82" t="s">
        <v>865</v>
      </c>
      <c r="C76" s="83"/>
      <c r="D76" s="84">
        <v>0</v>
      </c>
      <c r="E76" s="84">
        <v>0</v>
      </c>
      <c r="F76" s="93">
        <v>0</v>
      </c>
      <c r="G76" s="76"/>
    </row>
    <row r="77" spans="1:7" ht="58.5" customHeight="1">
      <c r="A77" s="63">
        <v>3</v>
      </c>
      <c r="B77" s="82" t="s">
        <v>866</v>
      </c>
      <c r="C77" s="83"/>
      <c r="D77" s="84">
        <f>SUM(D78:D79)</f>
        <v>651146704762</v>
      </c>
      <c r="E77" s="84">
        <f t="shared" ref="E77:F77" si="0">SUM(E78:E79)</f>
        <v>76565688160</v>
      </c>
      <c r="F77" s="84">
        <f t="shared" si="0"/>
        <v>732211167081</v>
      </c>
      <c r="G77" s="76"/>
    </row>
    <row r="78" spans="1:7" ht="62.65" customHeight="1">
      <c r="A78" s="63"/>
      <c r="B78" s="82" t="s">
        <v>291</v>
      </c>
      <c r="C78" s="83"/>
      <c r="D78" s="93">
        <v>961853905123</v>
      </c>
      <c r="E78" s="93">
        <v>98241194677</v>
      </c>
      <c r="F78" s="93">
        <v>1075704446847</v>
      </c>
      <c r="G78" s="76"/>
    </row>
    <row r="79" spans="1:7" ht="46.9" customHeight="1">
      <c r="A79" s="63"/>
      <c r="B79" s="82" t="s">
        <v>292</v>
      </c>
      <c r="C79" s="83"/>
      <c r="D79" s="93">
        <v>-310707200361</v>
      </c>
      <c r="E79" s="93">
        <v>-21675506517</v>
      </c>
      <c r="F79" s="84">
        <v>-343493279766</v>
      </c>
      <c r="G79" s="76"/>
    </row>
    <row r="80" spans="1:7" s="81" customFormat="1" ht="37.9" customHeight="1">
      <c r="A80" s="60" t="s">
        <v>58</v>
      </c>
      <c r="B80" s="77" t="s">
        <v>78</v>
      </c>
      <c r="C80" s="78"/>
      <c r="D80" s="79">
        <v>1022112366128</v>
      </c>
      <c r="E80" s="79">
        <v>361357528100</v>
      </c>
      <c r="F80" s="79">
        <v>1022112366128</v>
      </c>
      <c r="G80" s="80"/>
    </row>
    <row r="81" spans="1:7" s="81" customFormat="1" ht="57.4" customHeight="1">
      <c r="A81" s="60" t="s">
        <v>59</v>
      </c>
      <c r="B81" s="77" t="s">
        <v>247</v>
      </c>
      <c r="C81" s="78"/>
      <c r="D81" s="79">
        <v>0</v>
      </c>
      <c r="E81" s="79">
        <v>0</v>
      </c>
      <c r="F81" s="79">
        <v>0</v>
      </c>
      <c r="G81" s="96"/>
    </row>
    <row r="82" spans="1:7" ht="57" customHeight="1">
      <c r="A82" s="61"/>
      <c r="B82" s="82" t="s">
        <v>248</v>
      </c>
      <c r="C82" s="83"/>
      <c r="D82" s="105">
        <v>0</v>
      </c>
      <c r="E82" s="105">
        <v>0</v>
      </c>
      <c r="F82" s="105">
        <v>0</v>
      </c>
      <c r="G82" s="96"/>
    </row>
    <row r="85" spans="1:7" ht="16.899999999999999" customHeight="1">
      <c r="A85" s="97" t="str">
        <f>TONGQUAN!C16</f>
        <v>Đại diện có thẩm quyền của Ngân hàng giám sát</v>
      </c>
      <c r="D85" s="97" t="str">
        <f>TONGQUAN!F16</f>
        <v>Đại diện có thẩm quyền của Công ty quản lý Quỹ</v>
      </c>
    </row>
    <row r="86" spans="1:7" s="99" customFormat="1" ht="16.899999999999999" customHeight="1">
      <c r="A86" s="98" t="str">
        <f>TONGQUAN!C17</f>
        <v>Authorised Representative of Supervisory Bank</v>
      </c>
      <c r="B86" s="98"/>
      <c r="C86" s="98"/>
      <c r="D86" s="98" t="str">
        <f>TONGQUAN!F17</f>
        <v>Authorised Representative of Fund Management Company</v>
      </c>
      <c r="E86" s="98"/>
      <c r="F86" s="98"/>
      <c r="G86" s="98"/>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0" t="str">
        <f>TONGQUAN!C19</f>
        <v>Ngân hàng TNHH MTV Standard Chartered (Việt Nam)</v>
      </c>
      <c r="B94" s="101"/>
      <c r="D94" s="100" t="str">
        <f>TONGQUAN!F19</f>
        <v>Công ty Cổ phần Quản lý Quỹ Đầu tư Dragon Capital Việt Nam</v>
      </c>
      <c r="E94" s="101"/>
      <c r="F94" s="101"/>
    </row>
    <row r="95" spans="1:7" ht="16.899999999999999" customHeight="1">
      <c r="A95" s="97" t="str">
        <f>TONGQUAN!C20</f>
        <v>Trịnh Hoài Nam</v>
      </c>
      <c r="D95" s="97" t="str">
        <f>TONGQUAN!F20</f>
        <v>Nguyễn Minh Đăng Khánh</v>
      </c>
    </row>
    <row r="96" spans="1:7" ht="16.899999999999999" customHeight="1">
      <c r="A96" s="58" t="str">
        <f>TONGQUAN!C21</f>
        <v>Phó phòng Dịch vụ Quản trị và Giám sát Quỹ</v>
      </c>
      <c r="D96" s="58" t="str">
        <f>TONGQUAN!F21</f>
        <v>Giám đốc điều hành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8"/>
  <sheetViews>
    <sheetView view="pageBreakPreview" zoomScale="95" zoomScaleNormal="100" zoomScaleSheetLayoutView="95" workbookViewId="0">
      <selection activeCell="C20" sqref="C20:C64"/>
    </sheetView>
  </sheetViews>
  <sheetFormatPr defaultColWidth="8.7109375" defaultRowHeight="12.75"/>
  <cols>
    <col min="1" max="1" width="9" style="58" customWidth="1"/>
    <col min="2" max="2" width="42.5703125" style="58" customWidth="1"/>
    <col min="3" max="3" width="9.28515625" style="58" customWidth="1"/>
    <col min="4" max="4" width="17.85546875" style="58" customWidth="1"/>
    <col min="5" max="6" width="20.5703125" style="58" customWidth="1"/>
    <col min="7" max="7" width="18.7109375" style="58" customWidth="1"/>
    <col min="8" max="16384" width="8.7109375" style="103"/>
  </cols>
  <sheetData>
    <row r="1" spans="1:7" ht="25.9" customHeight="1">
      <c r="A1" s="246" t="s">
        <v>563</v>
      </c>
      <c r="B1" s="246"/>
      <c r="C1" s="246"/>
      <c r="D1" s="246"/>
      <c r="E1" s="246"/>
      <c r="F1" s="246"/>
      <c r="G1" s="246"/>
    </row>
    <row r="2" spans="1:7" ht="44.45" customHeight="1">
      <c r="A2" s="247" t="s">
        <v>564</v>
      </c>
      <c r="B2" s="247"/>
      <c r="C2" s="247"/>
      <c r="D2" s="247"/>
      <c r="E2" s="247"/>
      <c r="F2" s="247"/>
      <c r="G2" s="247"/>
    </row>
    <row r="3" spans="1:7" ht="15" customHeight="1">
      <c r="A3" s="248" t="s">
        <v>565</v>
      </c>
      <c r="B3" s="248"/>
      <c r="C3" s="248"/>
      <c r="D3" s="248"/>
      <c r="E3" s="248"/>
      <c r="F3" s="248"/>
      <c r="G3" s="248"/>
    </row>
    <row r="4" spans="1:7" ht="27.4" customHeight="1">
      <c r="A4" s="248"/>
      <c r="B4" s="248"/>
      <c r="C4" s="248"/>
      <c r="D4" s="248"/>
      <c r="E4" s="248"/>
      <c r="F4" s="248"/>
      <c r="G4" s="248"/>
    </row>
    <row r="5" spans="1:7" ht="16.899999999999999" customHeight="1">
      <c r="A5" s="249" t="str">
        <f>TONGQUAN!C1</f>
        <v>Tại ngày 30 tháng 09 năm 2022
/ As at 30 Sep 2022</v>
      </c>
      <c r="B5" s="249"/>
      <c r="C5" s="249"/>
      <c r="D5" s="249"/>
      <c r="E5" s="249"/>
      <c r="F5" s="249"/>
      <c r="G5" s="249"/>
    </row>
    <row r="6" spans="1:7" ht="16.899999999999999" customHeight="1"/>
    <row r="7" spans="1:7" ht="16.899999999999999" customHeight="1">
      <c r="A7" s="170" t="s">
        <v>2</v>
      </c>
      <c r="C7" s="272" t="str">
        <f>TONGQUAN!D5</f>
        <v>Công ty Cổ phần Quản lý Quỹ Đầu tư Dragon Capital Việt Nam</v>
      </c>
      <c r="D7" s="272"/>
      <c r="E7" s="272"/>
      <c r="F7" s="272"/>
      <c r="G7" s="272"/>
    </row>
    <row r="8" spans="1:7" ht="16.899999999999999" customHeight="1">
      <c r="A8" s="58" t="s">
        <v>40</v>
      </c>
      <c r="C8" s="263" t="str">
        <f>TONGQUAN!D6</f>
        <v>Dragon Capital Vietfund Management Joint Stock Company</v>
      </c>
      <c r="D8" s="263"/>
      <c r="E8" s="263"/>
      <c r="F8" s="263"/>
      <c r="G8" s="263"/>
    </row>
    <row r="9" spans="1:7" ht="16.899999999999999" customHeight="1">
      <c r="A9" s="170" t="s">
        <v>3</v>
      </c>
      <c r="C9" s="272" t="str">
        <f>TONGQUAN!D7</f>
        <v>Ngân hàng TNHH Một thành viên Standard Chartered (Việt Nam)</v>
      </c>
      <c r="D9" s="272"/>
      <c r="E9" s="272"/>
      <c r="F9" s="272"/>
      <c r="G9" s="272"/>
    </row>
    <row r="10" spans="1:7" ht="16.899999999999999" customHeight="1">
      <c r="A10" s="58" t="s">
        <v>4</v>
      </c>
      <c r="C10" s="263" t="str">
        <f>TONGQUAN!D8</f>
        <v>Standard Chartered Bank (Vietnam) Limited</v>
      </c>
      <c r="D10" s="263"/>
      <c r="E10" s="263"/>
      <c r="F10" s="263"/>
      <c r="G10" s="263"/>
    </row>
    <row r="11" spans="1:7" ht="16.899999999999999" customHeight="1">
      <c r="A11" s="173" t="s">
        <v>5</v>
      </c>
      <c r="C11" s="272" t="str">
        <f>TONGQUAN!D9</f>
        <v>Quỹ Đầu tư Trái phiếu Gia tăng Thu nhập Cố định DC</v>
      </c>
      <c r="D11" s="272"/>
      <c r="E11" s="272"/>
      <c r="F11" s="272"/>
      <c r="G11" s="272"/>
    </row>
    <row r="12" spans="1:7" ht="16.899999999999999" customHeight="1">
      <c r="A12" s="58" t="s">
        <v>6</v>
      </c>
      <c r="C12" s="263" t="str">
        <f>TONGQUAN!D10</f>
        <v>DC Income Plus Bond Fund(VFMVFC)</v>
      </c>
      <c r="D12" s="263"/>
      <c r="E12" s="263"/>
      <c r="F12" s="263"/>
      <c r="G12" s="263"/>
    </row>
    <row r="13" spans="1:7" ht="16.899999999999999" customHeight="1">
      <c r="A13" s="170" t="s">
        <v>7</v>
      </c>
      <c r="C13" s="272" t="str">
        <f>TONGQUAN!D11</f>
        <v>Ngày 05 tháng 10 năm 2022</v>
      </c>
      <c r="D13" s="272"/>
      <c r="E13" s="272"/>
      <c r="F13" s="272"/>
      <c r="G13" s="272"/>
    </row>
    <row r="14" spans="1:7" ht="16.899999999999999" customHeight="1">
      <c r="A14" s="58" t="s">
        <v>8</v>
      </c>
      <c r="C14" s="263" t="str">
        <f>TONGQUAN!D12</f>
        <v>05 Oct 2022</v>
      </c>
      <c r="D14" s="263"/>
      <c r="E14" s="263"/>
      <c r="F14" s="263"/>
      <c r="G14" s="263"/>
    </row>
    <row r="15" spans="1:7" ht="18" hidden="1" customHeight="1"/>
    <row r="16" spans="1:7" ht="16.899999999999999" customHeight="1"/>
    <row r="17" spans="1:7" ht="16.899999999999999" customHeight="1">
      <c r="A17" s="72" t="s">
        <v>53</v>
      </c>
      <c r="B17" s="73" t="s">
        <v>567</v>
      </c>
    </row>
    <row r="18" spans="1:7" ht="75.400000000000006" customHeight="1">
      <c r="A18" s="104" t="s">
        <v>188</v>
      </c>
      <c r="B18" s="104" t="s">
        <v>79</v>
      </c>
      <c r="C18" s="104" t="s">
        <v>44</v>
      </c>
      <c r="D18" s="104" t="s">
        <v>80</v>
      </c>
      <c r="E18" s="104" t="s">
        <v>81</v>
      </c>
      <c r="F18" s="104" t="s">
        <v>82</v>
      </c>
      <c r="G18" s="104" t="s">
        <v>83</v>
      </c>
    </row>
    <row r="19" spans="1:7" ht="68.099999999999994" customHeight="1">
      <c r="A19" s="226" t="s">
        <v>41</v>
      </c>
      <c r="B19" s="225" t="s">
        <v>867</v>
      </c>
      <c r="C19" s="226"/>
      <c r="D19" s="228"/>
      <c r="E19" s="228"/>
      <c r="F19" s="228"/>
      <c r="G19" s="227"/>
    </row>
    <row r="20" spans="1:7" ht="72" customHeight="1">
      <c r="A20" s="226" t="s">
        <v>47</v>
      </c>
      <c r="B20" s="225" t="s">
        <v>868</v>
      </c>
      <c r="C20" s="226"/>
      <c r="D20" s="228"/>
      <c r="E20" s="228"/>
      <c r="F20" s="228"/>
      <c r="G20" s="227"/>
    </row>
    <row r="21" spans="1:7" ht="39" customHeight="1">
      <c r="A21" s="226"/>
      <c r="B21" s="225" t="s">
        <v>714</v>
      </c>
      <c r="C21" s="226"/>
      <c r="D21" s="228"/>
      <c r="E21" s="228"/>
      <c r="F21" s="228"/>
      <c r="G21" s="227"/>
    </row>
    <row r="22" spans="1:7" ht="86.45" customHeight="1">
      <c r="A22" s="226" t="s">
        <v>53</v>
      </c>
      <c r="B22" s="225" t="s">
        <v>869</v>
      </c>
      <c r="C22" s="226"/>
      <c r="D22" s="228"/>
      <c r="E22" s="228"/>
      <c r="F22" s="228"/>
      <c r="G22" s="227"/>
    </row>
    <row r="23" spans="1:7" ht="39" customHeight="1">
      <c r="A23" s="226"/>
      <c r="B23" s="225" t="s">
        <v>715</v>
      </c>
      <c r="C23" s="226"/>
      <c r="D23" s="228">
        <v>0</v>
      </c>
      <c r="E23" s="228"/>
      <c r="F23" s="228">
        <v>0</v>
      </c>
      <c r="G23" s="227">
        <v>0</v>
      </c>
    </row>
    <row r="24" spans="1:7" ht="39" customHeight="1">
      <c r="A24" s="226"/>
      <c r="B24" s="225" t="s">
        <v>716</v>
      </c>
      <c r="C24" s="226"/>
      <c r="D24" s="228"/>
      <c r="E24" s="228"/>
      <c r="F24" s="228"/>
      <c r="G24" s="227"/>
    </row>
    <row r="25" spans="1:7" ht="39" customHeight="1">
      <c r="A25" s="226" t="s">
        <v>54</v>
      </c>
      <c r="B25" s="225" t="s">
        <v>717</v>
      </c>
      <c r="C25" s="226"/>
      <c r="D25" s="228"/>
      <c r="E25" s="228"/>
      <c r="F25" s="228"/>
      <c r="G25" s="227"/>
    </row>
    <row r="26" spans="1:7" ht="39" customHeight="1">
      <c r="A26" s="221" t="s">
        <v>718</v>
      </c>
      <c r="B26" s="220" t="s">
        <v>719</v>
      </c>
      <c r="C26" s="222"/>
      <c r="D26" s="224"/>
      <c r="E26" s="230"/>
      <c r="F26" s="224">
        <v>576115043700</v>
      </c>
      <c r="G26" s="223">
        <v>0.53813246608792698</v>
      </c>
    </row>
    <row r="27" spans="1:7" ht="33.950000000000003" customHeight="1">
      <c r="A27" s="221" t="s">
        <v>720</v>
      </c>
      <c r="B27" s="220" t="s">
        <v>721</v>
      </c>
      <c r="C27" s="222"/>
      <c r="D27" s="224">
        <v>200000</v>
      </c>
      <c r="E27" s="230">
        <v>99924</v>
      </c>
      <c r="F27" s="224">
        <v>19984800000</v>
      </c>
      <c r="G27" s="223">
        <v>1.8667225974876901E-2</v>
      </c>
    </row>
    <row r="28" spans="1:7" ht="33.950000000000003" customHeight="1">
      <c r="A28" s="221" t="s">
        <v>722</v>
      </c>
      <c r="B28" s="220" t="s">
        <v>723</v>
      </c>
      <c r="C28" s="222"/>
      <c r="D28" s="224">
        <v>1070000</v>
      </c>
      <c r="E28" s="230">
        <v>99785</v>
      </c>
      <c r="F28" s="224">
        <v>106769950000</v>
      </c>
      <c r="G28" s="223">
        <v>9.9730734557078995E-2</v>
      </c>
    </row>
    <row r="29" spans="1:7" ht="33.950000000000003" customHeight="1">
      <c r="A29" s="221" t="s">
        <v>724</v>
      </c>
      <c r="B29" s="220" t="s">
        <v>725</v>
      </c>
      <c r="C29" s="222"/>
      <c r="D29" s="224">
        <v>1170000</v>
      </c>
      <c r="E29" s="230">
        <v>101073</v>
      </c>
      <c r="F29" s="224">
        <v>118255410000</v>
      </c>
      <c r="G29" s="223">
        <v>0.110458971879715</v>
      </c>
    </row>
    <row r="30" spans="1:7" ht="33.950000000000003" customHeight="1">
      <c r="A30" s="221" t="s">
        <v>726</v>
      </c>
      <c r="B30" s="220" t="s">
        <v>727</v>
      </c>
      <c r="C30" s="222"/>
      <c r="D30" s="224">
        <v>1300000</v>
      </c>
      <c r="E30" s="230">
        <v>100129</v>
      </c>
      <c r="F30" s="224">
        <v>130167700000</v>
      </c>
      <c r="G30" s="223">
        <v>0.121585898809595</v>
      </c>
    </row>
    <row r="31" spans="1:7" ht="33.950000000000003" customHeight="1">
      <c r="A31" s="221" t="s">
        <v>728</v>
      </c>
      <c r="B31" s="220" t="s">
        <v>729</v>
      </c>
      <c r="C31" s="222"/>
      <c r="D31" s="224">
        <v>100000</v>
      </c>
      <c r="E31" s="230">
        <v>100199</v>
      </c>
      <c r="F31" s="224">
        <v>10019900000</v>
      </c>
      <c r="G31" s="223">
        <v>9.3592999452418602E-3</v>
      </c>
    </row>
    <row r="32" spans="1:7" ht="33.950000000000003" customHeight="1">
      <c r="A32" s="221" t="s">
        <v>730</v>
      </c>
      <c r="B32" s="220" t="s">
        <v>731</v>
      </c>
      <c r="C32" s="222"/>
      <c r="D32" s="224">
        <v>15</v>
      </c>
      <c r="E32" s="230">
        <v>1001464780</v>
      </c>
      <c r="F32" s="224">
        <v>15021971700</v>
      </c>
      <c r="G32" s="223">
        <v>1.40315910247842E-2</v>
      </c>
    </row>
    <row r="33" spans="1:7" ht="33.950000000000003" customHeight="1">
      <c r="A33" s="221" t="s">
        <v>732</v>
      </c>
      <c r="B33" s="220" t="s">
        <v>733</v>
      </c>
      <c r="C33" s="222"/>
      <c r="D33" s="224">
        <v>159200</v>
      </c>
      <c r="E33" s="230">
        <v>100360</v>
      </c>
      <c r="F33" s="224">
        <v>15977312000</v>
      </c>
      <c r="G33" s="223">
        <v>1.49239468783832E-2</v>
      </c>
    </row>
    <row r="34" spans="1:7" ht="33.950000000000003" customHeight="1">
      <c r="A34" s="221" t="s">
        <v>734</v>
      </c>
      <c r="B34" s="220" t="s">
        <v>735</v>
      </c>
      <c r="C34" s="222"/>
      <c r="D34" s="224">
        <v>1400000</v>
      </c>
      <c r="E34" s="230">
        <v>99932</v>
      </c>
      <c r="F34" s="224">
        <v>139904800000</v>
      </c>
      <c r="G34" s="223">
        <v>0.130681043421499</v>
      </c>
    </row>
    <row r="35" spans="1:7" ht="33.950000000000003" customHeight="1">
      <c r="A35" s="221" t="s">
        <v>736</v>
      </c>
      <c r="B35" s="220" t="s">
        <v>737</v>
      </c>
      <c r="C35" s="222"/>
      <c r="D35" s="224">
        <v>200000</v>
      </c>
      <c r="E35" s="230">
        <v>100066</v>
      </c>
      <c r="F35" s="224">
        <v>20013200000</v>
      </c>
      <c r="G35" s="223">
        <v>1.86937535967539E-2</v>
      </c>
    </row>
    <row r="36" spans="1:7" ht="39" customHeight="1">
      <c r="A36" s="221" t="s">
        <v>738</v>
      </c>
      <c r="B36" s="220" t="s">
        <v>739</v>
      </c>
      <c r="C36" s="222"/>
      <c r="D36" s="224"/>
      <c r="E36" s="230"/>
      <c r="F36" s="224">
        <v>99082914650</v>
      </c>
      <c r="G36" s="223">
        <v>9.2550496278221206E-2</v>
      </c>
    </row>
    <row r="37" spans="1:7" ht="33.950000000000003" customHeight="1">
      <c r="A37" s="221" t="s">
        <v>740</v>
      </c>
      <c r="B37" s="220" t="s">
        <v>741</v>
      </c>
      <c r="C37" s="222"/>
      <c r="D37" s="224">
        <v>280</v>
      </c>
      <c r="E37" s="230">
        <v>100285698</v>
      </c>
      <c r="F37" s="224">
        <v>28079995440</v>
      </c>
      <c r="G37" s="223">
        <v>2.6228714835875001E-2</v>
      </c>
    </row>
    <row r="38" spans="1:7" ht="33.950000000000003" customHeight="1">
      <c r="A38" s="221" t="s">
        <v>742</v>
      </c>
      <c r="B38" s="220" t="s">
        <v>743</v>
      </c>
      <c r="C38" s="222"/>
      <c r="D38" s="224">
        <v>10</v>
      </c>
      <c r="E38" s="230">
        <v>1000000000</v>
      </c>
      <c r="F38" s="224">
        <v>10000000000</v>
      </c>
      <c r="G38" s="223">
        <v>9.3407119285041293E-3</v>
      </c>
    </row>
    <row r="39" spans="1:7" ht="33.950000000000003" customHeight="1">
      <c r="A39" s="221" t="s">
        <v>744</v>
      </c>
      <c r="B39" s="220" t="s">
        <v>745</v>
      </c>
      <c r="C39" s="222"/>
      <c r="D39" s="224">
        <v>40</v>
      </c>
      <c r="E39" s="230">
        <v>1000000000</v>
      </c>
      <c r="F39" s="224">
        <v>40000000000</v>
      </c>
      <c r="G39" s="223">
        <v>3.7362847714016503E-2</v>
      </c>
    </row>
    <row r="40" spans="1:7" ht="33.950000000000003" customHeight="1">
      <c r="A40" s="221" t="s">
        <v>746</v>
      </c>
      <c r="B40" s="220" t="s">
        <v>747</v>
      </c>
      <c r="C40" s="222"/>
      <c r="D40" s="224">
        <v>210</v>
      </c>
      <c r="E40" s="230">
        <v>100013901</v>
      </c>
      <c r="F40" s="224">
        <v>21002919210</v>
      </c>
      <c r="G40" s="223">
        <v>1.96182217998256E-2</v>
      </c>
    </row>
    <row r="41" spans="1:7" ht="39" customHeight="1">
      <c r="A41" s="226"/>
      <c r="B41" s="225" t="s">
        <v>748</v>
      </c>
      <c r="C41" s="226"/>
      <c r="D41" s="228"/>
      <c r="E41" s="228"/>
      <c r="F41" s="228">
        <v>675197958350</v>
      </c>
      <c r="G41" s="227">
        <v>0.63068296236614796</v>
      </c>
    </row>
    <row r="42" spans="1:7" ht="39" customHeight="1">
      <c r="A42" s="226" t="s">
        <v>55</v>
      </c>
      <c r="B42" s="225" t="s">
        <v>749</v>
      </c>
      <c r="C42" s="226"/>
      <c r="D42" s="228"/>
      <c r="E42" s="228"/>
      <c r="F42" s="228"/>
      <c r="G42" s="227"/>
    </row>
    <row r="43" spans="1:7" ht="39" customHeight="1">
      <c r="A43" s="221" t="s">
        <v>750</v>
      </c>
      <c r="B43" s="220" t="s">
        <v>751</v>
      </c>
      <c r="C43" s="222"/>
      <c r="D43" s="224">
        <v>0</v>
      </c>
      <c r="E43" s="230"/>
      <c r="F43" s="224">
        <v>0</v>
      </c>
      <c r="G43" s="223">
        <v>0</v>
      </c>
    </row>
    <row r="44" spans="1:7" ht="39" customHeight="1">
      <c r="A44" s="221" t="s">
        <v>752</v>
      </c>
      <c r="B44" s="220" t="s">
        <v>753</v>
      </c>
      <c r="C44" s="222"/>
      <c r="D44" s="224">
        <v>0</v>
      </c>
      <c r="E44" s="230"/>
      <c r="F44" s="224">
        <v>0</v>
      </c>
      <c r="G44" s="223">
        <v>0</v>
      </c>
    </row>
    <row r="45" spans="1:7" ht="33.950000000000003" customHeight="1">
      <c r="A45" s="226"/>
      <c r="B45" s="225" t="s">
        <v>754</v>
      </c>
      <c r="C45" s="226"/>
      <c r="D45" s="228"/>
      <c r="E45" s="228"/>
      <c r="F45" s="228">
        <v>0</v>
      </c>
      <c r="G45" s="227">
        <v>0</v>
      </c>
    </row>
    <row r="46" spans="1:7" ht="39" customHeight="1">
      <c r="A46" s="226"/>
      <c r="B46" s="225" t="s">
        <v>755</v>
      </c>
      <c r="C46" s="226"/>
      <c r="D46" s="228"/>
      <c r="E46" s="228"/>
      <c r="F46" s="228">
        <v>675197958350</v>
      </c>
      <c r="G46" s="227">
        <v>0.63068296236614796</v>
      </c>
    </row>
    <row r="47" spans="1:7" ht="39" customHeight="1">
      <c r="A47" s="226" t="s">
        <v>56</v>
      </c>
      <c r="B47" s="225" t="s">
        <v>756</v>
      </c>
      <c r="C47" s="226"/>
      <c r="D47" s="228"/>
      <c r="E47" s="228"/>
      <c r="F47" s="228"/>
      <c r="G47" s="227"/>
    </row>
    <row r="48" spans="1:7" ht="39" customHeight="1">
      <c r="A48" s="221" t="s">
        <v>757</v>
      </c>
      <c r="B48" s="220" t="s">
        <v>758</v>
      </c>
      <c r="C48" s="222"/>
      <c r="D48" s="224"/>
      <c r="E48" s="230"/>
      <c r="F48" s="224">
        <v>0</v>
      </c>
      <c r="G48" s="223">
        <v>0</v>
      </c>
    </row>
    <row r="49" spans="1:7" ht="39" customHeight="1">
      <c r="A49" s="221" t="s">
        <v>759</v>
      </c>
      <c r="B49" s="220" t="s">
        <v>760</v>
      </c>
      <c r="C49" s="222"/>
      <c r="D49" s="224"/>
      <c r="E49" s="230"/>
      <c r="F49" s="224">
        <v>19742010958</v>
      </c>
      <c r="G49" s="223">
        <v>1.8440443724805002E-2</v>
      </c>
    </row>
    <row r="50" spans="1:7" ht="47.1" customHeight="1">
      <c r="A50" s="221" t="s">
        <v>761</v>
      </c>
      <c r="B50" s="220" t="s">
        <v>762</v>
      </c>
      <c r="C50" s="222"/>
      <c r="D50" s="224"/>
      <c r="E50" s="230"/>
      <c r="F50" s="224">
        <v>6944326578</v>
      </c>
      <c r="G50" s="223">
        <v>6.4864954102552899E-3</v>
      </c>
    </row>
    <row r="51" spans="1:7" ht="45" customHeight="1">
      <c r="A51" s="221" t="s">
        <v>763</v>
      </c>
      <c r="B51" s="220" t="s">
        <v>764</v>
      </c>
      <c r="C51" s="222"/>
      <c r="D51" s="224"/>
      <c r="E51" s="230"/>
      <c r="F51" s="224">
        <v>0</v>
      </c>
      <c r="G51" s="223">
        <v>0</v>
      </c>
    </row>
    <row r="52" spans="1:7" ht="57" customHeight="1">
      <c r="A52" s="221" t="s">
        <v>765</v>
      </c>
      <c r="B52" s="220" t="s">
        <v>766</v>
      </c>
      <c r="C52" s="222"/>
      <c r="D52" s="224"/>
      <c r="E52" s="230"/>
      <c r="F52" s="224">
        <v>0</v>
      </c>
      <c r="G52" s="223">
        <v>0</v>
      </c>
    </row>
    <row r="53" spans="1:7" ht="39" customHeight="1">
      <c r="A53" s="221" t="s">
        <v>767</v>
      </c>
      <c r="B53" s="220" t="s">
        <v>768</v>
      </c>
      <c r="C53" s="222"/>
      <c r="D53" s="224"/>
      <c r="E53" s="230"/>
      <c r="F53" s="224">
        <v>110000</v>
      </c>
      <c r="G53" s="223">
        <v>1.02747831213545E-7</v>
      </c>
    </row>
    <row r="54" spans="1:7" ht="39" customHeight="1">
      <c r="A54" s="221" t="s">
        <v>769</v>
      </c>
      <c r="B54" s="220" t="s">
        <v>770</v>
      </c>
      <c r="C54" s="222"/>
      <c r="D54" s="224"/>
      <c r="E54" s="230"/>
      <c r="F54" s="224">
        <v>0</v>
      </c>
      <c r="G54" s="223">
        <v>0</v>
      </c>
    </row>
    <row r="55" spans="1:7" ht="39" customHeight="1">
      <c r="A55" s="226"/>
      <c r="B55" s="225" t="s">
        <v>771</v>
      </c>
      <c r="C55" s="226"/>
      <c r="D55" s="228"/>
      <c r="E55" s="228"/>
      <c r="F55" s="228">
        <v>26686447536</v>
      </c>
      <c r="G55" s="227">
        <v>2.49270418828915E-2</v>
      </c>
    </row>
    <row r="56" spans="1:7" ht="39" customHeight="1">
      <c r="A56" s="226" t="s">
        <v>57</v>
      </c>
      <c r="B56" s="225" t="s">
        <v>772</v>
      </c>
      <c r="C56" s="226"/>
      <c r="D56" s="228"/>
      <c r="E56" s="228"/>
      <c r="F56" s="228"/>
      <c r="G56" s="227"/>
    </row>
    <row r="57" spans="1:7" ht="39" customHeight="1">
      <c r="A57" s="221" t="s">
        <v>342</v>
      </c>
      <c r="B57" s="220" t="s">
        <v>870</v>
      </c>
      <c r="C57" s="222"/>
      <c r="D57" s="224"/>
      <c r="E57" s="230"/>
      <c r="F57" s="224">
        <f>SUM(F58:F59)</f>
        <v>147951287500</v>
      </c>
      <c r="G57" s="223">
        <f>SUM(G58:G59)</f>
        <v>0.13819703559887941</v>
      </c>
    </row>
    <row r="58" spans="1:7" ht="39" customHeight="1">
      <c r="A58" s="221" t="s">
        <v>773</v>
      </c>
      <c r="B58" s="220" t="s">
        <v>774</v>
      </c>
      <c r="C58" s="222"/>
      <c r="D58" s="224"/>
      <c r="E58" s="230"/>
      <c r="F58" s="224">
        <v>78951287500</v>
      </c>
      <c r="G58" s="223">
        <v>7.3746123292200899E-2</v>
      </c>
    </row>
    <row r="59" spans="1:7" ht="39" customHeight="1">
      <c r="A59" s="221" t="s">
        <v>775</v>
      </c>
      <c r="B59" s="220" t="s">
        <v>776</v>
      </c>
      <c r="C59" s="222"/>
      <c r="D59" s="224"/>
      <c r="E59" s="230"/>
      <c r="F59" s="224">
        <v>69000000000</v>
      </c>
      <c r="G59" s="223">
        <v>6.4450912306678501E-2</v>
      </c>
    </row>
    <row r="60" spans="1:7" ht="39" customHeight="1">
      <c r="A60" s="239">
        <v>2</v>
      </c>
      <c r="B60" s="240" t="s">
        <v>871</v>
      </c>
      <c r="C60" s="222"/>
      <c r="D60" s="224"/>
      <c r="E60" s="230"/>
      <c r="F60" s="224">
        <v>30600000000</v>
      </c>
      <c r="G60" s="223">
        <v>2.85825785012227E-2</v>
      </c>
    </row>
    <row r="61" spans="1:7" ht="39" customHeight="1">
      <c r="A61" s="239">
        <v>3</v>
      </c>
      <c r="B61" s="240" t="s">
        <v>777</v>
      </c>
      <c r="C61" s="222"/>
      <c r="D61" s="224"/>
      <c r="E61" s="230"/>
      <c r="F61" s="224">
        <v>190146514538</v>
      </c>
      <c r="G61" s="223">
        <v>0.17761038165085799</v>
      </c>
    </row>
    <row r="62" spans="1:7" ht="39" customHeight="1">
      <c r="A62" s="239">
        <v>4</v>
      </c>
      <c r="B62" s="240" t="s">
        <v>778</v>
      </c>
      <c r="C62" s="222"/>
      <c r="D62" s="224"/>
      <c r="E62" s="230"/>
      <c r="F62" s="224">
        <v>0</v>
      </c>
      <c r="G62" s="223">
        <v>0</v>
      </c>
    </row>
    <row r="63" spans="1:7" ht="39" customHeight="1">
      <c r="A63" s="226"/>
      <c r="B63" s="225" t="s">
        <v>779</v>
      </c>
      <c r="C63" s="226"/>
      <c r="D63" s="228"/>
      <c r="E63" s="228"/>
      <c r="F63" s="228">
        <f>SUM(F62,F61,F60,F57)</f>
        <v>368697802038</v>
      </c>
      <c r="G63" s="227">
        <f>SUM(G62,G61,G60,G57)</f>
        <v>0.34438999575096008</v>
      </c>
    </row>
    <row r="64" spans="1:7" ht="39" customHeight="1">
      <c r="A64" s="226" t="s">
        <v>58</v>
      </c>
      <c r="B64" s="225" t="s">
        <v>780</v>
      </c>
      <c r="C64" s="226"/>
      <c r="D64" s="228"/>
      <c r="E64" s="228"/>
      <c r="F64" s="228">
        <v>1070582207924</v>
      </c>
      <c r="G64" s="227">
        <v>1</v>
      </c>
    </row>
    <row r="65" spans="1:7" ht="16.899999999999999" customHeight="1">
      <c r="A65" s="172"/>
      <c r="B65" s="106"/>
      <c r="C65" s="106"/>
      <c r="D65" s="106"/>
      <c r="E65" s="68"/>
      <c r="F65" s="106"/>
    </row>
    <row r="66" spans="1:7" ht="16.899999999999999" customHeight="1">
      <c r="A66" s="68" t="s">
        <v>10</v>
      </c>
      <c r="B66" s="106"/>
      <c r="C66" s="106"/>
      <c r="D66" s="106"/>
      <c r="E66" s="68" t="s">
        <v>11</v>
      </c>
      <c r="F66" s="106"/>
    </row>
    <row r="67" spans="1:7" ht="16.899999999999999" customHeight="1">
      <c r="A67" s="69" t="s">
        <v>12</v>
      </c>
      <c r="B67" s="106"/>
      <c r="C67" s="106"/>
      <c r="D67" s="106"/>
      <c r="E67" s="69" t="s">
        <v>13</v>
      </c>
      <c r="F67" s="106"/>
    </row>
    <row r="68" spans="1:7" ht="16.899999999999999" customHeight="1"/>
    <row r="69" spans="1:7" ht="16.899999999999999" customHeight="1">
      <c r="A69" s="97"/>
      <c r="E69" s="97"/>
    </row>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c r="A76" s="107" t="s">
        <v>14</v>
      </c>
      <c r="B76" s="101"/>
      <c r="C76" s="101"/>
      <c r="E76" s="107" t="s">
        <v>783</v>
      </c>
      <c r="F76" s="101"/>
      <c r="G76" s="101"/>
    </row>
    <row r="77" spans="1:7" ht="16.899999999999999" customHeight="1">
      <c r="A77" s="108" t="s">
        <v>791</v>
      </c>
      <c r="E77" s="108" t="s">
        <v>792</v>
      </c>
    </row>
    <row r="78" spans="1:7" ht="16.899999999999999" customHeight="1">
      <c r="A78" s="109" t="s">
        <v>793</v>
      </c>
      <c r="E78" s="110" t="s">
        <v>794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5" zoomScale="85" zoomScaleNormal="85" zoomScaleSheetLayoutView="85" workbookViewId="0">
      <selection activeCell="C19" sqref="C19:C28"/>
    </sheetView>
  </sheetViews>
  <sheetFormatPr defaultColWidth="9.140625" defaultRowHeight="15"/>
  <cols>
    <col min="1" max="1" width="4.85546875" style="210" customWidth="1"/>
    <col min="2" max="2" width="34.42578125" style="175" customWidth="1"/>
    <col min="3" max="4" width="9.140625" style="175"/>
    <col min="5" max="5" width="12.28515625" style="175" customWidth="1"/>
    <col min="6" max="6" width="9.140625" style="175"/>
    <col min="7" max="7" width="15.28515625" style="175" customWidth="1"/>
    <col min="8" max="11" width="19" style="175" customWidth="1"/>
    <col min="12" max="16384" width="9.140625" style="175"/>
  </cols>
  <sheetData>
    <row r="1" spans="1:11" s="174" customFormat="1" ht="26.25" customHeight="1">
      <c r="A1" s="273" t="s">
        <v>835</v>
      </c>
      <c r="B1" s="273"/>
      <c r="C1" s="273"/>
      <c r="D1" s="273"/>
      <c r="E1" s="273"/>
      <c r="F1" s="273"/>
      <c r="G1" s="273"/>
      <c r="H1" s="273"/>
      <c r="I1" s="273"/>
      <c r="J1" s="273"/>
      <c r="K1" s="273"/>
    </row>
    <row r="2" spans="1:11" ht="48.95" customHeight="1">
      <c r="A2" s="274" t="s">
        <v>836</v>
      </c>
      <c r="B2" s="274"/>
      <c r="C2" s="274"/>
      <c r="D2" s="274"/>
      <c r="E2" s="274"/>
      <c r="F2" s="274"/>
      <c r="G2" s="274"/>
      <c r="H2" s="274"/>
      <c r="I2" s="274"/>
      <c r="J2" s="274"/>
      <c r="K2" s="274"/>
    </row>
    <row r="3" spans="1:11" ht="19.149999999999999" customHeight="1">
      <c r="A3" s="275" t="s">
        <v>837</v>
      </c>
      <c r="B3" s="275"/>
      <c r="C3" s="275"/>
      <c r="D3" s="275"/>
      <c r="E3" s="275"/>
      <c r="F3" s="275"/>
      <c r="G3" s="275"/>
      <c r="H3" s="275"/>
      <c r="I3" s="275"/>
      <c r="J3" s="275"/>
      <c r="K3" s="275"/>
    </row>
    <row r="4" spans="1:11" ht="21.6" customHeight="1">
      <c r="A4" s="275"/>
      <c r="B4" s="275"/>
      <c r="C4" s="275"/>
      <c r="D4" s="275"/>
      <c r="E4" s="275"/>
      <c r="F4" s="275"/>
      <c r="G4" s="275"/>
      <c r="H4" s="275"/>
      <c r="I4" s="275"/>
      <c r="J4" s="275"/>
      <c r="K4" s="275"/>
    </row>
    <row r="5" spans="1:11">
      <c r="A5" s="276" t="str">
        <f>TONGQUAN!C2</f>
        <v>Quý III năm 2022
/ Quarter III 2022</v>
      </c>
      <c r="B5" s="276"/>
      <c r="C5" s="276"/>
      <c r="D5" s="276"/>
      <c r="E5" s="276"/>
      <c r="F5" s="276"/>
      <c r="G5" s="276"/>
      <c r="H5" s="276"/>
      <c r="I5" s="276"/>
      <c r="J5" s="276"/>
      <c r="K5" s="276"/>
    </row>
    <row r="6" spans="1:11">
      <c r="A6" s="176"/>
      <c r="B6" s="176"/>
      <c r="C6" s="176"/>
      <c r="D6" s="176"/>
      <c r="E6" s="176"/>
      <c r="F6" s="177"/>
      <c r="G6" s="178"/>
      <c r="H6" s="178"/>
      <c r="I6" s="178"/>
      <c r="J6" s="178"/>
      <c r="K6" s="178"/>
    </row>
    <row r="7" spans="1:11">
      <c r="A7" s="277" t="s">
        <v>2</v>
      </c>
      <c r="B7" s="278"/>
      <c r="C7" s="179"/>
      <c r="D7" s="179"/>
      <c r="E7" s="179"/>
      <c r="F7" s="179"/>
      <c r="G7" s="279" t="str">
        <f>TONGQUAN!D5</f>
        <v>Công ty Cổ phần Quản lý Quỹ Đầu tư Dragon Capital Việt Nam</v>
      </c>
      <c r="H7" s="279"/>
      <c r="I7" s="279"/>
      <c r="J7" s="279"/>
      <c r="K7" s="178"/>
    </row>
    <row r="8" spans="1:11" ht="15" customHeight="1">
      <c r="A8" s="280" t="s">
        <v>40</v>
      </c>
      <c r="B8" s="280"/>
      <c r="C8" s="179"/>
      <c r="D8" s="179"/>
      <c r="E8" s="179"/>
      <c r="F8" s="179"/>
      <c r="G8" s="281" t="str">
        <f>TONGQUAN!D6</f>
        <v>Dragon Capital Vietfund Management Joint Stock Company</v>
      </c>
      <c r="H8" s="281"/>
      <c r="I8" s="281"/>
      <c r="J8" s="281"/>
      <c r="K8" s="178"/>
    </row>
    <row r="9" spans="1:11">
      <c r="A9" s="282" t="s">
        <v>3</v>
      </c>
      <c r="B9" s="283"/>
      <c r="C9" s="179"/>
      <c r="D9" s="179"/>
      <c r="E9" s="179"/>
      <c r="F9" s="179"/>
      <c r="G9" s="284" t="str">
        <f>TONGQUAN!D7</f>
        <v>Ngân hàng TNHH Một thành viên Standard Chartered (Việt Nam)</v>
      </c>
      <c r="H9" s="284"/>
      <c r="I9" s="284"/>
      <c r="J9" s="284"/>
      <c r="K9" s="178"/>
    </row>
    <row r="10" spans="1:11" ht="15" customHeight="1">
      <c r="A10" s="283" t="s">
        <v>4</v>
      </c>
      <c r="B10" s="283"/>
      <c r="C10" s="179"/>
      <c r="D10" s="179"/>
      <c r="E10" s="179"/>
      <c r="F10" s="179"/>
      <c r="G10" s="281" t="str">
        <f>TONGQUAN!D8</f>
        <v>Standard Chartered Bank (Vietnam) Limited</v>
      </c>
      <c r="H10" s="281"/>
      <c r="I10" s="281"/>
      <c r="J10" s="281"/>
      <c r="K10" s="178"/>
    </row>
    <row r="11" spans="1:11" ht="15" customHeight="1">
      <c r="A11" s="282" t="s">
        <v>5</v>
      </c>
      <c r="B11" s="289"/>
      <c r="C11" s="179"/>
      <c r="D11" s="179"/>
      <c r="E11" s="179"/>
      <c r="F11" s="179"/>
      <c r="G11" s="279" t="str">
        <f>TONGQUAN!D9</f>
        <v>Quỹ Đầu tư Trái phiếu Gia tăng Thu nhập Cố định DC</v>
      </c>
      <c r="H11" s="279"/>
      <c r="I11" s="279"/>
      <c r="J11" s="279"/>
      <c r="K11" s="178"/>
    </row>
    <row r="12" spans="1:11" ht="15" customHeight="1">
      <c r="A12" s="180" t="s">
        <v>549</v>
      </c>
      <c r="B12" s="181"/>
      <c r="C12" s="179"/>
      <c r="D12" s="179"/>
      <c r="E12" s="179"/>
      <c r="F12" s="179"/>
      <c r="G12" s="281" t="str">
        <f>TONGQUAN!D10</f>
        <v>DC Income Plus Bond Fund(VFMVFC)</v>
      </c>
      <c r="H12" s="281"/>
      <c r="I12" s="281"/>
      <c r="J12" s="281"/>
      <c r="K12" s="178"/>
    </row>
    <row r="13" spans="1:11" ht="15" customHeight="1">
      <c r="A13" s="182" t="s">
        <v>7</v>
      </c>
      <c r="B13" s="183"/>
      <c r="C13" s="179"/>
      <c r="D13" s="179"/>
      <c r="E13" s="179"/>
      <c r="F13" s="179"/>
      <c r="G13" s="279" t="str">
        <f>TONGQUAN!D11</f>
        <v>Ngày 05 tháng 10 năm 2022</v>
      </c>
      <c r="H13" s="279"/>
      <c r="I13" s="279"/>
      <c r="J13" s="279"/>
      <c r="K13" s="178"/>
    </row>
    <row r="14" spans="1:11">
      <c r="A14" s="184" t="s">
        <v>8</v>
      </c>
      <c r="B14" s="184"/>
      <c r="C14" s="179"/>
      <c r="D14" s="179"/>
      <c r="E14" s="179"/>
      <c r="F14" s="179"/>
      <c r="G14" s="290" t="str">
        <f>TONGQUAN!D12</f>
        <v>05 Oct 2022</v>
      </c>
      <c r="H14" s="290"/>
      <c r="I14" s="290"/>
      <c r="J14" s="290"/>
      <c r="K14" s="178"/>
    </row>
    <row r="15" spans="1:11">
      <c r="A15" s="215" t="s">
        <v>838</v>
      </c>
      <c r="B15" s="216" t="s">
        <v>839</v>
      </c>
      <c r="C15" s="179"/>
      <c r="D15" s="179"/>
      <c r="E15" s="179"/>
      <c r="F15" s="179"/>
      <c r="G15" s="232"/>
      <c r="H15" s="232"/>
      <c r="I15" s="232"/>
      <c r="J15" s="232"/>
      <c r="K15" s="178"/>
    </row>
    <row r="16" spans="1:11">
      <c r="A16" s="215" t="s">
        <v>54</v>
      </c>
      <c r="B16" s="216" t="s">
        <v>568</v>
      </c>
      <c r="C16" s="178"/>
      <c r="D16" s="178"/>
      <c r="E16" s="178"/>
      <c r="F16" s="178"/>
      <c r="G16" s="178"/>
      <c r="H16" s="178"/>
      <c r="I16" s="178"/>
      <c r="J16" s="178"/>
      <c r="K16" s="178"/>
    </row>
    <row r="17" spans="1:11" s="186" customFormat="1" ht="37.5" customHeight="1">
      <c r="A17" s="285" t="s">
        <v>188</v>
      </c>
      <c r="B17" s="285" t="s">
        <v>550</v>
      </c>
      <c r="C17" s="291" t="s">
        <v>44</v>
      </c>
      <c r="D17" s="285" t="s">
        <v>551</v>
      </c>
      <c r="E17" s="285" t="s">
        <v>552</v>
      </c>
      <c r="F17" s="285" t="s">
        <v>553</v>
      </c>
      <c r="G17" s="285" t="s">
        <v>554</v>
      </c>
      <c r="H17" s="287" t="s">
        <v>555</v>
      </c>
      <c r="I17" s="288"/>
      <c r="J17" s="287" t="s">
        <v>556</v>
      </c>
      <c r="K17" s="288"/>
    </row>
    <row r="18" spans="1:11" s="186" customFormat="1" ht="73.5" customHeight="1">
      <c r="A18" s="286"/>
      <c r="B18" s="286"/>
      <c r="C18" s="292"/>
      <c r="D18" s="286"/>
      <c r="E18" s="286"/>
      <c r="F18" s="286"/>
      <c r="G18" s="286"/>
      <c r="H18" s="187" t="s">
        <v>557</v>
      </c>
      <c r="I18" s="187" t="s">
        <v>558</v>
      </c>
      <c r="J18" s="187" t="s">
        <v>559</v>
      </c>
      <c r="K18" s="187" t="s">
        <v>558</v>
      </c>
    </row>
    <row r="19" spans="1:11" s="186" customFormat="1" ht="47.25" customHeight="1">
      <c r="A19" s="188" t="s">
        <v>342</v>
      </c>
      <c r="B19" s="189" t="s">
        <v>569</v>
      </c>
      <c r="C19" s="188"/>
      <c r="D19" s="190"/>
      <c r="E19" s="190"/>
      <c r="F19" s="191"/>
      <c r="G19" s="192"/>
      <c r="H19" s="189"/>
      <c r="I19" s="193"/>
      <c r="J19" s="194"/>
      <c r="K19" s="195"/>
    </row>
    <row r="20" spans="1:11" s="186" customFormat="1" ht="45.75" customHeight="1">
      <c r="A20" s="188" t="s">
        <v>41</v>
      </c>
      <c r="B20" s="189" t="s">
        <v>570</v>
      </c>
      <c r="C20" s="188"/>
      <c r="D20" s="191"/>
      <c r="E20" s="191"/>
      <c r="F20" s="191"/>
      <c r="G20" s="192"/>
      <c r="H20" s="189"/>
      <c r="I20" s="193"/>
      <c r="J20" s="189"/>
      <c r="K20" s="193"/>
    </row>
    <row r="21" spans="1:11" s="186" customFormat="1" ht="45.75" customHeight="1">
      <c r="A21" s="188" t="s">
        <v>359</v>
      </c>
      <c r="B21" s="189" t="s">
        <v>571</v>
      </c>
      <c r="C21" s="188"/>
      <c r="D21" s="191"/>
      <c r="E21" s="191"/>
      <c r="F21" s="191"/>
      <c r="G21" s="190"/>
      <c r="H21" s="189"/>
      <c r="I21" s="196"/>
      <c r="J21" s="189"/>
      <c r="K21" s="196"/>
    </row>
    <row r="22" spans="1:11" s="186" customFormat="1" ht="44.25" customHeight="1">
      <c r="A22" s="188" t="s">
        <v>47</v>
      </c>
      <c r="B22" s="189" t="s">
        <v>572</v>
      </c>
      <c r="C22" s="188"/>
      <c r="D22" s="191"/>
      <c r="E22" s="191"/>
      <c r="F22" s="191"/>
      <c r="G22" s="192"/>
      <c r="H22" s="189"/>
      <c r="I22" s="193"/>
      <c r="J22" s="189"/>
      <c r="K22" s="193"/>
    </row>
    <row r="23" spans="1:11" s="186" customFormat="1" ht="44.25" customHeight="1">
      <c r="A23" s="188" t="s">
        <v>560</v>
      </c>
      <c r="B23" s="189" t="s">
        <v>573</v>
      </c>
      <c r="C23" s="188"/>
      <c r="D23" s="191"/>
      <c r="E23" s="191"/>
      <c r="F23" s="191"/>
      <c r="G23" s="192"/>
      <c r="H23" s="189"/>
      <c r="I23" s="193"/>
      <c r="J23" s="189"/>
      <c r="K23" s="193"/>
    </row>
    <row r="24" spans="1:11" s="186" customFormat="1" ht="57.75" customHeight="1">
      <c r="A24" s="188" t="s">
        <v>384</v>
      </c>
      <c r="B24" s="217" t="s">
        <v>574</v>
      </c>
      <c r="C24" s="188"/>
      <c r="D24" s="191"/>
      <c r="E24" s="191"/>
      <c r="F24" s="191"/>
      <c r="G24" s="192"/>
      <c r="H24" s="189"/>
      <c r="I24" s="193"/>
      <c r="J24" s="189"/>
      <c r="K24" s="193"/>
    </row>
    <row r="25" spans="1:11" s="186" customFormat="1" ht="44.25" customHeight="1">
      <c r="A25" s="188" t="s">
        <v>53</v>
      </c>
      <c r="B25" s="189" t="s">
        <v>575</v>
      </c>
      <c r="C25" s="188"/>
      <c r="D25" s="191"/>
      <c r="E25" s="191"/>
      <c r="F25" s="191"/>
      <c r="G25" s="192"/>
      <c r="H25" s="189"/>
      <c r="I25" s="193"/>
      <c r="J25" s="189"/>
      <c r="K25" s="193"/>
    </row>
    <row r="26" spans="1:11" s="186" customFormat="1" ht="51" customHeight="1">
      <c r="A26" s="188" t="s">
        <v>451</v>
      </c>
      <c r="B26" s="189" t="s">
        <v>576</v>
      </c>
      <c r="C26" s="188"/>
      <c r="D26" s="191"/>
      <c r="E26" s="191"/>
      <c r="F26" s="191"/>
      <c r="G26" s="192"/>
      <c r="H26" s="189"/>
      <c r="I26" s="193"/>
      <c r="J26" s="189"/>
      <c r="K26" s="193"/>
    </row>
    <row r="27" spans="1:11" s="186" customFormat="1" ht="44.25" customHeight="1">
      <c r="A27" s="188" t="s">
        <v>54</v>
      </c>
      <c r="B27" s="189" t="s">
        <v>575</v>
      </c>
      <c r="C27" s="188"/>
      <c r="D27" s="191"/>
      <c r="E27" s="191"/>
      <c r="F27" s="191"/>
      <c r="G27" s="192"/>
      <c r="H27" s="189"/>
      <c r="I27" s="193"/>
      <c r="J27" s="189"/>
      <c r="K27" s="193"/>
    </row>
    <row r="28" spans="1:11" s="186" customFormat="1" ht="44.25" customHeight="1">
      <c r="A28" s="188" t="s">
        <v>561</v>
      </c>
      <c r="B28" s="189" t="s">
        <v>577</v>
      </c>
      <c r="C28" s="188"/>
      <c r="D28" s="191"/>
      <c r="E28" s="191"/>
      <c r="F28" s="191"/>
      <c r="G28" s="192"/>
      <c r="H28" s="189"/>
      <c r="I28" s="193"/>
      <c r="J28" s="189"/>
      <c r="K28" s="193"/>
    </row>
    <row r="29" spans="1:11" s="186" customFormat="1" ht="12.75">
      <c r="A29" s="197"/>
      <c r="B29" s="198"/>
      <c r="C29" s="198"/>
      <c r="D29" s="191"/>
      <c r="E29" s="191"/>
      <c r="F29" s="191"/>
      <c r="G29" s="192"/>
      <c r="H29" s="189"/>
      <c r="I29" s="193"/>
      <c r="J29" s="194"/>
      <c r="K29" s="195"/>
    </row>
    <row r="30" spans="1:11" s="186" customFormat="1" ht="12.75">
      <c r="A30" s="199"/>
      <c r="B30" s="200"/>
      <c r="C30" s="200"/>
      <c r="D30" s="200"/>
      <c r="E30" s="200"/>
      <c r="F30" s="200"/>
      <c r="G30" s="200"/>
      <c r="H30" s="200"/>
      <c r="I30" s="200"/>
      <c r="J30" s="200"/>
      <c r="K30" s="200"/>
    </row>
    <row r="31" spans="1:11" s="186" customFormat="1" ht="12.75">
      <c r="A31" s="199"/>
      <c r="B31" s="200"/>
      <c r="C31" s="200"/>
      <c r="D31" s="200"/>
      <c r="E31" s="200"/>
      <c r="F31" s="200"/>
      <c r="G31" s="200"/>
      <c r="H31" s="200"/>
      <c r="I31" s="200"/>
      <c r="J31" s="200"/>
      <c r="K31" s="200"/>
    </row>
    <row r="32" spans="1:11" s="186" customFormat="1" ht="12.75">
      <c r="A32" s="199"/>
      <c r="B32" s="200"/>
      <c r="C32" s="200"/>
      <c r="D32" s="200"/>
      <c r="E32" s="200"/>
      <c r="F32" s="200"/>
      <c r="G32" s="200"/>
      <c r="H32" s="200"/>
      <c r="I32" s="200"/>
      <c r="J32" s="200"/>
      <c r="K32" s="200"/>
    </row>
    <row r="33" spans="1:11" s="186" customFormat="1" ht="12.75">
      <c r="A33" s="201" t="s">
        <v>10</v>
      </c>
      <c r="B33" s="202"/>
      <c r="C33" s="203"/>
      <c r="D33" s="200"/>
      <c r="E33" s="200"/>
      <c r="F33" s="200"/>
      <c r="G33" s="200"/>
      <c r="H33" s="200"/>
      <c r="I33" s="204" t="s">
        <v>11</v>
      </c>
      <c r="J33" s="200"/>
      <c r="K33" s="200"/>
    </row>
    <row r="34" spans="1:11" s="186" customFormat="1" ht="12.75">
      <c r="A34" s="205" t="s">
        <v>12</v>
      </c>
      <c r="B34" s="202"/>
      <c r="C34" s="203"/>
      <c r="D34" s="200"/>
      <c r="E34" s="200"/>
      <c r="F34" s="200"/>
      <c r="G34" s="200"/>
      <c r="H34" s="200"/>
      <c r="I34" s="206" t="s">
        <v>13</v>
      </c>
      <c r="J34" s="200"/>
      <c r="K34" s="200"/>
    </row>
    <row r="35" spans="1:11">
      <c r="A35" s="202"/>
      <c r="B35" s="202"/>
      <c r="C35" s="203"/>
      <c r="D35" s="178"/>
      <c r="E35" s="178"/>
      <c r="F35" s="178"/>
      <c r="G35" s="178"/>
      <c r="H35" s="178"/>
      <c r="I35" s="203"/>
      <c r="J35" s="178"/>
      <c r="K35" s="178"/>
    </row>
    <row r="36" spans="1:11">
      <c r="A36" s="202"/>
      <c r="B36" s="202"/>
      <c r="C36" s="203"/>
      <c r="D36" s="178"/>
      <c r="E36" s="178"/>
      <c r="F36" s="178"/>
      <c r="G36" s="178"/>
      <c r="H36" s="178"/>
      <c r="I36" s="203"/>
      <c r="J36" s="178"/>
      <c r="K36" s="178"/>
    </row>
    <row r="37" spans="1:11">
      <c r="A37" s="202"/>
      <c r="B37" s="202"/>
      <c r="C37" s="203"/>
      <c r="D37" s="178"/>
      <c r="E37" s="178"/>
      <c r="F37" s="178"/>
      <c r="G37" s="178"/>
      <c r="H37" s="178"/>
      <c r="I37" s="203"/>
      <c r="J37" s="178"/>
      <c r="K37" s="178"/>
    </row>
    <row r="38" spans="1:11">
      <c r="A38" s="202"/>
      <c r="B38" s="202"/>
      <c r="C38" s="203"/>
      <c r="D38" s="178"/>
      <c r="E38" s="178"/>
      <c r="F38" s="178"/>
      <c r="G38" s="178"/>
      <c r="H38" s="178"/>
      <c r="I38" s="203"/>
      <c r="J38" s="178"/>
      <c r="K38" s="178"/>
    </row>
    <row r="39" spans="1:11">
      <c r="A39" s="202"/>
      <c r="B39" s="202"/>
      <c r="C39" s="203"/>
      <c r="D39" s="178"/>
      <c r="E39" s="178"/>
      <c r="F39" s="178"/>
      <c r="G39" s="178"/>
      <c r="H39" s="178"/>
      <c r="I39" s="203"/>
      <c r="J39" s="178"/>
      <c r="K39" s="178"/>
    </row>
    <row r="40" spans="1:11">
      <c r="A40" s="202"/>
      <c r="B40" s="202"/>
      <c r="C40" s="203"/>
      <c r="D40" s="178"/>
      <c r="E40" s="178"/>
      <c r="F40" s="178"/>
      <c r="G40" s="178"/>
      <c r="H40" s="178"/>
      <c r="I40" s="203"/>
      <c r="J40" s="178"/>
      <c r="K40" s="178"/>
    </row>
    <row r="41" spans="1:11">
      <c r="A41" s="202"/>
      <c r="B41" s="202"/>
      <c r="C41" s="203"/>
      <c r="D41" s="178"/>
      <c r="E41" s="178"/>
      <c r="F41" s="178"/>
      <c r="G41" s="178"/>
      <c r="H41" s="178"/>
      <c r="I41" s="203"/>
      <c r="J41" s="178"/>
      <c r="K41" s="178"/>
    </row>
    <row r="42" spans="1:11">
      <c r="A42" s="202"/>
      <c r="B42" s="202"/>
      <c r="C42" s="203"/>
      <c r="D42" s="178"/>
      <c r="E42" s="178"/>
      <c r="F42" s="178"/>
      <c r="G42" s="178"/>
      <c r="H42" s="178"/>
      <c r="I42" s="203"/>
      <c r="J42" s="178"/>
      <c r="K42" s="178"/>
    </row>
    <row r="43" spans="1:11">
      <c r="A43" s="207"/>
      <c r="B43" s="207"/>
      <c r="C43" s="208"/>
      <c r="D43" s="209"/>
      <c r="E43" s="178"/>
      <c r="F43" s="178"/>
      <c r="G43" s="178"/>
      <c r="H43" s="178"/>
      <c r="I43" s="208"/>
      <c r="J43" s="209"/>
      <c r="K43" s="209"/>
    </row>
    <row r="44" spans="1:11">
      <c r="A44" s="201" t="s">
        <v>14</v>
      </c>
      <c r="B44" s="202"/>
      <c r="C44" s="203"/>
      <c r="D44" s="178"/>
      <c r="E44" s="178"/>
      <c r="F44" s="178"/>
      <c r="G44" s="178"/>
      <c r="H44" s="178"/>
      <c r="I44" s="204" t="str">
        <f>TONGQUAN!F19</f>
        <v>Công ty Cổ phần Quản lý Quỹ Đầu tư Dragon Capital Việt Nam</v>
      </c>
      <c r="J44" s="178"/>
      <c r="K44" s="178"/>
    </row>
    <row r="45" spans="1:11">
      <c r="A45" s="201" t="str">
        <f>TONGQUAN!C20</f>
        <v>Trịnh Hoài Nam</v>
      </c>
      <c r="B45" s="202"/>
      <c r="C45" s="203"/>
      <c r="D45" s="178"/>
      <c r="E45" s="178"/>
      <c r="F45" s="178"/>
      <c r="G45" s="178"/>
      <c r="H45" s="178"/>
      <c r="I45" s="204" t="str">
        <f>TONGQUAN!F20</f>
        <v>Nguyễn Minh Đăng Khánh</v>
      </c>
      <c r="J45" s="178"/>
      <c r="K45" s="178"/>
    </row>
    <row r="46" spans="1:11">
      <c r="A46" s="202" t="str">
        <f>TONGQUAN!C21</f>
        <v>Phó phòng Dịch vụ Quản trị và Giám sát Quỹ</v>
      </c>
      <c r="B46" s="202"/>
      <c r="C46" s="203"/>
      <c r="D46" s="178"/>
      <c r="E46" s="178"/>
      <c r="F46" s="178"/>
      <c r="G46" s="178"/>
      <c r="H46" s="178"/>
      <c r="I46" s="203" t="str">
        <f>TONGQUAN!F21</f>
        <v>Giám đốc điều hành Nghiệp vụ hỗ trợ đầu tư</v>
      </c>
      <c r="J46" s="178"/>
      <c r="K46" s="178"/>
    </row>
    <row r="47" spans="1:11">
      <c r="A47" s="185"/>
      <c r="B47" s="178"/>
      <c r="C47" s="178"/>
      <c r="D47" s="178"/>
      <c r="E47" s="178"/>
      <c r="F47" s="178"/>
      <c r="G47" s="178"/>
      <c r="H47" s="178"/>
      <c r="I47" s="178"/>
      <c r="J47" s="178"/>
      <c r="K47" s="178"/>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85" zoomScaleNormal="100" zoomScaleSheetLayoutView="85" workbookViewId="0">
      <selection activeCell="H21" sqref="H21"/>
    </sheetView>
  </sheetViews>
  <sheetFormatPr defaultColWidth="8.7109375" defaultRowHeight="12.75"/>
  <cols>
    <col min="1" max="1" width="8.7109375" style="58"/>
    <col min="2" max="2" width="56.85546875" style="58" customWidth="1"/>
    <col min="3" max="3" width="10.7109375" style="58" bestFit="1" customWidth="1"/>
    <col min="4" max="4" width="25.85546875" style="58" customWidth="1"/>
    <col min="5" max="5" width="25.42578125" style="58" customWidth="1"/>
    <col min="6" max="6" width="8.42578125" style="103" customWidth="1"/>
    <col min="7" max="16384" width="8.7109375" style="103"/>
  </cols>
  <sheetData>
    <row r="1" spans="1:6" ht="30" customHeight="1">
      <c r="A1" s="246" t="s">
        <v>835</v>
      </c>
      <c r="B1" s="246"/>
      <c r="C1" s="246"/>
      <c r="D1" s="246"/>
      <c r="E1" s="246"/>
      <c r="F1" s="111"/>
    </row>
    <row r="2" spans="1:6" ht="50.1" customHeight="1">
      <c r="A2" s="247" t="s">
        <v>872</v>
      </c>
      <c r="B2" s="247"/>
      <c r="C2" s="247"/>
      <c r="D2" s="247"/>
      <c r="E2" s="247"/>
      <c r="F2" s="112"/>
    </row>
    <row r="3" spans="1:6">
      <c r="A3" s="248" t="s">
        <v>837</v>
      </c>
      <c r="B3" s="248"/>
      <c r="C3" s="248"/>
      <c r="D3" s="248"/>
      <c r="E3" s="248"/>
      <c r="F3" s="111"/>
    </row>
    <row r="4" spans="1:6" ht="20.65" customHeight="1">
      <c r="A4" s="248"/>
      <c r="B4" s="248"/>
      <c r="C4" s="248"/>
      <c r="D4" s="248"/>
      <c r="E4" s="248"/>
      <c r="F4" s="111"/>
    </row>
    <row r="5" spans="1:6" ht="16.899999999999999" customHeight="1">
      <c r="A5" s="249" t="str">
        <f>TONGQUAN!C2</f>
        <v>Quý III năm 2022
/ Quarter III 2022</v>
      </c>
      <c r="B5" s="249"/>
      <c r="C5" s="249"/>
      <c r="D5" s="249"/>
      <c r="E5" s="249"/>
      <c r="F5" s="113"/>
    </row>
    <row r="7" spans="1:6" ht="16.899999999999999" customHeight="1">
      <c r="A7" s="71" t="s">
        <v>2</v>
      </c>
      <c r="C7" s="272" t="str">
        <f>TONGQUAN!D5</f>
        <v>Công ty Cổ phần Quản lý Quỹ Đầu tư Dragon Capital Việt Nam</v>
      </c>
      <c r="D7" s="272"/>
      <c r="E7" s="272"/>
    </row>
    <row r="8" spans="1:6" ht="16.899999999999999" customHeight="1">
      <c r="A8" s="58" t="s">
        <v>40</v>
      </c>
      <c r="C8" s="263" t="str">
        <f>TONGQUAN!D6</f>
        <v>Dragon Capital Vietfund Management Joint Stock Company</v>
      </c>
      <c r="D8" s="263"/>
      <c r="E8" s="263"/>
    </row>
    <row r="9" spans="1:6" ht="16.899999999999999" customHeight="1">
      <c r="A9" s="71" t="s">
        <v>3</v>
      </c>
      <c r="C9" s="272" t="str">
        <f>TONGQUAN!D7</f>
        <v>Ngân hàng TNHH Một thành viên Standard Chartered (Việt Nam)</v>
      </c>
      <c r="D9" s="272"/>
      <c r="E9" s="272"/>
    </row>
    <row r="10" spans="1:6" ht="16.899999999999999" customHeight="1">
      <c r="A10" s="58" t="s">
        <v>4</v>
      </c>
      <c r="C10" s="263" t="str">
        <f>TONGQUAN!D8</f>
        <v>Standard Chartered Bank (Vietnam) Limited</v>
      </c>
      <c r="D10" s="263"/>
      <c r="E10" s="263"/>
    </row>
    <row r="11" spans="1:6" ht="16.899999999999999" customHeight="1">
      <c r="A11" s="71" t="s">
        <v>5</v>
      </c>
      <c r="C11" s="272" t="str">
        <f>TONGQUAN!D9</f>
        <v>Quỹ Đầu tư Trái phiếu Gia tăng Thu nhập Cố định DC</v>
      </c>
      <c r="D11" s="272"/>
      <c r="E11" s="272"/>
    </row>
    <row r="12" spans="1:6" ht="16.899999999999999" customHeight="1">
      <c r="A12" s="58" t="s">
        <v>6</v>
      </c>
      <c r="C12" s="263" t="str">
        <f>TONGQUAN!D10</f>
        <v>DC Income Plus Bond Fund(VFMVFC)</v>
      </c>
      <c r="D12" s="263"/>
      <c r="E12" s="263"/>
    </row>
    <row r="13" spans="1:6" ht="16.899999999999999" customHeight="1">
      <c r="A13" s="71" t="s">
        <v>7</v>
      </c>
      <c r="C13" s="272" t="str">
        <f>TONGQUAN!D11</f>
        <v>Ngày 05 tháng 10 năm 2022</v>
      </c>
      <c r="D13" s="272"/>
      <c r="E13" s="272"/>
    </row>
    <row r="14" spans="1:6" ht="16.899999999999999" customHeight="1">
      <c r="A14" s="58" t="s">
        <v>8</v>
      </c>
      <c r="C14" s="263" t="str">
        <f>TONGQUAN!D12</f>
        <v>05 Oct 2022</v>
      </c>
      <c r="D14" s="263"/>
      <c r="E14" s="263"/>
    </row>
    <row r="16" spans="1:6" ht="16.899999999999999" customHeight="1">
      <c r="A16" s="72" t="s">
        <v>838</v>
      </c>
      <c r="B16" s="73" t="s">
        <v>839</v>
      </c>
    </row>
    <row r="17" spans="1:5" ht="16.899999999999999" customHeight="1">
      <c r="A17" s="72" t="s">
        <v>55</v>
      </c>
      <c r="B17" s="73" t="s">
        <v>293</v>
      </c>
    </row>
    <row r="18" spans="1:5" ht="42" customHeight="1">
      <c r="A18" s="104" t="s">
        <v>42</v>
      </c>
      <c r="B18" s="104" t="s">
        <v>294</v>
      </c>
      <c r="C18" s="104" t="s">
        <v>44</v>
      </c>
      <c r="D18" s="104" t="str">
        <f>BCKetQuaHoatDong_06028!D18</f>
        <v>Quý III năm 2022
Quarter III 2022</v>
      </c>
      <c r="E18" s="104" t="str">
        <f>BCKetQuaHoatDong_06028!E18</f>
        <v>Quý II năm 2022
Quarter II 2022</v>
      </c>
    </row>
    <row r="19" spans="1:5" s="117" customFormat="1" ht="39" customHeight="1">
      <c r="A19" s="114" t="s">
        <v>41</v>
      </c>
      <c r="B19" s="115" t="s">
        <v>84</v>
      </c>
      <c r="C19" s="116"/>
      <c r="D19" s="223"/>
      <c r="E19" s="223"/>
    </row>
    <row r="20" spans="1:5" ht="58.5" customHeight="1">
      <c r="A20" s="118">
        <v>1</v>
      </c>
      <c r="B20" s="45" t="s">
        <v>873</v>
      </c>
      <c r="C20" s="119"/>
      <c r="D20" s="223">
        <v>1.20994816899924E-2</v>
      </c>
      <c r="E20" s="223">
        <v>1.1968037901785101E-2</v>
      </c>
    </row>
    <row r="21" spans="1:5" ht="55.5" customHeight="1">
      <c r="A21" s="118">
        <v>2</v>
      </c>
      <c r="B21" s="45" t="s">
        <v>874</v>
      </c>
      <c r="C21" s="119"/>
      <c r="D21" s="223">
        <v>9.08677258691261E-4</v>
      </c>
      <c r="E21" s="223">
        <v>1.2276558655598699E-3</v>
      </c>
    </row>
    <row r="22" spans="1:5" ht="97.5" customHeight="1">
      <c r="A22" s="118">
        <v>3</v>
      </c>
      <c r="B22" s="45" t="s">
        <v>875</v>
      </c>
      <c r="C22" s="119"/>
      <c r="D22" s="223">
        <v>9.48938640577938E-4</v>
      </c>
      <c r="E22" s="223">
        <v>1.8896348975581E-3</v>
      </c>
    </row>
    <row r="23" spans="1:5" ht="51">
      <c r="A23" s="118">
        <v>4</v>
      </c>
      <c r="B23" s="45" t="s">
        <v>295</v>
      </c>
      <c r="C23" s="119"/>
      <c r="D23" s="223">
        <v>1.8228710436274899E-4</v>
      </c>
      <c r="E23" s="223">
        <v>3.5552601707107399E-4</v>
      </c>
    </row>
    <row r="24" spans="1:5" ht="66" customHeight="1">
      <c r="A24" s="231">
        <v>5</v>
      </c>
      <c r="B24" s="45" t="s">
        <v>876</v>
      </c>
      <c r="C24" s="119"/>
      <c r="D24" s="237"/>
      <c r="E24" s="237"/>
    </row>
    <row r="25" spans="1:5" ht="76.5">
      <c r="A25" s="231">
        <v>6</v>
      </c>
      <c r="B25" s="45" t="s">
        <v>877</v>
      </c>
      <c r="C25" s="119"/>
      <c r="D25" s="237"/>
      <c r="E25" s="237"/>
    </row>
    <row r="26" spans="1:5" ht="79.5" customHeight="1">
      <c r="A26" s="118">
        <v>7</v>
      </c>
      <c r="B26" s="45" t="s">
        <v>296</v>
      </c>
      <c r="C26" s="119"/>
      <c r="D26" s="223">
        <v>3.93774749230521E-4</v>
      </c>
      <c r="E26" s="223">
        <v>6.6873981371743697E-4</v>
      </c>
    </row>
    <row r="27" spans="1:5" ht="39" customHeight="1">
      <c r="A27" s="118">
        <v>8</v>
      </c>
      <c r="B27" s="45" t="s">
        <v>878</v>
      </c>
      <c r="C27" s="119"/>
      <c r="D27" s="223">
        <v>1.5339654585584599E-2</v>
      </c>
      <c r="E27" s="223">
        <v>1.7099619532108E-2</v>
      </c>
    </row>
    <row r="28" spans="1:5" ht="82.5" customHeight="1">
      <c r="A28" s="118">
        <v>9</v>
      </c>
      <c r="B28" s="45" t="s">
        <v>879</v>
      </c>
      <c r="C28" s="119"/>
      <c r="D28" s="223">
        <v>2.0773446816611898</v>
      </c>
      <c r="E28" s="223">
        <v>1.36496210775618</v>
      </c>
    </row>
    <row r="29" spans="1:5" ht="82.5" customHeight="1">
      <c r="A29" s="231">
        <v>10</v>
      </c>
      <c r="B29" s="45" t="s">
        <v>880</v>
      </c>
      <c r="C29" s="119"/>
      <c r="D29" s="223"/>
      <c r="E29" s="223"/>
    </row>
    <row r="30" spans="1:5" ht="39" customHeight="1">
      <c r="A30" s="114" t="s">
        <v>47</v>
      </c>
      <c r="B30" s="115" t="s">
        <v>85</v>
      </c>
      <c r="C30" s="116"/>
      <c r="D30" s="120"/>
      <c r="E30" s="120"/>
    </row>
    <row r="31" spans="1:5" ht="40.9" customHeight="1">
      <c r="A31" s="293">
        <v>1</v>
      </c>
      <c r="B31" s="45" t="s">
        <v>86</v>
      </c>
      <c r="C31" s="119"/>
      <c r="D31" s="120">
        <v>362616543400</v>
      </c>
      <c r="E31" s="120">
        <v>285398566800</v>
      </c>
    </row>
    <row r="32" spans="1:5" ht="42.4" customHeight="1">
      <c r="A32" s="293"/>
      <c r="B32" s="45" t="s">
        <v>87</v>
      </c>
      <c r="C32" s="119"/>
      <c r="D32" s="120">
        <v>362616543400</v>
      </c>
      <c r="E32" s="120">
        <v>285398566800</v>
      </c>
    </row>
    <row r="33" spans="1:5" s="117" customFormat="1" ht="44.65" customHeight="1">
      <c r="A33" s="293"/>
      <c r="B33" s="45" t="s">
        <v>881</v>
      </c>
      <c r="C33" s="119"/>
      <c r="D33" s="122">
        <v>36261654.340000004</v>
      </c>
      <c r="E33" s="122">
        <v>28539856.68</v>
      </c>
    </row>
    <row r="34" spans="1:5" ht="43.5" customHeight="1">
      <c r="A34" s="293">
        <v>2</v>
      </c>
      <c r="B34" s="45" t="s">
        <v>88</v>
      </c>
      <c r="C34" s="119"/>
      <c r="D34" s="120">
        <v>647643049800</v>
      </c>
      <c r="E34" s="120">
        <v>77217976600</v>
      </c>
    </row>
    <row r="35" spans="1:5" ht="39" customHeight="1">
      <c r="A35" s="293"/>
      <c r="B35" s="45" t="s">
        <v>89</v>
      </c>
      <c r="C35" s="119"/>
      <c r="D35" s="122">
        <v>64764304.979999997</v>
      </c>
      <c r="E35" s="122">
        <v>7721797.6600000001</v>
      </c>
    </row>
    <row r="36" spans="1:5" ht="39" customHeight="1">
      <c r="A36" s="293"/>
      <c r="B36" s="45" t="s">
        <v>90</v>
      </c>
      <c r="C36" s="119"/>
      <c r="D36" s="120">
        <v>647643049800</v>
      </c>
      <c r="E36" s="120">
        <v>77217976600</v>
      </c>
    </row>
    <row r="37" spans="1:5" ht="39" customHeight="1">
      <c r="A37" s="293"/>
      <c r="B37" s="45" t="s">
        <v>884</v>
      </c>
      <c r="C37" s="119"/>
      <c r="D37" s="121">
        <v>95583679.150000006</v>
      </c>
      <c r="E37" s="121">
        <v>9909715.6699999999</v>
      </c>
    </row>
    <row r="38" spans="1:5" ht="39" customHeight="1">
      <c r="A38" s="293"/>
      <c r="B38" s="45" t="s">
        <v>249</v>
      </c>
      <c r="C38" s="119"/>
      <c r="D38" s="120">
        <v>955836791500</v>
      </c>
      <c r="E38" s="120">
        <v>99097156700</v>
      </c>
    </row>
    <row r="39" spans="1:5" ht="39" customHeight="1">
      <c r="A39" s="293"/>
      <c r="B39" s="45" t="s">
        <v>885</v>
      </c>
      <c r="C39" s="119"/>
      <c r="D39" s="122">
        <v>-30819374.170000002</v>
      </c>
      <c r="E39" s="122">
        <v>-2187918.0099999998</v>
      </c>
    </row>
    <row r="40" spans="1:5" ht="44.65" customHeight="1">
      <c r="A40" s="293"/>
      <c r="B40" s="45" t="s">
        <v>250</v>
      </c>
      <c r="C40" s="119"/>
      <c r="D40" s="120">
        <v>-308193741700</v>
      </c>
      <c r="E40" s="120">
        <v>-21879180100</v>
      </c>
    </row>
    <row r="41" spans="1:5" ht="39" customHeight="1">
      <c r="A41" s="293">
        <v>3</v>
      </c>
      <c r="B41" s="45" t="s">
        <v>251</v>
      </c>
      <c r="C41" s="119"/>
      <c r="D41" s="120">
        <v>1010259593200</v>
      </c>
      <c r="E41" s="120">
        <v>362616543400</v>
      </c>
    </row>
    <row r="42" spans="1:5" ht="64.5" customHeight="1">
      <c r="A42" s="293"/>
      <c r="B42" s="45" t="s">
        <v>886</v>
      </c>
      <c r="C42" s="119"/>
      <c r="D42" s="120">
        <v>1010259593200</v>
      </c>
      <c r="E42" s="120">
        <v>362616543400</v>
      </c>
    </row>
    <row r="43" spans="1:5" ht="39" customHeight="1">
      <c r="A43" s="293"/>
      <c r="B43" s="45" t="s">
        <v>887</v>
      </c>
      <c r="C43" s="119"/>
      <c r="D43" s="122">
        <v>101025959.31999999</v>
      </c>
      <c r="E43" s="122">
        <v>36261654.340000004</v>
      </c>
    </row>
    <row r="44" spans="1:5" ht="60" customHeight="1">
      <c r="A44" s="118">
        <v>4</v>
      </c>
      <c r="B44" s="45" t="s">
        <v>91</v>
      </c>
      <c r="C44" s="119"/>
      <c r="D44" s="223">
        <v>0.26714057348879</v>
      </c>
      <c r="E44" s="223">
        <v>0.73722790662948001</v>
      </c>
    </row>
    <row r="45" spans="1:5" ht="39" customHeight="1">
      <c r="A45" s="118">
        <v>5</v>
      </c>
      <c r="B45" s="45" t="s">
        <v>92</v>
      </c>
      <c r="C45" s="119"/>
      <c r="D45" s="223">
        <v>0.40810000000000002</v>
      </c>
      <c r="E45" s="223">
        <v>0.80610000000000004</v>
      </c>
    </row>
    <row r="46" spans="1:5" ht="39" customHeight="1">
      <c r="A46" s="118">
        <v>6</v>
      </c>
      <c r="B46" s="45" t="s">
        <v>93</v>
      </c>
      <c r="C46" s="119"/>
      <c r="D46" s="223">
        <v>8.9999999999999998E-4</v>
      </c>
      <c r="E46" s="223">
        <v>2.5000000000000001E-3</v>
      </c>
    </row>
    <row r="47" spans="1:5" ht="39" customHeight="1">
      <c r="A47" s="231">
        <v>7</v>
      </c>
      <c r="B47" s="45" t="s">
        <v>252</v>
      </c>
      <c r="C47" s="119"/>
      <c r="D47" s="122">
        <v>10117.32</v>
      </c>
      <c r="E47" s="122">
        <v>9965.27</v>
      </c>
    </row>
    <row r="48" spans="1:5" ht="54.6" customHeight="1">
      <c r="A48" s="118">
        <v>8</v>
      </c>
      <c r="B48" s="45" t="s">
        <v>882</v>
      </c>
      <c r="C48" s="119"/>
      <c r="D48" s="120"/>
      <c r="E48" s="120"/>
    </row>
    <row r="49" spans="1:5" ht="39" customHeight="1">
      <c r="A49" s="231">
        <v>9</v>
      </c>
      <c r="B49" s="45" t="s">
        <v>94</v>
      </c>
      <c r="C49" s="119"/>
      <c r="D49" s="120">
        <v>14545</v>
      </c>
      <c r="E49" s="120">
        <v>8924</v>
      </c>
    </row>
    <row r="50" spans="1:5" ht="16.899999999999999" customHeight="1">
      <c r="A50" s="97" t="s">
        <v>95</v>
      </c>
    </row>
    <row r="51" spans="1:5" ht="60.4" customHeight="1">
      <c r="A51" s="245" t="s">
        <v>883</v>
      </c>
      <c r="B51" s="245"/>
      <c r="C51" s="245"/>
      <c r="D51" s="245"/>
      <c r="E51" s="245"/>
    </row>
    <row r="52" spans="1:5" ht="28.5" customHeight="1">
      <c r="A52" s="245" t="s">
        <v>96</v>
      </c>
      <c r="B52" s="263"/>
      <c r="C52" s="263"/>
      <c r="D52" s="263"/>
      <c r="E52" s="263"/>
    </row>
    <row r="54" spans="1:5" ht="16.899999999999999" customHeight="1">
      <c r="A54" s="97" t="str">
        <f>TONGQUAN!C16</f>
        <v>Đại diện có thẩm quyền của Ngân hàng giám sát</v>
      </c>
      <c r="D54" s="97" t="str">
        <f>TONGQUAN!F16</f>
        <v>Đại diện có thẩm quyền của Công ty quản lý Quỹ</v>
      </c>
    </row>
    <row r="55" spans="1:5" s="123" customFormat="1" ht="16.899999999999999" customHeight="1">
      <c r="A55" s="98" t="str">
        <f>TONGQUAN!C17</f>
        <v>Authorised Representative of Supervisory Bank</v>
      </c>
      <c r="B55" s="98"/>
      <c r="C55" s="98"/>
      <c r="D55" s="98" t="str">
        <f>TONGQUAN!F17</f>
        <v>Authorised Representative of Fund Management Company</v>
      </c>
      <c r="E55" s="98"/>
    </row>
    <row r="56" spans="1:5" ht="16.899999999999999" customHeight="1"/>
    <row r="57" spans="1:5" ht="16.899999999999999" customHeight="1"/>
    <row r="64" spans="1:5">
      <c r="A64" s="124"/>
      <c r="B64" s="124"/>
      <c r="D64" s="124"/>
      <c r="E64" s="124"/>
    </row>
    <row r="65" spans="1:4" ht="16.899999999999999" customHeight="1">
      <c r="A65" s="97" t="str">
        <f>TONGQUAN!C19</f>
        <v>Ngân hàng TNHH MTV Standard Chartered (Việt Nam)</v>
      </c>
      <c r="D65" s="97" t="str">
        <f>TONGQUAN!F19</f>
        <v>Công ty Cổ phần Quản lý Quỹ Đầu tư Dragon Capital Việt Nam</v>
      </c>
    </row>
    <row r="66" spans="1:4" ht="16.899999999999999" customHeight="1">
      <c r="A66" s="97" t="str">
        <f>TONGQUAN!C20</f>
        <v>Trịnh Hoài Nam</v>
      </c>
      <c r="D66" s="97" t="str">
        <f>TONGQUAN!F20</f>
        <v>Nguyễn Minh Đăng Khánh</v>
      </c>
    </row>
    <row r="67" spans="1:4" ht="16.899999999999999" customHeight="1">
      <c r="A67" s="58" t="str">
        <f>TONGQUAN!C21</f>
        <v>Phó phòng Dịch vụ Quản trị và Giám sát Quỹ</v>
      </c>
      <c r="D67" s="58" t="str">
        <f>TONGQUAN!F21</f>
        <v>Giám đốc điều hành Nghiệp vụ hỗ trợ đầu tư</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ADF3o7BfHzKPYFcRAkcGYd0coZI=</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MaBkMn2F5rcNuOi0+bqx01IXMTM=</DigestValue>
    </Reference>
  </SignedInfo>
  <SignatureValue>VAlk0CkECALWGXCoAHqMBeSHZxPhmySZOp5eTki02QcFIt8wsf09Swtpz5eanJCYz5TJdpFqwBjY
L7Ec/b7J20Xagwtcqk/vzxaFdSp6n3AmqkGWE6entHcGJWsjy2OSfu8VWi+5Yao+uyg2xdabN3K5
2mlXI1UcYBxwSPoejNw=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Wd4vQT0CvCsFMPSWys9JvZonJGw=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Op8pDSJhW1vJVEeeFXGtNO37GJs=</DigestValue>
      </Reference>
      <Reference URI="/xl/drawings/drawing2.xml?ContentType=application/vnd.openxmlformats-officedocument.drawing+xml">
        <DigestMethod Algorithm="http://www.w3.org/2000/09/xmldsig#sha1"/>
        <DigestValue>uOICC0mopcVxlI31KJ98bM0ImjQ=</DigestValue>
      </Reference>
      <Reference URI="/xl/drawings/drawing3.xml?ContentType=application/vnd.openxmlformats-officedocument.drawing+xml">
        <DigestMethod Algorithm="http://www.w3.org/2000/09/xmldsig#sha1"/>
        <DigestValue>8K4IPdPdOwICOUX41+gAuD6ACy8=</DigestValue>
      </Reference>
      <Reference URI="/xl/drawings/drawing4.xml?ContentType=application/vnd.openxmlformats-officedocument.drawing+xml">
        <DigestMethod Algorithm="http://www.w3.org/2000/09/xmldsig#sha1"/>
        <DigestValue>h/uEXGwwd6iz2VY4cTGRHayXBj4=</DigestValue>
      </Reference>
      <Reference URI="/xl/drawings/drawing5.xml?ContentType=application/vnd.openxmlformats-officedocument.drawing+xml">
        <DigestMethod Algorithm="http://www.w3.org/2000/09/xmldsig#sha1"/>
        <DigestValue>syyr3oKrPpDy8bH34wFp7OqVHCU=</DigestValue>
      </Reference>
      <Reference URI="/xl/drawings/drawing6.xml?ContentType=application/vnd.openxmlformats-officedocument.drawing+xml">
        <DigestMethod Algorithm="http://www.w3.org/2000/09/xmldsig#sha1"/>
        <DigestValue>HSfNKyEC8sAYZzIUS8avSn9Qqf4=</DigestValue>
      </Reference>
      <Reference URI="/xl/drawings/drawing7.xml?ContentType=application/vnd.openxmlformats-officedocument.drawing+xml">
        <DigestMethod Algorithm="http://www.w3.org/2000/09/xmldsig#sha1"/>
        <DigestValue>LeOZ4zIpvCcczy/bAmZmhwhrgq4=</DigestValue>
      </Reference>
      <Reference URI="/xl/drawings/drawing8.xml?ContentType=application/vnd.openxmlformats-officedocument.drawing+xml">
        <DigestMethod Algorithm="http://www.w3.org/2000/09/xmldsig#sha1"/>
        <DigestValue>wpWx2SRXe+xts3vjwzbdZP16qD4=</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z5mCGdTT0i/UwuGS6MaITmo8LLA=</DigestValue>
      </Reference>
      <Reference URI="/xl/media/image3.jpeg?ContentType=image/jpeg">
        <DigestMethod Algorithm="http://www.w3.org/2000/09/xmldsig#sha1"/>
        <DigestValue>4Ow1VDLIdaadGaCbRKq2FVbLLKg=</DigestValue>
      </Reference>
      <Reference URI="/xl/media/image4.jpeg?ContentType=image/jpeg">
        <DigestMethod Algorithm="http://www.w3.org/2000/09/xmldsig#sha1"/>
        <DigestValue>kS8Zj+UwBsZMKVfnQZkGmKOHe3Q=</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Im23c7yDoM5MhLIYh9MDOkQw78o=</DigestValue>
      </Reference>
      <Reference URI="/xl/styles.xml?ContentType=application/vnd.openxmlformats-officedocument.spreadsheetml.styles+xml">
        <DigestMethod Algorithm="http://www.w3.org/2000/09/xmldsig#sha1"/>
        <DigestValue>RJyeO/Ku99saBruObgDsStFoO78=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8/L0vXIUduIhBqAcV3HleqLQyFk=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5QwQG/fo6W7d60eLcAWCQxZtyz8=</DigestValue>
      </Reference>
      <Reference URI="/xl/worksheets/sheet2.xml?ContentType=application/vnd.openxmlformats-officedocument.spreadsheetml.worksheet+xml">
        <DigestMethod Algorithm="http://www.w3.org/2000/09/xmldsig#sha1"/>
        <DigestValue>I+YcgaL0BliMdBG6hGK8j3V2xuU=</DigestValue>
      </Reference>
      <Reference URI="/xl/worksheets/sheet3.xml?ContentType=application/vnd.openxmlformats-officedocument.spreadsheetml.worksheet+xml">
        <DigestMethod Algorithm="http://www.w3.org/2000/09/xmldsig#sha1"/>
        <DigestValue>KKnTjfkH7OMQte3lAKiCvv3sXXc=</DigestValue>
      </Reference>
      <Reference URI="/xl/worksheets/sheet4.xml?ContentType=application/vnd.openxmlformats-officedocument.spreadsheetml.worksheet+xml">
        <DigestMethod Algorithm="http://www.w3.org/2000/09/xmldsig#sha1"/>
        <DigestValue>GblBmKfxPmE2t6dG/fRAvYZGNhI=</DigestValue>
      </Reference>
      <Reference URI="/xl/worksheets/sheet5.xml?ContentType=application/vnd.openxmlformats-officedocument.spreadsheetml.worksheet+xml">
        <DigestMethod Algorithm="http://www.w3.org/2000/09/xmldsig#sha1"/>
        <DigestValue>evRl45VvZmlIGm5wLnkp8DP7BHs=</DigestValue>
      </Reference>
      <Reference URI="/xl/worksheets/sheet6.xml?ContentType=application/vnd.openxmlformats-officedocument.spreadsheetml.worksheet+xml">
        <DigestMethod Algorithm="http://www.w3.org/2000/09/xmldsig#sha1"/>
        <DigestValue>SJYNWqnilPpV7EsRZ3ljgR6coT8=</DigestValue>
      </Reference>
      <Reference URI="/xl/worksheets/sheet7.xml?ContentType=application/vnd.openxmlformats-officedocument.spreadsheetml.worksheet+xml">
        <DigestMethod Algorithm="http://www.w3.org/2000/09/xmldsig#sha1"/>
        <DigestValue>Ube8j+3Koy8zkh5bEnex6hE9dIw=</DigestValue>
      </Reference>
      <Reference URI="/xl/worksheets/sheet8.xml?ContentType=application/vnd.openxmlformats-officedocument.spreadsheetml.worksheet+xml">
        <DigestMethod Algorithm="http://www.w3.org/2000/09/xmldsig#sha1"/>
        <DigestValue>MNwsZ7Z9pnzRJzA6QmAjTh8kcfM=</DigestValue>
      </Reference>
      <Reference URI="/xl/worksheets/sheet9.xml?ContentType=application/vnd.openxmlformats-officedocument.spreadsheetml.worksheet+xml">
        <DigestMethod Algorithm="http://www.w3.org/2000/09/xmldsig#sha1"/>
        <DigestValue>oKJNxTei1s+MfypTRbC9n7au4x0=</DigestValue>
      </Reference>
    </Manifest>
    <SignatureProperties>
      <SignatureProperty Id="idSignatureTime" Target="#idPackageSignature">
        <mdssi:SignatureTime xmlns:mdssi="http://schemas.openxmlformats.org/package/2006/digital-signature">
          <mdssi:Format>YYYY-MM-DDThh:mm:ssTZD</mdssi:Format>
          <mdssi:Value>2022-10-14T04:53:25Z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2022-10-14T04:53:25Z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TONGQUAN</vt:lpstr>
      <vt:lpstr>BCthunhap</vt:lpstr>
      <vt:lpstr>BCtinhhinhtaichinh</vt:lpstr>
      <vt:lpstr>BCLCTT_06262</vt:lpstr>
      <vt:lpstr>BCTaiSan_06027</vt:lpstr>
      <vt:lpstr>BCKetQuaHoatDong_06028</vt:lpstr>
      <vt:lpstr>BCDanhMucDauTu_06029</vt:lpstr>
      <vt:lpstr>BCHoatDongVay_06026</vt:lpstr>
      <vt:lpstr>Khac_06030</vt:lpstr>
      <vt:lpstr>BCHoatDongVay_06026!Print_Area</vt:lpstr>
      <vt:lpstr>BCKetQuaHoatDong_06028!Print_Area</vt:lpstr>
      <vt:lpstr>BCLCTT_06262!Print_Area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2022-10-07T10:48:13Z</cp:lastPrinted>
  <dcterms:created xsi:type="dcterms:W3CDTF">2019-03-13T13:30:00Z</dcterms:created>
  <dcterms:modified xsi:type="dcterms:W3CDTF">2022-10-14T04:53:22Z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2022-10-14T04:53:22Z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d5974ceb-297b-4ed9-a3a6-9a25d5eae46f</vt:lpwstr>
  </property>
  <property fmtid="{D5CDD505-2E9C-101B-9397-08002B2CF9AE}" pid="8" name="MSIP_Label_ebbfc019-7f88-4fb6-96d6-94ffadd4b772_ContentBits">
    <vt:lpwstr>1</vt:lpwstr>
  </property>
</Properties>
</file>