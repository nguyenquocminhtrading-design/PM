
<file path=[Content_Types].xml><?xml version="1.0" encoding="utf-8"?>
<Types xmlns="http://schemas.openxmlformats.org/package/2006/content-types">
  <Default Extension="bin" ContentType="application/vnd.openxmlformats-officedocument.spreadsheetml.printerSettings"/>
  <Default Extension="png" ContentType="image/png"/>
  <Override PartName="/xl/drawings/drawing9.xml" ContentType="application/vnd.openxmlformats-officedocument.drawing+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Default Extension="sigs" ContentType="application/vnd.openxmlformats-package.digital-signature-origin"/>
  <Override PartName="/xl/sharedStrings.xml" ContentType="application/vnd.openxmlformats-officedocument.spreadsheetml.sharedStrings+xml"/>
  <Override PartName="/xl/drawings/drawing10.xml" ContentType="application/vnd.openxmlformats-officedocument.drawing+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7" rupBuild="4507"/>
  <workbookPr/>
  <bookViews>
    <workbookView xWindow="480" yWindow="105" windowWidth="14910" windowHeight="7935" tabRatio="878" firstSheet="3" activeTab="10"/>
  </bookViews>
  <sheets>
    <sheet name="Tong quat" sheetId="5" r:id="rId1"/>
    <sheet name="BCthunhap" sheetId="16" r:id="rId2"/>
    <sheet name="BCtinhhinhtaichinh" sheetId="17" r:id="rId3"/>
    <sheet name="BCLCGT_06262" sheetId="36" r:id="rId4"/>
    <sheet name="BCTaiSan_06027" sheetId="9" r:id="rId5"/>
    <sheet name="BCKetQuaHoatDong_06028" sheetId="10" r:id="rId6"/>
    <sheet name="Thongke phi giao dich" sheetId="37" state="hidden" r:id="rId7"/>
    <sheet name="BCDanhMucDauTu_06029" sheetId="11" r:id="rId8"/>
    <sheet name="GiaTriTaiSanRong_06129" sheetId="14" r:id="rId9"/>
    <sheet name="BCHoatDongVay_06026" sheetId="8" r:id="rId10"/>
    <sheet name="Khac_06030" sheetId="12" r:id="rId11"/>
  </sheets>
  <definedNames>
    <definedName name="_xlnm._FilterDatabase" localSheetId="7" hidden="1">BCDanhMucDauTu_06029!$A$17:$G$52</definedName>
    <definedName name="_xlnm._FilterDatabase" localSheetId="3" hidden="1">BCLCGT_06262!$A$17:$F$61</definedName>
    <definedName name="_xlnm._FilterDatabase" localSheetId="1" hidden="1">BCthunhap!$A$16:$G$75</definedName>
    <definedName name="_xlnm._FilterDatabase" localSheetId="2" hidden="1">BCtinhhinhtaichinh!$A$17:$F$112</definedName>
    <definedName name="_xlnm.Print_Area" localSheetId="7">BCDanhMucDauTu_06029!$A$1:$G$101</definedName>
    <definedName name="_xlnm.Print_Area" localSheetId="5">BCKetQuaHoatDong_06028!$A$1:$F$91</definedName>
    <definedName name="_xlnm.Print_Area" localSheetId="3">BCLCGT_06262!$B$1:$F$79</definedName>
    <definedName name="_xlnm.Print_Area" localSheetId="4">BCTaiSan_06027!$A$1:$F$104</definedName>
    <definedName name="_xlnm.Print_Area" localSheetId="1">BCthunhap!$A$1:$G$96</definedName>
    <definedName name="_xlnm.Print_Area" localSheetId="2">BCtinhhinhtaichinh!$A$1:$F$131</definedName>
    <definedName name="_xlnm.Print_Area" localSheetId="8">GiaTriTaiSanRong_06129!$A$1:$F$43</definedName>
    <definedName name="_xlnm.Print_Area" localSheetId="10">Khac_06030!$A$1:$E$63</definedName>
    <definedName name="_xlnm.Print_Area" localSheetId="6">'Thongke phi giao dich'!$A$1:$H$42</definedName>
    <definedName name="_xlnm.Print_Area" localSheetId="0">'Tong quat'!$A$1:$L$45</definedName>
    <definedName name="_xlnm.Print_Titles" localSheetId="7">BCDanhMucDauTu_06029!$17:$17</definedName>
    <definedName name="_xlnm.Print_Titles" localSheetId="9">BCHoatDongVay_06026!$16:$17</definedName>
    <definedName name="_xlnm.Print_Titles" localSheetId="5">BCKetQuaHoatDong_06028!$17:$17</definedName>
    <definedName name="_xlnm.Print_Titles" localSheetId="3">BCLCGT_06262!$16:$16</definedName>
    <definedName name="_xlnm.Print_Titles" localSheetId="4">BCTaiSan_06027!$17:$17</definedName>
    <definedName name="_xlnm.Print_Titles" localSheetId="1">BCthunhap!$16:$17</definedName>
    <definedName name="_xlnm.Print_Titles" localSheetId="2">BCtinhhinhtaichinh!$16:$16</definedName>
    <definedName name="_xlnm.Print_Titles" localSheetId="10">Khac_06030!$17:$17</definedName>
  </definedNames>
  <calcPr calcId="125725"/>
</workbook>
</file>

<file path=xl/calcChain.xml><?xml version="1.0" encoding="utf-8"?>
<calcChain xmlns="http://schemas.openxmlformats.org/spreadsheetml/2006/main">
  <c r="M23" i="37"/>
  <c r="L24"/>
  <c r="D14" l="1"/>
  <c r="D13"/>
  <c r="D24" l="1"/>
  <c r="E20" s="1"/>
  <c r="F20" s="1"/>
  <c r="E19" l="1"/>
  <c r="F19" s="1"/>
  <c r="E22"/>
  <c r="F22" s="1"/>
  <c r="E21"/>
  <c r="F21" s="1"/>
  <c r="F24" l="1"/>
  <c r="A5" l="1"/>
</calcChain>
</file>

<file path=xl/sharedStrings.xml><?xml version="1.0" encoding="utf-8"?>
<sst xmlns="http://schemas.openxmlformats.org/spreadsheetml/2006/main" count="1496" uniqueCount="1014">
  <si>
    <t>131</t>
  </si>
  <si>
    <t>311</t>
  </si>
  <si>
    <t>312</t>
  </si>
  <si>
    <t>314</t>
  </si>
  <si>
    <t>315</t>
  </si>
  <si>
    <t>318</t>
  </si>
  <si>
    <t>412</t>
  </si>
  <si>
    <t>420</t>
  </si>
  <si>
    <t>01</t>
  </si>
  <si>
    <t>02</t>
  </si>
  <si>
    <t>03</t>
  </si>
  <si>
    <t>32</t>
  </si>
  <si>
    <t>31</t>
  </si>
  <si>
    <t>30</t>
  </si>
  <si>
    <t>14</t>
  </si>
  <si>
    <t>13</t>
  </si>
  <si>
    <t>12</t>
  </si>
  <si>
    <t>11</t>
  </si>
  <si>
    <t>10</t>
  </si>
  <si>
    <t>04</t>
  </si>
  <si>
    <t>05</t>
  </si>
  <si>
    <t>06</t>
  </si>
  <si>
    <t>07</t>
  </si>
  <si>
    <t>08</t>
  </si>
  <si>
    <t>09</t>
  </si>
  <si>
    <t>15</t>
  </si>
  <si>
    <t>20</t>
  </si>
  <si>
    <t>20.1</t>
  </si>
  <si>
    <t>20.10</t>
  </si>
  <si>
    <t>20.2</t>
  </si>
  <si>
    <t>20.3</t>
  </si>
  <si>
    <t>20.4</t>
  </si>
  <si>
    <t>20.5</t>
  </si>
  <si>
    <t>20.6</t>
  </si>
  <si>
    <t>20.7</t>
  </si>
  <si>
    <t>20.8</t>
  </si>
  <si>
    <t>20.9</t>
  </si>
  <si>
    <t>23</t>
  </si>
  <si>
    <t>24</t>
  </si>
  <si>
    <t>24.1</t>
  </si>
  <si>
    <t>24.2</t>
  </si>
  <si>
    <t>40</t>
  </si>
  <si>
    <t>41</t>
  </si>
  <si>
    <t>I</t>
  </si>
  <si>
    <t>111</t>
  </si>
  <si>
    <t>112</t>
  </si>
  <si>
    <t>136</t>
  </si>
  <si>
    <t>137</t>
  </si>
  <si>
    <t>138</t>
  </si>
  <si>
    <t>II</t>
  </si>
  <si>
    <t>313</t>
  </si>
  <si>
    <t>413</t>
  </si>
  <si>
    <t>414</t>
  </si>
  <si>
    <t>VI</t>
  </si>
  <si>
    <t>STT</t>
  </si>
  <si>
    <t>Nội dung</t>
  </si>
  <si>
    <t>Tên sheet</t>
  </si>
  <si>
    <t>BCTinhHinhTaiChinh_06105</t>
  </si>
  <si>
    <t>Báo cáo lưu chuyển tiền tệ</t>
  </si>
  <si>
    <t>Báo cáo thu nhập giữa niên độ</t>
  </si>
  <si>
    <t>Báo cáo tình hình tài chính giữa niên độ</t>
  </si>
  <si>
    <t>BCThuNhap_06203</t>
  </si>
  <si>
    <t>BCLCGT_06262</t>
  </si>
  <si>
    <t>1.1</t>
  </si>
  <si>
    <t>2287</t>
  </si>
  <si>
    <t xml:space="preserve">   …</t>
  </si>
  <si>
    <t>2287.1</t>
  </si>
  <si>
    <t>2287.2</t>
  </si>
  <si>
    <t>2288</t>
  </si>
  <si>
    <t>1.2</t>
  </si>
  <si>
    <t>2289</t>
  </si>
  <si>
    <t>2289.1</t>
  </si>
  <si>
    <t>2289.2</t>
  </si>
  <si>
    <t>2290</t>
  </si>
  <si>
    <t>A</t>
  </si>
  <si>
    <t>2291</t>
  </si>
  <si>
    <t>2.1</t>
  </si>
  <si>
    <t>2292</t>
  </si>
  <si>
    <t>2292.1</t>
  </si>
  <si>
    <t>2292.2</t>
  </si>
  <si>
    <t>2293</t>
  </si>
  <si>
    <t>2.2</t>
  </si>
  <si>
    <t>2295</t>
  </si>
  <si>
    <t>2295.1</t>
  </si>
  <si>
    <t>2296</t>
  </si>
  <si>
    <t>B</t>
  </si>
  <si>
    <t>2297</t>
  </si>
  <si>
    <t>I.1</t>
  </si>
  <si>
    <t>2201</t>
  </si>
  <si>
    <t>2202</t>
  </si>
  <si>
    <t>2203</t>
  </si>
  <si>
    <t>2204</t>
  </si>
  <si>
    <t>I.2</t>
  </si>
  <si>
    <t>2205</t>
  </si>
  <si>
    <t>2205.1</t>
  </si>
  <si>
    <t>2205.2</t>
  </si>
  <si>
    <t>I.3</t>
  </si>
  <si>
    <t>2206</t>
  </si>
  <si>
    <t>I.4</t>
  </si>
  <si>
    <t>2207</t>
  </si>
  <si>
    <t>I.5</t>
  </si>
  <si>
    <t>2208</t>
  </si>
  <si>
    <t>I.6</t>
  </si>
  <si>
    <t>2210</t>
  </si>
  <si>
    <t>I.7</t>
  </si>
  <si>
    <t>I.8</t>
  </si>
  <si>
    <t>2212</t>
  </si>
  <si>
    <t>2213</t>
  </si>
  <si>
    <t>II.1</t>
  </si>
  <si>
    <t>2214</t>
  </si>
  <si>
    <t>II.2</t>
  </si>
  <si>
    <t>2215</t>
  </si>
  <si>
    <t>II.3</t>
  </si>
  <si>
    <t>2216</t>
  </si>
  <si>
    <t>2217</t>
  </si>
  <si>
    <t>2218</t>
  </si>
  <si>
    <t>2219</t>
  </si>
  <si>
    <t>2221</t>
  </si>
  <si>
    <t>2222</t>
  </si>
  <si>
    <t>2223</t>
  </si>
  <si>
    <t>2225</t>
  </si>
  <si>
    <t>2228</t>
  </si>
  <si>
    <t>2232.1</t>
  </si>
  <si>
    <t>III</t>
  </si>
  <si>
    <t>IV</t>
  </si>
  <si>
    <t>2235</t>
  </si>
  <si>
    <t>2236</t>
  </si>
  <si>
    <t>V</t>
  </si>
  <si>
    <t>VII</t>
  </si>
  <si>
    <t>VIII</t>
  </si>
  <si>
    <t>III.1</t>
  </si>
  <si>
    <t>III.2</t>
  </si>
  <si>
    <t>Báo cáo tài sản</t>
  </si>
  <si>
    <t>BCTaiSan_06027</t>
  </si>
  <si>
    <t>Baó cáo Kết quả hoạt động</t>
  </si>
  <si>
    <t>BCKetQuaHoatDong_06028</t>
  </si>
  <si>
    <t>Baáo cáo Danh mục đầu tư</t>
  </si>
  <si>
    <t>BCDanhmucdautu_06029</t>
  </si>
  <si>
    <t>Giá trị tài sản ròng</t>
  </si>
  <si>
    <t>GiaTriTaiSanRong_06129</t>
  </si>
  <si>
    <t>Báo cáo hoạt động vay</t>
  </si>
  <si>
    <t>Báo cáo chỉ tiêu khác</t>
  </si>
  <si>
    <t>Bchoatdongvay_06026</t>
  </si>
  <si>
    <t>Khac_06030</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</si>
  <si>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</si>
  <si>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</si>
  <si>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Ngày lập báo cáo:</t>
  </si>
  <si>
    <t>Reporting Date:</t>
  </si>
  <si>
    <t>Chỉ tiêu
Indicator</t>
  </si>
  <si>
    <t>Mã số
Code</t>
  </si>
  <si>
    <t>Thuyết minh
Note</t>
  </si>
  <si>
    <t>I. THU NHẬP, DOANH THU HOẠT ĐỘNG ĐẦU TƯ
Investment income</t>
  </si>
  <si>
    <t>II. CHI PHÍ ĐẦU TƯ
INVESTMENT EXPENSE</t>
  </si>
  <si>
    <t>2.1. Chi phí giao dịch mua, bán các khoản đầu tư
Expense for purchasing and selling investments</t>
  </si>
  <si>
    <t>Phí môi giới
Brokerage fee</t>
  </si>
  <si>
    <t>Chi phí thanh toán bù trừ
Clearing settlement fee</t>
  </si>
  <si>
    <t>2.2. Chi phí dự phòng nợ phải thu khó đòi và xử lý tổn thất phải thu khó đòi
Provision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</si>
  <si>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</si>
  <si>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</si>
  <si>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</si>
  <si>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mở
Management fee</t>
  </si>
  <si>
    <t>3.2. Phí dịch vụ lưu ký tài sản Quỹ mở
Custodian fee</t>
  </si>
  <si>
    <t>20.2.1</t>
  </si>
  <si>
    <t>Phí dịch vụ lưu ký - giao dịch chứng khoán
Custodian service - Transaction fee</t>
  </si>
  <si>
    <t>20.2.2</t>
  </si>
  <si>
    <t>3.3. Phí dịch vụ giám sát
Supervising fee</t>
  </si>
  <si>
    <t>3.4. Phí dịch vụ quản trị Quỹ mở
Fund administrative fee</t>
  </si>
  <si>
    <t>3.5. Phí dịch vụ đại lý chuyển nhượng
Transfer agent fee</t>
  </si>
  <si>
    <t xml:space="preserve">3.6. Phí dịch vụ khác của Nhà cung cấp dịch vụ cho Quỹ mở
Other service fees </t>
  </si>
  <si>
    <t>3.7. Chi phí họp, Đại hội Quỹ mở
Meeting and General Meeting expense</t>
  </si>
  <si>
    <t>3.8. Chi phí kiểm toán
Audit expense</t>
  </si>
  <si>
    <t>3.9. Chi phí thanh lý tài sản Quỹ mở
Asset disposal expense</t>
  </si>
  <si>
    <t>3.10. Chi phí hoạt động khác
Other operating expense</t>
  </si>
  <si>
    <t>Thù lao ban đại diện Quỹ
Remuneration of Fund's Board of Representatives</t>
  </si>
  <si>
    <t>Chi phí công tác, họp của ban đại diện
Fund's Board of Representatives travelling, meeting expense</t>
  </si>
  <si>
    <t>Chi phí báo cáo thường niên
Annual report expense</t>
  </si>
  <si>
    <t>Chi phí công bố thông tin của Quỹ
Expenses for information disclosure of the Fund</t>
  </si>
  <si>
    <t>Phí ngân hàng
Bank charges</t>
  </si>
  <si>
    <t>IV. KẾT QUẢ HOẠT ĐỘNG ĐẦU TƯ 
GAIN (LOSSES) FROM INVESTMENT 
(23 = 01-10-20)</t>
  </si>
  <si>
    <t>5.1. Thu nhập khác
Other income</t>
  </si>
  <si>
    <t>5.2. Chi phí khác
Other expense</t>
  </si>
  <si>
    <t>VI. TỔNG LỢI NHUẬN KẾ TOÁN TRƯỚC THUẾ 
PROFIT BEFORE TAX
(30=23+24)</t>
  </si>
  <si>
    <t>6.1. Lợi nhuận/(lỗ) đã thực hiện
Realized profit (losses)</t>
  </si>
  <si>
    <t>6.2. Lợi nhận/(lỗ) chưa thực hiện
Unrealized profit (losses)</t>
  </si>
  <si>
    <t>VII. CHI PHÍ THUẾ TNDN
CORPORATE INCOME TAX</t>
  </si>
  <si>
    <t>VIII. LỢI NHUẬN KẾ TOÁN SAU THUẾ TNDN 
PROFIT AFTER TAX
(41=30-40)</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</si>
  <si>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</si>
  <si>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</si>
  <si>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</si>
  <si>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</si>
  <si>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</si>
  <si>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 xml:space="preserve">V. KẾT QUẢ THU NHẬP VÀ CHI PHÍ KHÁC
OTHER INCOME AND EXPENSE </t>
  </si>
  <si>
    <t>BÁO  CÁO TÌNH HÌNH TÀI CHÍNH
STATEMENT OF FINANCIAL POSITION</t>
  </si>
  <si>
    <t>2205.3</t>
  </si>
  <si>
    <t>121.3</t>
  </si>
  <si>
    <t>2205.4</t>
  </si>
  <si>
    <t>2215.3</t>
  </si>
  <si>
    <t>2215.15</t>
  </si>
  <si>
    <t>2215.5</t>
  </si>
  <si>
    <t>2215.14</t>
  </si>
  <si>
    <t>2215.8</t>
  </si>
  <si>
    <t>2215.7</t>
  </si>
  <si>
    <t>2215.4</t>
  </si>
  <si>
    <t>2215.12</t>
  </si>
  <si>
    <t>2215.9</t>
  </si>
  <si>
    <t>2215.6</t>
  </si>
  <si>
    <t>2215.13</t>
  </si>
  <si>
    <t>2215.11</t>
  </si>
  <si>
    <t>2232.3</t>
  </si>
  <si>
    <t>2227.1</t>
  </si>
  <si>
    <t>2226.1</t>
  </si>
  <si>
    <t>2226.4</t>
  </si>
  <si>
    <t>2230.2</t>
  </si>
  <si>
    <t>2231.2</t>
  </si>
  <si>
    <t>2226.2</t>
  </si>
  <si>
    <t>2227.2</t>
  </si>
  <si>
    <t>2231.1</t>
  </si>
  <si>
    <t>2232.2</t>
  </si>
  <si>
    <t>2230.4</t>
  </si>
  <si>
    <t>2230.3</t>
  </si>
  <si>
    <t>2230.1</t>
  </si>
  <si>
    <t>I. TÀI SẢN
ASSETS</t>
  </si>
  <si>
    <t>TỔNG TÀI SẢN
TOTAL ASSETS</t>
  </si>
  <si>
    <t>TỔNG NỢ PHẢI TRẢ
TOTAL LIABILITIES</t>
  </si>
  <si>
    <t>VI. CÁC CHỈ TIÊU NGOÀI BÁO CÁO TÌNH HÌNH TÀI CHÍNH
OFF BALANCE SHEET ITEMS</t>
  </si>
  <si>
    <t>Phụ lục 34. Mẫu báo cáo định kỳ về hoạt động đầu tư của quỹ
Appendix 34. Periodical Report on Fund's Investment Activities</t>
  </si>
  <si>
    <t>(Ban hành kèm theo Thông tư 183/2011/TT-BTC ngày 16 tháng 12 năm 2011 hướng dẫn về việc thành lập và quản lý quỹ mở)
(Issued in association with Circular 183/2011/TT-BTC guiding establishment and management of the Open-Ended Fund)</t>
  </si>
  <si>
    <t>BÁO CÁO ĐỊNH KỲ VỀ HOẠT ĐỘNG ĐẦU TƯ CỦA QUỸ
PERIODICAL REPORT ON FUND'S INVESTMENT ACTIVITIES</t>
  </si>
  <si>
    <t>STT
No</t>
  </si>
  <si>
    <t>Nội dung
Indicator</t>
  </si>
  <si>
    <t>Mã chỉ tiêu
Code</t>
  </si>
  <si>
    <t>%/cùng kỳ năm trước
%/against last year</t>
  </si>
  <si>
    <t>TÀI SẢN
ASSETS</t>
  </si>
  <si>
    <t>Tiền và các khoản tương đương tiền
Cash and Cash Equivalents</t>
  </si>
  <si>
    <t xml:space="preserve">Tiền
Cash </t>
  </si>
  <si>
    <t>Tiền gửi ngân hàng
Cash at Bank</t>
  </si>
  <si>
    <t>Các khoản tương đương tiền
Cash Equivalents</t>
  </si>
  <si>
    <t>Hợp đồng tiền gửi có kỳ hạn trên ba (03) tháng
Deposit with term over three (03) months</t>
  </si>
  <si>
    <t>Cổ phiếu niêm yết
Listed shares</t>
  </si>
  <si>
    <t>Trái phiếu
Bonds</t>
  </si>
  <si>
    <t>2205.5</t>
  </si>
  <si>
    <t>Lãi được nhận
Interest Receivables</t>
  </si>
  <si>
    <t>Tiền bán chứng khoán chờ thu
Securities Trading Receivables</t>
  </si>
  <si>
    <t>Các khoản phải thu khác
Other Receivables</t>
  </si>
  <si>
    <t>Các tài sản khác
Other Assets</t>
  </si>
  <si>
    <t>Nợ
Liability</t>
  </si>
  <si>
    <t>Tiền phải thanh toán mua chứng khoán
Securities Trading Payables</t>
  </si>
  <si>
    <t>Các khoản phải trả khác
Other Payables</t>
  </si>
  <si>
    <t>Phải trả cho Nhà đầu tư về mua Chứng chỉ quỹ
Subscription Suspense Payable</t>
  </si>
  <si>
    <t>Phải trả thu nhập cho nhà đầu tư
Income payable to investors</t>
  </si>
  <si>
    <t>Phải trả thù lao ban đại diện quỹ
Remuneration Payable to Fund's Board of Representatives</t>
  </si>
  <si>
    <t>Thuế và các khoản phải nộp Nhà nước
Taxes Payables</t>
  </si>
  <si>
    <t>Phải trả phí giám sát
Supervisory service fee payable</t>
  </si>
  <si>
    <t>Phải trả phí quản trị quỹ
Fund Administration fee payable</t>
  </si>
  <si>
    <t>Phải trả phí dịch vụ đại lý chuyển nhượng
Transfer Agency fee payable</t>
  </si>
  <si>
    <t>Phải trả phí kiểm toán
Audit fee payable</t>
  </si>
  <si>
    <t>Phải trả phí môi giới
Broker fee payable</t>
  </si>
  <si>
    <t>Phải trả phí phát hành, mua lại chứng chỉ quỹ cho Đại lý phân phối và Công ty quản lý quỹ
Subscription and Redemption fee payable to distributors and Fund Management Company</t>
  </si>
  <si>
    <t>Phải trả khác
Other payable</t>
  </si>
  <si>
    <t>TỔNG NỢ
TOTAL LIABILITIES</t>
  </si>
  <si>
    <t>Tài sản ròng của Quỹ ( = I.8 - II.3)
Net Asset Value ( = I.8 - II.3)</t>
  </si>
  <si>
    <t>Tổng số đơn vị quỹ
Total Outstanding Fund Certificates</t>
  </si>
  <si>
    <t>Giá trị tài sản ròng trên một đơn vị quỹ
Net Asset Value per Fund Certificate</t>
  </si>
  <si>
    <t>Lũy kế từ đầu năm
Accumulated from beginning of year</t>
  </si>
  <si>
    <t>Thu nhập từ hoạt động đầu tư
Income from Investment Activities</t>
  </si>
  <si>
    <t>Chi phí
Expense</t>
  </si>
  <si>
    <t>Cổ tức, trái tức được nhận
Dividend, Coupon</t>
  </si>
  <si>
    <t>Lãi được nhận
Income from Interest</t>
  </si>
  <si>
    <t>Các khoản thu nhập khác
Other income</t>
  </si>
  <si>
    <t>Phí quản lý trả cho công ty quản lý quỹ
Management Fee paid to Fund Management Company</t>
  </si>
  <si>
    <t>Phí lưu ký, giám sát trả cho Ngân hàng Giám sát/ VSD
Custody, Supervising Fees paid to Supervising Bank/VSD</t>
  </si>
  <si>
    <t>Phí giám sát
Supervisory fee</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</si>
  <si>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</si>
  <si>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Chi phí dịch vụ quản trị Quỹ
Fund Administration Fee</t>
  </si>
  <si>
    <t>Chi phí dịch vụ Đại lý Chuyển nhượng
Transfer Agency Fee</t>
  </si>
  <si>
    <t>Chi phí họp Đại hội Quỹ
Meeting expense</t>
  </si>
  <si>
    <t>Chi phí kiểm toán trả cho tổ chức kiểm toán
Audit fee</t>
  </si>
  <si>
    <t>Chi phí dịch vụ tư vấn pháp lý, dịch vụ báo giá và các dịch vụ hợp lý khác, thù lao trả cho ban đại diện quỹ
Legal consultancy expenses, price quotation fee, other valid expenses, remuneration payable to fund representative board</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</si>
  <si>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</si>
  <si>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Chi phí liên quan đến thực hiện các giao dịch tài sản của quỹ
Expenses related to execution of fund’s asset transactions</t>
  </si>
  <si>
    <t>Các loại phí, chi phí khác
Other fees, expenses</t>
  </si>
  <si>
    <t>Chi phí khác
Other Expenses</t>
  </si>
  <si>
    <t>Thu nhập ròng từ hoạt động đầu tư ( = I - II)
Net Income from Investment Activities ( = I - II)</t>
  </si>
  <si>
    <t>Lãi (lỗ) từ hoạt động đầu tư
Gain / (Loss) from Investment Activities</t>
  </si>
  <si>
    <t>Lãi (lỗ) thực tế phát sinh từ hoạt động đầu tư
Realised Gain / (Loss) from disposal of investment</t>
  </si>
  <si>
    <t>Thay đổi về giá trị của các khoản đầu tư trong kỳ
Unrealised Gain / (Loss) due to market price</t>
  </si>
  <si>
    <t>Thay đổi của giá trị tài sản ròng của Quỹ do các hoạt động đầu tư trong kỳ (III + IV)
Change of Net Asset Value of the Fund due to investment activities during the period ( = III + IV)</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</si>
  <si>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</si>
  <si>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</si>
  <si>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</si>
  <si>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</si>
  <si>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</si>
  <si>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Thay đổi GTTSR do phát hành thêm Chứng chỉ Quỹ
Change of Net Asset Value due to subscription during the period</t>
  </si>
  <si>
    <t>Thay đổi GTTSR do mua lại Chứng chỉ Quỹ
Change of Net Asset Value due to redemption during the period</t>
  </si>
  <si>
    <t>Giá trị tài sản ròng cuối kỳ
Net Asset Value at the end of period</t>
  </si>
  <si>
    <t>STT/No.</t>
  </si>
  <si>
    <t>Loại
Category</t>
  </si>
  <si>
    <t>Giá thị trường
hoặc giá trị hợp lý tại ngày báo cáo
Market price</t>
  </si>
  <si>
    <t>Tổng giá trị (Đồng)
Value (VND)</t>
  </si>
  <si>
    <t>Tỷ lệ % Tổng giá trị tài sản của Quỹ
% of total asset</t>
  </si>
  <si>
    <t>CỔ PHIẾU NIÊM YẾT
LISTED EQUITY</t>
  </si>
  <si>
    <t>TỔNG
TOTAL</t>
  </si>
  <si>
    <t>CỔ PHIẾU CHƯA NIÊM YẾT
UNLISTED EQUITY</t>
  </si>
  <si>
    <t>TỔNG CÁC LOẠI CỔ PHIẾU
TOTAL</t>
  </si>
  <si>
    <t>TRÁI PHIẾU
BONDS</t>
  </si>
  <si>
    <t>CÁC LOẠI CHỨNG KHOÁN KHÁC
OTHER SECURITIES</t>
  </si>
  <si>
    <t>TỔNG CÁC LOẠI CHỨNG KHOÁN
SECURITIES INVESTMENT TOTAL</t>
  </si>
  <si>
    <t>CÁC TÀI SẢN KHÁC
OTHER ASSETS</t>
  </si>
  <si>
    <t>Cổ tức được nhận
Dividend receivables</t>
  </si>
  <si>
    <t>Lãi trái phiếu được nhận
Bond coupon receivables</t>
  </si>
  <si>
    <t>Lãi tiền gửi được nhận
Interest receivables from deposits</t>
  </si>
  <si>
    <t>Tiền bán chứng khoán chờ thu
Outstanding Settlement of sales transactions</t>
  </si>
  <si>
    <t>Phải thu khác
Other receivables</t>
  </si>
  <si>
    <t>Tài sản khác
Other investments</t>
  </si>
  <si>
    <t>TIỀN
CASH</t>
  </si>
  <si>
    <t>Chứng chỉ tiền gửi 
Certificate of deposit</t>
  </si>
  <si>
    <t>Công cụ chuyển nhượng…
Registered certificate of deposit</t>
  </si>
  <si>
    <t>Tổng giá trị danh mục 
Total value of portfolio</t>
  </si>
  <si>
    <t>Phụ lục 26. Mẫu báo cáo thay đổi giá trị tài sản ròng, giao dịch chứng chỉ quỹ
Appendix 26. Report on change of Net Asset Value, trading of Fund Certificate</t>
  </si>
  <si>
    <t>Nội dung
Item</t>
  </si>
  <si>
    <t>I. Giá trị tài sản ròng của Quỹ mở (NAV) đầu kỳ
Net Asset Value (NAV) at the beginning of period</t>
  </si>
  <si>
    <t>III.1 Khoản thu từ việc phát hành bổ sung Chứng chỉ quỹ
Increase from Subscription of Fund Certificate</t>
  </si>
  <si>
    <t>III.2 Khoản thanh toán từ việc mua lại Chứng chỉ quỹ
Decrease from Redemption of Fund Certificate</t>
  </si>
  <si>
    <t>Chỉ tiêu/Indicators</t>
  </si>
  <si>
    <t>Mã chỉ tiêu/Code</t>
  </si>
  <si>
    <t>CÁC CHỈ TIÊU VỀ HIỆU QUẢ HOẠT ĐỘNG
INVESTMENT PERFORMANCE INDICATORS</t>
  </si>
  <si>
    <t>Tỷ lệ phí quản lý trả cho công ty quản lý quỹ / Giá trị tài sản ròng trung bình trong kỳ  (%)
Management expense over average NAV ratio (%)</t>
  </si>
  <si>
    <t>Tỷ lệ phí lưu ký, giám sát trả cho Ngân hàng Giám sát / Giá trị tài sản ròng trung bình trong kỳ  (%)
Custodian and supervising fee expense over average NAV ratio (%)</t>
  </si>
  <si>
    <t>Tỷ lệ chi phí dịch vụ quản trị quỹ, chi phí dịch vụ đại lý chuyển nhượng và các chi phí khác mà công ty quản lý quỹ trả cho tổ chức cung cấp dịch vụ có liên quan / Giá trị tài sản ròng của quỹ trung bình trong kỳ (%)
Outsourcing service expenses over average NAV ratio (%)</t>
  </si>
  <si>
    <t>Chi phí kiểm toán trả cho tổ chức kiểm toán (nếu phát sinh) / Giá trị tài sản ròng trung bình trong kỳ (%)
Audit fee expense over average NAV ratio (%)</t>
  </si>
  <si>
    <t>Chi phí dịch vụ tư vấn pháp lý, dịch vụ báo giá và các dịch vụ hợp lý khác, thù lao trả cho ban đại diện quỹ / Giá trị tài sản ròng trung bình trong kỳ (%)
Legal consultancy, OTC price quotation and other valid service fees; Board of Representatives' remuneration expense over average NAV ratio (%)</t>
  </si>
  <si>
    <t>Tỷ lệ chi phí hoạt động/Giá trị tài sản ròng trung bình trong kỳ (%)
Operating expense over average NAV ratio (%)</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</si>
  <si>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</si>
  <si>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</si>
  <si>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</si>
  <si>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Tổng số lượng đơn vị quỹ đang lưu hành đầu kỳ
Total number of outstanding Fund Certificate at the beginning of period</t>
  </si>
  <si>
    <t>Thay đổi quy mô quỹ trong kỳ (tính theo mệnh giá chứng chỉ quỹ)
Change of Fund scale during the period (based on par value of fund certificate)</t>
  </si>
  <si>
    <t>Số lượng đơn vị quỹ phát hành thêm trong kỳ
Number of Fund Certificates subscribed during the period</t>
  </si>
  <si>
    <t>Giá trị vốn huy động thêm trong kỳ (theo mệnh giá)
Net subscription amount in period (based on par value)</t>
  </si>
  <si>
    <t>Số lượng đơn vị quỹ mua lại trong kỳ
Number of Fund Certificates redeemed during the period</t>
  </si>
  <si>
    <t>Giá trị vốn phải thanh toán trong kỳ khi đáp ứng lệnh của nhà đầu tư (theo mệnh giá)
Net redemption amount in period (based on par value)</t>
  </si>
  <si>
    <t>Quy mô quỹ cuối kỳ (tính theo mệnh giá chứng chỉ quỹ)
Fund scale at the end of the period (based on par value of fund unit)</t>
  </si>
  <si>
    <t>Tổng giá trị chứng chỉ quỹ đang lưu hành cuối kỳ
Total value of outstanding Fund Certificate at the end of the period</t>
  </si>
  <si>
    <t>Tổng số lượng đơn vị quỹ đang lưu hành cuối kỳ
Total number of outstanding Fund Certificate at the end of the period</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</si>
  <si>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</si>
  <si>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</si>
  <si>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</si>
  <si>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</si>
  <si>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STT
No.</t>
  </si>
  <si>
    <t>Nội dung hoạt động (nêu chi tiết theo mục tiêu và đối tác)
Description</t>
  </si>
  <si>
    <t>Đối tác
Couterparty</t>
  </si>
  <si>
    <t>Mục tiêu/Tài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</si>
  <si>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</si>
  <si>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</si>
  <si>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</si>
  <si>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</si>
  <si>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 
Balance/NAV</t>
  </si>
  <si>
    <t>Thời điểm báo cáo
As at reporting date</t>
  </si>
  <si>
    <t>Ngày tháng năm 
Date</t>
  </si>
  <si>
    <r>
      <t xml:space="preserve">Hợp đồng Repo </t>
    </r>
    <r>
      <rPr>
        <i/>
        <sz val="10"/>
        <rFont val="Tahoma"/>
        <family val="2"/>
      </rPr>
      <t>(nêu chi tiết từng hợp đồng)
Repo (detail by each contract)</t>
    </r>
  </si>
  <si>
    <t>Tổng giá trị các hợp đồng Repo/giá trị tài sản ròng
Repo/NAV</t>
  </si>
  <si>
    <r>
      <t xml:space="preserve">Cho vay chứng khoán </t>
    </r>
    <r>
      <rPr>
        <i/>
        <sz val="10"/>
        <rFont val="Tahoma"/>
        <family val="2"/>
      </rPr>
      <t>(nêu chi tiết từng hợp đồng)
Margin (detail by each contract)</t>
    </r>
  </si>
  <si>
    <t>Tổng giá trị các hợp đồng/giá trị tài sản ròng của quỹ
Total Margin/NAV</t>
  </si>
  <si>
    <r>
      <t>Hợp đồng Reverse Repo</t>
    </r>
    <r>
      <rPr>
        <i/>
        <sz val="10"/>
        <rFont val="Tahoma"/>
        <family val="2"/>
      </rPr>
      <t xml:space="preserve"> (nêu chi tiết từng hợp đồng)
Reverse Repo (Detail by each contract)</t>
    </r>
  </si>
  <si>
    <t>Tổng giá trị các hợp đồng/giá trị tài sản ròng của quỹ
Reverse Repo/NAV</t>
  </si>
  <si>
    <r>
      <t xml:space="preserve">Vay tiền </t>
    </r>
    <r>
      <rPr>
        <i/>
        <sz val="10"/>
        <rFont val="Tahoma"/>
        <family val="2"/>
      </rPr>
      <t>(nêu chi tiết từng hợp đồng)
Borrowings (detail by each contract)</t>
    </r>
  </si>
  <si>
    <t>Tỷ lệ tiền vay từ các hợp đồng/giá trị tài sản ròng
Borowings/NAV</t>
  </si>
  <si>
    <t>Tổng giá trị các khoản vay/giá trị tài sản ròng (=I+II)
Total Borrowings, Repo/NAV</t>
  </si>
  <si>
    <t>Tổng giá trị các khoản cho vay/giá trị tài sản ròng  (=III + IV)
Total Loans/NAV</t>
  </si>
  <si>
    <t>Lợi nhuận chưa phân phối</t>
  </si>
  <si>
    <t>Thuế và các khoản phải nộp Nhà nước</t>
  </si>
  <si>
    <t>Phải trả thu nhập cho Nhà đầu tư</t>
  </si>
  <si>
    <t>Chi phí phải trả</t>
  </si>
  <si>
    <t>Thống kê phí giao dịch</t>
  </si>
  <si>
    <t>Phải trả, phải nộp khác</t>
  </si>
  <si>
    <t>Các khoản đầu tư</t>
  </si>
  <si>
    <t>Chi phí giao dịch bán các khoản đầu tư</t>
  </si>
  <si>
    <t>Phải trả phí phát hành thanh toán bù trừ chứng khoán
Clearing Settlement Payables</t>
  </si>
  <si>
    <t>2215.17</t>
  </si>
  <si>
    <t xml:space="preserve">Phí dịch vụ lưu ký - giao dịch chứng khoán
Custodian service - Transaction fee </t>
  </si>
  <si>
    <t>Chi phí họp, công tác của ban đại diện
Fund's Board of Representatives meeting, travelling expense</t>
  </si>
  <si>
    <t>Chi phí thiết lập Quỹ
Set up Expenses</t>
  </si>
  <si>
    <t>Chi phí cung cấp báo giá chứng khoán 
Price feed fee Expenses</t>
  </si>
  <si>
    <t>Phí niêm yết
Listing fee expenses</t>
  </si>
  <si>
    <t>20.10.01</t>
  </si>
  <si>
    <t>20.10.02</t>
  </si>
  <si>
    <t>20.10.03</t>
  </si>
  <si>
    <t>20.10.04</t>
  </si>
  <si>
    <t>20.10.05</t>
  </si>
  <si>
    <t>20.10.06</t>
  </si>
  <si>
    <t>20.10.07</t>
  </si>
  <si>
    <t>20.10.08</t>
  </si>
  <si>
    <t>20.10.09</t>
  </si>
  <si>
    <t>20.10.10</t>
  </si>
  <si>
    <t>2215.10</t>
  </si>
  <si>
    <t>2229.1</t>
  </si>
  <si>
    <t>2229.2</t>
  </si>
  <si>
    <t>2232.4</t>
  </si>
  <si>
    <r>
      <rPr>
        <b/>
        <sz val="10"/>
        <color indexed="30"/>
        <rFont val="Tahoma"/>
        <family val="2"/>
      </rPr>
      <t>Tên Quỹ:</t>
    </r>
    <r>
      <rPr>
        <sz val="10"/>
        <color indexed="8"/>
        <rFont val="Tahoma"/>
        <family val="2"/>
      </rPr>
      <t xml:space="preserve">
</t>
    </r>
  </si>
  <si>
    <t xml:space="preserve">Fund name: </t>
  </si>
  <si>
    <t>Fund name:</t>
  </si>
  <si>
    <t>Tên Quỹ:</t>
  </si>
  <si>
    <t>Tiền gửi Ngân hàng</t>
  </si>
  <si>
    <t>Các khoản dự phòng</t>
  </si>
  <si>
    <t>Vay ngắn hạn</t>
  </si>
  <si>
    <t>Phải trả mua các khoản đầu tư</t>
  </si>
  <si>
    <t>Phải trả các Đại lý phân phối, Công ty Quản lý quỹ về phí phát hành và mua lại Chứng chỉ quỹ</t>
  </si>
  <si>
    <t>Phải trả dịch vụ quản lý quỹ</t>
  </si>
  <si>
    <t>Tình hình biến động vốn chủ sở hữu</t>
  </si>
  <si>
    <t xml:space="preserve">Lãi, lỗ bán các khoản đầu tư </t>
  </si>
  <si>
    <t>Chênh lệch đánh giá lại các khoản đầu tư</t>
  </si>
  <si>
    <t>Doanh thu hoạt động đầu tư</t>
  </si>
  <si>
    <t>N</t>
  </si>
  <si>
    <t>Chi phí giao dịch mua các khoản đầu tư</t>
  </si>
  <si>
    <t>Chi phí đầu tư</t>
  </si>
  <si>
    <t>Chi phí quản lý Quỹ mở</t>
  </si>
  <si>
    <t>Thuyết minh về giá trị tài sản ròng</t>
  </si>
  <si>
    <t>Thuyết minh về danh mục các khoản đầu tư</t>
  </si>
  <si>
    <t>Thuyết minh về các Tài khoản loại 0</t>
  </si>
  <si>
    <t>Những thông tin khác</t>
  </si>
  <si>
    <t>Thống kê các Thuyết minh BCTC</t>
  </si>
  <si>
    <t>1/</t>
  </si>
  <si>
    <t>2/</t>
  </si>
  <si>
    <t>3/</t>
  </si>
  <si>
    <t>4/</t>
  </si>
  <si>
    <t>5/</t>
  </si>
  <si>
    <t>6/</t>
  </si>
  <si>
    <t>7/</t>
  </si>
  <si>
    <t>8/</t>
  </si>
  <si>
    <t>9/</t>
  </si>
  <si>
    <t>10/</t>
  </si>
  <si>
    <t>11/</t>
  </si>
  <si>
    <t>12/</t>
  </si>
  <si>
    <t>13/</t>
  </si>
  <si>
    <t>14/</t>
  </si>
  <si>
    <t>15/</t>
  </si>
  <si>
    <t>16/</t>
  </si>
  <si>
    <t>17/</t>
  </si>
  <si>
    <t>18/</t>
  </si>
  <si>
    <t>19/</t>
  </si>
  <si>
    <t>20/</t>
  </si>
  <si>
    <t>21/</t>
  </si>
  <si>
    <t>22/</t>
  </si>
  <si>
    <t>23/</t>
  </si>
  <si>
    <t>24/</t>
  </si>
  <si>
    <t>Y</t>
  </si>
  <si>
    <t>Nguyên nhân không trình bày</t>
  </si>
  <si>
    <t>Chỉ có VF1 trình bày, các Quỹ khác không có khoản mục này không phải trình bày</t>
  </si>
  <si>
    <t>Không có số dư không trình bày</t>
  </si>
  <si>
    <t>Trên báo cáo chính đã chi tiết theo từng khoản mục</t>
  </si>
  <si>
    <t>Không bắt buộc, Quỹ chỉ có khoản mục thuế từ hoạt động mua bán CCQ và Thù lao BDD</t>
  </si>
  <si>
    <t>O</t>
  </si>
  <si>
    <t>Có trình bày Y/N/O</t>
  </si>
  <si>
    <t>Quỹ nào có chia cổ tức mới trình bày</t>
  </si>
  <si>
    <t>Chi tiết theo nature khoản mục của từng quỹ</t>
  </si>
  <si>
    <t>Tính toán lại dựa trên Báo cáo Sale and Purchase Report, checking với cân đối</t>
  </si>
  <si>
    <t>Dựa trên báo cáo Portfolio Valuation</t>
  </si>
  <si>
    <t>Hệ thống ko support nhặt số liệu báo cáo này</t>
  </si>
  <si>
    <t>Thống kê theo từng kỳ NAV</t>
  </si>
  <si>
    <t>Báo cáo theo thông tư 183 đã có thông tin</t>
  </si>
  <si>
    <t>Không coó</t>
  </si>
  <si>
    <t>Không bắt buộc trình bày</t>
  </si>
  <si>
    <t>Kỳ báo cáo:</t>
  </si>
  <si>
    <t>Thông tin chung:</t>
  </si>
  <si>
    <t>Tên Công ty quản lý quỹ:</t>
  </si>
  <si>
    <t>Management Fund  Company</t>
  </si>
  <si>
    <t>Tên ngân hàng giám sát:</t>
  </si>
  <si>
    <r>
      <rPr>
        <b/>
        <sz val="10"/>
        <color indexed="30"/>
        <rFont val="Tahoma"/>
        <family val="2"/>
      </rPr>
      <t>Ngân hàng TNHH một thành viên Standard Chartered (Việt Nam)</t>
    </r>
    <r>
      <rPr>
        <sz val="10"/>
        <color indexed="8"/>
        <rFont val="Tahoma"/>
        <family val="2"/>
      </rPr>
      <t xml:space="preserve">
</t>
    </r>
  </si>
  <si>
    <t xml:space="preserve">Supervising bank: </t>
  </si>
  <si>
    <t>Standard Chartered Bank (Vietnam) Ltd.</t>
  </si>
  <si>
    <t>Người ký báo cáo:</t>
  </si>
  <si>
    <t>Management Fund  Company:</t>
  </si>
  <si>
    <r>
      <rPr>
        <b/>
        <sz val="10"/>
        <color indexed="30"/>
        <rFont val="Tahoma"/>
        <family val="2"/>
      </rPr>
      <t>Tên Công ty quản lý quỹ:</t>
    </r>
    <r>
      <rPr>
        <b/>
        <sz val="10"/>
        <rFont val="Tahoma"/>
        <family val="2"/>
      </rPr>
      <t xml:space="preserve">
</t>
    </r>
  </si>
  <si>
    <r>
      <rPr>
        <b/>
        <sz val="10"/>
        <color indexed="30"/>
        <rFont val="Tahoma"/>
        <family val="2"/>
      </rPr>
      <t>Tên ngân hàng giám sát:</t>
    </r>
    <r>
      <rPr>
        <sz val="10"/>
        <color indexed="8"/>
        <rFont val="Tahoma"/>
        <family val="2"/>
      </rPr>
      <t xml:space="preserve">
</t>
    </r>
  </si>
  <si>
    <t>2215.1.1</t>
  </si>
  <si>
    <t>Công ty Cổ phần Quản lý Quỹ Đầu tư Việt Nam</t>
  </si>
  <si>
    <t>Công ty Cổ phần Quản lý Quỹ đầu tư Việt Nam</t>
  </si>
  <si>
    <t>Trần Thanh Tân</t>
  </si>
  <si>
    <t>Tổng giám đốc</t>
  </si>
  <si>
    <t>Phí dịch vụ lưu ký - phí VSD
Custodian service -  VSD fee</t>
  </si>
  <si>
    <t>20.2.3</t>
  </si>
  <si>
    <t>2207.1</t>
  </si>
  <si>
    <t>2207.2</t>
  </si>
  <si>
    <t>2226.3</t>
  </si>
  <si>
    <t>Phí dịch vụ lưu ký - bảo quản tài sản
Custodian service - Safe Custody Fee</t>
  </si>
  <si>
    <t>Phí thiết kế, in ấn, gửi thư…
Designing, prining, posting... expense</t>
  </si>
  <si>
    <t>20.10.11</t>
  </si>
  <si>
    <t>BÁO CÁO TÀI SẢN CỦA QUỸ / ASSET REPORT</t>
  </si>
  <si>
    <t>BÁO CÁO KẾT QUẢ HOẠT ĐỘNG / PROFIT AND LOSS REPORT</t>
  </si>
  <si>
    <t>BÁO CÁO VỀ TÌNH HÌNH DANH MỤC ĐẦU TƯ CỦA QUỸ / INVESTMENT PORTFOLIO REPORT</t>
  </si>
  <si>
    <t>MỘT SỐ CHỈ TIÊU KHÁC / OTHER INDICATORS</t>
  </si>
  <si>
    <t>Các khoản đầu tư (kê chi tiết)
Investments</t>
  </si>
  <si>
    <t>Phải thu cổ tức
Dividend receivable</t>
  </si>
  <si>
    <t>Phải thu lãi tiền gửi có kỳ hạn dưới 3 tháng
Interest receivable from deposit with term less than three (03) months</t>
  </si>
  <si>
    <t>Phải trả phí báo giá
Price feed fee payable</t>
  </si>
  <si>
    <t>Phải trả khác
Other payables</t>
  </si>
  <si>
    <t>121.1</t>
  </si>
  <si>
    <t>136.3</t>
  </si>
  <si>
    <t>2205.6</t>
  </si>
  <si>
    <t>121.6</t>
  </si>
  <si>
    <t>Vietnam Securities Investment Fund (VFMVF1)</t>
  </si>
  <si>
    <t>Quỹ đầu tư Chứng khoán Việt Nam</t>
  </si>
  <si>
    <t>Quyền mua chứng khoán
Investment - Rights</t>
  </si>
  <si>
    <t xml:space="preserve"> </t>
  </si>
  <si>
    <t>02.1</t>
  </si>
  <si>
    <t>02.2</t>
  </si>
  <si>
    <t xml:space="preserve">Lãi chứng chỉ tiền gửi
Interest income from certificates of deposits
</t>
  </si>
  <si>
    <t>03.1</t>
  </si>
  <si>
    <t>03.2</t>
  </si>
  <si>
    <t>Cổ tức được nhận
Dividend received</t>
  </si>
  <si>
    <t>Trái tức được nhận
Coupon received</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</si>
  <si>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</si>
  <si>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</si>
  <si>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BÁO  CÁO LƯU CHUYỂN TIỀN TỆ
CASH FLOW STATEMENT</t>
  </si>
  <si>
    <t>I. Lưu chuyển tiền từ hoạt động đầu tư
Cash flow from investing activities</t>
  </si>
  <si>
    <t>1. Lợi nhuận trước Thuế thu nhập doanh nghiệp
Profit before income tax</t>
  </si>
  <si>
    <t>2. Điều chỉnh cho các khoản tăng giá trị tài sản ròng từ các hoạt động đầu tư
Adjustment for NAV increase from investing activities</t>
  </si>
  <si>
    <t>(- lãi) hoặc (+ lỗ) chênh lệch tỷ giá hối đoái/ đánh giá lại các khoản đầu tư chưa thực hiện
Unreliased Gain or (Loss) from FX valuation/Investment revaluation</t>
  </si>
  <si>
    <t>(+) chi phí trích trước
Increase of Accrued Expenses</t>
  </si>
  <si>
    <t>3. Lợi nhuận từ hoạt động đầu tư trước thay đổi vốn lưu động
Profit from investing activities before changes in working capital</t>
  </si>
  <si>
    <t>(-) Tăng (+) giảm đầu tư
(Increase), Decrease Investments</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</si>
  <si>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</si>
  <si>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</si>
  <si>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các khoản phải thu khác
 (Increase), Decrease in other receivables</t>
  </si>
  <si>
    <t>(+) Tăng, (-) giảm vay ngắn hạn
Increase, (Decrease) in Short term Loans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</si>
  <si>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</si>
  <si>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</si>
  <si>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 Tăng, (-) giảm phải trả thu nhập cho Nhà đầu tư
Increase, (Decrease) profit distribution payables</t>
  </si>
  <si>
    <t>(+) Tăng, (-) giảm Thuế và các khoản phải nộp Nhà nước
Increase, (Decrease) Tax payables and obligations to the State Budget</t>
  </si>
  <si>
    <t>(+) Tăng, (-) giảm phải trả cho Nhà đầu tư về mua Chứng chỉ quỹ
Increase, (Decrease) Subscription Suspense Payable</t>
  </si>
  <si>
    <t>(+) Tăng, (-) giảm phải trả cho Nhà đầu tư về mua lại Chứng chỉ quỹ
Increase, (Decrease) Redemption payable</t>
  </si>
  <si>
    <t>(+) Tăng, (-) giảm phải trả, phải nộp khác
Increase, (Decrease) Other payables</t>
  </si>
  <si>
    <t>16</t>
  </si>
  <si>
    <t>(+) Tăng, (-) giảm Phải trả dịch vụ quản lý Quỹ mở
Increase, (Decrease) Fund management related service expense payable</t>
  </si>
  <si>
    <t>17</t>
  </si>
  <si>
    <t>(+) Tăng, (-) giảm Thuế Thu nhập doanh nghiệp đã nộp
Increase, (Decrease) Income Tax Payment</t>
  </si>
  <si>
    <t>18</t>
  </si>
  <si>
    <t>Lưu chuyển tiền thuần từ hoạt động đầu tư (1+2+3)
Net Cash flow from Investing activities</t>
  </si>
  <si>
    <t>19</t>
  </si>
  <si>
    <t>II. Lưu chuyển tiền từ hoạt động tài chính 
Cash flow from financing activities</t>
  </si>
  <si>
    <t>1. Tiền thu từ phát hành Chứng chỉ quỹ  mở 
Receipts from subscriptions</t>
  </si>
  <si>
    <t>2. Tiền chi mua lại Chứng chỉ quỹ  mở 
Payments for redemptions</t>
  </si>
  <si>
    <t>3. Tiền vay gốc 
Principal of Loans</t>
  </si>
  <si>
    <t>33</t>
  </si>
  <si>
    <t>4. Tiền chi trả nợ gốc vay 
Payment of Principal loans</t>
  </si>
  <si>
    <t>34</t>
  </si>
  <si>
    <t>5. Tiền chi trả cổ tức, tiền lãi cho nhà đầu tư
Dividend, profit distribution payment</t>
  </si>
  <si>
    <t>35</t>
  </si>
  <si>
    <t>Lưu chuyển tiền thuần từ hoạt động tài chính (1-2+3-4-5) 
Net cash outflows from financing activities</t>
  </si>
  <si>
    <t>III. Tăng/giảm tiền thuần trong kỳ 
Net Increase/Decrease in cash and cash equivalent for the period</t>
  </si>
  <si>
    <t>IV. Tiền và các khoản tương đương tiền đầu kỳ 
Cash and cash equivalents at the beginning of period</t>
  </si>
  <si>
    <t>50</t>
  </si>
  <si>
    <t>Tiền gửi ngân hàng đầu kỳ: 
Cash at bank of the beginning of period</t>
  </si>
  <si>
    <t>51</t>
  </si>
  <si>
    <t>- Tiền gửi ngân hàng cho hoạt động của Quỹ 
Cash at bank for Fund's operation</t>
  </si>
  <si>
    <t>52</t>
  </si>
  <si>
    <t>53</t>
  </si>
  <si>
    <t>54</t>
  </si>
  <si>
    <t>V. Tiền và các khoản tương đương tiền cuối kỳ 
Cash and cash equivalents at the end of period</t>
  </si>
  <si>
    <t>55</t>
  </si>
  <si>
    <t>Tiền gửi ngân hàng cuối kỳ: 
Cash at bank of the end of period</t>
  </si>
  <si>
    <t>56</t>
  </si>
  <si>
    <t>57</t>
  </si>
  <si>
    <t>58</t>
  </si>
  <si>
    <t>59</t>
  </si>
  <si>
    <t>VI. Thay đổi Tiền và các khoản tương đương tiền trong kỳ
Changes in cash and cash equivalents in the period</t>
  </si>
  <si>
    <t>60</t>
  </si>
  <si>
    <t>Khác
Other</t>
  </si>
  <si>
    <t>80</t>
  </si>
  <si>
    <t>Phụ lục 27. Mẫu báo cáo thống kê phí giao dịch của Quỹ
Appendix 27. Periodical Report on Broker Fee</t>
  </si>
  <si>
    <t>BÁO CÁO THỐNG KÊ PHÍ GIAO DỊCH CỦA QUỸ
PERIODICAL REPORT ON BROKER FEE</t>
  </si>
  <si>
    <t>Số thứ tự</t>
  </si>
  <si>
    <t>Tên (mã) các công ty chứng khoán (có giá trị giao dịch vượt quá 5% tổng giá trị giao dịch kỳ báo cáo)</t>
  </si>
  <si>
    <t>Quan hệ với công ty quản lý quỹ</t>
  </si>
  <si>
    <t>Tỷ lệ giao dịch của quỹ qua từng công ty chứng khoán</t>
  </si>
  <si>
    <t>Phí giao dịch bình quân</t>
  </si>
  <si>
    <t>Phí giao dịch bình quân trên thị trường</t>
  </si>
  <si>
    <t>Giá trị giao dịch trong kỳ báo cáo của quỹ</t>
  </si>
  <si>
    <t>Tổng giá trị giao dịch trong kỳ báo cáo của quỹ</t>
  </si>
  <si>
    <t>Tỷ lệ giao dịch của quỹ qua công ty chứng khoán trong kỳ báo cáo</t>
  </si>
  <si>
    <t>(1)</t>
  </si>
  <si>
    <t>(2)</t>
  </si>
  <si>
    <t>(3)</t>
  </si>
  <si>
    <t>(4)</t>
  </si>
  <si>
    <t>(5)</t>
  </si>
  <si>
    <t>(6) = (4)/(5)%</t>
  </si>
  <si>
    <t>(7)</t>
  </si>
  <si>
    <t>(8)</t>
  </si>
  <si>
    <t>Công ty chứng khoán ACB</t>
  </si>
  <si>
    <t>Không</t>
  </si>
  <si>
    <t>0.15% - 0.5%</t>
  </si>
  <si>
    <t>Công ty CP Chứng khoán Bản Việt</t>
  </si>
  <si>
    <t>Công ty CP Chứng khoán Rồng Việt</t>
  </si>
  <si>
    <t>Tổng</t>
  </si>
  <si>
    <t>ACBS</t>
  </si>
  <si>
    <t>VCSC</t>
  </si>
  <si>
    <t>VDSC</t>
  </si>
  <si>
    <t>VDS</t>
  </si>
  <si>
    <t>NONE</t>
  </si>
  <si>
    <t>Giá trị tài sản ròng trên một đơn vị quỹ cuối kỳ
Net asset value per Fund Certificate at the end of period</t>
  </si>
  <si>
    <t>- Tiền gửi phong tỏa (Tiền để thanh toán việc mua lại chứng chỉ quỹ)
Frozen Account (Cash at bank for Fund's redemption)</t>
  </si>
  <si>
    <t>- Tiền gửi của nhà đầu tư về mua chứng chỉ quỹ
Cash at bank for Fund's subscription</t>
  </si>
  <si>
    <t>Lũy kế từ đầu năm 
Accumulated from the beginning of the year</t>
  </si>
  <si>
    <t xml:space="preserve">2.3. Chi phí lãi phải trả của hợp đồng repo
Interest expense from repo contract </t>
  </si>
  <si>
    <t>Số Lượng
Quantity</t>
  </si>
  <si>
    <t/>
  </si>
  <si>
    <t>Cổ tức được chia
Dividend income</t>
  </si>
  <si>
    <t>1.2. Tiền lãi được nhận
Interest income</t>
  </si>
  <si>
    <t>1.3. Lãi (lỗ) bán các khoản đầu tư
Realized gain (losses) from disposal investments</t>
  </si>
  <si>
    <t>1.4. Chênh lệch tăng, giảm đánh giá lại các khoản đầu tư chưa thực hiện
Unrealized gain (losses) from investment revaluation</t>
  </si>
  <si>
    <t>1.5. Doanh thu khác
Other income</t>
  </si>
  <si>
    <t xml:space="preserve">1.6. Chênh lệch lãi, lỗ tỷ giá hối đoái đã và chưa thực hiện
Realized and unrealized gain (losses) from foreign exchange </t>
  </si>
  <si>
    <t>1.7. Doanh thu khác về đầu tư 
Other investment income</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</si>
  <si>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</si>
  <si>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Vietnam Investment Fund Management Joint Stock Company</t>
  </si>
  <si>
    <t>Trái tức được chia
Interest income</t>
  </si>
  <si>
    <t>- Tiền gửi có kỳ hạn dưới 3 tháng
Term deposit less than 3 months</t>
  </si>
  <si>
    <t xml:space="preserve">Tiền gửi của nhà đầu tư cho hoạt động mua chứng chỉ quỹ 
Cash at bank for Fund's subscription </t>
  </si>
  <si>
    <t xml:space="preserve">Tiền phải trả cho Nhà đầu tư về mua lại Chứng chỉ quỹ
Cash at bank for Fund's redemption </t>
  </si>
  <si>
    <t xml:space="preserve">Tiền gửi ngân hàng cho hoạt động của Quỹ
Cash at bank for Fund's operation </t>
  </si>
  <si>
    <t>2203.1</t>
  </si>
  <si>
    <t>2203.2</t>
  </si>
  <si>
    <t>2203.3</t>
  </si>
  <si>
    <t>Phải thu cho khoản cổ phiếu hạn chế chờ mua
Receivable from AP/Investors on bought  investment</t>
  </si>
  <si>
    <t>Tiền gửi Ngân hàng
Cash at bank</t>
  </si>
  <si>
    <t>Tiền gửi có kỳ hạn trên 3 tháng
Deposit with term over three (03) months</t>
  </si>
  <si>
    <t>Chi phí dịch vụ tư vấn pháp lý
Legal consultancy expenses</t>
  </si>
  <si>
    <t>20.10.13</t>
  </si>
  <si>
    <t>20.10.14</t>
  </si>
  <si>
    <t>Phí thực hiện quyền trả cho VSD
Payables to VSD for getting the list of investors</t>
  </si>
  <si>
    <t>Phí đăng ký niêm yết bổ sung trả VSD
Additional registration fee pay for VSD</t>
  </si>
  <si>
    <t>20.10.12</t>
  </si>
  <si>
    <t>Cổ phiếu niêm yết
Listed Shares</t>
  </si>
  <si>
    <t>Cổ phiếu chưa niêm yết
Unlisted Shares</t>
  </si>
  <si>
    <t>121.5</t>
  </si>
  <si>
    <t>Trái phiếu niêm yết
Listed Bonds</t>
  </si>
  <si>
    <t>Trái phiếu chưa niêm yết 
Unlisted Bonds</t>
  </si>
  <si>
    <t xml:space="preserve">Chứng chỉ tiền gửi 
Certificate of Deposit </t>
  </si>
  <si>
    <t>121.7</t>
  </si>
  <si>
    <t>Đầu tư khác
Other Investments</t>
  </si>
  <si>
    <t>Trong đó: Phải thu khó đòi về bán các khoản đầu tư
In which: Overdue receivables from selling investments</t>
  </si>
  <si>
    <t>Phải thu trái tức
Coupon receivables</t>
  </si>
  <si>
    <t>Phải thu lãi tiền gửi có kỳ hạn trên 3 tháng
Interest receivables from deposit with term more than three (03) months</t>
  </si>
  <si>
    <t>Phải thu lãi chứng chỉ tiền gửi
Interest receivable from Certificate of Deposit</t>
  </si>
  <si>
    <t>Trong đó: Phải thu khó đòi về cổ tức, tiền lãi đến ngày nhận  nhưng chưa nhận được
In which: Overdue receivables from dividend, interest income</t>
  </si>
  <si>
    <t>136.5</t>
  </si>
  <si>
    <t>Dự thu cổ tức
Dividend receivables</t>
  </si>
  <si>
    <t>Dự thu lãi trái phiếu
Bond coupon receivables</t>
  </si>
  <si>
    <t>Dự thu lãi tiền gửi có kỳ hạn dưới 3 tháng
Interest acrrual from deposit with term less than three (03) months</t>
  </si>
  <si>
    <t>Dự thu lãi tiền gửi có kỳ hạn trên 3 tháng
Interest accrual from deposit with term more than three (03) months</t>
  </si>
  <si>
    <t>Dự thu lãi chứng chỉ tiền gửi
Interest accrual from Certificate of Deposit</t>
  </si>
  <si>
    <t>Gốc khoản vay ngắn hạn - Shorterm loans Principal</t>
  </si>
  <si>
    <t>Trich trước lãi vay ngắn hạn - Accrued Interest Expense</t>
  </si>
  <si>
    <t>Phải trả phí môi giới
Brokerage fee payables</t>
  </si>
  <si>
    <t>316.1.1</t>
  </si>
  <si>
    <t>Phải trả phí giao dịch thanh toán bù trừ chứng khoán
Clearing Settlement Fee payables</t>
  </si>
  <si>
    <t>316.1.2</t>
  </si>
  <si>
    <t>Phí giao dịch
Transaction fee</t>
  </si>
  <si>
    <t>Trích trước phí kiểm toán
Accrued expense for Audit fee</t>
  </si>
  <si>
    <t xml:space="preserve">Trích trước phí họp đại hội thường niên
Accrued expense for Annual General meeting </t>
  </si>
  <si>
    <t xml:space="preserve">Trích trước phí báo cáo thường niên
Accrued expense for Annual report </t>
  </si>
  <si>
    <t>Trích trước thù lao ban đại diện quỹ
Accrued expense for Remuneration Payable to Fund's Board of Representatives</t>
  </si>
  <si>
    <t>Phải trả cho nhà đầu tư chờ mua chứng chỉ quỹ
Subscription Pending allotment</t>
  </si>
  <si>
    <t>Phải trả nhà đầu tư trên tài sản giữ hộ
Payables to investors for investment bought on behalf</t>
  </si>
  <si>
    <t xml:space="preserve">Trích trước phải trả phí quản lý
Accrued expense for Management fee </t>
  </si>
  <si>
    <t>Trích trước phí lưu ký tài sản Quỹ mở
Accrued expense for Custodian fee</t>
  </si>
  <si>
    <t>319.2.1</t>
  </si>
  <si>
    <t>319.2.2</t>
  </si>
  <si>
    <t>319.2.3</t>
  </si>
  <si>
    <t xml:space="preserve">Trích trước phí quản trị quỹ
Accrued expense for Fund administration fee </t>
  </si>
  <si>
    <t xml:space="preserve">Trích trước phí giám sát
Accrued expense for Supervising fee </t>
  </si>
  <si>
    <t xml:space="preserve">Trích trước phí dịch vụ đại lý chuyển nhượng
Accrued expense for Tranfer agency fee </t>
  </si>
  <si>
    <t>Dự chi phí cung cấp dịch vụ tính giá trị tài sản ròng tham chiếu (iNAV) cho HOSE
Accrued expense for payable to HOSE for iNAV calculation</t>
  </si>
  <si>
    <t>Dự chi phí cấp quyền sử dụng chỉ số cho HOSE
Accrued expense for payable to HOSE for Index usage</t>
  </si>
  <si>
    <t>Trích trước phí công tác, họp của ban đại diện
Accrued expense for Fund's Board of Representatives travelling, meeting</t>
  </si>
  <si>
    <t>Trích trước phí quản lý thường niên trả cho UBCKNN
Accrued expense for Annual Management  Fee pay to SSC</t>
  </si>
  <si>
    <t>Phí Ngân hàng S2B
S2B Bank charge</t>
  </si>
  <si>
    <t>320.5</t>
  </si>
  <si>
    <t>1</t>
  </si>
  <si>
    <t>2</t>
  </si>
  <si>
    <t>3</t>
  </si>
  <si>
    <t>3.1</t>
  </si>
  <si>
    <t>3.2</t>
  </si>
  <si>
    <t>3.2.1</t>
  </si>
  <si>
    <t>3.2.2</t>
  </si>
  <si>
    <t>3.3</t>
  </si>
  <si>
    <t>3.4</t>
  </si>
  <si>
    <t>4</t>
  </si>
  <si>
    <t>5</t>
  </si>
  <si>
    <t>6</t>
  </si>
  <si>
    <t>7</t>
  </si>
  <si>
    <t>8</t>
  </si>
  <si>
    <t>9</t>
  </si>
  <si>
    <t>Tiền gửi ngân hàng và tương đương tiền
Cash at bank and cash equivalent</t>
  </si>
  <si>
    <t xml:space="preserve">Tiền gửi ngân hàng cho hoạt động của Quỹ mở
Cash at bank for Fund's operation </t>
  </si>
  <si>
    <t>Tiền gửi có kỳ hạn dưới 3 tháng
Term deposit less than 3 months</t>
  </si>
  <si>
    <t>Các khoản đầu tư thuần
Investment</t>
  </si>
  <si>
    <t>Các khoản đầu tư
Investments</t>
  </si>
  <si>
    <t>Dự phòng giảm giá tài sản nhận thế chấp 
Impairment of devaluation of assets as pledge</t>
  </si>
  <si>
    <t>Các khoản phải thu
Receivables</t>
  </si>
  <si>
    <t>Phải thu về bán các khoản đầu tư
Receivables from investments sold but not yet settled</t>
  </si>
  <si>
    <t>Phải thu và dự thu cổ tức, tiền lãi các khoản đầu tư
Dividend and interest receivables</t>
  </si>
  <si>
    <t>Phải thu cổ tức, tiền lãi đến ngày nhận
Dividend and interest receivables on or after payment date</t>
  </si>
  <si>
    <t>Dự thu cổ tức, tiền lãi chưa đến ngày nhận 
Dividend and interest receivables before payment date</t>
  </si>
  <si>
    <t>Các khoản phải thu khác
Other receivables</t>
  </si>
  <si>
    <t>Dự phòng nợ phải thu khó đòi
Provision for doubtful debt</t>
  </si>
  <si>
    <t>NỢ PHẢI TRẢ
TOTAL LIABILITIES</t>
  </si>
  <si>
    <t>Vay ngắn hạn
Shorterm loans</t>
  </si>
  <si>
    <t>Phải trả về mua các khoản đầu tư
Payables for securities bought but not yet settled</t>
  </si>
  <si>
    <t>Phải trả phí cho các Đại lý phân phối, Công ty quản lý quỹ về mua bán Chứng chỉ quỹ
Subscription and Redemption fee payable to distributors and fund management company</t>
  </si>
  <si>
    <t>Thuế và các khoản phải nộp Nhà nước
Tax payables and obligations to the State Budget</t>
  </si>
  <si>
    <t>Phải trả thu nhập cho Nhà đầu tư
Profit distribution payables</t>
  </si>
  <si>
    <t>Chi phí phải trả
Expense Accuals</t>
  </si>
  <si>
    <t>Phải trả cho Nhà đầu tư về mua lại Chứng chỉ quỹ
Redemption payable</t>
  </si>
  <si>
    <t>Phải trả dịch vụ quản lý Quỹ mở
Fund management related service expense payable</t>
  </si>
  <si>
    <t>Phải trả, phải nộp khác
Other payables</t>
  </si>
  <si>
    <t xml:space="preserve">	GIÁ TRỊ TÀI SẢN RÒNG CÓ THỂ PHÂN PHỐI CHO NHÀ ĐẦU TƯ NẮM GIỮ CHỨNG CHỈ QUỸ MỞ (I-II)
DISTRIBUTABLE NET ASSET VALUE (I-II)</t>
  </si>
  <si>
    <t>Vốn góp của Nhà đầu tư
Paid up capital</t>
  </si>
  <si>
    <t>Vốn góp phát hành
Capital from subscription</t>
  </si>
  <si>
    <t>Vốn góp mua lại
Capital from redeemption</t>
  </si>
  <si>
    <t>Thặng dư vốn góp của Nhà đầu tư
Share premium</t>
  </si>
  <si>
    <t>Lợi nhuận chưa phân phối 
Undistributed earnings</t>
  </si>
  <si>
    <t>Lợi nhuận chưa phân phối  đầu kỳ
Undistributed earnings  at the beginning of the period</t>
  </si>
  <si>
    <t>Lợi nhuận chưa phân phối  trong kỳ
Undistributed earnings during the period</t>
  </si>
  <si>
    <t xml:space="preserve">GIÁ TRỊ TÀI SẢN RÒNG QUỸ MỞ TRÊN 1 ĐƠN VỊ CHỨNG CHỈ QUỸ (IV=III/VI.4)
NET ASSET VALUE  PER FUND CERTIFICATE </t>
  </si>
  <si>
    <t>LỢI NHUẬN ĐÃ PHÂN PHỐI CHO NHÀ ĐẦU TƯ
DISTRIBUTED EARNINGS</t>
  </si>
  <si>
    <t>Lợi nhuận/Tài sản đã phân phối cho Nhà đầu tư trong năm
Distributed earnings assets in the period</t>
  </si>
  <si>
    <t>Lợi nhuận đã phân phối cho Nhà đầu tư lũy kế từ khi thành lập Quỹ mở đến kỳ lập báo cáo này
Accumulated distributed profit/ assets</t>
  </si>
  <si>
    <t>Tài sản nhận thế chấp
Assets received as pledge</t>
  </si>
  <si>
    <t>Nợ khó đòi đã xử lý
Written off bad debts</t>
  </si>
  <si>
    <t>Ngoại tệ các loại
Foreign currencies</t>
  </si>
  <si>
    <t>Số lượng Chứng chỉ quỹ đang lưu hành
Number of outstanding fund certificates</t>
  </si>
  <si>
    <t>Đầu tư khác
Other investments</t>
  </si>
  <si>
    <t>2205.7</t>
  </si>
  <si>
    <t>Chứng chỉ tiền gửi 
Certificate of Deposit</t>
  </si>
  <si>
    <t>Quyền mua chứng khoán
Investment Rights</t>
  </si>
  <si>
    <t>2215.1.2</t>
  </si>
  <si>
    <t>Phải trả nhà đầu tư trên cổ tức đã thu
Payables to investors for collected dividend</t>
  </si>
  <si>
    <t>2215.1.3</t>
  </si>
  <si>
    <t>Phải trả cho Nhà đầu tư về mua lại Chứng chỉ quỹ
Redemption payable to investors</t>
  </si>
  <si>
    <t>2215.1.4</t>
  </si>
  <si>
    <t>Phải trả nhà đầu tư
Payables to investors</t>
  </si>
  <si>
    <t>2215.1</t>
  </si>
  <si>
    <t>2215.2</t>
  </si>
  <si>
    <t>2215.9.1</t>
  </si>
  <si>
    <t>2215.9.2</t>
  </si>
  <si>
    <t xml:space="preserve">Trích trước phí lưu ký tài sản Quỹ mở
Accrued expense for Custodian fee </t>
  </si>
  <si>
    <t>2215.10.1</t>
  </si>
  <si>
    <t>2215.10.2</t>
  </si>
  <si>
    <t>2215.10.3</t>
  </si>
  <si>
    <t>2215.17.4</t>
  </si>
  <si>
    <t>2215.17.1</t>
  </si>
  <si>
    <t>2215.17.3</t>
  </si>
  <si>
    <t>2215.17.2</t>
  </si>
  <si>
    <t>Trích trước phí quản lý thường niên trả UBCKNN
Accrued expense for Annual Management Fee pay to SSC</t>
  </si>
  <si>
    <t>Vay ngắn hạn 
Shorterm loans</t>
  </si>
  <si>
    <t>2215.18.1</t>
  </si>
  <si>
    <t>2215.18.2</t>
  </si>
  <si>
    <t>Dự phòng giảm giá tài sản nhận thế chấp
Impairment of devaluation of assets as pledge</t>
  </si>
  <si>
    <t>2206.1</t>
  </si>
  <si>
    <t>Phải thu trái tức
Coupon receivable</t>
  </si>
  <si>
    <t>2206.2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</si>
  <si>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</si>
  <si>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niêm yết, phí đăng ký chứng khoán
Listing, Registration fee expenses</t>
  </si>
  <si>
    <t>Phí quản lý thường niên trả cho UBCKNN
Annual management fee paid to SSC</t>
  </si>
  <si>
    <t>Chi phi lãi vay  Borrowing Interest Expenses</t>
  </si>
  <si>
    <t>2232.6</t>
  </si>
  <si>
    <t>II.1 Thay đổi NAV do biến động thị trường và hoạt động giao dịch của Quỹ mở trong kỳ
Change of NAV due to market fluctuation and the fundsinvestment during the period</t>
  </si>
  <si>
    <t>II.2 Thay đổi NAV do phận chia Lợi nhuận/Tài sản của quỹ mở cho nhà đầu tư trong kỳ
Change of NAV due to profit distribution to investors during the period</t>
  </si>
  <si>
    <t>Giá trị tài sản ròng trên một đơn vị quỹ tại ngày định giá
NAV per unit at valuation date</t>
  </si>
  <si>
    <t>Phải thu cổ tức, trái tức
Dividend, Coupon receivables</t>
  </si>
  <si>
    <t>Phải thu lãi tiền gửi có kỳ hạn
Interest receivable from term deposit</t>
  </si>
  <si>
    <t>Phải thu lãi chứng chỉ tiền gửi
Interest receivable from Certificates of Deposits</t>
  </si>
  <si>
    <t>Phải trả phí quản lý cho công ty quản lý quỹ
Management fee payable</t>
  </si>
  <si>
    <t>Phải trả phí họp đại hội thưởng niên
General meeting expense payable</t>
  </si>
  <si>
    <t>Phải trả phí báo cáo thường niên
Annual report fee payable</t>
  </si>
  <si>
    <t>Lãi chứng chỉ tiền gửi
Interest from Certificate of Deposits</t>
  </si>
  <si>
    <t>Thu nhập khác về đầu tư
Other investment income</t>
  </si>
  <si>
    <t>Thu nhập khác 
Other income</t>
  </si>
  <si>
    <t>Chi phí cung cấp báo giá chứng khoán
Price feed fee Expenses</t>
  </si>
  <si>
    <t xml:space="preserve">Chi phí môi giới
Brokerage fee </t>
  </si>
  <si>
    <t>Lê Sỹ Hoàng</t>
  </si>
  <si>
    <t>Trưởng phòng Nghiệp vụ Chứng khoán</t>
  </si>
  <si>
    <t>Ghi chú/ Notes:</t>
  </si>
  <si>
    <t>2229.3</t>
  </si>
  <si>
    <t>2246.1</t>
  </si>
  <si>
    <t>2246.2</t>
  </si>
  <si>
    <t>2246.3</t>
  </si>
  <si>
    <t>2246.4</t>
  </si>
  <si>
    <t>2246.5</t>
  </si>
  <si>
    <t>2246.6</t>
  </si>
  <si>
    <t>2246.7</t>
  </si>
  <si>
    <t>2246.8</t>
  </si>
  <si>
    <t>2246.9</t>
  </si>
  <si>
    <t>2246.10</t>
  </si>
  <si>
    <t>2246.11</t>
  </si>
  <si>
    <t>2246.12</t>
  </si>
  <si>
    <t>2246.13</t>
  </si>
  <si>
    <t>2246.14</t>
  </si>
  <si>
    <t>2246.15</t>
  </si>
  <si>
    <t>2246.16</t>
  </si>
  <si>
    <t>2246.17</t>
  </si>
  <si>
    <t>2246.18</t>
  </si>
  <si>
    <t>2246.19</t>
  </si>
  <si>
    <t>2246.20</t>
  </si>
  <si>
    <t>110</t>
  </si>
  <si>
    <t>120</t>
  </si>
  <si>
    <t>121</t>
  </si>
  <si>
    <t>122</t>
  </si>
  <si>
    <t>130</t>
  </si>
  <si>
    <t>132</t>
  </si>
  <si>
    <t>133</t>
  </si>
  <si>
    <t>134</t>
  </si>
  <si>
    <t>135</t>
  </si>
  <si>
    <t>100</t>
  </si>
  <si>
    <t>316</t>
  </si>
  <si>
    <t>317</t>
  </si>
  <si>
    <t>317.1</t>
  </si>
  <si>
    <t>317.2</t>
  </si>
  <si>
    <t>319</t>
  </si>
  <si>
    <t>319.6</t>
  </si>
  <si>
    <t>319.7</t>
  </si>
  <si>
    <t>320</t>
  </si>
  <si>
    <t>320.4</t>
  </si>
  <si>
    <t>300</t>
  </si>
  <si>
    <t>400</t>
  </si>
  <si>
    <t>411</t>
  </si>
  <si>
    <t>430</t>
  </si>
  <si>
    <t>440</t>
  </si>
  <si>
    <t>441</t>
  </si>
  <si>
    <t>442</t>
  </si>
  <si>
    <t>001</t>
  </si>
  <si>
    <t>002</t>
  </si>
  <si>
    <t>003</t>
  </si>
  <si>
    <t>004</t>
  </si>
  <si>
    <t>Chi phí khác
Other expenses</t>
  </si>
  <si>
    <t>Phí quản lý thường niên trả UBCKNN
Annual fee Expenses paid to SSC</t>
  </si>
  <si>
    <t>Năm 2017
Year 2017</t>
  </si>
  <si>
    <t>ACB</t>
  </si>
  <si>
    <t>CTG</t>
  </si>
  <si>
    <t>FPT</t>
  </si>
  <si>
    <t>GAS</t>
  </si>
  <si>
    <t>HPG</t>
  </si>
  <si>
    <t>KDH</t>
  </si>
  <si>
    <t>MWG</t>
  </si>
  <si>
    <t>PNJ</t>
  </si>
  <si>
    <t>SAB</t>
  </si>
  <si>
    <t>VCB</t>
  </si>
  <si>
    <t>VJC</t>
  </si>
  <si>
    <t>VNM</t>
  </si>
  <si>
    <t>2246.21</t>
  </si>
  <si>
    <t>2246.22</t>
  </si>
  <si>
    <t>2246.23</t>
  </si>
  <si>
    <t>2246.24</t>
  </si>
  <si>
    <t>2246.25</t>
  </si>
  <si>
    <t>2246.26</t>
  </si>
  <si>
    <t>121.2</t>
  </si>
  <si>
    <t>Người lập:</t>
  </si>
  <si>
    <t xml:space="preserve">             Người duyệt:</t>
  </si>
  <si>
    <t>____________________________________________</t>
  </si>
  <si>
    <t>_____________________________________</t>
  </si>
  <si>
    <t>Bà Lâm Thị Loan</t>
  </si>
  <si>
    <t>Ông Nguyễn Minh Đăng Khánh</t>
  </si>
  <si>
    <t>Ông Trần Thanh Tân</t>
  </si>
  <si>
    <t>Kế toán Quỹ</t>
  </si>
  <si>
    <t xml:space="preserve">Phó Tổng Giám đốc kiêm 
Giám đốc Tài chính
</t>
  </si>
  <si>
    <t>Tổng Giám đốc</t>
  </si>
  <si>
    <t>______________________________________</t>
  </si>
  <si>
    <t xml:space="preserve">         Ông Nguyễn Minh Đăng Khánh</t>
  </si>
  <si>
    <t xml:space="preserve">            Ông Trần Thanh Tân</t>
  </si>
  <si>
    <t xml:space="preserve">   Phó Tổng Giám đốc kiêm 
Giám đốc Tài chính
</t>
  </si>
  <si>
    <t xml:space="preserve">                 Tổng Giám đốc</t>
  </si>
  <si>
    <t xml:space="preserve">        Ông Nguyễn Minh Đăng Khánh</t>
  </si>
  <si>
    <t>________________________________</t>
  </si>
  <si>
    <t>__________________________</t>
  </si>
  <si>
    <t xml:space="preserve">      Ông Trần Thanh Tân</t>
  </si>
  <si>
    <t xml:space="preserve">           Tổng Giám đốc</t>
  </si>
  <si>
    <t>Năm 2018
Year 2018</t>
  </si>
  <si>
    <t>2232.7</t>
  </si>
  <si>
    <t>2221.2</t>
  </si>
  <si>
    <t>111.2</t>
  </si>
  <si>
    <t>111.3</t>
  </si>
  <si>
    <t>MBB</t>
  </si>
  <si>
    <t>PLX</t>
  </si>
  <si>
    <t>VPB</t>
  </si>
  <si>
    <t>PME</t>
  </si>
  <si>
    <t>ACV</t>
  </si>
  <si>
    <t>MSN</t>
  </si>
  <si>
    <t>CTD</t>
  </si>
  <si>
    <t>VIC</t>
  </si>
  <si>
    <t>2246.27</t>
  </si>
  <si>
    <t>SSI</t>
  </si>
  <si>
    <t>2246.28</t>
  </si>
  <si>
    <t>BID</t>
  </si>
  <si>
    <t>2246.29</t>
  </si>
  <si>
    <t>DXG</t>
  </si>
  <si>
    <t>2246.30</t>
  </si>
  <si>
    <t>NLG</t>
  </si>
  <si>
    <t>2247</t>
  </si>
  <si>
    <t>111.1</t>
  </si>
  <si>
    <t>121.4</t>
  </si>
  <si>
    <t>134.1</t>
  </si>
  <si>
    <t>134.2</t>
  </si>
  <si>
    <t>134.3</t>
  </si>
  <si>
    <t>134.4</t>
  </si>
  <si>
    <t>134.5</t>
  </si>
  <si>
    <t>136.1</t>
  </si>
  <si>
    <t>136.2</t>
  </si>
  <si>
    <t>136.4</t>
  </si>
  <si>
    <t>311.1</t>
  </si>
  <si>
    <t>311.2</t>
  </si>
  <si>
    <t>316.1</t>
  </si>
  <si>
    <t>316.2</t>
  </si>
  <si>
    <t>316.3</t>
  </si>
  <si>
    <t>316.4</t>
  </si>
  <si>
    <t>316.5</t>
  </si>
  <si>
    <t>319.1</t>
  </si>
  <si>
    <t>319.2</t>
  </si>
  <si>
    <t>319.3</t>
  </si>
  <si>
    <t>319.4</t>
  </si>
  <si>
    <t>319.5</t>
  </si>
  <si>
    <t>320.1</t>
  </si>
  <si>
    <t>320.2</t>
  </si>
  <si>
    <t>320.3</t>
  </si>
  <si>
    <t>420.1</t>
  </si>
  <si>
    <t>420.2</t>
  </si>
  <si>
    <t>2210.1</t>
  </si>
  <si>
    <t>2210.2</t>
  </si>
  <si>
    <t>2215.16</t>
  </si>
  <si>
    <t>2215.18</t>
  </si>
  <si>
    <t>2224</t>
  </si>
  <si>
    <t>2226</t>
  </si>
  <si>
    <t>2227</t>
  </si>
  <si>
    <t>2229</t>
  </si>
  <si>
    <t>2230</t>
  </si>
  <si>
    <t>2231</t>
  </si>
  <si>
    <t>2232</t>
  </si>
  <si>
    <t>2233</t>
  </si>
  <si>
    <t>2234</t>
  </si>
  <si>
    <t>2237</t>
  </si>
  <si>
    <t>2238</t>
  </si>
  <si>
    <t>2239</t>
  </si>
  <si>
    <t>2240</t>
  </si>
  <si>
    <t>2243</t>
  </si>
  <si>
    <t>2220</t>
  </si>
  <si>
    <t>2221.1</t>
  </si>
  <si>
    <t>2222.1</t>
  </si>
  <si>
    <t>2222.2</t>
  </si>
  <si>
    <t>2223.1</t>
  </si>
  <si>
    <t>2223.2</t>
  </si>
  <si>
    <t>2223.3</t>
  </si>
  <si>
    <t>2230.5</t>
  </si>
  <si>
    <t>2232.5</t>
  </si>
  <si>
    <t>2239.1</t>
  </si>
  <si>
    <t>2239.2</t>
  </si>
  <si>
    <t>2239.3</t>
  </si>
  <si>
    <t>2239.4</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</si>
  <si>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</si>
  <si>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HOẠT ĐỘNG VAY, GIAO DỊCH MUA BÁN LẠI CỦA QUỸ
REPORT ON BORROWING OPERATION, REPO/REVERSE REPO TRANSACTIONS OF THE FUND</t>
  </si>
  <si>
    <t>Fund Management Company:</t>
  </si>
  <si>
    <t>BÁO CÁO THAY ĐỔI GIÁ TRỊ TÀI SẢN RÒNG, GIAO DỊCH CHỨNG CHỈ QŨY
REPORT ON CHANGE OF NET ASSET VALUE, TRADING OF FUND CERTIFICATE</t>
  </si>
  <si>
    <t>IV. Giá trị tài sản ròng của quỹ mở cuối kỳ 
(= I + II + III)
NAV at the end of period (= I + II + III)</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</si>
  <si>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</si>
  <si>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</si>
  <si>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</si>
  <si>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</si>
  <si>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Lãi tiền gửi ngân hàng
Interest from bank deposits</t>
  </si>
  <si>
    <t>1.1 Cổ tức, trái tức được chia
Dividend and interest income</t>
  </si>
  <si>
    <t xml:space="preserve">Lãi TGNH
Interest income from bank deposits
</t>
  </si>
  <si>
    <t>Mẫu số B02g - QM. Báo cáo tình hình tài chính
Template B02g - QM. Statement of Financial Position</t>
  </si>
  <si>
    <t>Mẫu số B01g - QM. Báo cáo thu nhập
Template B01g - QM. Statement of Comprehensive Income</t>
  </si>
  <si>
    <t>111.4</t>
  </si>
  <si>
    <t>121.9</t>
  </si>
  <si>
    <t>Quyền mua
Rights</t>
  </si>
  <si>
    <t>2253.1</t>
  </si>
  <si>
    <t>2253.2</t>
  </si>
  <si>
    <t>2203.4</t>
  </si>
  <si>
    <t>2205.8</t>
  </si>
  <si>
    <t>Ghi chú :</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</si>
  <si>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</si>
  <si>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VCI</t>
  </si>
  <si>
    <t>VHM</t>
  </si>
  <si>
    <t>TCB</t>
  </si>
  <si>
    <t>(**) Không tính đến giá trị cam kết của các hợp đồng tương lai chỉ số
       Excluding the committed value of the Index Futures contracts.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</si>
  <si>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</si>
  <si>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II. Thay đổi NAV so với kỳ trước (= II.1 + II.2)
Trong đó
Change of NAV during the priod (=II.1 + II.2)
Of which:</t>
  </si>
  <si>
    <t>III. Thay đổi NAV do mua lại, phát hành thêm chứng chỉ quỹ (= III.1 + III.2)
Change of NAV due to redemption, subscription of fund certificate (= III.1 + III.2)</t>
  </si>
  <si>
    <t>2231.3</t>
  </si>
  <si>
    <t>Ngày 30 tháng 09 năm 2018
As at 30 Sep 2018</t>
  </si>
  <si>
    <t>Quý III năm 2018
Quarter III 2018</t>
  </si>
  <si>
    <t>Tại ngày 30 tháng 09 năm 2018
As at 30 Sep 2018</t>
  </si>
  <si>
    <t>Hợp đồng tương lai chỉ số
Index future contracts</t>
  </si>
  <si>
    <t>Chi tiết loại hợp đồng phái sinh(*)
Index future contracts</t>
  </si>
  <si>
    <t>Tiền gửi ký quỹ cho hoạt động đầu tư chứng khoán phái sinh
Margin account for trading derivatives</t>
  </si>
  <si>
    <t>- Tiền gửi ký quỹ cho hoạt động đầu tư chứng khoán phái sinh
Margin account for trading derivatives</t>
  </si>
  <si>
    <t>Tại ngày 31 tháng 12 năm 2018/As at 31 Dec 2018</t>
  </si>
  <si>
    <t>Quý IV năm 2018/ Quarter IV 2018</t>
  </si>
  <si>
    <t>Ngày 10 tháng 01 năm 2019</t>
  </si>
  <si>
    <t>Quý IV
Quarter IV</t>
  </si>
  <si>
    <t>Ngày 31 tháng 12 năm 2018
As at 31 Dec 2018</t>
  </si>
  <si>
    <t>Quý IV năm 2018
Quarter IV 2018</t>
  </si>
  <si>
    <t>Tại ngày 31 tháng 12 năm 2018
As at 31 Dec 2018</t>
  </si>
  <si>
    <t>KBC</t>
  </si>
  <si>
    <t>POW</t>
  </si>
  <si>
    <t>VTP</t>
  </si>
  <si>
    <t xml:space="preserve">Trái phiếu Doanh Nghiệp CII117138 
Corporate Bond CII117138 </t>
  </si>
  <si>
    <t>Trái phiếu Doanh Nghiệp VN0KBC118063
Corporate Bond VN0KBC118063</t>
  </si>
  <si>
    <t xml:space="preserve">Ngân hàng TNHH một thành viên Standard Chartered (Việt Nam)
</t>
  </si>
  <si>
    <t>VietFund Management Company</t>
  </si>
  <si>
    <t>Nguyễn Ngọc Lan Anh</t>
  </si>
  <si>
    <t>Giám đốc Nghiệp vụ khối Thị trường, Tài sản và Dịch vụ chứng khoán</t>
  </si>
  <si>
    <t>Trưởng phòng Nghiệp vụ Dịch vụ Chứng khoán</t>
  </si>
  <si>
    <t xml:space="preserve">Phụ lục 31: Mẫu Báo cáo hoạt động vay, giao dịch mua bán lại của quỹ
Appendix 31: Report on borrowing operation, repo/reverse repo transactions of the fund
</t>
  </si>
  <si>
    <t>Tốc độ vòng quay danh mục trong kỳ (%) = (Tổng giá trị danh mục mua vào + tổng giá trị danh mục bán ra) / 2 / Giá trị tài sản ròng trung bình trong kỳ
Portfolio turnover rate (%) = (total value of buy-in portfolio + total proceeds of sale-out portfolio) / 2 / Average NAV (**)</t>
  </si>
</sst>
</file>

<file path=xl/styles.xml><?xml version="1.0" encoding="utf-8"?>
<styleSheet xmlns="http://schemas.openxmlformats.org/spreadsheetml/2006/main">
  <numFmts count="5">
    <numFmt numFmtId="164" formatCode="_-* #,##0\ _₫_-;\-* #,##0\ _₫_-;_-* &quot;-&quot;\ _₫_-;_-@_-"/>
    <numFmt numFmtId="165" formatCode="_-* #,##0.00\ _₫_-;\-* #,##0.00\ _₫_-;_-* &quot;-&quot;??\ _₫_-;_-@_-"/>
    <numFmt numFmtId="166" formatCode="_(* #,##0_);_(* \(#,##0\);_(* &quot;-&quot;??_);_(@_)"/>
    <numFmt numFmtId="167" formatCode="_(* #,##0.00_);_(* \(#,##0.00\);_(* &quot;-&quot;_);_(@_)"/>
    <numFmt numFmtId="168" formatCode="#,##0.####"/>
  </numFmts>
  <fonts count="57">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1"/>
      <color theme="10"/>
      <name val="Calibri"/>
      <family val="2"/>
      <scheme val="minor"/>
    </font>
    <font>
      <sz val="11"/>
      <color theme="1"/>
      <name val="Times New Roman"/>
      <family val="1"/>
    </font>
    <font>
      <i/>
      <sz val="11"/>
      <color theme="1"/>
      <name val="Times New Roman"/>
      <family val="1"/>
    </font>
    <font>
      <b/>
      <sz val="11"/>
      <color theme="1"/>
      <name val="Times New Roman"/>
      <family val="1"/>
    </font>
    <font>
      <sz val="11"/>
      <color theme="0" tint="-4.9989318521683403E-2"/>
      <name val="Times New Roman"/>
      <family val="1"/>
    </font>
    <font>
      <b/>
      <sz val="8"/>
      <color indexed="8"/>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name val="Tahoma"/>
      <family val="2"/>
    </font>
    <font>
      <sz val="10"/>
      <color indexed="8"/>
      <name val="Tahoma"/>
      <family val="2"/>
    </font>
    <font>
      <sz val="10"/>
      <color theme="1"/>
      <name val="Tahoma"/>
      <family val="2"/>
    </font>
    <font>
      <b/>
      <sz val="10"/>
      <color rgb="FF0070C0"/>
      <name val="Tahoma"/>
      <family val="2"/>
    </font>
    <font>
      <b/>
      <sz val="10"/>
      <color indexed="8"/>
      <name val="Tahoma"/>
      <family val="2"/>
    </font>
    <font>
      <b/>
      <sz val="10"/>
      <color indexed="63"/>
      <name val="Tahoma"/>
      <family val="2"/>
    </font>
    <font>
      <sz val="10"/>
      <color indexed="63"/>
      <name val="Tahoma"/>
      <family val="2"/>
    </font>
    <font>
      <i/>
      <sz val="10"/>
      <color rgb="FF0070C0"/>
      <name val="Tahoma"/>
      <family val="2"/>
    </font>
    <font>
      <sz val="12"/>
      <name val=".VnTime"/>
      <family val="2"/>
    </font>
    <font>
      <b/>
      <i/>
      <sz val="10"/>
      <name val="Tahoma"/>
      <family val="2"/>
    </font>
    <font>
      <b/>
      <sz val="10"/>
      <color theme="1"/>
      <name val="Tahoma"/>
      <family val="2"/>
    </font>
    <font>
      <i/>
      <sz val="10"/>
      <color theme="1"/>
      <name val="Tahoma"/>
      <family val="2"/>
    </font>
    <font>
      <b/>
      <sz val="8"/>
      <color theme="1" tint="4.9989318521683403E-2"/>
      <name val="Tahoma"/>
      <family val="2"/>
    </font>
    <font>
      <b/>
      <sz val="10"/>
      <color theme="1" tint="4.9989318521683403E-2"/>
      <name val="Tahoma"/>
      <family val="2"/>
    </font>
    <font>
      <sz val="10"/>
      <color theme="1" tint="4.9989318521683403E-2"/>
      <name val="Tahoma"/>
      <family val="2"/>
    </font>
    <font>
      <sz val="11"/>
      <name val="Times New Roman"/>
      <family val="1"/>
    </font>
    <font>
      <sz val="11"/>
      <color rgb="FFFF0000"/>
      <name val="Times New Roman"/>
      <family val="1"/>
    </font>
    <font>
      <sz val="8"/>
      <color theme="1"/>
      <name val="Tahoma"/>
      <family val="2"/>
    </font>
    <font>
      <sz val="10"/>
      <color rgb="FF00B0F0"/>
      <name val="Arial"/>
      <family val="2"/>
    </font>
    <font>
      <sz val="10"/>
      <color rgb="FFFF0000"/>
      <name val="Tahoma"/>
      <family val="2"/>
    </font>
    <font>
      <b/>
      <sz val="11"/>
      <color theme="1"/>
      <name val="Calibri"/>
      <family val="2"/>
      <scheme val="minor"/>
    </font>
    <font>
      <i/>
      <sz val="11"/>
      <color theme="1"/>
      <name val="Calibri"/>
      <family val="2"/>
      <scheme val="minor"/>
    </font>
    <font>
      <b/>
      <i/>
      <sz val="10"/>
      <color indexed="63"/>
      <name val="Tahoma"/>
      <family val="2"/>
    </font>
    <font>
      <b/>
      <i/>
      <u/>
      <sz val="10"/>
      <name val="Tahoma"/>
      <family val="2"/>
    </font>
    <font>
      <i/>
      <sz val="10"/>
      <name val="Arial"/>
      <family val="2"/>
    </font>
    <font>
      <b/>
      <sz val="11"/>
      <name val="Tahoma"/>
      <family val="2"/>
    </font>
  </fonts>
  <fills count="12">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rgb="FFFFC000"/>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34998626667073579"/>
        <bgColor indexed="64"/>
      </patternFill>
    </fill>
    <fill>
      <patternFill patternType="solid">
        <fgColor theme="9" tint="0.39997558519241921"/>
        <bgColor indexed="64"/>
      </patternFill>
    </fill>
    <fill>
      <patternFill patternType="solid">
        <fgColor indexed="6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58"/>
      </left>
      <right style="thin">
        <color indexed="58"/>
      </right>
      <top style="thin">
        <color indexed="58"/>
      </top>
      <bottom style="thin">
        <color indexed="58"/>
      </bottom>
      <diagonal/>
    </border>
  </borders>
  <cellStyleXfs count="129">
    <xf numFmtId="0" fontId="0" fillId="0" borderId="0"/>
    <xf numFmtId="165" fontId="19" fillId="0" borderId="0" quotePrefix="1" applyFont="0" applyFill="0" applyBorder="0" applyAlignment="0">
      <protection locked="0"/>
    </xf>
    <xf numFmtId="0" fontId="19" fillId="0" borderId="0"/>
    <xf numFmtId="0" fontId="20" fillId="0" borderId="0" applyNumberFormat="0" applyFill="0" applyBorder="0" applyAlignment="0" applyProtection="0"/>
    <xf numFmtId="0" fontId="19" fillId="0" borderId="0"/>
    <xf numFmtId="9" fontId="19" fillId="0" borderId="0" quotePrefix="1" applyFont="0" applyFill="0" applyBorder="0" applyAlignment="0">
      <protection locked="0"/>
    </xf>
    <xf numFmtId="0" fontId="18" fillId="0" borderId="0"/>
    <xf numFmtId="165" fontId="18" fillId="0" borderId="0" applyFont="0" applyFill="0" applyBorder="0" applyAlignment="0" applyProtection="0"/>
    <xf numFmtId="9" fontId="18" fillId="0" borderId="0" applyFont="0" applyFill="0" applyBorder="0" applyAlignment="0" applyProtection="0"/>
    <xf numFmtId="165" fontId="19" fillId="0" borderId="0" applyFont="0" applyFill="0" applyBorder="0" applyAlignment="0" applyProtection="0"/>
    <xf numFmtId="0" fontId="19" fillId="0" borderId="0"/>
    <xf numFmtId="0" fontId="39" fillId="0" borderId="0"/>
    <xf numFmtId="165" fontId="18" fillId="0" borderId="0" applyFont="0" applyFill="0" applyBorder="0" applyAlignment="0" applyProtection="0"/>
    <xf numFmtId="165" fontId="46" fillId="0" borderId="0" applyFont="0" applyFill="0" applyBorder="0" applyAlignment="0" applyProtection="0"/>
    <xf numFmtId="0" fontId="16" fillId="0" borderId="0"/>
    <xf numFmtId="0" fontId="15" fillId="0" borderId="0"/>
    <xf numFmtId="0" fontId="14" fillId="0" borderId="0"/>
    <xf numFmtId="0" fontId="13" fillId="0" borderId="0"/>
    <xf numFmtId="0" fontId="12" fillId="0" borderId="0"/>
    <xf numFmtId="0" fontId="11" fillId="0" borderId="0"/>
    <xf numFmtId="165" fontId="19" fillId="0" borderId="0" applyFont="0" applyFill="0" applyBorder="0" applyAlignment="0" applyProtection="0"/>
    <xf numFmtId="0" fontId="10" fillId="0" borderId="0"/>
    <xf numFmtId="0" fontId="9" fillId="0" borderId="0"/>
    <xf numFmtId="0" fontId="8" fillId="0" borderId="0"/>
    <xf numFmtId="0" fontId="8" fillId="0" borderId="0"/>
    <xf numFmtId="165" fontId="8" fillId="0" borderId="0" applyFont="0" applyFill="0" applyBorder="0" applyAlignment="0" applyProtection="0"/>
    <xf numFmtId="165" fontId="19" fillId="0" borderId="0" applyFont="0" applyFill="0" applyBorder="0" applyAlignment="0" applyProtection="0"/>
    <xf numFmtId="0" fontId="8" fillId="0" borderId="0"/>
    <xf numFmtId="0" fontId="8" fillId="0" borderId="0"/>
    <xf numFmtId="0" fontId="8" fillId="0" borderId="0"/>
    <xf numFmtId="0" fontId="8" fillId="0" borderId="0"/>
    <xf numFmtId="168" fontId="19" fillId="11" borderId="15" applyNumberFormat="0" applyFont="0" applyFill="0" applyBorder="0" applyAlignment="0" applyProtection="0">
      <alignment vertical="center"/>
    </xf>
    <xf numFmtId="0" fontId="19" fillId="11" borderId="15" applyNumberFormat="0" applyFont="0" applyFill="0" applyBorder="0" applyAlignment="0" applyProtection="0">
      <alignment vertical="center"/>
    </xf>
    <xf numFmtId="168" fontId="19" fillId="11" borderId="15" applyNumberFormat="0" applyFont="0" applyFill="0" applyBorder="0" applyAlignment="0" applyProtection="0">
      <alignment vertical="center"/>
    </xf>
    <xf numFmtId="0" fontId="7" fillId="0" borderId="0"/>
    <xf numFmtId="0" fontId="7" fillId="0" borderId="0"/>
    <xf numFmtId="0" fontId="6" fillId="0" borderId="0"/>
    <xf numFmtId="0" fontId="6" fillId="0" borderId="0"/>
    <xf numFmtId="0" fontId="6" fillId="0" borderId="0"/>
    <xf numFmtId="0" fontId="5" fillId="0" borderId="0"/>
    <xf numFmtId="0" fontId="5" fillId="0" borderId="0"/>
    <xf numFmtId="0" fontId="5" fillId="0" borderId="0"/>
    <xf numFmtId="0" fontId="4" fillId="0" borderId="0"/>
    <xf numFmtId="0" fontId="4" fillId="0" borderId="0"/>
    <xf numFmtId="0" fontId="4" fillId="0" borderId="0"/>
    <xf numFmtId="0" fontId="19" fillId="0" borderId="0"/>
    <xf numFmtId="165" fontId="3" fillId="0" borderId="0" applyFont="0" applyFill="0" applyBorder="0" applyAlignment="0" applyProtection="0"/>
    <xf numFmtId="0" fontId="3"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530">
    <xf numFmtId="0" fontId="0" fillId="0" borderId="0" xfId="0"/>
    <xf numFmtId="0" fontId="21" fillId="2" borderId="0" xfId="0" applyFont="1" applyFill="1"/>
    <xf numFmtId="0" fontId="22" fillId="2" borderId="0" xfId="0" applyFont="1" applyFill="1"/>
    <xf numFmtId="0" fontId="24" fillId="2" borderId="0" xfId="0" applyFont="1" applyFill="1"/>
    <xf numFmtId="0" fontId="24" fillId="2" borderId="0" xfId="0" applyFont="1" applyFill="1" applyAlignment="1">
      <alignment vertical="top" wrapText="1"/>
    </xf>
    <xf numFmtId="0" fontId="21" fillId="2" borderId="0" xfId="0" applyFont="1" applyFill="1" applyAlignment="1">
      <alignment vertical="top" wrapText="1"/>
    </xf>
    <xf numFmtId="0" fontId="21" fillId="2" borderId="0" xfId="0" applyFont="1" applyFill="1" applyAlignment="1">
      <alignment vertical="center"/>
    </xf>
    <xf numFmtId="0" fontId="24" fillId="2" borderId="0" xfId="0" applyFont="1" applyFill="1" applyAlignment="1">
      <alignment vertical="center"/>
    </xf>
    <xf numFmtId="0" fontId="24" fillId="2" borderId="0" xfId="0" applyFont="1" applyFill="1" applyAlignment="1">
      <alignment vertical="center" wrapText="1"/>
    </xf>
    <xf numFmtId="0" fontId="21" fillId="2" borderId="0" xfId="0" applyFont="1" applyFill="1" applyAlignment="1">
      <alignment vertical="center" wrapText="1"/>
    </xf>
    <xf numFmtId="0" fontId="18" fillId="0" borderId="0" xfId="6"/>
    <xf numFmtId="0" fontId="18" fillId="0" borderId="0" xfId="6" applyAlignment="1">
      <alignment horizontal="center"/>
    </xf>
    <xf numFmtId="166" fontId="0" fillId="0" borderId="0" xfId="7" applyNumberFormat="1" applyFont="1"/>
    <xf numFmtId="0" fontId="0" fillId="0" borderId="0" xfId="0" applyAlignment="1">
      <alignment horizontal="left"/>
    </xf>
    <xf numFmtId="0" fontId="23" fillId="2" borderId="1" xfId="0" applyFont="1" applyFill="1" applyBorder="1" applyAlignment="1">
      <alignment horizontal="left" vertical="top"/>
    </xf>
    <xf numFmtId="0" fontId="21" fillId="2" borderId="1" xfId="0" applyFont="1" applyFill="1" applyBorder="1" applyAlignment="1">
      <alignment horizontal="left" vertical="top"/>
    </xf>
    <xf numFmtId="0" fontId="21" fillId="2" borderId="1" xfId="0" applyFont="1" applyFill="1" applyBorder="1" applyAlignment="1">
      <alignment horizontal="left" vertical="top" wrapText="1"/>
    </xf>
    <xf numFmtId="0" fontId="20" fillId="2" borderId="1" xfId="3" applyFill="1" applyBorder="1" applyAlignment="1">
      <alignment horizontal="left" vertical="top"/>
    </xf>
    <xf numFmtId="0" fontId="28" fillId="3" borderId="0" xfId="0" applyFont="1" applyFill="1" applyAlignment="1">
      <alignment horizontal="center" vertical="center"/>
    </xf>
    <xf numFmtId="0" fontId="33" fillId="3" borderId="0" xfId="0" applyFont="1" applyFill="1" applyAlignment="1">
      <alignment vertical="center" wrapText="1"/>
    </xf>
    <xf numFmtId="0" fontId="34" fillId="3" borderId="0" xfId="0" applyFont="1" applyFill="1" applyAlignment="1">
      <alignment vertical="center" wrapText="1"/>
    </xf>
    <xf numFmtId="0" fontId="31" fillId="3" borderId="0" xfId="0" applyFont="1" applyFill="1"/>
    <xf numFmtId="49" fontId="36" fillId="2" borderId="1" xfId="0" applyNumberFormat="1" applyFont="1" applyFill="1" applyBorder="1" applyAlignment="1" applyProtection="1">
      <alignment horizontal="center" vertical="center" wrapText="1"/>
    </xf>
    <xf numFmtId="0" fontId="31" fillId="3" borderId="1" xfId="2" applyNumberFormat="1" applyFont="1" applyFill="1" applyBorder="1" applyAlignment="1" applyProtection="1">
      <alignment horizontal="left" wrapText="1"/>
    </xf>
    <xf numFmtId="0" fontId="38" fillId="3" borderId="1" xfId="2" applyNumberFormat="1" applyFont="1" applyFill="1" applyBorder="1" applyAlignment="1" applyProtection="1">
      <alignment horizontal="left" wrapText="1"/>
    </xf>
    <xf numFmtId="49" fontId="38" fillId="3" borderId="1" xfId="4" applyNumberFormat="1" applyFont="1" applyFill="1" applyBorder="1" applyAlignment="1" applyProtection="1">
      <alignment horizontal="left" wrapText="1"/>
    </xf>
    <xf numFmtId="166" fontId="31" fillId="3" borderId="0" xfId="0" applyNumberFormat="1" applyFont="1" applyFill="1"/>
    <xf numFmtId="0" fontId="31" fillId="3" borderId="0" xfId="0" applyFont="1" applyFill="1" applyAlignment="1"/>
    <xf numFmtId="0" fontId="32" fillId="3" borderId="0" xfId="0" applyFont="1" applyFill="1" applyAlignment="1">
      <alignment vertical="center"/>
    </xf>
    <xf numFmtId="166" fontId="32" fillId="3" borderId="0" xfId="12" applyNumberFormat="1" applyFont="1" applyFill="1" applyAlignment="1">
      <alignment vertical="center"/>
    </xf>
    <xf numFmtId="0" fontId="0" fillId="3" borderId="0" xfId="0" applyFill="1"/>
    <xf numFmtId="49" fontId="36" fillId="3" borderId="1" xfId="0" applyNumberFormat="1" applyFont="1" applyFill="1" applyBorder="1" applyAlignment="1" applyProtection="1">
      <alignment horizontal="center" vertical="center" wrapText="1"/>
    </xf>
    <xf numFmtId="0" fontId="0" fillId="6" borderId="0" xfId="0" applyFill="1"/>
    <xf numFmtId="164" fontId="31" fillId="3" borderId="1" xfId="1" applyNumberFormat="1" applyFont="1" applyFill="1" applyBorder="1" applyAlignment="1" applyProtection="1">
      <alignment horizontal="right"/>
    </xf>
    <xf numFmtId="164" fontId="37" fillId="3" borderId="1" xfId="2" applyNumberFormat="1" applyFont="1" applyFill="1" applyBorder="1" applyAlignment="1" applyProtection="1">
      <alignment horizontal="right" wrapText="1"/>
    </xf>
    <xf numFmtId="0" fontId="37" fillId="3" borderId="1" xfId="2" applyNumberFormat="1" applyFont="1" applyFill="1" applyBorder="1" applyAlignment="1" applyProtection="1">
      <alignment horizontal="center" vertical="center" wrapText="1"/>
    </xf>
    <xf numFmtId="0" fontId="0" fillId="7" borderId="0" xfId="0" applyFill="1"/>
    <xf numFmtId="49" fontId="36" fillId="5" borderId="1" xfId="0" applyNumberFormat="1" applyFont="1" applyFill="1" applyBorder="1" applyAlignment="1" applyProtection="1">
      <alignment horizontal="center" vertical="center" wrapText="1"/>
    </xf>
    <xf numFmtId="0" fontId="29" fillId="6" borderId="1" xfId="2" applyNumberFormat="1" applyFont="1" applyFill="1" applyBorder="1" applyAlignment="1" applyProtection="1">
      <alignment horizontal="left" wrapText="1"/>
    </xf>
    <xf numFmtId="0" fontId="37" fillId="6" borderId="1" xfId="2" applyNumberFormat="1" applyFont="1" applyFill="1" applyBorder="1" applyAlignment="1" applyProtection="1">
      <alignment horizontal="center" vertical="center" wrapText="1"/>
    </xf>
    <xf numFmtId="164" fontId="37" fillId="6" borderId="1" xfId="2" applyNumberFormat="1" applyFont="1" applyFill="1" applyBorder="1" applyAlignment="1" applyProtection="1">
      <alignment horizontal="right" wrapText="1"/>
    </xf>
    <xf numFmtId="49" fontId="29" fillId="5" borderId="1" xfId="0" applyNumberFormat="1" applyFont="1" applyFill="1" applyBorder="1" applyAlignment="1" applyProtection="1">
      <alignment horizontal="center" vertical="center" wrapText="1"/>
    </xf>
    <xf numFmtId="166" fontId="29" fillId="5" borderId="1" xfId="1" applyNumberFormat="1" applyFont="1" applyFill="1" applyBorder="1" applyAlignment="1" applyProtection="1">
      <alignment horizontal="center" vertical="center" wrapText="1"/>
      <protection locked="0"/>
    </xf>
    <xf numFmtId="0" fontId="31" fillId="6" borderId="0" xfId="0" applyFont="1" applyFill="1"/>
    <xf numFmtId="0" fontId="37" fillId="0" borderId="1" xfId="2" applyNumberFormat="1" applyFont="1" applyFill="1" applyBorder="1" applyAlignment="1" applyProtection="1">
      <alignment horizontal="center" vertical="center" wrapText="1"/>
    </xf>
    <xf numFmtId="0" fontId="29" fillId="4" borderId="1" xfId="2" applyNumberFormat="1" applyFont="1" applyFill="1" applyBorder="1" applyAlignment="1" applyProtection="1">
      <alignment horizontal="left" wrapText="1"/>
    </xf>
    <xf numFmtId="166" fontId="29" fillId="4" borderId="1" xfId="1" applyNumberFormat="1" applyFont="1" applyFill="1" applyBorder="1" applyAlignment="1" applyProtection="1">
      <alignment horizontal="left" wrapText="1"/>
      <protection locked="0"/>
    </xf>
    <xf numFmtId="0" fontId="33" fillId="3" borderId="0" xfId="0" applyFont="1" applyFill="1"/>
    <xf numFmtId="0" fontId="33" fillId="6" borderId="0" xfId="0" applyFont="1" applyFill="1"/>
    <xf numFmtId="0" fontId="37" fillId="4" borderId="1" xfId="2" applyNumberFormat="1" applyFont="1" applyFill="1" applyBorder="1" applyAlignment="1" applyProtection="1">
      <alignment horizontal="center" vertical="center" wrapText="1"/>
    </xf>
    <xf numFmtId="0" fontId="37" fillId="0" borderId="1" xfId="2" applyNumberFormat="1" applyFont="1" applyFill="1" applyBorder="1" applyAlignment="1" applyProtection="1">
      <alignment wrapText="1"/>
    </xf>
    <xf numFmtId="49" fontId="36" fillId="2" borderId="1" xfId="0" applyNumberFormat="1" applyFont="1" applyFill="1" applyBorder="1" applyAlignment="1" applyProtection="1">
      <alignment wrapText="1"/>
    </xf>
    <xf numFmtId="0" fontId="37" fillId="0" borderId="1" xfId="2" applyNumberFormat="1" applyFont="1" applyFill="1" applyBorder="1" applyAlignment="1" applyProtection="1">
      <alignment horizontal="center" wrapText="1"/>
    </xf>
    <xf numFmtId="0" fontId="31" fillId="3" borderId="1" xfId="2" applyNumberFormat="1" applyFont="1" applyFill="1" applyBorder="1" applyAlignment="1" applyProtection="1">
      <alignment horizontal="center" wrapText="1"/>
    </xf>
    <xf numFmtId="0" fontId="37" fillId="4" borderId="1" xfId="2" applyNumberFormat="1" applyFont="1" applyFill="1" applyBorder="1" applyAlignment="1" applyProtection="1">
      <alignment horizontal="center" wrapText="1"/>
    </xf>
    <xf numFmtId="164" fontId="31" fillId="0" borderId="1" xfId="1" applyNumberFormat="1" applyFont="1" applyBorder="1" applyAlignment="1" applyProtection="1"/>
    <xf numFmtId="164" fontId="37" fillId="4" borderId="1" xfId="2" applyNumberFormat="1" applyFont="1" applyFill="1" applyBorder="1" applyAlignment="1" applyProtection="1">
      <alignment wrapText="1"/>
    </xf>
    <xf numFmtId="164" fontId="36" fillId="4" borderId="1" xfId="2" applyNumberFormat="1" applyFont="1" applyFill="1" applyBorder="1" applyAlignment="1" applyProtection="1">
      <alignment wrapText="1"/>
    </xf>
    <xf numFmtId="166" fontId="33" fillId="3" borderId="0" xfId="1" applyNumberFormat="1" applyFont="1" applyFill="1" applyProtection="1">
      <protection locked="0"/>
    </xf>
    <xf numFmtId="0" fontId="41" fillId="3" borderId="0" xfId="0" applyFont="1" applyFill="1"/>
    <xf numFmtId="166" fontId="41" fillId="3" borderId="0" xfId="1" applyNumberFormat="1" applyFont="1" applyFill="1" applyProtection="1">
      <protection locked="0"/>
    </xf>
    <xf numFmtId="0" fontId="42" fillId="3" borderId="0" xfId="0" applyFont="1" applyFill="1"/>
    <xf numFmtId="166" fontId="42" fillId="3" borderId="0" xfId="1" applyNumberFormat="1" applyFont="1" applyFill="1" applyProtection="1">
      <protection locked="0"/>
    </xf>
    <xf numFmtId="0" fontId="33" fillId="3" borderId="6" xfId="0" applyFont="1" applyFill="1" applyBorder="1"/>
    <xf numFmtId="166" fontId="33" fillId="3" borderId="6" xfId="1" applyNumberFormat="1" applyFont="1" applyFill="1" applyBorder="1" applyProtection="1">
      <protection locked="0"/>
    </xf>
    <xf numFmtId="10" fontId="31" fillId="3" borderId="0" xfId="5" applyNumberFormat="1" applyFont="1" applyFill="1" applyProtection="1"/>
    <xf numFmtId="0" fontId="34" fillId="3" borderId="0" xfId="0" applyFont="1" applyFill="1" applyAlignment="1">
      <alignment horizontal="left" vertical="top"/>
    </xf>
    <xf numFmtId="0" fontId="31" fillId="3" borderId="0" xfId="0" applyFont="1" applyFill="1" applyAlignment="1">
      <alignment horizontal="left" vertical="top"/>
    </xf>
    <xf numFmtId="0" fontId="33" fillId="3" borderId="0" xfId="0" applyFont="1" applyFill="1" applyAlignment="1">
      <alignment horizontal="left" vertical="top"/>
    </xf>
    <xf numFmtId="0" fontId="18" fillId="4" borderId="0" xfId="6" applyFill="1"/>
    <xf numFmtId="166" fontId="0" fillId="4" borderId="0" xfId="7" applyNumberFormat="1" applyFont="1" applyFill="1"/>
    <xf numFmtId="0" fontId="33" fillId="3" borderId="0" xfId="0" applyFont="1" applyFill="1" applyAlignment="1"/>
    <xf numFmtId="166" fontId="33" fillId="3" borderId="0" xfId="1" applyNumberFormat="1" applyFont="1" applyFill="1" applyAlignment="1" applyProtection="1">
      <alignment horizontal="right"/>
    </xf>
    <xf numFmtId="10" fontId="33" fillId="3" borderId="0" xfId="5" applyNumberFormat="1" applyFont="1" applyFill="1" applyAlignment="1" applyProtection="1">
      <alignment horizontal="right"/>
    </xf>
    <xf numFmtId="166" fontId="33" fillId="3" borderId="6" xfId="1" applyNumberFormat="1" applyFont="1" applyFill="1" applyBorder="1" applyAlignment="1" applyProtection="1">
      <alignment horizontal="right"/>
    </xf>
    <xf numFmtId="10" fontId="33" fillId="3" borderId="6" xfId="5" applyNumberFormat="1" applyFont="1" applyFill="1" applyBorder="1" applyAlignment="1" applyProtection="1">
      <alignment horizontal="right"/>
    </xf>
    <xf numFmtId="0" fontId="36" fillId="3" borderId="0" xfId="4" applyNumberFormat="1" applyFont="1" applyFill="1" applyBorder="1" applyAlignment="1" applyProtection="1">
      <alignment horizontal="center" vertical="center" wrapText="1"/>
    </xf>
    <xf numFmtId="0" fontId="36" fillId="3" borderId="0" xfId="4" applyNumberFormat="1" applyFont="1" applyFill="1" applyBorder="1" applyAlignment="1" applyProtection="1">
      <alignment horizontal="left" vertical="center" wrapText="1"/>
    </xf>
    <xf numFmtId="166" fontId="36" fillId="3" borderId="0" xfId="7" applyNumberFormat="1" applyFont="1" applyFill="1" applyBorder="1" applyAlignment="1" applyProtection="1">
      <alignment horizontal="left" vertical="center" wrapText="1"/>
    </xf>
    <xf numFmtId="0" fontId="33" fillId="3" borderId="0" xfId="6" applyFont="1" applyFill="1" applyBorder="1" applyAlignment="1">
      <alignment horizontal="center"/>
    </xf>
    <xf numFmtId="49" fontId="31" fillId="3" borderId="1" xfId="4" applyNumberFormat="1" applyFont="1" applyFill="1" applyBorder="1" applyAlignment="1" applyProtection="1">
      <alignment horizontal="left" vertical="center" wrapText="1"/>
    </xf>
    <xf numFmtId="0" fontId="44" fillId="5" borderId="1" xfId="4" applyNumberFormat="1" applyFont="1" applyFill="1" applyBorder="1" applyAlignment="1" applyProtection="1">
      <alignment horizontal="center" vertical="center" wrapText="1"/>
    </xf>
    <xf numFmtId="166" fontId="44" fillId="5" borderId="1" xfId="1" applyNumberFormat="1" applyFont="1" applyFill="1" applyBorder="1" applyAlignment="1" applyProtection="1">
      <alignment horizontal="center" vertical="center" wrapText="1"/>
    </xf>
    <xf numFmtId="49" fontId="31" fillId="3" borderId="1" xfId="4" applyNumberFormat="1" applyFont="1" applyFill="1" applyBorder="1" applyAlignment="1" applyProtection="1">
      <alignment horizontal="center" vertical="center" wrapText="1"/>
    </xf>
    <xf numFmtId="49" fontId="31" fillId="6" borderId="1" xfId="4" applyNumberFormat="1" applyFont="1" applyFill="1" applyBorder="1" applyAlignment="1" applyProtection="1">
      <alignment horizontal="center" vertical="center" wrapText="1"/>
    </xf>
    <xf numFmtId="166" fontId="31" fillId="6" borderId="1" xfId="7" applyNumberFormat="1" applyFont="1" applyFill="1" applyBorder="1" applyAlignment="1" applyProtection="1">
      <alignment horizontal="left" vertical="center" wrapText="1"/>
    </xf>
    <xf numFmtId="10" fontId="31" fillId="3" borderId="1" xfId="6" applyNumberFormat="1" applyFont="1" applyFill="1" applyBorder="1" applyAlignment="1" applyProtection="1">
      <alignment horizontal="left" vertical="center" wrapText="1"/>
    </xf>
    <xf numFmtId="0" fontId="18" fillId="6" borderId="0" xfId="6" applyFill="1"/>
    <xf numFmtId="166" fontId="33" fillId="3" borderId="6" xfId="1" applyNumberFormat="1" applyFont="1" applyFill="1" applyBorder="1" applyProtection="1"/>
    <xf numFmtId="0" fontId="0" fillId="3" borderId="6" xfId="0" applyFill="1" applyBorder="1"/>
    <xf numFmtId="0" fontId="18" fillId="3" borderId="0" xfId="6" applyFill="1"/>
    <xf numFmtId="0" fontId="18" fillId="3" borderId="0" xfId="6" applyFill="1" applyBorder="1"/>
    <xf numFmtId="166" fontId="0" fillId="3" borderId="0" xfId="7" applyNumberFormat="1" applyFont="1" applyFill="1" applyBorder="1"/>
    <xf numFmtId="0" fontId="41" fillId="3" borderId="0" xfId="0" applyFont="1" applyFill="1" applyBorder="1"/>
    <xf numFmtId="0" fontId="33" fillId="3" borderId="0" xfId="0" applyFont="1" applyFill="1" applyBorder="1"/>
    <xf numFmtId="166" fontId="33" fillId="3" borderId="0" xfId="1" applyNumberFormat="1" applyFont="1" applyFill="1" applyBorder="1" applyProtection="1">
      <protection locked="0"/>
    </xf>
    <xf numFmtId="166" fontId="41" fillId="3" borderId="0" xfId="1" applyNumberFormat="1" applyFont="1" applyFill="1" applyBorder="1" applyProtection="1">
      <protection locked="0"/>
    </xf>
    <xf numFmtId="166" fontId="33" fillId="3" borderId="0" xfId="1" applyNumberFormat="1" applyFont="1" applyFill="1" applyBorder="1" applyProtection="1"/>
    <xf numFmtId="0" fontId="42" fillId="3" borderId="0" xfId="0" applyFont="1" applyFill="1" applyBorder="1"/>
    <xf numFmtId="166" fontId="42" fillId="3" borderId="0" xfId="1" applyNumberFormat="1" applyFont="1" applyFill="1" applyBorder="1" applyProtection="1">
      <protection locked="0"/>
    </xf>
    <xf numFmtId="166" fontId="31" fillId="3" borderId="0" xfId="7" applyNumberFormat="1" applyFont="1" applyFill="1" applyBorder="1"/>
    <xf numFmtId="0" fontId="33" fillId="3" borderId="0" xfId="6" applyFont="1" applyFill="1" applyBorder="1"/>
    <xf numFmtId="166" fontId="0" fillId="6" borderId="0" xfId="7" applyNumberFormat="1" applyFont="1" applyFill="1"/>
    <xf numFmtId="166" fontId="31" fillId="3" borderId="6" xfId="7" applyNumberFormat="1" applyFont="1" applyFill="1" applyBorder="1"/>
    <xf numFmtId="49" fontId="31" fillId="3" borderId="1" xfId="4" applyNumberFormat="1" applyFont="1" applyFill="1" applyBorder="1" applyAlignment="1" applyProtection="1">
      <alignment horizontal="left" wrapText="1"/>
    </xf>
    <xf numFmtId="0" fontId="31" fillId="3" borderId="1" xfId="4" applyFont="1" applyFill="1" applyBorder="1" applyAlignment="1" applyProtection="1">
      <alignment horizontal="left" wrapText="1"/>
    </xf>
    <xf numFmtId="0" fontId="38" fillId="3" borderId="1" xfId="4" applyFont="1" applyFill="1" applyBorder="1" applyAlignment="1" applyProtection="1">
      <alignment horizontal="left" wrapText="1"/>
    </xf>
    <xf numFmtId="166" fontId="31" fillId="3" borderId="1" xfId="1" applyNumberFormat="1" applyFont="1" applyFill="1" applyBorder="1" applyAlignment="1">
      <alignment horizontal="left" vertical="center" wrapText="1"/>
      <protection locked="0"/>
    </xf>
    <xf numFmtId="166" fontId="31" fillId="3" borderId="1" xfId="1" applyNumberFormat="1" applyFont="1" applyFill="1" applyBorder="1" applyAlignment="1">
      <alignment horizontal="center" vertical="center" wrapText="1"/>
      <protection locked="0"/>
    </xf>
    <xf numFmtId="49" fontId="29" fillId="6" borderId="1" xfId="4" applyNumberFormat="1" applyFont="1" applyFill="1" applyBorder="1" applyAlignment="1" applyProtection="1">
      <alignment horizontal="left" wrapText="1"/>
    </xf>
    <xf numFmtId="49" fontId="31" fillId="6" borderId="1" xfId="4" applyNumberFormat="1" applyFont="1" applyFill="1" applyBorder="1" applyAlignment="1" applyProtection="1">
      <alignment horizontal="left" vertical="center" wrapText="1"/>
    </xf>
    <xf numFmtId="0" fontId="41" fillId="6" borderId="1" xfId="0" applyFont="1" applyFill="1" applyBorder="1" applyAlignment="1">
      <alignment horizontal="center" vertical="center"/>
    </xf>
    <xf numFmtId="0" fontId="33" fillId="3" borderId="1" xfId="6" applyFont="1" applyFill="1" applyBorder="1" applyAlignment="1">
      <alignment horizontal="center" vertical="center"/>
    </xf>
    <xf numFmtId="0" fontId="41" fillId="6" borderId="1" xfId="6" applyFont="1" applyFill="1" applyBorder="1" applyAlignment="1">
      <alignment horizontal="center" vertical="center"/>
    </xf>
    <xf numFmtId="0" fontId="33" fillId="3" borderId="1" xfId="0" applyFont="1" applyFill="1" applyBorder="1" applyAlignment="1">
      <alignment horizontal="center" vertical="center"/>
    </xf>
    <xf numFmtId="0" fontId="18" fillId="3" borderId="0" xfId="6" applyFill="1" applyAlignment="1">
      <alignment horizontal="center"/>
    </xf>
    <xf numFmtId="0" fontId="18" fillId="3" borderId="0" xfId="6" applyFill="1" applyBorder="1" applyAlignment="1">
      <alignment horizontal="center"/>
    </xf>
    <xf numFmtId="0" fontId="31" fillId="3" borderId="0" xfId="0" applyFont="1" applyFill="1" applyBorder="1" applyAlignment="1">
      <alignment horizontal="left"/>
    </xf>
    <xf numFmtId="0" fontId="33" fillId="3" borderId="0" xfId="0" applyFont="1" applyFill="1" applyBorder="1" applyAlignment="1">
      <alignment horizontal="left"/>
    </xf>
    <xf numFmtId="9" fontId="31" fillId="6" borderId="0" xfId="8" applyFont="1" applyFill="1"/>
    <xf numFmtId="0" fontId="33" fillId="6" borderId="0" xfId="6" applyFont="1" applyFill="1"/>
    <xf numFmtId="0" fontId="37" fillId="3" borderId="1" xfId="6" applyNumberFormat="1" applyFont="1" applyFill="1" applyBorder="1" applyAlignment="1" applyProtection="1">
      <alignment horizontal="center" vertical="center" wrapText="1"/>
    </xf>
    <xf numFmtId="0" fontId="0" fillId="3" borderId="0" xfId="0" applyFill="1" applyAlignment="1">
      <alignment horizontal="left"/>
    </xf>
    <xf numFmtId="0" fontId="31" fillId="3" borderId="0" xfId="0" applyFont="1" applyFill="1" applyAlignment="1">
      <alignment horizontal="left"/>
    </xf>
    <xf numFmtId="49" fontId="44" fillId="5" borderId="1" xfId="0" applyNumberFormat="1" applyFont="1" applyFill="1" applyBorder="1" applyAlignment="1" applyProtection="1">
      <alignment horizontal="center" vertical="center" wrapText="1"/>
    </xf>
    <xf numFmtId="0" fontId="44" fillId="5" borderId="1" xfId="0" applyNumberFormat="1" applyFont="1" applyFill="1" applyBorder="1" applyAlignment="1" applyProtection="1">
      <alignment horizontal="center" vertical="center" wrapText="1"/>
    </xf>
    <xf numFmtId="0" fontId="33" fillId="3" borderId="0" xfId="6" applyFont="1" applyFill="1"/>
    <xf numFmtId="49" fontId="31" fillId="3" borderId="1" xfId="6" applyNumberFormat="1" applyFont="1" applyFill="1" applyBorder="1" applyAlignment="1" applyProtection="1">
      <alignment horizontal="center" vertical="center" wrapText="1"/>
    </xf>
    <xf numFmtId="0" fontId="31" fillId="3" borderId="1" xfId="0" applyNumberFormat="1" applyFont="1" applyFill="1" applyBorder="1" applyAlignment="1" applyProtection="1">
      <alignment horizontal="left" wrapText="1"/>
    </xf>
    <xf numFmtId="0" fontId="29" fillId="6" borderId="1" xfId="0" applyNumberFormat="1" applyFont="1" applyFill="1" applyBorder="1" applyAlignment="1" applyProtection="1">
      <alignment horizontal="left" wrapText="1"/>
    </xf>
    <xf numFmtId="49" fontId="31" fillId="6" borderId="1" xfId="6" applyNumberFormat="1" applyFont="1" applyFill="1" applyBorder="1" applyAlignment="1" applyProtection="1">
      <alignment horizontal="center" vertical="center" wrapText="1"/>
    </xf>
    <xf numFmtId="0" fontId="31" fillId="6" borderId="1" xfId="6" applyNumberFormat="1" applyFont="1" applyFill="1" applyBorder="1" applyAlignment="1" applyProtection="1">
      <alignment horizontal="left" vertical="center" wrapText="1"/>
    </xf>
    <xf numFmtId="49" fontId="31" fillId="3" borderId="1" xfId="6" applyNumberFormat="1" applyFont="1" applyFill="1" applyBorder="1" applyAlignment="1" applyProtection="1">
      <alignment horizontal="left" vertical="center" wrapText="1"/>
    </xf>
    <xf numFmtId="0" fontId="33" fillId="3" borderId="1" xfId="6" applyFont="1" applyFill="1" applyBorder="1"/>
    <xf numFmtId="0" fontId="33" fillId="3" borderId="1" xfId="6" applyFont="1" applyFill="1" applyBorder="1" applyAlignment="1">
      <alignment vertical="center" wrapText="1"/>
    </xf>
    <xf numFmtId="164" fontId="33" fillId="3" borderId="1" xfId="6" applyNumberFormat="1" applyFont="1" applyFill="1" applyBorder="1" applyAlignment="1">
      <alignment vertical="center" wrapText="1"/>
    </xf>
    <xf numFmtId="14" fontId="29" fillId="3" borderId="1" xfId="6" applyNumberFormat="1" applyFont="1" applyFill="1" applyBorder="1" applyAlignment="1" applyProtection="1">
      <alignment horizontal="left" vertical="center" wrapText="1"/>
    </xf>
    <xf numFmtId="10" fontId="29" fillId="3" borderId="1" xfId="6" applyNumberFormat="1" applyFont="1" applyFill="1" applyBorder="1" applyAlignment="1" applyProtection="1">
      <alignment horizontal="left" vertical="center" wrapText="1"/>
    </xf>
    <xf numFmtId="10" fontId="33" fillId="3" borderId="1" xfId="6" applyNumberFormat="1" applyFont="1" applyFill="1" applyBorder="1"/>
    <xf numFmtId="0" fontId="37" fillId="3" borderId="1" xfId="6" applyNumberFormat="1" applyFont="1" applyFill="1" applyBorder="1" applyAlignment="1" applyProtection="1">
      <alignment horizontal="right" vertical="center" wrapText="1"/>
    </xf>
    <xf numFmtId="0" fontId="33" fillId="3" borderId="0" xfId="6" applyFont="1" applyFill="1" applyAlignment="1">
      <alignment horizontal="center"/>
    </xf>
    <xf numFmtId="0" fontId="41" fillId="5" borderId="1" xfId="6" applyFont="1" applyFill="1" applyBorder="1" applyAlignment="1">
      <alignment horizontal="center" vertical="center" wrapText="1"/>
    </xf>
    <xf numFmtId="0" fontId="18" fillId="3" borderId="6" xfId="6" applyFill="1" applyBorder="1"/>
    <xf numFmtId="0" fontId="18" fillId="6" borderId="0" xfId="6" applyFill="1" applyAlignment="1">
      <alignment horizontal="center"/>
    </xf>
    <xf numFmtId="0" fontId="31" fillId="7" borderId="0" xfId="0" applyFont="1" applyFill="1"/>
    <xf numFmtId="0" fontId="21" fillId="2" borderId="0" xfId="0" applyFont="1" applyFill="1" applyAlignment="1">
      <alignment horizontal="left"/>
    </xf>
    <xf numFmtId="0" fontId="32" fillId="3" borderId="0" xfId="0" applyFont="1" applyFill="1" applyAlignment="1">
      <alignment vertical="center" wrapText="1"/>
    </xf>
    <xf numFmtId="166" fontId="0" fillId="6" borderId="0" xfId="1" applyNumberFormat="1" applyFont="1" applyFill="1">
      <protection locked="0"/>
    </xf>
    <xf numFmtId="166" fontId="29" fillId="6" borderId="0" xfId="1" applyNumberFormat="1" applyFont="1" applyFill="1" applyBorder="1" applyAlignment="1" applyProtection="1">
      <alignment horizontal="center" vertical="center" wrapText="1"/>
      <protection locked="0"/>
    </xf>
    <xf numFmtId="166" fontId="29" fillId="6" borderId="0" xfId="1" applyNumberFormat="1" applyFont="1" applyFill="1" applyBorder="1" applyAlignment="1" applyProtection="1">
      <alignment horizontal="left" wrapText="1"/>
      <protection locked="0"/>
    </xf>
    <xf numFmtId="0" fontId="32" fillId="3" borderId="0" xfId="0" applyFont="1" applyFill="1" applyAlignment="1">
      <alignment horizontal="left" vertical="top"/>
    </xf>
    <xf numFmtId="0" fontId="47" fillId="2" borderId="0" xfId="0" applyFont="1" applyFill="1" applyAlignment="1">
      <alignment horizontal="center" vertical="center"/>
    </xf>
    <xf numFmtId="0" fontId="21" fillId="2" borderId="0" xfId="0" applyFont="1" applyFill="1" applyAlignment="1">
      <alignment horizontal="center" vertical="center"/>
    </xf>
    <xf numFmtId="0" fontId="21" fillId="7" borderId="0" xfId="0" applyFont="1" applyFill="1"/>
    <xf numFmtId="164" fontId="36" fillId="6" borderId="1" xfId="2" applyNumberFormat="1" applyFont="1" applyFill="1" applyBorder="1" applyAlignment="1" applyProtection="1">
      <alignment horizontal="right" wrapText="1"/>
    </xf>
    <xf numFmtId="166" fontId="31" fillId="3" borderId="1" xfId="1" applyNumberFormat="1" applyFont="1" applyFill="1" applyBorder="1" applyAlignment="1">
      <alignment horizontal="right"/>
      <protection locked="0"/>
    </xf>
    <xf numFmtId="166" fontId="37" fillId="3" borderId="1" xfId="9" applyNumberFormat="1" applyFont="1" applyFill="1" applyBorder="1" applyAlignment="1" applyProtection="1">
      <alignment horizontal="left" wrapText="1"/>
      <protection locked="0"/>
    </xf>
    <xf numFmtId="164" fontId="31" fillId="3" borderId="1" xfId="6" applyNumberFormat="1" applyFont="1" applyFill="1" applyBorder="1" applyAlignment="1" applyProtection="1">
      <alignment horizontal="right" wrapText="1"/>
    </xf>
    <xf numFmtId="164" fontId="31" fillId="6" borderId="1" xfId="6" applyNumberFormat="1" applyFont="1" applyFill="1" applyBorder="1" applyAlignment="1" applyProtection="1">
      <alignment horizontal="right" wrapText="1"/>
    </xf>
    <xf numFmtId="164" fontId="29" fillId="6" borderId="1" xfId="6" applyNumberFormat="1" applyFont="1" applyFill="1" applyBorder="1" applyAlignment="1" applyProtection="1">
      <alignment horizontal="right" wrapText="1"/>
    </xf>
    <xf numFmtId="167" fontId="31" fillId="3" borderId="1" xfId="6" applyNumberFormat="1" applyFont="1" applyFill="1" applyBorder="1" applyAlignment="1" applyProtection="1">
      <alignment horizontal="right" wrapText="1"/>
    </xf>
    <xf numFmtId="10" fontId="31" fillId="3" borderId="1" xfId="7" applyNumberFormat="1" applyFont="1" applyFill="1" applyBorder="1" applyAlignment="1" applyProtection="1">
      <alignment horizontal="right" wrapText="1"/>
    </xf>
    <xf numFmtId="166" fontId="31" fillId="6" borderId="1" xfId="7" applyNumberFormat="1" applyFont="1" applyFill="1" applyBorder="1" applyAlignment="1" applyProtection="1">
      <alignment horizontal="left" wrapText="1"/>
    </xf>
    <xf numFmtId="166" fontId="31" fillId="3" borderId="1" xfId="7" applyNumberFormat="1" applyFont="1" applyFill="1" applyBorder="1" applyAlignment="1" applyProtection="1">
      <alignment horizontal="left" wrapText="1"/>
    </xf>
    <xf numFmtId="0" fontId="33" fillId="3" borderId="0" xfId="6" applyFont="1" applyFill="1" applyAlignment="1"/>
    <xf numFmtId="0" fontId="33" fillId="3" borderId="0" xfId="0" applyFont="1" applyFill="1" applyAlignment="1">
      <alignment horizontal="left" vertical="center" wrapText="1"/>
    </xf>
    <xf numFmtId="0" fontId="32" fillId="3" borderId="0" xfId="0" applyFont="1" applyFill="1" applyAlignment="1">
      <alignment horizontal="left" vertical="center" wrapText="1"/>
    </xf>
    <xf numFmtId="0" fontId="32" fillId="3" borderId="0" xfId="0" applyFont="1" applyFill="1" applyAlignment="1">
      <alignment horizontal="left" vertical="top" wrapText="1"/>
    </xf>
    <xf numFmtId="0" fontId="33" fillId="3" borderId="0" xfId="0" applyFont="1" applyFill="1" applyBorder="1" applyAlignment="1">
      <alignment horizontal="left" vertical="center" wrapText="1"/>
    </xf>
    <xf numFmtId="0" fontId="23" fillId="2" borderId="0" xfId="0" applyFont="1" applyFill="1"/>
    <xf numFmtId="0" fontId="21" fillId="3" borderId="4" xfId="0" applyFont="1" applyFill="1" applyBorder="1"/>
    <xf numFmtId="0" fontId="21" fillId="3" borderId="5" xfId="0" applyFont="1" applyFill="1" applyBorder="1"/>
    <xf numFmtId="0" fontId="30" fillId="3" borderId="0" xfId="0" applyFont="1" applyFill="1" applyAlignment="1">
      <alignment horizontal="left" vertical="center" wrapText="1"/>
    </xf>
    <xf numFmtId="0" fontId="31" fillId="3" borderId="0" xfId="0" applyFont="1" applyFill="1" applyAlignment="1">
      <alignment horizontal="left" vertical="center" wrapText="1"/>
    </xf>
    <xf numFmtId="0" fontId="30" fillId="3" borderId="0" xfId="0" applyFont="1" applyFill="1" applyAlignment="1">
      <alignment vertical="center" wrapText="1"/>
    </xf>
    <xf numFmtId="0" fontId="35" fillId="3" borderId="7" xfId="0" applyFont="1" applyFill="1" applyBorder="1" applyAlignment="1">
      <alignment vertical="center" wrapText="1"/>
    </xf>
    <xf numFmtId="0" fontId="22" fillId="3" borderId="8" xfId="0" applyFont="1" applyFill="1" applyBorder="1"/>
    <xf numFmtId="0" fontId="35" fillId="3" borderId="7" xfId="0" applyFont="1" applyFill="1" applyBorder="1" applyAlignment="1">
      <alignment vertical="center"/>
    </xf>
    <xf numFmtId="0" fontId="21" fillId="3" borderId="9" xfId="0" applyFont="1" applyFill="1" applyBorder="1"/>
    <xf numFmtId="0" fontId="21" fillId="3" borderId="8" xfId="0" applyFont="1" applyFill="1" applyBorder="1"/>
    <xf numFmtId="0" fontId="28" fillId="3" borderId="10" xfId="11" applyNumberFormat="1" applyFont="1" applyFill="1" applyBorder="1" applyAlignment="1">
      <alignment vertical="center"/>
    </xf>
    <xf numFmtId="0" fontId="22" fillId="3" borderId="11" xfId="0" applyFont="1" applyFill="1" applyBorder="1"/>
    <xf numFmtId="0" fontId="21" fillId="3" borderId="0" xfId="0" applyFont="1" applyFill="1" applyBorder="1"/>
    <xf numFmtId="0" fontId="21" fillId="3" borderId="11" xfId="0" applyFont="1" applyFill="1" applyBorder="1"/>
    <xf numFmtId="0" fontId="21" fillId="3" borderId="10" xfId="0" applyFont="1" applyFill="1" applyBorder="1"/>
    <xf numFmtId="0" fontId="29" fillId="3" borderId="10" xfId="11" applyNumberFormat="1" applyFont="1" applyFill="1" applyBorder="1" applyAlignment="1">
      <alignment vertical="center"/>
    </xf>
    <xf numFmtId="0" fontId="31" fillId="3" borderId="12" xfId="11" applyNumberFormat="1" applyFont="1" applyFill="1" applyBorder="1" applyAlignment="1">
      <alignment vertical="center"/>
    </xf>
    <xf numFmtId="0" fontId="22" fillId="3" borderId="13" xfId="0" applyFont="1" applyFill="1" applyBorder="1"/>
    <xf numFmtId="0" fontId="21" fillId="3" borderId="6" xfId="0" applyFont="1" applyFill="1" applyBorder="1"/>
    <xf numFmtId="0" fontId="21" fillId="3" borderId="13" xfId="0" applyFont="1" applyFill="1" applyBorder="1"/>
    <xf numFmtId="0" fontId="30" fillId="3" borderId="0" xfId="0" applyFont="1" applyFill="1" applyAlignment="1">
      <alignment vertical="top" wrapText="1"/>
    </xf>
    <xf numFmtId="0" fontId="31" fillId="3" borderId="0" xfId="0" applyFont="1" applyFill="1" applyAlignment="1">
      <alignment vertical="top" wrapText="1"/>
    </xf>
    <xf numFmtId="0" fontId="33" fillId="3" borderId="0" xfId="0" applyFont="1" applyFill="1" applyAlignment="1">
      <alignment vertical="top" wrapText="1"/>
    </xf>
    <xf numFmtId="0" fontId="32" fillId="3" borderId="0" xfId="0" applyFont="1" applyFill="1" applyAlignment="1">
      <alignment vertical="top" wrapText="1"/>
    </xf>
    <xf numFmtId="0" fontId="34" fillId="3" borderId="0" xfId="0" applyFont="1" applyFill="1" applyAlignment="1">
      <alignment vertical="top" wrapText="1"/>
    </xf>
    <xf numFmtId="0" fontId="31" fillId="3" borderId="0" xfId="0" applyFont="1" applyFill="1" applyAlignment="1">
      <alignment vertical="top"/>
    </xf>
    <xf numFmtId="0" fontId="33" fillId="3" borderId="0" xfId="0" applyFont="1" applyFill="1" applyBorder="1" applyAlignment="1">
      <alignment vertical="center" wrapText="1"/>
    </xf>
    <xf numFmtId="0" fontId="48" fillId="0" borderId="0" xfId="0" applyFont="1"/>
    <xf numFmtId="0" fontId="17" fillId="3" borderId="0" xfId="6" applyFont="1" applyFill="1"/>
    <xf numFmtId="166" fontId="29" fillId="6" borderId="1" xfId="1" applyNumberFormat="1" applyFont="1" applyFill="1" applyBorder="1" applyAlignment="1">
      <alignment horizontal="left" vertical="center" wrapText="1"/>
      <protection locked="0"/>
    </xf>
    <xf numFmtId="166" fontId="29" fillId="6" borderId="1" xfId="1" applyNumberFormat="1" applyFont="1" applyFill="1" applyBorder="1" applyAlignment="1">
      <alignment horizontal="center" vertical="center" wrapText="1"/>
      <protection locked="0"/>
    </xf>
    <xf numFmtId="0" fontId="49" fillId="3" borderId="0" xfId="0" applyFont="1" applyFill="1"/>
    <xf numFmtId="167" fontId="31" fillId="0" borderId="1" xfId="1" applyNumberFormat="1" applyFont="1" applyBorder="1" applyAlignment="1" applyProtection="1"/>
    <xf numFmtId="165" fontId="29" fillId="4" borderId="1" xfId="1" applyNumberFormat="1" applyFont="1" applyFill="1" applyBorder="1" applyAlignment="1" applyProtection="1">
      <alignment horizontal="right" wrapText="1"/>
      <protection locked="0"/>
    </xf>
    <xf numFmtId="165" fontId="31" fillId="3" borderId="1" xfId="1" applyFont="1" applyFill="1" applyBorder="1" applyAlignment="1">
      <alignment horizontal="left" wrapText="1"/>
      <protection locked="0"/>
    </xf>
    <xf numFmtId="0" fontId="51" fillId="3" borderId="0" xfId="6" applyFont="1" applyFill="1" applyAlignment="1">
      <alignment horizontal="center"/>
    </xf>
    <xf numFmtId="0" fontId="51" fillId="3" borderId="0" xfId="6" applyFont="1" applyFill="1"/>
    <xf numFmtId="0" fontId="51" fillId="3" borderId="0" xfId="6" applyFont="1" applyFill="1" applyBorder="1" applyAlignment="1">
      <alignment horizontal="center"/>
    </xf>
    <xf numFmtId="0" fontId="51" fillId="3" borderId="0" xfId="6" applyFont="1" applyFill="1" applyBorder="1"/>
    <xf numFmtId="166" fontId="0" fillId="3" borderId="0" xfId="7" applyNumberFormat="1" applyFont="1" applyFill="1"/>
    <xf numFmtId="0" fontId="31" fillId="0" borderId="1" xfId="2" applyNumberFormat="1" applyFont="1" applyFill="1" applyBorder="1" applyAlignment="1" applyProtection="1">
      <alignment horizontal="center" vertical="center" wrapText="1"/>
    </xf>
    <xf numFmtId="164" fontId="37" fillId="0" borderId="1" xfId="2" applyNumberFormat="1" applyFont="1" applyFill="1" applyBorder="1" applyAlignment="1" applyProtection="1">
      <alignment horizontal="right" wrapText="1"/>
    </xf>
    <xf numFmtId="0" fontId="31" fillId="0" borderId="1" xfId="2" applyNumberFormat="1" applyFont="1" applyFill="1" applyBorder="1" applyAlignment="1" applyProtection="1">
      <alignment horizontal="left" wrapText="1"/>
    </xf>
    <xf numFmtId="0" fontId="31" fillId="0" borderId="1" xfId="2" applyNumberFormat="1" applyFont="1" applyFill="1" applyBorder="1" applyAlignment="1" applyProtection="1">
      <alignment horizontal="center" wrapText="1"/>
    </xf>
    <xf numFmtId="166" fontId="31" fillId="0" borderId="1" xfId="1" applyNumberFormat="1" applyFont="1" applyFill="1" applyBorder="1" applyAlignment="1" applyProtection="1">
      <alignment horizontal="left"/>
      <protection locked="0"/>
    </xf>
    <xf numFmtId="166" fontId="31" fillId="0" borderId="1" xfId="1" applyNumberFormat="1" applyFont="1" applyFill="1" applyBorder="1" applyAlignment="1" applyProtection="1">
      <alignment wrapText="1"/>
      <protection locked="0"/>
    </xf>
    <xf numFmtId="164" fontId="31" fillId="0" borderId="1" xfId="1" applyNumberFormat="1" applyFont="1" applyFill="1" applyBorder="1" applyAlignment="1" applyProtection="1"/>
    <xf numFmtId="0" fontId="37" fillId="0" borderId="1" xfId="2" quotePrefix="1" applyNumberFormat="1" applyFont="1" applyFill="1" applyBorder="1" applyAlignment="1" applyProtection="1">
      <alignment horizontal="center" vertical="center" wrapText="1"/>
    </xf>
    <xf numFmtId="0" fontId="31" fillId="0" borderId="1" xfId="2" quotePrefix="1" applyNumberFormat="1" applyFont="1" applyFill="1" applyBorder="1" applyAlignment="1" applyProtection="1">
      <alignment horizontal="center" vertical="center" wrapText="1"/>
    </xf>
    <xf numFmtId="0" fontId="33" fillId="0" borderId="1" xfId="0" applyFont="1" applyFill="1" applyBorder="1" applyAlignment="1">
      <alignment horizontal="center" vertical="center"/>
    </xf>
    <xf numFmtId="49" fontId="31" fillId="0" borderId="1" xfId="4" applyNumberFormat="1" applyFont="1" applyFill="1" applyBorder="1" applyAlignment="1" applyProtection="1">
      <alignment horizontal="left" wrapText="1"/>
    </xf>
    <xf numFmtId="49" fontId="31" fillId="0" borderId="1" xfId="4" applyNumberFormat="1" applyFont="1" applyFill="1" applyBorder="1" applyAlignment="1" applyProtection="1">
      <alignment horizontal="center" vertical="center" wrapText="1"/>
    </xf>
    <xf numFmtId="164" fontId="31" fillId="0" borderId="1" xfId="6" applyNumberFormat="1" applyFont="1" applyFill="1" applyBorder="1" applyAlignment="1" applyProtection="1">
      <alignment horizontal="right" wrapText="1"/>
    </xf>
    <xf numFmtId="0" fontId="33" fillId="0" borderId="1" xfId="6" applyFont="1" applyFill="1" applyBorder="1" applyAlignment="1">
      <alignment horizontal="center" vertical="center"/>
    </xf>
    <xf numFmtId="49" fontId="31" fillId="0" borderId="1" xfId="4" applyNumberFormat="1" applyFont="1" applyFill="1" applyBorder="1" applyAlignment="1" applyProtection="1">
      <alignment horizontal="center" wrapText="1"/>
    </xf>
    <xf numFmtId="0" fontId="31" fillId="3" borderId="0" xfId="0" applyFont="1" applyFill="1" applyAlignment="1">
      <alignment horizontal="left" vertical="center" wrapText="1"/>
    </xf>
    <xf numFmtId="49" fontId="31" fillId="3" borderId="1" xfId="4" applyNumberFormat="1" applyFont="1" applyFill="1" applyBorder="1" applyAlignment="1" applyProtection="1">
      <alignment horizontal="center" wrapText="1"/>
    </xf>
    <xf numFmtId="0" fontId="31" fillId="0" borderId="1" xfId="2" applyNumberFormat="1" applyFont="1" applyFill="1" applyBorder="1" applyAlignment="1" applyProtection="1">
      <alignment horizontal="left" vertical="center" wrapText="1"/>
    </xf>
    <xf numFmtId="0" fontId="31" fillId="3" borderId="1" xfId="2" applyNumberFormat="1" applyFont="1" applyFill="1" applyBorder="1" applyAlignment="1" applyProtection="1">
      <alignment horizontal="left" vertical="center" wrapText="1"/>
    </xf>
    <xf numFmtId="0" fontId="29" fillId="6" borderId="1" xfId="2" applyNumberFormat="1" applyFont="1" applyFill="1" applyBorder="1" applyAlignment="1" applyProtection="1">
      <alignment horizontal="left" vertical="center" wrapText="1"/>
    </xf>
    <xf numFmtId="49" fontId="36" fillId="3" borderId="1" xfId="0" applyNumberFormat="1" applyFont="1" applyFill="1" applyBorder="1" applyAlignment="1" applyProtection="1">
      <alignment horizontal="left" vertical="center" wrapText="1"/>
    </xf>
    <xf numFmtId="0" fontId="0" fillId="0" borderId="0" xfId="0" applyFill="1"/>
    <xf numFmtId="166" fontId="0" fillId="0" borderId="0" xfId="1" applyNumberFormat="1" applyFont="1">
      <protection locked="0"/>
    </xf>
    <xf numFmtId="0" fontId="18" fillId="0" borderId="0" xfId="6" applyFill="1"/>
    <xf numFmtId="10" fontId="31" fillId="0" borderId="1" xfId="6" applyNumberFormat="1" applyFont="1" applyFill="1" applyBorder="1" applyAlignment="1" applyProtection="1">
      <alignment horizontal="right" wrapText="1"/>
    </xf>
    <xf numFmtId="10" fontId="31" fillId="6" borderId="1" xfId="6" applyNumberFormat="1" applyFont="1" applyFill="1" applyBorder="1" applyAlignment="1" applyProtection="1">
      <alignment horizontal="right" wrapText="1"/>
    </xf>
    <xf numFmtId="10" fontId="31" fillId="0" borderId="0" xfId="6" applyNumberFormat="1" applyFont="1" applyFill="1" applyBorder="1" applyAlignment="1" applyProtection="1">
      <alignment horizontal="right" wrapText="1"/>
    </xf>
    <xf numFmtId="49" fontId="31" fillId="0" borderId="1" xfId="4" applyNumberFormat="1" applyFont="1" applyFill="1" applyBorder="1" applyAlignment="1" applyProtection="1">
      <alignment horizontal="left" vertical="center" wrapText="1"/>
    </xf>
    <xf numFmtId="166" fontId="31" fillId="0" borderId="1" xfId="1" applyNumberFormat="1" applyFont="1" applyFill="1" applyBorder="1" applyAlignment="1">
      <alignment horizontal="left" vertical="center" wrapText="1"/>
      <protection locked="0"/>
    </xf>
    <xf numFmtId="0" fontId="18" fillId="7" borderId="0" xfId="6" applyFill="1"/>
    <xf numFmtId="164" fontId="31" fillId="3" borderId="0" xfId="0" applyNumberFormat="1" applyFont="1" applyFill="1"/>
    <xf numFmtId="166" fontId="31" fillId="3" borderId="0" xfId="1" applyNumberFormat="1" applyFont="1" applyFill="1">
      <protection locked="0"/>
    </xf>
    <xf numFmtId="0" fontId="0" fillId="0" borderId="1" xfId="0" quotePrefix="1" applyFill="1" applyBorder="1" applyAlignment="1">
      <alignment horizontal="center"/>
    </xf>
    <xf numFmtId="0" fontId="19" fillId="0" borderId="1" xfId="0" quotePrefix="1" applyFont="1" applyFill="1" applyBorder="1" applyAlignment="1">
      <alignment horizontal="center"/>
    </xf>
    <xf numFmtId="166" fontId="31" fillId="0" borderId="1" xfId="1" applyNumberFormat="1" applyFont="1" applyFill="1" applyBorder="1" applyAlignment="1">
      <alignment horizontal="right"/>
      <protection locked="0"/>
    </xf>
    <xf numFmtId="10" fontId="29" fillId="6" borderId="1" xfId="5" applyNumberFormat="1" applyFont="1" applyFill="1" applyBorder="1" applyAlignment="1">
      <alignment horizontal="right" wrapText="1"/>
      <protection locked="0"/>
    </xf>
    <xf numFmtId="49" fontId="38" fillId="0" borderId="1" xfId="4" applyNumberFormat="1" applyFont="1" applyFill="1" applyBorder="1" applyAlignment="1" applyProtection="1">
      <alignment horizontal="left" wrapText="1"/>
    </xf>
    <xf numFmtId="166" fontId="31" fillId="0" borderId="1" xfId="1" applyNumberFormat="1" applyFont="1" applyFill="1" applyBorder="1" applyAlignment="1">
      <alignment horizontal="center" vertical="center" wrapText="1"/>
      <protection locked="0"/>
    </xf>
    <xf numFmtId="0" fontId="31" fillId="0" borderId="1" xfId="6" applyFont="1" applyFill="1" applyBorder="1" applyAlignment="1">
      <alignment horizontal="center" vertical="center"/>
    </xf>
    <xf numFmtId="167" fontId="31" fillId="0" borderId="1" xfId="6" applyNumberFormat="1" applyFont="1" applyFill="1" applyBorder="1" applyAlignment="1" applyProtection="1">
      <alignment horizontal="right" wrapText="1"/>
    </xf>
    <xf numFmtId="166" fontId="33" fillId="6" borderId="0" xfId="6" applyNumberFormat="1" applyFont="1" applyFill="1"/>
    <xf numFmtId="10" fontId="31" fillId="0" borderId="1" xfId="7" applyNumberFormat="1" applyFont="1" applyFill="1" applyBorder="1" applyAlignment="1" applyProtection="1">
      <alignment horizontal="right" wrapText="1"/>
    </xf>
    <xf numFmtId="0" fontId="28" fillId="3" borderId="0" xfId="0" applyFont="1" applyFill="1" applyAlignment="1">
      <alignment horizontal="center" vertical="center"/>
    </xf>
    <xf numFmtId="0" fontId="34" fillId="3" borderId="0" xfId="0" applyFont="1" applyFill="1" applyAlignment="1">
      <alignment vertical="top" wrapText="1"/>
    </xf>
    <xf numFmtId="0" fontId="37" fillId="3" borderId="1" xfId="2" quotePrefix="1" applyNumberFormat="1" applyFont="1" applyFill="1" applyBorder="1" applyAlignment="1" applyProtection="1">
      <alignment horizontal="center" vertical="center" wrapText="1"/>
    </xf>
    <xf numFmtId="0" fontId="52" fillId="6" borderId="0" xfId="6" applyFont="1" applyFill="1"/>
    <xf numFmtId="166" fontId="28" fillId="0" borderId="1" xfId="1" applyNumberFormat="1" applyFont="1" applyFill="1" applyBorder="1" applyAlignment="1">
      <alignment horizontal="left" vertical="center" wrapText="1"/>
      <protection locked="0"/>
    </xf>
    <xf numFmtId="0" fontId="42" fillId="0" borderId="1" xfId="6" applyFont="1" applyFill="1" applyBorder="1" applyAlignment="1">
      <alignment horizontal="center" vertical="center"/>
    </xf>
    <xf numFmtId="49" fontId="28" fillId="0" borderId="1" xfId="4" applyNumberFormat="1" applyFont="1" applyFill="1" applyBorder="1" applyAlignment="1" applyProtection="1">
      <alignment horizontal="left" wrapText="1"/>
    </xf>
    <xf numFmtId="166" fontId="28" fillId="0" borderId="1" xfId="1" applyNumberFormat="1" applyFont="1" applyFill="1" applyBorder="1" applyAlignment="1">
      <alignment horizontal="center" vertical="center" wrapText="1"/>
      <protection locked="0"/>
    </xf>
    <xf numFmtId="49" fontId="28" fillId="0" borderId="1" xfId="4" applyNumberFormat="1" applyFont="1" applyFill="1" applyBorder="1" applyAlignment="1" applyProtection="1">
      <alignment horizontal="left" vertical="center" wrapText="1"/>
    </xf>
    <xf numFmtId="0" fontId="0" fillId="4" borderId="0" xfId="0" applyFill="1"/>
    <xf numFmtId="10" fontId="0" fillId="0" borderId="0" xfId="5" applyNumberFormat="1" applyFont="1">
      <protection locked="0"/>
    </xf>
    <xf numFmtId="0" fontId="31" fillId="4" borderId="0" xfId="0" applyFont="1" applyFill="1"/>
    <xf numFmtId="0" fontId="31" fillId="4" borderId="0" xfId="10" applyFont="1" applyFill="1" applyBorder="1" applyAlignment="1" applyProtection="1">
      <alignment vertical="center"/>
      <protection hidden="1"/>
    </xf>
    <xf numFmtId="166" fontId="36" fillId="2" borderId="1" xfId="1" applyNumberFormat="1" applyFont="1" applyFill="1" applyBorder="1" applyAlignment="1">
      <alignment horizontal="center" vertical="center" wrapText="1"/>
      <protection locked="0"/>
    </xf>
    <xf numFmtId="0" fontId="31" fillId="0" borderId="0" xfId="0" applyFont="1"/>
    <xf numFmtId="166" fontId="31" fillId="0" borderId="0" xfId="1" applyNumberFormat="1" applyFont="1">
      <protection locked="0"/>
    </xf>
    <xf numFmtId="10" fontId="31" fillId="0" borderId="0" xfId="5" applyNumberFormat="1" applyFont="1">
      <protection locked="0"/>
    </xf>
    <xf numFmtId="166" fontId="31" fillId="6" borderId="0" xfId="1" applyNumberFormat="1" applyFont="1" applyFill="1">
      <protection locked="0"/>
    </xf>
    <xf numFmtId="10" fontId="31" fillId="6" borderId="0" xfId="5" applyNumberFormat="1" applyFont="1" applyFill="1">
      <protection locked="0"/>
    </xf>
    <xf numFmtId="0" fontId="54" fillId="6" borderId="0" xfId="0" applyFont="1" applyFill="1"/>
    <xf numFmtId="10" fontId="0" fillId="6" borderId="0" xfId="5" applyNumberFormat="1" applyFont="1" applyFill="1">
      <protection locked="0"/>
    </xf>
    <xf numFmtId="166" fontId="48" fillId="3" borderId="0" xfId="1" applyNumberFormat="1" applyFont="1" applyFill="1" applyProtection="1"/>
    <xf numFmtId="0" fontId="48" fillId="3" borderId="0" xfId="0" applyFont="1" applyFill="1"/>
    <xf numFmtId="0" fontId="33" fillId="0" borderId="0" xfId="0" applyFont="1"/>
    <xf numFmtId="49" fontId="41" fillId="3" borderId="5" xfId="0" applyNumberFormat="1" applyFont="1" applyFill="1" applyBorder="1" applyAlignment="1">
      <alignment horizontal="center" vertical="center" wrapText="1"/>
    </xf>
    <xf numFmtId="49" fontId="41" fillId="3" borderId="1" xfId="1" applyNumberFormat="1" applyFont="1" applyFill="1" applyBorder="1" applyAlignment="1" applyProtection="1">
      <alignment horizontal="center" vertical="center" wrapText="1"/>
    </xf>
    <xf numFmtId="49" fontId="41" fillId="3" borderId="5" xfId="1" applyNumberFormat="1" applyFont="1" applyFill="1" applyBorder="1" applyAlignment="1" applyProtection="1">
      <alignment horizontal="center" vertical="center" wrapText="1"/>
    </xf>
    <xf numFmtId="0" fontId="33" fillId="3" borderId="1" xfId="0" applyFont="1" applyFill="1" applyBorder="1" applyAlignment="1">
      <alignment horizontal="center" vertical="center" wrapText="1"/>
    </xf>
    <xf numFmtId="4" fontId="33" fillId="3" borderId="1" xfId="0" applyNumberFormat="1" applyFont="1" applyFill="1" applyBorder="1" applyAlignment="1">
      <alignment horizontal="justify" vertical="center" wrapText="1"/>
    </xf>
    <xf numFmtId="0" fontId="33" fillId="3" borderId="1" xfId="0" applyFont="1" applyFill="1" applyBorder="1" applyAlignment="1">
      <alignment horizontal="justify" vertical="center" wrapText="1"/>
    </xf>
    <xf numFmtId="166" fontId="33" fillId="3" borderId="1" xfId="1" applyNumberFormat="1" applyFont="1" applyFill="1" applyBorder="1" applyAlignment="1" applyProtection="1">
      <alignment horizontal="right" wrapText="1"/>
    </xf>
    <xf numFmtId="10" fontId="33" fillId="3" borderId="1" xfId="5" applyNumberFormat="1" applyFont="1" applyFill="1" applyBorder="1" applyAlignment="1">
      <alignment horizontal="right" wrapText="1"/>
      <protection locked="0"/>
    </xf>
    <xf numFmtId="0" fontId="50" fillId="0" borderId="0" xfId="0" applyFont="1"/>
    <xf numFmtId="0" fontId="41" fillId="6" borderId="1" xfId="0" applyFont="1" applyFill="1" applyBorder="1" applyAlignment="1">
      <alignment horizontal="justify" vertical="center" wrapText="1"/>
    </xf>
    <xf numFmtId="166" fontId="41" fillId="6" borderId="1" xfId="1" applyNumberFormat="1" applyFont="1" applyFill="1" applyBorder="1" applyAlignment="1" applyProtection="1">
      <alignment horizontal="right" wrapText="1"/>
    </xf>
    <xf numFmtId="9" fontId="41" fillId="6" borderId="1" xfId="5" applyFont="1" applyFill="1" applyBorder="1" applyAlignment="1">
      <alignment horizontal="right" wrapText="1"/>
      <protection locked="0"/>
    </xf>
    <xf numFmtId="3" fontId="50" fillId="0" borderId="0" xfId="0" applyNumberFormat="1" applyFont="1"/>
    <xf numFmtId="166" fontId="50" fillId="0" borderId="0" xfId="0" applyNumberFormat="1" applyFont="1"/>
    <xf numFmtId="166" fontId="33" fillId="3" borderId="0" xfId="1" applyNumberFormat="1" applyFont="1" applyFill="1" applyProtection="1"/>
    <xf numFmtId="0" fontId="33" fillId="3" borderId="0" xfId="21" applyFont="1" applyFill="1"/>
    <xf numFmtId="0" fontId="10" fillId="3" borderId="0" xfId="21" applyFill="1"/>
    <xf numFmtId="0" fontId="10" fillId="3" borderId="6" xfId="21" applyFill="1" applyBorder="1"/>
    <xf numFmtId="166" fontId="48" fillId="0" borderId="0" xfId="1" applyNumberFormat="1" applyFont="1" applyProtection="1"/>
    <xf numFmtId="166" fontId="41" fillId="5" borderId="1" xfId="1" applyNumberFormat="1" applyFont="1" applyFill="1" applyBorder="1" applyAlignment="1" applyProtection="1">
      <alignment horizontal="center" vertical="center" wrapText="1"/>
    </xf>
    <xf numFmtId="166" fontId="48" fillId="0" borderId="0" xfId="1" applyNumberFormat="1" applyFont="1">
      <protection locked="0"/>
    </xf>
    <xf numFmtId="166" fontId="33" fillId="0" borderId="0" xfId="1" applyNumberFormat="1" applyFont="1">
      <protection locked="0"/>
    </xf>
    <xf numFmtId="166" fontId="33" fillId="0" borderId="0" xfId="0" applyNumberFormat="1" applyFont="1"/>
    <xf numFmtId="164" fontId="31" fillId="0" borderId="0" xfId="0" applyNumberFormat="1" applyFont="1" applyFill="1"/>
    <xf numFmtId="0" fontId="31" fillId="0" borderId="0" xfId="0" applyFont="1" applyFill="1"/>
    <xf numFmtId="0" fontId="55" fillId="6" borderId="0" xfId="0" applyFont="1" applyFill="1"/>
    <xf numFmtId="0" fontId="31" fillId="0" borderId="1" xfId="0" applyNumberFormat="1" applyFont="1" applyFill="1" applyBorder="1" applyAlignment="1" applyProtection="1">
      <alignment horizontal="left" wrapText="1"/>
    </xf>
    <xf numFmtId="49" fontId="31" fillId="0" borderId="1" xfId="6" applyNumberFormat="1" applyFont="1" applyFill="1" applyBorder="1" applyAlignment="1" applyProtection="1">
      <alignment horizontal="center" vertical="center" wrapText="1"/>
    </xf>
    <xf numFmtId="166" fontId="31" fillId="0" borderId="1" xfId="1" quotePrefix="1" applyNumberFormat="1" applyFont="1" applyFill="1" applyBorder="1" applyAlignment="1" applyProtection="1">
      <alignment horizontal="center"/>
      <protection locked="0"/>
    </xf>
    <xf numFmtId="166" fontId="31" fillId="0" borderId="1" xfId="7" applyNumberFormat="1" applyFont="1" applyFill="1" applyBorder="1" applyAlignment="1" applyProtection="1">
      <alignment horizontal="left" wrapText="1"/>
    </xf>
    <xf numFmtId="165" fontId="31" fillId="0" borderId="1" xfId="7" applyNumberFormat="1" applyFont="1" applyFill="1" applyBorder="1" applyAlignment="1" applyProtection="1">
      <alignment horizontal="left" wrapText="1"/>
    </xf>
    <xf numFmtId="166" fontId="31" fillId="0" borderId="1" xfId="1" applyNumberFormat="1" applyFont="1" applyFill="1" applyBorder="1" applyAlignment="1">
      <alignment horizontal="right" wrapText="1"/>
      <protection locked="0"/>
    </xf>
    <xf numFmtId="165" fontId="31" fillId="0" borderId="1" xfId="1" applyFont="1" applyFill="1" applyBorder="1" applyAlignment="1">
      <alignment horizontal="right" wrapText="1"/>
      <protection locked="0"/>
    </xf>
    <xf numFmtId="165" fontId="31" fillId="0" borderId="1" xfId="1" applyFont="1" applyFill="1" applyBorder="1" applyAlignment="1">
      <alignment horizontal="left" wrapText="1"/>
      <protection locked="0"/>
    </xf>
    <xf numFmtId="49" fontId="41" fillId="5" borderId="1" xfId="0" applyNumberFormat="1" applyFont="1" applyFill="1" applyBorder="1" applyAlignment="1" applyProtection="1">
      <alignment horizontal="center" vertical="center" wrapText="1"/>
    </xf>
    <xf numFmtId="10" fontId="41" fillId="5" borderId="1" xfId="5" applyNumberFormat="1" applyFont="1" applyFill="1" applyBorder="1" applyAlignment="1" applyProtection="1">
      <alignment horizontal="center" vertical="center" wrapText="1"/>
    </xf>
    <xf numFmtId="0" fontId="41" fillId="6" borderId="1" xfId="2" applyNumberFormat="1" applyFont="1" applyFill="1" applyBorder="1" applyAlignment="1" applyProtection="1">
      <alignment horizontal="center" vertical="center" wrapText="1"/>
    </xf>
    <xf numFmtId="0" fontId="41" fillId="6" borderId="1" xfId="2" applyNumberFormat="1" applyFont="1" applyFill="1" applyBorder="1" applyAlignment="1" applyProtection="1">
      <alignment horizontal="left" vertical="center" wrapText="1"/>
    </xf>
    <xf numFmtId="166" fontId="33" fillId="6" borderId="1" xfId="7" applyNumberFormat="1" applyFont="1" applyFill="1" applyBorder="1" applyAlignment="1">
      <alignment vertical="center"/>
    </xf>
    <xf numFmtId="165" fontId="33" fillId="6" borderId="1" xfId="7" applyNumberFormat="1" applyFont="1" applyFill="1" applyBorder="1" applyAlignment="1">
      <alignment vertical="center"/>
    </xf>
    <xf numFmtId="0" fontId="33" fillId="0" borderId="1" xfId="2" applyNumberFormat="1" applyFont="1" applyFill="1" applyBorder="1" applyAlignment="1" applyProtection="1">
      <alignment horizontal="center" vertical="center" wrapText="1"/>
    </xf>
    <xf numFmtId="166" fontId="33" fillId="3" borderId="1" xfId="7" applyNumberFormat="1" applyFont="1" applyFill="1" applyBorder="1" applyAlignment="1">
      <alignment vertical="center"/>
    </xf>
    <xf numFmtId="10" fontId="33" fillId="0" borderId="1" xfId="5" applyNumberFormat="1" applyFont="1" applyFill="1" applyBorder="1" applyAlignment="1">
      <alignment horizontal="right" vertical="center"/>
      <protection locked="0"/>
    </xf>
    <xf numFmtId="0" fontId="33" fillId="8" borderId="1" xfId="2" applyNumberFormat="1" applyFont="1" applyFill="1" applyBorder="1" applyAlignment="1" applyProtection="1">
      <alignment horizontal="center" vertical="center" wrapText="1"/>
    </xf>
    <xf numFmtId="0" fontId="33" fillId="8" borderId="1" xfId="2" applyNumberFormat="1" applyFont="1" applyFill="1" applyBorder="1" applyAlignment="1" applyProtection="1">
      <alignment horizontal="left" vertical="center" wrapText="1"/>
    </xf>
    <xf numFmtId="166" fontId="33" fillId="8" borderId="1" xfId="7" applyNumberFormat="1" applyFont="1" applyFill="1" applyBorder="1" applyAlignment="1">
      <alignment vertical="center"/>
    </xf>
    <xf numFmtId="9" fontId="33" fillId="6" borderId="1" xfId="8" applyFont="1" applyFill="1" applyBorder="1" applyAlignment="1">
      <alignment vertical="center"/>
    </xf>
    <xf numFmtId="0" fontId="33" fillId="3" borderId="1" xfId="6" applyNumberFormat="1" applyFont="1" applyFill="1" applyBorder="1" applyAlignment="1" applyProtection="1">
      <alignment horizontal="center" vertical="center" wrapText="1"/>
    </xf>
    <xf numFmtId="10" fontId="33" fillId="8" borderId="1" xfId="5" applyNumberFormat="1" applyFont="1" applyFill="1" applyBorder="1" applyAlignment="1">
      <alignment horizontal="right" vertical="center"/>
      <protection locked="0"/>
    </xf>
    <xf numFmtId="0" fontId="33" fillId="10" borderId="1" xfId="2" applyNumberFormat="1" applyFont="1" applyFill="1" applyBorder="1" applyAlignment="1" applyProtection="1">
      <alignment horizontal="center" vertical="center" wrapText="1"/>
    </xf>
    <xf numFmtId="0" fontId="33" fillId="10" borderId="1" xfId="2" applyNumberFormat="1" applyFont="1" applyFill="1" applyBorder="1" applyAlignment="1" applyProtection="1">
      <alignment horizontal="left" vertical="center" wrapText="1"/>
    </xf>
    <xf numFmtId="166" fontId="33" fillId="10" borderId="1" xfId="7" applyNumberFormat="1" applyFont="1" applyFill="1" applyBorder="1" applyAlignment="1">
      <alignment vertical="center"/>
    </xf>
    <xf numFmtId="10" fontId="33" fillId="10" borderId="1" xfId="5" applyNumberFormat="1" applyFont="1" applyFill="1" applyBorder="1" applyAlignment="1">
      <alignment vertical="center"/>
      <protection locked="0"/>
    </xf>
    <xf numFmtId="9" fontId="33" fillId="6" borderId="1" xfId="8" applyFont="1" applyFill="1" applyBorder="1" applyAlignment="1">
      <alignment horizontal="right" vertical="center"/>
    </xf>
    <xf numFmtId="0" fontId="33" fillId="8" borderId="1" xfId="6" applyNumberFormat="1" applyFont="1" applyFill="1" applyBorder="1" applyAlignment="1" applyProtection="1">
      <alignment horizontal="center" vertical="center" wrapText="1"/>
    </xf>
    <xf numFmtId="166" fontId="41" fillId="6" borderId="1" xfId="7" applyNumberFormat="1" applyFont="1" applyFill="1" applyBorder="1" applyAlignment="1">
      <alignment vertical="center"/>
    </xf>
    <xf numFmtId="10" fontId="41" fillId="6" borderId="1" xfId="8" applyNumberFormat="1" applyFont="1" applyFill="1" applyBorder="1" applyAlignment="1">
      <alignment horizontal="right" vertical="center"/>
    </xf>
    <xf numFmtId="9" fontId="41" fillId="6" borderId="1" xfId="8" applyFont="1" applyFill="1" applyBorder="1" applyAlignment="1">
      <alignment vertical="center"/>
    </xf>
    <xf numFmtId="0" fontId="33" fillId="0" borderId="1" xfId="2" applyNumberFormat="1" applyFont="1" applyFill="1" applyBorder="1" applyAlignment="1" applyProtection="1">
      <alignment horizontal="left" vertical="center" wrapText="1"/>
    </xf>
    <xf numFmtId="0" fontId="41" fillId="9" borderId="1" xfId="2" applyNumberFormat="1" applyFont="1" applyFill="1" applyBorder="1" applyAlignment="1" applyProtection="1">
      <alignment horizontal="center" vertical="center" wrapText="1"/>
    </xf>
    <xf numFmtId="0" fontId="41" fillId="9" borderId="1" xfId="2" applyNumberFormat="1" applyFont="1" applyFill="1" applyBorder="1" applyAlignment="1" applyProtection="1">
      <alignment horizontal="left" vertical="center" wrapText="1"/>
    </xf>
    <xf numFmtId="166" fontId="33" fillId="9" borderId="1" xfId="7" applyNumberFormat="1" applyFont="1" applyFill="1" applyBorder="1" applyAlignment="1">
      <alignment vertical="center"/>
    </xf>
    <xf numFmtId="9" fontId="33" fillId="9" borderId="1" xfId="8" applyFont="1" applyFill="1" applyBorder="1" applyAlignment="1">
      <alignment vertical="center"/>
    </xf>
    <xf numFmtId="166" fontId="33" fillId="0" borderId="1" xfId="7" applyNumberFormat="1" applyFont="1" applyFill="1" applyBorder="1" applyAlignment="1">
      <alignment vertical="center"/>
    </xf>
    <xf numFmtId="164" fontId="31" fillId="0" borderId="1" xfId="2" applyNumberFormat="1" applyFont="1" applyFill="1" applyBorder="1" applyAlignment="1" applyProtection="1">
      <alignment horizontal="right" wrapText="1"/>
    </xf>
    <xf numFmtId="0" fontId="30" fillId="3" borderId="0" xfId="0" applyFont="1" applyFill="1" applyAlignment="1">
      <alignment vertical="top"/>
    </xf>
    <xf numFmtId="0" fontId="33" fillId="3" borderId="0" xfId="0" applyFont="1" applyFill="1" applyAlignment="1">
      <alignment vertical="top"/>
    </xf>
    <xf numFmtId="0" fontId="32" fillId="3" borderId="0" xfId="0" applyFont="1" applyFill="1" applyAlignment="1">
      <alignment vertical="top"/>
    </xf>
    <xf numFmtId="0" fontId="34" fillId="3" borderId="0" xfId="0" applyFont="1" applyFill="1" applyAlignment="1">
      <alignment vertical="top"/>
    </xf>
    <xf numFmtId="0" fontId="29" fillId="4" borderId="1" xfId="2" applyNumberFormat="1" applyFont="1" applyFill="1" applyBorder="1" applyAlignment="1" applyProtection="1">
      <alignment horizontal="center" wrapText="1"/>
    </xf>
    <xf numFmtId="0" fontId="36" fillId="4" borderId="1" xfId="2" applyNumberFormat="1" applyFont="1" applyFill="1" applyBorder="1" applyAlignment="1" applyProtection="1">
      <alignment horizontal="center" wrapText="1"/>
    </xf>
    <xf numFmtId="49" fontId="37" fillId="6" borderId="1" xfId="2" applyNumberFormat="1" applyFont="1" applyFill="1" applyBorder="1" applyAlignment="1" applyProtection="1">
      <alignment horizontal="center" vertical="center" wrapText="1"/>
    </xf>
    <xf numFmtId="49" fontId="37" fillId="0" borderId="1" xfId="2" quotePrefix="1" applyNumberFormat="1" applyFont="1" applyFill="1" applyBorder="1" applyAlignment="1" applyProtection="1">
      <alignment horizontal="center" vertical="center" wrapText="1"/>
    </xf>
    <xf numFmtId="49" fontId="31" fillId="0" borderId="1" xfId="2" quotePrefix="1" applyNumberFormat="1" applyFont="1" applyFill="1" applyBorder="1" applyAlignment="1" applyProtection="1">
      <alignment horizontal="center" vertical="center" wrapText="1"/>
    </xf>
    <xf numFmtId="49" fontId="37" fillId="3" borderId="1" xfId="2" applyNumberFormat="1" applyFont="1" applyFill="1" applyBorder="1" applyAlignment="1" applyProtection="1">
      <alignment horizontal="center" vertical="center" wrapText="1"/>
    </xf>
    <xf numFmtId="49" fontId="31" fillId="0" borderId="1" xfId="2" applyNumberFormat="1" applyFont="1" applyFill="1" applyBorder="1" applyAlignment="1" applyProtection="1">
      <alignment horizontal="center" vertical="center" wrapText="1"/>
    </xf>
    <xf numFmtId="49" fontId="37" fillId="0" borderId="1" xfId="2" applyNumberFormat="1" applyFont="1" applyFill="1" applyBorder="1" applyAlignment="1" applyProtection="1">
      <alignment horizontal="center" vertical="center" wrapText="1"/>
    </xf>
    <xf numFmtId="49" fontId="31" fillId="0" borderId="1" xfId="2" applyNumberFormat="1" applyFont="1" applyFill="1" applyBorder="1" applyAlignment="1" applyProtection="1">
      <alignment horizontal="center" wrapText="1"/>
    </xf>
    <xf numFmtId="49" fontId="31" fillId="3" borderId="1" xfId="2" quotePrefix="1" applyNumberFormat="1" applyFont="1" applyFill="1" applyBorder="1" applyAlignment="1" applyProtection="1">
      <alignment horizontal="center" vertical="center" wrapText="1"/>
    </xf>
    <xf numFmtId="49" fontId="29" fillId="6" borderId="1" xfId="2" applyNumberFormat="1" applyFont="1" applyFill="1" applyBorder="1" applyAlignment="1" applyProtection="1">
      <alignment horizontal="center" vertical="center" wrapText="1"/>
    </xf>
    <xf numFmtId="49" fontId="31" fillId="3" borderId="1" xfId="2" applyNumberFormat="1" applyFont="1" applyFill="1" applyBorder="1" applyAlignment="1" applyProtection="1">
      <alignment horizontal="center" vertical="center" wrapText="1"/>
    </xf>
    <xf numFmtId="0" fontId="37" fillId="0" borderId="1" xfId="2" quotePrefix="1" applyNumberFormat="1" applyFont="1" applyFill="1" applyBorder="1" applyAlignment="1" applyProtection="1">
      <alignment horizontal="center" wrapText="1"/>
    </xf>
    <xf numFmtId="0" fontId="28" fillId="3" borderId="0" xfId="0" applyFont="1" applyFill="1" applyAlignment="1">
      <alignment horizontal="center" vertical="center"/>
    </xf>
    <xf numFmtId="166" fontId="36" fillId="6" borderId="1" xfId="2" applyNumberFormat="1" applyFont="1" applyFill="1" applyBorder="1" applyAlignment="1" applyProtection="1">
      <alignment horizontal="right" wrapText="1"/>
    </xf>
    <xf numFmtId="166" fontId="36" fillId="3" borderId="1" xfId="0" applyNumberFormat="1" applyFont="1" applyFill="1" applyBorder="1" applyAlignment="1" applyProtection="1">
      <alignment horizontal="center" vertical="center" wrapText="1"/>
    </xf>
    <xf numFmtId="165" fontId="29" fillId="4" borderId="1" xfId="1" applyFont="1" applyFill="1" applyBorder="1" applyAlignment="1" applyProtection="1">
      <alignment horizontal="right" wrapText="1"/>
      <protection locked="0"/>
    </xf>
    <xf numFmtId="0" fontId="38" fillId="3" borderId="1" xfId="2" applyFont="1" applyFill="1" applyBorder="1" applyAlignment="1" applyProtection="1">
      <alignment horizontal="left" wrapText="1"/>
    </xf>
    <xf numFmtId="0" fontId="44" fillId="5" borderId="1" xfId="0" applyFont="1" applyFill="1" applyBorder="1" applyAlignment="1" applyProtection="1">
      <alignment horizontal="center" vertical="center" wrapText="1"/>
    </xf>
    <xf numFmtId="0" fontId="31" fillId="6" borderId="1" xfId="6" applyFont="1" applyFill="1" applyBorder="1" applyAlignment="1" applyProtection="1">
      <alignment horizontal="left" vertical="center" wrapText="1"/>
    </xf>
    <xf numFmtId="165" fontId="31" fillId="0" borderId="1" xfId="7" applyFont="1" applyFill="1" applyBorder="1" applyAlignment="1" applyProtection="1">
      <alignment horizontal="left" wrapText="1"/>
    </xf>
    <xf numFmtId="0" fontId="52" fillId="7" borderId="0" xfId="6" applyFont="1" applyFill="1"/>
    <xf numFmtId="165" fontId="31" fillId="6" borderId="0" xfId="1" applyFont="1" applyFill="1">
      <protection locked="0"/>
    </xf>
    <xf numFmtId="10" fontId="33" fillId="6" borderId="0" xfId="5" applyNumberFormat="1" applyFont="1" applyFill="1">
      <protection locked="0"/>
    </xf>
    <xf numFmtId="164" fontId="31" fillId="0" borderId="1" xfId="1" applyNumberFormat="1" applyFont="1" applyFill="1" applyBorder="1" applyAlignment="1">
      <alignment horizontal="right"/>
      <protection locked="0"/>
    </xf>
    <xf numFmtId="10" fontId="31" fillId="3" borderId="2" xfId="5" applyNumberFormat="1" applyFont="1" applyFill="1" applyBorder="1" applyAlignment="1">
      <alignment horizontal="right" wrapText="1"/>
      <protection locked="0"/>
    </xf>
    <xf numFmtId="164" fontId="31" fillId="3" borderId="1" xfId="1" applyNumberFormat="1" applyFont="1" applyFill="1" applyBorder="1" applyAlignment="1">
      <alignment horizontal="right"/>
      <protection locked="0"/>
    </xf>
    <xf numFmtId="0" fontId="31" fillId="3" borderId="0" xfId="0" applyFont="1" applyFill="1" applyAlignment="1">
      <alignment horizontal="left" vertical="center" wrapText="1"/>
    </xf>
    <xf numFmtId="166" fontId="41" fillId="3" borderId="0" xfId="1" applyNumberFormat="1" applyFont="1" applyFill="1" applyAlignment="1" applyProtection="1">
      <alignment horizontal="center"/>
      <protection locked="0"/>
    </xf>
    <xf numFmtId="0" fontId="32" fillId="3" borderId="0" xfId="0" applyFont="1" applyFill="1" applyBorder="1" applyAlignment="1">
      <alignment horizontal="center" vertical="center"/>
    </xf>
    <xf numFmtId="0" fontId="29" fillId="0" borderId="0" xfId="0" applyFont="1" applyAlignment="1">
      <alignment horizontal="center"/>
    </xf>
    <xf numFmtId="0" fontId="31" fillId="3" borderId="0" xfId="11" applyFont="1" applyFill="1" applyAlignment="1">
      <alignment horizontal="center" vertical="center"/>
    </xf>
    <xf numFmtId="0" fontId="29" fillId="3" borderId="0" xfId="0" applyFont="1" applyFill="1" applyAlignment="1"/>
    <xf numFmtId="49" fontId="36" fillId="0" borderId="1" xfId="0" applyNumberFormat="1" applyFont="1" applyFill="1" applyBorder="1" applyAlignment="1" applyProtection="1">
      <alignment horizontal="center" wrapText="1"/>
    </xf>
    <xf numFmtId="49" fontId="36" fillId="0" borderId="1" xfId="0" applyNumberFormat="1" applyFont="1" applyFill="1" applyBorder="1" applyAlignment="1" applyProtection="1">
      <alignment horizontal="left" wrapText="1"/>
    </xf>
    <xf numFmtId="49" fontId="36" fillId="0" borderId="1" xfId="0" applyNumberFormat="1" applyFont="1" applyFill="1" applyBorder="1" applyAlignment="1" applyProtection="1">
      <alignment horizontal="center" vertical="center" wrapText="1"/>
    </xf>
    <xf numFmtId="49" fontId="36" fillId="0" borderId="1" xfId="0" applyNumberFormat="1" applyFont="1" applyFill="1" applyBorder="1" applyAlignment="1" applyProtection="1">
      <alignment wrapText="1"/>
    </xf>
    <xf numFmtId="49" fontId="36" fillId="0" borderId="0" xfId="0" applyNumberFormat="1" applyFont="1" applyFill="1" applyBorder="1" applyAlignment="1" applyProtection="1">
      <alignment horizontal="center" wrapText="1"/>
    </xf>
    <xf numFmtId="49" fontId="36" fillId="0" borderId="0" xfId="0" applyNumberFormat="1" applyFont="1" applyFill="1" applyBorder="1" applyAlignment="1" applyProtection="1">
      <alignment horizontal="left" wrapText="1"/>
    </xf>
    <xf numFmtId="49" fontId="36" fillId="0" borderId="0" xfId="0" applyNumberFormat="1" applyFont="1" applyFill="1" applyBorder="1" applyAlignment="1" applyProtection="1">
      <alignment horizontal="center" vertical="center" wrapText="1"/>
    </xf>
    <xf numFmtId="49" fontId="36" fillId="0" borderId="0" xfId="0" applyNumberFormat="1" applyFont="1" applyFill="1" applyBorder="1" applyAlignment="1" applyProtection="1">
      <alignment wrapText="1"/>
    </xf>
    <xf numFmtId="0" fontId="19" fillId="3" borderId="0" xfId="0" applyFont="1" applyFill="1" applyBorder="1" applyAlignment="1"/>
    <xf numFmtId="0" fontId="41" fillId="3" borderId="0" xfId="0" applyFont="1" applyFill="1" applyAlignment="1">
      <alignment horizontal="center"/>
    </xf>
    <xf numFmtId="0" fontId="41" fillId="3" borderId="0" xfId="0" applyFont="1" applyFill="1" applyAlignment="1"/>
    <xf numFmtId="0" fontId="31" fillId="3" borderId="0" xfId="0" applyFont="1" applyFill="1" applyAlignment="1">
      <alignment horizontal="left" vertical="center" wrapText="1"/>
    </xf>
    <xf numFmtId="0" fontId="31" fillId="0" borderId="1" xfId="45" applyFont="1" applyFill="1" applyBorder="1" applyAlignment="1" applyProtection="1">
      <alignment horizontal="left" vertical="center"/>
      <protection locked="0"/>
    </xf>
    <xf numFmtId="49" fontId="33" fillId="3" borderId="1" xfId="6" applyNumberFormat="1" applyFont="1" applyFill="1" applyBorder="1" applyAlignment="1" applyProtection="1">
      <alignment horizontal="center" vertical="center" wrapText="1"/>
    </xf>
    <xf numFmtId="166" fontId="31" fillId="0" borderId="1" xfId="46" applyNumberFormat="1" applyFont="1" applyFill="1" applyBorder="1" applyAlignment="1" applyProtection="1">
      <alignment vertical="center"/>
    </xf>
    <xf numFmtId="10" fontId="33" fillId="3" borderId="1" xfId="5" applyNumberFormat="1" applyFont="1" applyFill="1" applyBorder="1" applyAlignment="1">
      <alignment horizontal="right" vertical="center"/>
      <protection locked="0"/>
    </xf>
    <xf numFmtId="0" fontId="50" fillId="0" borderId="1" xfId="45" applyFont="1" applyFill="1" applyBorder="1" applyAlignment="1" applyProtection="1">
      <alignment horizontal="left" vertical="center"/>
      <protection locked="0"/>
    </xf>
    <xf numFmtId="49" fontId="33" fillId="8" borderId="1" xfId="2" applyNumberFormat="1" applyFont="1" applyFill="1" applyBorder="1" applyAlignment="1" applyProtection="1">
      <alignment horizontal="center" vertical="center" wrapText="1"/>
    </xf>
    <xf numFmtId="10" fontId="29" fillId="6" borderId="1" xfId="6" applyNumberFormat="1" applyFont="1" applyFill="1" applyBorder="1" applyAlignment="1" applyProtection="1">
      <alignment horizontal="right" wrapText="1"/>
    </xf>
    <xf numFmtId="0" fontId="33" fillId="6" borderId="1" xfId="2" applyNumberFormat="1" applyFont="1" applyFill="1" applyBorder="1" applyAlignment="1" applyProtection="1">
      <alignment horizontal="center" vertical="center" wrapText="1"/>
    </xf>
    <xf numFmtId="0" fontId="33" fillId="9" borderId="1" xfId="6" applyNumberFormat="1" applyFont="1" applyFill="1" applyBorder="1" applyAlignment="1" applyProtection="1">
      <alignment horizontal="center" vertical="center" wrapText="1"/>
    </xf>
    <xf numFmtId="0" fontId="41" fillId="6" borderId="1" xfId="6" applyNumberFormat="1" applyFont="1" applyFill="1" applyBorder="1" applyAlignment="1" applyProtection="1">
      <alignment horizontal="center" vertical="center" wrapText="1"/>
    </xf>
    <xf numFmtId="165" fontId="31" fillId="3" borderId="1" xfId="7" applyNumberFormat="1" applyFont="1" applyFill="1" applyBorder="1" applyAlignment="1" applyProtection="1">
      <alignment horizontal="left" wrapText="1"/>
    </xf>
    <xf numFmtId="10" fontId="33" fillId="8" borderId="1" xfId="5" applyNumberFormat="1" applyFont="1" applyFill="1" applyBorder="1" applyAlignment="1">
      <alignment vertical="center"/>
      <protection locked="0"/>
    </xf>
    <xf numFmtId="0" fontId="28" fillId="7" borderId="0" xfId="0" applyFont="1" applyFill="1" applyAlignment="1">
      <alignment vertical="center"/>
    </xf>
    <xf numFmtId="0" fontId="31" fillId="7" borderId="0" xfId="0" applyFont="1" applyFill="1" applyAlignment="1">
      <alignment vertical="center"/>
    </xf>
    <xf numFmtId="0" fontId="29" fillId="7" borderId="0" xfId="48" applyNumberFormat="1" applyFont="1" applyFill="1" applyBorder="1" applyAlignment="1" applyProtection="1">
      <alignment horizontal="left" vertical="center"/>
    </xf>
    <xf numFmtId="0" fontId="31" fillId="0" borderId="1" xfId="6" applyNumberFormat="1" applyFont="1" applyFill="1" applyBorder="1" applyAlignment="1" applyProtection="1">
      <alignment horizontal="center" vertical="center" wrapText="1"/>
    </xf>
    <xf numFmtId="166" fontId="36" fillId="3" borderId="0" xfId="4" applyNumberFormat="1" applyFont="1" applyFill="1" applyBorder="1" applyAlignment="1" applyProtection="1">
      <alignment horizontal="left" vertical="center" wrapText="1"/>
    </xf>
    <xf numFmtId="10" fontId="41" fillId="6" borderId="1" xfId="5" applyNumberFormat="1" applyFont="1" applyFill="1" applyBorder="1" applyAlignment="1">
      <alignment vertical="center"/>
      <protection locked="0"/>
    </xf>
    <xf numFmtId="0" fontId="31" fillId="3" borderId="0" xfId="0" applyFont="1" applyFill="1" applyAlignment="1">
      <alignment horizontal="left" vertical="top" wrapText="1"/>
    </xf>
    <xf numFmtId="0" fontId="31" fillId="3" borderId="0" xfId="0" applyFont="1" applyFill="1" applyBorder="1" applyAlignment="1">
      <alignment horizontal="left" vertical="center"/>
    </xf>
    <xf numFmtId="49" fontId="44" fillId="5" borderId="1" xfId="0" applyNumberFormat="1" applyFont="1" applyFill="1" applyBorder="1" applyAlignment="1" applyProtection="1">
      <alignment horizontal="center" vertical="center" wrapText="1"/>
    </xf>
    <xf numFmtId="49" fontId="33" fillId="0" borderId="1" xfId="2" applyNumberFormat="1" applyFont="1" applyFill="1" applyBorder="1" applyAlignment="1" applyProtection="1">
      <alignment horizontal="center" vertical="center" wrapText="1"/>
    </xf>
    <xf numFmtId="49" fontId="33" fillId="0" borderId="1" xfId="6" applyNumberFormat="1" applyFont="1" applyFill="1" applyBorder="1" applyAlignment="1" applyProtection="1">
      <alignment horizontal="center" vertical="center" wrapText="1"/>
    </xf>
    <xf numFmtId="165" fontId="33" fillId="0" borderId="1" xfId="7" applyFont="1" applyFill="1" applyBorder="1" applyAlignment="1">
      <alignment vertical="center"/>
    </xf>
    <xf numFmtId="0" fontId="41" fillId="6" borderId="1" xfId="2" applyNumberFormat="1" applyFont="1" applyFill="1" applyBorder="1" applyAlignment="1" applyProtection="1">
      <alignment wrapText="1"/>
    </xf>
    <xf numFmtId="166" fontId="41" fillId="6" borderId="1" xfId="9" applyNumberFormat="1" applyFont="1" applyFill="1" applyBorder="1" applyAlignment="1" applyProtection="1">
      <protection locked="0"/>
    </xf>
    <xf numFmtId="0" fontId="41" fillId="4" borderId="1" xfId="2" applyNumberFormat="1" applyFont="1" applyFill="1" applyBorder="1" applyAlignment="1" applyProtection="1">
      <alignment horizontal="center" vertical="center" wrapText="1"/>
    </xf>
    <xf numFmtId="0" fontId="41" fillId="4" borderId="1" xfId="2" applyNumberFormat="1" applyFont="1" applyFill="1" applyBorder="1" applyAlignment="1" applyProtection="1">
      <alignment wrapText="1"/>
    </xf>
    <xf numFmtId="165" fontId="41" fillId="4" borderId="1" xfId="1" applyNumberFormat="1" applyFont="1" applyFill="1" applyBorder="1" applyAlignment="1" applyProtection="1">
      <protection locked="0"/>
    </xf>
    <xf numFmtId="165" fontId="41" fillId="4" borderId="1" xfId="1" applyFont="1" applyFill="1" applyBorder="1" applyAlignment="1" applyProtection="1">
      <protection locked="0"/>
    </xf>
    <xf numFmtId="166" fontId="37" fillId="6" borderId="1" xfId="2" applyNumberFormat="1" applyFont="1" applyFill="1" applyBorder="1" applyAlignment="1" applyProtection="1">
      <alignment horizontal="left" vertical="center" wrapText="1"/>
    </xf>
    <xf numFmtId="49" fontId="37" fillId="8" borderId="1" xfId="2" applyNumberFormat="1" applyFont="1" applyFill="1" applyBorder="1" applyAlignment="1" applyProtection="1">
      <alignment horizontal="center" vertical="center" wrapText="1"/>
    </xf>
    <xf numFmtId="0" fontId="37" fillId="8" borderId="1" xfId="2" applyNumberFormat="1" applyFont="1" applyFill="1" applyBorder="1" applyAlignment="1" applyProtection="1">
      <alignment horizontal="center" vertical="center" wrapText="1"/>
    </xf>
    <xf numFmtId="166" fontId="31" fillId="8" borderId="1" xfId="1" applyNumberFormat="1" applyFont="1" applyFill="1" applyBorder="1" applyAlignment="1">
      <alignment vertical="center"/>
      <protection locked="0"/>
    </xf>
    <xf numFmtId="166" fontId="31" fillId="0" borderId="1" xfId="1" applyNumberFormat="1" applyFont="1" applyFill="1" applyBorder="1" applyAlignment="1">
      <alignment vertical="center"/>
      <protection locked="0"/>
    </xf>
    <xf numFmtId="166" fontId="31" fillId="0" borderId="1" xfId="1" applyNumberFormat="1" applyFont="1" applyBorder="1" applyAlignment="1">
      <alignment vertical="center"/>
      <protection locked="0"/>
    </xf>
    <xf numFmtId="166" fontId="31" fillId="3" borderId="1" xfId="1" applyNumberFormat="1" applyFont="1" applyFill="1" applyBorder="1" applyAlignment="1">
      <alignment vertical="center"/>
      <protection locked="0"/>
    </xf>
    <xf numFmtId="49" fontId="53" fillId="8" borderId="1" xfId="2" applyNumberFormat="1" applyFont="1" applyFill="1" applyBorder="1" applyAlignment="1" applyProtection="1">
      <alignment horizontal="center" vertical="center" wrapText="1"/>
    </xf>
    <xf numFmtId="0" fontId="53" fillId="8" borderId="1" xfId="2" applyNumberFormat="1" applyFont="1" applyFill="1" applyBorder="1" applyAlignment="1" applyProtection="1">
      <alignment horizontal="center" vertical="center" wrapText="1"/>
    </xf>
    <xf numFmtId="166" fontId="40" fillId="8" borderId="1" xfId="1" applyNumberFormat="1" applyFont="1" applyFill="1" applyBorder="1" applyAlignment="1">
      <alignment vertical="center"/>
      <protection locked="0"/>
    </xf>
    <xf numFmtId="166" fontId="31" fillId="6" borderId="1" xfId="1" applyNumberFormat="1" applyFont="1" applyFill="1" applyBorder="1" applyAlignment="1">
      <alignment vertical="center"/>
      <protection locked="0"/>
    </xf>
    <xf numFmtId="166" fontId="29" fillId="6" borderId="1" xfId="1" applyNumberFormat="1" applyFont="1" applyFill="1" applyBorder="1" applyAlignment="1">
      <alignment vertical="center"/>
      <protection locked="0"/>
    </xf>
    <xf numFmtId="166" fontId="36" fillId="6" borderId="1" xfId="1" applyNumberFormat="1" applyFont="1" applyFill="1" applyBorder="1" applyAlignment="1">
      <alignment horizontal="left" vertical="center" wrapText="1"/>
      <protection locked="0"/>
    </xf>
    <xf numFmtId="166" fontId="37" fillId="0" borderId="1" xfId="1" applyNumberFormat="1" applyFont="1" applyFill="1" applyBorder="1" applyAlignment="1">
      <alignment horizontal="left" vertical="center" wrapText="1"/>
      <protection locked="0"/>
    </xf>
    <xf numFmtId="0" fontId="36" fillId="6" borderId="1" xfId="2" applyNumberFormat="1" applyFont="1" applyFill="1" applyBorder="1" applyAlignment="1" applyProtection="1">
      <alignment vertical="center" wrapText="1"/>
    </xf>
    <xf numFmtId="0" fontId="37" fillId="8" borderId="1" xfId="2" applyNumberFormat="1" applyFont="1" applyFill="1" applyBorder="1" applyAlignment="1" applyProtection="1">
      <alignment vertical="center" wrapText="1"/>
    </xf>
    <xf numFmtId="0" fontId="37" fillId="0" borderId="1" xfId="2" applyNumberFormat="1" applyFont="1" applyFill="1" applyBorder="1" applyAlignment="1" applyProtection="1">
      <alignment vertical="center" wrapText="1"/>
    </xf>
    <xf numFmtId="0" fontId="37" fillId="3" borderId="1" xfId="2" applyNumberFormat="1" applyFont="1" applyFill="1" applyBorder="1" applyAlignment="1" applyProtection="1">
      <alignment vertical="center" wrapText="1"/>
    </xf>
    <xf numFmtId="0" fontId="53" fillId="8" borderId="1" xfId="2" applyNumberFormat="1" applyFont="1" applyFill="1" applyBorder="1" applyAlignment="1" applyProtection="1">
      <alignment vertical="center" wrapText="1"/>
    </xf>
    <xf numFmtId="0" fontId="37" fillId="0" borderId="1" xfId="2" quotePrefix="1" applyNumberFormat="1" applyFont="1" applyFill="1" applyBorder="1" applyAlignment="1" applyProtection="1">
      <alignment vertical="center" wrapText="1"/>
    </xf>
    <xf numFmtId="0" fontId="36" fillId="0" borderId="1" xfId="2" applyNumberFormat="1" applyFont="1" applyFill="1" applyBorder="1" applyAlignment="1" applyProtection="1">
      <alignment vertical="center" wrapText="1"/>
    </xf>
    <xf numFmtId="165" fontId="36" fillId="3" borderId="1" xfId="1" applyFont="1" applyFill="1" applyBorder="1" applyAlignment="1">
      <alignment horizontal="center" vertical="center" wrapText="1"/>
      <protection locked="0"/>
    </xf>
    <xf numFmtId="165" fontId="31" fillId="0" borderId="0" xfId="1" applyFont="1" applyFill="1">
      <protection locked="0"/>
    </xf>
    <xf numFmtId="49" fontId="44" fillId="5" borderId="1" xfId="0" applyNumberFormat="1" applyFont="1" applyFill="1" applyBorder="1" applyAlignment="1" applyProtection="1">
      <alignment horizontal="center" vertical="center" wrapText="1"/>
    </xf>
    <xf numFmtId="0" fontId="31" fillId="0" borderId="1" xfId="6" applyFont="1" applyFill="1" applyBorder="1" applyAlignment="1" applyProtection="1">
      <alignment horizontal="center" vertical="center" wrapText="1"/>
    </xf>
    <xf numFmtId="0" fontId="33" fillId="0" borderId="1" xfId="2" applyFont="1" applyFill="1" applyBorder="1" applyAlignment="1" applyProtection="1">
      <alignment horizontal="left" vertical="center" wrapText="1"/>
    </xf>
    <xf numFmtId="165" fontId="31" fillId="3" borderId="1" xfId="7" applyFont="1" applyFill="1" applyBorder="1" applyAlignment="1" applyProtection="1">
      <alignment horizontal="left" wrapText="1"/>
    </xf>
    <xf numFmtId="0" fontId="29" fillId="3" borderId="0" xfId="0" applyFont="1" applyFill="1" applyAlignment="1">
      <alignment horizontal="left"/>
    </xf>
    <xf numFmtId="0" fontId="31" fillId="3" borderId="0" xfId="0" applyFont="1" applyFill="1" applyAlignment="1">
      <alignment horizontal="left"/>
    </xf>
    <xf numFmtId="49" fontId="31" fillId="0" borderId="1" xfId="0" quotePrefix="1" applyNumberFormat="1" applyFont="1" applyFill="1" applyBorder="1" applyAlignment="1">
      <alignment horizontal="center"/>
    </xf>
    <xf numFmtId="165" fontId="31" fillId="0" borderId="1" xfId="1" applyFont="1" applyFill="1" applyBorder="1" applyAlignment="1" applyProtection="1"/>
    <xf numFmtId="0" fontId="33" fillId="0" borderId="0" xfId="0" applyFont="1" applyFill="1"/>
    <xf numFmtId="0" fontId="31" fillId="0" borderId="1" xfId="0" applyFont="1" applyFill="1" applyBorder="1" applyAlignment="1">
      <alignment horizontal="center"/>
    </xf>
    <xf numFmtId="37" fontId="36" fillId="6" borderId="1" xfId="2" applyNumberFormat="1" applyFont="1" applyFill="1" applyBorder="1" applyAlignment="1" applyProtection="1">
      <alignment horizontal="right" wrapText="1"/>
    </xf>
    <xf numFmtId="37" fontId="37" fillId="0" borderId="1" xfId="2" applyNumberFormat="1" applyFont="1" applyFill="1" applyBorder="1" applyAlignment="1" applyProtection="1">
      <alignment horizontal="right" wrapText="1"/>
    </xf>
    <xf numFmtId="37" fontId="31" fillId="3" borderId="1" xfId="1" applyNumberFormat="1" applyFont="1" applyFill="1" applyBorder="1" applyAlignment="1">
      <alignment horizontal="right"/>
      <protection locked="0"/>
    </xf>
    <xf numFmtId="10" fontId="44" fillId="5" borderId="1" xfId="5" applyNumberFormat="1" applyFont="1" applyFill="1" applyBorder="1" applyAlignment="1" applyProtection="1">
      <alignment horizontal="center" vertical="center" wrapText="1"/>
    </xf>
    <xf numFmtId="9" fontId="31" fillId="6" borderId="1" xfId="4" applyNumberFormat="1" applyFont="1" applyFill="1" applyBorder="1" applyAlignment="1" applyProtection="1">
      <alignment horizontal="left" vertical="center" wrapText="1"/>
    </xf>
    <xf numFmtId="37" fontId="31" fillId="0" borderId="1" xfId="6" applyNumberFormat="1" applyFont="1" applyFill="1" applyBorder="1" applyAlignment="1" applyProtection="1">
      <alignment horizontal="right" wrapText="1"/>
    </xf>
    <xf numFmtId="166" fontId="33" fillId="3" borderId="9" xfId="1" applyNumberFormat="1" applyFont="1" applyFill="1" applyBorder="1" applyProtection="1">
      <protection locked="0"/>
    </xf>
    <xf numFmtId="0" fontId="18" fillId="3" borderId="9" xfId="6" applyFill="1" applyBorder="1"/>
    <xf numFmtId="0" fontId="33" fillId="0" borderId="0" xfId="0" applyFont="1" applyFill="1" applyBorder="1"/>
    <xf numFmtId="14" fontId="30" fillId="3" borderId="0" xfId="0" applyNumberFormat="1" applyFont="1" applyFill="1" applyAlignment="1">
      <alignment horizontal="left" vertical="center" wrapText="1"/>
    </xf>
    <xf numFmtId="0" fontId="35" fillId="3" borderId="0" xfId="0" applyFont="1" applyFill="1" applyAlignment="1">
      <alignment horizontal="left" vertical="center" wrapText="1"/>
    </xf>
    <xf numFmtId="15" fontId="31" fillId="3" borderId="0" xfId="0" applyNumberFormat="1" applyFont="1" applyFill="1" applyAlignment="1">
      <alignment horizontal="left"/>
    </xf>
    <xf numFmtId="0" fontId="30" fillId="3" borderId="0" xfId="0" applyFont="1" applyFill="1" applyAlignment="1">
      <alignment horizontal="left" vertical="center" wrapText="1"/>
    </xf>
    <xf numFmtId="0" fontId="32" fillId="3" borderId="0" xfId="0" applyFont="1" applyFill="1" applyAlignment="1">
      <alignment horizontal="left" vertical="center" wrapText="1"/>
    </xf>
    <xf numFmtId="0" fontId="33" fillId="3" borderId="0" xfId="0" applyFont="1" applyFill="1" applyAlignment="1">
      <alignment horizontal="left" vertical="center" wrapText="1"/>
    </xf>
    <xf numFmtId="0" fontId="34" fillId="3" borderId="0" xfId="0" applyFont="1" applyFill="1" applyAlignment="1">
      <alignment horizontal="left" vertical="center" wrapText="1"/>
    </xf>
    <xf numFmtId="0" fontId="31" fillId="3" borderId="0" xfId="0" applyFont="1" applyFill="1" applyAlignment="1">
      <alignment horizontal="center"/>
    </xf>
    <xf numFmtId="0" fontId="32" fillId="3" borderId="0" xfId="0" applyFont="1" applyFill="1" applyBorder="1" applyAlignment="1">
      <alignment horizontal="center" vertical="center"/>
    </xf>
    <xf numFmtId="0" fontId="19" fillId="3" borderId="0" xfId="0" applyFont="1" applyFill="1" applyBorder="1" applyAlignment="1">
      <alignment horizontal="center"/>
    </xf>
    <xf numFmtId="0" fontId="0" fillId="3" borderId="0" xfId="0" applyFill="1" applyBorder="1" applyAlignment="1">
      <alignment horizontal="center"/>
    </xf>
    <xf numFmtId="0" fontId="29" fillId="3" borderId="0" xfId="0" applyFont="1" applyFill="1" applyAlignment="1">
      <alignment horizontal="center"/>
    </xf>
    <xf numFmtId="0" fontId="25" fillId="3" borderId="0" xfId="0" applyFont="1" applyFill="1" applyAlignment="1">
      <alignment horizontal="right" vertical="center" wrapText="1"/>
    </xf>
    <xf numFmtId="0" fontId="26" fillId="3" borderId="0" xfId="0" applyFont="1" applyFill="1" applyAlignment="1">
      <alignment horizontal="right" vertical="center" wrapText="1"/>
    </xf>
    <xf numFmtId="0" fontId="27" fillId="3" borderId="0" xfId="0" applyFont="1" applyFill="1" applyAlignment="1">
      <alignment horizontal="center" vertical="center" wrapText="1"/>
    </xf>
    <xf numFmtId="0" fontId="28" fillId="3" borderId="0" xfId="0" applyFont="1" applyFill="1" applyAlignment="1">
      <alignment horizontal="center" vertical="center"/>
    </xf>
    <xf numFmtId="49" fontId="36" fillId="5" borderId="4" xfId="0" applyNumberFormat="1" applyFont="1" applyFill="1" applyBorder="1" applyAlignment="1" applyProtection="1">
      <alignment horizontal="center" vertical="center" wrapText="1"/>
    </xf>
    <xf numFmtId="49" fontId="36" fillId="5" borderId="5" xfId="0" applyNumberFormat="1" applyFont="1" applyFill="1" applyBorder="1" applyAlignment="1" applyProtection="1">
      <alignment horizontal="center" vertical="center" wrapText="1"/>
    </xf>
    <xf numFmtId="0" fontId="0" fillId="0" borderId="5" xfId="0" applyBorder="1"/>
    <xf numFmtId="49" fontId="36" fillId="5" borderId="2" xfId="0" applyNumberFormat="1" applyFont="1" applyFill="1" applyBorder="1" applyAlignment="1" applyProtection="1">
      <alignment horizontal="center" vertical="center" wrapText="1"/>
    </xf>
    <xf numFmtId="49" fontId="36" fillId="5" borderId="3" xfId="0" applyNumberFormat="1" applyFont="1" applyFill="1" applyBorder="1" applyAlignment="1" applyProtection="1">
      <alignment horizontal="center" vertical="center" wrapText="1"/>
    </xf>
    <xf numFmtId="14" fontId="34" fillId="3" borderId="0" xfId="0" applyNumberFormat="1" applyFont="1" applyFill="1" applyAlignment="1">
      <alignment horizontal="left" vertical="center" wrapText="1"/>
    </xf>
    <xf numFmtId="0" fontId="29" fillId="3" borderId="0" xfId="0" applyFont="1" applyFill="1" applyAlignment="1">
      <alignment horizontal="left"/>
    </xf>
    <xf numFmtId="0" fontId="31" fillId="3" borderId="0" xfId="0" applyFont="1" applyFill="1" applyAlignment="1">
      <alignment horizontal="left"/>
    </xf>
    <xf numFmtId="0" fontId="0" fillId="0" borderId="0" xfId="0" applyAlignment="1"/>
    <xf numFmtId="166" fontId="41" fillId="3" borderId="0" xfId="1" applyNumberFormat="1" applyFont="1" applyFill="1" applyAlignment="1" applyProtection="1">
      <alignment horizontal="center"/>
      <protection locked="0"/>
    </xf>
    <xf numFmtId="0" fontId="32" fillId="3" borderId="0" xfId="0" applyFont="1" applyFill="1" applyBorder="1" applyAlignment="1">
      <alignment horizontal="left" vertical="center"/>
    </xf>
    <xf numFmtId="0" fontId="34" fillId="3" borderId="0" xfId="0" applyFont="1" applyFill="1" applyAlignment="1">
      <alignment vertical="top" wrapText="1"/>
    </xf>
    <xf numFmtId="0" fontId="45" fillId="3" borderId="0" xfId="0" applyFont="1" applyFill="1" applyAlignment="1">
      <alignment vertical="top" wrapText="1"/>
    </xf>
    <xf numFmtId="0" fontId="41" fillId="3" borderId="0" xfId="0" applyFont="1" applyFill="1" applyAlignment="1">
      <alignment horizontal="center"/>
    </xf>
    <xf numFmtId="0" fontId="41" fillId="3" borderId="0" xfId="0" applyFont="1" applyFill="1" applyAlignment="1">
      <alignment horizontal="left"/>
    </xf>
    <xf numFmtId="0" fontId="33" fillId="3" borderId="0" xfId="0" applyFont="1" applyFill="1" applyAlignment="1">
      <alignment horizontal="left"/>
    </xf>
    <xf numFmtId="15" fontId="34" fillId="3" borderId="0" xfId="0" applyNumberFormat="1" applyFont="1" applyFill="1" applyAlignment="1">
      <alignment vertical="top" wrapText="1"/>
    </xf>
    <xf numFmtId="0" fontId="43" fillId="3" borderId="0" xfId="0" applyFont="1" applyFill="1" applyAlignment="1">
      <alignment horizontal="right" vertical="center" wrapText="1"/>
    </xf>
    <xf numFmtId="0" fontId="30" fillId="3" borderId="0" xfId="0" applyFont="1" applyFill="1" applyAlignment="1">
      <alignment horizontal="left" vertical="top" wrapText="1"/>
    </xf>
    <xf numFmtId="0" fontId="34" fillId="3" borderId="0" xfId="0" applyFont="1" applyFill="1" applyAlignment="1">
      <alignment horizontal="left" vertical="top" wrapText="1"/>
    </xf>
    <xf numFmtId="0" fontId="31" fillId="3" borderId="0" xfId="0" applyFont="1" applyFill="1" applyAlignment="1">
      <alignment horizontal="left" vertical="top"/>
    </xf>
    <xf numFmtId="0" fontId="31" fillId="3" borderId="0" xfId="0" applyFont="1" applyFill="1" applyAlignment="1">
      <alignment horizontal="left" vertical="top" wrapText="1"/>
    </xf>
    <xf numFmtId="0" fontId="33" fillId="3" borderId="0" xfId="0" applyFont="1" applyFill="1" applyAlignment="1">
      <alignment horizontal="left" vertical="top" wrapText="1"/>
    </xf>
    <xf numFmtId="0" fontId="32" fillId="3" borderId="0" xfId="0" applyFont="1" applyFill="1" applyAlignment="1">
      <alignment horizontal="left" vertical="top" wrapText="1"/>
    </xf>
    <xf numFmtId="166" fontId="41" fillId="5" borderId="4" xfId="1" applyNumberFormat="1" applyFont="1" applyFill="1" applyBorder="1" applyAlignment="1" applyProtection="1">
      <alignment horizontal="center" vertical="center" wrapText="1"/>
    </xf>
    <xf numFmtId="166" fontId="41" fillId="5" borderId="5" xfId="1" applyNumberFormat="1" applyFont="1" applyFill="1" applyBorder="1" applyAlignment="1" applyProtection="1">
      <alignment horizontal="center" vertical="center" wrapText="1"/>
    </xf>
    <xf numFmtId="0" fontId="41" fillId="5" borderId="4" xfId="0" applyFont="1" applyFill="1" applyBorder="1" applyAlignment="1">
      <alignment horizontal="center" vertical="center" wrapText="1"/>
    </xf>
    <xf numFmtId="0" fontId="41" fillId="5" borderId="5" xfId="0" applyFont="1" applyFill="1" applyBorder="1" applyAlignment="1">
      <alignment horizontal="center" vertical="center" wrapText="1"/>
    </xf>
    <xf numFmtId="166" fontId="41" fillId="5" borderId="2" xfId="1" applyNumberFormat="1" applyFont="1" applyFill="1" applyBorder="1" applyAlignment="1" applyProtection="1">
      <alignment horizontal="center" vertical="center" wrapText="1"/>
    </xf>
    <xf numFmtId="166" fontId="41" fillId="5" borderId="14" xfId="1" applyNumberFormat="1" applyFont="1" applyFill="1" applyBorder="1" applyAlignment="1" applyProtection="1">
      <alignment horizontal="center" vertical="center" wrapText="1"/>
    </xf>
    <xf numFmtId="166" fontId="41" fillId="5" borderId="3" xfId="1" applyNumberFormat="1" applyFont="1" applyFill="1" applyBorder="1" applyAlignment="1" applyProtection="1">
      <alignment horizontal="center" vertical="center" wrapText="1"/>
    </xf>
    <xf numFmtId="0" fontId="45" fillId="3" borderId="0" xfId="0" applyFont="1" applyFill="1" applyAlignment="1">
      <alignment horizontal="left" vertical="top" wrapText="1"/>
    </xf>
    <xf numFmtId="15" fontId="34" fillId="3" borderId="0" xfId="0" applyNumberFormat="1" applyFont="1" applyFill="1" applyAlignment="1">
      <alignment horizontal="left" vertical="top" wrapText="1"/>
    </xf>
    <xf numFmtId="0" fontId="31" fillId="7" borderId="0" xfId="0" applyFont="1" applyFill="1" applyAlignment="1">
      <alignment horizontal="left" vertical="center" wrapText="1"/>
    </xf>
    <xf numFmtId="49" fontId="44" fillId="5" borderId="1" xfId="0" applyNumberFormat="1" applyFont="1" applyFill="1" applyBorder="1" applyAlignment="1" applyProtection="1">
      <alignment horizontal="center" vertical="center" wrapText="1"/>
    </xf>
    <xf numFmtId="0" fontId="37" fillId="3" borderId="4" xfId="2" applyNumberFormat="1" applyFont="1" applyFill="1" applyBorder="1" applyAlignment="1" applyProtection="1">
      <alignment horizontal="center" vertical="center" wrapText="1"/>
    </xf>
    <xf numFmtId="0" fontId="37" fillId="3" borderId="5" xfId="2" applyNumberFormat="1" applyFont="1" applyFill="1" applyBorder="1" applyAlignment="1" applyProtection="1">
      <alignment horizontal="center" vertical="center" wrapText="1"/>
    </xf>
    <xf numFmtId="0" fontId="56" fillId="3" borderId="0" xfId="0" applyFont="1" applyFill="1" applyAlignment="1">
      <alignment horizontal="center" vertical="center" wrapText="1"/>
    </xf>
    <xf numFmtId="0" fontId="41" fillId="5" borderId="4" xfId="6" applyFont="1" applyFill="1" applyBorder="1" applyAlignment="1">
      <alignment horizontal="center" vertical="center" wrapText="1"/>
    </xf>
    <xf numFmtId="0" fontId="41" fillId="5" borderId="5" xfId="6" applyFont="1" applyFill="1" applyBorder="1" applyAlignment="1">
      <alignment horizontal="center" vertical="center" wrapText="1"/>
    </xf>
    <xf numFmtId="0" fontId="41" fillId="5" borderId="2" xfId="6" applyFont="1" applyFill="1" applyBorder="1" applyAlignment="1">
      <alignment horizontal="center" vertical="center" wrapText="1"/>
    </xf>
    <xf numFmtId="0" fontId="41" fillId="5" borderId="3" xfId="6" applyFont="1" applyFill="1" applyBorder="1" applyAlignment="1">
      <alignment horizontal="center" vertical="center" wrapText="1"/>
    </xf>
    <xf numFmtId="0" fontId="36" fillId="5" borderId="4" xfId="6" applyNumberFormat="1" applyFont="1" applyFill="1" applyBorder="1" applyAlignment="1" applyProtection="1">
      <alignment horizontal="center" vertical="center" wrapText="1"/>
    </xf>
    <xf numFmtId="0" fontId="36" fillId="5" borderId="5" xfId="6" applyNumberFormat="1" applyFont="1" applyFill="1" applyBorder="1" applyAlignment="1" applyProtection="1">
      <alignment horizontal="center" vertical="center" wrapText="1"/>
    </xf>
    <xf numFmtId="0" fontId="43" fillId="0" borderId="0" xfId="0" applyFont="1" applyFill="1" applyAlignment="1">
      <alignment horizontal="right" vertical="center" wrapText="1"/>
    </xf>
    <xf numFmtId="0" fontId="29" fillId="3" borderId="0" xfId="0" applyFont="1" applyFill="1" applyAlignment="1">
      <alignment horizontal="left" vertical="center" wrapText="1"/>
    </xf>
    <xf numFmtId="0" fontId="29" fillId="3" borderId="0" xfId="0" applyFont="1" applyFill="1" applyAlignment="1">
      <alignment horizontal="left" vertical="center"/>
    </xf>
    <xf numFmtId="0" fontId="31" fillId="3" borderId="0" xfId="0" applyFont="1" applyFill="1" applyAlignment="1">
      <alignment horizontal="left" vertical="center" wrapText="1"/>
    </xf>
    <xf numFmtId="0" fontId="45" fillId="3" borderId="0" xfId="0" applyFont="1" applyFill="1" applyAlignment="1">
      <alignment horizontal="left" vertical="center" wrapText="1"/>
    </xf>
    <xf numFmtId="0" fontId="28" fillId="3" borderId="0" xfId="0" applyFont="1" applyFill="1" applyAlignment="1">
      <alignment horizontal="left" vertical="top" wrapText="1"/>
    </xf>
    <xf numFmtId="0" fontId="28" fillId="0" borderId="0" xfId="0" applyFont="1" applyFill="1" applyAlignment="1">
      <alignment horizontal="center" vertical="center"/>
    </xf>
    <xf numFmtId="0" fontId="33" fillId="3" borderId="1" xfId="0" applyFont="1" applyFill="1" applyBorder="1" applyAlignment="1">
      <alignment horizontal="center" vertical="center"/>
    </xf>
  </cellXfs>
  <cellStyles count="129">
    <cellStyle name="Comma" xfId="1" builtinId="3"/>
    <cellStyle name="Comma 10" xfId="12"/>
    <cellStyle name="Comma 11" xfId="20"/>
    <cellStyle name="Comma 12" xfId="13"/>
    <cellStyle name="Comma 14" xfId="46"/>
    <cellStyle name="Comma 2" xfId="7"/>
    <cellStyle name="Comma 2 2" xfId="9"/>
    <cellStyle name="Comma 2 3" xfId="25"/>
    <cellStyle name="Comma 3" xfId="26"/>
    <cellStyle name="Currency [0] 2" xfId="2"/>
    <cellStyle name="Hyperlink" xfId="3" builtinId="8"/>
    <cellStyle name="Normal" xfId="0" builtinId="0"/>
    <cellStyle name="Normal 10" xfId="22"/>
    <cellStyle name="Normal 101" xfId="69"/>
    <cellStyle name="Normal 102" xfId="71"/>
    <cellStyle name="Normal 105" xfId="17"/>
    <cellStyle name="Normal 106" xfId="72"/>
    <cellStyle name="Normal 107" xfId="73"/>
    <cellStyle name="Normal 108" xfId="74"/>
    <cellStyle name="Normal 109" xfId="76"/>
    <cellStyle name="Normal 11" xfId="27"/>
    <cellStyle name="Normal 110" xfId="77"/>
    <cellStyle name="Normal 112" xfId="50"/>
    <cellStyle name="Normal 113" xfId="51"/>
    <cellStyle name="Normal 114" xfId="52"/>
    <cellStyle name="Normal 117" xfId="56"/>
    <cellStyle name="Normal 118" xfId="57"/>
    <cellStyle name="Normal 119" xfId="58"/>
    <cellStyle name="Normal 12" xfId="28"/>
    <cellStyle name="Normal 122" xfId="78"/>
    <cellStyle name="Normal 123" xfId="79"/>
    <cellStyle name="Normal 126" xfId="83"/>
    <cellStyle name="Normal 127" xfId="84"/>
    <cellStyle name="Normal 13" xfId="29"/>
    <cellStyle name="Normal 130" xfId="88"/>
    <cellStyle name="Normal 131" xfId="89"/>
    <cellStyle name="Normal 135" xfId="121"/>
    <cellStyle name="Normal 136" xfId="122"/>
    <cellStyle name="Normal 139" xfId="95"/>
    <cellStyle name="Normal 14" xfId="24"/>
    <cellStyle name="Normal 140" xfId="96"/>
    <cellStyle name="Normal 143" xfId="99"/>
    <cellStyle name="Normal 144" xfId="100"/>
    <cellStyle name="Normal 147" xfId="112"/>
    <cellStyle name="Normal 148" xfId="113"/>
    <cellStyle name="Normal 149" xfId="114"/>
    <cellStyle name="Normal 15" xfId="23"/>
    <cellStyle name="Normal 153" xfId="117"/>
    <cellStyle name="Normal 154" xfId="118"/>
    <cellStyle name="Normal 158" xfId="49"/>
    <cellStyle name="Normal 16" xfId="47"/>
    <cellStyle name="Normal 161" xfId="66"/>
    <cellStyle name="Normal 162" xfId="75"/>
    <cellStyle name="Normal 163" xfId="64"/>
    <cellStyle name="Normal 164" xfId="65"/>
    <cellStyle name="Normal 165" xfId="55"/>
    <cellStyle name="Normal 166" xfId="61"/>
    <cellStyle name="Normal 167" xfId="53"/>
    <cellStyle name="Normal 168" xfId="54"/>
    <cellStyle name="Normal 169" xfId="59"/>
    <cellStyle name="Normal 17" xfId="35"/>
    <cellStyle name="Normal 170" xfId="60"/>
    <cellStyle name="Normal 171" xfId="82"/>
    <cellStyle name="Normal 172" xfId="80"/>
    <cellStyle name="Normal 173" xfId="81"/>
    <cellStyle name="Normal 174" xfId="87"/>
    <cellStyle name="Normal 175" xfId="85"/>
    <cellStyle name="Normal 176" xfId="86"/>
    <cellStyle name="Normal 177" xfId="92"/>
    <cellStyle name="Normal 178" xfId="90"/>
    <cellStyle name="Normal 179" xfId="91"/>
    <cellStyle name="Normal 18" xfId="34"/>
    <cellStyle name="Normal 180" xfId="94"/>
    <cellStyle name="Normal 181" xfId="93"/>
    <cellStyle name="Normal 182" xfId="98"/>
    <cellStyle name="Normal 184" xfId="97"/>
    <cellStyle name="Normal 186" xfId="101"/>
    <cellStyle name="Normal 187" xfId="103"/>
    <cellStyle name="Normal 188" xfId="102"/>
    <cellStyle name="Normal 189" xfId="105"/>
    <cellStyle name="Normal 19" xfId="38"/>
    <cellStyle name="Normal 190" xfId="104"/>
    <cellStyle name="Normal 191" xfId="107"/>
    <cellStyle name="Normal 193" xfId="106"/>
    <cellStyle name="Normal 194" xfId="109"/>
    <cellStyle name="Normal 195" xfId="108"/>
    <cellStyle name="Normal 196" xfId="111"/>
    <cellStyle name="Normal 197" xfId="110"/>
    <cellStyle name="Normal 198" xfId="124"/>
    <cellStyle name="Normal 2" xfId="4"/>
    <cellStyle name="Normal 2 2" xfId="48"/>
    <cellStyle name="Normal 201" xfId="123"/>
    <cellStyle name="Normal 202" xfId="125"/>
    <cellStyle name="Normal 203" xfId="126"/>
    <cellStyle name="Normal 204" xfId="127"/>
    <cellStyle name="Normal 206" xfId="128"/>
    <cellStyle name="Normal 207" xfId="116"/>
    <cellStyle name="Normal 208" xfId="115"/>
    <cellStyle name="Normal 209" xfId="120"/>
    <cellStyle name="Normal 21" xfId="37"/>
    <cellStyle name="Normal 210" xfId="119"/>
    <cellStyle name="Normal 22" xfId="36"/>
    <cellStyle name="Normal 23" xfId="40"/>
    <cellStyle name="Normal 24" xfId="41"/>
    <cellStyle name="Normal 26" xfId="39"/>
    <cellStyle name="Normal 27" xfId="44"/>
    <cellStyle name="Normal 28" xfId="43"/>
    <cellStyle name="Normal 29" xfId="42"/>
    <cellStyle name="Normal 3" xfId="6"/>
    <cellStyle name="Normal 3 2" xfId="21"/>
    <cellStyle name="Normal 4" xfId="14"/>
    <cellStyle name="Normal 5" xfId="15"/>
    <cellStyle name="Normal 6" xfId="16"/>
    <cellStyle name="Normal 7" xfId="18"/>
    <cellStyle name="Normal 8" xfId="19"/>
    <cellStyle name="Normal 8 3" xfId="45"/>
    <cellStyle name="Normal 81" xfId="67"/>
    <cellStyle name="Normal 85" xfId="68"/>
    <cellStyle name="Normal 87" xfId="70"/>
    <cellStyle name="Normal 9" xfId="30"/>
    <cellStyle name="Normal 97" xfId="62"/>
    <cellStyle name="Normal 98" xfId="63"/>
    <cellStyle name="Normal_Bao cao tai chinh 280405" xfId="11"/>
    <cellStyle name="Normal_Tong hop bao cao (blank) (version 1)" xfId="10"/>
    <cellStyle name="OddStyleFINAL_BALANCE" xfId="31"/>
    <cellStyle name="OddStyleFULL_NAME" xfId="32"/>
    <cellStyle name="OddStyleRATE" xfId="33"/>
    <cellStyle name="Percent" xfId="5" builtinId="5"/>
    <cellStyle name="Percent 2" xfId="8"/>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993300"/>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FFFFFF"/>
      <rgbColor rgb="00E6E6E6"/>
      <rgbColor rgb="00D0D7E5"/>
      <rgbColor rgb="0032323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1828800</xdr:colOff>
      <xdr:row>2</xdr:row>
      <xdr:rowOff>76200</xdr:rowOff>
    </xdr:to>
    <xdr:pic>
      <xdr:nvPicPr>
        <xdr:cNvPr id="62466" name="Picture 2">
          <a:extLst>
            <a:ext uri="{FF2B5EF4-FFF2-40B4-BE49-F238E27FC236}">
              <a16:creationId xmlns:a16="http://schemas.microsoft.com/office/drawing/2014/main" xmlns="" id="{00000000-0008-0000-0300-000002F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28800" cy="72390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1</xdr:col>
      <xdr:colOff>1133475</xdr:colOff>
      <xdr:row>1</xdr:row>
      <xdr:rowOff>335756</xdr:rowOff>
    </xdr:to>
    <xdr:pic>
      <xdr:nvPicPr>
        <xdr:cNvPr id="61442" name="Picture 2">
          <a:extLst>
            <a:ext uri="{FF2B5EF4-FFF2-40B4-BE49-F238E27FC236}">
              <a16:creationId xmlns:a16="http://schemas.microsoft.com/office/drawing/2014/main" xmlns="" id="{00000000-0008-0000-0400-000002F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 y="0"/>
          <a:ext cx="1714500" cy="678656"/>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19050</xdr:colOff>
      <xdr:row>0</xdr:row>
      <xdr:rowOff>19050</xdr:rowOff>
    </xdr:from>
    <xdr:to>
      <xdr:col>1</xdr:col>
      <xdr:colOff>1704975</xdr:colOff>
      <xdr:row>1</xdr:row>
      <xdr:rowOff>276820</xdr:rowOff>
    </xdr:to>
    <xdr:pic>
      <xdr:nvPicPr>
        <xdr:cNvPr id="34822" name="Picture 6">
          <a:extLst>
            <a:ext uri="{FF2B5EF4-FFF2-40B4-BE49-F238E27FC236}">
              <a16:creationId xmlns:a16="http://schemas.microsoft.com/office/drawing/2014/main" xmlns="" id="{00000000-0008-0000-0500-0000068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28650" y="19050"/>
          <a:ext cx="1685925" cy="667345"/>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1799997</xdr:colOff>
      <xdr:row>1</xdr:row>
      <xdr:rowOff>291353</xdr:rowOff>
    </xdr:to>
    <xdr:pic>
      <xdr:nvPicPr>
        <xdr:cNvPr id="15369" name="Picture 9">
          <a:extLst>
            <a:ext uri="{FF2B5EF4-FFF2-40B4-BE49-F238E27FC236}">
              <a16:creationId xmlns:a16="http://schemas.microsoft.com/office/drawing/2014/main" xmlns="" id="{00000000-0008-0000-0600-0000093C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
          <a:ext cx="2147379" cy="582705"/>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904875</xdr:colOff>
      <xdr:row>1</xdr:row>
      <xdr:rowOff>304204</xdr:rowOff>
    </xdr:to>
    <xdr:pic>
      <xdr:nvPicPr>
        <xdr:cNvPr id="6148" name="Picture 4">
          <a:extLst>
            <a:ext uri="{FF2B5EF4-FFF2-40B4-BE49-F238E27FC236}">
              <a16:creationId xmlns:a16="http://schemas.microsoft.com/office/drawing/2014/main" xmlns="" id="{00000000-0008-0000-0700-0000041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514475" cy="599479"/>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52915</xdr:colOff>
      <xdr:row>0</xdr:row>
      <xdr:rowOff>42332</xdr:rowOff>
    </xdr:from>
    <xdr:to>
      <xdr:col>1</xdr:col>
      <xdr:colOff>963082</xdr:colOff>
      <xdr:row>1</xdr:row>
      <xdr:rowOff>410632</xdr:rowOff>
    </xdr:to>
    <xdr:pic>
      <xdr:nvPicPr>
        <xdr:cNvPr id="2" name="Picture 1">
          <a:extLst>
            <a:ext uri="{FF2B5EF4-FFF2-40B4-BE49-F238E27FC236}">
              <a16:creationId xmlns:a16="http://schemas.microsoft.com/office/drawing/2014/main" xmlns="" id="{00000000-0008-0000-0800-000002000000}"/>
            </a:ext>
          </a:extLst>
        </xdr:cNvPr>
        <xdr:cNvPicPr>
          <a:picLocks noChangeAspect="1"/>
        </xdr:cNvPicPr>
      </xdr:nvPicPr>
      <xdr:blipFill>
        <a:blip xmlns:r="http://schemas.openxmlformats.org/officeDocument/2006/relationships" r:embed="rId1" cstate="print"/>
        <a:srcRect/>
        <a:stretch>
          <a:fillRect/>
        </a:stretch>
      </xdr:blipFill>
      <xdr:spPr bwMode="auto">
        <a:xfrm>
          <a:off x="52915" y="42332"/>
          <a:ext cx="1519767" cy="777875"/>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1181100</xdr:colOff>
      <xdr:row>1</xdr:row>
      <xdr:rowOff>283171</xdr:rowOff>
    </xdr:to>
    <xdr:pic>
      <xdr:nvPicPr>
        <xdr:cNvPr id="64514" name="Picture 2">
          <a:extLst>
            <a:ext uri="{FF2B5EF4-FFF2-40B4-BE49-F238E27FC236}">
              <a16:creationId xmlns:a16="http://schemas.microsoft.com/office/drawing/2014/main" xmlns="" id="{00000000-0008-0000-0900-000002FC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
          <a:ext cx="1533525" cy="607020"/>
        </a:xfrm>
        <a:prstGeom prst="rect">
          <a:avLst/>
        </a:prstGeom>
        <a:noFill/>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2</xdr:col>
      <xdr:colOff>914401</xdr:colOff>
      <xdr:row>1</xdr:row>
      <xdr:rowOff>236142</xdr:rowOff>
    </xdr:to>
    <xdr:pic>
      <xdr:nvPicPr>
        <xdr:cNvPr id="65538" name="Picture 2">
          <a:extLst>
            <a:ext uri="{FF2B5EF4-FFF2-40B4-BE49-F238E27FC236}">
              <a16:creationId xmlns:a16="http://schemas.microsoft.com/office/drawing/2014/main" xmlns="" id="{00000000-0008-0000-0A00-0000020001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 y="1"/>
          <a:ext cx="1390650" cy="550466"/>
        </a:xfrm>
        <a:prstGeom prst="rect">
          <a:avLst/>
        </a:prstGeom>
        <a:noFill/>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1257300</xdr:colOff>
      <xdr:row>1</xdr:row>
      <xdr:rowOff>273447</xdr:rowOff>
    </xdr:to>
    <xdr:pic>
      <xdr:nvPicPr>
        <xdr:cNvPr id="66562" name="Picture 2">
          <a:extLst>
            <a:ext uri="{FF2B5EF4-FFF2-40B4-BE49-F238E27FC236}">
              <a16:creationId xmlns:a16="http://schemas.microsoft.com/office/drawing/2014/main" xmlns="" id="{00000000-0008-0000-0B00-0000020401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581150" cy="625872"/>
        </a:xfrm>
        <a:prstGeom prst="rect">
          <a:avLst/>
        </a:prstGeom>
        <a:noFill/>
      </xdr:spPr>
    </xdr:pic>
    <xdr:clientData/>
  </xdr:twoCellAnchor>
  <xdr:twoCellAnchor editAs="oneCell">
    <xdr:from>
      <xdr:col>0</xdr:col>
      <xdr:colOff>0</xdr:colOff>
      <xdr:row>0</xdr:row>
      <xdr:rowOff>0</xdr:rowOff>
    </xdr:from>
    <xdr:to>
      <xdr:col>1</xdr:col>
      <xdr:colOff>1257300</xdr:colOff>
      <xdr:row>1</xdr:row>
      <xdr:rowOff>273447</xdr:rowOff>
    </xdr:to>
    <xdr:pic>
      <xdr:nvPicPr>
        <xdr:cNvPr id="3"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592580" cy="623967"/>
        </a:xfrm>
        <a:prstGeom prst="rect">
          <a:avLst/>
        </a:prstGeom>
        <a:noFill/>
      </xdr:spPr>
    </xdr:pic>
    <xdr:clientData/>
  </xdr:twoCellAnchor>
  <xdr:twoCellAnchor editAs="oneCell">
    <xdr:from>
      <xdr:col>0</xdr:col>
      <xdr:colOff>0</xdr:colOff>
      <xdr:row>0</xdr:row>
      <xdr:rowOff>0</xdr:rowOff>
    </xdr:from>
    <xdr:to>
      <xdr:col>1</xdr:col>
      <xdr:colOff>1257300</xdr:colOff>
      <xdr:row>1</xdr:row>
      <xdr:rowOff>273447</xdr:rowOff>
    </xdr:to>
    <xdr:pic>
      <xdr:nvPicPr>
        <xdr:cNvPr id="4" name="Picture 3"/>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592580" cy="623967"/>
        </a:xfrm>
        <a:prstGeom prst="rect">
          <a:avLst/>
        </a:prstGeom>
        <a:noFill/>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952500</xdr:colOff>
      <xdr:row>1</xdr:row>
      <xdr:rowOff>327197</xdr:rowOff>
    </xdr:to>
    <xdr:pic>
      <xdr:nvPicPr>
        <xdr:cNvPr id="39939" name="Picture 3">
          <a:extLst>
            <a:ext uri="{FF2B5EF4-FFF2-40B4-BE49-F238E27FC236}">
              <a16:creationId xmlns:a16="http://schemas.microsoft.com/office/drawing/2014/main" xmlns="" id="{00000000-0008-0000-0C00-0000039C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557618" cy="61855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xmlns="">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xmlns="">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sheetPr>
    <pageSetUpPr fitToPage="1"/>
  </sheetPr>
  <dimension ref="A1:L75"/>
  <sheetViews>
    <sheetView view="pageBreakPreview" zoomScaleNormal="100" zoomScaleSheetLayoutView="100" workbookViewId="0">
      <selection activeCell="D34" sqref="D34"/>
    </sheetView>
  </sheetViews>
  <sheetFormatPr defaultColWidth="9.140625" defaultRowHeight="15"/>
  <cols>
    <col min="1" max="2" width="9.140625" style="1"/>
    <col min="3" max="3" width="25.5703125" style="1" customWidth="1"/>
    <col min="4" max="4" width="30.85546875" style="1" customWidth="1"/>
    <col min="5" max="5" width="21.140625" style="1" customWidth="1"/>
    <col min="6" max="9" width="9.140625" style="1"/>
    <col min="10" max="10" width="11.85546875" style="1" customWidth="1"/>
    <col min="11" max="16384" width="9.140625" style="1"/>
  </cols>
  <sheetData>
    <row r="1" spans="1:10">
      <c r="A1" s="169" t="s">
        <v>462</v>
      </c>
      <c r="C1" s="170" t="s">
        <v>995</v>
      </c>
      <c r="D1" s="2"/>
    </row>
    <row r="2" spans="1:10">
      <c r="C2" s="171" t="s">
        <v>996</v>
      </c>
      <c r="D2" s="2"/>
    </row>
    <row r="3" spans="1:10">
      <c r="D3" s="2"/>
    </row>
    <row r="4" spans="1:10">
      <c r="A4" s="169" t="s">
        <v>463</v>
      </c>
      <c r="D4" s="2"/>
    </row>
    <row r="5" spans="1:10">
      <c r="C5" s="172" t="s">
        <v>464</v>
      </c>
      <c r="D5" s="465" t="s">
        <v>475</v>
      </c>
      <c r="E5" s="466"/>
      <c r="F5" s="466"/>
      <c r="G5" s="466"/>
      <c r="H5" s="146"/>
      <c r="I5" s="146"/>
    </row>
    <row r="6" spans="1:10">
      <c r="C6" s="173" t="s">
        <v>465</v>
      </c>
      <c r="D6" s="466" t="s">
        <v>614</v>
      </c>
      <c r="E6" s="466"/>
      <c r="F6" s="466"/>
      <c r="G6" s="466"/>
      <c r="H6" s="146"/>
      <c r="I6" s="146"/>
    </row>
    <row r="7" spans="1:10" ht="24" customHeight="1">
      <c r="C7" s="174" t="s">
        <v>466</v>
      </c>
      <c r="D7" s="467" t="s">
        <v>467</v>
      </c>
      <c r="E7" s="467"/>
      <c r="F7" s="467"/>
      <c r="G7" s="467"/>
      <c r="H7" s="467"/>
      <c r="I7" s="467"/>
    </row>
    <row r="8" spans="1:10">
      <c r="C8" s="19" t="s">
        <v>468</v>
      </c>
      <c r="D8" s="466" t="s">
        <v>469</v>
      </c>
      <c r="E8" s="466"/>
      <c r="F8" s="466"/>
      <c r="G8" s="466"/>
      <c r="H8" s="165"/>
      <c r="I8" s="165"/>
    </row>
    <row r="9" spans="1:10">
      <c r="C9" s="174" t="s">
        <v>401</v>
      </c>
      <c r="D9" s="468" t="s">
        <v>501</v>
      </c>
      <c r="E9" s="468"/>
      <c r="F9" s="468"/>
      <c r="G9" s="468"/>
      <c r="H9" s="146"/>
      <c r="I9" s="146"/>
    </row>
    <row r="10" spans="1:10" ht="15" customHeight="1">
      <c r="C10" s="146" t="s">
        <v>399</v>
      </c>
      <c r="D10" s="466" t="s">
        <v>500</v>
      </c>
      <c r="E10" s="466"/>
      <c r="F10" s="466"/>
      <c r="G10" s="466"/>
      <c r="H10" s="166"/>
      <c r="I10" s="166"/>
    </row>
    <row r="11" spans="1:10">
      <c r="C11" s="20" t="s">
        <v>146</v>
      </c>
      <c r="D11" s="462" t="s">
        <v>997</v>
      </c>
      <c r="E11" s="463"/>
      <c r="F11" s="463"/>
      <c r="G11" s="463"/>
      <c r="H11" s="463"/>
      <c r="I11" s="463"/>
    </row>
    <row r="12" spans="1:10">
      <c r="C12" s="21" t="s">
        <v>147</v>
      </c>
      <c r="D12" s="464">
        <v>43475</v>
      </c>
      <c r="E12" s="464"/>
      <c r="F12" s="464"/>
      <c r="G12" s="464"/>
      <c r="H12" s="464"/>
      <c r="I12" s="464"/>
    </row>
    <row r="13" spans="1:10">
      <c r="D13" s="2"/>
    </row>
    <row r="14" spans="1:10">
      <c r="A14" s="169" t="s">
        <v>470</v>
      </c>
      <c r="D14" s="2"/>
    </row>
    <row r="15" spans="1:10">
      <c r="D15" s="2"/>
    </row>
    <row r="16" spans="1:10" ht="25.5">
      <c r="C16" s="175" t="s">
        <v>186</v>
      </c>
      <c r="D16" s="176"/>
      <c r="F16" s="177" t="s">
        <v>187</v>
      </c>
      <c r="G16" s="178"/>
      <c r="H16" s="178"/>
      <c r="I16" s="178"/>
      <c r="J16" s="179"/>
    </row>
    <row r="17" spans="3:10">
      <c r="C17" s="180" t="s">
        <v>188</v>
      </c>
      <c r="D17" s="181"/>
      <c r="F17" s="180" t="s">
        <v>189</v>
      </c>
      <c r="G17" s="182"/>
      <c r="H17" s="182"/>
      <c r="I17" s="182"/>
      <c r="J17" s="183"/>
    </row>
    <row r="18" spans="3:10">
      <c r="C18" s="184"/>
      <c r="D18" s="181"/>
      <c r="F18" s="184"/>
      <c r="G18" s="182"/>
      <c r="H18" s="182"/>
      <c r="I18" s="182"/>
      <c r="J18" s="183"/>
    </row>
    <row r="19" spans="3:10">
      <c r="C19" s="185" t="s">
        <v>190</v>
      </c>
      <c r="D19" s="181"/>
      <c r="F19" s="185" t="s">
        <v>476</v>
      </c>
      <c r="G19" s="182"/>
      <c r="H19" s="182"/>
      <c r="I19" s="182"/>
      <c r="J19" s="183"/>
    </row>
    <row r="20" spans="3:10">
      <c r="C20" s="185" t="s">
        <v>781</v>
      </c>
      <c r="D20" s="181"/>
      <c r="F20" s="185" t="s">
        <v>477</v>
      </c>
      <c r="G20" s="182"/>
      <c r="H20" s="182"/>
      <c r="I20" s="182"/>
      <c r="J20" s="183"/>
    </row>
    <row r="21" spans="3:10">
      <c r="C21" s="186" t="s">
        <v>782</v>
      </c>
      <c r="D21" s="187"/>
      <c r="F21" s="186" t="s">
        <v>478</v>
      </c>
      <c r="G21" s="188"/>
      <c r="H21" s="188"/>
      <c r="I21" s="188"/>
      <c r="J21" s="189"/>
    </row>
    <row r="22" spans="3:10">
      <c r="D22" s="2"/>
    </row>
    <row r="23" spans="3:10">
      <c r="D23" s="2"/>
    </row>
    <row r="24" spans="3:10">
      <c r="D24" s="2"/>
    </row>
    <row r="25" spans="3:10">
      <c r="D25" s="2"/>
    </row>
    <row r="26" spans="3:10">
      <c r="D26" s="2"/>
    </row>
    <row r="27" spans="3:10">
      <c r="D27" s="2"/>
    </row>
    <row r="28" spans="3:10">
      <c r="D28" s="2"/>
    </row>
    <row r="29" spans="3:10">
      <c r="D29" s="2"/>
    </row>
    <row r="30" spans="3:10">
      <c r="D30" s="2"/>
    </row>
    <row r="31" spans="3:10">
      <c r="D31" s="2"/>
    </row>
    <row r="32" spans="3:10">
      <c r="D32" s="2"/>
    </row>
    <row r="33" spans="2:12">
      <c r="D33" s="2"/>
    </row>
    <row r="34" spans="2:12">
      <c r="B34" s="14" t="s">
        <v>54</v>
      </c>
      <c r="C34" s="14" t="s">
        <v>55</v>
      </c>
      <c r="D34" s="14" t="s">
        <v>56</v>
      </c>
    </row>
    <row r="35" spans="2:12" s="6" customFormat="1" ht="30">
      <c r="B35" s="15">
        <v>1</v>
      </c>
      <c r="C35" s="16" t="s">
        <v>59</v>
      </c>
      <c r="D35" s="17" t="s">
        <v>61</v>
      </c>
    </row>
    <row r="36" spans="2:12" s="6" customFormat="1" ht="30">
      <c r="B36" s="15">
        <v>2</v>
      </c>
      <c r="C36" s="16" t="s">
        <v>60</v>
      </c>
      <c r="D36" s="17" t="s">
        <v>57</v>
      </c>
    </row>
    <row r="37" spans="2:12" s="6" customFormat="1">
      <c r="B37" s="15">
        <v>3</v>
      </c>
      <c r="C37" s="16" t="s">
        <v>58</v>
      </c>
      <c r="D37" s="17" t="s">
        <v>62</v>
      </c>
      <c r="J37" s="7"/>
      <c r="K37" s="8"/>
      <c r="L37" s="9"/>
    </row>
    <row r="38" spans="2:12">
      <c r="B38" s="15">
        <v>4</v>
      </c>
      <c r="C38" s="15" t="s">
        <v>132</v>
      </c>
      <c r="D38" s="17" t="s">
        <v>133</v>
      </c>
      <c r="J38" s="3"/>
      <c r="K38" s="4"/>
      <c r="L38" s="5"/>
    </row>
    <row r="39" spans="2:12">
      <c r="B39" s="15">
        <v>5</v>
      </c>
      <c r="C39" s="15" t="s">
        <v>134</v>
      </c>
      <c r="D39" s="17" t="s">
        <v>135</v>
      </c>
    </row>
    <row r="40" spans="2:12">
      <c r="B40" s="15">
        <v>6</v>
      </c>
      <c r="C40" s="15" t="s">
        <v>136</v>
      </c>
      <c r="D40" s="17" t="s">
        <v>137</v>
      </c>
    </row>
    <row r="41" spans="2:12">
      <c r="B41" s="15">
        <v>7</v>
      </c>
      <c r="C41" s="15" t="s">
        <v>138</v>
      </c>
      <c r="D41" s="17" t="s">
        <v>139</v>
      </c>
    </row>
    <row r="42" spans="2:12">
      <c r="B42" s="15">
        <v>8</v>
      </c>
      <c r="C42" s="15" t="s">
        <v>140</v>
      </c>
      <c r="D42" s="17" t="s">
        <v>142</v>
      </c>
    </row>
    <row r="43" spans="2:12">
      <c r="B43" s="15">
        <v>9</v>
      </c>
      <c r="C43" s="15" t="s">
        <v>141</v>
      </c>
      <c r="D43" s="17" t="s">
        <v>143</v>
      </c>
    </row>
    <row r="44" spans="2:12">
      <c r="B44" s="145">
        <v>10</v>
      </c>
      <c r="C44" s="1" t="s">
        <v>373</v>
      </c>
    </row>
    <row r="48" spans="2:12">
      <c r="B48" s="1" t="s">
        <v>420</v>
      </c>
    </row>
    <row r="50" spans="2:6">
      <c r="B50" s="153"/>
      <c r="C50" s="153"/>
      <c r="D50" s="153" t="s">
        <v>452</v>
      </c>
      <c r="E50" s="153" t="s">
        <v>446</v>
      </c>
      <c r="F50" s="153"/>
    </row>
    <row r="51" spans="2:6">
      <c r="B51" s="1" t="s">
        <v>421</v>
      </c>
      <c r="C51" s="1" t="s">
        <v>402</v>
      </c>
      <c r="D51" s="151" t="s">
        <v>445</v>
      </c>
    </row>
    <row r="52" spans="2:6">
      <c r="B52" s="1" t="s">
        <v>422</v>
      </c>
      <c r="C52" s="1" t="s">
        <v>375</v>
      </c>
      <c r="D52" s="151" t="s">
        <v>445</v>
      </c>
    </row>
    <row r="53" spans="2:6">
      <c r="B53" s="1" t="s">
        <v>423</v>
      </c>
      <c r="C53" s="1" t="s">
        <v>403</v>
      </c>
      <c r="D53" s="152" t="s">
        <v>451</v>
      </c>
      <c r="E53" s="1" t="s">
        <v>447</v>
      </c>
    </row>
    <row r="54" spans="2:6">
      <c r="B54" s="1" t="s">
        <v>424</v>
      </c>
      <c r="C54" s="1" t="s">
        <v>404</v>
      </c>
      <c r="D54" s="152" t="s">
        <v>412</v>
      </c>
      <c r="E54" s="1" t="s">
        <v>448</v>
      </c>
    </row>
    <row r="55" spans="2:6">
      <c r="B55" s="1" t="s">
        <v>425</v>
      </c>
      <c r="C55" s="1" t="s">
        <v>405</v>
      </c>
      <c r="D55" s="152" t="s">
        <v>412</v>
      </c>
      <c r="E55" s="1" t="s">
        <v>448</v>
      </c>
    </row>
    <row r="56" spans="2:6">
      <c r="B56" s="1" t="s">
        <v>426</v>
      </c>
      <c r="C56" s="1" t="s">
        <v>406</v>
      </c>
      <c r="D56" s="152" t="s">
        <v>412</v>
      </c>
      <c r="E56" s="1" t="s">
        <v>449</v>
      </c>
    </row>
    <row r="57" spans="2:6">
      <c r="B57" s="1" t="s">
        <v>427</v>
      </c>
      <c r="C57" s="1" t="s">
        <v>370</v>
      </c>
      <c r="D57" s="152" t="s">
        <v>412</v>
      </c>
      <c r="E57" s="1" t="s">
        <v>450</v>
      </c>
    </row>
    <row r="58" spans="2:6">
      <c r="B58" s="1" t="s">
        <v>428</v>
      </c>
      <c r="C58" s="1" t="s">
        <v>371</v>
      </c>
      <c r="D58" s="152" t="s">
        <v>412</v>
      </c>
      <c r="E58" s="1" t="s">
        <v>453</v>
      </c>
    </row>
    <row r="59" spans="2:6">
      <c r="B59" s="1" t="s">
        <v>429</v>
      </c>
      <c r="C59" s="1" t="s">
        <v>372</v>
      </c>
      <c r="D59" s="152" t="s">
        <v>412</v>
      </c>
      <c r="E59" s="1" t="s">
        <v>449</v>
      </c>
    </row>
    <row r="60" spans="2:6">
      <c r="B60" s="1" t="s">
        <v>430</v>
      </c>
      <c r="C60" s="1" t="s">
        <v>407</v>
      </c>
      <c r="D60" s="152" t="s">
        <v>412</v>
      </c>
      <c r="E60" s="1" t="s">
        <v>449</v>
      </c>
    </row>
    <row r="61" spans="2:6">
      <c r="B61" s="1" t="s">
        <v>431</v>
      </c>
      <c r="C61" s="1" t="s">
        <v>374</v>
      </c>
      <c r="D61" s="151" t="s">
        <v>445</v>
      </c>
      <c r="E61" s="1" t="s">
        <v>454</v>
      </c>
    </row>
    <row r="62" spans="2:6">
      <c r="B62" s="1" t="s">
        <v>432</v>
      </c>
      <c r="C62" s="1" t="s">
        <v>408</v>
      </c>
      <c r="D62" s="151" t="s">
        <v>445</v>
      </c>
    </row>
    <row r="63" spans="2:6">
      <c r="B63" s="1" t="s">
        <v>433</v>
      </c>
      <c r="C63" s="1" t="s">
        <v>369</v>
      </c>
      <c r="D63" s="151" t="s">
        <v>445</v>
      </c>
    </row>
    <row r="64" spans="2:6">
      <c r="B64" s="1" t="s">
        <v>434</v>
      </c>
      <c r="C64" s="1" t="s">
        <v>409</v>
      </c>
      <c r="D64" s="151" t="s">
        <v>445</v>
      </c>
      <c r="E64" s="1" t="s">
        <v>455</v>
      </c>
    </row>
    <row r="65" spans="2:5">
      <c r="B65" s="1" t="s">
        <v>435</v>
      </c>
      <c r="C65" s="1" t="s">
        <v>410</v>
      </c>
      <c r="D65" s="151" t="s">
        <v>445</v>
      </c>
      <c r="E65" s="1" t="s">
        <v>456</v>
      </c>
    </row>
    <row r="66" spans="2:5">
      <c r="B66" s="1" t="s">
        <v>436</v>
      </c>
      <c r="C66" s="1" t="s">
        <v>411</v>
      </c>
      <c r="D66" s="151" t="s">
        <v>445</v>
      </c>
    </row>
    <row r="67" spans="2:5">
      <c r="B67" s="1" t="s">
        <v>437</v>
      </c>
      <c r="C67" s="1" t="s">
        <v>413</v>
      </c>
      <c r="D67" s="152" t="s">
        <v>412</v>
      </c>
      <c r="E67" s="1" t="s">
        <v>457</v>
      </c>
    </row>
    <row r="68" spans="2:5">
      <c r="B68" s="1" t="s">
        <v>438</v>
      </c>
      <c r="C68" s="1" t="s">
        <v>376</v>
      </c>
      <c r="D68" s="152" t="s">
        <v>412</v>
      </c>
      <c r="E68" s="1" t="s">
        <v>457</v>
      </c>
    </row>
    <row r="69" spans="2:5">
      <c r="B69" s="1" t="s">
        <v>439</v>
      </c>
      <c r="C69" s="1" t="s">
        <v>414</v>
      </c>
      <c r="D69" s="152" t="s">
        <v>412</v>
      </c>
      <c r="E69" s="1" t="s">
        <v>449</v>
      </c>
    </row>
    <row r="70" spans="2:5">
      <c r="B70" s="1" t="s">
        <v>440</v>
      </c>
      <c r="C70" s="1" t="s">
        <v>415</v>
      </c>
      <c r="D70" s="152" t="s">
        <v>412</v>
      </c>
      <c r="E70" s="1" t="s">
        <v>449</v>
      </c>
    </row>
    <row r="71" spans="2:5">
      <c r="B71" s="1" t="s">
        <v>441</v>
      </c>
      <c r="C71" s="1" t="s">
        <v>416</v>
      </c>
      <c r="D71" s="151" t="s">
        <v>445</v>
      </c>
      <c r="E71" s="1" t="s">
        <v>458</v>
      </c>
    </row>
    <row r="72" spans="2:5">
      <c r="B72" s="1" t="s">
        <v>442</v>
      </c>
      <c r="C72" s="1" t="s">
        <v>417</v>
      </c>
      <c r="D72" s="152" t="s">
        <v>412</v>
      </c>
      <c r="E72" s="1" t="s">
        <v>459</v>
      </c>
    </row>
    <row r="73" spans="2:5">
      <c r="B73" s="1" t="s">
        <v>443</v>
      </c>
      <c r="C73" s="1" t="s">
        <v>418</v>
      </c>
      <c r="D73" s="152" t="s">
        <v>412</v>
      </c>
      <c r="E73" s="1" t="s">
        <v>460</v>
      </c>
    </row>
    <row r="74" spans="2:5">
      <c r="B74" s="1" t="s">
        <v>444</v>
      </c>
      <c r="C74" s="1" t="s">
        <v>419</v>
      </c>
      <c r="D74" s="152" t="s">
        <v>412</v>
      </c>
      <c r="E74" s="1" t="s">
        <v>461</v>
      </c>
    </row>
    <row r="75" spans="2:5">
      <c r="D75" s="152"/>
    </row>
  </sheetData>
  <mergeCells count="8">
    <mergeCell ref="D11:I11"/>
    <mergeCell ref="D12:I12"/>
    <mergeCell ref="D5:G5"/>
    <mergeCell ref="D6:G6"/>
    <mergeCell ref="D7:I7"/>
    <mergeCell ref="D8:G8"/>
    <mergeCell ref="D9:G9"/>
    <mergeCell ref="D10:G10"/>
  </mergeCells>
  <hyperlinks>
    <hyperlink ref="D35" location="BCThuNhap_06203!A1" display="BCThuNhap_06203"/>
    <hyperlink ref="D36" location="BCTinhHinhTaiChinh_06105!A1" display="BCTinhHinhTaiChinh_06105"/>
    <hyperlink ref="D37" location="BCLCGT_06262!A1" display="BCLCGT_06262"/>
  </hyperlinks>
  <pageMargins left="0.7" right="0.7" top="0.75" bottom="0.75" header="0.3" footer="0.3"/>
  <pageSetup paperSize="9" scale="54" orientation="portrait" r:id="rId1"/>
</worksheet>
</file>

<file path=xl/worksheets/sheet2.xml><?xml version="1.0" encoding="utf-8"?>
<worksheet xmlns="http://schemas.openxmlformats.org/spreadsheetml/2006/main" xmlns:r="http://schemas.openxmlformats.org/officeDocument/2006/relationships">
  <sheetPr>
    <tabColor rgb="FF0070C0"/>
  </sheetPr>
  <dimension ref="A1:G97"/>
  <sheetViews>
    <sheetView showGridLines="0" view="pageBreakPreview" topLeftCell="A73" zoomScaleNormal="100" zoomScaleSheetLayoutView="100" workbookViewId="0">
      <selection activeCell="B73" sqref="B73"/>
    </sheetView>
  </sheetViews>
  <sheetFormatPr defaultColWidth="9.140625" defaultRowHeight="12.75"/>
  <cols>
    <col min="1" max="1" width="55.85546875" style="32" customWidth="1"/>
    <col min="2" max="2" width="9.5703125" style="32" customWidth="1"/>
    <col min="3" max="3" width="9.140625" style="32"/>
    <col min="4" max="5" width="20" style="32" customWidth="1"/>
    <col min="6" max="6" width="19.28515625" style="32" customWidth="1"/>
    <col min="7" max="7" width="19.28515625" style="32" bestFit="1" customWidth="1"/>
    <col min="8" max="16384" width="9.140625" style="32"/>
  </cols>
  <sheetData>
    <row r="1" spans="1:7" ht="23.25" customHeight="1">
      <c r="A1" s="474" t="s">
        <v>970</v>
      </c>
      <c r="B1" s="474"/>
      <c r="C1" s="474"/>
      <c r="D1" s="474"/>
      <c r="E1" s="474"/>
      <c r="F1" s="474"/>
      <c r="G1" s="474"/>
    </row>
    <row r="2" spans="1:7" ht="27.75" customHeight="1">
      <c r="A2" s="475" t="s">
        <v>144</v>
      </c>
      <c r="B2" s="475"/>
      <c r="C2" s="475"/>
      <c r="D2" s="475"/>
      <c r="E2" s="475"/>
      <c r="F2" s="475"/>
      <c r="G2" s="475"/>
    </row>
    <row r="3" spans="1:7" ht="15" customHeight="1">
      <c r="A3" s="476" t="s">
        <v>145</v>
      </c>
      <c r="B3" s="476"/>
      <c r="C3" s="476"/>
      <c r="D3" s="476"/>
      <c r="E3" s="476"/>
      <c r="F3" s="476"/>
      <c r="G3" s="476"/>
    </row>
    <row r="4" spans="1:7" ht="18.75" customHeight="1">
      <c r="A4" s="476"/>
      <c r="B4" s="476"/>
      <c r="C4" s="476"/>
      <c r="D4" s="476"/>
      <c r="E4" s="476"/>
      <c r="F4" s="476"/>
      <c r="G4" s="476"/>
    </row>
    <row r="5" spans="1:7">
      <c r="A5" s="477" t="s">
        <v>996</v>
      </c>
      <c r="B5" s="477"/>
      <c r="C5" s="477"/>
      <c r="D5" s="477"/>
      <c r="E5" s="477"/>
      <c r="F5" s="477"/>
      <c r="G5" s="477"/>
    </row>
    <row r="6" spans="1:7">
      <c r="A6" s="18"/>
      <c r="B6" s="18"/>
      <c r="C6" s="18"/>
      <c r="D6" s="18"/>
      <c r="E6" s="30"/>
      <c r="F6" s="30"/>
      <c r="G6" s="30"/>
    </row>
    <row r="7" spans="1:7" ht="12.75" customHeight="1">
      <c r="A7" s="172" t="s">
        <v>464</v>
      </c>
      <c r="B7" s="468" t="s">
        <v>475</v>
      </c>
      <c r="C7" s="468"/>
      <c r="D7" s="468"/>
      <c r="E7" s="468"/>
      <c r="F7" s="468"/>
      <c r="G7" s="468"/>
    </row>
    <row r="8" spans="1:7" ht="20.100000000000001" customHeight="1">
      <c r="A8" s="389" t="s">
        <v>959</v>
      </c>
      <c r="B8" s="466" t="s">
        <v>614</v>
      </c>
      <c r="C8" s="466"/>
      <c r="D8" s="466"/>
      <c r="E8" s="466"/>
      <c r="F8" s="466"/>
      <c r="G8" s="466"/>
    </row>
    <row r="9" spans="1:7" ht="23.1" customHeight="1">
      <c r="A9" s="174" t="s">
        <v>466</v>
      </c>
      <c r="B9" s="468" t="s">
        <v>1007</v>
      </c>
      <c r="C9" s="468"/>
      <c r="D9" s="468"/>
      <c r="E9" s="468"/>
      <c r="F9" s="468"/>
      <c r="G9" s="468"/>
    </row>
    <row r="10" spans="1:7" ht="17.25" customHeight="1">
      <c r="A10" s="19" t="s">
        <v>468</v>
      </c>
      <c r="B10" s="466" t="s">
        <v>469</v>
      </c>
      <c r="C10" s="466"/>
      <c r="D10" s="466"/>
      <c r="E10" s="466"/>
      <c r="F10" s="466"/>
      <c r="G10" s="466"/>
    </row>
    <row r="11" spans="1:7" ht="16.5" customHeight="1">
      <c r="A11" s="174" t="s">
        <v>401</v>
      </c>
      <c r="B11" s="468" t="s">
        <v>501</v>
      </c>
      <c r="C11" s="468"/>
      <c r="D11" s="468"/>
      <c r="E11" s="468"/>
      <c r="F11" s="468"/>
      <c r="G11" s="468"/>
    </row>
    <row r="12" spans="1:7" ht="16.5" customHeight="1">
      <c r="A12" s="146" t="s">
        <v>399</v>
      </c>
      <c r="B12" s="466" t="s">
        <v>500</v>
      </c>
      <c r="C12" s="466"/>
      <c r="D12" s="466"/>
      <c r="E12" s="466"/>
      <c r="F12" s="466"/>
      <c r="G12" s="466"/>
    </row>
    <row r="13" spans="1:7" ht="15" customHeight="1">
      <c r="A13" s="20" t="s">
        <v>146</v>
      </c>
      <c r="B13" s="483" t="s">
        <v>997</v>
      </c>
      <c r="C13" s="468"/>
      <c r="D13" s="468"/>
      <c r="E13" s="468"/>
      <c r="F13" s="468"/>
      <c r="G13" s="468"/>
    </row>
    <row r="14" spans="1:7" ht="17.25" customHeight="1">
      <c r="A14" s="21" t="s">
        <v>147</v>
      </c>
      <c r="B14" s="464">
        <v>43475</v>
      </c>
      <c r="C14" s="464"/>
      <c r="D14" s="464"/>
      <c r="E14" s="464"/>
      <c r="F14" s="464"/>
      <c r="G14" s="464"/>
    </row>
    <row r="15" spans="1:7" ht="9" customHeight="1">
      <c r="A15" s="21"/>
      <c r="B15" s="21"/>
      <c r="C15" s="21"/>
      <c r="D15" s="21"/>
      <c r="E15" s="201"/>
      <c r="F15" s="201"/>
      <c r="G15" s="201"/>
    </row>
    <row r="16" spans="1:7" ht="39" customHeight="1">
      <c r="A16" s="478" t="s">
        <v>148</v>
      </c>
      <c r="B16" s="478" t="s">
        <v>149</v>
      </c>
      <c r="C16" s="478" t="s">
        <v>150</v>
      </c>
      <c r="D16" s="481" t="s">
        <v>877</v>
      </c>
      <c r="E16" s="482"/>
      <c r="F16" s="481" t="s">
        <v>837</v>
      </c>
      <c r="G16" s="482"/>
    </row>
    <row r="17" spans="1:7" ht="71.25" customHeight="1">
      <c r="A17" s="479"/>
      <c r="B17" s="479"/>
      <c r="C17" s="480"/>
      <c r="D17" s="37" t="s">
        <v>998</v>
      </c>
      <c r="E17" s="37" t="s">
        <v>602</v>
      </c>
      <c r="F17" s="37" t="s">
        <v>998</v>
      </c>
      <c r="G17" s="37" t="s">
        <v>602</v>
      </c>
    </row>
    <row r="18" spans="1:7" ht="32.25" customHeight="1">
      <c r="A18" s="229" t="s">
        <v>151</v>
      </c>
      <c r="B18" s="347" t="s">
        <v>8</v>
      </c>
      <c r="C18" s="39"/>
      <c r="D18" s="453">
        <v>-144921940446</v>
      </c>
      <c r="E18" s="453">
        <v>-151044610932</v>
      </c>
      <c r="F18" s="154">
        <v>181819026857</v>
      </c>
      <c r="G18" s="154">
        <v>352136807432</v>
      </c>
    </row>
    <row r="19" spans="1:7" ht="32.25" customHeight="1">
      <c r="A19" s="227" t="s">
        <v>967</v>
      </c>
      <c r="B19" s="348" t="s">
        <v>9</v>
      </c>
      <c r="C19" s="217"/>
      <c r="D19" s="211">
        <v>3243820103</v>
      </c>
      <c r="E19" s="211">
        <v>16305762803</v>
      </c>
      <c r="F19" s="211">
        <v>3382433833</v>
      </c>
      <c r="G19" s="211">
        <v>14851364933</v>
      </c>
    </row>
    <row r="20" spans="1:7" s="301" customFormat="1" ht="32.25" customHeight="1">
      <c r="A20" s="227" t="s">
        <v>606</v>
      </c>
      <c r="B20" s="349" t="s">
        <v>504</v>
      </c>
      <c r="C20" s="218"/>
      <c r="D20" s="340">
        <v>1699094075</v>
      </c>
      <c r="E20" s="244">
        <v>13509786775</v>
      </c>
      <c r="F20" s="211">
        <v>3345975500</v>
      </c>
      <c r="G20" s="211">
        <v>14814906600</v>
      </c>
    </row>
    <row r="21" spans="1:7" s="301" customFormat="1" ht="32.25" customHeight="1">
      <c r="A21" s="227" t="s">
        <v>615</v>
      </c>
      <c r="B21" s="349" t="s">
        <v>505</v>
      </c>
      <c r="C21" s="210"/>
      <c r="D21" s="340">
        <v>1544726028</v>
      </c>
      <c r="E21" s="244">
        <v>2795976028</v>
      </c>
      <c r="F21" s="211">
        <v>36458333</v>
      </c>
      <c r="G21" s="211">
        <v>36458333</v>
      </c>
    </row>
    <row r="22" spans="1:7" ht="32.25" customHeight="1">
      <c r="A22" s="228" t="s">
        <v>607</v>
      </c>
      <c r="B22" s="350" t="s">
        <v>10</v>
      </c>
      <c r="C22" s="254"/>
      <c r="D22" s="34">
        <v>3231666970</v>
      </c>
      <c r="E22" s="155">
        <v>11569976124</v>
      </c>
      <c r="F22" s="211">
        <v>2362531657</v>
      </c>
      <c r="G22" s="211">
        <v>9308638392</v>
      </c>
    </row>
    <row r="23" spans="1:7" s="301" customFormat="1" ht="39.950000000000003" customHeight="1">
      <c r="A23" s="227" t="s">
        <v>968</v>
      </c>
      <c r="B23" s="349" t="s">
        <v>507</v>
      </c>
      <c r="C23" s="210"/>
      <c r="D23" s="340">
        <v>82373591</v>
      </c>
      <c r="E23" s="340">
        <v>1500727837</v>
      </c>
      <c r="F23" s="211">
        <v>102142768</v>
      </c>
      <c r="G23" s="211">
        <v>623513392</v>
      </c>
    </row>
    <row r="24" spans="1:7" s="301" customFormat="1" ht="38.450000000000003" customHeight="1">
      <c r="A24" s="227" t="s">
        <v>506</v>
      </c>
      <c r="B24" s="349" t="s">
        <v>508</v>
      </c>
      <c r="C24" s="210"/>
      <c r="D24" s="211">
        <v>3149293379</v>
      </c>
      <c r="E24" s="244">
        <v>10069248287</v>
      </c>
      <c r="F24" s="211">
        <v>2260388889</v>
      </c>
      <c r="G24" s="211">
        <v>8685125000</v>
      </c>
    </row>
    <row r="25" spans="1:7" ht="32.25" customHeight="1">
      <c r="A25" s="228" t="s">
        <v>608</v>
      </c>
      <c r="B25" s="350" t="s">
        <v>19</v>
      </c>
      <c r="C25" s="254"/>
      <c r="D25" s="211">
        <v>170547604</v>
      </c>
      <c r="E25" s="244">
        <v>81305477172</v>
      </c>
      <c r="F25" s="211">
        <v>109655444445</v>
      </c>
      <c r="G25" s="211">
        <v>192689541984</v>
      </c>
    </row>
    <row r="26" spans="1:7" ht="42.75" customHeight="1">
      <c r="A26" s="228" t="s">
        <v>609</v>
      </c>
      <c r="B26" s="350" t="s">
        <v>20</v>
      </c>
      <c r="C26" s="35"/>
      <c r="D26" s="454">
        <v>-151567975123</v>
      </c>
      <c r="E26" s="244">
        <v>-263081827031</v>
      </c>
      <c r="F26" s="211">
        <v>66418616922</v>
      </c>
      <c r="G26" s="211">
        <v>135287262123</v>
      </c>
    </row>
    <row r="27" spans="1:7" ht="29.25" customHeight="1">
      <c r="A27" s="23" t="s">
        <v>610</v>
      </c>
      <c r="B27" s="350" t="s">
        <v>21</v>
      </c>
      <c r="C27" s="35"/>
      <c r="D27" s="340">
        <v>0</v>
      </c>
      <c r="E27" s="244">
        <v>2856000000</v>
      </c>
      <c r="F27" s="369">
        <v>0</v>
      </c>
      <c r="G27" s="244">
        <v>0</v>
      </c>
    </row>
    <row r="28" spans="1:7" ht="33.75" customHeight="1">
      <c r="A28" s="228" t="s">
        <v>611</v>
      </c>
      <c r="B28" s="350" t="s">
        <v>22</v>
      </c>
      <c r="C28" s="35"/>
      <c r="D28" s="34">
        <v>0</v>
      </c>
      <c r="E28" s="155">
        <v>0</v>
      </c>
      <c r="F28" s="371">
        <v>0</v>
      </c>
      <c r="G28" s="155">
        <v>0</v>
      </c>
    </row>
    <row r="29" spans="1:7" ht="32.25" customHeight="1">
      <c r="A29" s="228" t="s">
        <v>612</v>
      </c>
      <c r="B29" s="350" t="s">
        <v>23</v>
      </c>
      <c r="C29" s="35"/>
      <c r="D29" s="34">
        <v>0</v>
      </c>
      <c r="E29" s="155">
        <v>0</v>
      </c>
      <c r="F29" s="371">
        <v>0</v>
      </c>
      <c r="G29" s="155">
        <v>0</v>
      </c>
    </row>
    <row r="30" spans="1:7" ht="66.75" customHeight="1">
      <c r="A30" s="228" t="s">
        <v>613</v>
      </c>
      <c r="B30" s="350" t="s">
        <v>24</v>
      </c>
      <c r="C30" s="35"/>
      <c r="D30" s="34">
        <v>0</v>
      </c>
      <c r="E30" s="155">
        <v>0</v>
      </c>
      <c r="F30" s="371">
        <v>0</v>
      </c>
      <c r="G30" s="155">
        <v>0</v>
      </c>
    </row>
    <row r="31" spans="1:7" ht="30.75" customHeight="1">
      <c r="A31" s="38" t="s">
        <v>152</v>
      </c>
      <c r="B31" s="347" t="s">
        <v>18</v>
      </c>
      <c r="C31" s="39"/>
      <c r="D31" s="154">
        <v>1029376673</v>
      </c>
      <c r="E31" s="154">
        <v>4365906989</v>
      </c>
      <c r="F31" s="154">
        <v>1412787716</v>
      </c>
      <c r="G31" s="154">
        <v>2575944489</v>
      </c>
    </row>
    <row r="32" spans="1:7" ht="30.75" customHeight="1">
      <c r="A32" s="228" t="s">
        <v>153</v>
      </c>
      <c r="B32" s="350" t="s">
        <v>17</v>
      </c>
      <c r="C32" s="35"/>
      <c r="D32" s="211">
        <v>1029376673</v>
      </c>
      <c r="E32" s="211">
        <v>3799800169</v>
      </c>
      <c r="F32" s="211">
        <v>1369187716</v>
      </c>
      <c r="G32" s="211">
        <v>2531588109</v>
      </c>
    </row>
    <row r="33" spans="1:7" s="231" customFormat="1" ht="39.75" customHeight="1">
      <c r="A33" s="227" t="s">
        <v>154</v>
      </c>
      <c r="B33" s="351">
        <v>11.1</v>
      </c>
      <c r="C33" s="44"/>
      <c r="D33" s="211">
        <v>1025702323</v>
      </c>
      <c r="E33" s="211">
        <v>3783926649</v>
      </c>
      <c r="F33" s="211">
        <v>1366140451</v>
      </c>
      <c r="G33" s="211">
        <v>2524059636</v>
      </c>
    </row>
    <row r="34" spans="1:7" s="36" customFormat="1" ht="42.75" customHeight="1">
      <c r="A34" s="227" t="s">
        <v>155</v>
      </c>
      <c r="B34" s="351">
        <v>11.2</v>
      </c>
      <c r="C34" s="44"/>
      <c r="D34" s="211">
        <v>3674350</v>
      </c>
      <c r="E34" s="211">
        <v>15873520</v>
      </c>
      <c r="F34" s="211">
        <v>3047265</v>
      </c>
      <c r="G34" s="211">
        <v>7528473</v>
      </c>
    </row>
    <row r="35" spans="1:7" ht="45" customHeight="1">
      <c r="A35" s="228" t="s">
        <v>156</v>
      </c>
      <c r="B35" s="350" t="s">
        <v>16</v>
      </c>
      <c r="C35" s="35"/>
      <c r="D35" s="34">
        <v>0</v>
      </c>
      <c r="E35" s="33">
        <v>0</v>
      </c>
      <c r="F35" s="371">
        <v>0</v>
      </c>
      <c r="G35" s="155">
        <v>0</v>
      </c>
    </row>
    <row r="36" spans="1:7" ht="30.75" customHeight="1">
      <c r="A36" s="227" t="s">
        <v>603</v>
      </c>
      <c r="B36" s="350" t="s">
        <v>15</v>
      </c>
      <c r="C36" s="35"/>
      <c r="D36" s="34">
        <v>0</v>
      </c>
      <c r="E36" s="33">
        <v>0</v>
      </c>
      <c r="F36" s="371">
        <v>0</v>
      </c>
      <c r="G36" s="155">
        <v>0</v>
      </c>
    </row>
    <row r="37" spans="1:7" ht="54" customHeight="1">
      <c r="A37" s="228" t="s">
        <v>157</v>
      </c>
      <c r="B37" s="350" t="s">
        <v>14</v>
      </c>
      <c r="C37" s="35"/>
      <c r="D37" s="34">
        <v>0</v>
      </c>
      <c r="E37" s="33">
        <v>0</v>
      </c>
      <c r="F37" s="371">
        <v>0</v>
      </c>
      <c r="G37" s="155">
        <v>0</v>
      </c>
    </row>
    <row r="38" spans="1:7" ht="30.75" customHeight="1">
      <c r="A38" s="228" t="s">
        <v>158</v>
      </c>
      <c r="B38" s="350" t="s">
        <v>25</v>
      </c>
      <c r="C38" s="35"/>
      <c r="D38" s="34">
        <v>0</v>
      </c>
      <c r="E38" s="211">
        <v>566106820</v>
      </c>
      <c r="F38" s="211">
        <v>43600000</v>
      </c>
      <c r="G38" s="211">
        <v>44356380</v>
      </c>
    </row>
    <row r="39" spans="1:7" ht="30.75" customHeight="1">
      <c r="A39" s="229" t="s">
        <v>159</v>
      </c>
      <c r="B39" s="347" t="s">
        <v>26</v>
      </c>
      <c r="C39" s="39"/>
      <c r="D39" s="154">
        <v>6372968660</v>
      </c>
      <c r="E39" s="154">
        <v>27446266439</v>
      </c>
      <c r="F39" s="154">
        <v>5142380501</v>
      </c>
      <c r="G39" s="154">
        <v>18225037898</v>
      </c>
    </row>
    <row r="40" spans="1:7" ht="30.75" customHeight="1">
      <c r="A40" s="228" t="s">
        <v>160</v>
      </c>
      <c r="B40" s="350" t="s">
        <v>27</v>
      </c>
      <c r="C40" s="35"/>
      <c r="D40" s="34">
        <v>5771071216</v>
      </c>
      <c r="E40" s="33">
        <v>25011329957</v>
      </c>
      <c r="F40" s="371">
        <v>4694882557</v>
      </c>
      <c r="G40" s="155">
        <v>16393921467</v>
      </c>
    </row>
    <row r="41" spans="1:7" ht="30.75" customHeight="1">
      <c r="A41" s="227" t="s">
        <v>161</v>
      </c>
      <c r="B41" s="352" t="s">
        <v>29</v>
      </c>
      <c r="C41" s="44"/>
      <c r="D41" s="211">
        <v>164544270</v>
      </c>
      <c r="E41" s="211">
        <v>724418661</v>
      </c>
      <c r="F41" s="211">
        <v>157715151</v>
      </c>
      <c r="G41" s="211">
        <v>566948172</v>
      </c>
    </row>
    <row r="42" spans="1:7" s="36" customFormat="1" ht="30.75" customHeight="1">
      <c r="A42" s="237" t="s">
        <v>484</v>
      </c>
      <c r="B42" s="351" t="s">
        <v>162</v>
      </c>
      <c r="C42" s="210"/>
      <c r="D42" s="340">
        <v>118380947</v>
      </c>
      <c r="E42" s="33">
        <v>513052923</v>
      </c>
      <c r="F42" s="369">
        <v>112932495</v>
      </c>
      <c r="G42" s="244">
        <v>412907850</v>
      </c>
    </row>
    <row r="43" spans="1:7" s="36" customFormat="1" ht="30.75" customHeight="1">
      <c r="A43" s="237" t="s">
        <v>379</v>
      </c>
      <c r="B43" s="351" t="s">
        <v>164</v>
      </c>
      <c r="C43" s="210"/>
      <c r="D43" s="340">
        <v>21800000</v>
      </c>
      <c r="E43" s="33">
        <v>116900000</v>
      </c>
      <c r="F43" s="369">
        <v>22000000</v>
      </c>
      <c r="G43" s="244">
        <v>88100000</v>
      </c>
    </row>
    <row r="44" spans="1:7" s="36" customFormat="1" ht="30.75" customHeight="1">
      <c r="A44" s="237" t="s">
        <v>479</v>
      </c>
      <c r="B44" s="351" t="s">
        <v>480</v>
      </c>
      <c r="C44" s="210"/>
      <c r="D44" s="340">
        <v>24363323</v>
      </c>
      <c r="E44" s="33">
        <v>94465738</v>
      </c>
      <c r="F44" s="369">
        <v>22782656</v>
      </c>
      <c r="G44" s="244">
        <v>65940322</v>
      </c>
    </row>
    <row r="45" spans="1:7" ht="30.75" customHeight="1">
      <c r="A45" s="227" t="s">
        <v>165</v>
      </c>
      <c r="B45" s="352" t="s">
        <v>30</v>
      </c>
      <c r="C45" s="44"/>
      <c r="D45" s="34">
        <v>130219044</v>
      </c>
      <c r="E45" s="33">
        <v>564358218</v>
      </c>
      <c r="F45" s="369">
        <v>105935809</v>
      </c>
      <c r="G45" s="155">
        <v>369914124</v>
      </c>
    </row>
    <row r="46" spans="1:7" ht="30.75" customHeight="1">
      <c r="A46" s="227" t="s">
        <v>166</v>
      </c>
      <c r="B46" s="352" t="s">
        <v>31</v>
      </c>
      <c r="C46" s="44"/>
      <c r="D46" s="34">
        <v>81386898</v>
      </c>
      <c r="E46" s="33">
        <v>352723876</v>
      </c>
      <c r="F46" s="369">
        <v>66209881</v>
      </c>
      <c r="G46" s="155">
        <v>231196323</v>
      </c>
    </row>
    <row r="47" spans="1:7" ht="30.75" customHeight="1">
      <c r="A47" s="227" t="s">
        <v>167</v>
      </c>
      <c r="B47" s="352" t="s">
        <v>32</v>
      </c>
      <c r="C47" s="44"/>
      <c r="D47" s="34">
        <v>33000000</v>
      </c>
      <c r="E47" s="33">
        <v>132000000</v>
      </c>
      <c r="F47" s="371">
        <v>33000000</v>
      </c>
      <c r="G47" s="155">
        <v>132000000</v>
      </c>
    </row>
    <row r="48" spans="1:7" ht="30.75" customHeight="1">
      <c r="A48" s="227" t="s">
        <v>168</v>
      </c>
      <c r="B48" s="353" t="s">
        <v>33</v>
      </c>
      <c r="C48" s="44"/>
      <c r="D48" s="34">
        <v>0</v>
      </c>
      <c r="E48" s="33">
        <v>0</v>
      </c>
      <c r="F48" s="371">
        <v>0</v>
      </c>
      <c r="G48" s="155">
        <v>0</v>
      </c>
    </row>
    <row r="49" spans="1:7" ht="30.75" customHeight="1">
      <c r="A49" s="227" t="s">
        <v>169</v>
      </c>
      <c r="B49" s="353" t="s">
        <v>34</v>
      </c>
      <c r="C49" s="44"/>
      <c r="D49" s="34">
        <v>22907547</v>
      </c>
      <c r="E49" s="33">
        <v>45635681</v>
      </c>
      <c r="F49" s="371">
        <v>-10457526</v>
      </c>
      <c r="G49" s="155">
        <v>4503967</v>
      </c>
    </row>
    <row r="50" spans="1:7" ht="30.75" customHeight="1">
      <c r="A50" s="227" t="s">
        <v>170</v>
      </c>
      <c r="B50" s="353" t="s">
        <v>35</v>
      </c>
      <c r="C50" s="44"/>
      <c r="D50" s="34">
        <v>45747979</v>
      </c>
      <c r="E50" s="33">
        <v>185578325</v>
      </c>
      <c r="F50" s="371">
        <v>45747977</v>
      </c>
      <c r="G50" s="155">
        <v>186492900</v>
      </c>
    </row>
    <row r="51" spans="1:7" ht="30.75" customHeight="1">
      <c r="A51" s="227" t="s">
        <v>171</v>
      </c>
      <c r="B51" s="353" t="s">
        <v>36</v>
      </c>
      <c r="C51" s="44"/>
      <c r="D51" s="34">
        <v>0</v>
      </c>
      <c r="E51" s="33">
        <v>0</v>
      </c>
      <c r="F51" s="371">
        <v>0</v>
      </c>
      <c r="G51" s="155">
        <v>0</v>
      </c>
    </row>
    <row r="52" spans="1:7" ht="30.75" customHeight="1">
      <c r="A52" s="227" t="s">
        <v>172</v>
      </c>
      <c r="B52" s="348" t="s">
        <v>28</v>
      </c>
      <c r="C52" s="44"/>
      <c r="D52" s="211">
        <v>124091706</v>
      </c>
      <c r="E52" s="211">
        <v>430221721</v>
      </c>
      <c r="F52" s="211">
        <v>49346652</v>
      </c>
      <c r="G52" s="211">
        <v>340060945</v>
      </c>
    </row>
    <row r="53" spans="1:7" ht="30.75" customHeight="1">
      <c r="A53" s="227" t="s">
        <v>173</v>
      </c>
      <c r="B53" s="349" t="s">
        <v>384</v>
      </c>
      <c r="C53" s="44"/>
      <c r="D53" s="34">
        <v>55284983</v>
      </c>
      <c r="E53" s="155">
        <v>221000000</v>
      </c>
      <c r="F53" s="371">
        <v>55284981</v>
      </c>
      <c r="G53" s="155">
        <v>221000000</v>
      </c>
    </row>
    <row r="54" spans="1:7" ht="30.75" customHeight="1">
      <c r="A54" s="227" t="s">
        <v>174</v>
      </c>
      <c r="B54" s="349" t="s">
        <v>385</v>
      </c>
      <c r="C54" s="44"/>
      <c r="D54" s="34">
        <v>15495821</v>
      </c>
      <c r="E54" s="155">
        <v>45035668</v>
      </c>
      <c r="F54" s="371">
        <v>10503066</v>
      </c>
      <c r="G54" s="155">
        <v>-8894253</v>
      </c>
    </row>
    <row r="55" spans="1:7" ht="30.75" customHeight="1">
      <c r="A55" s="228" t="s">
        <v>175</v>
      </c>
      <c r="B55" s="354" t="s">
        <v>386</v>
      </c>
      <c r="C55" s="35"/>
      <c r="D55" s="34">
        <v>23458957</v>
      </c>
      <c r="E55" s="155">
        <v>40341550</v>
      </c>
      <c r="F55" s="455">
        <v>-51366913</v>
      </c>
      <c r="G55" s="155">
        <v>3438611</v>
      </c>
    </row>
    <row r="56" spans="1:7" ht="30.75" customHeight="1">
      <c r="A56" s="228" t="s">
        <v>382</v>
      </c>
      <c r="B56" s="354" t="s">
        <v>387</v>
      </c>
      <c r="C56" s="35"/>
      <c r="D56" s="34">
        <v>19230000</v>
      </c>
      <c r="E56" s="155">
        <v>76920000</v>
      </c>
      <c r="F56" s="371">
        <v>19230000</v>
      </c>
      <c r="G56" s="155">
        <v>76920000</v>
      </c>
    </row>
    <row r="57" spans="1:7" ht="30.75" customHeight="1">
      <c r="A57" s="227" t="s">
        <v>626</v>
      </c>
      <c r="B57" s="349" t="s">
        <v>388</v>
      </c>
      <c r="C57" s="35"/>
      <c r="D57" s="34">
        <v>0</v>
      </c>
      <c r="E57" s="155">
        <v>0</v>
      </c>
      <c r="F57" s="369">
        <v>0</v>
      </c>
      <c r="G57" s="244">
        <v>0</v>
      </c>
    </row>
    <row r="58" spans="1:7" ht="30.75" customHeight="1">
      <c r="A58" s="228" t="s">
        <v>381</v>
      </c>
      <c r="B58" s="354" t="s">
        <v>389</v>
      </c>
      <c r="C58" s="35"/>
      <c r="D58" s="34">
        <v>0</v>
      </c>
      <c r="E58" s="155">
        <v>0</v>
      </c>
      <c r="F58" s="369">
        <v>0</v>
      </c>
      <c r="G58" s="244">
        <v>0</v>
      </c>
    </row>
    <row r="59" spans="1:7" s="36" customFormat="1" ht="30.75" customHeight="1">
      <c r="A59" s="227" t="s">
        <v>836</v>
      </c>
      <c r="B59" s="349" t="s">
        <v>390</v>
      </c>
      <c r="C59" s="44"/>
      <c r="D59" s="211">
        <v>2520578</v>
      </c>
      <c r="E59" s="244">
        <v>10000000</v>
      </c>
      <c r="F59" s="369">
        <v>2520576</v>
      </c>
      <c r="G59" s="244">
        <v>10000000</v>
      </c>
    </row>
    <row r="60" spans="1:7" ht="30.75" customHeight="1">
      <c r="A60" s="228" t="s">
        <v>177</v>
      </c>
      <c r="B60" s="354" t="s">
        <v>391</v>
      </c>
      <c r="C60" s="35"/>
      <c r="D60" s="34">
        <v>8101367</v>
      </c>
      <c r="E60" s="155">
        <v>35824503</v>
      </c>
      <c r="F60" s="369">
        <v>13174942</v>
      </c>
      <c r="G60" s="244">
        <v>36496587</v>
      </c>
    </row>
    <row r="61" spans="1:7" ht="30.75" customHeight="1">
      <c r="A61" s="227" t="s">
        <v>176</v>
      </c>
      <c r="B61" s="349" t="s">
        <v>392</v>
      </c>
      <c r="C61" s="44"/>
      <c r="D61" s="211">
        <v>0</v>
      </c>
      <c r="E61" s="211">
        <v>0</v>
      </c>
      <c r="F61" s="369">
        <v>0</v>
      </c>
      <c r="G61" s="244">
        <v>0</v>
      </c>
    </row>
    <row r="62" spans="1:7" s="36" customFormat="1" ht="35.25" customHeight="1">
      <c r="A62" s="227" t="s">
        <v>485</v>
      </c>
      <c r="B62" s="349" t="s">
        <v>393</v>
      </c>
      <c r="C62" s="44"/>
      <c r="D62" s="211">
        <v>0</v>
      </c>
      <c r="E62" s="211">
        <v>0</v>
      </c>
      <c r="F62" s="369">
        <v>0</v>
      </c>
      <c r="G62" s="244">
        <v>0</v>
      </c>
    </row>
    <row r="63" spans="1:7" s="36" customFormat="1" ht="29.25" customHeight="1">
      <c r="A63" s="227" t="s">
        <v>629</v>
      </c>
      <c r="B63" s="349" t="s">
        <v>486</v>
      </c>
      <c r="C63" s="210"/>
      <c r="D63" s="211">
        <v>0</v>
      </c>
      <c r="E63" s="211">
        <v>1100000</v>
      </c>
      <c r="F63" s="369">
        <v>0</v>
      </c>
      <c r="G63" s="244">
        <v>1100000</v>
      </c>
    </row>
    <row r="64" spans="1:7" s="36" customFormat="1" ht="29.25" customHeight="1">
      <c r="A64" s="227" t="s">
        <v>630</v>
      </c>
      <c r="B64" s="349" t="s">
        <v>631</v>
      </c>
      <c r="C64" s="210"/>
      <c r="D64" s="211">
        <v>0</v>
      </c>
      <c r="E64" s="211">
        <v>0</v>
      </c>
      <c r="F64" s="369">
        <v>0</v>
      </c>
      <c r="G64" s="244">
        <v>0</v>
      </c>
    </row>
    <row r="65" spans="1:7" ht="30.75" customHeight="1">
      <c r="A65" s="228" t="s">
        <v>383</v>
      </c>
      <c r="B65" s="354" t="s">
        <v>627</v>
      </c>
      <c r="C65" s="35"/>
      <c r="D65" s="211">
        <v>0</v>
      </c>
      <c r="E65" s="211">
        <v>0</v>
      </c>
      <c r="F65" s="369">
        <v>0</v>
      </c>
      <c r="G65" s="244">
        <v>0</v>
      </c>
    </row>
    <row r="66" spans="1:7" ht="30.75" customHeight="1">
      <c r="A66" s="228" t="s">
        <v>835</v>
      </c>
      <c r="B66" s="354" t="s">
        <v>628</v>
      </c>
      <c r="C66" s="35"/>
      <c r="D66" s="34">
        <v>0</v>
      </c>
      <c r="E66" s="155">
        <v>0</v>
      </c>
      <c r="F66" s="371">
        <v>0</v>
      </c>
      <c r="G66" s="155">
        <v>0</v>
      </c>
    </row>
    <row r="67" spans="1:7" ht="44.25" customHeight="1">
      <c r="A67" s="229" t="s">
        <v>178</v>
      </c>
      <c r="B67" s="355" t="s">
        <v>37</v>
      </c>
      <c r="C67" s="39"/>
      <c r="D67" s="453">
        <v>-152324285779</v>
      </c>
      <c r="E67" s="453">
        <v>-182856784360</v>
      </c>
      <c r="F67" s="154">
        <v>175263858640</v>
      </c>
      <c r="G67" s="154">
        <v>331335825045</v>
      </c>
    </row>
    <row r="68" spans="1:7" ht="30" customHeight="1">
      <c r="A68" s="229" t="s">
        <v>191</v>
      </c>
      <c r="B68" s="355" t="s">
        <v>38</v>
      </c>
      <c r="C68" s="39"/>
      <c r="D68" s="40">
        <v>0</v>
      </c>
      <c r="E68" s="40">
        <v>103180000</v>
      </c>
      <c r="F68" s="40">
        <v>0</v>
      </c>
      <c r="G68" s="40">
        <v>0</v>
      </c>
    </row>
    <row r="69" spans="1:7" ht="30" customHeight="1">
      <c r="A69" s="228" t="s">
        <v>179</v>
      </c>
      <c r="B69" s="356" t="s">
        <v>39</v>
      </c>
      <c r="C69" s="35"/>
      <c r="D69" s="211">
        <v>0</v>
      </c>
      <c r="E69" s="211">
        <v>103180000</v>
      </c>
      <c r="F69" s="211">
        <v>0</v>
      </c>
      <c r="G69" s="211">
        <v>0</v>
      </c>
    </row>
    <row r="70" spans="1:7" ht="30" customHeight="1">
      <c r="A70" s="228" t="s">
        <v>180</v>
      </c>
      <c r="B70" s="356" t="s">
        <v>40</v>
      </c>
      <c r="C70" s="35"/>
      <c r="D70" s="34">
        <v>0</v>
      </c>
      <c r="E70" s="211">
        <v>0</v>
      </c>
      <c r="F70" s="211">
        <v>0</v>
      </c>
      <c r="G70" s="211">
        <v>0</v>
      </c>
    </row>
    <row r="71" spans="1:7" ht="46.5" customHeight="1">
      <c r="A71" s="229" t="s">
        <v>181</v>
      </c>
      <c r="B71" s="355" t="s">
        <v>13</v>
      </c>
      <c r="C71" s="39"/>
      <c r="D71" s="453">
        <v>-152324285779</v>
      </c>
      <c r="E71" s="453">
        <v>-182753604360</v>
      </c>
      <c r="F71" s="154">
        <v>175263858640</v>
      </c>
      <c r="G71" s="154">
        <v>331335825045</v>
      </c>
    </row>
    <row r="72" spans="1:7" ht="31.5" customHeight="1">
      <c r="A72" s="228" t="s">
        <v>182</v>
      </c>
      <c r="B72" s="356" t="s">
        <v>12</v>
      </c>
      <c r="C72" s="35"/>
      <c r="D72" s="454">
        <v>-756310656</v>
      </c>
      <c r="E72" s="211">
        <v>80328222671</v>
      </c>
      <c r="F72" s="211">
        <v>108845241718</v>
      </c>
      <c r="G72" s="211">
        <v>196048562922</v>
      </c>
    </row>
    <row r="73" spans="1:7" ht="31.5" customHeight="1">
      <c r="A73" s="228" t="s">
        <v>183</v>
      </c>
      <c r="B73" s="356" t="s">
        <v>11</v>
      </c>
      <c r="C73" s="35"/>
      <c r="D73" s="454">
        <v>-151567975123</v>
      </c>
      <c r="E73" s="454">
        <v>-263081827031</v>
      </c>
      <c r="F73" s="211">
        <v>66418616922</v>
      </c>
      <c r="G73" s="211">
        <v>135287262123</v>
      </c>
    </row>
    <row r="74" spans="1:7" ht="31.5" customHeight="1">
      <c r="A74" s="229" t="s">
        <v>184</v>
      </c>
      <c r="B74" s="355" t="s">
        <v>41</v>
      </c>
      <c r="C74" s="39"/>
      <c r="D74" s="154">
        <v>0</v>
      </c>
      <c r="E74" s="154">
        <v>0</v>
      </c>
      <c r="F74" s="359">
        <v>0</v>
      </c>
      <c r="G74" s="359">
        <v>0</v>
      </c>
    </row>
    <row r="75" spans="1:7" ht="45" customHeight="1">
      <c r="A75" s="229" t="s">
        <v>185</v>
      </c>
      <c r="B75" s="355" t="s">
        <v>42</v>
      </c>
      <c r="C75" s="39"/>
      <c r="D75" s="453">
        <v>-152324285779</v>
      </c>
      <c r="E75" s="453">
        <v>-182753604360</v>
      </c>
      <c r="F75" s="154">
        <v>175263858640</v>
      </c>
      <c r="G75" s="154">
        <v>331335825045</v>
      </c>
    </row>
    <row r="76" spans="1:7">
      <c r="A76" s="230"/>
      <c r="B76" s="31"/>
      <c r="C76" s="31"/>
      <c r="D76" s="31"/>
      <c r="E76" s="441"/>
      <c r="F76" s="360"/>
      <c r="G76" s="360"/>
    </row>
    <row r="77" spans="1:7">
      <c r="A77" s="225"/>
      <c r="B77" s="21"/>
      <c r="C77" s="21"/>
      <c r="D77" s="299"/>
      <c r="E77" s="442"/>
      <c r="F77" s="21"/>
      <c r="G77" s="21"/>
    </row>
    <row r="78" spans="1:7">
      <c r="A78" s="372"/>
      <c r="B78" s="21"/>
      <c r="C78" s="21"/>
      <c r="D78" s="299"/>
      <c r="E78" s="300"/>
      <c r="F78" s="21"/>
      <c r="G78" s="21"/>
    </row>
    <row r="79" spans="1:7">
      <c r="A79" s="372"/>
      <c r="B79" s="21"/>
      <c r="C79" s="21"/>
      <c r="D79" s="299"/>
      <c r="E79" s="300"/>
      <c r="F79" s="21"/>
      <c r="G79" s="21"/>
    </row>
    <row r="80" spans="1:7">
      <c r="A80" s="372"/>
      <c r="B80" s="21"/>
      <c r="C80" s="21"/>
      <c r="D80" s="299"/>
      <c r="E80" s="300"/>
      <c r="F80" s="21"/>
      <c r="G80" s="21"/>
    </row>
    <row r="81" spans="1:7">
      <c r="A81" s="373" t="s">
        <v>857</v>
      </c>
      <c r="B81" s="473" t="s">
        <v>858</v>
      </c>
      <c r="C81" s="473"/>
      <c r="D81" s="473"/>
      <c r="E81" s="473"/>
      <c r="F81" s="473"/>
      <c r="G81" s="473"/>
    </row>
    <row r="82" spans="1:7">
      <c r="A82" s="28"/>
      <c r="B82" s="28"/>
      <c r="C82" s="21"/>
      <c r="D82" s="21"/>
      <c r="E82" s="29"/>
      <c r="F82" s="30"/>
      <c r="G82" s="30"/>
    </row>
    <row r="83" spans="1:7">
      <c r="A83" s="28"/>
      <c r="B83" s="28"/>
      <c r="C83" s="21"/>
      <c r="D83" s="21"/>
      <c r="E83" s="29"/>
      <c r="F83" s="30"/>
      <c r="G83" s="30"/>
    </row>
    <row r="84" spans="1:7">
      <c r="A84" s="28"/>
      <c r="B84" s="28"/>
      <c r="C84" s="21"/>
      <c r="D84" s="21"/>
      <c r="E84" s="29"/>
      <c r="F84" s="30"/>
      <c r="G84" s="30"/>
    </row>
    <row r="85" spans="1:7">
      <c r="A85" s="28"/>
      <c r="B85" s="28"/>
      <c r="C85" s="21"/>
      <c r="D85" s="241"/>
      <c r="E85" s="29"/>
      <c r="F85" s="30"/>
      <c r="G85" s="30"/>
    </row>
    <row r="86" spans="1:7">
      <c r="A86" s="28"/>
      <c r="B86" s="28"/>
      <c r="C86" s="21"/>
      <c r="D86" s="240"/>
      <c r="E86" s="29"/>
      <c r="F86" s="30"/>
      <c r="G86" s="30"/>
    </row>
    <row r="87" spans="1:7">
      <c r="A87" s="28"/>
      <c r="B87" s="28"/>
      <c r="C87" s="21"/>
      <c r="D87" s="240"/>
      <c r="E87" s="29"/>
      <c r="F87" s="30"/>
      <c r="G87" s="30"/>
    </row>
    <row r="88" spans="1:7">
      <c r="A88" s="28"/>
      <c r="B88" s="28"/>
      <c r="C88" s="21"/>
      <c r="D88" s="240"/>
      <c r="E88" s="29"/>
      <c r="F88" s="30"/>
      <c r="G88" s="30"/>
    </row>
    <row r="89" spans="1:7">
      <c r="A89" s="28"/>
      <c r="B89" s="28"/>
      <c r="C89" s="21"/>
      <c r="D89" s="21"/>
      <c r="E89" s="29"/>
      <c r="F89" s="30"/>
      <c r="G89" s="30"/>
    </row>
    <row r="90" spans="1:7">
      <c r="A90" s="28"/>
      <c r="B90" s="28"/>
      <c r="C90" s="21"/>
      <c r="D90" s="21"/>
      <c r="E90" s="29"/>
      <c r="F90" s="30"/>
      <c r="G90" s="30"/>
    </row>
    <row r="91" spans="1:7">
      <c r="A91" s="28"/>
      <c r="B91" s="28"/>
      <c r="C91" s="21"/>
      <c r="D91" s="21"/>
      <c r="E91" s="29"/>
      <c r="F91" s="30"/>
      <c r="G91" s="30"/>
    </row>
    <row r="92" spans="1:7">
      <c r="A92" s="28"/>
      <c r="B92" s="28"/>
      <c r="C92" s="21"/>
      <c r="D92" s="21"/>
      <c r="E92" s="29"/>
      <c r="F92" s="30"/>
      <c r="G92" s="30"/>
    </row>
    <row r="93" spans="1:7">
      <c r="A93" s="28"/>
      <c r="B93" s="28"/>
      <c r="C93" s="21"/>
      <c r="D93" s="21"/>
      <c r="E93" s="29"/>
      <c r="F93" s="30"/>
      <c r="G93" s="30"/>
    </row>
    <row r="94" spans="1:7">
      <c r="A94" s="374" t="s">
        <v>859</v>
      </c>
      <c r="B94" s="470" t="s">
        <v>859</v>
      </c>
      <c r="C94" s="470"/>
      <c r="D94" s="470"/>
      <c r="E94" s="470"/>
      <c r="F94" s="471" t="s">
        <v>860</v>
      </c>
      <c r="G94" s="472"/>
    </row>
    <row r="95" spans="1:7">
      <c r="A95" s="375" t="s">
        <v>861</v>
      </c>
      <c r="B95" s="473" t="s">
        <v>862</v>
      </c>
      <c r="C95" s="473"/>
      <c r="D95" s="473"/>
      <c r="E95" s="473"/>
      <c r="F95" s="473" t="s">
        <v>863</v>
      </c>
      <c r="G95" s="473"/>
    </row>
    <row r="96" spans="1:7">
      <c r="A96" s="376" t="s">
        <v>864</v>
      </c>
      <c r="B96" s="469" t="s">
        <v>865</v>
      </c>
      <c r="C96" s="469"/>
      <c r="D96" s="469"/>
      <c r="E96" s="469"/>
      <c r="F96" s="469" t="s">
        <v>866</v>
      </c>
      <c r="G96" s="469"/>
    </row>
    <row r="97" spans="1:7">
      <c r="A97"/>
      <c r="B97"/>
      <c r="C97" s="21"/>
      <c r="D97" s="21"/>
      <c r="E97"/>
      <c r="F97"/>
      <c r="G97"/>
    </row>
  </sheetData>
  <protectedRanges>
    <protectedRange sqref="C41 F69:G70 C31 C39 C69:D73 C67:C68 C74:C75 F20:G30 C66:D66 C42:D62 C18:D30 E23 F42:G66 C65 D63:D65 C32:G38 C40:G40 E42:E52 E71:G73 E18:G19" name="Range1"/>
    <protectedRange sqref="D31:G31" name="Range1_1"/>
    <protectedRange sqref="D39:G39" name="Range1_2"/>
    <protectedRange sqref="D67:G67" name="Range1_3"/>
    <protectedRange sqref="D68:G68" name="Range1_4"/>
    <protectedRange sqref="D74:G74" name="Range1_5"/>
    <protectedRange sqref="D75:G75" name="Range1_6"/>
    <protectedRange sqref="C63:C64" name="Range1_7"/>
  </protectedRanges>
  <mergeCells count="24">
    <mergeCell ref="A1:G1"/>
    <mergeCell ref="A2:G2"/>
    <mergeCell ref="A3:G4"/>
    <mergeCell ref="A5:G5"/>
    <mergeCell ref="B81:G81"/>
    <mergeCell ref="A16:A17"/>
    <mergeCell ref="B16:B17"/>
    <mergeCell ref="C16:C17"/>
    <mergeCell ref="D16:E16"/>
    <mergeCell ref="F16:G16"/>
    <mergeCell ref="B14:G14"/>
    <mergeCell ref="B7:G7"/>
    <mergeCell ref="B9:G9"/>
    <mergeCell ref="B11:G11"/>
    <mergeCell ref="B13:G13"/>
    <mergeCell ref="B8:G8"/>
    <mergeCell ref="B96:E96"/>
    <mergeCell ref="F96:G96"/>
    <mergeCell ref="B10:G10"/>
    <mergeCell ref="B12:G12"/>
    <mergeCell ref="B94:E94"/>
    <mergeCell ref="F94:G94"/>
    <mergeCell ref="B95:E95"/>
    <mergeCell ref="F95:G95"/>
  </mergeCells>
  <printOptions horizontalCentered="1"/>
  <pageMargins left="0.32" right="0.17" top="0.8" bottom="0.82" header="0.3" footer="0.62"/>
  <pageSetup paperSize="9" scale="63" orientation="portrait" r:id="rId1"/>
  <drawing r:id="rId2"/>
</worksheet>
</file>

<file path=xl/worksheets/sheet3.xml><?xml version="1.0" encoding="utf-8"?>
<worksheet xmlns="http://schemas.openxmlformats.org/spreadsheetml/2006/main" xmlns:r="http://schemas.openxmlformats.org/officeDocument/2006/relationships">
  <sheetPr>
    <tabColor rgb="FF0070C0"/>
  </sheetPr>
  <dimension ref="A1:F146"/>
  <sheetViews>
    <sheetView showGridLines="0" view="pageBreakPreview" zoomScaleNormal="100" zoomScaleSheetLayoutView="100" workbookViewId="0">
      <selection activeCell="D18" sqref="D18"/>
    </sheetView>
  </sheetViews>
  <sheetFormatPr defaultColWidth="9.140625" defaultRowHeight="12.75"/>
  <cols>
    <col min="1" max="1" width="8.85546875" style="32" customWidth="1"/>
    <col min="2" max="2" width="52.85546875" style="32" customWidth="1"/>
    <col min="3" max="3" width="11.5703125" style="32" customWidth="1"/>
    <col min="4" max="4" width="8.85546875" style="32" customWidth="1"/>
    <col min="5" max="5" width="28" style="32" customWidth="1"/>
    <col min="6" max="6" width="30.28515625" style="32" customWidth="1"/>
    <col min="7" max="16384" width="9.140625" style="32"/>
  </cols>
  <sheetData>
    <row r="1" spans="1:6" ht="27" customHeight="1">
      <c r="B1" s="474" t="s">
        <v>969</v>
      </c>
      <c r="C1" s="474"/>
      <c r="D1" s="474"/>
      <c r="E1" s="474"/>
      <c r="F1" s="474"/>
    </row>
    <row r="2" spans="1:6" ht="35.25" customHeight="1">
      <c r="A2" s="30"/>
      <c r="B2" s="475" t="s">
        <v>144</v>
      </c>
      <c r="C2" s="475"/>
      <c r="D2" s="475"/>
      <c r="E2" s="475"/>
      <c r="F2" s="475"/>
    </row>
    <row r="3" spans="1:6">
      <c r="A3" s="30"/>
      <c r="B3" s="476" t="s">
        <v>192</v>
      </c>
      <c r="C3" s="476"/>
      <c r="D3" s="476"/>
      <c r="E3" s="476"/>
      <c r="F3" s="476"/>
    </row>
    <row r="4" spans="1:6" ht="19.5" customHeight="1">
      <c r="A4" s="30"/>
      <c r="B4" s="476"/>
      <c r="C4" s="476"/>
      <c r="D4" s="476"/>
      <c r="E4" s="476"/>
      <c r="F4" s="476"/>
    </row>
    <row r="5" spans="1:6">
      <c r="A5" s="30"/>
      <c r="B5" s="477" t="s">
        <v>995</v>
      </c>
      <c r="C5" s="477"/>
      <c r="D5" s="477"/>
      <c r="E5" s="477"/>
      <c r="F5" s="477"/>
    </row>
    <row r="6" spans="1:6">
      <c r="A6" s="358"/>
      <c r="B6" s="18"/>
      <c r="C6" s="18"/>
      <c r="D6" s="18"/>
      <c r="E6" s="18"/>
      <c r="F6" s="18"/>
    </row>
    <row r="7" spans="1:6">
      <c r="A7" s="341" t="s">
        <v>464</v>
      </c>
      <c r="B7" s="190"/>
      <c r="C7" s="489" t="s">
        <v>475</v>
      </c>
      <c r="D7" s="489"/>
      <c r="E7" s="489"/>
      <c r="F7" s="489"/>
    </row>
    <row r="8" spans="1:6" ht="12.75" customHeight="1">
      <c r="A8" s="195" t="s">
        <v>959</v>
      </c>
      <c r="B8" s="191"/>
      <c r="C8" s="490" t="s">
        <v>614</v>
      </c>
      <c r="D8" s="490"/>
      <c r="E8" s="490"/>
      <c r="F8" s="490"/>
    </row>
    <row r="9" spans="1:6" ht="12.75" customHeight="1">
      <c r="A9" s="341" t="s">
        <v>466</v>
      </c>
      <c r="B9" s="190"/>
      <c r="C9" s="489" t="s">
        <v>1007</v>
      </c>
      <c r="D9" s="489"/>
      <c r="E9" s="489"/>
      <c r="F9" s="489"/>
    </row>
    <row r="10" spans="1:6" ht="12.75" customHeight="1">
      <c r="A10" s="342" t="s">
        <v>468</v>
      </c>
      <c r="B10" s="192"/>
      <c r="C10" s="490" t="s">
        <v>469</v>
      </c>
      <c r="D10" s="490"/>
      <c r="E10" s="490"/>
      <c r="F10" s="490"/>
    </row>
    <row r="11" spans="1:6" ht="15.75" customHeight="1">
      <c r="A11" s="341" t="s">
        <v>401</v>
      </c>
      <c r="B11" s="190"/>
      <c r="C11" s="489" t="s">
        <v>501</v>
      </c>
      <c r="D11" s="489"/>
      <c r="E11" s="489"/>
      <c r="F11" s="489"/>
    </row>
    <row r="12" spans="1:6" ht="17.25" customHeight="1">
      <c r="A12" s="343" t="s">
        <v>399</v>
      </c>
      <c r="B12" s="193"/>
      <c r="C12" s="490" t="s">
        <v>500</v>
      </c>
      <c r="D12" s="490"/>
      <c r="E12" s="490"/>
      <c r="F12" s="490"/>
    </row>
    <row r="13" spans="1:6" ht="16.5" customHeight="1">
      <c r="A13" s="344" t="s">
        <v>146</v>
      </c>
      <c r="B13" s="194"/>
      <c r="C13" s="489" t="s">
        <v>997</v>
      </c>
      <c r="D13" s="489"/>
      <c r="E13" s="489"/>
      <c r="F13" s="489"/>
    </row>
    <row r="14" spans="1:6" ht="15.75" customHeight="1">
      <c r="A14" s="195" t="s">
        <v>147</v>
      </c>
      <c r="B14" s="195"/>
      <c r="C14" s="464">
        <v>43475</v>
      </c>
      <c r="D14" s="464"/>
      <c r="E14" s="464"/>
      <c r="F14" s="464"/>
    </row>
    <row r="15" spans="1:6">
      <c r="A15"/>
      <c r="B15"/>
      <c r="C15"/>
      <c r="D15"/>
      <c r="E15"/>
      <c r="F15"/>
    </row>
    <row r="16" spans="1:6" s="43" customFormat="1" ht="44.25" customHeight="1">
      <c r="A16" s="41" t="s">
        <v>348</v>
      </c>
      <c r="B16" s="41" t="s">
        <v>148</v>
      </c>
      <c r="C16" s="41" t="s">
        <v>149</v>
      </c>
      <c r="D16" s="42" t="s">
        <v>150</v>
      </c>
      <c r="E16" s="42" t="s">
        <v>999</v>
      </c>
      <c r="F16" s="42" t="s">
        <v>988</v>
      </c>
    </row>
    <row r="17" spans="1:6" s="43" customFormat="1" ht="30" customHeight="1">
      <c r="A17" s="345" t="s">
        <v>43</v>
      </c>
      <c r="B17" s="45" t="s">
        <v>221</v>
      </c>
      <c r="C17" s="345"/>
      <c r="D17" s="46"/>
      <c r="E17" s="46"/>
      <c r="F17" s="46"/>
    </row>
    <row r="18" spans="1:6" s="43" customFormat="1" ht="30" customHeight="1">
      <c r="A18" s="213" t="s">
        <v>678</v>
      </c>
      <c r="B18" s="212" t="s">
        <v>693</v>
      </c>
      <c r="C18" s="213" t="s">
        <v>805</v>
      </c>
      <c r="D18" s="304"/>
      <c r="E18" s="215">
        <v>68883445853</v>
      </c>
      <c r="F18" s="215">
        <v>144350344500</v>
      </c>
    </row>
    <row r="19" spans="1:6" s="43" customFormat="1" ht="30" customHeight="1">
      <c r="A19" s="52" t="s">
        <v>63</v>
      </c>
      <c r="B19" s="212" t="s">
        <v>694</v>
      </c>
      <c r="C19" s="52" t="s">
        <v>44</v>
      </c>
      <c r="D19" s="304"/>
      <c r="E19" s="215">
        <v>33883445853</v>
      </c>
      <c r="F19" s="215">
        <v>124350344500</v>
      </c>
    </row>
    <row r="20" spans="1:6" s="43" customFormat="1" ht="30" customHeight="1">
      <c r="A20" s="52" t="s">
        <v>605</v>
      </c>
      <c r="B20" s="212" t="s">
        <v>617</v>
      </c>
      <c r="C20" s="52" t="s">
        <v>899</v>
      </c>
      <c r="D20" s="304"/>
      <c r="E20" s="215">
        <v>9000000</v>
      </c>
      <c r="F20" s="215">
        <v>35000000</v>
      </c>
    </row>
    <row r="21" spans="1:6" s="43" customFormat="1" ht="30" customHeight="1">
      <c r="A21" s="52" t="s">
        <v>605</v>
      </c>
      <c r="B21" s="212" t="s">
        <v>618</v>
      </c>
      <c r="C21" s="52" t="s">
        <v>880</v>
      </c>
      <c r="D21" s="304"/>
      <c r="E21" s="215">
        <v>3799110654</v>
      </c>
      <c r="F21" s="215">
        <v>3832975400</v>
      </c>
    </row>
    <row r="22" spans="1:6" s="43" customFormat="1" ht="30" customHeight="1">
      <c r="A22" s="52" t="s">
        <v>605</v>
      </c>
      <c r="B22" s="212" t="s">
        <v>619</v>
      </c>
      <c r="C22" s="52" t="s">
        <v>881</v>
      </c>
      <c r="D22" s="304"/>
      <c r="E22" s="215">
        <v>30075335199</v>
      </c>
      <c r="F22" s="215">
        <v>116511871800</v>
      </c>
    </row>
    <row r="23" spans="1:6" s="300" customFormat="1" ht="30" customHeight="1">
      <c r="A23" s="452"/>
      <c r="B23" s="212" t="s">
        <v>993</v>
      </c>
      <c r="C23" s="353" t="s">
        <v>971</v>
      </c>
      <c r="D23" s="227"/>
      <c r="E23" s="215">
        <v>0</v>
      </c>
      <c r="F23" s="215">
        <v>3970497300</v>
      </c>
    </row>
    <row r="24" spans="1:6" s="43" customFormat="1" ht="30" customHeight="1">
      <c r="A24" s="52" t="s">
        <v>69</v>
      </c>
      <c r="B24" s="212" t="s">
        <v>695</v>
      </c>
      <c r="C24" s="52" t="s">
        <v>45</v>
      </c>
      <c r="D24" s="304"/>
      <c r="E24" s="215">
        <v>35000000000</v>
      </c>
      <c r="F24" s="215">
        <v>20000000000</v>
      </c>
    </row>
    <row r="25" spans="1:6" s="43" customFormat="1" ht="30" customHeight="1">
      <c r="A25" s="52" t="s">
        <v>679</v>
      </c>
      <c r="B25" s="212" t="s">
        <v>696</v>
      </c>
      <c r="C25" s="52" t="s">
        <v>806</v>
      </c>
      <c r="D25" s="304"/>
      <c r="E25" s="215">
        <v>1027576447450</v>
      </c>
      <c r="F25" s="215">
        <v>1186235183600</v>
      </c>
    </row>
    <row r="26" spans="1:6" s="43" customFormat="1" ht="30" customHeight="1">
      <c r="A26" s="52" t="s">
        <v>76</v>
      </c>
      <c r="B26" s="212" t="s">
        <v>697</v>
      </c>
      <c r="C26" s="52" t="s">
        <v>807</v>
      </c>
      <c r="D26" s="304"/>
      <c r="E26" s="216">
        <v>1027576447450</v>
      </c>
      <c r="F26" s="216">
        <v>1186235183600</v>
      </c>
    </row>
    <row r="27" spans="1:6" s="48" customFormat="1" ht="30" customHeight="1">
      <c r="A27" s="213" t="s">
        <v>605</v>
      </c>
      <c r="B27" s="212" t="s">
        <v>632</v>
      </c>
      <c r="C27" s="213" t="s">
        <v>496</v>
      </c>
      <c r="D27" s="304"/>
      <c r="E27" s="215">
        <v>817429147450</v>
      </c>
      <c r="F27" s="215">
        <v>1025991883600</v>
      </c>
    </row>
    <row r="28" spans="1:6" s="48" customFormat="1" ht="30" customHeight="1">
      <c r="A28" s="213" t="s">
        <v>605</v>
      </c>
      <c r="B28" s="212" t="s">
        <v>633</v>
      </c>
      <c r="C28" s="213" t="s">
        <v>856</v>
      </c>
      <c r="D28" s="304"/>
      <c r="E28" s="215">
        <v>0</v>
      </c>
      <c r="F28" s="215">
        <v>0</v>
      </c>
    </row>
    <row r="29" spans="1:6" s="48" customFormat="1" ht="30" customHeight="1">
      <c r="A29" s="242"/>
      <c r="B29" s="212" t="s">
        <v>635</v>
      </c>
      <c r="C29" s="242" t="s">
        <v>194</v>
      </c>
      <c r="D29" s="214"/>
      <c r="E29" s="215">
        <v>80147300000</v>
      </c>
      <c r="F29" s="215">
        <v>30243300000</v>
      </c>
    </row>
    <row r="30" spans="1:6" s="48" customFormat="1" ht="30" customHeight="1">
      <c r="A30" s="242"/>
      <c r="B30" s="212" t="s">
        <v>636</v>
      </c>
      <c r="C30" s="242" t="s">
        <v>900</v>
      </c>
      <c r="D30" s="214"/>
      <c r="E30" s="215"/>
      <c r="F30" s="215">
        <v>0</v>
      </c>
    </row>
    <row r="31" spans="1:6" s="48" customFormat="1" ht="30" customHeight="1">
      <c r="A31" s="213" t="s">
        <v>605</v>
      </c>
      <c r="B31" s="212" t="s">
        <v>637</v>
      </c>
      <c r="C31" s="213" t="s">
        <v>634</v>
      </c>
      <c r="D31" s="304"/>
      <c r="E31" s="215">
        <v>130000000000</v>
      </c>
      <c r="F31" s="215">
        <v>130000000000</v>
      </c>
    </row>
    <row r="32" spans="1:6" s="48" customFormat="1" ht="30" customHeight="1">
      <c r="A32" s="243" t="s">
        <v>605</v>
      </c>
      <c r="B32" s="212" t="s">
        <v>237</v>
      </c>
      <c r="C32" s="243" t="s">
        <v>499</v>
      </c>
      <c r="D32" s="214"/>
      <c r="E32" s="215">
        <v>0</v>
      </c>
      <c r="F32" s="215">
        <v>0</v>
      </c>
    </row>
    <row r="33" spans="1:6" s="48" customFormat="1" ht="30" customHeight="1">
      <c r="A33" s="243" t="s">
        <v>605</v>
      </c>
      <c r="B33" s="212" t="s">
        <v>502</v>
      </c>
      <c r="C33" s="243" t="s">
        <v>638</v>
      </c>
      <c r="D33" s="214"/>
      <c r="E33" s="215">
        <v>0</v>
      </c>
      <c r="F33" s="215">
        <v>0</v>
      </c>
    </row>
    <row r="34" spans="1:6" s="451" customFormat="1" ht="30" customHeight="1">
      <c r="A34" s="243"/>
      <c r="B34" s="212" t="s">
        <v>991</v>
      </c>
      <c r="C34" s="449">
        <v>121.8</v>
      </c>
      <c r="D34" s="214"/>
      <c r="E34" s="215">
        <v>0</v>
      </c>
      <c r="F34" s="215">
        <v>0</v>
      </c>
    </row>
    <row r="35" spans="1:6" s="48" customFormat="1" ht="30" customHeight="1">
      <c r="A35" s="243" t="s">
        <v>605</v>
      </c>
      <c r="B35" s="212" t="s">
        <v>639</v>
      </c>
      <c r="C35" s="243" t="s">
        <v>972</v>
      </c>
      <c r="D35" s="214"/>
      <c r="E35" s="215">
        <v>0</v>
      </c>
      <c r="F35" s="215">
        <v>0</v>
      </c>
    </row>
    <row r="36" spans="1:6" s="43" customFormat="1" ht="30" customHeight="1">
      <c r="A36" s="52" t="s">
        <v>81</v>
      </c>
      <c r="B36" s="212" t="s">
        <v>698</v>
      </c>
      <c r="C36" s="52" t="s">
        <v>808</v>
      </c>
      <c r="D36" s="44"/>
      <c r="E36" s="215">
        <v>0</v>
      </c>
      <c r="F36" s="215">
        <v>0</v>
      </c>
    </row>
    <row r="37" spans="1:6" s="43" customFormat="1" ht="30" customHeight="1">
      <c r="A37" s="52" t="s">
        <v>680</v>
      </c>
      <c r="B37" s="212" t="s">
        <v>699</v>
      </c>
      <c r="C37" s="52" t="s">
        <v>809</v>
      </c>
      <c r="D37" s="304"/>
      <c r="E37" s="216">
        <v>18295043671</v>
      </c>
      <c r="F37" s="216">
        <v>3766708319</v>
      </c>
    </row>
    <row r="38" spans="1:6" s="43" customFormat="1" ht="30" customHeight="1">
      <c r="A38" s="52" t="s">
        <v>681</v>
      </c>
      <c r="B38" s="23" t="s">
        <v>700</v>
      </c>
      <c r="C38" s="52" t="s">
        <v>0</v>
      </c>
      <c r="D38" s="44"/>
      <c r="E38" s="215">
        <v>10497500000</v>
      </c>
      <c r="F38" s="215">
        <v>0</v>
      </c>
    </row>
    <row r="39" spans="1:6" s="43" customFormat="1" ht="30" customHeight="1">
      <c r="A39" s="52"/>
      <c r="B39" s="23" t="s">
        <v>640</v>
      </c>
      <c r="C39" s="52" t="s">
        <v>810</v>
      </c>
      <c r="D39" s="44"/>
      <c r="E39" s="215">
        <v>0</v>
      </c>
      <c r="F39" s="215">
        <v>0</v>
      </c>
    </row>
    <row r="40" spans="1:6" s="43" customFormat="1" ht="30" customHeight="1">
      <c r="A40" s="52" t="s">
        <v>682</v>
      </c>
      <c r="B40" s="23" t="s">
        <v>701</v>
      </c>
      <c r="C40" s="52" t="s">
        <v>811</v>
      </c>
      <c r="D40" s="44"/>
      <c r="E40" s="55">
        <v>8663943671</v>
      </c>
      <c r="F40" s="216">
        <v>4633108319</v>
      </c>
    </row>
    <row r="41" spans="1:6" s="43" customFormat="1" ht="30" customHeight="1">
      <c r="A41" s="52" t="s">
        <v>683</v>
      </c>
      <c r="B41" s="23" t="s">
        <v>702</v>
      </c>
      <c r="C41" s="52" t="s">
        <v>812</v>
      </c>
      <c r="D41" s="44"/>
      <c r="E41" s="215">
        <v>866400000</v>
      </c>
      <c r="F41" s="215">
        <v>866400000</v>
      </c>
    </row>
    <row r="42" spans="1:6" s="43" customFormat="1" ht="34.5" customHeight="1">
      <c r="A42" s="52" t="s">
        <v>605</v>
      </c>
      <c r="B42" s="212" t="s">
        <v>492</v>
      </c>
      <c r="C42" s="52" t="s">
        <v>901</v>
      </c>
      <c r="D42" s="44"/>
      <c r="E42" s="215">
        <v>866400000</v>
      </c>
      <c r="F42" s="215">
        <v>866400000</v>
      </c>
    </row>
    <row r="43" spans="1:6" s="43" customFormat="1" ht="35.25" customHeight="1">
      <c r="A43" s="52" t="s">
        <v>605</v>
      </c>
      <c r="B43" s="212" t="s">
        <v>641</v>
      </c>
      <c r="C43" s="52" t="s">
        <v>902</v>
      </c>
      <c r="D43" s="44"/>
      <c r="E43" s="215">
        <v>0</v>
      </c>
      <c r="F43" s="215">
        <v>0</v>
      </c>
    </row>
    <row r="44" spans="1:6" s="43" customFormat="1" ht="48.75" customHeight="1">
      <c r="A44" s="52" t="s">
        <v>605</v>
      </c>
      <c r="B44" s="212" t="s">
        <v>493</v>
      </c>
      <c r="C44" s="52" t="s">
        <v>903</v>
      </c>
      <c r="D44" s="44"/>
      <c r="E44" s="215">
        <v>0</v>
      </c>
      <c r="F44" s="215">
        <v>0</v>
      </c>
    </row>
    <row r="45" spans="1:6" s="43" customFormat="1" ht="46.5" customHeight="1">
      <c r="A45" s="52" t="s">
        <v>605</v>
      </c>
      <c r="B45" s="212" t="s">
        <v>642</v>
      </c>
      <c r="C45" s="52" t="s">
        <v>904</v>
      </c>
      <c r="D45" s="44"/>
      <c r="E45" s="215">
        <v>0</v>
      </c>
      <c r="F45" s="215">
        <v>0</v>
      </c>
    </row>
    <row r="46" spans="1:6" s="43" customFormat="1" ht="35.25" customHeight="1">
      <c r="A46" s="52"/>
      <c r="B46" s="212" t="s">
        <v>643</v>
      </c>
      <c r="C46" s="52" t="s">
        <v>905</v>
      </c>
      <c r="D46" s="44"/>
      <c r="E46" s="215">
        <v>0</v>
      </c>
      <c r="F46" s="215">
        <v>0</v>
      </c>
    </row>
    <row r="47" spans="1:6" s="43" customFormat="1" ht="48.75" customHeight="1">
      <c r="A47" s="52" t="s">
        <v>605</v>
      </c>
      <c r="B47" s="212" t="s">
        <v>644</v>
      </c>
      <c r="C47" s="52" t="s">
        <v>813</v>
      </c>
      <c r="D47" s="44"/>
      <c r="E47" s="215">
        <v>0</v>
      </c>
      <c r="F47" s="215">
        <v>0</v>
      </c>
    </row>
    <row r="48" spans="1:6" s="43" customFormat="1" ht="37.5" customHeight="1">
      <c r="A48" s="52" t="s">
        <v>684</v>
      </c>
      <c r="B48" s="212" t="s">
        <v>703</v>
      </c>
      <c r="C48" s="52" t="s">
        <v>46</v>
      </c>
      <c r="D48" s="44"/>
      <c r="E48" s="216">
        <v>7797543671</v>
      </c>
      <c r="F48" s="216">
        <v>3766708319</v>
      </c>
    </row>
    <row r="49" spans="1:6" s="43" customFormat="1" ht="34.5" customHeight="1">
      <c r="A49" s="52"/>
      <c r="B49" s="23" t="s">
        <v>646</v>
      </c>
      <c r="C49" s="52" t="s">
        <v>906</v>
      </c>
      <c r="D49" s="44"/>
      <c r="E49" s="215">
        <v>809631000</v>
      </c>
      <c r="F49" s="215">
        <v>1359363000</v>
      </c>
    </row>
    <row r="50" spans="1:6" s="43" customFormat="1" ht="36" customHeight="1">
      <c r="A50" s="52"/>
      <c r="B50" s="23" t="s">
        <v>647</v>
      </c>
      <c r="C50" s="52" t="s">
        <v>907</v>
      </c>
      <c r="D50" s="44"/>
      <c r="E50" s="215">
        <v>1906660959</v>
      </c>
      <c r="F50" s="215">
        <v>411250000</v>
      </c>
    </row>
    <row r="51" spans="1:6" s="144" customFormat="1" ht="46.5" customHeight="1">
      <c r="A51" s="52"/>
      <c r="B51" s="212" t="s">
        <v>648</v>
      </c>
      <c r="C51" s="52" t="s">
        <v>497</v>
      </c>
      <c r="D51" s="44"/>
      <c r="E51" s="215">
        <v>15753425</v>
      </c>
      <c r="F51" s="215">
        <v>79890411</v>
      </c>
    </row>
    <row r="52" spans="1:6" s="144" customFormat="1" ht="44.25" customHeight="1">
      <c r="A52" s="52"/>
      <c r="B52" s="212" t="s">
        <v>649</v>
      </c>
      <c r="C52" s="52" t="s">
        <v>908</v>
      </c>
      <c r="D52" s="44"/>
      <c r="E52" s="215">
        <v>0</v>
      </c>
      <c r="F52" s="215">
        <v>0</v>
      </c>
    </row>
    <row r="53" spans="1:6" s="144" customFormat="1" ht="36" customHeight="1">
      <c r="A53" s="52"/>
      <c r="B53" s="212" t="s">
        <v>650</v>
      </c>
      <c r="C53" s="52" t="s">
        <v>645</v>
      </c>
      <c r="D53" s="44"/>
      <c r="E53" s="215">
        <v>5065498287</v>
      </c>
      <c r="F53" s="215">
        <v>1916204908</v>
      </c>
    </row>
    <row r="54" spans="1:6" s="43" customFormat="1" ht="31.5" customHeight="1">
      <c r="A54" s="52" t="s">
        <v>685</v>
      </c>
      <c r="B54" s="23" t="s">
        <v>704</v>
      </c>
      <c r="C54" s="52" t="s">
        <v>47</v>
      </c>
      <c r="D54" s="44"/>
      <c r="E54" s="215">
        <v>0</v>
      </c>
      <c r="F54" s="215">
        <v>0</v>
      </c>
    </row>
    <row r="55" spans="1:6" s="43" customFormat="1" ht="31.5" customHeight="1">
      <c r="A55" s="52" t="s">
        <v>686</v>
      </c>
      <c r="B55" s="23" t="s">
        <v>705</v>
      </c>
      <c r="C55" s="52" t="s">
        <v>48</v>
      </c>
      <c r="D55" s="44"/>
      <c r="E55" s="215">
        <v>-866400000</v>
      </c>
      <c r="F55" s="215">
        <v>-866400000</v>
      </c>
    </row>
    <row r="56" spans="1:6" s="43" customFormat="1" ht="31.5" customHeight="1">
      <c r="A56" s="54" t="s">
        <v>605</v>
      </c>
      <c r="B56" s="45" t="s">
        <v>222</v>
      </c>
      <c r="C56" s="54" t="s">
        <v>814</v>
      </c>
      <c r="D56" s="49"/>
      <c r="E56" s="57">
        <v>1114754936974</v>
      </c>
      <c r="F56" s="57">
        <v>1334352236419</v>
      </c>
    </row>
    <row r="57" spans="1:6" s="43" customFormat="1" ht="31.5" customHeight="1">
      <c r="A57" s="346" t="s">
        <v>49</v>
      </c>
      <c r="B57" s="45" t="s">
        <v>706</v>
      </c>
      <c r="C57" s="346" t="s">
        <v>49</v>
      </c>
      <c r="D57" s="49"/>
      <c r="E57" s="56"/>
      <c r="F57" s="56">
        <v>0</v>
      </c>
    </row>
    <row r="58" spans="1:6" s="43" customFormat="1" ht="31.5" customHeight="1">
      <c r="A58" s="52" t="s">
        <v>678</v>
      </c>
      <c r="B58" s="23" t="s">
        <v>707</v>
      </c>
      <c r="C58" s="52" t="s">
        <v>1</v>
      </c>
      <c r="D58" s="44"/>
      <c r="E58" s="215">
        <v>0</v>
      </c>
      <c r="F58" s="215">
        <v>0</v>
      </c>
    </row>
    <row r="59" spans="1:6" s="43" customFormat="1" ht="31.5" customHeight="1">
      <c r="A59" s="52"/>
      <c r="B59" s="212" t="s">
        <v>651</v>
      </c>
      <c r="C59" s="52" t="s">
        <v>909</v>
      </c>
      <c r="D59" s="44"/>
      <c r="E59" s="215">
        <v>0</v>
      </c>
      <c r="F59" s="215">
        <v>0</v>
      </c>
    </row>
    <row r="60" spans="1:6" s="43" customFormat="1" ht="31.5" customHeight="1">
      <c r="A60" s="52"/>
      <c r="B60" s="212" t="s">
        <v>652</v>
      </c>
      <c r="C60" s="52" t="s">
        <v>910</v>
      </c>
      <c r="D60" s="44"/>
      <c r="E60" s="215">
        <v>0</v>
      </c>
      <c r="F60" s="215">
        <v>0</v>
      </c>
    </row>
    <row r="61" spans="1:6" s="43" customFormat="1" ht="31.5" customHeight="1">
      <c r="A61" s="52" t="s">
        <v>679</v>
      </c>
      <c r="B61" s="23" t="s">
        <v>708</v>
      </c>
      <c r="C61" s="52" t="s">
        <v>2</v>
      </c>
      <c r="D61" s="44"/>
      <c r="E61" s="215">
        <v>18243556000</v>
      </c>
      <c r="F61" s="215">
        <v>52464303000</v>
      </c>
    </row>
    <row r="62" spans="1:6" s="43" customFormat="1" ht="59.25" customHeight="1">
      <c r="A62" s="52" t="s">
        <v>680</v>
      </c>
      <c r="B62" s="23" t="s">
        <v>709</v>
      </c>
      <c r="C62" s="52" t="s">
        <v>50</v>
      </c>
      <c r="D62" s="304"/>
      <c r="E62" s="215">
        <v>111000124</v>
      </c>
      <c r="F62" s="215">
        <v>99689516</v>
      </c>
    </row>
    <row r="63" spans="1:6" s="43" customFormat="1" ht="33" customHeight="1">
      <c r="A63" s="52" t="s">
        <v>687</v>
      </c>
      <c r="B63" s="23" t="s">
        <v>710</v>
      </c>
      <c r="C63" s="52" t="s">
        <v>3</v>
      </c>
      <c r="D63" s="304"/>
      <c r="E63" s="215">
        <v>6215153</v>
      </c>
      <c r="F63" s="215">
        <v>9610414</v>
      </c>
    </row>
    <row r="64" spans="1:6" s="43" customFormat="1" ht="33" customHeight="1">
      <c r="A64" s="52" t="s">
        <v>688</v>
      </c>
      <c r="B64" s="23" t="s">
        <v>711</v>
      </c>
      <c r="C64" s="52" t="s">
        <v>4</v>
      </c>
      <c r="D64" s="44"/>
      <c r="E64" s="215">
        <v>39925000</v>
      </c>
      <c r="F64" s="215">
        <v>39925000</v>
      </c>
    </row>
    <row r="65" spans="1:6" s="43" customFormat="1" ht="33" customHeight="1">
      <c r="A65" s="52" t="s">
        <v>689</v>
      </c>
      <c r="B65" s="23" t="s">
        <v>712</v>
      </c>
      <c r="C65" s="52" t="s">
        <v>815</v>
      </c>
      <c r="D65" s="304"/>
      <c r="E65" s="55">
        <v>264550922</v>
      </c>
      <c r="F65" s="55">
        <v>222106333</v>
      </c>
    </row>
    <row r="66" spans="1:6" s="43" customFormat="1" ht="33" customHeight="1">
      <c r="A66" s="53" t="s">
        <v>605</v>
      </c>
      <c r="B66" s="23" t="s">
        <v>657</v>
      </c>
      <c r="C66" s="53" t="s">
        <v>911</v>
      </c>
      <c r="D66" s="304"/>
      <c r="E66" s="215">
        <v>68247104</v>
      </c>
      <c r="F66" s="215">
        <v>103831981</v>
      </c>
    </row>
    <row r="67" spans="1:6" s="43" customFormat="1" ht="33" customHeight="1">
      <c r="A67" s="213" t="s">
        <v>605</v>
      </c>
      <c r="B67" s="212" t="s">
        <v>653</v>
      </c>
      <c r="C67" s="213" t="s">
        <v>654</v>
      </c>
      <c r="D67" s="304"/>
      <c r="E67" s="215">
        <v>68247104</v>
      </c>
      <c r="F67" s="215">
        <v>103831981</v>
      </c>
    </row>
    <row r="68" spans="1:6" s="43" customFormat="1" ht="33" customHeight="1">
      <c r="A68" s="213" t="s">
        <v>605</v>
      </c>
      <c r="B68" s="212" t="s">
        <v>655</v>
      </c>
      <c r="C68" s="213" t="s">
        <v>656</v>
      </c>
      <c r="D68" s="304"/>
      <c r="E68" s="215">
        <v>0</v>
      </c>
      <c r="F68" s="215">
        <v>0</v>
      </c>
    </row>
    <row r="69" spans="1:6" s="43" customFormat="1" ht="33" customHeight="1">
      <c r="A69" s="53" t="s">
        <v>605</v>
      </c>
      <c r="B69" s="23" t="s">
        <v>658</v>
      </c>
      <c r="C69" s="53" t="s">
        <v>912</v>
      </c>
      <c r="D69" s="304"/>
      <c r="E69" s="215">
        <v>88000000</v>
      </c>
      <c r="F69" s="215">
        <v>42252021</v>
      </c>
    </row>
    <row r="70" spans="1:6" s="43" customFormat="1" ht="33" customHeight="1">
      <c r="A70" s="53" t="s">
        <v>605</v>
      </c>
      <c r="B70" s="23" t="s">
        <v>659</v>
      </c>
      <c r="C70" s="53" t="s">
        <v>913</v>
      </c>
      <c r="D70" s="304"/>
      <c r="E70" s="215">
        <v>41237818</v>
      </c>
      <c r="F70" s="215">
        <v>18330271</v>
      </c>
    </row>
    <row r="71" spans="1:6" s="43" customFormat="1" ht="33" customHeight="1">
      <c r="A71" s="53" t="s">
        <v>605</v>
      </c>
      <c r="B71" s="23" t="s">
        <v>660</v>
      </c>
      <c r="C71" s="53" t="s">
        <v>914</v>
      </c>
      <c r="D71" s="304"/>
      <c r="E71" s="215">
        <v>33066000</v>
      </c>
      <c r="F71" s="215">
        <v>27977043</v>
      </c>
    </row>
    <row r="72" spans="1:6" s="43" customFormat="1" ht="44.25" customHeight="1">
      <c r="A72" s="53" t="s">
        <v>605</v>
      </c>
      <c r="B72" s="23" t="s">
        <v>661</v>
      </c>
      <c r="C72" s="53" t="s">
        <v>915</v>
      </c>
      <c r="D72" s="304"/>
      <c r="E72" s="215">
        <v>34000000</v>
      </c>
      <c r="F72" s="215">
        <v>29715017</v>
      </c>
    </row>
    <row r="73" spans="1:6" s="43" customFormat="1" ht="30" customHeight="1">
      <c r="A73" s="52" t="s">
        <v>690</v>
      </c>
      <c r="B73" s="23" t="s">
        <v>248</v>
      </c>
      <c r="C73" s="52" t="s">
        <v>816</v>
      </c>
      <c r="D73" s="44"/>
      <c r="E73" s="215">
        <v>898000000</v>
      </c>
      <c r="F73" s="215">
        <v>94000000</v>
      </c>
    </row>
    <row r="74" spans="1:6" s="43" customFormat="1" ht="30" customHeight="1">
      <c r="A74" s="52" t="s">
        <v>605</v>
      </c>
      <c r="B74" s="212" t="s">
        <v>662</v>
      </c>
      <c r="C74" s="52" t="s">
        <v>817</v>
      </c>
      <c r="D74" s="44"/>
      <c r="E74" s="215">
        <v>898000000</v>
      </c>
      <c r="F74" s="215">
        <v>94000000</v>
      </c>
    </row>
    <row r="75" spans="1:6" s="43" customFormat="1" ht="30" customHeight="1">
      <c r="A75" s="52" t="s">
        <v>605</v>
      </c>
      <c r="B75" s="212" t="s">
        <v>663</v>
      </c>
      <c r="C75" s="52" t="s">
        <v>818</v>
      </c>
      <c r="D75" s="44"/>
      <c r="E75" s="215">
        <v>0</v>
      </c>
      <c r="F75" s="215">
        <v>0</v>
      </c>
    </row>
    <row r="76" spans="1:6" s="43" customFormat="1" ht="30" customHeight="1">
      <c r="A76" s="52" t="s">
        <v>691</v>
      </c>
      <c r="B76" s="212" t="s">
        <v>713</v>
      </c>
      <c r="C76" s="52" t="s">
        <v>5</v>
      </c>
      <c r="D76" s="44"/>
      <c r="E76" s="215">
        <v>3973139175</v>
      </c>
      <c r="F76" s="215">
        <v>4091227685</v>
      </c>
    </row>
    <row r="77" spans="1:6" s="43" customFormat="1" ht="30" customHeight="1">
      <c r="A77" s="52" t="s">
        <v>692</v>
      </c>
      <c r="B77" s="212" t="s">
        <v>714</v>
      </c>
      <c r="C77" s="52" t="s">
        <v>819</v>
      </c>
      <c r="D77" s="304"/>
      <c r="E77" s="55">
        <v>1961366439</v>
      </c>
      <c r="F77" s="55">
        <v>2005000911</v>
      </c>
    </row>
    <row r="78" spans="1:6" s="43" customFormat="1" ht="30" customHeight="1">
      <c r="A78" s="213" t="s">
        <v>605</v>
      </c>
      <c r="B78" s="212" t="s">
        <v>664</v>
      </c>
      <c r="C78" s="213" t="s">
        <v>916</v>
      </c>
      <c r="D78" s="304"/>
      <c r="E78" s="215">
        <v>1841472011</v>
      </c>
      <c r="F78" s="215">
        <v>1858152693</v>
      </c>
    </row>
    <row r="79" spans="1:6" s="43" customFormat="1" ht="30" customHeight="1">
      <c r="A79" s="213" t="s">
        <v>605</v>
      </c>
      <c r="B79" s="212" t="s">
        <v>665</v>
      </c>
      <c r="C79" s="213" t="s">
        <v>917</v>
      </c>
      <c r="D79" s="304"/>
      <c r="E79" s="215">
        <v>41373784</v>
      </c>
      <c r="F79" s="215">
        <v>45715953</v>
      </c>
    </row>
    <row r="80" spans="1:6" s="43" customFormat="1" ht="30" customHeight="1">
      <c r="A80" s="213" t="s">
        <v>605</v>
      </c>
      <c r="B80" s="212" t="s">
        <v>484</v>
      </c>
      <c r="C80" s="213" t="s">
        <v>666</v>
      </c>
      <c r="D80" s="304"/>
      <c r="E80" s="215">
        <v>37773784</v>
      </c>
      <c r="F80" s="215">
        <v>38115953</v>
      </c>
    </row>
    <row r="81" spans="1:6" s="43" customFormat="1" ht="30" customHeight="1">
      <c r="A81" s="213" t="s">
        <v>605</v>
      </c>
      <c r="B81" s="212" t="s">
        <v>379</v>
      </c>
      <c r="C81" s="213" t="s">
        <v>667</v>
      </c>
      <c r="D81" s="304"/>
      <c r="E81" s="215">
        <v>3600000</v>
      </c>
      <c r="F81" s="215">
        <v>7600000</v>
      </c>
    </row>
    <row r="82" spans="1:6" s="43" customFormat="1" ht="30" customHeight="1">
      <c r="A82" s="213" t="s">
        <v>605</v>
      </c>
      <c r="B82" s="212" t="s">
        <v>479</v>
      </c>
      <c r="C82" s="213" t="s">
        <v>668</v>
      </c>
      <c r="D82" s="304"/>
      <c r="E82" s="215">
        <v>0</v>
      </c>
      <c r="F82" s="215">
        <v>0</v>
      </c>
    </row>
    <row r="83" spans="1:6" s="43" customFormat="1" ht="30" customHeight="1">
      <c r="A83" s="213" t="s">
        <v>605</v>
      </c>
      <c r="B83" s="212" t="s">
        <v>669</v>
      </c>
      <c r="C83" s="213" t="s">
        <v>918</v>
      </c>
      <c r="D83" s="304"/>
      <c r="E83" s="215">
        <v>25969479</v>
      </c>
      <c r="F83" s="215">
        <v>26204717</v>
      </c>
    </row>
    <row r="84" spans="1:6" s="43" customFormat="1" ht="30" customHeight="1">
      <c r="A84" s="213" t="s">
        <v>605</v>
      </c>
      <c r="B84" s="212" t="s">
        <v>670</v>
      </c>
      <c r="C84" s="213" t="s">
        <v>919</v>
      </c>
      <c r="D84" s="304"/>
      <c r="E84" s="215">
        <v>41551165</v>
      </c>
      <c r="F84" s="215">
        <v>41927548</v>
      </c>
    </row>
    <row r="85" spans="1:6" s="43" customFormat="1" ht="30" customHeight="1">
      <c r="A85" s="213" t="s">
        <v>605</v>
      </c>
      <c r="B85" s="212" t="s">
        <v>671</v>
      </c>
      <c r="C85" s="213" t="s">
        <v>920</v>
      </c>
      <c r="D85" s="304"/>
      <c r="E85" s="215">
        <v>11000000</v>
      </c>
      <c r="F85" s="215">
        <v>33000000</v>
      </c>
    </row>
    <row r="86" spans="1:6" s="43" customFormat="1" ht="39.75" customHeight="1">
      <c r="A86" s="213" t="s">
        <v>605</v>
      </c>
      <c r="B86" s="212" t="s">
        <v>672</v>
      </c>
      <c r="C86" s="213" t="s">
        <v>820</v>
      </c>
      <c r="D86" s="304"/>
      <c r="E86" s="215">
        <v>0</v>
      </c>
      <c r="F86" s="215">
        <v>0</v>
      </c>
    </row>
    <row r="87" spans="1:6" s="43" customFormat="1" ht="40.5" customHeight="1">
      <c r="A87" s="213" t="s">
        <v>605</v>
      </c>
      <c r="B87" s="212" t="s">
        <v>673</v>
      </c>
      <c r="C87" s="213" t="s">
        <v>821</v>
      </c>
      <c r="D87" s="304"/>
      <c r="E87" s="215">
        <v>0</v>
      </c>
      <c r="F87" s="215">
        <v>0</v>
      </c>
    </row>
    <row r="88" spans="1:6" s="144" customFormat="1" ht="31.5" customHeight="1">
      <c r="A88" s="52" t="s">
        <v>18</v>
      </c>
      <c r="B88" s="212" t="s">
        <v>715</v>
      </c>
      <c r="C88" s="52" t="s">
        <v>822</v>
      </c>
      <c r="D88" s="304"/>
      <c r="E88" s="216">
        <v>240321966</v>
      </c>
      <c r="F88" s="216">
        <v>222425567</v>
      </c>
    </row>
    <row r="89" spans="1:6" s="43" customFormat="1" ht="33.75" customHeight="1">
      <c r="A89" s="52" t="s">
        <v>605</v>
      </c>
      <c r="B89" s="23" t="s">
        <v>494</v>
      </c>
      <c r="C89" s="52" t="s">
        <v>921</v>
      </c>
      <c r="D89" s="304"/>
      <c r="E89" s="215">
        <v>26810000</v>
      </c>
      <c r="F89" s="215">
        <v>16930000</v>
      </c>
    </row>
    <row r="90" spans="1:6" s="43" customFormat="1" ht="45" customHeight="1">
      <c r="A90" s="52" t="s">
        <v>605</v>
      </c>
      <c r="B90" s="212" t="s">
        <v>674</v>
      </c>
      <c r="C90" s="52" t="s">
        <v>922</v>
      </c>
      <c r="D90" s="304"/>
      <c r="E90" s="215">
        <v>37029000</v>
      </c>
      <c r="F90" s="215">
        <v>21533179</v>
      </c>
    </row>
    <row r="91" spans="1:6" s="43" customFormat="1" ht="31.5" customHeight="1">
      <c r="A91" s="52" t="s">
        <v>605</v>
      </c>
      <c r="B91" s="212" t="s">
        <v>675</v>
      </c>
      <c r="C91" s="52" t="s">
        <v>923</v>
      </c>
      <c r="D91" s="304"/>
      <c r="E91" s="215">
        <v>0</v>
      </c>
      <c r="F91" s="215">
        <v>7479422</v>
      </c>
    </row>
    <row r="92" spans="1:6" s="43" customFormat="1" ht="31.5" customHeight="1">
      <c r="A92" s="52" t="s">
        <v>605</v>
      </c>
      <c r="B92" s="212" t="s">
        <v>676</v>
      </c>
      <c r="C92" s="52" t="s">
        <v>823</v>
      </c>
      <c r="D92" s="304"/>
      <c r="E92" s="215">
        <v>0</v>
      </c>
      <c r="F92" s="215">
        <v>0</v>
      </c>
    </row>
    <row r="93" spans="1:6" s="43" customFormat="1" ht="36" customHeight="1">
      <c r="A93" s="52" t="s">
        <v>605</v>
      </c>
      <c r="B93" s="23" t="s">
        <v>495</v>
      </c>
      <c r="C93" s="52" t="s">
        <v>677</v>
      </c>
      <c r="D93" s="304"/>
      <c r="E93" s="215">
        <v>176482966</v>
      </c>
      <c r="F93" s="215">
        <v>176482966</v>
      </c>
    </row>
    <row r="94" spans="1:6" s="43" customFormat="1" ht="31.5" customHeight="1">
      <c r="A94" s="54" t="s">
        <v>605</v>
      </c>
      <c r="B94" s="45" t="s">
        <v>223</v>
      </c>
      <c r="C94" s="54" t="s">
        <v>824</v>
      </c>
      <c r="D94" s="49"/>
      <c r="E94" s="57">
        <v>25738074779</v>
      </c>
      <c r="F94" s="57">
        <v>59248288426</v>
      </c>
    </row>
    <row r="95" spans="1:6" s="43" customFormat="1" ht="45.75" customHeight="1">
      <c r="A95" s="54" t="s">
        <v>123</v>
      </c>
      <c r="B95" s="45" t="s">
        <v>716</v>
      </c>
      <c r="C95" s="54" t="s">
        <v>825</v>
      </c>
      <c r="D95" s="49"/>
      <c r="E95" s="57">
        <v>1089016862195</v>
      </c>
      <c r="F95" s="57">
        <v>1275103947993</v>
      </c>
    </row>
    <row r="96" spans="1:6" s="43" customFormat="1" ht="31.5" customHeight="1">
      <c r="A96" s="52" t="s">
        <v>678</v>
      </c>
      <c r="B96" s="23" t="s">
        <v>717</v>
      </c>
      <c r="C96" s="52" t="s">
        <v>826</v>
      </c>
      <c r="D96" s="44"/>
      <c r="E96" s="55">
        <v>295584755300</v>
      </c>
      <c r="F96" s="55">
        <v>306823342100</v>
      </c>
    </row>
    <row r="97" spans="1:6" s="43" customFormat="1" ht="31.5" customHeight="1">
      <c r="A97" s="52" t="s">
        <v>63</v>
      </c>
      <c r="B97" s="23" t="s">
        <v>718</v>
      </c>
      <c r="C97" s="52" t="s">
        <v>6</v>
      </c>
      <c r="D97" s="44"/>
      <c r="E97" s="215">
        <v>1589767122600</v>
      </c>
      <c r="F97" s="215">
        <v>1565754828600</v>
      </c>
    </row>
    <row r="98" spans="1:6" s="43" customFormat="1" ht="31.5" customHeight="1">
      <c r="A98" s="52" t="s">
        <v>69</v>
      </c>
      <c r="B98" s="23" t="s">
        <v>719</v>
      </c>
      <c r="C98" s="52" t="s">
        <v>51</v>
      </c>
      <c r="D98" s="44"/>
      <c r="E98" s="215">
        <v>-1294182367300</v>
      </c>
      <c r="F98" s="215">
        <v>-1258931486500</v>
      </c>
    </row>
    <row r="99" spans="1:6" s="43" customFormat="1" ht="31.5" customHeight="1">
      <c r="A99" s="52" t="s">
        <v>679</v>
      </c>
      <c r="B99" s="23" t="s">
        <v>720</v>
      </c>
      <c r="C99" s="52" t="s">
        <v>52</v>
      </c>
      <c r="D99" s="44"/>
      <c r="E99" s="215">
        <v>635172067930</v>
      </c>
      <c r="F99" s="215">
        <v>657696281149</v>
      </c>
    </row>
    <row r="100" spans="1:6" s="43" customFormat="1" ht="31.5" customHeight="1">
      <c r="A100" s="52" t="s">
        <v>680</v>
      </c>
      <c r="B100" s="23" t="s">
        <v>721</v>
      </c>
      <c r="C100" s="52" t="s">
        <v>7</v>
      </c>
      <c r="D100" s="304"/>
      <c r="E100" s="215">
        <v>158260038965</v>
      </c>
      <c r="F100" s="215">
        <v>310584324744</v>
      </c>
    </row>
    <row r="101" spans="1:6" s="43" customFormat="1" ht="31.5" customHeight="1">
      <c r="A101" s="52" t="s">
        <v>681</v>
      </c>
      <c r="B101" s="23" t="s">
        <v>722</v>
      </c>
      <c r="C101" s="52" t="s">
        <v>924</v>
      </c>
      <c r="D101" s="44"/>
      <c r="E101" s="215">
        <v>310584324744</v>
      </c>
      <c r="F101" s="215">
        <v>258855445895</v>
      </c>
    </row>
    <row r="102" spans="1:6" s="43" customFormat="1" ht="31.5" customHeight="1">
      <c r="A102" s="52" t="s">
        <v>682</v>
      </c>
      <c r="B102" s="23" t="s">
        <v>723</v>
      </c>
      <c r="C102" s="52" t="s">
        <v>925</v>
      </c>
      <c r="D102" s="44"/>
      <c r="E102" s="215">
        <v>-152324285779</v>
      </c>
      <c r="F102" s="215">
        <v>51728878849</v>
      </c>
    </row>
    <row r="103" spans="1:6" s="43" customFormat="1" ht="45" customHeight="1">
      <c r="A103" s="54" t="s">
        <v>124</v>
      </c>
      <c r="B103" s="45" t="s">
        <v>724</v>
      </c>
      <c r="C103" s="54" t="s">
        <v>827</v>
      </c>
      <c r="D103" s="49"/>
      <c r="E103" s="203">
        <v>36842.79</v>
      </c>
      <c r="F103" s="361">
        <v>41558.239999999998</v>
      </c>
    </row>
    <row r="104" spans="1:6" s="43" customFormat="1" ht="33" customHeight="1">
      <c r="A104" s="54" t="s">
        <v>127</v>
      </c>
      <c r="B104" s="45" t="s">
        <v>725</v>
      </c>
      <c r="C104" s="54" t="s">
        <v>828</v>
      </c>
      <c r="D104" s="49"/>
      <c r="E104" s="56">
        <v>0</v>
      </c>
      <c r="F104" s="56">
        <v>0</v>
      </c>
    </row>
    <row r="105" spans="1:6" s="43" customFormat="1" ht="33" customHeight="1">
      <c r="A105" s="52" t="s">
        <v>678</v>
      </c>
      <c r="B105" s="23" t="s">
        <v>726</v>
      </c>
      <c r="C105" s="52" t="s">
        <v>829</v>
      </c>
      <c r="D105" s="44"/>
      <c r="E105" s="215">
        <v>0</v>
      </c>
      <c r="F105" s="215">
        <v>0</v>
      </c>
    </row>
    <row r="106" spans="1:6" s="43" customFormat="1" ht="47.25" customHeight="1">
      <c r="A106" s="52" t="s">
        <v>679</v>
      </c>
      <c r="B106" s="23" t="s">
        <v>727</v>
      </c>
      <c r="C106" s="52" t="s">
        <v>830</v>
      </c>
      <c r="D106" s="44"/>
      <c r="E106" s="215">
        <v>0</v>
      </c>
      <c r="F106" s="215">
        <v>0</v>
      </c>
    </row>
    <row r="107" spans="1:6" s="43" customFormat="1" ht="45" customHeight="1">
      <c r="A107" s="54" t="s">
        <v>53</v>
      </c>
      <c r="B107" s="45" t="s">
        <v>224</v>
      </c>
      <c r="C107" s="54" t="s">
        <v>53</v>
      </c>
      <c r="D107" s="49"/>
      <c r="E107" s="56"/>
      <c r="F107" s="56">
        <v>0</v>
      </c>
    </row>
    <row r="108" spans="1:6" s="43" customFormat="1" ht="30.75" customHeight="1">
      <c r="A108" s="357" t="s">
        <v>678</v>
      </c>
      <c r="B108" s="23" t="s">
        <v>728</v>
      </c>
      <c r="C108" s="357" t="s">
        <v>831</v>
      </c>
      <c r="D108" s="44"/>
      <c r="E108" s="55">
        <v>0</v>
      </c>
      <c r="F108" s="55">
        <v>0</v>
      </c>
    </row>
    <row r="109" spans="1:6" s="43" customFormat="1" ht="30.75" customHeight="1">
      <c r="A109" s="357" t="s">
        <v>679</v>
      </c>
      <c r="B109" s="23" t="s">
        <v>729</v>
      </c>
      <c r="C109" s="357" t="s">
        <v>832</v>
      </c>
      <c r="D109" s="44"/>
      <c r="E109" s="55">
        <v>0</v>
      </c>
      <c r="F109" s="55">
        <v>0</v>
      </c>
    </row>
    <row r="110" spans="1:6" s="43" customFormat="1" ht="30.75" customHeight="1">
      <c r="A110" s="357" t="s">
        <v>680</v>
      </c>
      <c r="B110" s="23" t="s">
        <v>730</v>
      </c>
      <c r="C110" s="357" t="s">
        <v>833</v>
      </c>
      <c r="D110" s="44"/>
      <c r="E110" s="55">
        <v>0</v>
      </c>
      <c r="F110" s="55">
        <v>0</v>
      </c>
    </row>
    <row r="111" spans="1:6" s="43" customFormat="1" ht="30.75" customHeight="1">
      <c r="A111" s="357" t="s">
        <v>687</v>
      </c>
      <c r="B111" s="23" t="s">
        <v>731</v>
      </c>
      <c r="C111" s="357" t="s">
        <v>834</v>
      </c>
      <c r="D111" s="44"/>
      <c r="E111" s="450">
        <v>29558475.530000005</v>
      </c>
      <c r="F111" s="202">
        <v>30682334.210000005</v>
      </c>
    </row>
    <row r="112" spans="1:6" s="43" customFormat="1">
      <c r="A112" s="378"/>
      <c r="B112" s="379"/>
      <c r="C112" s="378"/>
      <c r="D112" s="380"/>
      <c r="E112" s="381"/>
      <c r="F112" s="381"/>
    </row>
    <row r="113" spans="1:6" s="43" customFormat="1">
      <c r="A113" s="382"/>
      <c r="B113" s="383"/>
      <c r="C113" s="382"/>
      <c r="D113" s="384"/>
      <c r="E113" s="385"/>
      <c r="F113" s="385"/>
    </row>
    <row r="114" spans="1:6" s="43" customFormat="1">
      <c r="A114" s="382"/>
      <c r="B114" s="383"/>
      <c r="C114" s="382"/>
      <c r="D114" s="384"/>
      <c r="E114" s="385"/>
      <c r="F114" s="385"/>
    </row>
    <row r="115" spans="1:6" s="43" customFormat="1">
      <c r="A115" s="382"/>
      <c r="B115" s="383"/>
      <c r="C115" s="382"/>
      <c r="D115" s="384"/>
      <c r="E115" s="385"/>
      <c r="F115" s="385"/>
    </row>
    <row r="116" spans="1:6" s="43" customFormat="1">
      <c r="A116" s="487" t="s">
        <v>857</v>
      </c>
      <c r="B116" s="487"/>
      <c r="C116" s="473" t="s">
        <v>858</v>
      </c>
      <c r="D116" s="473"/>
      <c r="E116" s="473"/>
      <c r="F116" s="473"/>
    </row>
    <row r="117" spans="1:6" s="43" customFormat="1">
      <c r="A117" s="28"/>
      <c r="B117" s="28"/>
      <c r="C117" s="21"/>
      <c r="D117" s="21"/>
      <c r="E117" s="29"/>
      <c r="F117" s="30"/>
    </row>
    <row r="118" spans="1:6" s="43" customFormat="1">
      <c r="A118" s="28"/>
      <c r="B118" s="28"/>
      <c r="C118" s="21"/>
      <c r="D118" s="241"/>
      <c r="E118" s="29"/>
      <c r="F118" s="30"/>
    </row>
    <row r="119" spans="1:6" s="43" customFormat="1">
      <c r="A119" s="28"/>
      <c r="B119" s="28"/>
      <c r="C119" s="21"/>
      <c r="D119" s="240"/>
      <c r="E119" s="29"/>
      <c r="F119" s="30"/>
    </row>
    <row r="120" spans="1:6" s="43" customFormat="1">
      <c r="A120" s="28"/>
      <c r="B120" s="28"/>
      <c r="C120" s="21"/>
      <c r="D120" s="240"/>
      <c r="E120" s="29"/>
      <c r="F120" s="30"/>
    </row>
    <row r="121" spans="1:6" s="43" customFormat="1">
      <c r="A121" s="28"/>
      <c r="B121" s="28"/>
      <c r="C121" s="21"/>
      <c r="D121" s="240"/>
      <c r="E121" s="29"/>
      <c r="F121" s="30"/>
    </row>
    <row r="122" spans="1:6" s="43" customFormat="1">
      <c r="A122" s="28"/>
      <c r="B122" s="28"/>
      <c r="C122" s="21"/>
      <c r="D122" s="240"/>
      <c r="E122" s="29"/>
      <c r="F122" s="30"/>
    </row>
    <row r="123" spans="1:6" s="43" customFormat="1">
      <c r="A123" s="28"/>
      <c r="B123" s="28"/>
      <c r="C123" s="21"/>
      <c r="D123" s="240"/>
      <c r="E123" s="29"/>
      <c r="F123" s="30"/>
    </row>
    <row r="124" spans="1:6" s="43" customFormat="1">
      <c r="A124" s="28"/>
      <c r="B124" s="28"/>
      <c r="C124" s="21"/>
      <c r="D124" s="21"/>
      <c r="E124" s="29"/>
      <c r="F124" s="30"/>
    </row>
    <row r="125" spans="1:6" s="43" customFormat="1">
      <c r="A125" s="28"/>
      <c r="B125" s="28"/>
      <c r="C125" s="21"/>
      <c r="D125" s="21"/>
      <c r="E125" s="29"/>
      <c r="F125" s="30"/>
    </row>
    <row r="126" spans="1:6" s="43" customFormat="1">
      <c r="A126" s="28"/>
      <c r="B126" s="28"/>
      <c r="C126" s="21"/>
      <c r="D126" s="21"/>
      <c r="E126" s="29"/>
      <c r="F126" s="30"/>
    </row>
    <row r="127" spans="1:6" s="43" customFormat="1">
      <c r="A127" s="28"/>
      <c r="B127" s="28"/>
      <c r="C127" s="21"/>
      <c r="D127" s="21"/>
      <c r="E127" s="29"/>
      <c r="F127" s="30"/>
    </row>
    <row r="128" spans="1:6" s="43" customFormat="1">
      <c r="A128" s="28"/>
      <c r="B128" s="28"/>
      <c r="C128" s="21"/>
      <c r="D128" s="21"/>
      <c r="E128" s="29"/>
      <c r="F128" s="30"/>
    </row>
    <row r="129" spans="1:6" s="43" customFormat="1">
      <c r="A129" s="470" t="s">
        <v>860</v>
      </c>
      <c r="B129" s="470"/>
      <c r="C129" s="488" t="s">
        <v>867</v>
      </c>
      <c r="D129" s="488"/>
      <c r="E129" s="488"/>
      <c r="F129" s="386" t="s">
        <v>860</v>
      </c>
    </row>
    <row r="130" spans="1:6" s="43" customFormat="1">
      <c r="A130" s="473" t="s">
        <v>861</v>
      </c>
      <c r="B130" s="473"/>
      <c r="C130" s="484" t="s">
        <v>868</v>
      </c>
      <c r="D130" s="484"/>
      <c r="E130" s="484"/>
      <c r="F130" s="447" t="s">
        <v>869</v>
      </c>
    </row>
    <row r="131" spans="1:6" s="43" customFormat="1">
      <c r="A131" s="469" t="s">
        <v>864</v>
      </c>
      <c r="B131" s="469"/>
      <c r="C131" s="485" t="s">
        <v>870</v>
      </c>
      <c r="D131" s="486"/>
      <c r="E131" s="486"/>
      <c r="F131" s="448" t="s">
        <v>871</v>
      </c>
    </row>
    <row r="132" spans="1:6" s="43" customFormat="1"/>
    <row r="133" spans="1:6" s="43" customFormat="1"/>
    <row r="134" spans="1:6" s="43" customFormat="1"/>
    <row r="135" spans="1:6" s="43" customFormat="1"/>
    <row r="136" spans="1:6" s="43" customFormat="1"/>
    <row r="137" spans="1:6" s="43" customFormat="1"/>
    <row r="138" spans="1:6" s="43" customFormat="1"/>
    <row r="139" spans="1:6" s="43" customFormat="1"/>
    <row r="140" spans="1:6" s="43" customFormat="1"/>
    <row r="141" spans="1:6" s="43" customFormat="1"/>
    <row r="142" spans="1:6" s="43" customFormat="1"/>
    <row r="143" spans="1:6" s="43" customFormat="1"/>
    <row r="144" spans="1:6" s="43" customFormat="1"/>
    <row r="145" s="43" customFormat="1"/>
    <row r="146" s="43" customFormat="1"/>
  </sheetData>
  <mergeCells count="20">
    <mergeCell ref="B1:F1"/>
    <mergeCell ref="B2:F2"/>
    <mergeCell ref="B3:F4"/>
    <mergeCell ref="B5:F5"/>
    <mergeCell ref="C7:F7"/>
    <mergeCell ref="C13:F13"/>
    <mergeCell ref="C14:F14"/>
    <mergeCell ref="C12:F12"/>
    <mergeCell ref="C8:F8"/>
    <mergeCell ref="C10:F10"/>
    <mergeCell ref="C11:F11"/>
    <mergeCell ref="C9:F9"/>
    <mergeCell ref="A130:B130"/>
    <mergeCell ref="C130:E130"/>
    <mergeCell ref="A131:B131"/>
    <mergeCell ref="C131:E131"/>
    <mergeCell ref="A116:B116"/>
    <mergeCell ref="C116:F116"/>
    <mergeCell ref="A129:B129"/>
    <mergeCell ref="C129:E129"/>
  </mergeCells>
  <printOptions horizontalCentered="1"/>
  <pageMargins left="0.2" right="0.2" top="0.85" bottom="0.82" header="0.3" footer="0.62"/>
  <pageSetup scale="64" orientation="portrait" r:id="rId1"/>
  <drawing r:id="rId2"/>
</worksheet>
</file>

<file path=xl/worksheets/sheet4.xml><?xml version="1.0" encoding="utf-8"?>
<worksheet xmlns="http://schemas.openxmlformats.org/spreadsheetml/2006/main" xmlns:r="http://schemas.openxmlformats.org/officeDocument/2006/relationships">
  <sheetPr>
    <tabColor rgb="FF0070C0"/>
  </sheetPr>
  <dimension ref="A1:F93"/>
  <sheetViews>
    <sheetView showGridLines="0" view="pageBreakPreview" zoomScaleNormal="100" zoomScaleSheetLayoutView="100" workbookViewId="0">
      <selection activeCell="B6" sqref="B6"/>
    </sheetView>
  </sheetViews>
  <sheetFormatPr defaultColWidth="9.140625" defaultRowHeight="12.75"/>
  <cols>
    <col min="1" max="1" width="9.140625" style="32"/>
    <col min="2" max="2" width="56.28515625" style="32" customWidth="1"/>
    <col min="3" max="3" width="9.140625" style="32"/>
    <col min="4" max="4" width="11.85546875" style="147" customWidth="1"/>
    <col min="5" max="5" width="24.28515625" style="147" customWidth="1"/>
    <col min="6" max="6" width="25.140625" style="272" customWidth="1"/>
    <col min="7" max="16384" width="9.140625" style="32"/>
  </cols>
  <sheetData>
    <row r="1" spans="2:6" s="261" customFormat="1" ht="32.25" customHeight="1">
      <c r="B1" s="474" t="s">
        <v>511</v>
      </c>
      <c r="C1" s="474"/>
      <c r="D1" s="474"/>
      <c r="E1" s="474"/>
      <c r="F1" s="474"/>
    </row>
    <row r="2" spans="2:6" s="261" customFormat="1" ht="26.25" customHeight="1">
      <c r="B2" s="475" t="s">
        <v>512</v>
      </c>
      <c r="C2" s="475"/>
      <c r="D2" s="475"/>
      <c r="E2" s="475"/>
      <c r="F2" s="475"/>
    </row>
    <row r="3" spans="2:6" s="261" customFormat="1" ht="18" customHeight="1">
      <c r="B3" s="476" t="s">
        <v>513</v>
      </c>
      <c r="C3" s="476"/>
      <c r="D3" s="476"/>
      <c r="E3" s="476"/>
      <c r="F3" s="476"/>
    </row>
    <row r="4" spans="2:6" s="261" customFormat="1" ht="19.5" customHeight="1">
      <c r="B4" s="476"/>
      <c r="C4" s="476"/>
      <c r="D4" s="476"/>
      <c r="E4" s="476"/>
      <c r="F4" s="476"/>
    </row>
    <row r="5" spans="2:6" s="261" customFormat="1">
      <c r="B5" s="477" t="s">
        <v>996</v>
      </c>
      <c r="C5" s="477"/>
      <c r="D5" s="477"/>
      <c r="E5" s="477"/>
      <c r="F5" s="477"/>
    </row>
    <row r="6" spans="2:6" s="261" customFormat="1">
      <c r="B6" s="252"/>
      <c r="C6" s="252"/>
      <c r="D6" s="252"/>
      <c r="E6" s="252"/>
      <c r="F6" s="252"/>
    </row>
    <row r="7" spans="2:6" s="261" customFormat="1">
      <c r="B7" s="190" t="s">
        <v>464</v>
      </c>
      <c r="C7" s="489" t="s">
        <v>475</v>
      </c>
      <c r="D7" s="489"/>
      <c r="E7" s="489"/>
      <c r="F7" s="489"/>
    </row>
    <row r="8" spans="2:6" s="261" customFormat="1" ht="12.75" customHeight="1">
      <c r="B8" s="191" t="s">
        <v>959</v>
      </c>
      <c r="C8" s="490" t="s">
        <v>614</v>
      </c>
      <c r="D8" s="490"/>
      <c r="E8" s="490"/>
      <c r="F8" s="490"/>
    </row>
    <row r="9" spans="2:6" s="261" customFormat="1" ht="12.75" customHeight="1">
      <c r="B9" s="190" t="s">
        <v>466</v>
      </c>
      <c r="C9" s="489" t="s">
        <v>1007</v>
      </c>
      <c r="D9" s="489"/>
      <c r="E9" s="489"/>
      <c r="F9" s="489"/>
    </row>
    <row r="10" spans="2:6" s="261" customFormat="1" ht="14.25" customHeight="1">
      <c r="B10" s="192" t="s">
        <v>468</v>
      </c>
      <c r="C10" s="490" t="s">
        <v>469</v>
      </c>
      <c r="D10" s="490"/>
      <c r="E10" s="490"/>
      <c r="F10" s="490"/>
    </row>
    <row r="11" spans="2:6" s="261" customFormat="1" ht="14.25" customHeight="1">
      <c r="B11" s="190" t="s">
        <v>401</v>
      </c>
      <c r="C11" s="489" t="s">
        <v>501</v>
      </c>
      <c r="D11" s="489"/>
      <c r="E11" s="489"/>
      <c r="F11" s="489"/>
    </row>
    <row r="12" spans="2:6" s="261" customFormat="1" ht="15" customHeight="1">
      <c r="B12" s="193" t="s">
        <v>399</v>
      </c>
      <c r="C12" s="490" t="s">
        <v>500</v>
      </c>
      <c r="D12" s="490"/>
      <c r="E12" s="490"/>
      <c r="F12" s="490"/>
    </row>
    <row r="13" spans="2:6" s="261" customFormat="1" ht="17.25" customHeight="1">
      <c r="B13" s="253" t="s">
        <v>146</v>
      </c>
      <c r="C13" s="494" t="s">
        <v>997</v>
      </c>
      <c r="D13" s="489"/>
      <c r="E13" s="489"/>
      <c r="F13" s="489"/>
    </row>
    <row r="14" spans="2:6" s="261" customFormat="1" ht="15.75" customHeight="1">
      <c r="B14" s="195" t="s">
        <v>147</v>
      </c>
      <c r="C14" s="464">
        <v>43475</v>
      </c>
      <c r="D14" s="464"/>
      <c r="E14" s="464"/>
      <c r="F14" s="464"/>
    </row>
    <row r="15" spans="2:6" s="261" customFormat="1">
      <c r="B15"/>
      <c r="C15"/>
      <c r="D15" s="232"/>
      <c r="E15" s="232"/>
      <c r="F15" s="262"/>
    </row>
    <row r="16" spans="2:6" s="263" customFormat="1" ht="38.25">
      <c r="B16" s="41" t="s">
        <v>148</v>
      </c>
      <c r="C16" s="41" t="s">
        <v>149</v>
      </c>
      <c r="D16" s="42" t="s">
        <v>150</v>
      </c>
      <c r="E16" s="41" t="s">
        <v>1000</v>
      </c>
      <c r="F16" s="41" t="s">
        <v>989</v>
      </c>
    </row>
    <row r="17" spans="1:6" s="263" customFormat="1" ht="30.75" customHeight="1">
      <c r="B17" s="434" t="s">
        <v>514</v>
      </c>
      <c r="C17" s="347" t="s">
        <v>43</v>
      </c>
      <c r="D17" s="39"/>
      <c r="E17" s="420"/>
      <c r="F17" s="420"/>
    </row>
    <row r="18" spans="1:6" s="263" customFormat="1" ht="30" customHeight="1">
      <c r="A18" s="264"/>
      <c r="B18" s="435" t="s">
        <v>515</v>
      </c>
      <c r="C18" s="421" t="s">
        <v>8</v>
      </c>
      <c r="D18" s="422"/>
      <c r="E18" s="423">
        <v>-152324285779</v>
      </c>
      <c r="F18" s="423">
        <v>51728878849</v>
      </c>
    </row>
    <row r="19" spans="1:6" s="263" customFormat="1" ht="40.5" customHeight="1">
      <c r="B19" s="435" t="s">
        <v>516</v>
      </c>
      <c r="C19" s="421" t="s">
        <v>9</v>
      </c>
      <c r="D19" s="422"/>
      <c r="E19" s="423">
        <v>151659616005</v>
      </c>
      <c r="F19" s="423">
        <v>-41130331691</v>
      </c>
    </row>
    <row r="20" spans="1:6" s="263" customFormat="1" ht="42.75" customHeight="1">
      <c r="A20" s="264"/>
      <c r="B20" s="436" t="s">
        <v>517</v>
      </c>
      <c r="C20" s="352" t="s">
        <v>10</v>
      </c>
      <c r="D20" s="44"/>
      <c r="E20" s="424">
        <v>151567975123</v>
      </c>
      <c r="F20" s="425">
        <v>-41073918591</v>
      </c>
    </row>
    <row r="21" spans="1:6" s="263" customFormat="1" ht="28.5" customHeight="1">
      <c r="A21" s="264"/>
      <c r="B21" s="436" t="s">
        <v>518</v>
      </c>
      <c r="C21" s="352" t="s">
        <v>19</v>
      </c>
      <c r="D21" s="44"/>
      <c r="E21" s="425">
        <v>91640882</v>
      </c>
      <c r="F21" s="425">
        <v>-56413100</v>
      </c>
    </row>
    <row r="22" spans="1:6" s="263" customFormat="1" ht="28.5" customHeight="1">
      <c r="B22" s="435" t="s">
        <v>519</v>
      </c>
      <c r="C22" s="421" t="s">
        <v>20</v>
      </c>
      <c r="D22" s="422"/>
      <c r="E22" s="423">
        <v>-664669774</v>
      </c>
      <c r="F22" s="423">
        <v>10598547158</v>
      </c>
    </row>
    <row r="23" spans="1:6" s="263" customFormat="1" ht="28.5" customHeight="1">
      <c r="A23" s="264"/>
      <c r="B23" s="437" t="s">
        <v>520</v>
      </c>
      <c r="C23" s="350" t="s">
        <v>26</v>
      </c>
      <c r="D23" s="35"/>
      <c r="E23" s="425">
        <v>7090761027</v>
      </c>
      <c r="F23" s="426">
        <v>-26740627309</v>
      </c>
    </row>
    <row r="24" spans="1:6" s="263" customFormat="1" ht="43.5" customHeight="1">
      <c r="A24" s="264"/>
      <c r="B24" s="437" t="s">
        <v>521</v>
      </c>
      <c r="C24" s="352" t="s">
        <v>21</v>
      </c>
      <c r="D24" s="44"/>
      <c r="E24" s="425">
        <v>-10497500000</v>
      </c>
      <c r="F24" s="426">
        <v>39643981500</v>
      </c>
    </row>
    <row r="25" spans="1:6" s="263" customFormat="1" ht="30" customHeight="1">
      <c r="A25" s="264"/>
      <c r="B25" s="437" t="s">
        <v>522</v>
      </c>
      <c r="C25" s="352" t="s">
        <v>22</v>
      </c>
      <c r="D25" s="44"/>
      <c r="E25" s="425">
        <v>-4030835352</v>
      </c>
      <c r="F25" s="426">
        <v>3040180051</v>
      </c>
    </row>
    <row r="26" spans="1:6" s="263" customFormat="1" ht="30" customHeight="1">
      <c r="A26" s="264"/>
      <c r="B26" s="436" t="s">
        <v>523</v>
      </c>
      <c r="C26" s="352" t="s">
        <v>23</v>
      </c>
      <c r="D26" s="44"/>
      <c r="E26" s="425">
        <v>0</v>
      </c>
      <c r="F26" s="426">
        <v>0</v>
      </c>
    </row>
    <row r="27" spans="1:6" s="263" customFormat="1" ht="30" customHeight="1">
      <c r="A27" s="264"/>
      <c r="B27" s="436" t="s">
        <v>524</v>
      </c>
      <c r="C27" s="352" t="s">
        <v>24</v>
      </c>
      <c r="D27" s="44"/>
      <c r="E27" s="425">
        <v>0</v>
      </c>
      <c r="F27" s="426">
        <v>0</v>
      </c>
    </row>
    <row r="28" spans="1:6" s="263" customFormat="1" ht="40.5" customHeight="1">
      <c r="A28" s="264"/>
      <c r="B28" s="436" t="s">
        <v>525</v>
      </c>
      <c r="C28" s="352" t="s">
        <v>18</v>
      </c>
      <c r="D28" s="44"/>
      <c r="E28" s="425">
        <v>-34220747000</v>
      </c>
      <c r="F28" s="426">
        <v>52464303000</v>
      </c>
    </row>
    <row r="29" spans="1:6" s="263" customFormat="1" ht="57" customHeight="1">
      <c r="A29" s="264"/>
      <c r="B29" s="436" t="s">
        <v>526</v>
      </c>
      <c r="C29" s="352" t="s">
        <v>17</v>
      </c>
      <c r="D29" s="44"/>
      <c r="E29" s="425">
        <v>11310608</v>
      </c>
      <c r="F29" s="426">
        <v>37660455</v>
      </c>
    </row>
    <row r="30" spans="1:6" s="263" customFormat="1" ht="29.25" customHeight="1">
      <c r="A30" s="264"/>
      <c r="B30" s="436" t="s">
        <v>527</v>
      </c>
      <c r="C30" s="352" t="s">
        <v>16</v>
      </c>
      <c r="D30" s="44"/>
      <c r="E30" s="425">
        <v>0</v>
      </c>
      <c r="F30" s="426">
        <v>0</v>
      </c>
    </row>
    <row r="31" spans="1:6" s="263" customFormat="1" ht="42" customHeight="1">
      <c r="A31" s="264"/>
      <c r="B31" s="436" t="s">
        <v>528</v>
      </c>
      <c r="C31" s="352" t="s">
        <v>15</v>
      </c>
      <c r="D31" s="44"/>
      <c r="E31" s="425">
        <v>-3395261</v>
      </c>
      <c r="F31" s="426">
        <v>-476743</v>
      </c>
    </row>
    <row r="32" spans="1:6" s="263" customFormat="1" ht="30" customHeight="1">
      <c r="A32" s="264"/>
      <c r="B32" s="436" t="s">
        <v>529</v>
      </c>
      <c r="C32" s="352" t="s">
        <v>14</v>
      </c>
      <c r="D32" s="44"/>
      <c r="E32" s="425">
        <v>804000000</v>
      </c>
      <c r="F32" s="426">
        <v>-23500000</v>
      </c>
    </row>
    <row r="33" spans="1:6" s="263" customFormat="1" ht="43.5" customHeight="1">
      <c r="A33" s="264"/>
      <c r="B33" s="436" t="s">
        <v>530</v>
      </c>
      <c r="C33" s="352" t="s">
        <v>25</v>
      </c>
      <c r="D33" s="44"/>
      <c r="E33" s="425">
        <v>-118088510</v>
      </c>
      <c r="F33" s="426">
        <v>-463429354</v>
      </c>
    </row>
    <row r="34" spans="1:6" s="263" customFormat="1" ht="30" customHeight="1">
      <c r="A34" s="264"/>
      <c r="B34" s="436" t="s">
        <v>531</v>
      </c>
      <c r="C34" s="352" t="s">
        <v>532</v>
      </c>
      <c r="D34" s="44"/>
      <c r="E34" s="425">
        <v>-31299894</v>
      </c>
      <c r="F34" s="426">
        <v>23515397</v>
      </c>
    </row>
    <row r="35" spans="1:6" s="263" customFormat="1" ht="43.5" customHeight="1">
      <c r="A35" s="264"/>
      <c r="B35" s="436" t="s">
        <v>533</v>
      </c>
      <c r="C35" s="352" t="s">
        <v>534</v>
      </c>
      <c r="D35" s="44"/>
      <c r="E35" s="425">
        <v>-43634472</v>
      </c>
      <c r="F35" s="426">
        <v>-281925238</v>
      </c>
    </row>
    <row r="36" spans="1:6" s="263" customFormat="1" ht="30.75" customHeight="1">
      <c r="A36" s="264"/>
      <c r="B36" s="436" t="s">
        <v>535</v>
      </c>
      <c r="C36" s="352" t="s">
        <v>536</v>
      </c>
      <c r="D36" s="44"/>
      <c r="E36" s="425">
        <v>0</v>
      </c>
      <c r="F36" s="426">
        <v>0</v>
      </c>
    </row>
    <row r="37" spans="1:6" s="263" customFormat="1" ht="30.75" customHeight="1">
      <c r="B37" s="438" t="s">
        <v>537</v>
      </c>
      <c r="C37" s="427" t="s">
        <v>538</v>
      </c>
      <c r="D37" s="428"/>
      <c r="E37" s="429">
        <v>-41704098628</v>
      </c>
      <c r="F37" s="429">
        <v>78298228917</v>
      </c>
    </row>
    <row r="38" spans="1:6" s="263" customFormat="1" ht="33.75" customHeight="1">
      <c r="A38" s="264"/>
      <c r="B38" s="434" t="s">
        <v>539</v>
      </c>
      <c r="C38" s="347" t="s">
        <v>49</v>
      </c>
      <c r="D38" s="39"/>
      <c r="E38" s="430"/>
      <c r="F38" s="430"/>
    </row>
    <row r="39" spans="1:6" s="263" customFormat="1" ht="29.25" customHeight="1">
      <c r="A39" s="264"/>
      <c r="B39" s="436" t="s">
        <v>540</v>
      </c>
      <c r="C39" s="352" t="s">
        <v>12</v>
      </c>
      <c r="D39" s="44"/>
      <c r="E39" s="425">
        <v>94938942207</v>
      </c>
      <c r="F39" s="425">
        <v>134850183954</v>
      </c>
    </row>
    <row r="40" spans="1:6" s="263" customFormat="1" ht="29.25" customHeight="1">
      <c r="A40" s="264"/>
      <c r="B40" s="436" t="s">
        <v>541</v>
      </c>
      <c r="C40" s="352" t="s">
        <v>11</v>
      </c>
      <c r="D40" s="44"/>
      <c r="E40" s="425">
        <v>-128701742226</v>
      </c>
      <c r="F40" s="425">
        <v>-191313533029</v>
      </c>
    </row>
    <row r="41" spans="1:6" s="263" customFormat="1" ht="29.25" customHeight="1">
      <c r="A41" s="264"/>
      <c r="B41" s="436" t="s">
        <v>542</v>
      </c>
      <c r="C41" s="352" t="s">
        <v>543</v>
      </c>
      <c r="D41" s="44"/>
      <c r="E41" s="425">
        <v>0</v>
      </c>
      <c r="F41" s="425">
        <v>0</v>
      </c>
    </row>
    <row r="42" spans="1:6" s="263" customFormat="1" ht="29.25" customHeight="1">
      <c r="A42" s="264"/>
      <c r="B42" s="436" t="s">
        <v>544</v>
      </c>
      <c r="C42" s="352" t="s">
        <v>545</v>
      </c>
      <c r="D42" s="44"/>
      <c r="E42" s="425">
        <v>0</v>
      </c>
      <c r="F42" s="425">
        <v>0</v>
      </c>
    </row>
    <row r="43" spans="1:6" s="263" customFormat="1" ht="29.25" customHeight="1">
      <c r="A43" s="264"/>
      <c r="B43" s="436" t="s">
        <v>546</v>
      </c>
      <c r="C43" s="352" t="s">
        <v>547</v>
      </c>
      <c r="D43" s="44"/>
      <c r="E43" s="425">
        <v>0</v>
      </c>
      <c r="F43" s="425">
        <v>0</v>
      </c>
    </row>
    <row r="44" spans="1:6" s="263" customFormat="1" ht="36" customHeight="1">
      <c r="B44" s="438" t="s">
        <v>548</v>
      </c>
      <c r="C44" s="427" t="s">
        <v>13</v>
      </c>
      <c r="D44" s="428"/>
      <c r="E44" s="429">
        <v>-33762800019</v>
      </c>
      <c r="F44" s="429">
        <v>-56463349075</v>
      </c>
    </row>
    <row r="45" spans="1:6" s="263" customFormat="1" ht="42" customHeight="1">
      <c r="B45" s="434" t="s">
        <v>549</v>
      </c>
      <c r="C45" s="347" t="s">
        <v>41</v>
      </c>
      <c r="D45" s="39"/>
      <c r="E45" s="431">
        <v>-75466898647</v>
      </c>
      <c r="F45" s="431">
        <v>21834879842</v>
      </c>
    </row>
    <row r="46" spans="1:6" s="263" customFormat="1" ht="33" customHeight="1">
      <c r="B46" s="434" t="s">
        <v>550</v>
      </c>
      <c r="C46" s="347" t="s">
        <v>551</v>
      </c>
      <c r="D46" s="39"/>
      <c r="E46" s="431">
        <v>144350344500</v>
      </c>
      <c r="F46" s="431">
        <v>122515464658</v>
      </c>
    </row>
    <row r="47" spans="1:6" s="263" customFormat="1" ht="29.25" customHeight="1">
      <c r="B47" s="436" t="s">
        <v>552</v>
      </c>
      <c r="C47" s="352" t="s">
        <v>553</v>
      </c>
      <c r="D47" s="44"/>
      <c r="E47" s="425">
        <v>144350344500</v>
      </c>
      <c r="F47" s="425">
        <v>122515464658</v>
      </c>
    </row>
    <row r="48" spans="1:6" s="263" customFormat="1" ht="29.25" customHeight="1">
      <c r="B48" s="439" t="s">
        <v>554</v>
      </c>
      <c r="C48" s="352" t="s">
        <v>555</v>
      </c>
      <c r="D48" s="44"/>
      <c r="E48" s="425">
        <v>116511871800</v>
      </c>
      <c r="F48" s="425">
        <v>27520128017</v>
      </c>
    </row>
    <row r="49" spans="2:6" s="263" customFormat="1" ht="29.25" customHeight="1">
      <c r="B49" s="439" t="s">
        <v>601</v>
      </c>
      <c r="C49" s="352" t="s">
        <v>556</v>
      </c>
      <c r="D49" s="44"/>
      <c r="E49" s="425">
        <v>35000000</v>
      </c>
      <c r="F49" s="425">
        <v>1033625744</v>
      </c>
    </row>
    <row r="50" spans="2:6" s="263" customFormat="1" ht="38.25">
      <c r="B50" s="439" t="s">
        <v>600</v>
      </c>
      <c r="C50" s="352" t="s">
        <v>557</v>
      </c>
      <c r="D50" s="44"/>
      <c r="E50" s="425">
        <v>3832975400</v>
      </c>
      <c r="F50" s="425">
        <v>3933660847</v>
      </c>
    </row>
    <row r="51" spans="2:6" s="263" customFormat="1" ht="36" customHeight="1">
      <c r="B51" s="439" t="s">
        <v>994</v>
      </c>
      <c r="C51" s="352"/>
      <c r="D51" s="44"/>
      <c r="E51" s="425">
        <v>3970497300</v>
      </c>
      <c r="F51" s="425">
        <v>10028050050</v>
      </c>
    </row>
    <row r="52" spans="2:6" s="263" customFormat="1" ht="25.5">
      <c r="B52" s="439" t="s">
        <v>616</v>
      </c>
      <c r="C52" s="352"/>
      <c r="D52" s="44"/>
      <c r="E52" s="425">
        <v>20000000000</v>
      </c>
      <c r="F52" s="425">
        <v>80000000000</v>
      </c>
    </row>
    <row r="53" spans="2:6" s="263" customFormat="1" ht="29.25" customHeight="1">
      <c r="B53" s="434" t="s">
        <v>558</v>
      </c>
      <c r="C53" s="347" t="s">
        <v>559</v>
      </c>
      <c r="D53" s="39"/>
      <c r="E53" s="431">
        <v>68883445853</v>
      </c>
      <c r="F53" s="431">
        <v>144350344500</v>
      </c>
    </row>
    <row r="54" spans="2:6" s="263" customFormat="1" ht="29.25" customHeight="1">
      <c r="B54" s="436" t="s">
        <v>560</v>
      </c>
      <c r="C54" s="352" t="s">
        <v>561</v>
      </c>
      <c r="D54" s="44"/>
      <c r="E54" s="425">
        <v>68883445853</v>
      </c>
      <c r="F54" s="425">
        <v>144350344500</v>
      </c>
    </row>
    <row r="55" spans="2:6" s="263" customFormat="1" ht="29.25" customHeight="1">
      <c r="B55" s="439" t="s">
        <v>554</v>
      </c>
      <c r="C55" s="352" t="s">
        <v>562</v>
      </c>
      <c r="D55" s="44"/>
      <c r="E55" s="425">
        <v>30075335199</v>
      </c>
      <c r="F55" s="425">
        <v>116511871800</v>
      </c>
    </row>
    <row r="56" spans="2:6" s="263" customFormat="1" ht="29.25" customHeight="1">
      <c r="B56" s="439" t="s">
        <v>601</v>
      </c>
      <c r="C56" s="352" t="s">
        <v>563</v>
      </c>
      <c r="D56" s="44"/>
      <c r="E56" s="424">
        <v>9000000</v>
      </c>
      <c r="F56" s="425">
        <v>35000000</v>
      </c>
    </row>
    <row r="57" spans="2:6" s="300" customFormat="1" ht="33.75" customHeight="1">
      <c r="B57" s="439" t="s">
        <v>994</v>
      </c>
      <c r="C57" s="352"/>
      <c r="D57" s="44"/>
      <c r="E57" s="424">
        <v>0</v>
      </c>
      <c r="F57" s="424">
        <v>3970497300</v>
      </c>
    </row>
    <row r="58" spans="2:6" s="263" customFormat="1" ht="44.25" customHeight="1">
      <c r="B58" s="439" t="s">
        <v>600</v>
      </c>
      <c r="C58" s="352" t="s">
        <v>564</v>
      </c>
      <c r="D58" s="44"/>
      <c r="E58" s="425">
        <v>3799110654</v>
      </c>
      <c r="F58" s="425">
        <v>3832975400</v>
      </c>
    </row>
    <row r="59" spans="2:6" s="263" customFormat="1" ht="37.5" customHeight="1">
      <c r="B59" s="439" t="s">
        <v>616</v>
      </c>
      <c r="C59" s="352"/>
      <c r="D59" s="44"/>
      <c r="E59" s="424">
        <v>35000000000</v>
      </c>
      <c r="F59" s="424">
        <v>20000000000</v>
      </c>
    </row>
    <row r="60" spans="2:6" s="263" customFormat="1" ht="29.25" customHeight="1">
      <c r="B60" s="434" t="s">
        <v>565</v>
      </c>
      <c r="C60" s="347" t="s">
        <v>566</v>
      </c>
      <c r="D60" s="39"/>
      <c r="E60" s="432">
        <v>-75466898647</v>
      </c>
      <c r="F60" s="432">
        <v>21834879842</v>
      </c>
    </row>
    <row r="61" spans="2:6" s="263" customFormat="1" ht="29.25" customHeight="1">
      <c r="B61" s="440" t="s">
        <v>567</v>
      </c>
      <c r="C61" s="352" t="s">
        <v>568</v>
      </c>
      <c r="D61" s="44"/>
      <c r="E61" s="433"/>
      <c r="F61" s="433"/>
    </row>
    <row r="62" spans="2:6" s="263" customFormat="1">
      <c r="B62" s="51"/>
      <c r="C62" s="22"/>
      <c r="D62" s="22"/>
      <c r="E62" s="265"/>
      <c r="F62" s="265"/>
    </row>
    <row r="63" spans="2:6" s="263" customFormat="1">
      <c r="B63" s="21"/>
      <c r="C63" s="21"/>
      <c r="D63" s="21"/>
      <c r="E63" s="26"/>
      <c r="F63" s="21"/>
    </row>
    <row r="64" spans="2:6" s="263" customFormat="1">
      <c r="B64" s="47"/>
      <c r="C64" s="47"/>
      <c r="D64" s="58"/>
      <c r="E64" s="58"/>
      <c r="F64" s="58"/>
    </row>
    <row r="65" spans="2:6" s="263" customFormat="1">
      <c r="B65" s="387" t="s">
        <v>857</v>
      </c>
      <c r="C65" s="491" t="s">
        <v>858</v>
      </c>
      <c r="D65" s="491"/>
      <c r="E65" s="491"/>
      <c r="F65" s="491"/>
    </row>
    <row r="66" spans="2:6" s="263" customFormat="1">
      <c r="B66" s="388"/>
      <c r="C66" s="388"/>
      <c r="D66" s="388"/>
      <c r="E66" s="388"/>
      <c r="F66" s="388"/>
    </row>
    <row r="67" spans="2:6" s="263" customFormat="1">
      <c r="B67" s="388"/>
      <c r="C67" s="388"/>
      <c r="D67" s="388"/>
      <c r="E67" s="388"/>
      <c r="F67" s="388"/>
    </row>
    <row r="68" spans="2:6" s="263" customFormat="1">
      <c r="B68" s="388"/>
      <c r="C68" s="388"/>
      <c r="D68" s="388"/>
      <c r="E68" s="388"/>
      <c r="F68" s="388"/>
    </row>
    <row r="69" spans="2:6" s="263" customFormat="1">
      <c r="B69" s="388"/>
      <c r="C69" s="388"/>
      <c r="D69" s="388"/>
      <c r="E69" s="388"/>
      <c r="F69" s="388"/>
    </row>
    <row r="70" spans="2:6" s="263" customFormat="1">
      <c r="B70" s="388"/>
      <c r="C70" s="388"/>
      <c r="D70" s="388"/>
      <c r="E70" s="388"/>
      <c r="F70" s="388"/>
    </row>
    <row r="71" spans="2:6" s="263" customFormat="1">
      <c r="B71" s="388"/>
      <c r="C71" s="388"/>
      <c r="D71" s="388"/>
      <c r="E71" s="388"/>
      <c r="F71" s="388"/>
    </row>
    <row r="72" spans="2:6" s="263" customFormat="1">
      <c r="B72" s="388"/>
      <c r="C72" s="388"/>
      <c r="D72" s="388"/>
      <c r="E72" s="388"/>
      <c r="F72" s="388"/>
    </row>
    <row r="73" spans="2:6" s="263" customFormat="1">
      <c r="B73" s="388"/>
      <c r="C73" s="388"/>
      <c r="D73" s="388"/>
      <c r="E73" s="388"/>
      <c r="F73" s="388"/>
    </row>
    <row r="74" spans="2:6" s="263" customFormat="1">
      <c r="B74" s="388"/>
      <c r="C74" s="388"/>
      <c r="D74" s="388"/>
      <c r="E74" s="388"/>
      <c r="F74" s="388"/>
    </row>
    <row r="75" spans="2:6" s="263" customFormat="1">
      <c r="B75" s="388"/>
      <c r="C75" s="388"/>
      <c r="D75" s="388"/>
      <c r="E75" s="388"/>
      <c r="F75" s="388"/>
    </row>
    <row r="76" spans="2:6" s="263" customFormat="1">
      <c r="B76" s="388"/>
      <c r="C76" s="388"/>
      <c r="D76" s="388"/>
      <c r="E76" s="388"/>
      <c r="F76" s="388"/>
    </row>
    <row r="77" spans="2:6" s="263" customFormat="1">
      <c r="B77" s="374" t="s">
        <v>859</v>
      </c>
      <c r="C77" s="492" t="s">
        <v>873</v>
      </c>
      <c r="D77" s="492"/>
      <c r="E77" s="492"/>
      <c r="F77" s="386" t="s">
        <v>874</v>
      </c>
    </row>
    <row r="78" spans="2:6" s="263" customFormat="1">
      <c r="B78" s="375" t="s">
        <v>861</v>
      </c>
      <c r="C78" s="492" t="s">
        <v>872</v>
      </c>
      <c r="D78" s="492"/>
      <c r="E78" s="492"/>
      <c r="F78" s="377" t="s">
        <v>875</v>
      </c>
    </row>
    <row r="79" spans="2:6" s="263" customFormat="1">
      <c r="B79" s="376" t="s">
        <v>864</v>
      </c>
      <c r="C79" s="493" t="s">
        <v>865</v>
      </c>
      <c r="D79" s="493"/>
      <c r="E79" s="493"/>
      <c r="F79" s="27" t="s">
        <v>876</v>
      </c>
    </row>
    <row r="80" spans="2:6" s="263" customFormat="1">
      <c r="B80" s="266"/>
      <c r="C80" s="266"/>
      <c r="D80" s="267"/>
      <c r="E80" s="267"/>
      <c r="F80" s="268"/>
    </row>
    <row r="81" spans="1:6" s="263" customFormat="1">
      <c r="B81" s="266"/>
      <c r="C81" s="266"/>
      <c r="D81" s="267"/>
      <c r="E81" s="267"/>
      <c r="F81" s="268"/>
    </row>
    <row r="82" spans="1:6" s="43" customFormat="1">
      <c r="D82" s="269"/>
      <c r="E82" s="269"/>
      <c r="F82" s="270"/>
    </row>
    <row r="83" spans="1:6" s="43" customFormat="1">
      <c r="D83" s="269"/>
      <c r="E83" s="269"/>
      <c r="F83" s="270"/>
    </row>
    <row r="84" spans="1:6" s="43" customFormat="1">
      <c r="B84" s="271"/>
      <c r="D84" s="269"/>
      <c r="E84" s="269"/>
      <c r="F84" s="270"/>
    </row>
    <row r="85" spans="1:6" s="43" customFormat="1">
      <c r="D85" s="269"/>
      <c r="E85" s="269"/>
      <c r="F85" s="270"/>
    </row>
    <row r="86" spans="1:6" s="43" customFormat="1">
      <c r="A86" s="264"/>
      <c r="D86" s="269"/>
      <c r="E86" s="269"/>
      <c r="F86" s="270"/>
    </row>
    <row r="87" spans="1:6" s="43" customFormat="1">
      <c r="A87" s="264"/>
      <c r="D87" s="269"/>
      <c r="E87" s="269"/>
      <c r="F87" s="270"/>
    </row>
    <row r="88" spans="1:6" s="43" customFormat="1">
      <c r="D88" s="269"/>
      <c r="E88" s="269"/>
      <c r="F88" s="270"/>
    </row>
    <row r="89" spans="1:6" s="43" customFormat="1">
      <c r="B89" s="271"/>
      <c r="D89" s="269"/>
      <c r="E89" s="269"/>
      <c r="F89" s="270"/>
    </row>
    <row r="90" spans="1:6" s="43" customFormat="1">
      <c r="D90" s="269"/>
      <c r="E90" s="269"/>
      <c r="F90" s="270"/>
    </row>
    <row r="91" spans="1:6" s="43" customFormat="1">
      <c r="A91" s="264"/>
      <c r="D91" s="269"/>
      <c r="E91" s="269"/>
      <c r="F91" s="270"/>
    </row>
    <row r="92" spans="1:6" s="43" customFormat="1">
      <c r="A92" s="264"/>
      <c r="D92" s="269"/>
      <c r="E92" s="269"/>
      <c r="F92" s="270"/>
    </row>
    <row r="93" spans="1:6" s="43" customFormat="1">
      <c r="D93" s="269"/>
      <c r="E93" s="269"/>
      <c r="F93" s="270"/>
    </row>
  </sheetData>
  <mergeCells count="16">
    <mergeCell ref="C13:F13"/>
    <mergeCell ref="C8:F8"/>
    <mergeCell ref="C9:F9"/>
    <mergeCell ref="C10:F10"/>
    <mergeCell ref="C11:F11"/>
    <mergeCell ref="C12:F12"/>
    <mergeCell ref="B1:F1"/>
    <mergeCell ref="B2:F2"/>
    <mergeCell ref="B3:F4"/>
    <mergeCell ref="B5:F5"/>
    <mergeCell ref="C7:F7"/>
    <mergeCell ref="C65:F65"/>
    <mergeCell ref="C77:E77"/>
    <mergeCell ref="C78:E78"/>
    <mergeCell ref="C79:E79"/>
    <mergeCell ref="C14:F14"/>
  </mergeCells>
  <dataValidations count="2">
    <dataValidation allowBlank="1" showInputMessage="1" showErrorMessage="1" promptTitle="Lưu ý nhập liệu!" prompt="Nhập năm báo cáo!" sqref="E16:F16"/>
    <dataValidation type="decimal" allowBlank="1" showInputMessage="1" showErrorMessage="1" errorTitle="Sai kiểu dữ liệu!" error="Dữ liệu nhập vào phải là kiểu số!" sqref="E17:F61">
      <formula1>-9999999999999990000</formula1>
      <formula2>99999999999999900000</formula2>
    </dataValidation>
  </dataValidations>
  <printOptions horizontalCentered="1"/>
  <pageMargins left="0.7" right="0.7" top="0.75" bottom="0.75" header="0.3" footer="0.3"/>
  <pageSetup scale="65" orientation="portrait" r:id="rId1"/>
  <rowBreaks count="1" manualBreakCount="1">
    <brk id="37" min="1" max="5" man="1"/>
  </rowBreaks>
  <drawing r:id="rId2"/>
</worksheet>
</file>

<file path=xl/worksheets/sheet5.xml><?xml version="1.0" encoding="utf-8"?>
<worksheet xmlns="http://schemas.openxmlformats.org/spreadsheetml/2006/main" xmlns:r="http://schemas.openxmlformats.org/officeDocument/2006/relationships">
  <sheetPr>
    <tabColor rgb="FF0070C0"/>
  </sheetPr>
  <dimension ref="A1:F105"/>
  <sheetViews>
    <sheetView view="pageBreakPreview" topLeftCell="A101" zoomScale="85" zoomScaleNormal="100" zoomScaleSheetLayoutView="85" workbookViewId="0">
      <selection activeCell="A108" sqref="A108"/>
    </sheetView>
  </sheetViews>
  <sheetFormatPr defaultColWidth="9.140625" defaultRowHeight="15"/>
  <cols>
    <col min="1" max="1" width="5.28515625" style="69" customWidth="1"/>
    <col min="2" max="2" width="46" style="69" customWidth="1"/>
    <col min="3" max="3" width="13.5703125" style="69" customWidth="1"/>
    <col min="4" max="4" width="23.7109375" style="70" customWidth="1"/>
    <col min="5" max="5" width="22.85546875" style="70" customWidth="1"/>
    <col min="6" max="6" width="17.42578125" style="69" customWidth="1"/>
    <col min="7" max="16384" width="9.140625" style="69"/>
  </cols>
  <sheetData>
    <row r="1" spans="1:6" ht="23.25" customHeight="1">
      <c r="A1" s="495" t="s">
        <v>225</v>
      </c>
      <c r="B1" s="495"/>
      <c r="C1" s="495"/>
      <c r="D1" s="495"/>
      <c r="E1" s="495"/>
      <c r="F1" s="495"/>
    </row>
    <row r="2" spans="1:6" ht="25.5" customHeight="1">
      <c r="A2" s="475" t="s">
        <v>957</v>
      </c>
      <c r="B2" s="475"/>
      <c r="C2" s="475"/>
      <c r="D2" s="475"/>
      <c r="E2" s="475"/>
      <c r="F2" s="475"/>
    </row>
    <row r="3" spans="1:6">
      <c r="A3" s="476" t="s">
        <v>227</v>
      </c>
      <c r="B3" s="476"/>
      <c r="C3" s="476"/>
      <c r="D3" s="476"/>
      <c r="E3" s="476"/>
      <c r="F3" s="65"/>
    </row>
    <row r="4" spans="1:6" ht="21.6" customHeight="1">
      <c r="A4" s="476"/>
      <c r="B4" s="476"/>
      <c r="C4" s="476"/>
      <c r="D4" s="476"/>
      <c r="E4" s="476"/>
      <c r="F4" s="65"/>
    </row>
    <row r="5" spans="1:6">
      <c r="A5" s="477" t="s">
        <v>995</v>
      </c>
      <c r="B5" s="477"/>
      <c r="C5" s="477"/>
      <c r="D5" s="477"/>
      <c r="E5" s="477"/>
      <c r="F5" s="65"/>
    </row>
    <row r="6" spans="1:6">
      <c r="A6" s="18"/>
      <c r="B6" s="18"/>
      <c r="C6" s="18"/>
      <c r="D6" s="18"/>
      <c r="E6" s="18"/>
      <c r="F6" s="65"/>
    </row>
    <row r="7" spans="1:6">
      <c r="A7" s="496" t="s">
        <v>464</v>
      </c>
      <c r="B7" s="496"/>
      <c r="C7" s="489" t="s">
        <v>475</v>
      </c>
      <c r="D7" s="489"/>
      <c r="E7" s="489"/>
      <c r="F7" s="489"/>
    </row>
    <row r="8" spans="1:6" ht="15" customHeight="1">
      <c r="A8" s="499" t="s">
        <v>959</v>
      </c>
      <c r="B8" s="499"/>
      <c r="C8" s="490" t="s">
        <v>614</v>
      </c>
      <c r="D8" s="490"/>
      <c r="E8" s="490"/>
      <c r="F8" s="490"/>
    </row>
    <row r="9" spans="1:6" ht="15" customHeight="1">
      <c r="A9" s="496" t="s">
        <v>466</v>
      </c>
      <c r="B9" s="496"/>
      <c r="C9" s="489" t="s">
        <v>1007</v>
      </c>
      <c r="D9" s="489"/>
      <c r="E9" s="489"/>
      <c r="F9" s="489"/>
    </row>
    <row r="10" spans="1:6" ht="15" customHeight="1">
      <c r="A10" s="500" t="s">
        <v>468</v>
      </c>
      <c r="B10" s="500"/>
      <c r="C10" s="490" t="s">
        <v>469</v>
      </c>
      <c r="D10" s="490"/>
      <c r="E10" s="490"/>
      <c r="F10" s="490"/>
    </row>
    <row r="11" spans="1:6" ht="18" customHeight="1">
      <c r="A11" s="496" t="s">
        <v>401</v>
      </c>
      <c r="B11" s="496"/>
      <c r="C11" s="489" t="s">
        <v>501</v>
      </c>
      <c r="D11" s="489"/>
      <c r="E11" s="489"/>
      <c r="F11" s="489"/>
    </row>
    <row r="12" spans="1:6" ht="18.75" customHeight="1">
      <c r="A12" s="501" t="s">
        <v>399</v>
      </c>
      <c r="B12" s="501"/>
      <c r="C12" s="490" t="s">
        <v>500</v>
      </c>
      <c r="D12" s="490"/>
      <c r="E12" s="490"/>
      <c r="F12" s="490"/>
    </row>
    <row r="13" spans="1:6" ht="19.5" customHeight="1">
      <c r="A13" s="497" t="s">
        <v>146</v>
      </c>
      <c r="B13" s="497"/>
      <c r="C13" s="489" t="s">
        <v>997</v>
      </c>
      <c r="D13" s="489"/>
      <c r="E13" s="489"/>
      <c r="F13" s="489"/>
    </row>
    <row r="14" spans="1:6" ht="18" customHeight="1">
      <c r="A14" s="498" t="s">
        <v>147</v>
      </c>
      <c r="B14" s="498"/>
      <c r="C14" s="464">
        <v>43475</v>
      </c>
      <c r="D14" s="464"/>
      <c r="E14" s="464"/>
      <c r="F14" s="464"/>
    </row>
    <row r="15" spans="1:6">
      <c r="A15" s="10"/>
      <c r="B15" s="10"/>
      <c r="C15" s="90"/>
      <c r="D15" s="209"/>
      <c r="E15" s="209"/>
      <c r="F15" s="90"/>
    </row>
    <row r="16" spans="1:6">
      <c r="A16" s="205" t="s">
        <v>43</v>
      </c>
      <c r="B16" s="206" t="s">
        <v>487</v>
      </c>
      <c r="C16" s="90"/>
      <c r="D16" s="209"/>
      <c r="E16" s="209"/>
      <c r="F16" s="90"/>
    </row>
    <row r="17" spans="1:6" ht="69" customHeight="1">
      <c r="A17" s="81" t="s">
        <v>228</v>
      </c>
      <c r="B17" s="81" t="s">
        <v>229</v>
      </c>
      <c r="C17" s="81" t="s">
        <v>230</v>
      </c>
      <c r="D17" s="82" t="s">
        <v>1001</v>
      </c>
      <c r="E17" s="82" t="s">
        <v>990</v>
      </c>
      <c r="F17" s="456" t="s">
        <v>231</v>
      </c>
    </row>
    <row r="18" spans="1:6" ht="32.25" customHeight="1">
      <c r="A18" s="111" t="s">
        <v>43</v>
      </c>
      <c r="B18" s="109" t="s">
        <v>232</v>
      </c>
      <c r="C18" s="84">
        <v>2200</v>
      </c>
      <c r="D18" s="85"/>
      <c r="E18" s="85"/>
      <c r="F18" s="457"/>
    </row>
    <row r="19" spans="1:6" ht="32.25" customHeight="1">
      <c r="A19" s="219" t="s">
        <v>87</v>
      </c>
      <c r="B19" s="220" t="s">
        <v>233</v>
      </c>
      <c r="C19" s="221" t="s">
        <v>88</v>
      </c>
      <c r="D19" s="222">
        <v>68883445853</v>
      </c>
      <c r="E19" s="222">
        <v>144350344500</v>
      </c>
      <c r="F19" s="234">
        <v>1.0635808908030235</v>
      </c>
    </row>
    <row r="20" spans="1:6" ht="32.25" customHeight="1">
      <c r="A20" s="223"/>
      <c r="B20" s="220" t="s">
        <v>234</v>
      </c>
      <c r="C20" s="224" t="s">
        <v>89</v>
      </c>
      <c r="D20" s="222">
        <v>0</v>
      </c>
      <c r="E20" s="222">
        <v>0</v>
      </c>
      <c r="F20" s="234" t="s">
        <v>605</v>
      </c>
    </row>
    <row r="21" spans="1:6" ht="32.25" customHeight="1">
      <c r="A21" s="223"/>
      <c r="B21" s="220" t="s">
        <v>235</v>
      </c>
      <c r="C21" s="224" t="s">
        <v>90</v>
      </c>
      <c r="D21" s="222">
        <v>33883445853</v>
      </c>
      <c r="E21" s="222">
        <v>124350344500</v>
      </c>
      <c r="F21" s="234">
        <v>0.52317048134780908</v>
      </c>
    </row>
    <row r="22" spans="1:6" ht="40.5" customHeight="1">
      <c r="A22" s="223"/>
      <c r="B22" s="220" t="s">
        <v>617</v>
      </c>
      <c r="C22" s="224" t="s">
        <v>620</v>
      </c>
      <c r="D22" s="222">
        <v>9000000</v>
      </c>
      <c r="E22" s="222">
        <v>35000000</v>
      </c>
      <c r="F22" s="234">
        <v>6.1266167460857727E-3</v>
      </c>
    </row>
    <row r="23" spans="1:6" ht="32.25" customHeight="1">
      <c r="A23" s="223"/>
      <c r="B23" s="220" t="s">
        <v>618</v>
      </c>
      <c r="C23" s="224" t="s">
        <v>621</v>
      </c>
      <c r="D23" s="222">
        <v>3799110654</v>
      </c>
      <c r="E23" s="222">
        <v>3832975400</v>
      </c>
      <c r="F23" s="234">
        <v>0.99107535971770522</v>
      </c>
    </row>
    <row r="24" spans="1:6" ht="32.25" customHeight="1">
      <c r="A24" s="223"/>
      <c r="B24" s="220" t="s">
        <v>619</v>
      </c>
      <c r="C24" s="224" t="s">
        <v>622</v>
      </c>
      <c r="D24" s="222">
        <v>30075335199</v>
      </c>
      <c r="E24" s="222">
        <v>116511871800</v>
      </c>
      <c r="F24" s="234">
        <v>0.50578004065493187</v>
      </c>
    </row>
    <row r="25" spans="1:6" ht="48" customHeight="1">
      <c r="A25" s="223"/>
      <c r="B25" s="220" t="s">
        <v>993</v>
      </c>
      <c r="C25" s="224" t="s">
        <v>976</v>
      </c>
      <c r="D25" s="222">
        <v>0</v>
      </c>
      <c r="E25" s="222">
        <v>3970497300</v>
      </c>
      <c r="F25" s="234"/>
    </row>
    <row r="26" spans="1:6" ht="32.25" customHeight="1">
      <c r="A26" s="223"/>
      <c r="B26" s="220" t="s">
        <v>236</v>
      </c>
      <c r="C26" s="224" t="s">
        <v>91</v>
      </c>
      <c r="D26" s="222">
        <v>35000000000</v>
      </c>
      <c r="E26" s="222">
        <v>20000000000</v>
      </c>
      <c r="F26" s="234" t="s">
        <v>605</v>
      </c>
    </row>
    <row r="27" spans="1:6" ht="32.25" customHeight="1">
      <c r="A27" s="223" t="s">
        <v>92</v>
      </c>
      <c r="B27" s="220" t="s">
        <v>491</v>
      </c>
      <c r="C27" s="221" t="s">
        <v>93</v>
      </c>
      <c r="D27" s="222">
        <v>1027576447450</v>
      </c>
      <c r="E27" s="222">
        <v>1186235183600</v>
      </c>
      <c r="F27" s="234">
        <v>1.0400595792919538</v>
      </c>
    </row>
    <row r="28" spans="1:6" ht="32.25" customHeight="1">
      <c r="A28" s="223"/>
      <c r="B28" s="212" t="s">
        <v>238</v>
      </c>
      <c r="C28" s="221" t="s">
        <v>94</v>
      </c>
      <c r="D28" s="222">
        <v>817429147450</v>
      </c>
      <c r="E28" s="222">
        <v>1025991883600</v>
      </c>
      <c r="F28" s="234">
        <v>0.98265547652341489</v>
      </c>
    </row>
    <row r="29" spans="1:6" ht="32.25" customHeight="1">
      <c r="A29" s="223"/>
      <c r="B29" s="212" t="s">
        <v>633</v>
      </c>
      <c r="C29" s="221" t="s">
        <v>95</v>
      </c>
      <c r="D29" s="222">
        <v>0</v>
      </c>
      <c r="E29" s="222">
        <v>0</v>
      </c>
      <c r="F29" s="234">
        <v>0</v>
      </c>
    </row>
    <row r="30" spans="1:6" ht="32.25" customHeight="1">
      <c r="A30" s="223"/>
      <c r="B30" s="212" t="s">
        <v>239</v>
      </c>
      <c r="C30" s="221" t="s">
        <v>193</v>
      </c>
      <c r="D30" s="222">
        <v>80147300000</v>
      </c>
      <c r="E30" s="222">
        <v>30243300000</v>
      </c>
      <c r="F30" s="234" t="s">
        <v>605</v>
      </c>
    </row>
    <row r="31" spans="1:6" ht="32.25" customHeight="1">
      <c r="A31" s="223"/>
      <c r="B31" s="212" t="s">
        <v>734</v>
      </c>
      <c r="C31" s="221" t="s">
        <v>195</v>
      </c>
      <c r="D31" s="222">
        <v>130000000000</v>
      </c>
      <c r="E31" s="222">
        <v>130000000000</v>
      </c>
      <c r="F31" s="234">
        <v>1.6455696202531647</v>
      </c>
    </row>
    <row r="32" spans="1:6" ht="32.25" customHeight="1">
      <c r="A32" s="223"/>
      <c r="B32" s="212" t="s">
        <v>237</v>
      </c>
      <c r="C32" s="221" t="s">
        <v>240</v>
      </c>
      <c r="D32" s="222">
        <v>0</v>
      </c>
      <c r="E32" s="222">
        <v>0</v>
      </c>
      <c r="F32" s="234" t="s">
        <v>605</v>
      </c>
    </row>
    <row r="33" spans="1:6" s="239" customFormat="1" ht="32.25" customHeight="1">
      <c r="A33" s="248"/>
      <c r="B33" s="212" t="s">
        <v>735</v>
      </c>
      <c r="C33" s="221" t="s">
        <v>498</v>
      </c>
      <c r="D33" s="222">
        <v>0</v>
      </c>
      <c r="E33" s="222">
        <v>0</v>
      </c>
      <c r="F33" s="234" t="s">
        <v>605</v>
      </c>
    </row>
    <row r="34" spans="1:6" s="239" customFormat="1" ht="32.25" customHeight="1">
      <c r="A34" s="248"/>
      <c r="B34" s="212" t="s">
        <v>991</v>
      </c>
      <c r="C34" s="221" t="s">
        <v>733</v>
      </c>
      <c r="D34" s="222">
        <v>0</v>
      </c>
      <c r="E34" s="222">
        <v>0</v>
      </c>
      <c r="F34" s="234" t="s">
        <v>605</v>
      </c>
    </row>
    <row r="35" spans="1:6" s="239" customFormat="1" ht="32.25" customHeight="1">
      <c r="A35" s="248"/>
      <c r="B35" s="212" t="s">
        <v>732</v>
      </c>
      <c r="C35" s="221" t="s">
        <v>977</v>
      </c>
      <c r="D35" s="222">
        <v>0</v>
      </c>
      <c r="E35" s="222">
        <v>0</v>
      </c>
      <c r="F35" s="234"/>
    </row>
    <row r="36" spans="1:6" ht="32.25" customHeight="1">
      <c r="A36" s="223" t="s">
        <v>96</v>
      </c>
      <c r="B36" s="220" t="s">
        <v>770</v>
      </c>
      <c r="C36" s="221" t="s">
        <v>97</v>
      </c>
      <c r="D36" s="222">
        <v>3582691959</v>
      </c>
      <c r="E36" s="222">
        <v>2637013000</v>
      </c>
      <c r="F36" s="234">
        <v>1.4040398357567154</v>
      </c>
    </row>
    <row r="37" spans="1:6" ht="32.25" customHeight="1">
      <c r="A37" s="223"/>
      <c r="B37" s="220" t="s">
        <v>492</v>
      </c>
      <c r="C37" s="221" t="s">
        <v>759</v>
      </c>
      <c r="D37" s="222">
        <v>1676031000</v>
      </c>
      <c r="E37" s="222">
        <v>2225763000</v>
      </c>
      <c r="F37" s="234">
        <v>0.65682852918786572</v>
      </c>
    </row>
    <row r="38" spans="1:6" ht="32.25" customHeight="1">
      <c r="A38" s="223"/>
      <c r="B38" s="220" t="s">
        <v>760</v>
      </c>
      <c r="C38" s="221" t="s">
        <v>761</v>
      </c>
      <c r="D38" s="222">
        <v>1906660959</v>
      </c>
      <c r="E38" s="222">
        <v>411250000</v>
      </c>
      <c r="F38" s="234"/>
    </row>
    <row r="39" spans="1:6" s="233" customFormat="1" ht="42.75" customHeight="1">
      <c r="A39" s="223" t="s">
        <v>98</v>
      </c>
      <c r="B39" s="220" t="s">
        <v>241</v>
      </c>
      <c r="C39" s="221" t="s">
        <v>99</v>
      </c>
      <c r="D39" s="222">
        <v>5081251712</v>
      </c>
      <c r="E39" s="222">
        <v>1996095319</v>
      </c>
      <c r="F39" s="234">
        <v>1.1302659167523981</v>
      </c>
    </row>
    <row r="40" spans="1:6" ht="42.75" customHeight="1">
      <c r="A40" s="223"/>
      <c r="B40" s="23" t="s">
        <v>771</v>
      </c>
      <c r="C40" s="226" t="s">
        <v>481</v>
      </c>
      <c r="D40" s="222">
        <v>15753425</v>
      </c>
      <c r="E40" s="222">
        <v>79890411</v>
      </c>
      <c r="F40" s="234" t="s">
        <v>605</v>
      </c>
    </row>
    <row r="41" spans="1:6" ht="42.75" customHeight="1">
      <c r="A41" s="223"/>
      <c r="B41" s="23" t="s">
        <v>772</v>
      </c>
      <c r="C41" s="226" t="s">
        <v>482</v>
      </c>
      <c r="D41" s="222">
        <v>5065498287</v>
      </c>
      <c r="E41" s="222">
        <v>1916204908</v>
      </c>
      <c r="F41" s="234">
        <v>1.1267617488113444</v>
      </c>
    </row>
    <row r="42" spans="1:6" ht="32.25" customHeight="1">
      <c r="A42" s="223" t="s">
        <v>100</v>
      </c>
      <c r="B42" s="220" t="s">
        <v>242</v>
      </c>
      <c r="C42" s="221" t="s">
        <v>101</v>
      </c>
      <c r="D42" s="222">
        <v>10497500000</v>
      </c>
      <c r="E42" s="222">
        <v>0</v>
      </c>
      <c r="F42" s="234">
        <v>9.3794674767691211E-2</v>
      </c>
    </row>
    <row r="43" spans="1:6" ht="33" customHeight="1">
      <c r="A43" s="223" t="s">
        <v>102</v>
      </c>
      <c r="B43" s="220" t="s">
        <v>243</v>
      </c>
      <c r="C43" s="221" t="s">
        <v>103</v>
      </c>
      <c r="D43" s="458">
        <v>-866400000</v>
      </c>
      <c r="E43" s="458">
        <v>-866400000</v>
      </c>
      <c r="F43" s="234">
        <v>1</v>
      </c>
    </row>
    <row r="44" spans="1:6" ht="33" customHeight="1">
      <c r="A44" s="223"/>
      <c r="B44" s="220" t="s">
        <v>758</v>
      </c>
      <c r="C44" s="221" t="s">
        <v>926</v>
      </c>
      <c r="D44" s="222">
        <v>0</v>
      </c>
      <c r="E44" s="222">
        <v>0</v>
      </c>
      <c r="F44" s="234"/>
    </row>
    <row r="45" spans="1:6" ht="33" customHeight="1">
      <c r="A45" s="223"/>
      <c r="B45" s="220" t="s">
        <v>705</v>
      </c>
      <c r="C45" s="221" t="s">
        <v>927</v>
      </c>
      <c r="D45" s="458">
        <v>-866400000</v>
      </c>
      <c r="E45" s="458">
        <v>-866400000</v>
      </c>
      <c r="F45" s="234">
        <v>1</v>
      </c>
    </row>
    <row r="46" spans="1:6" ht="33" customHeight="1">
      <c r="A46" s="223"/>
      <c r="B46" s="220" t="s">
        <v>243</v>
      </c>
      <c r="C46" s="221">
        <v>2210.3000000000002</v>
      </c>
      <c r="D46" s="222">
        <v>0</v>
      </c>
      <c r="E46" s="222">
        <v>0</v>
      </c>
      <c r="F46" s="234"/>
    </row>
    <row r="47" spans="1:6" ht="33" customHeight="1">
      <c r="A47" s="223" t="s">
        <v>104</v>
      </c>
      <c r="B47" s="220" t="s">
        <v>244</v>
      </c>
      <c r="C47" s="221">
        <v>2211</v>
      </c>
      <c r="D47" s="222">
        <v>0</v>
      </c>
      <c r="E47" s="222">
        <v>0</v>
      </c>
      <c r="F47" s="234" t="s">
        <v>605</v>
      </c>
    </row>
    <row r="48" spans="1:6" ht="33" customHeight="1">
      <c r="A48" s="111" t="s">
        <v>105</v>
      </c>
      <c r="B48" s="109" t="s">
        <v>222</v>
      </c>
      <c r="C48" s="84" t="s">
        <v>106</v>
      </c>
      <c r="D48" s="159">
        <v>1114754936974</v>
      </c>
      <c r="E48" s="159">
        <v>1334352236419</v>
      </c>
      <c r="F48" s="245">
        <v>0.95207876475242814</v>
      </c>
    </row>
    <row r="49" spans="1:6" ht="33" customHeight="1">
      <c r="A49" s="111" t="s">
        <v>49</v>
      </c>
      <c r="B49" s="109" t="s">
        <v>245</v>
      </c>
      <c r="C49" s="84" t="s">
        <v>107</v>
      </c>
      <c r="D49" s="158"/>
      <c r="E49" s="158"/>
      <c r="F49" s="235"/>
    </row>
    <row r="50" spans="1:6" ht="33" customHeight="1">
      <c r="A50" s="219" t="s">
        <v>108</v>
      </c>
      <c r="B50" s="220" t="s">
        <v>246</v>
      </c>
      <c r="C50" s="221" t="s">
        <v>109</v>
      </c>
      <c r="D50" s="222">
        <v>18243556000</v>
      </c>
      <c r="E50" s="222">
        <v>52464303000</v>
      </c>
      <c r="F50" s="234">
        <v>0.40272025122019878</v>
      </c>
    </row>
    <row r="51" spans="1:6" ht="33" customHeight="1">
      <c r="A51" s="219" t="s">
        <v>110</v>
      </c>
      <c r="B51" s="220" t="s">
        <v>247</v>
      </c>
      <c r="C51" s="221" t="s">
        <v>111</v>
      </c>
      <c r="D51" s="222">
        <v>7494518779</v>
      </c>
      <c r="E51" s="222">
        <v>6783985426</v>
      </c>
      <c r="F51" s="234">
        <v>0.73000574683396346</v>
      </c>
    </row>
    <row r="52" spans="1:6" ht="33" customHeight="1">
      <c r="A52" s="219"/>
      <c r="B52" s="220" t="s">
        <v>741</v>
      </c>
      <c r="C52" s="221" t="s">
        <v>742</v>
      </c>
      <c r="D52" s="222">
        <v>4871139175</v>
      </c>
      <c r="E52" s="222">
        <v>4185227685</v>
      </c>
      <c r="F52" s="234">
        <v>0.7489442776574623</v>
      </c>
    </row>
    <row r="53" spans="1:6" s="239" customFormat="1" ht="33" customHeight="1">
      <c r="A53" s="219"/>
      <c r="B53" s="220" t="s">
        <v>662</v>
      </c>
      <c r="C53" s="221" t="s">
        <v>474</v>
      </c>
      <c r="D53" s="222">
        <v>898000000</v>
      </c>
      <c r="E53" s="222">
        <v>94000000</v>
      </c>
      <c r="F53" s="234">
        <v>0.6113002042205582</v>
      </c>
    </row>
    <row r="54" spans="1:6" ht="33" customHeight="1">
      <c r="A54" s="219"/>
      <c r="B54" s="220" t="s">
        <v>663</v>
      </c>
      <c r="C54" s="221" t="s">
        <v>736</v>
      </c>
      <c r="D54" s="222">
        <v>0</v>
      </c>
      <c r="E54" s="222">
        <v>0</v>
      </c>
      <c r="F54" s="234" t="s">
        <v>605</v>
      </c>
    </row>
    <row r="55" spans="1:6" ht="33" customHeight="1">
      <c r="A55" s="219"/>
      <c r="B55" s="220" t="s">
        <v>737</v>
      </c>
      <c r="C55" s="221" t="s">
        <v>738</v>
      </c>
      <c r="D55" s="222">
        <v>0</v>
      </c>
      <c r="E55" s="222">
        <v>0</v>
      </c>
      <c r="F55" s="234"/>
    </row>
    <row r="56" spans="1:6" s="239" customFormat="1" ht="33" customHeight="1">
      <c r="A56" s="219"/>
      <c r="B56" s="220" t="s">
        <v>739</v>
      </c>
      <c r="C56" s="221" t="s">
        <v>740</v>
      </c>
      <c r="D56" s="222">
        <v>3973139175</v>
      </c>
      <c r="E56" s="222">
        <v>4091227685</v>
      </c>
      <c r="F56" s="234">
        <v>0.7891029358449404</v>
      </c>
    </row>
    <row r="57" spans="1:6" ht="33" customHeight="1">
      <c r="A57" s="219"/>
      <c r="B57" s="220" t="s">
        <v>251</v>
      </c>
      <c r="C57" s="221" t="s">
        <v>743</v>
      </c>
      <c r="D57" s="222">
        <v>6215153</v>
      </c>
      <c r="E57" s="222">
        <v>9610414</v>
      </c>
      <c r="F57" s="234">
        <v>6.4801153250714921E-2</v>
      </c>
    </row>
    <row r="58" spans="1:6" ht="60.75" customHeight="1">
      <c r="A58" s="219"/>
      <c r="B58" s="220" t="s">
        <v>257</v>
      </c>
      <c r="C58" s="221" t="s">
        <v>196</v>
      </c>
      <c r="D58" s="222">
        <v>111000124</v>
      </c>
      <c r="E58" s="222">
        <v>99689516</v>
      </c>
      <c r="F58" s="234">
        <v>9.3936618662927587E-2</v>
      </c>
    </row>
    <row r="59" spans="1:6" ht="32.25" customHeight="1">
      <c r="A59" s="219"/>
      <c r="B59" s="220" t="s">
        <v>249</v>
      </c>
      <c r="C59" s="221" t="s">
        <v>202</v>
      </c>
      <c r="D59" s="222">
        <v>39925000</v>
      </c>
      <c r="E59" s="222">
        <v>39925000</v>
      </c>
      <c r="F59" s="234">
        <v>1</v>
      </c>
    </row>
    <row r="60" spans="1:6" ht="37.5" customHeight="1">
      <c r="A60" s="219"/>
      <c r="B60" s="220" t="s">
        <v>250</v>
      </c>
      <c r="C60" s="221" t="s">
        <v>198</v>
      </c>
      <c r="D60" s="222">
        <v>34000000</v>
      </c>
      <c r="E60" s="222">
        <v>29715017</v>
      </c>
      <c r="F60" s="234">
        <v>1</v>
      </c>
    </row>
    <row r="61" spans="1:6" ht="32.25" customHeight="1">
      <c r="A61" s="219"/>
      <c r="B61" s="220" t="s">
        <v>773</v>
      </c>
      <c r="C61" s="221" t="s">
        <v>205</v>
      </c>
      <c r="D61" s="222">
        <v>1841472011</v>
      </c>
      <c r="E61" s="222">
        <v>1858152693</v>
      </c>
      <c r="F61" s="234">
        <v>1.1326194497370614</v>
      </c>
    </row>
    <row r="62" spans="1:6" ht="32.25" customHeight="1">
      <c r="A62" s="219"/>
      <c r="B62" s="220" t="s">
        <v>253</v>
      </c>
      <c r="C62" s="221" t="s">
        <v>201</v>
      </c>
      <c r="D62" s="222">
        <v>25969479</v>
      </c>
      <c r="E62" s="222">
        <v>26204717</v>
      </c>
      <c r="F62" s="234">
        <v>1.1326195927668947</v>
      </c>
    </row>
    <row r="63" spans="1:6" ht="32.25" customHeight="1">
      <c r="A63" s="219"/>
      <c r="B63" s="220" t="s">
        <v>252</v>
      </c>
      <c r="C63" s="221" t="s">
        <v>200</v>
      </c>
      <c r="D63" s="222">
        <v>41551165</v>
      </c>
      <c r="E63" s="222">
        <v>41927548</v>
      </c>
      <c r="F63" s="234">
        <v>1.132619542255719</v>
      </c>
    </row>
    <row r="64" spans="1:6" ht="32.25" customHeight="1">
      <c r="A64" s="219"/>
      <c r="B64" s="220" t="s">
        <v>657</v>
      </c>
      <c r="C64" s="221" t="s">
        <v>204</v>
      </c>
      <c r="D64" s="222">
        <v>68247104</v>
      </c>
      <c r="E64" s="222">
        <v>103831981</v>
      </c>
      <c r="F64" s="234">
        <v>0.2615164778945302</v>
      </c>
    </row>
    <row r="65" spans="1:6" ht="32.25" customHeight="1">
      <c r="A65" s="219"/>
      <c r="B65" s="220" t="s">
        <v>256</v>
      </c>
      <c r="C65" s="221" t="s">
        <v>744</v>
      </c>
      <c r="D65" s="222">
        <v>68247104</v>
      </c>
      <c r="E65" s="222">
        <v>103831981</v>
      </c>
      <c r="F65" s="234">
        <v>0.2615164778945302</v>
      </c>
    </row>
    <row r="66" spans="1:6" ht="32.25" customHeight="1">
      <c r="A66" s="219"/>
      <c r="B66" s="220" t="s">
        <v>377</v>
      </c>
      <c r="C66" s="221" t="s">
        <v>745</v>
      </c>
      <c r="D66" s="222">
        <v>0</v>
      </c>
      <c r="E66" s="222">
        <v>0</v>
      </c>
      <c r="F66" s="234"/>
    </row>
    <row r="67" spans="1:6" s="239" customFormat="1" ht="32.25" customHeight="1">
      <c r="A67" s="219"/>
      <c r="B67" s="220" t="s">
        <v>746</v>
      </c>
      <c r="C67" s="221" t="s">
        <v>394</v>
      </c>
      <c r="D67" s="222">
        <v>41373784</v>
      </c>
      <c r="E67" s="222">
        <v>45715953</v>
      </c>
      <c r="F67" s="234">
        <v>0.78110016949286298</v>
      </c>
    </row>
    <row r="68" spans="1:6" ht="32.25" customHeight="1">
      <c r="A68" s="219"/>
      <c r="B68" s="220" t="s">
        <v>484</v>
      </c>
      <c r="C68" s="221" t="s">
        <v>747</v>
      </c>
      <c r="D68" s="222">
        <v>37773784</v>
      </c>
      <c r="E68" s="222">
        <v>38115953</v>
      </c>
      <c r="F68" s="234">
        <v>0.97433959573780871</v>
      </c>
    </row>
    <row r="69" spans="1:6" s="239" customFormat="1" ht="32.25" customHeight="1">
      <c r="A69" s="219"/>
      <c r="B69" s="220" t="s">
        <v>379</v>
      </c>
      <c r="C69" s="221" t="s">
        <v>748</v>
      </c>
      <c r="D69" s="222">
        <v>3600000</v>
      </c>
      <c r="E69" s="222">
        <v>7600000</v>
      </c>
      <c r="F69" s="234">
        <v>0.25352112676056338</v>
      </c>
    </row>
    <row r="70" spans="1:6" ht="32.25" customHeight="1">
      <c r="A70" s="219"/>
      <c r="B70" s="220" t="s">
        <v>479</v>
      </c>
      <c r="C70" s="221" t="s">
        <v>749</v>
      </c>
      <c r="D70" s="222">
        <v>0</v>
      </c>
      <c r="E70" s="222">
        <v>0</v>
      </c>
      <c r="F70" s="234"/>
    </row>
    <row r="71" spans="1:6" ht="32.25" customHeight="1">
      <c r="A71" s="219"/>
      <c r="B71" s="220" t="s">
        <v>255</v>
      </c>
      <c r="C71" s="221" t="s">
        <v>207</v>
      </c>
      <c r="D71" s="222">
        <v>88000000</v>
      </c>
      <c r="E71" s="222">
        <v>42252021</v>
      </c>
      <c r="F71" s="234">
        <v>1</v>
      </c>
    </row>
    <row r="72" spans="1:6" ht="32.25" customHeight="1">
      <c r="A72" s="219"/>
      <c r="B72" s="220" t="s">
        <v>774</v>
      </c>
      <c r="C72" s="221" t="s">
        <v>203</v>
      </c>
      <c r="D72" s="222">
        <v>41237818</v>
      </c>
      <c r="E72" s="222">
        <v>18330271</v>
      </c>
      <c r="F72" s="234">
        <v>1.6826634102985838</v>
      </c>
    </row>
    <row r="73" spans="1:6" ht="32.25" customHeight="1">
      <c r="A73" s="219"/>
      <c r="B73" s="220" t="s">
        <v>775</v>
      </c>
      <c r="C73" s="221" t="s">
        <v>206</v>
      </c>
      <c r="D73" s="222">
        <v>33066000</v>
      </c>
      <c r="E73" s="222">
        <v>27977043</v>
      </c>
      <c r="F73" s="234">
        <v>1.2821024836712813</v>
      </c>
    </row>
    <row r="74" spans="1:6" ht="32.25" customHeight="1">
      <c r="A74" s="219"/>
      <c r="B74" s="220" t="s">
        <v>254</v>
      </c>
      <c r="C74" s="221" t="s">
        <v>199</v>
      </c>
      <c r="D74" s="222">
        <v>11000000</v>
      </c>
      <c r="E74" s="222">
        <v>33000000</v>
      </c>
      <c r="F74" s="234">
        <v>0.16666666666666666</v>
      </c>
    </row>
    <row r="75" spans="1:6" ht="42.75" customHeight="1">
      <c r="A75" s="219"/>
      <c r="B75" s="220" t="s">
        <v>672</v>
      </c>
      <c r="C75" s="221" t="s">
        <v>197</v>
      </c>
      <c r="D75" s="222">
        <v>0</v>
      </c>
      <c r="E75" s="222">
        <v>0</v>
      </c>
      <c r="F75" s="234"/>
    </row>
    <row r="76" spans="1:6" ht="38.25" customHeight="1">
      <c r="A76" s="219"/>
      <c r="B76" s="220" t="s">
        <v>673</v>
      </c>
      <c r="C76" s="221" t="s">
        <v>928</v>
      </c>
      <c r="D76" s="222">
        <v>0</v>
      </c>
      <c r="E76" s="222">
        <v>0</v>
      </c>
      <c r="F76" s="234"/>
    </row>
    <row r="77" spans="1:6" s="233" customFormat="1" ht="33" customHeight="1">
      <c r="A77" s="219"/>
      <c r="B77" s="220" t="s">
        <v>258</v>
      </c>
      <c r="C77" s="221" t="s">
        <v>378</v>
      </c>
      <c r="D77" s="222">
        <v>240321966</v>
      </c>
      <c r="E77" s="222">
        <v>222425567</v>
      </c>
      <c r="F77" s="234">
        <v>1.1599093602346187</v>
      </c>
    </row>
    <row r="78" spans="1:6" s="239" customFormat="1" ht="41.25" customHeight="1">
      <c r="A78" s="219"/>
      <c r="B78" s="212" t="s">
        <v>494</v>
      </c>
      <c r="C78" s="221" t="s">
        <v>751</v>
      </c>
      <c r="D78" s="222">
        <v>26810000</v>
      </c>
      <c r="E78" s="222">
        <v>16930000</v>
      </c>
      <c r="F78" s="234">
        <v>1.8794251664914126</v>
      </c>
    </row>
    <row r="79" spans="1:6" s="239" customFormat="1" ht="52.5" customHeight="1">
      <c r="A79" s="219"/>
      <c r="B79" s="212" t="s">
        <v>674</v>
      </c>
      <c r="C79" s="221" t="s">
        <v>753</v>
      </c>
      <c r="D79" s="222">
        <v>37029000</v>
      </c>
      <c r="E79" s="222">
        <v>21533179</v>
      </c>
      <c r="F79" s="234">
        <v>2.2520528110002886</v>
      </c>
    </row>
    <row r="80" spans="1:6" s="239" customFormat="1" ht="55.5" customHeight="1">
      <c r="A80" s="219"/>
      <c r="B80" s="212" t="s">
        <v>754</v>
      </c>
      <c r="C80" s="221" t="s">
        <v>752</v>
      </c>
      <c r="D80" s="222">
        <v>0</v>
      </c>
      <c r="E80" s="222">
        <v>7479422</v>
      </c>
      <c r="F80" s="234" t="s">
        <v>605</v>
      </c>
    </row>
    <row r="81" spans="1:6" ht="39" customHeight="1">
      <c r="A81" s="219"/>
      <c r="B81" s="23" t="s">
        <v>495</v>
      </c>
      <c r="C81" s="83" t="s">
        <v>750</v>
      </c>
      <c r="D81" s="222">
        <v>176482966</v>
      </c>
      <c r="E81" s="222">
        <v>176482966</v>
      </c>
      <c r="F81" s="234">
        <v>1</v>
      </c>
    </row>
    <row r="82" spans="1:6" ht="36.75" customHeight="1">
      <c r="A82" s="219"/>
      <c r="B82" s="227" t="s">
        <v>755</v>
      </c>
      <c r="C82" s="221" t="s">
        <v>929</v>
      </c>
      <c r="D82" s="222">
        <v>0</v>
      </c>
      <c r="E82" s="222">
        <v>0</v>
      </c>
      <c r="F82" s="234"/>
    </row>
    <row r="83" spans="1:6" ht="27" customHeight="1">
      <c r="A83" s="219"/>
      <c r="B83" s="227" t="s">
        <v>651</v>
      </c>
      <c r="C83" s="221" t="s">
        <v>756</v>
      </c>
      <c r="D83" s="222">
        <v>0</v>
      </c>
      <c r="E83" s="222">
        <v>0</v>
      </c>
      <c r="F83" s="234"/>
    </row>
    <row r="84" spans="1:6" ht="34.5" customHeight="1">
      <c r="A84" s="219"/>
      <c r="B84" s="227" t="s">
        <v>652</v>
      </c>
      <c r="C84" s="221" t="s">
        <v>757</v>
      </c>
      <c r="D84" s="222">
        <v>0</v>
      </c>
      <c r="E84" s="222">
        <v>0</v>
      </c>
      <c r="F84" s="234"/>
    </row>
    <row r="85" spans="1:6" ht="32.25" customHeight="1">
      <c r="A85" s="111" t="s">
        <v>112</v>
      </c>
      <c r="B85" s="109" t="s">
        <v>259</v>
      </c>
      <c r="C85" s="84" t="s">
        <v>113</v>
      </c>
      <c r="D85" s="159">
        <v>25738074779</v>
      </c>
      <c r="E85" s="159">
        <v>59248288426</v>
      </c>
      <c r="F85" s="396">
        <v>0.46318826793070944</v>
      </c>
    </row>
    <row r="86" spans="1:6" ht="32.25" customHeight="1">
      <c r="A86" s="112"/>
      <c r="B86" s="104" t="s">
        <v>260</v>
      </c>
      <c r="C86" s="83" t="s">
        <v>114</v>
      </c>
      <c r="D86" s="157">
        <v>1089016862195</v>
      </c>
      <c r="E86" s="157">
        <v>1275103947993</v>
      </c>
      <c r="F86" s="234">
        <v>0.97643664946299713</v>
      </c>
    </row>
    <row r="87" spans="1:6" ht="32.25" customHeight="1">
      <c r="A87" s="112"/>
      <c r="B87" s="104" t="s">
        <v>261</v>
      </c>
      <c r="C87" s="83" t="s">
        <v>115</v>
      </c>
      <c r="D87" s="249">
        <v>29558475.530000005</v>
      </c>
      <c r="E87" s="249">
        <v>30682334.210000005</v>
      </c>
      <c r="F87" s="234">
        <v>1.0805233210263232</v>
      </c>
    </row>
    <row r="88" spans="1:6" ht="32.25" customHeight="1">
      <c r="A88" s="112"/>
      <c r="B88" s="104" t="s">
        <v>262</v>
      </c>
      <c r="C88" s="83" t="s">
        <v>116</v>
      </c>
      <c r="D88" s="160">
        <v>36842.79</v>
      </c>
      <c r="E88" s="160">
        <v>41558.239999999998</v>
      </c>
      <c r="F88" s="234">
        <v>0.90367003530521572</v>
      </c>
    </row>
    <row r="89" spans="1:6" ht="14.25" customHeight="1">
      <c r="A89" s="77"/>
      <c r="B89" s="77"/>
      <c r="C89" s="77"/>
      <c r="D89" s="78"/>
      <c r="E89" s="78"/>
      <c r="F89" s="236"/>
    </row>
    <row r="90" spans="1:6" ht="14.25" customHeight="1">
      <c r="A90" s="47"/>
      <c r="B90" s="71"/>
      <c r="C90" s="47"/>
      <c r="D90" s="72"/>
      <c r="E90" s="72"/>
      <c r="F90" s="73"/>
    </row>
    <row r="91" spans="1:6" ht="14.25" customHeight="1">
      <c r="A91" s="47"/>
      <c r="B91" s="71"/>
      <c r="C91" s="47"/>
      <c r="D91" s="72"/>
      <c r="E91" s="72"/>
      <c r="F91" s="73"/>
    </row>
    <row r="92" spans="1:6">
      <c r="A92" s="59" t="s">
        <v>186</v>
      </c>
      <c r="B92" s="47"/>
      <c r="C92" s="58"/>
      <c r="D92" s="60" t="s">
        <v>187</v>
      </c>
      <c r="E92" s="72"/>
      <c r="F92" s="73"/>
    </row>
    <row r="93" spans="1:6">
      <c r="A93" s="61" t="s">
        <v>188</v>
      </c>
      <c r="B93" s="47"/>
      <c r="C93" s="58"/>
      <c r="D93" s="62" t="s">
        <v>189</v>
      </c>
      <c r="E93" s="72"/>
      <c r="F93" s="73"/>
    </row>
    <row r="94" spans="1:6">
      <c r="A94" s="47"/>
      <c r="B94" s="47"/>
      <c r="C94" s="58"/>
      <c r="D94" s="58"/>
      <c r="E94" s="72"/>
      <c r="F94" s="73"/>
    </row>
    <row r="95" spans="1:6">
      <c r="A95" s="47"/>
      <c r="B95" s="47"/>
      <c r="C95" s="58"/>
      <c r="D95" s="58"/>
      <c r="E95" s="72"/>
      <c r="F95" s="73"/>
    </row>
    <row r="96" spans="1:6">
      <c r="A96" s="47"/>
      <c r="B96" s="47"/>
      <c r="C96" s="58"/>
      <c r="D96" s="58"/>
      <c r="E96" s="72"/>
      <c r="F96" s="73"/>
    </row>
    <row r="97" spans="1:6">
      <c r="A97" s="47"/>
      <c r="B97" s="47"/>
      <c r="C97" s="58"/>
      <c r="D97" s="58"/>
      <c r="E97" s="72"/>
      <c r="F97" s="73"/>
    </row>
    <row r="98" spans="1:6">
      <c r="A98" s="47"/>
      <c r="B98" s="47"/>
      <c r="C98" s="58"/>
      <c r="D98" s="58"/>
      <c r="E98" s="72"/>
      <c r="F98" s="73"/>
    </row>
    <row r="99" spans="1:6">
      <c r="A99" s="47"/>
      <c r="B99" s="47"/>
      <c r="C99" s="58"/>
      <c r="D99" s="58"/>
      <c r="E99" s="72"/>
      <c r="F99" s="73"/>
    </row>
    <row r="100" spans="1:6">
      <c r="A100" s="47"/>
      <c r="B100" s="47"/>
      <c r="C100" s="58"/>
      <c r="D100" s="58"/>
      <c r="E100" s="72"/>
      <c r="F100" s="73"/>
    </row>
    <row r="101" spans="1:6">
      <c r="A101" s="63"/>
      <c r="B101" s="63"/>
      <c r="C101" s="58"/>
      <c r="D101" s="64"/>
      <c r="E101" s="74"/>
      <c r="F101" s="75"/>
    </row>
    <row r="102" spans="1:6">
      <c r="A102" s="59" t="s">
        <v>190</v>
      </c>
      <c r="B102" s="47"/>
      <c r="C102" s="58"/>
      <c r="D102" s="60" t="s">
        <v>187</v>
      </c>
      <c r="E102" s="72"/>
      <c r="F102" s="73"/>
    </row>
    <row r="103" spans="1:6">
      <c r="A103" s="59" t="s">
        <v>781</v>
      </c>
      <c r="B103" s="47"/>
      <c r="C103" s="58"/>
      <c r="D103" s="60" t="s">
        <v>477</v>
      </c>
      <c r="E103" s="72"/>
      <c r="F103" s="73"/>
    </row>
    <row r="104" spans="1:6">
      <c r="A104" s="451" t="s">
        <v>1011</v>
      </c>
      <c r="B104" s="47"/>
      <c r="C104" s="58"/>
      <c r="D104" s="58" t="s">
        <v>478</v>
      </c>
      <c r="E104" s="72"/>
      <c r="F104" s="73"/>
    </row>
    <row r="105" spans="1:6">
      <c r="A105" s="10"/>
      <c r="B105" s="10"/>
      <c r="C105" s="10"/>
      <c r="D105" s="12"/>
      <c r="E105" s="12"/>
      <c r="F105" s="10"/>
    </row>
  </sheetData>
  <mergeCells count="20">
    <mergeCell ref="C13:F13"/>
    <mergeCell ref="A13:B13"/>
    <mergeCell ref="A14:B14"/>
    <mergeCell ref="A8:B8"/>
    <mergeCell ref="C8:F8"/>
    <mergeCell ref="A10:B10"/>
    <mergeCell ref="C10:F10"/>
    <mergeCell ref="A12:B12"/>
    <mergeCell ref="C12:F12"/>
    <mergeCell ref="A9:B9"/>
    <mergeCell ref="C9:F9"/>
    <mergeCell ref="A11:B11"/>
    <mergeCell ref="C11:F11"/>
    <mergeCell ref="C14:F14"/>
    <mergeCell ref="A1:F1"/>
    <mergeCell ref="A2:F2"/>
    <mergeCell ref="A3:E4"/>
    <mergeCell ref="A5:E5"/>
    <mergeCell ref="A7:B7"/>
    <mergeCell ref="C7:F7"/>
  </mergeCells>
  <printOptions horizontalCentered="1"/>
  <pageMargins left="0.32" right="0.17" top="0.75" bottom="0.75" header="0.3" footer="0.3"/>
  <pageSetup paperSize="9" scale="63" fitToHeight="2" orientation="portrait" r:id="rId1"/>
  <drawing r:id="rId2"/>
</worksheet>
</file>

<file path=xl/worksheets/sheet6.xml><?xml version="1.0" encoding="utf-8"?>
<worksheet xmlns="http://schemas.openxmlformats.org/spreadsheetml/2006/main" xmlns:r="http://schemas.openxmlformats.org/officeDocument/2006/relationships">
  <sheetPr>
    <tabColor rgb="FF0070C0"/>
  </sheetPr>
  <dimension ref="A1:F91"/>
  <sheetViews>
    <sheetView view="pageBreakPreview" topLeftCell="A83" zoomScaleNormal="100" zoomScaleSheetLayoutView="100" workbookViewId="0">
      <selection activeCell="A99" sqref="A99"/>
    </sheetView>
  </sheetViews>
  <sheetFormatPr defaultColWidth="9.140625" defaultRowHeight="15"/>
  <cols>
    <col min="1" max="1" width="9.140625" style="87"/>
    <col min="2" max="2" width="46" style="87" customWidth="1"/>
    <col min="3" max="3" width="9.140625" style="87"/>
    <col min="4" max="4" width="19.42578125" style="102" customWidth="1"/>
    <col min="5" max="5" width="21.140625" style="102" customWidth="1"/>
    <col min="6" max="6" width="22.28515625" style="102" customWidth="1"/>
    <col min="7" max="16384" width="9.140625" style="87"/>
  </cols>
  <sheetData>
    <row r="1" spans="1:6" ht="23.25" customHeight="1">
      <c r="A1" s="495" t="s">
        <v>225</v>
      </c>
      <c r="B1" s="495"/>
      <c r="C1" s="495"/>
      <c r="D1" s="495"/>
      <c r="E1" s="495"/>
      <c r="F1" s="495"/>
    </row>
    <row r="2" spans="1:6" ht="33" customHeight="1">
      <c r="A2" s="475" t="s">
        <v>957</v>
      </c>
      <c r="B2" s="475"/>
      <c r="C2" s="475"/>
      <c r="D2" s="475"/>
      <c r="E2" s="475"/>
      <c r="F2" s="475"/>
    </row>
    <row r="3" spans="1:6" ht="15" customHeight="1">
      <c r="A3" s="476" t="s">
        <v>227</v>
      </c>
      <c r="B3" s="476"/>
      <c r="C3" s="476"/>
      <c r="D3" s="476"/>
      <c r="E3" s="476"/>
      <c r="F3" s="476"/>
    </row>
    <row r="4" spans="1:6" ht="19.149999999999999" customHeight="1">
      <c r="A4" s="476"/>
      <c r="B4" s="476"/>
      <c r="C4" s="476"/>
      <c r="D4" s="476"/>
      <c r="E4" s="476"/>
      <c r="F4" s="476"/>
    </row>
    <row r="5" spans="1:6">
      <c r="A5" s="477" t="s">
        <v>996</v>
      </c>
      <c r="B5" s="477"/>
      <c r="C5" s="477"/>
      <c r="D5" s="477"/>
      <c r="E5" s="477"/>
      <c r="F5" s="477"/>
    </row>
    <row r="6" spans="1:6">
      <c r="A6" s="18"/>
      <c r="B6" s="18"/>
      <c r="C6" s="18"/>
      <c r="D6" s="18"/>
      <c r="E6" s="18"/>
      <c r="F6" s="21"/>
    </row>
    <row r="7" spans="1:6">
      <c r="A7" s="496" t="s">
        <v>464</v>
      </c>
      <c r="B7" s="496"/>
      <c r="C7" s="489" t="s">
        <v>475</v>
      </c>
      <c r="D7" s="489"/>
      <c r="E7" s="489"/>
      <c r="F7" s="489"/>
    </row>
    <row r="8" spans="1:6" ht="15" customHeight="1">
      <c r="A8" s="499" t="s">
        <v>959</v>
      </c>
      <c r="B8" s="499"/>
      <c r="C8" s="490" t="s">
        <v>614</v>
      </c>
      <c r="D8" s="490"/>
      <c r="E8" s="490"/>
      <c r="F8" s="490"/>
    </row>
    <row r="9" spans="1:6" ht="15" customHeight="1">
      <c r="A9" s="496" t="s">
        <v>466</v>
      </c>
      <c r="B9" s="496"/>
      <c r="C9" s="489" t="s">
        <v>1007</v>
      </c>
      <c r="D9" s="489"/>
      <c r="E9" s="489"/>
      <c r="F9" s="489"/>
    </row>
    <row r="10" spans="1:6" ht="15" customHeight="1">
      <c r="A10" s="500" t="s">
        <v>468</v>
      </c>
      <c r="B10" s="500"/>
      <c r="C10" s="490" t="s">
        <v>469</v>
      </c>
      <c r="D10" s="490"/>
      <c r="E10" s="490"/>
      <c r="F10" s="490"/>
    </row>
    <row r="11" spans="1:6" ht="15" customHeight="1">
      <c r="A11" s="496" t="s">
        <v>401</v>
      </c>
      <c r="B11" s="496"/>
      <c r="C11" s="489" t="s">
        <v>501</v>
      </c>
      <c r="D11" s="489"/>
      <c r="E11" s="489"/>
      <c r="F11" s="489"/>
    </row>
    <row r="12" spans="1:6" ht="15" customHeight="1">
      <c r="A12" s="501" t="s">
        <v>399</v>
      </c>
      <c r="B12" s="501"/>
      <c r="C12" s="490" t="s">
        <v>500</v>
      </c>
      <c r="D12" s="490"/>
      <c r="E12" s="490"/>
      <c r="F12" s="490"/>
    </row>
    <row r="13" spans="1:6" ht="15" customHeight="1">
      <c r="A13" s="497" t="s">
        <v>146</v>
      </c>
      <c r="B13" s="497"/>
      <c r="C13" s="489" t="s">
        <v>997</v>
      </c>
      <c r="D13" s="489"/>
      <c r="E13" s="489"/>
      <c r="F13" s="489"/>
    </row>
    <row r="14" spans="1:6">
      <c r="A14" s="498" t="s">
        <v>147</v>
      </c>
      <c r="B14" s="498"/>
      <c r="C14" s="464">
        <v>43475</v>
      </c>
      <c r="D14" s="464"/>
      <c r="E14" s="464"/>
      <c r="F14" s="464"/>
    </row>
    <row r="15" spans="1:6">
      <c r="A15" s="90"/>
      <c r="B15" s="90"/>
      <c r="C15" s="90"/>
      <c r="D15" s="209"/>
      <c r="E15" s="209"/>
      <c r="F15" s="209"/>
    </row>
    <row r="16" spans="1:6">
      <c r="A16" s="205" t="s">
        <v>49</v>
      </c>
      <c r="B16" s="206" t="s">
        <v>488</v>
      </c>
      <c r="C16" s="90"/>
      <c r="D16" s="209"/>
      <c r="E16" s="209"/>
      <c r="F16" s="209"/>
    </row>
    <row r="17" spans="1:6" ht="55.5" customHeight="1">
      <c r="A17" s="81" t="s">
        <v>228</v>
      </c>
      <c r="B17" s="81" t="s">
        <v>148</v>
      </c>
      <c r="C17" s="81" t="s">
        <v>230</v>
      </c>
      <c r="D17" s="82" t="s">
        <v>1000</v>
      </c>
      <c r="E17" s="82" t="s">
        <v>989</v>
      </c>
      <c r="F17" s="82" t="s">
        <v>263</v>
      </c>
    </row>
    <row r="18" spans="1:6" ht="33.75" customHeight="1">
      <c r="A18" s="111" t="s">
        <v>43</v>
      </c>
      <c r="B18" s="109" t="s">
        <v>264</v>
      </c>
      <c r="C18" s="110" t="s">
        <v>944</v>
      </c>
      <c r="D18" s="199">
        <v>6475487073</v>
      </c>
      <c r="E18" s="199">
        <v>11655850430</v>
      </c>
      <c r="F18" s="199">
        <v>30834918927</v>
      </c>
    </row>
    <row r="19" spans="1:6" ht="32.25" customHeight="1">
      <c r="A19" s="112">
        <v>1</v>
      </c>
      <c r="B19" s="104" t="s">
        <v>266</v>
      </c>
      <c r="C19" s="80" t="s">
        <v>117</v>
      </c>
      <c r="D19" s="107">
        <v>3243820103</v>
      </c>
      <c r="E19" s="238">
        <v>4844900000</v>
      </c>
      <c r="F19" s="107">
        <v>16305762803</v>
      </c>
    </row>
    <row r="20" spans="1:6" s="255" customFormat="1" ht="32.25" customHeight="1">
      <c r="A20" s="257"/>
      <c r="B20" s="258" t="s">
        <v>509</v>
      </c>
      <c r="C20" s="237" t="s">
        <v>945</v>
      </c>
      <c r="D20" s="107">
        <v>1699094075</v>
      </c>
      <c r="E20" s="238">
        <v>4039900000</v>
      </c>
      <c r="F20" s="107">
        <v>13509786775</v>
      </c>
    </row>
    <row r="21" spans="1:6" s="255" customFormat="1" ht="32.25" customHeight="1">
      <c r="A21" s="257"/>
      <c r="B21" s="258" t="s">
        <v>510</v>
      </c>
      <c r="C21" s="237" t="s">
        <v>879</v>
      </c>
      <c r="D21" s="107">
        <v>1544726028</v>
      </c>
      <c r="E21" s="238">
        <v>805000000</v>
      </c>
      <c r="F21" s="107">
        <v>2795976028</v>
      </c>
    </row>
    <row r="22" spans="1:6" ht="32.25" customHeight="1">
      <c r="A22" s="112">
        <v>2</v>
      </c>
      <c r="B22" s="104" t="s">
        <v>267</v>
      </c>
      <c r="C22" s="80" t="s">
        <v>118</v>
      </c>
      <c r="D22" s="107">
        <v>3231666970</v>
      </c>
      <c r="E22" s="238">
        <v>3851770430</v>
      </c>
      <c r="F22" s="107">
        <v>11569976124</v>
      </c>
    </row>
    <row r="23" spans="1:6" s="366" customFormat="1" ht="32.25" customHeight="1">
      <c r="A23" s="257"/>
      <c r="B23" s="258" t="s">
        <v>966</v>
      </c>
      <c r="C23" s="260" t="s">
        <v>946</v>
      </c>
      <c r="D23" s="107">
        <v>82373591</v>
      </c>
      <c r="E23" s="238">
        <v>1095726671</v>
      </c>
      <c r="F23" s="107">
        <v>1500727837</v>
      </c>
    </row>
    <row r="24" spans="1:6" s="366" customFormat="1" ht="32.25" customHeight="1">
      <c r="A24" s="257"/>
      <c r="B24" s="258" t="s">
        <v>776</v>
      </c>
      <c r="C24" s="260" t="s">
        <v>947</v>
      </c>
      <c r="D24" s="107">
        <v>3149293379</v>
      </c>
      <c r="E24" s="238">
        <v>2756043759</v>
      </c>
      <c r="F24" s="107">
        <v>10069248287</v>
      </c>
    </row>
    <row r="25" spans="1:6" ht="32.25" customHeight="1">
      <c r="A25" s="112">
        <v>3</v>
      </c>
      <c r="B25" s="104" t="s">
        <v>268</v>
      </c>
      <c r="C25" s="80" t="s">
        <v>119</v>
      </c>
      <c r="D25" s="238">
        <v>0</v>
      </c>
      <c r="E25" s="238">
        <v>2959180000</v>
      </c>
      <c r="F25" s="247">
        <v>2959180000</v>
      </c>
    </row>
    <row r="26" spans="1:6" ht="32.25" customHeight="1">
      <c r="A26" s="257"/>
      <c r="B26" s="258" t="s">
        <v>777</v>
      </c>
      <c r="C26" s="260" t="s">
        <v>948</v>
      </c>
      <c r="D26" s="238">
        <v>0</v>
      </c>
      <c r="E26" s="238">
        <v>0</v>
      </c>
      <c r="F26" s="238">
        <v>0</v>
      </c>
    </row>
    <row r="27" spans="1:6" ht="32.25" customHeight="1">
      <c r="A27" s="257"/>
      <c r="B27" s="258" t="s">
        <v>778</v>
      </c>
      <c r="C27" s="260" t="s">
        <v>949</v>
      </c>
      <c r="D27" s="107">
        <v>0</v>
      </c>
      <c r="E27" s="238">
        <v>2959180000</v>
      </c>
      <c r="F27" s="107">
        <v>2959180000</v>
      </c>
    </row>
    <row r="28" spans="1:6" ht="95.25" customHeight="1">
      <c r="A28" s="257"/>
      <c r="B28" s="258" t="s">
        <v>762</v>
      </c>
      <c r="C28" s="260" t="s">
        <v>950</v>
      </c>
      <c r="D28" s="256">
        <v>0</v>
      </c>
      <c r="E28" s="238">
        <v>0</v>
      </c>
      <c r="F28" s="259">
        <v>0</v>
      </c>
    </row>
    <row r="29" spans="1:6" ht="32.25" customHeight="1">
      <c r="A29" s="111" t="s">
        <v>49</v>
      </c>
      <c r="B29" s="109" t="s">
        <v>265</v>
      </c>
      <c r="C29" s="110" t="s">
        <v>930</v>
      </c>
      <c r="D29" s="199">
        <v>7402345333</v>
      </c>
      <c r="E29" s="199">
        <v>7134650041</v>
      </c>
      <c r="F29" s="199">
        <v>31812173428</v>
      </c>
    </row>
    <row r="30" spans="1:6" ht="32.25" customHeight="1">
      <c r="A30" s="112">
        <v>1</v>
      </c>
      <c r="B30" s="104" t="s">
        <v>269</v>
      </c>
      <c r="C30" s="80" t="s">
        <v>120</v>
      </c>
      <c r="D30" s="107">
        <v>5771071216</v>
      </c>
      <c r="E30" s="238">
        <v>5807682668</v>
      </c>
      <c r="F30" s="108">
        <v>25011329957</v>
      </c>
    </row>
    <row r="31" spans="1:6" ht="47.25" customHeight="1">
      <c r="A31" s="112">
        <v>2</v>
      </c>
      <c r="B31" s="104" t="s">
        <v>270</v>
      </c>
      <c r="C31" s="80" t="s">
        <v>931</v>
      </c>
      <c r="D31" s="107">
        <v>294763314</v>
      </c>
      <c r="E31" s="238">
        <v>299752773</v>
      </c>
      <c r="F31" s="107">
        <v>1288776879</v>
      </c>
    </row>
    <row r="32" spans="1:6" ht="31.5" customHeight="1">
      <c r="A32" s="112"/>
      <c r="B32" s="25" t="s">
        <v>484</v>
      </c>
      <c r="C32" s="104" t="s">
        <v>210</v>
      </c>
      <c r="D32" s="107">
        <v>118380947</v>
      </c>
      <c r="E32" s="238">
        <v>119131952</v>
      </c>
      <c r="F32" s="108">
        <v>513052923</v>
      </c>
    </row>
    <row r="33" spans="1:6" ht="31.5" customHeight="1">
      <c r="A33" s="112"/>
      <c r="B33" s="25" t="s">
        <v>163</v>
      </c>
      <c r="C33" s="104" t="s">
        <v>214</v>
      </c>
      <c r="D33" s="107">
        <v>21800000</v>
      </c>
      <c r="E33" s="238">
        <v>26000000</v>
      </c>
      <c r="F33" s="108">
        <v>116900000</v>
      </c>
    </row>
    <row r="34" spans="1:6" ht="31.5" customHeight="1">
      <c r="A34" s="112"/>
      <c r="B34" s="25" t="s">
        <v>479</v>
      </c>
      <c r="C34" s="104" t="s">
        <v>483</v>
      </c>
      <c r="D34" s="107">
        <v>24363323</v>
      </c>
      <c r="E34" s="238">
        <v>23575672</v>
      </c>
      <c r="F34" s="108">
        <v>94465738</v>
      </c>
    </row>
    <row r="35" spans="1:6" ht="31.5" customHeight="1">
      <c r="A35" s="112"/>
      <c r="B35" s="25" t="s">
        <v>271</v>
      </c>
      <c r="C35" s="104" t="s">
        <v>211</v>
      </c>
      <c r="D35" s="107">
        <v>130219044</v>
      </c>
      <c r="E35" s="238">
        <v>131045149</v>
      </c>
      <c r="F35" s="108">
        <v>564358218</v>
      </c>
    </row>
    <row r="36" spans="1:6" ht="74.25" customHeight="1">
      <c r="A36" s="112">
        <v>3</v>
      </c>
      <c r="B36" s="105" t="s">
        <v>272</v>
      </c>
      <c r="C36" s="80" t="s">
        <v>932</v>
      </c>
      <c r="D36" s="107">
        <v>114386898</v>
      </c>
      <c r="E36" s="238">
        <v>114903216</v>
      </c>
      <c r="F36" s="107">
        <v>484723876</v>
      </c>
    </row>
    <row r="37" spans="1:6" ht="30.75" customHeight="1">
      <c r="A37" s="112"/>
      <c r="B37" s="106" t="s">
        <v>273</v>
      </c>
      <c r="C37" s="104" t="s">
        <v>209</v>
      </c>
      <c r="D37" s="107">
        <v>81386898</v>
      </c>
      <c r="E37" s="238">
        <v>81903216</v>
      </c>
      <c r="F37" s="108">
        <v>352723876</v>
      </c>
    </row>
    <row r="38" spans="1:6" ht="30.75" customHeight="1">
      <c r="A38" s="112"/>
      <c r="B38" s="106" t="s">
        <v>274</v>
      </c>
      <c r="C38" s="104" t="s">
        <v>215</v>
      </c>
      <c r="D38" s="107">
        <v>33000000</v>
      </c>
      <c r="E38" s="238">
        <v>33000000</v>
      </c>
      <c r="F38" s="108">
        <v>132000000</v>
      </c>
    </row>
    <row r="39" spans="1:6" ht="30.75" customHeight="1">
      <c r="A39" s="112">
        <v>4</v>
      </c>
      <c r="B39" s="104" t="s">
        <v>276</v>
      </c>
      <c r="C39" s="80" t="s">
        <v>121</v>
      </c>
      <c r="D39" s="107">
        <v>45747979</v>
      </c>
      <c r="E39" s="238">
        <v>45747933</v>
      </c>
      <c r="F39" s="108">
        <v>185578325</v>
      </c>
    </row>
    <row r="40" spans="1:6" ht="72" customHeight="1">
      <c r="A40" s="112">
        <v>5</v>
      </c>
      <c r="B40" s="104" t="s">
        <v>277</v>
      </c>
      <c r="C40" s="80" t="s">
        <v>933</v>
      </c>
      <c r="D40" s="107">
        <v>74514983</v>
      </c>
      <c r="E40" s="238">
        <v>74514913</v>
      </c>
      <c r="F40" s="107">
        <v>297920000</v>
      </c>
    </row>
    <row r="41" spans="1:6" ht="30.75" customHeight="1">
      <c r="A41" s="112"/>
      <c r="B41" s="24" t="s">
        <v>173</v>
      </c>
      <c r="C41" s="80" t="s">
        <v>395</v>
      </c>
      <c r="D41" s="107">
        <v>55284983</v>
      </c>
      <c r="E41" s="238">
        <v>55284913</v>
      </c>
      <c r="F41" s="108">
        <v>221000000</v>
      </c>
    </row>
    <row r="42" spans="1:6" ht="30.75" customHeight="1">
      <c r="A42" s="112"/>
      <c r="B42" s="24" t="s">
        <v>779</v>
      </c>
      <c r="C42" s="80" t="s">
        <v>396</v>
      </c>
      <c r="D42" s="107">
        <v>19230000</v>
      </c>
      <c r="E42" s="238">
        <v>19230000</v>
      </c>
      <c r="F42" s="108">
        <v>76920000</v>
      </c>
    </row>
    <row r="43" spans="1:6" ht="30.75" customHeight="1">
      <c r="A43" s="112"/>
      <c r="B43" s="362" t="s">
        <v>626</v>
      </c>
      <c r="C43" s="80" t="s">
        <v>784</v>
      </c>
      <c r="D43" s="107">
        <v>0</v>
      </c>
      <c r="E43" s="238">
        <v>0</v>
      </c>
      <c r="F43" s="108">
        <v>0</v>
      </c>
    </row>
    <row r="44" spans="1:6" ht="150" customHeight="1">
      <c r="A44" s="112">
        <v>6</v>
      </c>
      <c r="B44" s="105" t="s">
        <v>278</v>
      </c>
      <c r="C44" s="80" t="s">
        <v>934</v>
      </c>
      <c r="D44" s="107">
        <v>61862325</v>
      </c>
      <c r="E44" s="238">
        <v>27362430</v>
      </c>
      <c r="F44" s="107">
        <v>131012899</v>
      </c>
    </row>
    <row r="45" spans="1:6" ht="30.75" customHeight="1">
      <c r="A45" s="112"/>
      <c r="B45" s="106" t="s">
        <v>275</v>
      </c>
      <c r="C45" s="104" t="s">
        <v>220</v>
      </c>
      <c r="D45" s="107">
        <v>22907547</v>
      </c>
      <c r="E45" s="238">
        <v>6177235</v>
      </c>
      <c r="F45" s="108">
        <v>45635681</v>
      </c>
    </row>
    <row r="46" spans="1:6" ht="30.75" customHeight="1">
      <c r="A46" s="112"/>
      <c r="B46" s="106" t="s">
        <v>175</v>
      </c>
      <c r="C46" s="104" t="s">
        <v>212</v>
      </c>
      <c r="D46" s="107">
        <v>23458957</v>
      </c>
      <c r="E46" s="238">
        <v>5689372</v>
      </c>
      <c r="F46" s="108">
        <v>40341550</v>
      </c>
    </row>
    <row r="47" spans="1:6" ht="45.75" customHeight="1">
      <c r="A47" s="112"/>
      <c r="B47" s="106" t="s">
        <v>380</v>
      </c>
      <c r="C47" s="104" t="s">
        <v>219</v>
      </c>
      <c r="D47" s="107">
        <v>15495821</v>
      </c>
      <c r="E47" s="238">
        <v>15495823</v>
      </c>
      <c r="F47" s="108">
        <v>45035668</v>
      </c>
    </row>
    <row r="48" spans="1:6" ht="33" customHeight="1">
      <c r="A48" s="112"/>
      <c r="B48" s="24" t="s">
        <v>176</v>
      </c>
      <c r="C48" s="104" t="s">
        <v>218</v>
      </c>
      <c r="D48" s="107">
        <v>0</v>
      </c>
      <c r="E48" s="238">
        <v>0</v>
      </c>
      <c r="F48" s="108">
        <v>0</v>
      </c>
    </row>
    <row r="49" spans="1:6" ht="33" customHeight="1">
      <c r="A49" s="112"/>
      <c r="B49" s="24" t="s">
        <v>485</v>
      </c>
      <c r="C49" s="104" t="s">
        <v>951</v>
      </c>
      <c r="D49" s="107">
        <v>0</v>
      </c>
      <c r="E49" s="238">
        <v>0</v>
      </c>
      <c r="F49" s="108">
        <v>0</v>
      </c>
    </row>
    <row r="50" spans="1:6" ht="59.25" customHeight="1">
      <c r="A50" s="112">
        <v>7</v>
      </c>
      <c r="B50" s="104" t="s">
        <v>279</v>
      </c>
      <c r="C50" s="80" t="s">
        <v>935</v>
      </c>
      <c r="D50" s="107">
        <v>1029376673</v>
      </c>
      <c r="E50" s="238">
        <v>754069583</v>
      </c>
      <c r="F50" s="107">
        <v>4365906989</v>
      </c>
    </row>
    <row r="51" spans="1:6" ht="31.5" customHeight="1">
      <c r="A51" s="112"/>
      <c r="B51" s="25" t="s">
        <v>780</v>
      </c>
      <c r="C51" s="104" t="s">
        <v>216</v>
      </c>
      <c r="D51" s="107">
        <v>1025702323</v>
      </c>
      <c r="E51" s="238">
        <v>750792618</v>
      </c>
      <c r="F51" s="108">
        <v>3783926649</v>
      </c>
    </row>
    <row r="52" spans="1:6" ht="31.5" customHeight="1">
      <c r="A52" s="112"/>
      <c r="B52" s="25" t="s">
        <v>155</v>
      </c>
      <c r="C52" s="104" t="s">
        <v>213</v>
      </c>
      <c r="D52" s="107">
        <v>3674350</v>
      </c>
      <c r="E52" s="238">
        <v>3276965</v>
      </c>
      <c r="F52" s="108">
        <v>15873520</v>
      </c>
    </row>
    <row r="53" spans="1:6" ht="31.5" customHeight="1">
      <c r="A53" s="112"/>
      <c r="B53" s="25" t="s">
        <v>281</v>
      </c>
      <c r="C53" s="104" t="s">
        <v>987</v>
      </c>
      <c r="D53" s="107">
        <v>0</v>
      </c>
      <c r="E53" s="238">
        <v>0</v>
      </c>
      <c r="F53" s="108">
        <v>566106820</v>
      </c>
    </row>
    <row r="54" spans="1:6" ht="34.5" customHeight="1">
      <c r="A54" s="223">
        <v>8</v>
      </c>
      <c r="B54" s="220" t="s">
        <v>280</v>
      </c>
      <c r="C54" s="237" t="s">
        <v>936</v>
      </c>
      <c r="D54" s="238">
        <v>10621945</v>
      </c>
      <c r="E54" s="238">
        <v>10616525</v>
      </c>
      <c r="F54" s="238">
        <v>46924503</v>
      </c>
    </row>
    <row r="55" spans="1:6" s="239" customFormat="1" ht="31.5" customHeight="1">
      <c r="A55" s="223"/>
      <c r="B55" s="246" t="s">
        <v>381</v>
      </c>
      <c r="C55" s="220" t="s">
        <v>122</v>
      </c>
      <c r="D55" s="238">
        <v>0</v>
      </c>
      <c r="E55" s="238">
        <v>0</v>
      </c>
      <c r="F55" s="247">
        <v>0</v>
      </c>
    </row>
    <row r="56" spans="1:6" s="239" customFormat="1" ht="31.5" customHeight="1">
      <c r="A56" s="223"/>
      <c r="B56" s="246" t="s">
        <v>763</v>
      </c>
      <c r="C56" s="220" t="s">
        <v>217</v>
      </c>
      <c r="D56" s="238">
        <v>0</v>
      </c>
      <c r="E56" s="238">
        <v>0</v>
      </c>
      <c r="F56" s="247">
        <v>0</v>
      </c>
    </row>
    <row r="57" spans="1:6" s="239" customFormat="1" ht="31.5" customHeight="1">
      <c r="A57" s="223"/>
      <c r="B57" s="246" t="s">
        <v>764</v>
      </c>
      <c r="C57" s="220" t="s">
        <v>208</v>
      </c>
      <c r="D57" s="238">
        <v>2520578</v>
      </c>
      <c r="E57" s="238">
        <v>2520537</v>
      </c>
      <c r="F57" s="247">
        <v>10000000</v>
      </c>
    </row>
    <row r="58" spans="1:6" s="239" customFormat="1" ht="31.5" customHeight="1">
      <c r="A58" s="223"/>
      <c r="B58" s="246" t="s">
        <v>177</v>
      </c>
      <c r="C58" s="220" t="s">
        <v>397</v>
      </c>
      <c r="D58" s="238">
        <v>8101367</v>
      </c>
      <c r="E58" s="238">
        <v>6995988</v>
      </c>
      <c r="F58" s="247">
        <v>35824503</v>
      </c>
    </row>
    <row r="59" spans="1:6" s="239" customFormat="1" ht="31.5" customHeight="1">
      <c r="A59" s="223"/>
      <c r="B59" s="246" t="s">
        <v>765</v>
      </c>
      <c r="C59" s="220" t="s">
        <v>952</v>
      </c>
      <c r="D59" s="238"/>
      <c r="E59" s="238"/>
      <c r="F59" s="247"/>
    </row>
    <row r="60" spans="1:6" s="239" customFormat="1" ht="31.5" customHeight="1">
      <c r="A60" s="223"/>
      <c r="B60" s="246" t="s">
        <v>281</v>
      </c>
      <c r="C60" s="220" t="s">
        <v>766</v>
      </c>
      <c r="D60" s="238">
        <v>0</v>
      </c>
      <c r="E60" s="238">
        <v>0</v>
      </c>
      <c r="F60" s="247">
        <v>0</v>
      </c>
    </row>
    <row r="61" spans="1:6" s="239" customFormat="1" ht="31.5" customHeight="1">
      <c r="A61" s="223"/>
      <c r="B61" s="246" t="s">
        <v>629</v>
      </c>
      <c r="C61" s="220" t="s">
        <v>878</v>
      </c>
      <c r="D61" s="238">
        <v>0</v>
      </c>
      <c r="E61" s="238">
        <v>1100000</v>
      </c>
      <c r="F61" s="247">
        <v>1100000</v>
      </c>
    </row>
    <row r="62" spans="1:6" ht="31.5" customHeight="1">
      <c r="A62" s="113" t="s">
        <v>123</v>
      </c>
      <c r="B62" s="109" t="s">
        <v>282</v>
      </c>
      <c r="C62" s="110" t="s">
        <v>937</v>
      </c>
      <c r="D62" s="199">
        <v>-926858260</v>
      </c>
      <c r="E62" s="199">
        <v>4521200389</v>
      </c>
      <c r="F62" s="199">
        <v>-977254501</v>
      </c>
    </row>
    <row r="63" spans="1:6" ht="31.5" customHeight="1">
      <c r="A63" s="113" t="s">
        <v>124</v>
      </c>
      <c r="B63" s="109" t="s">
        <v>283</v>
      </c>
      <c r="C63" s="110" t="s">
        <v>938</v>
      </c>
      <c r="D63" s="199">
        <v>-151397427519</v>
      </c>
      <c r="E63" s="199">
        <v>47207678460</v>
      </c>
      <c r="F63" s="199">
        <v>-181776349859</v>
      </c>
    </row>
    <row r="64" spans="1:6" ht="31.5" customHeight="1">
      <c r="A64" s="112">
        <v>1</v>
      </c>
      <c r="B64" s="104" t="s">
        <v>284</v>
      </c>
      <c r="C64" s="80" t="s">
        <v>125</v>
      </c>
      <c r="D64" s="107">
        <v>170547604</v>
      </c>
      <c r="E64" s="238">
        <v>6133759869</v>
      </c>
      <c r="F64" s="108">
        <v>81305477172</v>
      </c>
    </row>
    <row r="65" spans="1:6" ht="31.5" customHeight="1">
      <c r="A65" s="112">
        <v>2</v>
      </c>
      <c r="B65" s="104" t="s">
        <v>285</v>
      </c>
      <c r="C65" s="80" t="s">
        <v>126</v>
      </c>
      <c r="D65" s="107">
        <v>-151567975123</v>
      </c>
      <c r="E65" s="238">
        <v>41073918591</v>
      </c>
      <c r="F65" s="108">
        <v>-263081827031</v>
      </c>
    </row>
    <row r="66" spans="1:6" ht="78.75" customHeight="1">
      <c r="A66" s="113" t="s">
        <v>127</v>
      </c>
      <c r="B66" s="109" t="s">
        <v>286</v>
      </c>
      <c r="C66" s="110" t="s">
        <v>939</v>
      </c>
      <c r="D66" s="199">
        <v>-152324285779</v>
      </c>
      <c r="E66" s="199">
        <v>51728878849</v>
      </c>
      <c r="F66" s="199">
        <v>-182753604360</v>
      </c>
    </row>
    <row r="67" spans="1:6" ht="33" customHeight="1">
      <c r="A67" s="113" t="s">
        <v>53</v>
      </c>
      <c r="B67" s="109" t="s">
        <v>287</v>
      </c>
      <c r="C67" s="110" t="s">
        <v>940</v>
      </c>
      <c r="D67" s="199">
        <v>1275103947993</v>
      </c>
      <c r="E67" s="199">
        <v>1279838418219</v>
      </c>
      <c r="F67" s="200">
        <v>1115296996271</v>
      </c>
    </row>
    <row r="68" spans="1:6" ht="48" customHeight="1">
      <c r="A68" s="113" t="s">
        <v>128</v>
      </c>
      <c r="B68" s="109" t="s">
        <v>288</v>
      </c>
      <c r="C68" s="110" t="s">
        <v>941</v>
      </c>
      <c r="D68" s="199">
        <v>-186087085798</v>
      </c>
      <c r="E68" s="199">
        <v>-4734470226</v>
      </c>
      <c r="F68" s="199">
        <v>-26280134076</v>
      </c>
    </row>
    <row r="69" spans="1:6" ht="31.5" customHeight="1">
      <c r="A69" s="112"/>
      <c r="B69" s="104" t="s">
        <v>289</v>
      </c>
      <c r="C69" s="80" t="s">
        <v>942</v>
      </c>
      <c r="D69" s="107"/>
      <c r="E69" s="238"/>
      <c r="F69" s="108"/>
    </row>
    <row r="70" spans="1:6" ht="62.25" customHeight="1">
      <c r="A70" s="112">
        <v>1</v>
      </c>
      <c r="B70" s="104" t="s">
        <v>290</v>
      </c>
      <c r="C70" s="80" t="s">
        <v>953</v>
      </c>
      <c r="D70" s="107">
        <v>-152324285779</v>
      </c>
      <c r="E70" s="238">
        <v>51728878849</v>
      </c>
      <c r="F70" s="107">
        <v>-182753604360</v>
      </c>
    </row>
    <row r="71" spans="1:6" ht="62.25" customHeight="1">
      <c r="A71" s="112">
        <v>2</v>
      </c>
      <c r="B71" s="104" t="s">
        <v>291</v>
      </c>
      <c r="C71" s="80" t="s">
        <v>954</v>
      </c>
      <c r="D71" s="107">
        <v>0</v>
      </c>
      <c r="E71" s="238">
        <v>0</v>
      </c>
      <c r="F71" s="108">
        <v>0</v>
      </c>
    </row>
    <row r="72" spans="1:6" ht="47.25" customHeight="1">
      <c r="A72" s="112">
        <v>3</v>
      </c>
      <c r="B72" s="104" t="s">
        <v>292</v>
      </c>
      <c r="C72" s="80" t="s">
        <v>955</v>
      </c>
      <c r="D72" s="238">
        <v>94938942207</v>
      </c>
      <c r="E72" s="238">
        <v>134850183954</v>
      </c>
      <c r="F72" s="108">
        <v>1202246526509</v>
      </c>
    </row>
    <row r="73" spans="1:6" ht="47.25" customHeight="1">
      <c r="A73" s="112">
        <v>4</v>
      </c>
      <c r="B73" s="104" t="s">
        <v>293</v>
      </c>
      <c r="C73" s="80" t="s">
        <v>956</v>
      </c>
      <c r="D73" s="238">
        <v>-128701742226</v>
      </c>
      <c r="E73" s="238">
        <v>-191313533029</v>
      </c>
      <c r="F73" s="247">
        <v>-1045773056225</v>
      </c>
    </row>
    <row r="74" spans="1:6" ht="33" customHeight="1">
      <c r="A74" s="111" t="s">
        <v>129</v>
      </c>
      <c r="B74" s="109" t="s">
        <v>294</v>
      </c>
      <c r="C74" s="110" t="s">
        <v>943</v>
      </c>
      <c r="D74" s="199">
        <v>1089016862195</v>
      </c>
      <c r="E74" s="199">
        <v>1275103947993</v>
      </c>
      <c r="F74" s="199">
        <v>1089016862195</v>
      </c>
    </row>
    <row r="75" spans="1:6" ht="15" customHeight="1">
      <c r="A75" s="77"/>
      <c r="B75" s="77"/>
      <c r="C75" s="77"/>
      <c r="D75" s="78"/>
      <c r="E75" s="78"/>
      <c r="F75" s="78"/>
    </row>
    <row r="76" spans="1:6" ht="15" customHeight="1">
      <c r="A76" s="101"/>
      <c r="B76" s="101"/>
      <c r="C76" s="101"/>
      <c r="D76" s="100"/>
      <c r="E76" s="100"/>
      <c r="F76" s="100"/>
    </row>
    <row r="77" spans="1:6" ht="15" customHeight="1">
      <c r="A77" s="101"/>
      <c r="B77" s="101"/>
      <c r="C77" s="101"/>
      <c r="D77" s="100"/>
      <c r="E77" s="100"/>
      <c r="F77" s="100"/>
    </row>
    <row r="78" spans="1:6">
      <c r="A78" s="93" t="s">
        <v>186</v>
      </c>
      <c r="B78" s="94"/>
      <c r="C78" s="95"/>
      <c r="D78" s="96" t="s">
        <v>187</v>
      </c>
      <c r="E78" s="97"/>
      <c r="F78" s="100"/>
    </row>
    <row r="79" spans="1:6">
      <c r="A79" s="98" t="s">
        <v>188</v>
      </c>
      <c r="B79" s="94"/>
      <c r="C79" s="95"/>
      <c r="D79" s="99" t="s">
        <v>189</v>
      </c>
      <c r="E79" s="97"/>
      <c r="F79" s="100"/>
    </row>
    <row r="80" spans="1:6">
      <c r="A80" s="94"/>
      <c r="B80" s="94"/>
      <c r="C80" s="95"/>
      <c r="D80" s="95"/>
      <c r="E80" s="97"/>
      <c r="F80" s="100"/>
    </row>
    <row r="81" spans="1:6">
      <c r="A81" s="94"/>
      <c r="B81" s="94"/>
      <c r="C81" s="95"/>
      <c r="D81" s="95"/>
      <c r="E81" s="97"/>
      <c r="F81" s="100"/>
    </row>
    <row r="82" spans="1:6">
      <c r="A82" s="94"/>
      <c r="B82" s="94"/>
      <c r="C82" s="95"/>
      <c r="D82" s="95"/>
      <c r="E82" s="97"/>
      <c r="F82" s="100"/>
    </row>
    <row r="83" spans="1:6">
      <c r="A83" s="94"/>
      <c r="B83" s="94"/>
      <c r="C83" s="95"/>
      <c r="D83" s="95"/>
      <c r="E83" s="97"/>
      <c r="F83" s="100"/>
    </row>
    <row r="84" spans="1:6">
      <c r="A84" s="94"/>
      <c r="B84" s="94"/>
      <c r="C84" s="95"/>
      <c r="D84" s="95"/>
      <c r="E84" s="97"/>
      <c r="F84" s="100"/>
    </row>
    <row r="85" spans="1:6">
      <c r="A85" s="94"/>
      <c r="B85" s="94"/>
      <c r="C85" s="95"/>
      <c r="D85" s="95"/>
      <c r="E85" s="97"/>
      <c r="F85" s="100"/>
    </row>
    <row r="86" spans="1:6">
      <c r="A86" s="94"/>
      <c r="B86" s="94"/>
      <c r="C86" s="95"/>
      <c r="D86" s="95"/>
      <c r="E86" s="97"/>
      <c r="F86" s="100"/>
    </row>
    <row r="87" spans="1:6">
      <c r="A87" s="63"/>
      <c r="B87" s="63"/>
      <c r="C87" s="95"/>
      <c r="D87" s="64"/>
      <c r="E87" s="88"/>
      <c r="F87" s="103"/>
    </row>
    <row r="88" spans="1:6">
      <c r="A88" s="93" t="s">
        <v>190</v>
      </c>
      <c r="B88" s="94"/>
      <c r="C88" s="95"/>
      <c r="D88" s="96" t="s">
        <v>476</v>
      </c>
      <c r="E88" s="97"/>
      <c r="F88" s="100"/>
    </row>
    <row r="89" spans="1:6">
      <c r="A89" s="93" t="s">
        <v>781</v>
      </c>
      <c r="B89" s="94"/>
      <c r="C89" s="95"/>
      <c r="D89" s="96" t="s">
        <v>477</v>
      </c>
      <c r="E89" s="97"/>
      <c r="F89" s="100"/>
    </row>
    <row r="90" spans="1:6">
      <c r="A90" s="461" t="s">
        <v>1011</v>
      </c>
      <c r="B90" s="94"/>
      <c r="C90" s="95"/>
      <c r="D90" s="95" t="s">
        <v>478</v>
      </c>
      <c r="E90" s="97"/>
      <c r="F90" s="100"/>
    </row>
    <row r="91" spans="1:6">
      <c r="A91" s="91"/>
      <c r="B91" s="91"/>
      <c r="C91" s="91"/>
      <c r="D91" s="92"/>
      <c r="E91" s="92"/>
      <c r="F91" s="92"/>
    </row>
  </sheetData>
  <mergeCells count="20">
    <mergeCell ref="A8:B8"/>
    <mergeCell ref="C8:F8"/>
    <mergeCell ref="A10:B10"/>
    <mergeCell ref="C10:F10"/>
    <mergeCell ref="A12:B12"/>
    <mergeCell ref="C14:F14"/>
    <mergeCell ref="C12:F12"/>
    <mergeCell ref="A9:B9"/>
    <mergeCell ref="C9:F9"/>
    <mergeCell ref="A11:B11"/>
    <mergeCell ref="C11:F11"/>
    <mergeCell ref="C13:F13"/>
    <mergeCell ref="A13:B13"/>
    <mergeCell ref="A14:B14"/>
    <mergeCell ref="A1:F1"/>
    <mergeCell ref="A2:F2"/>
    <mergeCell ref="A7:B7"/>
    <mergeCell ref="C7:F7"/>
    <mergeCell ref="A3:F4"/>
    <mergeCell ref="A5:F5"/>
  </mergeCells>
  <printOptions horizontalCentered="1"/>
  <pageMargins left="0.7" right="0.7" top="0.75" bottom="0.57999999999999996" header="0.3" footer="0.3"/>
  <pageSetup scale="72" orientation="portrait" r:id="rId1"/>
  <drawing r:id="rId2"/>
</worksheet>
</file>

<file path=xl/worksheets/sheet7.xml><?xml version="1.0" encoding="utf-8"?>
<worksheet xmlns="http://schemas.openxmlformats.org/spreadsheetml/2006/main" xmlns:r="http://schemas.openxmlformats.org/officeDocument/2006/relationships">
  <sheetPr>
    <tabColor rgb="FFFF0000"/>
  </sheetPr>
  <dimension ref="A1:M47"/>
  <sheetViews>
    <sheetView view="pageBreakPreview" topLeftCell="A13" zoomScale="90" zoomScaleNormal="100" zoomScaleSheetLayoutView="90" workbookViewId="0">
      <selection activeCell="G34" sqref="G34"/>
    </sheetView>
  </sheetViews>
  <sheetFormatPr defaultColWidth="9.140625" defaultRowHeight="10.5"/>
  <cols>
    <col min="1" max="1" width="9.140625" style="197"/>
    <col min="2" max="2" width="17" style="197" customWidth="1"/>
    <col min="3" max="3" width="9.140625" style="197"/>
    <col min="4" max="4" width="23.28515625" style="294" bestFit="1" customWidth="1"/>
    <col min="5" max="5" width="25" style="294" bestFit="1" customWidth="1"/>
    <col min="6" max="6" width="21.5703125" style="294" customWidth="1"/>
    <col min="7" max="7" width="20.42578125" style="294" bestFit="1" customWidth="1"/>
    <col min="8" max="8" width="23.140625" style="294" bestFit="1" customWidth="1"/>
    <col min="9" max="9" width="6.28515625" style="197" customWidth="1"/>
    <col min="10" max="10" width="7.140625" style="197" customWidth="1"/>
    <col min="11" max="11" width="9.140625" style="197"/>
    <col min="12" max="12" width="21.140625" style="296" bestFit="1" customWidth="1"/>
    <col min="13" max="13" width="18.140625" style="197" bestFit="1" customWidth="1"/>
    <col min="14" max="16384" width="9.140625" style="197"/>
  </cols>
  <sheetData>
    <row r="1" spans="1:12" ht="32.25" customHeight="1">
      <c r="A1" s="495" t="s">
        <v>569</v>
      </c>
      <c r="B1" s="495"/>
      <c r="C1" s="495"/>
      <c r="D1" s="495"/>
      <c r="E1" s="495"/>
      <c r="F1" s="495"/>
      <c r="G1" s="495"/>
      <c r="H1" s="495"/>
    </row>
    <row r="2" spans="1:12" ht="34.5" customHeight="1">
      <c r="A2" s="475" t="s">
        <v>226</v>
      </c>
      <c r="B2" s="475"/>
      <c r="C2" s="475"/>
      <c r="D2" s="475"/>
      <c r="E2" s="475"/>
      <c r="F2" s="475"/>
      <c r="G2" s="475"/>
      <c r="H2" s="475"/>
    </row>
    <row r="3" spans="1:12" ht="12.75" customHeight="1">
      <c r="A3" s="476" t="s">
        <v>570</v>
      </c>
      <c r="B3" s="476"/>
      <c r="C3" s="476"/>
      <c r="D3" s="476"/>
      <c r="E3" s="476"/>
      <c r="F3" s="476"/>
      <c r="G3" s="476"/>
      <c r="H3" s="476"/>
    </row>
    <row r="4" spans="1:12" ht="27.75" customHeight="1">
      <c r="A4" s="476"/>
      <c r="B4" s="476"/>
      <c r="C4" s="476"/>
      <c r="D4" s="476"/>
      <c r="E4" s="476"/>
      <c r="F4" s="476"/>
      <c r="G4" s="476"/>
      <c r="H4" s="476"/>
    </row>
    <row r="5" spans="1:12" ht="12.75">
      <c r="A5" s="477" t="str">
        <f>BCthunhap!A5</f>
        <v>Quý IV năm 2018/ Quarter IV 2018</v>
      </c>
      <c r="B5" s="477"/>
      <c r="C5" s="477"/>
      <c r="D5" s="477"/>
      <c r="E5" s="477"/>
      <c r="F5" s="477"/>
      <c r="G5" s="477"/>
      <c r="H5" s="477"/>
    </row>
    <row r="6" spans="1:12" ht="12.75">
      <c r="A6" s="252"/>
      <c r="B6" s="252"/>
      <c r="C6" s="252"/>
      <c r="D6" s="252"/>
      <c r="E6" s="252"/>
      <c r="F6" s="65"/>
      <c r="G6" s="273"/>
      <c r="H6" s="273"/>
    </row>
    <row r="7" spans="1:12" ht="12.75">
      <c r="A7" s="496" t="s">
        <v>464</v>
      </c>
      <c r="B7" s="496"/>
      <c r="C7" s="274"/>
      <c r="D7" s="497" t="s">
        <v>475</v>
      </c>
      <c r="E7" s="497"/>
      <c r="F7" s="497"/>
      <c r="G7" s="497"/>
      <c r="H7" s="274"/>
    </row>
    <row r="8" spans="1:12" ht="12.75" customHeight="1">
      <c r="A8" s="499" t="s">
        <v>471</v>
      </c>
      <c r="B8" s="499"/>
      <c r="C8" s="499"/>
      <c r="D8" s="509" t="s">
        <v>1008</v>
      </c>
      <c r="E8" s="509"/>
      <c r="F8" s="509"/>
      <c r="G8" s="509"/>
      <c r="H8" s="274"/>
    </row>
    <row r="9" spans="1:12" ht="12.75" customHeight="1">
      <c r="A9" s="496" t="s">
        <v>466</v>
      </c>
      <c r="B9" s="496"/>
      <c r="C9" s="274"/>
      <c r="D9" s="497" t="s">
        <v>1007</v>
      </c>
      <c r="E9" s="497"/>
      <c r="F9" s="497"/>
      <c r="G9" s="497"/>
      <c r="H9" s="274"/>
    </row>
    <row r="10" spans="1:12" ht="12.75" customHeight="1">
      <c r="A10" s="500" t="s">
        <v>468</v>
      </c>
      <c r="B10" s="500"/>
      <c r="C10" s="274"/>
      <c r="D10" s="509" t="s">
        <v>469</v>
      </c>
      <c r="E10" s="509"/>
      <c r="F10" s="509"/>
      <c r="G10" s="509"/>
      <c r="H10" s="274"/>
    </row>
    <row r="11" spans="1:12" ht="12.75" customHeight="1">
      <c r="A11" s="496" t="s">
        <v>401</v>
      </c>
      <c r="B11" s="496"/>
      <c r="C11" s="274"/>
      <c r="D11" s="497" t="s">
        <v>501</v>
      </c>
      <c r="E11" s="497"/>
      <c r="F11" s="497"/>
      <c r="G11" s="497"/>
      <c r="H11" s="274"/>
    </row>
    <row r="12" spans="1:12" ht="12.75" customHeight="1">
      <c r="A12" s="501" t="s">
        <v>399</v>
      </c>
      <c r="B12" s="501"/>
      <c r="C12" s="274"/>
      <c r="D12" s="509" t="s">
        <v>500</v>
      </c>
      <c r="E12" s="509"/>
      <c r="F12" s="509"/>
      <c r="G12" s="509"/>
      <c r="H12" s="274"/>
    </row>
    <row r="13" spans="1:12" ht="12.75" customHeight="1">
      <c r="A13" s="497" t="s">
        <v>146</v>
      </c>
      <c r="B13" s="497"/>
      <c r="C13" s="274"/>
      <c r="D13" s="510" t="str">
        <f>BCthunhap!B13</f>
        <v>Ngày 10 tháng 01 năm 2019</v>
      </c>
      <c r="E13" s="497"/>
      <c r="F13" s="497"/>
      <c r="G13" s="497"/>
      <c r="H13" s="274"/>
    </row>
    <row r="14" spans="1:12" ht="12.75">
      <c r="A14" s="498" t="s">
        <v>147</v>
      </c>
      <c r="B14" s="498"/>
      <c r="D14" s="464">
        <f>BCthunhap!B14</f>
        <v>43475</v>
      </c>
      <c r="E14" s="464"/>
      <c r="F14" s="464"/>
      <c r="G14" s="464"/>
      <c r="H14" s="274"/>
    </row>
    <row r="15" spans="1:12">
      <c r="A15" s="274"/>
      <c r="B15" s="274"/>
      <c r="C15" s="274"/>
      <c r="D15" s="273"/>
      <c r="E15" s="273"/>
      <c r="F15" s="273"/>
      <c r="G15" s="273"/>
      <c r="H15" s="273"/>
    </row>
    <row r="16" spans="1:12" s="275" customFormat="1" ht="18.75" customHeight="1">
      <c r="A16" s="504" t="s">
        <v>571</v>
      </c>
      <c r="B16" s="504" t="s">
        <v>572</v>
      </c>
      <c r="C16" s="504" t="s">
        <v>573</v>
      </c>
      <c r="D16" s="506" t="s">
        <v>574</v>
      </c>
      <c r="E16" s="507"/>
      <c r="F16" s="508"/>
      <c r="G16" s="502" t="s">
        <v>575</v>
      </c>
      <c r="H16" s="502" t="s">
        <v>576</v>
      </c>
      <c r="L16" s="297"/>
    </row>
    <row r="17" spans="1:13" s="275" customFormat="1" ht="99.75" customHeight="1">
      <c r="A17" s="505"/>
      <c r="B17" s="505"/>
      <c r="C17" s="505"/>
      <c r="D17" s="295" t="s">
        <v>577</v>
      </c>
      <c r="E17" s="295" t="s">
        <v>578</v>
      </c>
      <c r="F17" s="295" t="s">
        <v>579</v>
      </c>
      <c r="G17" s="503"/>
      <c r="H17" s="503"/>
      <c r="L17" s="297"/>
    </row>
    <row r="18" spans="1:13" s="275" customFormat="1" ht="12.75">
      <c r="A18" s="276" t="s">
        <v>580</v>
      </c>
      <c r="B18" s="276" t="s">
        <v>581</v>
      </c>
      <c r="C18" s="276" t="s">
        <v>582</v>
      </c>
      <c r="D18" s="277" t="s">
        <v>583</v>
      </c>
      <c r="E18" s="277" t="s">
        <v>584</v>
      </c>
      <c r="F18" s="277" t="s">
        <v>585</v>
      </c>
      <c r="G18" s="278" t="s">
        <v>586</v>
      </c>
      <c r="H18" s="278" t="s">
        <v>587</v>
      </c>
      <c r="L18" s="297"/>
    </row>
    <row r="19" spans="1:13" s="275" customFormat="1" ht="30.75" customHeight="1">
      <c r="A19" s="279">
        <v>1</v>
      </c>
      <c r="B19" s="280" t="s">
        <v>588</v>
      </c>
      <c r="C19" s="281" t="s">
        <v>589</v>
      </c>
      <c r="D19" s="282">
        <v>83121367000</v>
      </c>
      <c r="E19" s="282">
        <f>$D$24</f>
        <v>325242221000</v>
      </c>
      <c r="F19" s="283">
        <f>D19/E19</f>
        <v>0.25556757897062815</v>
      </c>
      <c r="G19" s="283">
        <v>1.5E-3</v>
      </c>
      <c r="H19" s="283" t="s">
        <v>590</v>
      </c>
      <c r="I19" s="284" t="s">
        <v>594</v>
      </c>
      <c r="J19" s="275">
        <v>3223500000</v>
      </c>
      <c r="K19" s="275">
        <v>79897867000</v>
      </c>
      <c r="L19" s="297">
        <v>83121367000</v>
      </c>
    </row>
    <row r="20" spans="1:13" s="275" customFormat="1" ht="40.5" customHeight="1">
      <c r="A20" s="279">
        <v>2</v>
      </c>
      <c r="B20" s="281" t="s">
        <v>591</v>
      </c>
      <c r="C20" s="281" t="s">
        <v>589</v>
      </c>
      <c r="D20" s="282">
        <v>134640426000</v>
      </c>
      <c r="E20" s="282">
        <f t="shared" ref="E20:E22" si="0">$D$24</f>
        <v>325242221000</v>
      </c>
      <c r="F20" s="283">
        <f t="shared" ref="F20:F22" si="1">D20/E20</f>
        <v>0.41396970413629047</v>
      </c>
      <c r="G20" s="283">
        <v>1.5E-3</v>
      </c>
      <c r="H20" s="283" t="s">
        <v>590</v>
      </c>
      <c r="I20" s="284" t="s">
        <v>598</v>
      </c>
      <c r="J20" s="275">
        <v>844660000</v>
      </c>
      <c r="L20" s="297">
        <v>844660000</v>
      </c>
    </row>
    <row r="21" spans="1:13" s="275" customFormat="1" ht="40.5" customHeight="1">
      <c r="A21" s="279">
        <v>3</v>
      </c>
      <c r="B21" s="281" t="s">
        <v>592</v>
      </c>
      <c r="C21" s="281" t="s">
        <v>589</v>
      </c>
      <c r="D21" s="282">
        <v>107480428000</v>
      </c>
      <c r="E21" s="282">
        <f t="shared" si="0"/>
        <v>325242221000</v>
      </c>
      <c r="F21" s="283">
        <f t="shared" si="1"/>
        <v>0.33046271689308138</v>
      </c>
      <c r="G21" s="283">
        <v>1.5E-3</v>
      </c>
      <c r="H21" s="283" t="s">
        <v>590</v>
      </c>
      <c r="I21" s="284" t="s">
        <v>595</v>
      </c>
      <c r="J21" s="275">
        <v>38699843000</v>
      </c>
      <c r="K21" s="275">
        <v>95940583000</v>
      </c>
      <c r="L21" s="297">
        <v>134640426000</v>
      </c>
    </row>
    <row r="22" spans="1:13" s="275" customFormat="1" ht="60" customHeight="1">
      <c r="A22" s="279">
        <v>4</v>
      </c>
      <c r="B22" s="281" t="s">
        <v>503</v>
      </c>
      <c r="C22" s="281" t="s">
        <v>589</v>
      </c>
      <c r="D22" s="282"/>
      <c r="E22" s="282">
        <f t="shared" si="0"/>
        <v>325242221000</v>
      </c>
      <c r="F22" s="283">
        <f t="shared" si="1"/>
        <v>0</v>
      </c>
      <c r="G22" s="283">
        <v>5.7112678133959486E-3</v>
      </c>
      <c r="H22" s="283" t="s">
        <v>590</v>
      </c>
      <c r="I22" s="275" t="s">
        <v>597</v>
      </c>
      <c r="J22" s="275">
        <v>5895000000</v>
      </c>
      <c r="K22" s="275">
        <v>5425000000</v>
      </c>
      <c r="L22" s="297">
        <v>11320000000</v>
      </c>
    </row>
    <row r="23" spans="1:13" s="275" customFormat="1" ht="12.75">
      <c r="A23" s="279"/>
      <c r="B23" s="281"/>
      <c r="C23" s="281"/>
      <c r="D23" s="282"/>
      <c r="E23" s="282"/>
      <c r="F23" s="282"/>
      <c r="G23" s="282"/>
      <c r="H23" s="282"/>
      <c r="I23" s="284" t="s">
        <v>596</v>
      </c>
      <c r="J23" s="284">
        <v>50722501000</v>
      </c>
      <c r="K23" s="275">
        <v>45437927000</v>
      </c>
      <c r="L23" s="297">
        <v>96160428000</v>
      </c>
      <c r="M23" s="298">
        <f>SUM(L22:L23)</f>
        <v>107480428000</v>
      </c>
    </row>
    <row r="24" spans="1:13" s="275" customFormat="1" ht="30" customHeight="1">
      <c r="A24" s="285"/>
      <c r="B24" s="285" t="s">
        <v>593</v>
      </c>
      <c r="C24" s="285"/>
      <c r="D24" s="286">
        <f>SUM(D19:D23)</f>
        <v>325242221000</v>
      </c>
      <c r="E24" s="286"/>
      <c r="F24" s="287">
        <f>SUM(F19:F23)</f>
        <v>1</v>
      </c>
      <c r="G24" s="286"/>
      <c r="H24" s="286"/>
      <c r="I24" s="288"/>
      <c r="J24" s="289"/>
      <c r="L24" s="297">
        <f>SUM(L19:L23)</f>
        <v>326086881000</v>
      </c>
    </row>
    <row r="25" spans="1:13" s="275" customFormat="1" ht="12.75">
      <c r="A25" s="47"/>
      <c r="B25" s="47"/>
      <c r="C25" s="47"/>
      <c r="D25" s="290">
        <v>326086881000</v>
      </c>
      <c r="E25" s="290"/>
      <c r="F25" s="290"/>
      <c r="G25" s="290"/>
      <c r="H25" s="290"/>
      <c r="L25" s="297"/>
    </row>
    <row r="26" spans="1:13" s="275" customFormat="1" ht="12.75">
      <c r="A26" s="47"/>
      <c r="B26" s="47"/>
      <c r="C26" s="47"/>
      <c r="D26" s="290"/>
      <c r="E26" s="290"/>
      <c r="F26" s="290"/>
      <c r="G26" s="290"/>
      <c r="H26" s="290"/>
      <c r="L26" s="297"/>
    </row>
    <row r="27" spans="1:13" s="275" customFormat="1" ht="12.75">
      <c r="A27" s="47"/>
      <c r="B27" s="47"/>
      <c r="C27" s="47"/>
      <c r="D27" s="290"/>
      <c r="E27" s="290"/>
      <c r="F27" s="290"/>
      <c r="G27" s="290"/>
      <c r="H27" s="290"/>
      <c r="L27" s="297"/>
    </row>
    <row r="28" spans="1:13" s="275" customFormat="1" ht="12.75">
      <c r="A28" s="59" t="s">
        <v>186</v>
      </c>
      <c r="B28" s="47"/>
      <c r="C28" s="58"/>
      <c r="D28" s="291"/>
      <c r="E28" s="291"/>
      <c r="F28" s="60" t="s">
        <v>187</v>
      </c>
      <c r="G28" s="291"/>
      <c r="H28" s="291"/>
      <c r="L28" s="297"/>
    </row>
    <row r="29" spans="1:13" s="275" customFormat="1" ht="12.75">
      <c r="A29" s="61" t="s">
        <v>188</v>
      </c>
      <c r="B29" s="47"/>
      <c r="C29" s="58"/>
      <c r="D29" s="291"/>
      <c r="E29" s="291"/>
      <c r="F29" s="62" t="s">
        <v>189</v>
      </c>
      <c r="G29" s="291"/>
      <c r="H29" s="291"/>
      <c r="L29" s="297"/>
    </row>
    <row r="30" spans="1:13" ht="15">
      <c r="A30" s="47"/>
      <c r="B30" s="47"/>
      <c r="C30" s="58"/>
      <c r="D30" s="292"/>
      <c r="E30" s="292"/>
      <c r="F30" s="58"/>
      <c r="G30" s="292"/>
      <c r="H30" s="292"/>
    </row>
    <row r="31" spans="1:13" ht="15">
      <c r="A31" s="47"/>
      <c r="B31" s="47"/>
      <c r="C31" s="58"/>
      <c r="D31" s="292"/>
      <c r="E31" s="292"/>
      <c r="F31" s="58"/>
      <c r="G31" s="292"/>
      <c r="H31" s="292"/>
    </row>
    <row r="32" spans="1:13" ht="15">
      <c r="A32" s="47"/>
      <c r="B32" s="47"/>
      <c r="C32" s="58"/>
      <c r="D32" s="292"/>
      <c r="E32" s="292"/>
      <c r="F32" s="58"/>
      <c r="G32" s="292"/>
      <c r="H32" s="292"/>
    </row>
    <row r="33" spans="1:8" ht="15">
      <c r="A33" s="47"/>
      <c r="B33" s="47"/>
      <c r="C33" s="58"/>
      <c r="D33" s="292"/>
      <c r="E33" s="292"/>
      <c r="F33" s="58"/>
      <c r="G33" s="292"/>
      <c r="H33" s="292"/>
    </row>
    <row r="34" spans="1:8" ht="15">
      <c r="A34" s="47"/>
      <c r="B34" s="47"/>
      <c r="C34" s="58"/>
      <c r="D34" s="292"/>
      <c r="E34" s="292"/>
      <c r="F34" s="58"/>
      <c r="G34" s="292"/>
      <c r="H34" s="292"/>
    </row>
    <row r="35" spans="1:8" ht="15">
      <c r="A35" s="47"/>
      <c r="B35" s="47"/>
      <c r="C35" s="58"/>
      <c r="D35" s="292"/>
      <c r="E35" s="292"/>
      <c r="F35" s="58"/>
      <c r="G35" s="292"/>
      <c r="H35" s="292"/>
    </row>
    <row r="36" spans="1:8" ht="15">
      <c r="A36" s="47"/>
      <c r="B36" s="47"/>
      <c r="C36" s="58"/>
      <c r="D36" s="292"/>
      <c r="E36" s="292"/>
      <c r="F36" s="58"/>
      <c r="G36" s="292"/>
      <c r="H36" s="292"/>
    </row>
    <row r="37" spans="1:8" ht="15">
      <c r="A37" s="47"/>
      <c r="B37" s="47"/>
      <c r="C37" s="58"/>
      <c r="D37" s="292"/>
      <c r="E37" s="292"/>
      <c r="F37" s="58"/>
      <c r="G37" s="292"/>
      <c r="H37" s="292"/>
    </row>
    <row r="38" spans="1:8" ht="15">
      <c r="A38" s="47"/>
      <c r="B38" s="47"/>
      <c r="C38" s="58"/>
      <c r="D38" s="292"/>
      <c r="E38" s="292"/>
      <c r="F38" s="58"/>
      <c r="G38" s="292"/>
      <c r="H38" s="292"/>
    </row>
    <row r="39" spans="1:8" ht="15">
      <c r="A39" s="63"/>
      <c r="B39" s="63"/>
      <c r="C39" s="58"/>
      <c r="D39" s="292"/>
      <c r="E39" s="292"/>
      <c r="F39" s="64"/>
      <c r="G39" s="293"/>
      <c r="H39" s="293"/>
    </row>
    <row r="40" spans="1:8" ht="15">
      <c r="A40" s="59" t="s">
        <v>190</v>
      </c>
      <c r="B40" s="47"/>
      <c r="C40" s="58"/>
      <c r="D40" s="292"/>
      <c r="E40" s="292"/>
      <c r="F40" s="60" t="s">
        <v>476</v>
      </c>
      <c r="G40" s="292"/>
      <c r="H40" s="292"/>
    </row>
    <row r="41" spans="1:8" ht="15">
      <c r="A41" s="59" t="s">
        <v>1009</v>
      </c>
      <c r="B41" s="47"/>
      <c r="C41" s="58"/>
      <c r="D41" s="292"/>
      <c r="E41" s="292"/>
      <c r="F41" s="60" t="s">
        <v>477</v>
      </c>
      <c r="G41" s="292"/>
      <c r="H41" s="292"/>
    </row>
    <row r="42" spans="1:8" ht="15">
      <c r="A42" s="47" t="s">
        <v>1010</v>
      </c>
      <c r="B42" s="47"/>
      <c r="C42" s="58"/>
      <c r="D42" s="292"/>
      <c r="E42" s="292"/>
      <c r="F42" s="58" t="s">
        <v>478</v>
      </c>
      <c r="G42" s="292"/>
      <c r="H42" s="292"/>
    </row>
    <row r="43" spans="1:8">
      <c r="A43" s="274"/>
      <c r="B43" s="274"/>
      <c r="C43" s="274"/>
      <c r="D43" s="273"/>
      <c r="E43" s="273"/>
      <c r="F43" s="273"/>
      <c r="G43" s="273"/>
      <c r="H43" s="273"/>
    </row>
    <row r="44" spans="1:8">
      <c r="A44" s="274"/>
      <c r="B44" s="274"/>
      <c r="C44" s="274"/>
      <c r="D44" s="273"/>
      <c r="E44" s="273"/>
      <c r="F44" s="273"/>
      <c r="G44" s="273"/>
      <c r="H44" s="273"/>
    </row>
    <row r="45" spans="1:8">
      <c r="A45" s="274"/>
      <c r="B45" s="274"/>
      <c r="C45" s="274"/>
      <c r="D45" s="273"/>
      <c r="E45" s="273"/>
      <c r="F45" s="273"/>
      <c r="G45" s="273"/>
      <c r="H45" s="273"/>
    </row>
    <row r="46" spans="1:8">
      <c r="A46" s="274"/>
      <c r="B46" s="274"/>
      <c r="C46" s="274"/>
      <c r="D46" s="273"/>
      <c r="E46" s="273"/>
      <c r="F46" s="273"/>
      <c r="G46" s="273"/>
      <c r="H46" s="273"/>
    </row>
    <row r="47" spans="1:8">
      <c r="A47" s="274"/>
      <c r="B47" s="274"/>
      <c r="C47" s="274"/>
      <c r="D47" s="273"/>
      <c r="E47" s="273"/>
      <c r="F47" s="273"/>
      <c r="G47" s="273"/>
      <c r="H47" s="273"/>
    </row>
  </sheetData>
  <mergeCells count="26">
    <mergeCell ref="A1:H1"/>
    <mergeCell ref="A2:H2"/>
    <mergeCell ref="A3:H4"/>
    <mergeCell ref="A5:H5"/>
    <mergeCell ref="A7:B7"/>
    <mergeCell ref="D7:G7"/>
    <mergeCell ref="A8:C8"/>
    <mergeCell ref="D8:G8"/>
    <mergeCell ref="A9:B9"/>
    <mergeCell ref="D9:G9"/>
    <mergeCell ref="A10:B10"/>
    <mergeCell ref="D10:G10"/>
    <mergeCell ref="A11:B11"/>
    <mergeCell ref="D11:G11"/>
    <mergeCell ref="A12:B12"/>
    <mergeCell ref="D12:G12"/>
    <mergeCell ref="A13:B13"/>
    <mergeCell ref="D13:G13"/>
    <mergeCell ref="H16:H17"/>
    <mergeCell ref="A14:B14"/>
    <mergeCell ref="D14:G14"/>
    <mergeCell ref="A16:A17"/>
    <mergeCell ref="B16:B17"/>
    <mergeCell ref="C16:C17"/>
    <mergeCell ref="D16:F16"/>
    <mergeCell ref="G16:G17"/>
  </mergeCells>
  <printOptions horizontalCentered="1"/>
  <pageMargins left="0.7" right="0.7" top="0.75" bottom="0.75" header="0.3" footer="0.3"/>
  <pageSetup scale="61" orientation="portrait" r:id="rId1"/>
  <drawing r:id="rId2"/>
</worksheet>
</file>

<file path=xl/worksheets/sheet8.xml><?xml version="1.0" encoding="utf-8"?>
<worksheet xmlns="http://schemas.openxmlformats.org/spreadsheetml/2006/main" xmlns:r="http://schemas.openxmlformats.org/officeDocument/2006/relationships">
  <sheetPr>
    <tabColor rgb="FF0070C0"/>
    <pageSetUpPr fitToPage="1"/>
  </sheetPr>
  <dimension ref="A1:P174"/>
  <sheetViews>
    <sheetView view="pageBreakPreview" topLeftCell="A77" zoomScaleNormal="100" zoomScaleSheetLayoutView="100" workbookViewId="0">
      <selection activeCell="A77" sqref="A77"/>
    </sheetView>
  </sheetViews>
  <sheetFormatPr defaultColWidth="9.140625" defaultRowHeight="15"/>
  <cols>
    <col min="1" max="1" width="5.28515625" style="11" customWidth="1"/>
    <col min="2" max="2" width="39.140625" style="10" customWidth="1"/>
    <col min="3" max="3" width="9.5703125" style="10" bestFit="1" customWidth="1"/>
    <col min="4" max="4" width="12.42578125" style="10" customWidth="1"/>
    <col min="5" max="5" width="19.5703125" style="10" customWidth="1"/>
    <col min="6" max="6" width="20" style="10" customWidth="1"/>
    <col min="7" max="7" width="22.85546875" style="10" customWidth="1"/>
    <col min="8" max="8" width="21.28515625" style="87" customWidth="1"/>
    <col min="9" max="9" width="12.140625" style="87" bestFit="1" customWidth="1"/>
    <col min="10" max="10" width="15.85546875" style="87" customWidth="1"/>
    <col min="11" max="11" width="15.28515625" style="87" bestFit="1" customWidth="1"/>
    <col min="12" max="12" width="9.140625" style="87"/>
    <col min="13" max="13" width="16.28515625" style="87" bestFit="1" customWidth="1"/>
    <col min="14" max="16384" width="9.140625" style="87"/>
  </cols>
  <sheetData>
    <row r="1" spans="1:7" ht="25.5" customHeight="1">
      <c r="A1" s="495" t="s">
        <v>225</v>
      </c>
      <c r="B1" s="495"/>
      <c r="C1" s="495"/>
      <c r="D1" s="495"/>
      <c r="E1" s="495"/>
      <c r="F1" s="495"/>
      <c r="G1" s="495"/>
    </row>
    <row r="2" spans="1:7" ht="29.25" customHeight="1">
      <c r="A2" s="475" t="s">
        <v>957</v>
      </c>
      <c r="B2" s="475"/>
      <c r="C2" s="475"/>
      <c r="D2" s="475"/>
      <c r="E2" s="475"/>
      <c r="F2" s="475"/>
      <c r="G2" s="475"/>
    </row>
    <row r="3" spans="1:7">
      <c r="A3" s="476" t="s">
        <v>227</v>
      </c>
      <c r="B3" s="476"/>
      <c r="C3" s="476"/>
      <c r="D3" s="476"/>
      <c r="E3" s="476"/>
      <c r="F3" s="476"/>
      <c r="G3" s="476"/>
    </row>
    <row r="4" spans="1:7" ht="21.6" customHeight="1">
      <c r="A4" s="476"/>
      <c r="B4" s="476"/>
      <c r="C4" s="476"/>
      <c r="D4" s="476"/>
      <c r="E4" s="476"/>
      <c r="F4" s="476"/>
      <c r="G4" s="476"/>
    </row>
    <row r="5" spans="1:7">
      <c r="A5" s="477" t="s">
        <v>995</v>
      </c>
      <c r="B5" s="477"/>
      <c r="C5" s="477"/>
      <c r="D5" s="477"/>
      <c r="E5" s="477"/>
      <c r="F5" s="477"/>
      <c r="G5" s="477"/>
    </row>
    <row r="6" spans="1:7">
      <c r="A6" s="18"/>
      <c r="B6" s="18"/>
      <c r="C6" s="18"/>
      <c r="D6" s="18"/>
      <c r="E6" s="18"/>
      <c r="F6" s="21"/>
      <c r="G6" s="21"/>
    </row>
    <row r="7" spans="1:7">
      <c r="A7" s="496" t="s">
        <v>464</v>
      </c>
      <c r="B7" s="496"/>
      <c r="C7" s="489" t="s">
        <v>475</v>
      </c>
      <c r="D7" s="489"/>
      <c r="E7" s="489"/>
      <c r="F7" s="489"/>
      <c r="G7" s="117"/>
    </row>
    <row r="8" spans="1:7" ht="15" customHeight="1">
      <c r="A8" s="499" t="s">
        <v>959</v>
      </c>
      <c r="B8" s="499"/>
      <c r="C8" s="490" t="s">
        <v>614</v>
      </c>
      <c r="D8" s="490"/>
      <c r="E8" s="490"/>
      <c r="F8" s="490"/>
      <c r="G8" s="117"/>
    </row>
    <row r="9" spans="1:7" ht="15" customHeight="1">
      <c r="A9" s="496" t="s">
        <v>466</v>
      </c>
      <c r="B9" s="496"/>
      <c r="C9" s="489" t="s">
        <v>1007</v>
      </c>
      <c r="D9" s="489"/>
      <c r="E9" s="489"/>
      <c r="F9" s="489"/>
      <c r="G9" s="196"/>
    </row>
    <row r="10" spans="1:7" ht="15" customHeight="1">
      <c r="A10" s="500" t="s">
        <v>468</v>
      </c>
      <c r="B10" s="500"/>
      <c r="C10" s="490" t="s">
        <v>469</v>
      </c>
      <c r="D10" s="490"/>
      <c r="E10" s="490"/>
      <c r="F10" s="490"/>
      <c r="G10" s="168"/>
    </row>
    <row r="11" spans="1:7" ht="15" customHeight="1">
      <c r="A11" s="496" t="s">
        <v>401</v>
      </c>
      <c r="B11" s="496"/>
      <c r="C11" s="489" t="s">
        <v>501</v>
      </c>
      <c r="D11" s="489"/>
      <c r="E11" s="489"/>
      <c r="F11" s="489"/>
      <c r="G11" s="117"/>
    </row>
    <row r="12" spans="1:7" ht="15" customHeight="1">
      <c r="A12" s="501" t="s">
        <v>399</v>
      </c>
      <c r="B12" s="501"/>
      <c r="C12" s="490" t="s">
        <v>500</v>
      </c>
      <c r="D12" s="490"/>
      <c r="E12" s="490"/>
      <c r="F12" s="490"/>
      <c r="G12" s="117"/>
    </row>
    <row r="13" spans="1:7" ht="15" customHeight="1">
      <c r="A13" s="497" t="s">
        <v>146</v>
      </c>
      <c r="B13" s="497"/>
      <c r="C13" s="489" t="s">
        <v>997</v>
      </c>
      <c r="D13" s="489"/>
      <c r="E13" s="489"/>
      <c r="F13" s="489"/>
      <c r="G13" s="117"/>
    </row>
    <row r="14" spans="1:7">
      <c r="A14" s="498" t="s">
        <v>147</v>
      </c>
      <c r="B14" s="498"/>
      <c r="C14" s="464">
        <v>43475</v>
      </c>
      <c r="D14" s="464"/>
      <c r="E14" s="464"/>
      <c r="F14" s="464"/>
      <c r="G14" s="118"/>
    </row>
    <row r="15" spans="1:7">
      <c r="A15" s="116"/>
      <c r="B15" s="91"/>
      <c r="C15" s="91"/>
      <c r="D15" s="91"/>
      <c r="E15" s="91"/>
      <c r="F15" s="91"/>
      <c r="G15" s="91"/>
    </row>
    <row r="16" spans="1:7">
      <c r="A16" s="207" t="s">
        <v>123</v>
      </c>
      <c r="B16" s="208" t="s">
        <v>489</v>
      </c>
      <c r="C16" s="91"/>
      <c r="D16" s="91"/>
      <c r="E16" s="91"/>
      <c r="F16" s="91"/>
      <c r="G16" s="91"/>
    </row>
    <row r="17" spans="1:16" s="120" customFormat="1" ht="62.25" customHeight="1">
      <c r="A17" s="310" t="s">
        <v>295</v>
      </c>
      <c r="B17" s="310" t="s">
        <v>296</v>
      </c>
      <c r="C17" s="310" t="s">
        <v>230</v>
      </c>
      <c r="D17" s="310" t="s">
        <v>604</v>
      </c>
      <c r="E17" s="310" t="s">
        <v>297</v>
      </c>
      <c r="F17" s="310" t="s">
        <v>298</v>
      </c>
      <c r="G17" s="311" t="s">
        <v>299</v>
      </c>
      <c r="H17" s="148"/>
      <c r="I17" s="148"/>
    </row>
    <row r="18" spans="1:16" s="120" customFormat="1" ht="32.25" customHeight="1">
      <c r="A18" s="312" t="s">
        <v>43</v>
      </c>
      <c r="B18" s="313" t="s">
        <v>300</v>
      </c>
      <c r="C18" s="312">
        <v>2246</v>
      </c>
      <c r="D18" s="314"/>
      <c r="E18" s="314"/>
      <c r="F18" s="314"/>
      <c r="G18" s="315"/>
      <c r="H18" s="149"/>
      <c r="I18" s="43"/>
    </row>
    <row r="19" spans="1:16" s="120" customFormat="1" ht="16.5" customHeight="1">
      <c r="A19" s="316">
        <v>1</v>
      </c>
      <c r="B19" s="390" t="s">
        <v>838</v>
      </c>
      <c r="C19" s="391" t="s">
        <v>785</v>
      </c>
      <c r="D19" s="392">
        <v>1809652</v>
      </c>
      <c r="E19" s="392">
        <v>29600</v>
      </c>
      <c r="F19" s="392">
        <v>53565699200</v>
      </c>
      <c r="G19" s="393">
        <v>4.8051999999999997E-2</v>
      </c>
      <c r="H19" s="269"/>
      <c r="I19" s="250"/>
      <c r="J19" s="250"/>
      <c r="K19" s="368"/>
      <c r="L19" s="250"/>
      <c r="M19" s="250"/>
      <c r="N19" s="250"/>
      <c r="O19" s="250"/>
    </row>
    <row r="20" spans="1:16" s="120" customFormat="1" ht="16.5" customHeight="1">
      <c r="A20" s="316">
        <v>2</v>
      </c>
      <c r="B20" s="390" t="s">
        <v>886</v>
      </c>
      <c r="C20" s="391" t="s">
        <v>786</v>
      </c>
      <c r="D20" s="392">
        <v>131400</v>
      </c>
      <c r="E20" s="392">
        <v>90000</v>
      </c>
      <c r="F20" s="392">
        <v>11826000000</v>
      </c>
      <c r="G20" s="393">
        <v>1.0609E-2</v>
      </c>
      <c r="H20" s="269"/>
      <c r="I20" s="250"/>
      <c r="J20" s="250"/>
      <c r="K20" s="368"/>
      <c r="L20" s="250"/>
      <c r="M20" s="250"/>
      <c r="N20" s="250"/>
      <c r="O20" s="250"/>
    </row>
    <row r="21" spans="1:16" s="120" customFormat="1" ht="16.5" customHeight="1">
      <c r="A21" s="316">
        <v>3</v>
      </c>
      <c r="B21" s="390" t="s">
        <v>893</v>
      </c>
      <c r="C21" s="391" t="s">
        <v>787</v>
      </c>
      <c r="D21" s="392">
        <v>1237790</v>
      </c>
      <c r="E21" s="392">
        <v>34400</v>
      </c>
      <c r="F21" s="392">
        <v>42579976000</v>
      </c>
      <c r="G21" s="393">
        <v>3.8197000000000002E-2</v>
      </c>
      <c r="H21" s="269"/>
      <c r="I21" s="250"/>
      <c r="J21" s="250"/>
      <c r="K21" s="368"/>
      <c r="L21" s="250"/>
      <c r="M21" s="250"/>
      <c r="N21" s="250"/>
      <c r="O21" s="250"/>
    </row>
    <row r="22" spans="1:16" s="120" customFormat="1" ht="16.5" customHeight="1">
      <c r="A22" s="316">
        <v>4</v>
      </c>
      <c r="B22" s="390" t="s">
        <v>888</v>
      </c>
      <c r="C22" s="391" t="s">
        <v>788</v>
      </c>
      <c r="D22" s="392">
        <v>72450</v>
      </c>
      <c r="E22" s="392">
        <v>160000</v>
      </c>
      <c r="F22" s="392">
        <v>11592000000</v>
      </c>
      <c r="G22" s="393">
        <v>1.0399E-2</v>
      </c>
      <c r="H22" s="269"/>
      <c r="I22" s="250"/>
      <c r="J22" s="250"/>
      <c r="K22" s="368"/>
      <c r="L22" s="250"/>
      <c r="M22" s="250"/>
      <c r="N22" s="250"/>
      <c r="O22" s="250"/>
    </row>
    <row r="23" spans="1:16" s="120" customFormat="1" ht="16.5" customHeight="1">
      <c r="A23" s="316">
        <v>5</v>
      </c>
      <c r="B23" s="390" t="s">
        <v>839</v>
      </c>
      <c r="C23" s="391" t="s">
        <v>789</v>
      </c>
      <c r="D23" s="392">
        <v>653500</v>
      </c>
      <c r="E23" s="392">
        <v>19300</v>
      </c>
      <c r="F23" s="392">
        <v>12612550000</v>
      </c>
      <c r="G23" s="393">
        <v>1.1313999999999999E-2</v>
      </c>
      <c r="H23" s="269"/>
      <c r="I23" s="250"/>
      <c r="J23" s="250"/>
      <c r="K23" s="368"/>
      <c r="L23" s="250"/>
      <c r="M23" s="250"/>
      <c r="N23" s="250"/>
      <c r="O23" s="250"/>
    </row>
    <row r="24" spans="1:16" s="120" customFormat="1" ht="16.5" customHeight="1">
      <c r="A24" s="316">
        <v>6</v>
      </c>
      <c r="B24" s="390" t="s">
        <v>895</v>
      </c>
      <c r="C24" s="391" t="s">
        <v>790</v>
      </c>
      <c r="D24" s="392">
        <v>403900</v>
      </c>
      <c r="E24" s="392">
        <v>23800</v>
      </c>
      <c r="F24" s="392">
        <v>9612820000</v>
      </c>
      <c r="G24" s="393">
        <v>8.6230000000000005E-3</v>
      </c>
      <c r="H24" s="269"/>
      <c r="I24" s="250"/>
      <c r="J24" s="250"/>
      <c r="K24" s="368"/>
      <c r="L24" s="250"/>
      <c r="M24" s="250"/>
      <c r="N24" s="250"/>
      <c r="O24" s="250"/>
    </row>
    <row r="25" spans="1:16" s="120" customFormat="1" ht="16.5" customHeight="1">
      <c r="A25" s="316">
        <v>7</v>
      </c>
      <c r="B25" s="390" t="s">
        <v>840</v>
      </c>
      <c r="C25" s="391" t="s">
        <v>791</v>
      </c>
      <c r="D25" s="392">
        <v>1127993</v>
      </c>
      <c r="E25" s="392">
        <v>42200</v>
      </c>
      <c r="F25" s="392">
        <v>47601304600</v>
      </c>
      <c r="G25" s="393">
        <v>4.2701000000000003E-2</v>
      </c>
      <c r="H25" s="269"/>
      <c r="I25" s="250"/>
      <c r="J25" s="250"/>
      <c r="K25" s="368"/>
      <c r="L25" s="250"/>
      <c r="M25" s="250"/>
      <c r="N25" s="250"/>
      <c r="O25" s="250"/>
    </row>
    <row r="26" spans="1:16" s="120" customFormat="1" ht="16.5" customHeight="1">
      <c r="A26" s="316">
        <v>8</v>
      </c>
      <c r="B26" s="390" t="s">
        <v>841</v>
      </c>
      <c r="C26" s="391" t="s">
        <v>792</v>
      </c>
      <c r="D26" s="392">
        <v>210440</v>
      </c>
      <c r="E26" s="392">
        <v>86600</v>
      </c>
      <c r="F26" s="392">
        <v>18224104000</v>
      </c>
      <c r="G26" s="393">
        <v>1.6348000000000001E-2</v>
      </c>
      <c r="H26" s="269"/>
      <c r="I26" s="250"/>
      <c r="J26" s="250"/>
      <c r="K26" s="368"/>
      <c r="L26" s="250"/>
      <c r="M26" s="250"/>
      <c r="N26" s="250"/>
      <c r="O26" s="250"/>
    </row>
    <row r="27" spans="1:16" s="120" customFormat="1" ht="16.5" customHeight="1">
      <c r="A27" s="316">
        <v>9</v>
      </c>
      <c r="B27" s="390" t="s">
        <v>842</v>
      </c>
      <c r="C27" s="391" t="s">
        <v>793</v>
      </c>
      <c r="D27" s="392">
        <v>1399358</v>
      </c>
      <c r="E27" s="392">
        <v>30950</v>
      </c>
      <c r="F27" s="392">
        <v>43310130100</v>
      </c>
      <c r="G27" s="393">
        <v>3.8851999999999998E-2</v>
      </c>
      <c r="H27" s="269"/>
      <c r="I27" s="250"/>
      <c r="J27" s="250"/>
      <c r="K27" s="368"/>
      <c r="L27" s="250"/>
      <c r="M27" s="250"/>
      <c r="N27" s="250"/>
      <c r="O27" s="250"/>
    </row>
    <row r="28" spans="1:16" s="120" customFormat="1" ht="16.5" customHeight="1">
      <c r="A28" s="316">
        <v>10</v>
      </c>
      <c r="B28" s="390" t="s">
        <v>1002</v>
      </c>
      <c r="C28" s="391" t="s">
        <v>794</v>
      </c>
      <c r="D28" s="392">
        <v>190000</v>
      </c>
      <c r="E28" s="392">
        <v>13150</v>
      </c>
      <c r="F28" s="392">
        <v>2498500000</v>
      </c>
      <c r="G28" s="393">
        <v>2.2409999999999999E-3</v>
      </c>
      <c r="H28" s="269"/>
      <c r="I28" s="250"/>
      <c r="J28" s="250"/>
      <c r="K28" s="368"/>
      <c r="L28" s="250"/>
      <c r="M28" s="250"/>
      <c r="N28" s="250"/>
      <c r="O28" s="250"/>
    </row>
    <row r="29" spans="1:16" s="120" customFormat="1" ht="16.5" customHeight="1">
      <c r="A29" s="316">
        <v>11</v>
      </c>
      <c r="B29" s="390" t="s">
        <v>843</v>
      </c>
      <c r="C29" s="391" t="s">
        <v>795</v>
      </c>
      <c r="D29" s="392">
        <v>670901</v>
      </c>
      <c r="E29" s="392">
        <v>33000</v>
      </c>
      <c r="F29" s="392">
        <v>22139733000</v>
      </c>
      <c r="G29" s="393">
        <v>1.9861E-2</v>
      </c>
      <c r="H29" s="269"/>
      <c r="I29" s="250"/>
      <c r="J29" s="250"/>
      <c r="K29" s="368"/>
      <c r="L29" s="250"/>
      <c r="M29" s="250"/>
      <c r="N29" s="250"/>
      <c r="O29" s="250"/>
    </row>
    <row r="30" spans="1:16" s="120" customFormat="1" ht="16.5" customHeight="1">
      <c r="A30" s="316">
        <v>12</v>
      </c>
      <c r="B30" s="390" t="s">
        <v>882</v>
      </c>
      <c r="C30" s="391" t="s">
        <v>796</v>
      </c>
      <c r="D30" s="392">
        <v>1834134</v>
      </c>
      <c r="E30" s="392">
        <v>19450</v>
      </c>
      <c r="F30" s="392">
        <v>35673906300</v>
      </c>
      <c r="G30" s="393">
        <v>3.2002000000000003E-2</v>
      </c>
      <c r="H30" s="269"/>
      <c r="I30" s="250"/>
      <c r="J30" s="250"/>
      <c r="K30" s="368"/>
      <c r="L30" s="250"/>
      <c r="M30" s="250"/>
      <c r="N30" s="250"/>
      <c r="O30" s="250"/>
      <c r="P30" s="368"/>
    </row>
    <row r="31" spans="1:16" s="120" customFormat="1" ht="16.5" customHeight="1">
      <c r="A31" s="316">
        <v>13</v>
      </c>
      <c r="B31" s="390" t="s">
        <v>887</v>
      </c>
      <c r="C31" s="391" t="s">
        <v>797</v>
      </c>
      <c r="D31" s="392">
        <v>231160</v>
      </c>
      <c r="E31" s="392">
        <v>77500</v>
      </c>
      <c r="F31" s="392">
        <v>17914900000</v>
      </c>
      <c r="G31" s="393">
        <v>1.6070999999999998E-2</v>
      </c>
      <c r="H31" s="269"/>
      <c r="I31" s="250"/>
      <c r="J31" s="250"/>
      <c r="K31" s="368"/>
      <c r="L31" s="250"/>
      <c r="M31" s="250"/>
      <c r="N31" s="250"/>
      <c r="O31" s="250"/>
    </row>
    <row r="32" spans="1:16" s="120" customFormat="1" ht="16.5" customHeight="1">
      <c r="A32" s="316">
        <v>14</v>
      </c>
      <c r="B32" s="390" t="s">
        <v>844</v>
      </c>
      <c r="C32" s="391" t="s">
        <v>798</v>
      </c>
      <c r="D32" s="392">
        <v>1584280</v>
      </c>
      <c r="E32" s="392">
        <v>87000</v>
      </c>
      <c r="F32" s="392">
        <v>137832360000</v>
      </c>
      <c r="G32" s="393">
        <v>0.123644</v>
      </c>
      <c r="H32" s="269"/>
      <c r="I32" s="250"/>
      <c r="J32" s="250"/>
      <c r="K32" s="368"/>
      <c r="L32" s="250"/>
      <c r="M32" s="250"/>
      <c r="N32" s="250"/>
      <c r="O32" s="250"/>
    </row>
    <row r="33" spans="1:15" s="120" customFormat="1" ht="16.5" customHeight="1">
      <c r="A33" s="316">
        <v>15</v>
      </c>
      <c r="B33" s="390" t="s">
        <v>897</v>
      </c>
      <c r="C33" s="391" t="s">
        <v>799</v>
      </c>
      <c r="D33" s="392">
        <v>145975</v>
      </c>
      <c r="E33" s="392">
        <v>25800</v>
      </c>
      <c r="F33" s="392">
        <v>3766155000</v>
      </c>
      <c r="G33" s="393">
        <v>3.3779999999999999E-3</v>
      </c>
      <c r="H33" s="269"/>
      <c r="I33" s="250"/>
      <c r="J33" s="250"/>
      <c r="K33" s="368"/>
      <c r="L33" s="250"/>
      <c r="M33" s="250"/>
      <c r="N33" s="250"/>
      <c r="O33" s="250"/>
    </row>
    <row r="34" spans="1:15" s="120" customFormat="1" ht="16.5" customHeight="1">
      <c r="A34" s="316">
        <v>16</v>
      </c>
      <c r="B34" s="390" t="s">
        <v>883</v>
      </c>
      <c r="C34" s="391" t="s">
        <v>800</v>
      </c>
      <c r="D34" s="392">
        <v>113700</v>
      </c>
      <c r="E34" s="392">
        <v>53000</v>
      </c>
      <c r="F34" s="392">
        <v>6026100000</v>
      </c>
      <c r="G34" s="393">
        <v>5.4060000000000002E-3</v>
      </c>
      <c r="H34" s="269"/>
      <c r="I34" s="250"/>
      <c r="J34" s="250"/>
      <c r="K34" s="368"/>
      <c r="L34" s="250"/>
      <c r="M34" s="250"/>
      <c r="N34" s="250"/>
      <c r="O34" s="250"/>
    </row>
    <row r="35" spans="1:15" s="120" customFormat="1" ht="16.5" customHeight="1">
      <c r="A35" s="316">
        <v>17</v>
      </c>
      <c r="B35" s="390" t="s">
        <v>885</v>
      </c>
      <c r="C35" s="391" t="s">
        <v>801</v>
      </c>
      <c r="D35" s="392">
        <v>193905</v>
      </c>
      <c r="E35" s="392">
        <v>63500</v>
      </c>
      <c r="F35" s="392">
        <v>12312967500</v>
      </c>
      <c r="G35" s="393">
        <v>1.1044999999999999E-2</v>
      </c>
      <c r="H35" s="269"/>
      <c r="I35" s="250"/>
      <c r="J35" s="250"/>
      <c r="K35" s="368"/>
      <c r="L35" s="250"/>
      <c r="M35" s="250"/>
      <c r="N35" s="250"/>
      <c r="O35" s="250"/>
    </row>
    <row r="36" spans="1:15" s="120" customFormat="1" ht="16.5" customHeight="1">
      <c r="A36" s="316">
        <v>18</v>
      </c>
      <c r="B36" s="390" t="s">
        <v>845</v>
      </c>
      <c r="C36" s="391" t="s">
        <v>802</v>
      </c>
      <c r="D36" s="392">
        <v>673460</v>
      </c>
      <c r="E36" s="392">
        <v>93200</v>
      </c>
      <c r="F36" s="392">
        <v>62766472000</v>
      </c>
      <c r="G36" s="393">
        <v>5.6305000000000001E-2</v>
      </c>
      <c r="H36" s="269"/>
      <c r="I36" s="250"/>
      <c r="J36" s="250"/>
      <c r="K36" s="368"/>
      <c r="L36" s="250"/>
      <c r="M36" s="250"/>
      <c r="N36" s="250"/>
      <c r="O36" s="250"/>
    </row>
    <row r="37" spans="1:15" s="120" customFormat="1" ht="16.5" customHeight="1">
      <c r="A37" s="316">
        <v>19</v>
      </c>
      <c r="B37" s="390" t="s">
        <v>1003</v>
      </c>
      <c r="C37" s="391" t="s">
        <v>803</v>
      </c>
      <c r="D37" s="392">
        <v>378700</v>
      </c>
      <c r="E37" s="392">
        <v>16000</v>
      </c>
      <c r="F37" s="392">
        <v>6059200000</v>
      </c>
      <c r="G37" s="393">
        <v>5.4349999999999997E-3</v>
      </c>
      <c r="H37" s="269"/>
      <c r="I37" s="250"/>
      <c r="J37" s="250"/>
      <c r="K37" s="368"/>
      <c r="L37" s="250"/>
      <c r="M37" s="250"/>
      <c r="N37" s="250"/>
      <c r="O37" s="250"/>
    </row>
    <row r="38" spans="1:15" s="120" customFormat="1" ht="16.5" customHeight="1">
      <c r="A38" s="316">
        <v>20</v>
      </c>
      <c r="B38" s="390" t="s">
        <v>846</v>
      </c>
      <c r="C38" s="391" t="s">
        <v>804</v>
      </c>
      <c r="D38" s="392">
        <v>61520</v>
      </c>
      <c r="E38" s="392">
        <v>267500</v>
      </c>
      <c r="F38" s="392">
        <v>16456600000</v>
      </c>
      <c r="G38" s="393">
        <v>1.4763E-2</v>
      </c>
      <c r="H38" s="269"/>
      <c r="I38" s="250"/>
      <c r="J38" s="250"/>
      <c r="K38" s="368"/>
      <c r="L38" s="250"/>
      <c r="M38" s="250"/>
      <c r="N38" s="250"/>
      <c r="O38" s="250"/>
    </row>
    <row r="39" spans="1:15" s="120" customFormat="1" ht="16.5" customHeight="1">
      <c r="A39" s="316">
        <v>21</v>
      </c>
      <c r="B39" s="390" t="s">
        <v>891</v>
      </c>
      <c r="C39" s="391" t="s">
        <v>850</v>
      </c>
      <c r="D39" s="392">
        <v>572570</v>
      </c>
      <c r="E39" s="392">
        <v>26650</v>
      </c>
      <c r="F39" s="392">
        <v>15258990500</v>
      </c>
      <c r="G39" s="393">
        <v>1.3688000000000001E-2</v>
      </c>
      <c r="H39" s="269"/>
      <c r="I39" s="250"/>
      <c r="J39" s="250"/>
      <c r="K39" s="368"/>
      <c r="L39" s="250"/>
      <c r="M39" s="250"/>
      <c r="N39" s="250"/>
      <c r="O39" s="250"/>
    </row>
    <row r="40" spans="1:15" s="120" customFormat="1" ht="16.5" customHeight="1">
      <c r="A40" s="316">
        <v>22</v>
      </c>
      <c r="B40" s="390" t="s">
        <v>982</v>
      </c>
      <c r="C40" s="391" t="s">
        <v>851</v>
      </c>
      <c r="D40" s="392">
        <v>1985880</v>
      </c>
      <c r="E40" s="392">
        <v>25850</v>
      </c>
      <c r="F40" s="392">
        <v>51334998000</v>
      </c>
      <c r="G40" s="393">
        <v>4.6050000000000001E-2</v>
      </c>
      <c r="H40" s="269"/>
      <c r="I40" s="250"/>
      <c r="J40" s="250"/>
      <c r="K40" s="368"/>
      <c r="L40" s="250"/>
      <c r="M40" s="250"/>
      <c r="N40" s="250"/>
      <c r="O40" s="250"/>
    </row>
    <row r="41" spans="1:15" s="120" customFormat="1" ht="16.5" customHeight="1">
      <c r="A41" s="316">
        <v>23</v>
      </c>
      <c r="B41" s="390" t="s">
        <v>847</v>
      </c>
      <c r="C41" s="391" t="s">
        <v>852</v>
      </c>
      <c r="D41" s="392">
        <v>762495</v>
      </c>
      <c r="E41" s="392">
        <v>53500</v>
      </c>
      <c r="F41" s="392">
        <v>40793482500</v>
      </c>
      <c r="G41" s="393">
        <v>3.6594000000000002E-2</v>
      </c>
      <c r="H41" s="269"/>
      <c r="I41" s="250"/>
      <c r="J41" s="250"/>
      <c r="K41" s="368"/>
      <c r="L41" s="250"/>
      <c r="M41" s="250"/>
      <c r="N41" s="250"/>
      <c r="O41" s="250"/>
    </row>
    <row r="42" spans="1:15" s="120" customFormat="1" ht="16.5" customHeight="1">
      <c r="A42" s="316">
        <v>24</v>
      </c>
      <c r="B42" s="390" t="s">
        <v>980</v>
      </c>
      <c r="C42" s="391" t="s">
        <v>853</v>
      </c>
      <c r="D42" s="392">
        <v>301920</v>
      </c>
      <c r="E42" s="392">
        <v>46550</v>
      </c>
      <c r="F42" s="392">
        <v>14054376000</v>
      </c>
      <c r="G42" s="393">
        <v>1.2607999999999999E-2</v>
      </c>
      <c r="H42" s="269"/>
      <c r="I42" s="250"/>
      <c r="J42" s="250"/>
      <c r="K42" s="368"/>
      <c r="L42" s="250"/>
      <c r="M42" s="250"/>
      <c r="N42" s="250"/>
      <c r="O42" s="250"/>
    </row>
    <row r="43" spans="1:15" s="120" customFormat="1" ht="16.5" customHeight="1">
      <c r="A43" s="316">
        <v>25</v>
      </c>
      <c r="B43" s="390" t="s">
        <v>981</v>
      </c>
      <c r="C43" s="391" t="s">
        <v>854</v>
      </c>
      <c r="D43" s="392">
        <v>634350</v>
      </c>
      <c r="E43" s="392">
        <v>73400</v>
      </c>
      <c r="F43" s="392">
        <v>46561290000</v>
      </c>
      <c r="G43" s="393">
        <v>4.1768E-2</v>
      </c>
      <c r="H43" s="269"/>
      <c r="I43" s="250"/>
      <c r="J43" s="250"/>
      <c r="K43" s="368"/>
      <c r="L43" s="250"/>
      <c r="M43" s="250"/>
      <c r="N43" s="250"/>
      <c r="O43" s="250"/>
    </row>
    <row r="44" spans="1:15" s="120" customFormat="1" ht="16.5" customHeight="1">
      <c r="A44" s="316">
        <v>26</v>
      </c>
      <c r="B44" s="390" t="s">
        <v>889</v>
      </c>
      <c r="C44" s="391" t="s">
        <v>855</v>
      </c>
      <c r="D44" s="392">
        <v>25003</v>
      </c>
      <c r="E44" s="392">
        <v>95300</v>
      </c>
      <c r="F44" s="392">
        <v>2382785900</v>
      </c>
      <c r="G44" s="393">
        <v>2.137E-3</v>
      </c>
      <c r="H44" s="269"/>
      <c r="I44" s="250"/>
      <c r="J44" s="250"/>
      <c r="K44" s="368"/>
      <c r="L44" s="250"/>
      <c r="M44" s="250"/>
      <c r="N44" s="250"/>
      <c r="O44" s="250"/>
    </row>
    <row r="45" spans="1:15" s="120" customFormat="1" ht="16.5" customHeight="1">
      <c r="A45" s="316">
        <v>27</v>
      </c>
      <c r="B45" s="390" t="s">
        <v>848</v>
      </c>
      <c r="C45" s="391" t="s">
        <v>890</v>
      </c>
      <c r="D45" s="392">
        <v>189431</v>
      </c>
      <c r="E45" s="392">
        <v>120000</v>
      </c>
      <c r="F45" s="392">
        <v>22731720000</v>
      </c>
      <c r="G45" s="393">
        <v>2.0392E-2</v>
      </c>
      <c r="H45" s="269"/>
      <c r="I45" s="250"/>
      <c r="J45" s="250"/>
      <c r="K45" s="368"/>
      <c r="L45" s="250"/>
      <c r="M45" s="250"/>
      <c r="N45" s="250"/>
      <c r="O45" s="250"/>
    </row>
    <row r="46" spans="1:15" s="120" customFormat="1" ht="16.5" customHeight="1">
      <c r="A46" s="316">
        <v>28</v>
      </c>
      <c r="B46" s="390" t="s">
        <v>849</v>
      </c>
      <c r="C46" s="391" t="s">
        <v>892</v>
      </c>
      <c r="D46" s="392">
        <v>270863</v>
      </c>
      <c r="E46" s="392">
        <v>120000</v>
      </c>
      <c r="F46" s="392">
        <v>32503560000</v>
      </c>
      <c r="G46" s="393">
        <v>2.9158E-2</v>
      </c>
      <c r="H46" s="269"/>
      <c r="I46" s="250"/>
      <c r="J46" s="250"/>
      <c r="K46" s="368"/>
      <c r="L46" s="250"/>
      <c r="M46" s="250"/>
      <c r="N46" s="250"/>
      <c r="O46" s="250"/>
    </row>
    <row r="47" spans="1:15" s="120" customFormat="1" ht="16.5" customHeight="1">
      <c r="A47" s="316">
        <v>29</v>
      </c>
      <c r="B47" s="390" t="s">
        <v>884</v>
      </c>
      <c r="C47" s="391" t="s">
        <v>894</v>
      </c>
      <c r="D47" s="392">
        <v>739463</v>
      </c>
      <c r="E47" s="392">
        <v>19950</v>
      </c>
      <c r="F47" s="392">
        <v>14752286850</v>
      </c>
      <c r="G47" s="393">
        <v>1.3233999999999999E-2</v>
      </c>
      <c r="H47" s="269"/>
      <c r="I47" s="250"/>
      <c r="J47" s="250"/>
      <c r="K47" s="368"/>
      <c r="L47" s="250"/>
      <c r="M47" s="250"/>
      <c r="N47" s="250"/>
      <c r="O47" s="250"/>
    </row>
    <row r="48" spans="1:15" s="120" customFormat="1" ht="16.5" customHeight="1">
      <c r="A48" s="316">
        <v>30</v>
      </c>
      <c r="B48" s="390" t="s">
        <v>1004</v>
      </c>
      <c r="C48" s="391" t="s">
        <v>896</v>
      </c>
      <c r="D48" s="392">
        <v>20600</v>
      </c>
      <c r="E48" s="392">
        <v>130300</v>
      </c>
      <c r="F48" s="392">
        <v>2684180000</v>
      </c>
      <c r="G48" s="393">
        <v>2.408E-3</v>
      </c>
      <c r="H48" s="269"/>
      <c r="I48" s="250"/>
      <c r="J48" s="250"/>
      <c r="K48" s="368"/>
      <c r="L48" s="250"/>
      <c r="M48" s="250"/>
      <c r="N48" s="250"/>
      <c r="O48" s="250"/>
    </row>
    <row r="49" spans="1:13" s="120" customFormat="1" ht="25.5">
      <c r="A49" s="319"/>
      <c r="B49" s="320" t="s">
        <v>301</v>
      </c>
      <c r="C49" s="395" t="s">
        <v>898</v>
      </c>
      <c r="D49" s="321"/>
      <c r="E49" s="321"/>
      <c r="F49" s="321">
        <v>817429147450</v>
      </c>
      <c r="G49" s="324">
        <v>0.73328299999999991</v>
      </c>
      <c r="H49" s="119"/>
      <c r="K49" s="250"/>
      <c r="L49" s="250"/>
      <c r="M49" s="250"/>
    </row>
    <row r="50" spans="1:13" s="120" customFormat="1" ht="36.75" customHeight="1">
      <c r="A50" s="312" t="s">
        <v>49</v>
      </c>
      <c r="B50" s="313" t="s">
        <v>302</v>
      </c>
      <c r="C50" s="397">
        <v>2248</v>
      </c>
      <c r="D50" s="314"/>
      <c r="E50" s="314"/>
      <c r="F50" s="314"/>
      <c r="G50" s="322"/>
      <c r="H50" s="119"/>
    </row>
    <row r="51" spans="1:13" s="120" customFormat="1" ht="16.5" customHeight="1">
      <c r="A51" s="323"/>
      <c r="B51" s="394"/>
      <c r="C51" s="391"/>
      <c r="D51" s="317"/>
      <c r="E51" s="317"/>
      <c r="F51" s="317"/>
      <c r="G51" s="393"/>
      <c r="H51" s="269"/>
      <c r="I51" s="250"/>
      <c r="J51" s="250"/>
      <c r="K51" s="250"/>
      <c r="L51" s="250"/>
      <c r="M51" s="250"/>
    </row>
    <row r="52" spans="1:13" s="120" customFormat="1" ht="33" customHeight="1">
      <c r="A52" s="319"/>
      <c r="B52" s="320" t="s">
        <v>301</v>
      </c>
      <c r="C52" s="319">
        <v>2249</v>
      </c>
      <c r="D52" s="321">
        <v>0</v>
      </c>
      <c r="E52" s="321"/>
      <c r="F52" s="321">
        <v>0</v>
      </c>
      <c r="G52" s="324">
        <v>0</v>
      </c>
      <c r="H52" s="119"/>
      <c r="K52" s="250"/>
      <c r="L52" s="250"/>
      <c r="M52" s="250"/>
    </row>
    <row r="53" spans="1:13" s="120" customFormat="1" ht="36" customHeight="1">
      <c r="A53" s="325"/>
      <c r="B53" s="326" t="s">
        <v>303</v>
      </c>
      <c r="C53" s="325">
        <v>2250</v>
      </c>
      <c r="D53" s="327"/>
      <c r="E53" s="327"/>
      <c r="F53" s="327">
        <v>817429147450</v>
      </c>
      <c r="G53" s="328">
        <v>0.73328299999999991</v>
      </c>
      <c r="H53" s="119"/>
      <c r="K53" s="250"/>
      <c r="L53" s="250"/>
      <c r="M53" s="250"/>
    </row>
    <row r="54" spans="1:13" s="120" customFormat="1" ht="32.25" customHeight="1">
      <c r="A54" s="312" t="s">
        <v>123</v>
      </c>
      <c r="B54" s="313" t="s">
        <v>304</v>
      </c>
      <c r="C54" s="312">
        <v>2251</v>
      </c>
      <c r="D54" s="314"/>
      <c r="E54" s="314"/>
      <c r="F54" s="314"/>
      <c r="G54" s="329"/>
      <c r="H54" s="119"/>
    </row>
    <row r="55" spans="1:13" s="120" customFormat="1" ht="32.25" customHeight="1">
      <c r="A55" s="444">
        <v>1</v>
      </c>
      <c r="B55" s="445" t="s">
        <v>1005</v>
      </c>
      <c r="C55" s="444">
        <v>2251.1</v>
      </c>
      <c r="D55" s="339">
        <v>300000</v>
      </c>
      <c r="E55" s="339">
        <v>100491</v>
      </c>
      <c r="F55" s="317">
        <v>30147300000</v>
      </c>
      <c r="G55" s="393">
        <v>2.7043881125868599E-2</v>
      </c>
      <c r="H55" s="119"/>
    </row>
    <row r="56" spans="1:13" s="120" customFormat="1" ht="32.25" customHeight="1">
      <c r="A56" s="444">
        <v>2</v>
      </c>
      <c r="B56" s="445" t="s">
        <v>1006</v>
      </c>
      <c r="C56" s="444">
        <v>2251.1999999999998</v>
      </c>
      <c r="D56" s="339">
        <v>500000</v>
      </c>
      <c r="E56" s="339">
        <v>100000</v>
      </c>
      <c r="F56" s="317">
        <v>50000000000</v>
      </c>
      <c r="G56" s="393">
        <v>4.4852907434278694E-2</v>
      </c>
      <c r="H56" s="119"/>
    </row>
    <row r="57" spans="1:13" s="120" customFormat="1" ht="38.25" customHeight="1">
      <c r="A57" s="319"/>
      <c r="B57" s="320" t="s">
        <v>301</v>
      </c>
      <c r="C57" s="319">
        <v>2252</v>
      </c>
      <c r="D57" s="321"/>
      <c r="E57" s="321"/>
      <c r="F57" s="321">
        <v>80147300000</v>
      </c>
      <c r="G57" s="401">
        <v>7.1896788560147293E-2</v>
      </c>
      <c r="H57" s="119"/>
    </row>
    <row r="58" spans="1:13" s="120" customFormat="1" ht="32.25" customHeight="1">
      <c r="A58" s="312" t="s">
        <v>124</v>
      </c>
      <c r="B58" s="313" t="s">
        <v>305</v>
      </c>
      <c r="C58" s="312">
        <v>2253</v>
      </c>
      <c r="D58" s="314"/>
      <c r="E58" s="314"/>
      <c r="F58" s="314"/>
      <c r="G58" s="329"/>
      <c r="H58" s="119"/>
    </row>
    <row r="59" spans="1:13" s="120" customFormat="1" ht="32.25" customHeight="1">
      <c r="A59" s="316">
        <v>1</v>
      </c>
      <c r="B59" s="334" t="s">
        <v>973</v>
      </c>
      <c r="C59" s="411" t="s">
        <v>974</v>
      </c>
      <c r="D59" s="339"/>
      <c r="E59" s="339"/>
      <c r="F59" s="339"/>
      <c r="G59" s="318">
        <v>0</v>
      </c>
      <c r="H59" s="119"/>
    </row>
    <row r="60" spans="1:13" s="120" customFormat="1" ht="32.25" customHeight="1">
      <c r="A60" s="405">
        <v>2</v>
      </c>
      <c r="B60" s="334" t="s">
        <v>992</v>
      </c>
      <c r="C60" s="412" t="s">
        <v>975</v>
      </c>
      <c r="D60" s="339"/>
      <c r="E60" s="413"/>
      <c r="F60" s="339"/>
      <c r="G60" s="318">
        <v>0</v>
      </c>
      <c r="H60" s="119"/>
    </row>
    <row r="61" spans="1:13" s="120" customFormat="1" ht="36" customHeight="1">
      <c r="A61" s="330"/>
      <c r="B61" s="320" t="s">
        <v>301</v>
      </c>
      <c r="C61" s="330">
        <v>2254</v>
      </c>
      <c r="D61" s="321">
        <v>0</v>
      </c>
      <c r="E61" s="321"/>
      <c r="F61" s="321">
        <v>0</v>
      </c>
      <c r="G61" s="401">
        <v>0</v>
      </c>
      <c r="H61" s="119"/>
    </row>
    <row r="62" spans="1:13" s="120" customFormat="1" ht="33.75" customHeight="1">
      <c r="A62" s="312"/>
      <c r="B62" s="313" t="s">
        <v>306</v>
      </c>
      <c r="C62" s="312">
        <v>2255</v>
      </c>
      <c r="D62" s="314"/>
      <c r="E62" s="314"/>
      <c r="F62" s="331">
        <v>897576447450</v>
      </c>
      <c r="G62" s="332">
        <v>0.80517978856014716</v>
      </c>
      <c r="H62" s="119"/>
      <c r="J62" s="250"/>
    </row>
    <row r="63" spans="1:13" s="120" customFormat="1" ht="25.5">
      <c r="A63" s="312" t="s">
        <v>127</v>
      </c>
      <c r="B63" s="313" t="s">
        <v>307</v>
      </c>
      <c r="C63" s="312">
        <v>2256</v>
      </c>
      <c r="D63" s="314"/>
      <c r="E63" s="314"/>
      <c r="F63" s="331"/>
      <c r="G63" s="333"/>
      <c r="H63" s="119"/>
      <c r="J63" s="250"/>
    </row>
    <row r="64" spans="1:13" s="120" customFormat="1" ht="41.25" customHeight="1">
      <c r="A64" s="316">
        <v>1</v>
      </c>
      <c r="B64" s="334" t="s">
        <v>308</v>
      </c>
      <c r="C64" s="316">
        <v>2256.1</v>
      </c>
      <c r="D64" s="317"/>
      <c r="E64" s="317"/>
      <c r="F64" s="317">
        <v>1676031000</v>
      </c>
      <c r="G64" s="318">
        <v>1.5E-3</v>
      </c>
      <c r="H64" s="367"/>
      <c r="J64" s="368"/>
      <c r="K64" s="250"/>
      <c r="L64" s="250"/>
    </row>
    <row r="65" spans="1:12" s="120" customFormat="1" ht="32.25" customHeight="1">
      <c r="A65" s="316">
        <v>2</v>
      </c>
      <c r="B65" s="334" t="s">
        <v>309</v>
      </c>
      <c r="C65" s="316">
        <v>2256.1999999999998</v>
      </c>
      <c r="D65" s="317"/>
      <c r="E65" s="317"/>
      <c r="F65" s="317">
        <v>1906660959</v>
      </c>
      <c r="G65" s="318">
        <v>1.6999999999999999E-3</v>
      </c>
      <c r="H65" s="367"/>
      <c r="J65" s="368"/>
      <c r="K65" s="250"/>
      <c r="L65" s="250"/>
    </row>
    <row r="66" spans="1:12" s="120" customFormat="1" ht="32.25" customHeight="1">
      <c r="A66" s="316">
        <v>3</v>
      </c>
      <c r="B66" s="334" t="s">
        <v>310</v>
      </c>
      <c r="C66" s="316">
        <v>2256.3000000000002</v>
      </c>
      <c r="D66" s="317"/>
      <c r="E66" s="317"/>
      <c r="F66" s="317">
        <v>5081251712</v>
      </c>
      <c r="G66" s="318">
        <v>4.5999999999999999E-3</v>
      </c>
      <c r="H66" s="367"/>
      <c r="J66" s="368"/>
      <c r="K66" s="250"/>
      <c r="L66" s="250"/>
    </row>
    <row r="67" spans="1:12" s="120" customFormat="1" ht="48" customHeight="1">
      <c r="A67" s="316">
        <v>4</v>
      </c>
      <c r="B67" s="334" t="s">
        <v>311</v>
      </c>
      <c r="C67" s="316">
        <v>2256.4</v>
      </c>
      <c r="D67" s="317"/>
      <c r="E67" s="317"/>
      <c r="F67" s="317">
        <v>10497500000</v>
      </c>
      <c r="G67" s="318">
        <v>9.4000000000000004E-3</v>
      </c>
      <c r="H67" s="367"/>
      <c r="J67" s="368"/>
      <c r="K67" s="250"/>
      <c r="L67" s="250"/>
    </row>
    <row r="68" spans="1:12" s="120" customFormat="1" ht="42" customHeight="1">
      <c r="A68" s="316">
        <v>5</v>
      </c>
      <c r="B68" s="334" t="s">
        <v>623</v>
      </c>
      <c r="C68" s="316">
        <v>2256.5</v>
      </c>
      <c r="D68" s="317"/>
      <c r="E68" s="317"/>
      <c r="F68" s="317">
        <v>0</v>
      </c>
      <c r="G68" s="318">
        <v>0</v>
      </c>
      <c r="H68" s="367"/>
      <c r="J68" s="368"/>
      <c r="K68" s="250"/>
      <c r="L68" s="250"/>
    </row>
    <row r="69" spans="1:12" s="120" customFormat="1" ht="32.25" customHeight="1">
      <c r="A69" s="316">
        <v>6</v>
      </c>
      <c r="B69" s="334" t="s">
        <v>312</v>
      </c>
      <c r="C69" s="316">
        <v>2256.6</v>
      </c>
      <c r="D69" s="317"/>
      <c r="E69" s="317"/>
      <c r="F69" s="317">
        <v>0</v>
      </c>
      <c r="G69" s="318">
        <v>0</v>
      </c>
      <c r="H69" s="367"/>
      <c r="J69" s="368"/>
      <c r="K69" s="250"/>
      <c r="L69" s="250"/>
    </row>
    <row r="70" spans="1:12" s="120" customFormat="1" ht="32.25" customHeight="1">
      <c r="A70" s="316">
        <v>7</v>
      </c>
      <c r="B70" s="334" t="s">
        <v>313</v>
      </c>
      <c r="C70" s="316">
        <v>2256.6999999999998</v>
      </c>
      <c r="D70" s="317"/>
      <c r="E70" s="317"/>
      <c r="F70" s="317">
        <v>-866400000</v>
      </c>
      <c r="G70" s="318">
        <v>-8.0000000000000004E-4</v>
      </c>
      <c r="H70" s="367"/>
      <c r="J70" s="368"/>
      <c r="K70" s="250"/>
      <c r="L70" s="250"/>
    </row>
    <row r="71" spans="1:12" s="120" customFormat="1" ht="32.25" customHeight="1">
      <c r="A71" s="319"/>
      <c r="B71" s="320" t="s">
        <v>301</v>
      </c>
      <c r="C71" s="319">
        <v>2257</v>
      </c>
      <c r="D71" s="321"/>
      <c r="E71" s="321"/>
      <c r="F71" s="321">
        <v>18295043671</v>
      </c>
      <c r="G71" s="324">
        <v>1.6400000000000001E-2</v>
      </c>
      <c r="H71" s="367"/>
      <c r="J71" s="368"/>
      <c r="K71" s="250"/>
      <c r="L71" s="250"/>
    </row>
    <row r="72" spans="1:12" s="120" customFormat="1" ht="32.25" customHeight="1">
      <c r="A72" s="335" t="s">
        <v>53</v>
      </c>
      <c r="B72" s="336" t="s">
        <v>314</v>
      </c>
      <c r="C72" s="398">
        <v>2258</v>
      </c>
      <c r="D72" s="337"/>
      <c r="E72" s="337"/>
      <c r="F72" s="337"/>
      <c r="G72" s="338"/>
      <c r="H72" s="367"/>
      <c r="J72" s="250"/>
    </row>
    <row r="73" spans="1:12" s="120" customFormat="1" ht="32.25" customHeight="1">
      <c r="A73" s="316">
        <v>1</v>
      </c>
      <c r="B73" s="334" t="s">
        <v>624</v>
      </c>
      <c r="C73" s="316">
        <v>2259</v>
      </c>
      <c r="D73" s="339"/>
      <c r="E73" s="339"/>
      <c r="F73" s="317">
        <v>68883445853</v>
      </c>
      <c r="G73" s="318">
        <v>6.1800000000000001E-2</v>
      </c>
      <c r="H73" s="367"/>
      <c r="J73" s="250"/>
    </row>
    <row r="74" spans="1:12" s="120" customFormat="1" ht="32.25" customHeight="1">
      <c r="A74" s="316"/>
      <c r="B74" s="334" t="s">
        <v>235</v>
      </c>
      <c r="C74" s="316">
        <v>2259.1</v>
      </c>
      <c r="D74" s="339"/>
      <c r="E74" s="339"/>
      <c r="F74" s="317">
        <v>33883445853</v>
      </c>
      <c r="G74" s="318">
        <v>3.04E-2</v>
      </c>
      <c r="H74" s="367"/>
      <c r="J74" s="250"/>
    </row>
    <row r="75" spans="1:12" s="120" customFormat="1" ht="32.25" customHeight="1">
      <c r="A75" s="316"/>
      <c r="B75" s="334" t="s">
        <v>236</v>
      </c>
      <c r="C75" s="316">
        <v>2259.1999999999998</v>
      </c>
      <c r="D75" s="339"/>
      <c r="E75" s="339"/>
      <c r="F75" s="317">
        <v>35000000000</v>
      </c>
      <c r="G75" s="318">
        <v>3.1399999999999997E-2</v>
      </c>
      <c r="H75" s="367"/>
      <c r="J75" s="250"/>
    </row>
    <row r="76" spans="1:12" s="120" customFormat="1" ht="32.25" customHeight="1">
      <c r="A76" s="316"/>
      <c r="B76" s="334" t="s">
        <v>625</v>
      </c>
      <c r="C76" s="316">
        <v>2259.3000000000002</v>
      </c>
      <c r="D76" s="339"/>
      <c r="E76" s="339"/>
      <c r="F76" s="317">
        <v>0</v>
      </c>
      <c r="G76" s="318">
        <v>0</v>
      </c>
      <c r="H76" s="367"/>
      <c r="J76" s="250"/>
    </row>
    <row r="77" spans="1:12" s="120" customFormat="1" ht="32.25" customHeight="1">
      <c r="A77" s="316">
        <v>2</v>
      </c>
      <c r="B77" s="334" t="s">
        <v>315</v>
      </c>
      <c r="C77" s="316">
        <v>2260</v>
      </c>
      <c r="D77" s="317"/>
      <c r="E77" s="317"/>
      <c r="F77" s="317">
        <v>130000000000</v>
      </c>
      <c r="G77" s="318">
        <v>0.1166</v>
      </c>
      <c r="H77" s="367"/>
      <c r="J77" s="250"/>
    </row>
    <row r="78" spans="1:12" s="120" customFormat="1" ht="32.25" customHeight="1">
      <c r="A78" s="316">
        <v>3</v>
      </c>
      <c r="B78" s="334" t="s">
        <v>316</v>
      </c>
      <c r="C78" s="316">
        <v>2261</v>
      </c>
      <c r="D78" s="317"/>
      <c r="E78" s="317"/>
      <c r="F78" s="317">
        <v>0</v>
      </c>
      <c r="G78" s="318">
        <v>0</v>
      </c>
      <c r="H78" s="367"/>
      <c r="J78" s="250"/>
    </row>
    <row r="79" spans="1:12" s="120" customFormat="1" ht="32.25" customHeight="1">
      <c r="A79" s="319"/>
      <c r="B79" s="320" t="s">
        <v>301</v>
      </c>
      <c r="C79" s="330">
        <v>2262</v>
      </c>
      <c r="D79" s="321"/>
      <c r="E79" s="321"/>
      <c r="F79" s="321">
        <v>198883445853</v>
      </c>
      <c r="G79" s="324">
        <v>0.1784</v>
      </c>
      <c r="H79" s="367"/>
      <c r="J79" s="250"/>
    </row>
    <row r="80" spans="1:12" s="120" customFormat="1" ht="32.25" customHeight="1">
      <c r="A80" s="312" t="s">
        <v>128</v>
      </c>
      <c r="B80" s="313" t="s">
        <v>317</v>
      </c>
      <c r="C80" s="399">
        <v>2263</v>
      </c>
      <c r="D80" s="331"/>
      <c r="E80" s="331"/>
      <c r="F80" s="331">
        <v>1114754936974</v>
      </c>
      <c r="G80" s="407">
        <v>0.99997978856014713</v>
      </c>
      <c r="H80" s="367"/>
      <c r="J80" s="250"/>
    </row>
    <row r="81" spans="1:8" s="120" customFormat="1" ht="12.75">
      <c r="A81" s="76"/>
      <c r="B81" s="77"/>
      <c r="C81" s="77"/>
      <c r="D81" s="77"/>
      <c r="E81" s="77"/>
      <c r="F81" s="406"/>
      <c r="G81" s="77"/>
      <c r="H81" s="367"/>
    </row>
    <row r="82" spans="1:8" s="120" customFormat="1" ht="12.75" hidden="1">
      <c r="A82" s="402" t="s">
        <v>978</v>
      </c>
      <c r="B82" s="403"/>
      <c r="C82" s="403"/>
      <c r="D82" s="403"/>
      <c r="E82" s="403"/>
      <c r="F82" s="404"/>
      <c r="G82" s="404"/>
      <c r="H82" s="367"/>
    </row>
    <row r="83" spans="1:8" s="120" customFormat="1" ht="35.25" hidden="1" customHeight="1">
      <c r="A83" s="511" t="s">
        <v>979</v>
      </c>
      <c r="B83" s="511"/>
      <c r="C83" s="511"/>
      <c r="D83" s="511"/>
      <c r="E83" s="511"/>
      <c r="F83" s="511"/>
      <c r="G83" s="511"/>
      <c r="H83" s="367"/>
    </row>
    <row r="84" spans="1:8" s="120" customFormat="1" ht="12.75">
      <c r="A84" s="76"/>
      <c r="B84" s="77"/>
      <c r="C84" s="77"/>
      <c r="D84" s="77"/>
      <c r="E84" s="77"/>
      <c r="F84" s="77"/>
      <c r="G84" s="77"/>
      <c r="H84" s="367"/>
    </row>
    <row r="85" spans="1:8" s="120" customFormat="1" ht="12.75">
      <c r="A85" s="76"/>
      <c r="B85" s="77"/>
      <c r="C85" s="77"/>
      <c r="D85" s="77"/>
      <c r="E85" s="77"/>
      <c r="F85" s="77"/>
      <c r="G85" s="77"/>
      <c r="H85" s="367"/>
    </row>
    <row r="86" spans="1:8" s="120" customFormat="1" ht="12.75">
      <c r="A86" s="76"/>
      <c r="B86" s="77"/>
      <c r="C86" s="77"/>
      <c r="D86" s="77"/>
      <c r="E86" s="77"/>
      <c r="F86" s="77"/>
      <c r="G86" s="77"/>
      <c r="H86" s="367"/>
    </row>
    <row r="87" spans="1:8" s="120" customFormat="1" ht="12.75">
      <c r="A87" s="93" t="s">
        <v>186</v>
      </c>
      <c r="B87" s="94"/>
      <c r="C87" s="95"/>
      <c r="D87" s="101"/>
      <c r="E87" s="96" t="s">
        <v>187</v>
      </c>
      <c r="F87" s="94"/>
      <c r="G87" s="94"/>
    </row>
    <row r="88" spans="1:8" s="120" customFormat="1" ht="12.75">
      <c r="A88" s="98" t="s">
        <v>188</v>
      </c>
      <c r="B88" s="94"/>
      <c r="C88" s="95"/>
      <c r="D88" s="101"/>
      <c r="E88" s="99" t="s">
        <v>189</v>
      </c>
      <c r="F88" s="94"/>
      <c r="G88" s="94"/>
    </row>
    <row r="89" spans="1:8" s="120" customFormat="1" ht="12.75">
      <c r="A89" s="94"/>
      <c r="B89" s="94"/>
      <c r="C89" s="95"/>
      <c r="D89" s="101"/>
      <c r="E89" s="95"/>
      <c r="F89" s="94"/>
      <c r="G89" s="94"/>
    </row>
    <row r="90" spans="1:8" s="120" customFormat="1" ht="12.75">
      <c r="A90" s="94"/>
      <c r="B90" s="94"/>
      <c r="C90" s="95"/>
      <c r="D90" s="101"/>
      <c r="E90" s="95"/>
      <c r="F90" s="94"/>
      <c r="G90" s="94"/>
    </row>
    <row r="91" spans="1:8" s="120" customFormat="1" ht="12.75">
      <c r="A91" s="94"/>
      <c r="B91" s="94"/>
      <c r="C91" s="95"/>
      <c r="D91" s="101"/>
      <c r="E91" s="95"/>
      <c r="F91" s="94"/>
      <c r="G91" s="94"/>
    </row>
    <row r="92" spans="1:8" s="120" customFormat="1" ht="12.75">
      <c r="A92" s="94"/>
      <c r="B92" s="94"/>
      <c r="C92" s="95"/>
      <c r="D92" s="101"/>
      <c r="E92" s="95"/>
      <c r="F92" s="94"/>
      <c r="G92" s="94"/>
    </row>
    <row r="93" spans="1:8" s="120" customFormat="1" ht="12.75">
      <c r="A93" s="94"/>
      <c r="B93" s="94"/>
      <c r="C93" s="95"/>
      <c r="D93" s="101"/>
      <c r="E93" s="95"/>
      <c r="F93" s="94"/>
      <c r="G93" s="94"/>
    </row>
    <row r="94" spans="1:8" s="120" customFormat="1" ht="12.75">
      <c r="A94" s="94"/>
      <c r="B94" s="94"/>
      <c r="C94" s="95"/>
      <c r="D94" s="101"/>
      <c r="E94" s="95"/>
      <c r="F94" s="94"/>
      <c r="G94" s="94"/>
    </row>
    <row r="95" spans="1:8" s="120" customFormat="1" ht="12.75">
      <c r="A95" s="94"/>
      <c r="B95" s="94"/>
      <c r="C95" s="95"/>
      <c r="D95" s="101"/>
      <c r="E95" s="95"/>
      <c r="F95" s="94"/>
      <c r="G95" s="94"/>
    </row>
    <row r="96" spans="1:8" s="120" customFormat="1" ht="12.75">
      <c r="A96" s="94"/>
      <c r="B96" s="94"/>
      <c r="C96" s="95"/>
      <c r="D96" s="101"/>
      <c r="E96" s="95"/>
      <c r="F96" s="94"/>
      <c r="G96" s="94"/>
    </row>
    <row r="97" spans="1:7" s="120" customFormat="1" ht="12.75">
      <c r="A97" s="94"/>
      <c r="B97" s="94"/>
      <c r="C97" s="95"/>
      <c r="D97" s="101"/>
      <c r="E97" s="95"/>
      <c r="F97" s="94"/>
      <c r="G97" s="94"/>
    </row>
    <row r="98" spans="1:7" s="120" customFormat="1" ht="12.75">
      <c r="A98" s="63"/>
      <c r="B98" s="63"/>
      <c r="C98" s="64"/>
      <c r="D98" s="101"/>
      <c r="E98" s="64"/>
      <c r="F98" s="63"/>
      <c r="G98" s="63"/>
    </row>
    <row r="99" spans="1:7" s="120" customFormat="1" ht="12.75">
      <c r="A99" s="93" t="s">
        <v>190</v>
      </c>
      <c r="B99" s="94"/>
      <c r="C99" s="95"/>
      <c r="D99" s="101"/>
      <c r="E99" s="96" t="s">
        <v>476</v>
      </c>
      <c r="F99" s="94"/>
      <c r="G99" s="94"/>
    </row>
    <row r="100" spans="1:7" s="120" customFormat="1" ht="12.75">
      <c r="A100" s="93" t="s">
        <v>781</v>
      </c>
      <c r="B100" s="94"/>
      <c r="C100" s="95"/>
      <c r="D100" s="101"/>
      <c r="E100" s="96" t="s">
        <v>477</v>
      </c>
      <c r="F100" s="94"/>
      <c r="G100" s="94"/>
    </row>
    <row r="101" spans="1:7" s="120" customFormat="1" ht="12.75">
      <c r="A101" s="461" t="s">
        <v>1011</v>
      </c>
      <c r="B101" s="94"/>
      <c r="C101" s="95"/>
      <c r="D101" s="101"/>
      <c r="E101" s="95" t="s">
        <v>478</v>
      </c>
      <c r="F101" s="94"/>
      <c r="G101" s="94"/>
    </row>
    <row r="102" spans="1:7" s="120" customFormat="1" ht="12.75">
      <c r="A102" s="79"/>
      <c r="B102" s="101"/>
      <c r="C102" s="101"/>
      <c r="D102" s="101"/>
      <c r="E102" s="101"/>
      <c r="F102" s="101"/>
      <c r="G102" s="101"/>
    </row>
    <row r="103" spans="1:7">
      <c r="A103" s="116"/>
      <c r="B103" s="91"/>
      <c r="C103" s="91"/>
      <c r="D103" s="101"/>
      <c r="E103" s="91"/>
      <c r="F103" s="91"/>
      <c r="G103" s="91"/>
    </row>
    <row r="104" spans="1:7">
      <c r="A104" s="116"/>
      <c r="B104" s="91"/>
      <c r="C104" s="91"/>
      <c r="D104" s="91"/>
      <c r="E104" s="91"/>
      <c r="F104" s="91"/>
      <c r="G104" s="91"/>
    </row>
    <row r="105" spans="1:7">
      <c r="A105" s="116"/>
      <c r="B105" s="91"/>
      <c r="C105" s="91"/>
      <c r="D105" s="91"/>
      <c r="E105" s="91"/>
      <c r="F105" s="91"/>
      <c r="G105" s="91"/>
    </row>
    <row r="106" spans="1:7">
      <c r="A106" s="116"/>
      <c r="B106" s="91"/>
      <c r="C106" s="91"/>
      <c r="D106" s="91"/>
      <c r="E106" s="91"/>
      <c r="F106" s="91"/>
      <c r="G106" s="91"/>
    </row>
    <row r="107" spans="1:7">
      <c r="A107" s="116"/>
      <c r="B107" s="91"/>
      <c r="C107" s="91"/>
      <c r="D107" s="91"/>
      <c r="E107" s="91"/>
      <c r="F107" s="91"/>
      <c r="G107" s="91"/>
    </row>
    <row r="108" spans="1:7">
      <c r="A108" s="116"/>
      <c r="B108" s="91"/>
      <c r="C108" s="91"/>
      <c r="D108" s="91"/>
      <c r="E108" s="91"/>
      <c r="F108" s="91"/>
      <c r="G108" s="91"/>
    </row>
    <row r="109" spans="1:7">
      <c r="A109" s="116"/>
      <c r="B109" s="91"/>
      <c r="C109" s="91"/>
      <c r="D109" s="91"/>
      <c r="E109" s="91"/>
      <c r="F109" s="91"/>
      <c r="G109" s="91"/>
    </row>
    <row r="110" spans="1:7">
      <c r="A110" s="116"/>
      <c r="B110" s="91"/>
      <c r="C110" s="91"/>
      <c r="D110" s="91"/>
      <c r="E110" s="91"/>
      <c r="F110" s="91"/>
      <c r="G110" s="91"/>
    </row>
    <row r="111" spans="1:7">
      <c r="A111" s="116"/>
      <c r="B111" s="91"/>
      <c r="C111" s="91"/>
      <c r="D111" s="91"/>
      <c r="E111" s="91"/>
      <c r="F111" s="91"/>
      <c r="G111" s="91"/>
    </row>
    <row r="112" spans="1:7">
      <c r="A112" s="116"/>
      <c r="B112" s="91"/>
      <c r="C112" s="91"/>
      <c r="D112" s="91"/>
      <c r="E112" s="91"/>
      <c r="F112" s="91"/>
      <c r="G112" s="91"/>
    </row>
    <row r="113" spans="1:7">
      <c r="A113" s="116"/>
      <c r="B113" s="91"/>
      <c r="C113" s="91"/>
      <c r="D113" s="91"/>
      <c r="E113" s="91"/>
      <c r="F113" s="91"/>
      <c r="G113" s="91"/>
    </row>
    <row r="114" spans="1:7">
      <c r="A114" s="116"/>
      <c r="B114" s="91"/>
      <c r="C114" s="91"/>
      <c r="D114" s="91"/>
      <c r="E114" s="91"/>
      <c r="F114" s="91"/>
      <c r="G114" s="91"/>
    </row>
    <row r="115" spans="1:7">
      <c r="A115" s="116"/>
      <c r="B115" s="91"/>
      <c r="C115" s="91"/>
      <c r="D115" s="91"/>
      <c r="E115" s="91"/>
      <c r="F115" s="91"/>
      <c r="G115" s="91"/>
    </row>
    <row r="116" spans="1:7">
      <c r="A116" s="116"/>
      <c r="B116" s="91"/>
      <c r="C116" s="91"/>
      <c r="D116" s="91"/>
      <c r="E116" s="91"/>
      <c r="F116" s="91"/>
      <c r="G116" s="91"/>
    </row>
    <row r="117" spans="1:7">
      <c r="A117" s="116"/>
      <c r="B117" s="91"/>
      <c r="C117" s="91"/>
      <c r="D117" s="91"/>
      <c r="E117" s="91"/>
      <c r="F117" s="91"/>
      <c r="G117" s="91"/>
    </row>
    <row r="118" spans="1:7">
      <c r="A118" s="116"/>
      <c r="B118" s="91"/>
      <c r="C118" s="91"/>
      <c r="D118" s="91"/>
      <c r="E118" s="91"/>
      <c r="F118" s="91"/>
      <c r="G118" s="91"/>
    </row>
    <row r="119" spans="1:7">
      <c r="A119" s="116"/>
      <c r="B119" s="91"/>
      <c r="C119" s="91"/>
      <c r="D119" s="91"/>
      <c r="E119" s="91"/>
      <c r="F119" s="91"/>
      <c r="G119" s="91"/>
    </row>
    <row r="120" spans="1:7">
      <c r="A120" s="116"/>
      <c r="B120" s="91"/>
      <c r="C120" s="91"/>
      <c r="D120" s="91"/>
      <c r="E120" s="91"/>
      <c r="F120" s="91"/>
      <c r="G120" s="91"/>
    </row>
    <row r="121" spans="1:7">
      <c r="A121" s="116"/>
      <c r="B121" s="91"/>
      <c r="C121" s="91"/>
      <c r="D121" s="91"/>
      <c r="E121" s="91"/>
      <c r="F121" s="91"/>
      <c r="G121" s="91"/>
    </row>
    <row r="122" spans="1:7">
      <c r="A122" s="116"/>
      <c r="B122" s="91"/>
      <c r="C122" s="91"/>
      <c r="D122" s="91"/>
      <c r="E122" s="91"/>
      <c r="F122" s="91"/>
      <c r="G122" s="91"/>
    </row>
    <row r="123" spans="1:7">
      <c r="A123" s="116"/>
      <c r="B123" s="91"/>
      <c r="C123" s="91"/>
      <c r="D123" s="91"/>
      <c r="E123" s="91"/>
      <c r="F123" s="91"/>
      <c r="G123" s="91"/>
    </row>
    <row r="124" spans="1:7">
      <c r="A124" s="116"/>
      <c r="B124" s="91"/>
      <c r="C124" s="91"/>
      <c r="D124" s="91"/>
      <c r="E124" s="91"/>
      <c r="F124" s="91"/>
      <c r="G124" s="91"/>
    </row>
    <row r="125" spans="1:7">
      <c r="A125" s="116"/>
      <c r="B125" s="91"/>
      <c r="C125" s="91"/>
      <c r="D125" s="91"/>
      <c r="E125" s="91"/>
      <c r="F125" s="91"/>
      <c r="G125" s="91"/>
    </row>
    <row r="126" spans="1:7">
      <c r="A126" s="116"/>
      <c r="B126" s="91"/>
      <c r="C126" s="91"/>
      <c r="D126" s="91"/>
      <c r="E126" s="91"/>
      <c r="F126" s="91"/>
      <c r="G126" s="91"/>
    </row>
    <row r="127" spans="1:7">
      <c r="A127" s="116"/>
      <c r="B127" s="91"/>
      <c r="C127" s="91"/>
      <c r="D127" s="91"/>
      <c r="E127" s="91"/>
      <c r="F127" s="91"/>
      <c r="G127" s="91"/>
    </row>
    <row r="128" spans="1:7">
      <c r="A128" s="116"/>
      <c r="B128" s="91"/>
      <c r="C128" s="91"/>
      <c r="D128" s="91"/>
      <c r="E128" s="91"/>
      <c r="F128" s="91"/>
      <c r="G128" s="91"/>
    </row>
    <row r="129" spans="1:7">
      <c r="A129" s="116"/>
      <c r="B129" s="91"/>
      <c r="C129" s="91"/>
      <c r="D129" s="91"/>
      <c r="E129" s="91"/>
      <c r="F129" s="91"/>
      <c r="G129" s="91"/>
    </row>
    <row r="130" spans="1:7">
      <c r="A130" s="116"/>
      <c r="B130" s="91"/>
      <c r="C130" s="91"/>
      <c r="D130" s="91"/>
      <c r="E130" s="91"/>
      <c r="F130" s="91"/>
      <c r="G130" s="91"/>
    </row>
    <row r="131" spans="1:7">
      <c r="A131" s="116"/>
      <c r="B131" s="91"/>
      <c r="C131" s="91"/>
      <c r="D131" s="91"/>
      <c r="E131" s="91"/>
      <c r="F131" s="91"/>
      <c r="G131" s="91"/>
    </row>
    <row r="132" spans="1:7">
      <c r="A132" s="116"/>
      <c r="B132" s="91"/>
      <c r="C132" s="91"/>
      <c r="D132" s="91"/>
      <c r="E132" s="91"/>
      <c r="F132" s="91"/>
      <c r="G132" s="91"/>
    </row>
    <row r="133" spans="1:7">
      <c r="A133" s="116"/>
      <c r="B133" s="91"/>
      <c r="C133" s="91"/>
      <c r="D133" s="91"/>
      <c r="E133" s="91"/>
      <c r="F133" s="91"/>
      <c r="G133" s="91"/>
    </row>
    <row r="134" spans="1:7">
      <c r="A134" s="116"/>
      <c r="B134" s="91"/>
      <c r="C134" s="91"/>
      <c r="D134" s="91"/>
      <c r="E134" s="91"/>
      <c r="F134" s="91"/>
      <c r="G134" s="91"/>
    </row>
    <row r="135" spans="1:7">
      <c r="A135" s="116"/>
      <c r="B135" s="91"/>
      <c r="C135" s="91"/>
      <c r="D135" s="91"/>
      <c r="E135" s="91"/>
      <c r="F135" s="91"/>
      <c r="G135" s="91"/>
    </row>
    <row r="136" spans="1:7">
      <c r="A136" s="116"/>
      <c r="B136" s="91"/>
      <c r="C136" s="91"/>
      <c r="D136" s="91"/>
      <c r="E136" s="91"/>
      <c r="F136" s="91"/>
      <c r="G136" s="91"/>
    </row>
    <row r="137" spans="1:7">
      <c r="A137" s="116"/>
      <c r="B137" s="91"/>
      <c r="C137" s="91"/>
      <c r="D137" s="91"/>
      <c r="E137" s="91"/>
      <c r="F137" s="91"/>
      <c r="G137" s="91"/>
    </row>
    <row r="138" spans="1:7">
      <c r="A138" s="116"/>
      <c r="B138" s="91"/>
      <c r="C138" s="91"/>
      <c r="D138" s="91"/>
      <c r="E138" s="91"/>
      <c r="F138" s="91"/>
      <c r="G138" s="91"/>
    </row>
    <row r="139" spans="1:7">
      <c r="A139" s="116"/>
      <c r="B139" s="91"/>
      <c r="C139" s="91"/>
      <c r="D139" s="91"/>
      <c r="E139" s="91"/>
      <c r="F139" s="91"/>
      <c r="G139" s="91"/>
    </row>
    <row r="140" spans="1:7">
      <c r="A140" s="116"/>
      <c r="B140" s="91"/>
      <c r="C140" s="91"/>
      <c r="D140" s="91"/>
      <c r="E140" s="91"/>
      <c r="F140" s="91"/>
      <c r="G140" s="91"/>
    </row>
    <row r="141" spans="1:7">
      <c r="A141" s="116"/>
      <c r="B141" s="91"/>
      <c r="C141" s="91"/>
      <c r="D141" s="91"/>
      <c r="E141" s="91"/>
      <c r="F141" s="91"/>
      <c r="G141" s="91"/>
    </row>
    <row r="142" spans="1:7">
      <c r="A142" s="116"/>
      <c r="B142" s="91"/>
      <c r="C142" s="91"/>
      <c r="D142" s="91"/>
      <c r="E142" s="91"/>
      <c r="F142" s="91"/>
      <c r="G142" s="91"/>
    </row>
    <row r="143" spans="1:7">
      <c r="A143" s="116"/>
      <c r="B143" s="91"/>
      <c r="C143" s="91"/>
      <c r="D143" s="91"/>
      <c r="E143" s="91"/>
      <c r="F143" s="91"/>
      <c r="G143" s="91"/>
    </row>
    <row r="144" spans="1:7">
      <c r="A144" s="116"/>
      <c r="B144" s="91"/>
      <c r="C144" s="91"/>
      <c r="D144" s="91"/>
      <c r="E144" s="91"/>
      <c r="F144" s="91"/>
      <c r="G144" s="91"/>
    </row>
    <row r="145" spans="1:7">
      <c r="A145" s="116"/>
      <c r="B145" s="91"/>
      <c r="C145" s="91"/>
      <c r="D145" s="91"/>
      <c r="E145" s="91"/>
      <c r="F145" s="91"/>
      <c r="G145" s="91"/>
    </row>
    <row r="146" spans="1:7">
      <c r="A146" s="116"/>
      <c r="B146" s="91"/>
      <c r="C146" s="91"/>
      <c r="D146" s="91"/>
      <c r="E146" s="91"/>
      <c r="F146" s="91"/>
      <c r="G146" s="91"/>
    </row>
    <row r="147" spans="1:7">
      <c r="A147" s="116"/>
      <c r="B147" s="91"/>
      <c r="C147" s="91"/>
      <c r="D147" s="91"/>
      <c r="E147" s="91"/>
      <c r="F147" s="91"/>
      <c r="G147" s="91"/>
    </row>
    <row r="148" spans="1:7">
      <c r="A148" s="116"/>
      <c r="B148" s="91"/>
      <c r="C148" s="91"/>
      <c r="D148" s="91"/>
      <c r="E148" s="91"/>
      <c r="F148" s="91"/>
      <c r="G148" s="91"/>
    </row>
    <row r="149" spans="1:7">
      <c r="A149" s="116"/>
      <c r="B149" s="91"/>
      <c r="C149" s="91"/>
      <c r="D149" s="91"/>
      <c r="E149" s="91"/>
      <c r="F149" s="91"/>
      <c r="G149" s="91"/>
    </row>
    <row r="150" spans="1:7">
      <c r="A150" s="116"/>
      <c r="B150" s="91"/>
      <c r="C150" s="91"/>
      <c r="D150" s="91"/>
      <c r="E150" s="91"/>
      <c r="F150" s="91"/>
      <c r="G150" s="91"/>
    </row>
    <row r="151" spans="1:7">
      <c r="A151" s="116"/>
      <c r="B151" s="91"/>
      <c r="C151" s="91"/>
      <c r="D151" s="91"/>
      <c r="E151" s="91"/>
      <c r="F151" s="91"/>
      <c r="G151" s="91"/>
    </row>
    <row r="152" spans="1:7">
      <c r="A152" s="116"/>
      <c r="B152" s="91"/>
      <c r="C152" s="91"/>
      <c r="D152" s="91"/>
      <c r="E152" s="91"/>
      <c r="F152" s="91"/>
      <c r="G152" s="91"/>
    </row>
    <row r="153" spans="1:7">
      <c r="A153" s="116"/>
      <c r="B153" s="91"/>
      <c r="C153" s="91"/>
      <c r="D153" s="91"/>
      <c r="E153" s="91"/>
      <c r="F153" s="91"/>
      <c r="G153" s="91"/>
    </row>
    <row r="154" spans="1:7">
      <c r="A154" s="116"/>
      <c r="B154" s="91"/>
      <c r="C154" s="91"/>
      <c r="D154" s="91"/>
      <c r="E154" s="91"/>
      <c r="F154" s="91"/>
      <c r="G154" s="91"/>
    </row>
    <row r="155" spans="1:7">
      <c r="A155" s="116"/>
      <c r="B155" s="91"/>
      <c r="C155" s="91"/>
      <c r="D155" s="91"/>
      <c r="E155" s="91"/>
      <c r="F155" s="91"/>
      <c r="G155" s="91"/>
    </row>
    <row r="156" spans="1:7">
      <c r="A156" s="116"/>
      <c r="B156" s="91"/>
      <c r="C156" s="91"/>
      <c r="D156" s="91"/>
      <c r="E156" s="91"/>
      <c r="F156" s="91"/>
      <c r="G156" s="91"/>
    </row>
    <row r="157" spans="1:7">
      <c r="A157" s="116"/>
      <c r="B157" s="91"/>
      <c r="C157" s="91"/>
      <c r="D157" s="91"/>
      <c r="E157" s="91"/>
      <c r="F157" s="91"/>
      <c r="G157" s="91"/>
    </row>
    <row r="158" spans="1:7">
      <c r="A158" s="116"/>
      <c r="B158" s="91"/>
      <c r="C158" s="91"/>
      <c r="D158" s="91"/>
      <c r="E158" s="91"/>
      <c r="F158" s="91"/>
      <c r="G158" s="91"/>
    </row>
    <row r="159" spans="1:7">
      <c r="A159" s="116"/>
      <c r="B159" s="91"/>
      <c r="C159" s="91"/>
      <c r="D159" s="91"/>
      <c r="E159" s="91"/>
      <c r="F159" s="91"/>
      <c r="G159" s="91"/>
    </row>
    <row r="160" spans="1:7">
      <c r="A160" s="116"/>
      <c r="B160" s="91"/>
      <c r="C160" s="91"/>
      <c r="D160" s="91"/>
      <c r="E160" s="91"/>
      <c r="F160" s="91"/>
      <c r="G160" s="91"/>
    </row>
    <row r="161" spans="1:7">
      <c r="A161" s="116"/>
      <c r="B161" s="91"/>
      <c r="C161" s="91"/>
      <c r="D161" s="91"/>
      <c r="E161" s="91"/>
      <c r="F161" s="91"/>
      <c r="G161" s="91"/>
    </row>
    <row r="162" spans="1:7">
      <c r="A162" s="116"/>
      <c r="B162" s="91"/>
      <c r="C162" s="91"/>
      <c r="D162" s="91"/>
      <c r="E162" s="91"/>
      <c r="F162" s="91"/>
      <c r="G162" s="91"/>
    </row>
    <row r="163" spans="1:7">
      <c r="A163" s="116"/>
      <c r="B163" s="91"/>
      <c r="C163" s="91"/>
      <c r="D163" s="91"/>
      <c r="E163" s="91"/>
      <c r="F163" s="91"/>
      <c r="G163" s="91"/>
    </row>
    <row r="164" spans="1:7">
      <c r="A164" s="116"/>
      <c r="B164" s="91"/>
      <c r="C164" s="91"/>
      <c r="D164" s="91"/>
      <c r="E164" s="91"/>
      <c r="F164" s="91"/>
      <c r="G164" s="91"/>
    </row>
    <row r="165" spans="1:7">
      <c r="A165" s="116"/>
      <c r="B165" s="91"/>
      <c r="C165" s="91"/>
      <c r="D165" s="91"/>
      <c r="E165" s="91"/>
      <c r="F165" s="91"/>
      <c r="G165" s="91"/>
    </row>
    <row r="166" spans="1:7">
      <c r="A166" s="116"/>
      <c r="B166" s="91"/>
      <c r="C166" s="91"/>
      <c r="D166" s="91"/>
      <c r="E166" s="91"/>
      <c r="F166" s="91"/>
      <c r="G166" s="91"/>
    </row>
    <row r="167" spans="1:7">
      <c r="A167" s="116"/>
      <c r="B167" s="91"/>
      <c r="C167" s="91"/>
      <c r="D167" s="91"/>
      <c r="E167" s="91"/>
      <c r="F167" s="91"/>
      <c r="G167" s="91"/>
    </row>
    <row r="168" spans="1:7">
      <c r="A168" s="116"/>
      <c r="B168" s="91"/>
      <c r="C168" s="91"/>
      <c r="D168" s="91"/>
      <c r="E168" s="91"/>
      <c r="F168" s="91"/>
      <c r="G168" s="91"/>
    </row>
    <row r="169" spans="1:7">
      <c r="A169" s="116"/>
      <c r="B169" s="91"/>
      <c r="C169" s="91"/>
      <c r="D169" s="91"/>
      <c r="E169" s="91"/>
      <c r="F169" s="91"/>
      <c r="G169" s="91"/>
    </row>
    <row r="170" spans="1:7">
      <c r="A170" s="116"/>
      <c r="B170" s="91"/>
      <c r="C170" s="91"/>
      <c r="D170" s="91"/>
      <c r="E170" s="91"/>
      <c r="F170" s="91"/>
      <c r="G170" s="91"/>
    </row>
    <row r="171" spans="1:7">
      <c r="A171" s="116"/>
      <c r="B171" s="91"/>
      <c r="C171" s="91"/>
      <c r="D171" s="91"/>
      <c r="E171" s="91"/>
      <c r="F171" s="91"/>
      <c r="G171" s="91"/>
    </row>
    <row r="172" spans="1:7">
      <c r="A172" s="116"/>
      <c r="B172" s="91"/>
      <c r="C172" s="91"/>
      <c r="D172" s="91"/>
      <c r="E172" s="91"/>
      <c r="F172" s="91"/>
      <c r="G172" s="91"/>
    </row>
    <row r="173" spans="1:7">
      <c r="A173" s="116"/>
      <c r="B173" s="91"/>
      <c r="C173" s="91"/>
      <c r="D173" s="91"/>
      <c r="E173" s="91"/>
      <c r="F173" s="91"/>
      <c r="G173" s="91"/>
    </row>
    <row r="174" spans="1:7">
      <c r="A174" s="116"/>
      <c r="B174" s="91"/>
      <c r="C174" s="91"/>
      <c r="D174" s="91"/>
      <c r="E174" s="91"/>
      <c r="F174" s="91"/>
      <c r="G174" s="91"/>
    </row>
  </sheetData>
  <mergeCells count="21">
    <mergeCell ref="C12:F12"/>
    <mergeCell ref="A9:B9"/>
    <mergeCell ref="A11:B11"/>
    <mergeCell ref="C11:F11"/>
    <mergeCell ref="A12:B12"/>
    <mergeCell ref="A83:G83"/>
    <mergeCell ref="A1:G1"/>
    <mergeCell ref="A2:G2"/>
    <mergeCell ref="A3:G4"/>
    <mergeCell ref="A5:G5"/>
    <mergeCell ref="A7:B7"/>
    <mergeCell ref="C7:F7"/>
    <mergeCell ref="A13:B13"/>
    <mergeCell ref="C13:F13"/>
    <mergeCell ref="A14:B14"/>
    <mergeCell ref="C14:F14"/>
    <mergeCell ref="A8:B8"/>
    <mergeCell ref="C8:F8"/>
    <mergeCell ref="C9:F9"/>
    <mergeCell ref="A10:B10"/>
    <mergeCell ref="C10:F10"/>
  </mergeCells>
  <printOptions horizontalCentered="1"/>
  <pageMargins left="0.56999999999999995" right="0.38" top="0.75" bottom="0.75" header="0.3" footer="0.3"/>
  <pageSetup paperSize="9" scale="66" fitToHeight="2" orientation="portrait" r:id="rId1"/>
  <rowBreaks count="1" manualBreakCount="1">
    <brk id="60" max="6" man="1"/>
  </rowBreaks>
  <drawing r:id="rId2"/>
</worksheet>
</file>

<file path=xl/worksheets/sheet9.xml><?xml version="1.0" encoding="utf-8"?>
<worksheet xmlns="http://schemas.openxmlformats.org/spreadsheetml/2006/main" xmlns:r="http://schemas.openxmlformats.org/officeDocument/2006/relationships">
  <sheetPr>
    <tabColor rgb="FF0070C0"/>
  </sheetPr>
  <dimension ref="A1:F53"/>
  <sheetViews>
    <sheetView view="pageBreakPreview" topLeftCell="A30" zoomScaleNormal="100" zoomScaleSheetLayoutView="100" workbookViewId="0">
      <selection activeCell="A45" sqref="A45"/>
    </sheetView>
  </sheetViews>
  <sheetFormatPr defaultColWidth="9.140625" defaultRowHeight="12.75"/>
  <cols>
    <col min="1" max="1" width="3" style="13" customWidth="1"/>
    <col min="2" max="2" width="4.140625" style="13" customWidth="1"/>
    <col min="3" max="3" width="52.5703125" customWidth="1"/>
    <col min="4" max="4" width="11.7109375" customWidth="1"/>
    <col min="5" max="6" width="25.85546875" customWidth="1"/>
    <col min="7" max="16384" width="9.140625" style="32"/>
  </cols>
  <sheetData>
    <row r="1" spans="1:6" ht="24.75" customHeight="1">
      <c r="A1" s="495" t="s">
        <v>318</v>
      </c>
      <c r="B1" s="495"/>
      <c r="C1" s="495"/>
      <c r="D1" s="495"/>
      <c r="E1" s="495"/>
      <c r="F1" s="495"/>
    </row>
    <row r="2" spans="1:6" ht="26.25" customHeight="1">
      <c r="A2" s="475" t="s">
        <v>957</v>
      </c>
      <c r="B2" s="475"/>
      <c r="C2" s="475"/>
      <c r="D2" s="475"/>
      <c r="E2" s="475"/>
      <c r="F2" s="475"/>
    </row>
    <row r="3" spans="1:6" ht="12.75" customHeight="1">
      <c r="A3" s="515" t="s">
        <v>960</v>
      </c>
      <c r="B3" s="515"/>
      <c r="C3" s="515"/>
      <c r="D3" s="515"/>
      <c r="E3" s="515"/>
      <c r="F3" s="515"/>
    </row>
    <row r="4" spans="1:6" ht="22.5" customHeight="1">
      <c r="A4" s="515"/>
      <c r="B4" s="515"/>
      <c r="C4" s="515"/>
      <c r="D4" s="515"/>
      <c r="E4" s="515"/>
      <c r="F4" s="515"/>
    </row>
    <row r="5" spans="1:6">
      <c r="A5" s="477" t="s">
        <v>996</v>
      </c>
      <c r="B5" s="477"/>
      <c r="C5" s="477"/>
      <c r="D5" s="477"/>
      <c r="E5" s="477"/>
      <c r="F5" s="477"/>
    </row>
    <row r="6" spans="1:6">
      <c r="A6" s="18"/>
      <c r="B6" s="18"/>
      <c r="C6" s="18"/>
      <c r="D6" s="18"/>
      <c r="E6" s="18"/>
      <c r="F6" s="21"/>
    </row>
    <row r="7" spans="1:6" ht="12.75" customHeight="1">
      <c r="A7" s="496" t="s">
        <v>464</v>
      </c>
      <c r="B7" s="496"/>
      <c r="C7" s="496"/>
      <c r="D7" s="497" t="s">
        <v>475</v>
      </c>
      <c r="E7" s="497"/>
      <c r="F7" s="497"/>
    </row>
    <row r="8" spans="1:6" ht="12.75" customHeight="1">
      <c r="A8" s="499" t="s">
        <v>959</v>
      </c>
      <c r="B8" s="499"/>
      <c r="C8" s="499"/>
      <c r="D8" s="509" t="s">
        <v>614</v>
      </c>
      <c r="E8" s="509"/>
      <c r="F8" s="509"/>
    </row>
    <row r="9" spans="1:6" ht="12.75" customHeight="1">
      <c r="A9" s="496" t="s">
        <v>466</v>
      </c>
      <c r="B9" s="496"/>
      <c r="C9" s="496"/>
      <c r="D9" s="497" t="s">
        <v>1007</v>
      </c>
      <c r="E9" s="497"/>
      <c r="F9" s="497"/>
    </row>
    <row r="10" spans="1:6" ht="12.75" customHeight="1">
      <c r="A10" s="500" t="s">
        <v>468</v>
      </c>
      <c r="B10" s="500"/>
      <c r="C10" s="500"/>
      <c r="D10" s="509" t="s">
        <v>469</v>
      </c>
      <c r="E10" s="509"/>
      <c r="F10" s="509"/>
    </row>
    <row r="11" spans="1:6" ht="12.75" customHeight="1">
      <c r="A11" s="496" t="s">
        <v>401</v>
      </c>
      <c r="B11" s="496"/>
      <c r="C11" s="496"/>
      <c r="D11" s="497" t="s">
        <v>501</v>
      </c>
      <c r="E11" s="497"/>
      <c r="F11" s="497"/>
    </row>
    <row r="12" spans="1:6" ht="12.75" customHeight="1">
      <c r="A12" s="501" t="s">
        <v>399</v>
      </c>
      <c r="B12" s="501"/>
      <c r="C12" s="501"/>
      <c r="D12" s="509" t="s">
        <v>500</v>
      </c>
      <c r="E12" s="509"/>
      <c r="F12" s="509"/>
    </row>
    <row r="13" spans="1:6" ht="14.25" customHeight="1">
      <c r="A13" s="497" t="s">
        <v>146</v>
      </c>
      <c r="B13" s="497"/>
      <c r="C13" s="497"/>
      <c r="D13" s="497" t="s">
        <v>997</v>
      </c>
      <c r="E13" s="497"/>
      <c r="F13" s="497"/>
    </row>
    <row r="14" spans="1:6">
      <c r="A14" s="195" t="s">
        <v>147</v>
      </c>
      <c r="B14" s="195"/>
      <c r="C14" s="197"/>
      <c r="D14" s="464">
        <v>43475</v>
      </c>
      <c r="E14" s="464"/>
      <c r="F14" s="464"/>
    </row>
    <row r="15" spans="1:6">
      <c r="A15" s="122"/>
      <c r="B15" s="122"/>
      <c r="C15" s="30"/>
      <c r="D15" s="30"/>
      <c r="E15" s="30"/>
      <c r="F15" s="30"/>
    </row>
    <row r="16" spans="1:6" s="43" customFormat="1" ht="58.5" customHeight="1">
      <c r="A16" s="512" t="s">
        <v>228</v>
      </c>
      <c r="B16" s="512"/>
      <c r="C16" s="124" t="s">
        <v>319</v>
      </c>
      <c r="D16" s="124" t="s">
        <v>149</v>
      </c>
      <c r="E16" s="410" t="s">
        <v>1000</v>
      </c>
      <c r="F16" s="443" t="s">
        <v>989</v>
      </c>
    </row>
    <row r="17" spans="1:6" s="43" customFormat="1" ht="33.75" customHeight="1">
      <c r="A17" s="312" t="s">
        <v>43</v>
      </c>
      <c r="B17" s="312"/>
      <c r="C17" s="414" t="s">
        <v>320</v>
      </c>
      <c r="D17" s="397">
        <v>4060</v>
      </c>
      <c r="E17" s="415">
        <v>1275103947993</v>
      </c>
      <c r="F17" s="415">
        <v>1279838418219</v>
      </c>
    </row>
    <row r="18" spans="1:6" s="43" customFormat="1" ht="57" customHeight="1">
      <c r="A18" s="312" t="s">
        <v>49</v>
      </c>
      <c r="B18" s="312"/>
      <c r="C18" s="414" t="s">
        <v>985</v>
      </c>
      <c r="D18" s="397">
        <v>4061</v>
      </c>
      <c r="E18" s="415">
        <v>-152324285779</v>
      </c>
      <c r="F18" s="415">
        <v>51728878849</v>
      </c>
    </row>
    <row r="19" spans="1:6" s="43" customFormat="1" ht="60" customHeight="1">
      <c r="A19" s="513"/>
      <c r="B19" s="44" t="s">
        <v>108</v>
      </c>
      <c r="C19" s="50" t="s">
        <v>767</v>
      </c>
      <c r="D19" s="35">
        <v>4062</v>
      </c>
      <c r="E19" s="156">
        <v>-152324285779</v>
      </c>
      <c r="F19" s="156">
        <v>51728878849</v>
      </c>
    </row>
    <row r="20" spans="1:6" s="43" customFormat="1" ht="59.25" customHeight="1">
      <c r="A20" s="514"/>
      <c r="B20" s="44" t="s">
        <v>110</v>
      </c>
      <c r="C20" s="50" t="s">
        <v>768</v>
      </c>
      <c r="D20" s="35">
        <v>4063</v>
      </c>
      <c r="E20" s="156">
        <v>0</v>
      </c>
      <c r="F20" s="156">
        <v>0</v>
      </c>
    </row>
    <row r="21" spans="1:6" s="43" customFormat="1" ht="57.75" customHeight="1">
      <c r="A21" s="312" t="s">
        <v>123</v>
      </c>
      <c r="B21" s="312"/>
      <c r="C21" s="414" t="s">
        <v>986</v>
      </c>
      <c r="D21" s="312">
        <v>4064</v>
      </c>
      <c r="E21" s="415">
        <v>-33762800019</v>
      </c>
      <c r="F21" s="415">
        <v>-56463349075</v>
      </c>
    </row>
    <row r="22" spans="1:6" s="43" customFormat="1" ht="31.5" customHeight="1">
      <c r="A22" s="513"/>
      <c r="B22" s="35" t="s">
        <v>130</v>
      </c>
      <c r="C22" s="50" t="s">
        <v>321</v>
      </c>
      <c r="D22" s="35">
        <v>4065</v>
      </c>
      <c r="E22" s="156">
        <v>94938942207</v>
      </c>
      <c r="F22" s="156">
        <v>134850183954</v>
      </c>
    </row>
    <row r="23" spans="1:6" s="43" customFormat="1" ht="31.5" customHeight="1">
      <c r="A23" s="514"/>
      <c r="B23" s="35" t="s">
        <v>131</v>
      </c>
      <c r="C23" s="50" t="s">
        <v>322</v>
      </c>
      <c r="D23" s="35">
        <v>4066</v>
      </c>
      <c r="E23" s="156">
        <v>-128701742226</v>
      </c>
      <c r="F23" s="156">
        <v>-191313533029</v>
      </c>
    </row>
    <row r="24" spans="1:6" s="43" customFormat="1" ht="40.5" customHeight="1">
      <c r="A24" s="312" t="s">
        <v>124</v>
      </c>
      <c r="B24" s="312"/>
      <c r="C24" s="414" t="s">
        <v>961</v>
      </c>
      <c r="D24" s="312">
        <v>4067</v>
      </c>
      <c r="E24" s="415">
        <v>1089016862195</v>
      </c>
      <c r="F24" s="415">
        <v>1275103947993</v>
      </c>
    </row>
    <row r="25" spans="1:6" s="43" customFormat="1" ht="38.25">
      <c r="A25" s="416" t="s">
        <v>127</v>
      </c>
      <c r="B25" s="416"/>
      <c r="C25" s="417" t="s">
        <v>769</v>
      </c>
      <c r="D25" s="416">
        <v>4067.1</v>
      </c>
      <c r="E25" s="418">
        <v>36842.79</v>
      </c>
      <c r="F25" s="419">
        <v>41558.239999999998</v>
      </c>
    </row>
    <row r="26" spans="1:6" s="43" customFormat="1">
      <c r="A26" s="123"/>
      <c r="B26" s="123"/>
      <c r="C26" s="21"/>
      <c r="D26" s="21"/>
      <c r="E26" s="21"/>
      <c r="F26" s="21"/>
    </row>
    <row r="27" spans="1:6" s="43" customFormat="1">
      <c r="A27" s="123"/>
      <c r="B27" s="123"/>
      <c r="C27" s="21"/>
      <c r="D27" s="21"/>
      <c r="E27" s="21"/>
      <c r="F27" s="21"/>
    </row>
    <row r="28" spans="1:6" s="43" customFormat="1">
      <c r="A28" s="123"/>
      <c r="B28" s="123"/>
      <c r="C28" s="21"/>
      <c r="D28" s="21"/>
      <c r="E28" s="21"/>
      <c r="F28" s="21"/>
    </row>
    <row r="29" spans="1:6" s="43" customFormat="1">
      <c r="A29" s="59" t="s">
        <v>186</v>
      </c>
      <c r="B29" s="47"/>
      <c r="C29" s="58"/>
      <c r="D29" s="47"/>
      <c r="E29" s="60" t="s">
        <v>187</v>
      </c>
      <c r="F29" s="21"/>
    </row>
    <row r="30" spans="1:6" s="43" customFormat="1">
      <c r="A30" s="61" t="s">
        <v>188</v>
      </c>
      <c r="B30" s="47"/>
      <c r="C30" s="58"/>
      <c r="D30" s="47"/>
      <c r="E30" s="62" t="s">
        <v>189</v>
      </c>
      <c r="F30" s="21"/>
    </row>
    <row r="31" spans="1:6" s="43" customFormat="1">
      <c r="A31" s="47"/>
      <c r="B31" s="47"/>
      <c r="C31" s="58"/>
      <c r="D31" s="47"/>
      <c r="E31" s="58"/>
      <c r="F31" s="21"/>
    </row>
    <row r="32" spans="1:6" s="43" customFormat="1">
      <c r="A32" s="47"/>
      <c r="B32" s="47"/>
      <c r="C32" s="58"/>
      <c r="D32" s="47"/>
      <c r="E32" s="58"/>
      <c r="F32" s="21"/>
    </row>
    <row r="33" spans="1:6" s="43" customFormat="1">
      <c r="A33" s="47"/>
      <c r="B33" s="47"/>
      <c r="C33" s="58"/>
      <c r="D33" s="47"/>
      <c r="E33" s="58"/>
      <c r="F33" s="21"/>
    </row>
    <row r="34" spans="1:6" s="43" customFormat="1">
      <c r="A34" s="47"/>
      <c r="B34" s="47"/>
      <c r="C34" s="58"/>
      <c r="D34" s="47"/>
      <c r="E34" s="58"/>
      <c r="F34" s="21"/>
    </row>
    <row r="35" spans="1:6" s="43" customFormat="1">
      <c r="A35" s="47"/>
      <c r="B35" s="47"/>
      <c r="C35" s="58"/>
      <c r="D35" s="47"/>
      <c r="E35" s="58"/>
      <c r="F35" s="21"/>
    </row>
    <row r="36" spans="1:6" s="43" customFormat="1">
      <c r="A36" s="47"/>
      <c r="B36" s="47"/>
      <c r="C36" s="58"/>
      <c r="D36" s="47"/>
      <c r="E36" s="58"/>
      <c r="F36" s="21"/>
    </row>
    <row r="37" spans="1:6" s="43" customFormat="1">
      <c r="A37" s="47"/>
      <c r="B37" s="47"/>
      <c r="C37" s="58"/>
      <c r="D37" s="47"/>
      <c r="E37" s="58"/>
      <c r="F37" s="21"/>
    </row>
    <row r="38" spans="1:6" s="43" customFormat="1">
      <c r="A38" s="47"/>
      <c r="B38" s="47"/>
      <c r="C38" s="58"/>
      <c r="D38" s="47"/>
      <c r="E38" s="58"/>
      <c r="F38" s="21"/>
    </row>
    <row r="39" spans="1:6">
      <c r="A39" s="47"/>
      <c r="B39" s="47"/>
      <c r="C39" s="58"/>
      <c r="D39" s="47"/>
      <c r="E39" s="58"/>
      <c r="F39" s="30"/>
    </row>
    <row r="40" spans="1:6">
      <c r="A40" s="63"/>
      <c r="B40" s="63"/>
      <c r="C40" s="64"/>
      <c r="D40" s="47"/>
      <c r="E40" s="64"/>
      <c r="F40" s="89"/>
    </row>
    <row r="41" spans="1:6">
      <c r="A41" s="59" t="s">
        <v>190</v>
      </c>
      <c r="B41" s="47"/>
      <c r="C41" s="58"/>
      <c r="D41" s="47"/>
      <c r="E41" s="60" t="s">
        <v>476</v>
      </c>
      <c r="F41" s="30"/>
    </row>
    <row r="42" spans="1:6">
      <c r="A42" s="59" t="s">
        <v>781</v>
      </c>
      <c r="B42" s="47"/>
      <c r="C42" s="58"/>
      <c r="D42" s="47"/>
      <c r="E42" s="60" t="s">
        <v>477</v>
      </c>
      <c r="F42" s="30"/>
    </row>
    <row r="43" spans="1:6">
      <c r="A43" s="451" t="s">
        <v>1011</v>
      </c>
      <c r="B43" s="47"/>
      <c r="C43" s="58"/>
      <c r="D43" s="47"/>
      <c r="E43" s="58" t="s">
        <v>478</v>
      </c>
      <c r="F43" s="30"/>
    </row>
    <row r="44" spans="1:6">
      <c r="A44" s="122"/>
      <c r="B44" s="122"/>
      <c r="C44" s="30"/>
      <c r="D44" s="30"/>
      <c r="E44" s="30"/>
      <c r="F44" s="30"/>
    </row>
    <row r="45" spans="1:6">
      <c r="A45" s="122"/>
      <c r="B45" s="122"/>
      <c r="C45" s="30"/>
      <c r="D45" s="30"/>
      <c r="E45" s="30"/>
      <c r="F45" s="30"/>
    </row>
    <row r="46" spans="1:6">
      <c r="A46" s="122"/>
      <c r="B46" s="122"/>
      <c r="C46" s="30"/>
      <c r="D46" s="30"/>
      <c r="E46" s="30"/>
      <c r="F46" s="30"/>
    </row>
    <row r="47" spans="1:6">
      <c r="A47" s="122"/>
      <c r="B47" s="122"/>
      <c r="C47" s="30"/>
      <c r="D47" s="30"/>
      <c r="E47" s="30"/>
      <c r="F47" s="30"/>
    </row>
    <row r="48" spans="1:6">
      <c r="A48" s="122"/>
      <c r="B48" s="122"/>
      <c r="C48" s="30"/>
      <c r="D48" s="30"/>
      <c r="E48" s="30"/>
      <c r="F48" s="30"/>
    </row>
    <row r="49" spans="1:6">
      <c r="A49" s="122"/>
      <c r="B49" s="122"/>
      <c r="C49" s="30"/>
      <c r="D49" s="30"/>
      <c r="E49" s="30"/>
      <c r="F49" s="30"/>
    </row>
    <row r="50" spans="1:6">
      <c r="A50" s="122"/>
      <c r="B50" s="122"/>
      <c r="C50" s="30"/>
      <c r="D50" s="30"/>
      <c r="E50" s="30"/>
      <c r="F50" s="30"/>
    </row>
    <row r="51" spans="1:6">
      <c r="A51" s="122"/>
      <c r="B51" s="122"/>
      <c r="C51" s="30"/>
      <c r="D51" s="30"/>
      <c r="E51" s="30"/>
      <c r="F51" s="30"/>
    </row>
    <row r="52" spans="1:6">
      <c r="A52" s="122"/>
      <c r="B52" s="122"/>
      <c r="C52" s="30"/>
      <c r="D52" s="30"/>
      <c r="E52" s="30"/>
      <c r="F52" s="30"/>
    </row>
    <row r="53" spans="1:6">
      <c r="A53" s="122"/>
      <c r="B53" s="122"/>
      <c r="C53" s="30"/>
      <c r="D53" s="30"/>
      <c r="E53" s="30"/>
      <c r="F53" s="30"/>
    </row>
  </sheetData>
  <mergeCells count="22">
    <mergeCell ref="A16:B16"/>
    <mergeCell ref="A19:A20"/>
    <mergeCell ref="A22:A23"/>
    <mergeCell ref="A1:F1"/>
    <mergeCell ref="A2:F2"/>
    <mergeCell ref="A7:C7"/>
    <mergeCell ref="A9:C9"/>
    <mergeCell ref="A11:C11"/>
    <mergeCell ref="A8:C8"/>
    <mergeCell ref="A10:C10"/>
    <mergeCell ref="A12:C12"/>
    <mergeCell ref="A13:C13"/>
    <mergeCell ref="D13:F13"/>
    <mergeCell ref="D12:F12"/>
    <mergeCell ref="D14:F14"/>
    <mergeCell ref="A3:F4"/>
    <mergeCell ref="A5:F5"/>
    <mergeCell ref="D7:F7"/>
    <mergeCell ref="D9:F9"/>
    <mergeCell ref="D11:F11"/>
    <mergeCell ref="D8:F8"/>
    <mergeCell ref="D10:F10"/>
  </mergeCells>
  <printOptions horizontalCentered="1"/>
  <pageMargins left="0.75" right="0.75" top="1" bottom="1" header="0.5" footer="0.5"/>
  <pageSetup scale="71" orientation="portrait" r:id="rId1"/>
  <drawing r:id="rId2"/>
</worksheet>
</file>

<file path=xl/worksheets/sheet10.xml><?xml version="1.0" encoding="utf-8"?>
<worksheet xmlns="http://schemas.openxmlformats.org/spreadsheetml/2006/main" xmlns:r="http://schemas.openxmlformats.org/officeDocument/2006/relationships">
  <sheetPr>
    <tabColor rgb="FF0070C0"/>
    <pageSetUpPr fitToPage="1"/>
  </sheetPr>
  <dimension ref="A1:K53"/>
  <sheetViews>
    <sheetView view="pageBreakPreview" topLeftCell="A48" zoomScaleNormal="100" zoomScaleSheetLayoutView="100" workbookViewId="0">
      <selection activeCell="D68" sqref="D68"/>
    </sheetView>
  </sheetViews>
  <sheetFormatPr defaultColWidth="9.140625" defaultRowHeight="15"/>
  <cols>
    <col min="1" max="1" width="4.85546875" style="143" customWidth="1"/>
    <col min="2" max="2" width="34.42578125" style="87" customWidth="1"/>
    <col min="3" max="4" width="9.140625" style="87"/>
    <col min="5" max="5" width="12.28515625" style="87" customWidth="1"/>
    <col min="6" max="6" width="9.140625" style="87"/>
    <col min="7" max="7" width="15.28515625" style="87" customWidth="1"/>
    <col min="8" max="11" width="19" style="87" customWidth="1"/>
    <col min="12" max="16384" width="9.140625" style="87"/>
  </cols>
  <sheetData>
    <row r="1" spans="1:11" ht="27.75" customHeight="1">
      <c r="A1" s="522" t="s">
        <v>1012</v>
      </c>
      <c r="B1" s="522"/>
      <c r="C1" s="522"/>
      <c r="D1" s="522"/>
      <c r="E1" s="522"/>
      <c r="F1" s="522"/>
      <c r="G1" s="522"/>
      <c r="H1" s="522"/>
      <c r="I1" s="522"/>
      <c r="J1" s="522"/>
      <c r="K1" s="522"/>
    </row>
    <row r="2" spans="1:11" ht="28.5" customHeight="1">
      <c r="A2" s="475" t="s">
        <v>957</v>
      </c>
      <c r="B2" s="475"/>
      <c r="C2" s="475"/>
      <c r="D2" s="475"/>
      <c r="E2" s="475"/>
      <c r="F2" s="475"/>
      <c r="G2" s="475"/>
      <c r="H2" s="475"/>
      <c r="I2" s="475"/>
      <c r="J2" s="475"/>
      <c r="K2" s="475"/>
    </row>
    <row r="3" spans="1:11" ht="15" customHeight="1">
      <c r="A3" s="476" t="s">
        <v>958</v>
      </c>
      <c r="B3" s="476"/>
      <c r="C3" s="476"/>
      <c r="D3" s="476"/>
      <c r="E3" s="476"/>
      <c r="F3" s="476"/>
      <c r="G3" s="476"/>
      <c r="H3" s="476"/>
      <c r="I3" s="476"/>
      <c r="J3" s="476"/>
      <c r="K3" s="476"/>
    </row>
    <row r="4" spans="1:11">
      <c r="A4" s="476"/>
      <c r="B4" s="476"/>
      <c r="C4" s="476"/>
      <c r="D4" s="476"/>
      <c r="E4" s="476"/>
      <c r="F4" s="476"/>
      <c r="G4" s="476"/>
      <c r="H4" s="476"/>
      <c r="I4" s="476"/>
      <c r="J4" s="476"/>
      <c r="K4" s="476"/>
    </row>
    <row r="5" spans="1:11">
      <c r="A5" s="477" t="s">
        <v>996</v>
      </c>
      <c r="B5" s="477"/>
      <c r="C5" s="477"/>
      <c r="D5" s="477"/>
      <c r="E5" s="477"/>
      <c r="F5" s="477"/>
      <c r="G5" s="477"/>
      <c r="H5" s="477"/>
      <c r="I5" s="477"/>
      <c r="J5" s="477"/>
      <c r="K5" s="477"/>
    </row>
    <row r="6" spans="1:11">
      <c r="A6" s="18"/>
      <c r="B6" s="18"/>
      <c r="C6" s="18"/>
      <c r="D6" s="18"/>
      <c r="E6" s="18"/>
      <c r="F6" s="21"/>
      <c r="G6" s="90"/>
      <c r="H6" s="90"/>
      <c r="I6" s="90"/>
      <c r="J6" s="90"/>
      <c r="K6" s="90"/>
    </row>
    <row r="7" spans="1:11">
      <c r="A7" s="523" t="s">
        <v>472</v>
      </c>
      <c r="B7" s="524"/>
      <c r="C7" s="198"/>
      <c r="D7" s="198"/>
      <c r="E7" s="198"/>
      <c r="F7" s="198"/>
      <c r="G7" s="468" t="s">
        <v>475</v>
      </c>
      <c r="H7" s="468"/>
      <c r="I7" s="468"/>
      <c r="J7" s="468"/>
      <c r="K7" s="90"/>
    </row>
    <row r="8" spans="1:11" ht="15" customHeight="1">
      <c r="A8" s="525" t="s">
        <v>959</v>
      </c>
      <c r="B8" s="525"/>
      <c r="C8" s="198"/>
      <c r="D8" s="198"/>
      <c r="E8" s="198"/>
      <c r="F8" s="198"/>
      <c r="G8" s="526" t="s">
        <v>614</v>
      </c>
      <c r="H8" s="526"/>
      <c r="I8" s="526"/>
      <c r="J8" s="526"/>
      <c r="K8" s="90"/>
    </row>
    <row r="9" spans="1:11">
      <c r="A9" s="500" t="s">
        <v>473</v>
      </c>
      <c r="B9" s="500"/>
      <c r="C9" s="198"/>
      <c r="D9" s="198"/>
      <c r="E9" s="198"/>
      <c r="F9" s="198"/>
      <c r="G9" s="468" t="s">
        <v>1007</v>
      </c>
      <c r="H9" s="468"/>
      <c r="I9" s="468"/>
      <c r="J9" s="468"/>
      <c r="K9" s="90"/>
    </row>
    <row r="10" spans="1:11" ht="15" customHeight="1">
      <c r="A10" s="500" t="s">
        <v>468</v>
      </c>
      <c r="B10" s="500"/>
      <c r="C10" s="198"/>
      <c r="D10" s="198"/>
      <c r="E10" s="198"/>
      <c r="F10" s="198"/>
      <c r="G10" s="526" t="s">
        <v>469</v>
      </c>
      <c r="H10" s="526"/>
      <c r="I10" s="526"/>
      <c r="J10" s="526"/>
      <c r="K10" s="90"/>
    </row>
    <row r="11" spans="1:11" ht="15" customHeight="1">
      <c r="A11" s="501" t="s">
        <v>398</v>
      </c>
      <c r="B11" s="501"/>
      <c r="C11" s="198"/>
      <c r="D11" s="198"/>
      <c r="E11" s="198"/>
      <c r="F11" s="198"/>
      <c r="G11" s="468" t="s">
        <v>501</v>
      </c>
      <c r="H11" s="468"/>
      <c r="I11" s="468"/>
      <c r="J11" s="468"/>
      <c r="K11" s="90"/>
    </row>
    <row r="12" spans="1:11" ht="15" customHeight="1">
      <c r="A12" s="150" t="s">
        <v>400</v>
      </c>
      <c r="B12" s="167"/>
      <c r="C12" s="198"/>
      <c r="D12" s="198"/>
      <c r="E12" s="198"/>
      <c r="F12" s="198"/>
      <c r="G12" s="526" t="s">
        <v>500</v>
      </c>
      <c r="H12" s="526"/>
      <c r="I12" s="526"/>
      <c r="J12" s="526"/>
      <c r="K12" s="90"/>
    </row>
    <row r="13" spans="1:11" ht="15" customHeight="1">
      <c r="A13" s="66" t="s">
        <v>146</v>
      </c>
      <c r="B13" s="67"/>
      <c r="C13" s="198"/>
      <c r="D13" s="198"/>
      <c r="E13" s="198"/>
      <c r="F13" s="198"/>
      <c r="G13" s="468" t="s">
        <v>997</v>
      </c>
      <c r="H13" s="468"/>
      <c r="I13" s="468"/>
      <c r="J13" s="468"/>
      <c r="K13" s="90"/>
    </row>
    <row r="14" spans="1:11">
      <c r="A14" s="68" t="s">
        <v>147</v>
      </c>
      <c r="B14" s="68"/>
      <c r="C14" s="198"/>
      <c r="D14" s="198"/>
      <c r="E14" s="198"/>
      <c r="F14" s="198"/>
      <c r="G14" s="464">
        <v>43475</v>
      </c>
      <c r="H14" s="464"/>
      <c r="I14" s="464"/>
      <c r="J14" s="464"/>
      <c r="K14" s="90"/>
    </row>
    <row r="15" spans="1:11">
      <c r="A15" s="115"/>
      <c r="B15" s="90"/>
      <c r="C15" s="90"/>
      <c r="D15" s="90"/>
      <c r="E15" s="90"/>
      <c r="F15" s="90"/>
      <c r="G15" s="90"/>
      <c r="H15" s="90"/>
      <c r="I15" s="90"/>
      <c r="J15" s="90"/>
      <c r="K15" s="90"/>
    </row>
    <row r="16" spans="1:11" s="120" customFormat="1" ht="37.5" customHeight="1">
      <c r="A16" s="516" t="s">
        <v>348</v>
      </c>
      <c r="B16" s="516" t="s">
        <v>349</v>
      </c>
      <c r="C16" s="520" t="s">
        <v>230</v>
      </c>
      <c r="D16" s="516" t="s">
        <v>350</v>
      </c>
      <c r="E16" s="516" t="s">
        <v>351</v>
      </c>
      <c r="F16" s="516" t="s">
        <v>352</v>
      </c>
      <c r="G16" s="516" t="s">
        <v>353</v>
      </c>
      <c r="H16" s="518" t="s">
        <v>354</v>
      </c>
      <c r="I16" s="519"/>
      <c r="J16" s="518" t="s">
        <v>357</v>
      </c>
      <c r="K16" s="519"/>
    </row>
    <row r="17" spans="1:11" s="120" customFormat="1" ht="58.5" customHeight="1">
      <c r="A17" s="517"/>
      <c r="B17" s="517"/>
      <c r="C17" s="521"/>
      <c r="D17" s="517"/>
      <c r="E17" s="517"/>
      <c r="F17" s="517"/>
      <c r="G17" s="517"/>
      <c r="H17" s="141" t="s">
        <v>355</v>
      </c>
      <c r="I17" s="141" t="s">
        <v>356</v>
      </c>
      <c r="J17" s="141" t="s">
        <v>358</v>
      </c>
      <c r="K17" s="141" t="s">
        <v>356</v>
      </c>
    </row>
    <row r="18" spans="1:11" s="120" customFormat="1" ht="34.5" customHeight="1">
      <c r="A18" s="127" t="s">
        <v>63</v>
      </c>
      <c r="B18" s="132" t="s">
        <v>365</v>
      </c>
      <c r="C18" s="132" t="s">
        <v>64</v>
      </c>
      <c r="D18" s="133"/>
      <c r="E18" s="133"/>
      <c r="F18" s="134"/>
      <c r="G18" s="135"/>
      <c r="H18" s="132"/>
      <c r="I18" s="86"/>
      <c r="J18" s="136"/>
      <c r="K18" s="137"/>
    </row>
    <row r="19" spans="1:11" s="120" customFormat="1" ht="15.75" customHeight="1">
      <c r="A19" s="127"/>
      <c r="B19" s="132" t="s">
        <v>65</v>
      </c>
      <c r="C19" s="132" t="s">
        <v>66</v>
      </c>
      <c r="D19" s="134"/>
      <c r="E19" s="134"/>
      <c r="F19" s="134"/>
      <c r="G19" s="135"/>
      <c r="H19" s="132"/>
      <c r="I19" s="86"/>
      <c r="J19" s="132"/>
      <c r="K19" s="86"/>
    </row>
    <row r="20" spans="1:11" s="120" customFormat="1" ht="15.75" customHeight="1">
      <c r="A20" s="127"/>
      <c r="B20" s="132" t="s">
        <v>65</v>
      </c>
      <c r="C20" s="132" t="s">
        <v>67</v>
      </c>
      <c r="D20" s="134"/>
      <c r="E20" s="134"/>
      <c r="F20" s="134"/>
      <c r="G20" s="135"/>
      <c r="H20" s="132"/>
      <c r="I20" s="86"/>
      <c r="J20" s="132"/>
      <c r="K20" s="86"/>
    </row>
    <row r="21" spans="1:11" s="120" customFormat="1" ht="45.75" customHeight="1">
      <c r="A21" s="127" t="s">
        <v>43</v>
      </c>
      <c r="B21" s="132" t="s">
        <v>366</v>
      </c>
      <c r="C21" s="132" t="s">
        <v>68</v>
      </c>
      <c r="D21" s="134"/>
      <c r="E21" s="134"/>
      <c r="F21" s="134"/>
      <c r="G21" s="135"/>
      <c r="H21" s="132"/>
      <c r="I21" s="86"/>
      <c r="J21" s="132"/>
      <c r="K21" s="86"/>
    </row>
    <row r="22" spans="1:11" s="120" customFormat="1" ht="45.75" customHeight="1">
      <c r="A22" s="127" t="s">
        <v>69</v>
      </c>
      <c r="B22" s="132" t="s">
        <v>359</v>
      </c>
      <c r="C22" s="132" t="s">
        <v>70</v>
      </c>
      <c r="D22" s="134"/>
      <c r="E22" s="134"/>
      <c r="F22" s="134"/>
      <c r="G22" s="133"/>
      <c r="H22" s="132"/>
      <c r="I22" s="138"/>
      <c r="J22" s="132"/>
      <c r="K22" s="138"/>
    </row>
    <row r="23" spans="1:11" s="120" customFormat="1" ht="15.75" customHeight="1">
      <c r="A23" s="127"/>
      <c r="B23" s="132" t="s">
        <v>65</v>
      </c>
      <c r="C23" s="132" t="s">
        <v>71</v>
      </c>
      <c r="D23" s="134"/>
      <c r="E23" s="134"/>
      <c r="F23" s="134"/>
      <c r="G23" s="135"/>
      <c r="H23" s="132"/>
      <c r="I23" s="86"/>
      <c r="J23" s="132"/>
      <c r="K23" s="86"/>
    </row>
    <row r="24" spans="1:11" s="120" customFormat="1" ht="15.75" customHeight="1">
      <c r="A24" s="127"/>
      <c r="B24" s="132" t="s">
        <v>65</v>
      </c>
      <c r="C24" s="132" t="s">
        <v>72</v>
      </c>
      <c r="D24" s="134"/>
      <c r="E24" s="134"/>
      <c r="F24" s="134"/>
      <c r="G24" s="135"/>
      <c r="H24" s="132"/>
      <c r="I24" s="86"/>
      <c r="J24" s="132"/>
      <c r="K24" s="86"/>
    </row>
    <row r="25" spans="1:11" s="120" customFormat="1" ht="44.25" customHeight="1">
      <c r="A25" s="127" t="s">
        <v>49</v>
      </c>
      <c r="B25" s="132" t="s">
        <v>360</v>
      </c>
      <c r="C25" s="132" t="s">
        <v>73</v>
      </c>
      <c r="D25" s="134"/>
      <c r="E25" s="134"/>
      <c r="F25" s="134"/>
      <c r="G25" s="135"/>
      <c r="H25" s="132"/>
      <c r="I25" s="86"/>
      <c r="J25" s="132"/>
      <c r="K25" s="86"/>
    </row>
    <row r="26" spans="1:11" s="120" customFormat="1" ht="44.25" customHeight="1">
      <c r="A26" s="127" t="s">
        <v>74</v>
      </c>
      <c r="B26" s="132" t="s">
        <v>367</v>
      </c>
      <c r="C26" s="132" t="s">
        <v>75</v>
      </c>
      <c r="D26" s="134"/>
      <c r="E26" s="134"/>
      <c r="F26" s="134"/>
      <c r="G26" s="135"/>
      <c r="H26" s="132"/>
      <c r="I26" s="86"/>
      <c r="J26" s="132"/>
      <c r="K26" s="86"/>
    </row>
    <row r="27" spans="1:11" s="120" customFormat="1" ht="44.25" customHeight="1">
      <c r="A27" s="127" t="s">
        <v>76</v>
      </c>
      <c r="B27" s="132" t="s">
        <v>361</v>
      </c>
      <c r="C27" s="132" t="s">
        <v>77</v>
      </c>
      <c r="D27" s="134"/>
      <c r="E27" s="134"/>
      <c r="F27" s="134"/>
      <c r="G27" s="135"/>
      <c r="H27" s="132"/>
      <c r="I27" s="86"/>
      <c r="J27" s="132"/>
      <c r="K27" s="86"/>
    </row>
    <row r="28" spans="1:11" s="120" customFormat="1" ht="15.75" customHeight="1">
      <c r="A28" s="127"/>
      <c r="B28" s="132" t="s">
        <v>65</v>
      </c>
      <c r="C28" s="132" t="s">
        <v>78</v>
      </c>
      <c r="D28" s="134"/>
      <c r="E28" s="134"/>
      <c r="F28" s="134"/>
      <c r="G28" s="135"/>
      <c r="H28" s="132"/>
      <c r="I28" s="86"/>
      <c r="J28" s="132"/>
      <c r="K28" s="86"/>
    </row>
    <row r="29" spans="1:11" s="120" customFormat="1" ht="15.75" customHeight="1">
      <c r="A29" s="127"/>
      <c r="B29" s="132" t="s">
        <v>65</v>
      </c>
      <c r="C29" s="132" t="s">
        <v>79</v>
      </c>
      <c r="D29" s="134"/>
      <c r="E29" s="134"/>
      <c r="F29" s="134"/>
      <c r="G29" s="135"/>
      <c r="H29" s="132"/>
      <c r="I29" s="86"/>
      <c r="J29" s="132"/>
      <c r="K29" s="86"/>
    </row>
    <row r="30" spans="1:11" s="120" customFormat="1" ht="44.25" customHeight="1">
      <c r="A30" s="127" t="s">
        <v>43</v>
      </c>
      <c r="B30" s="132" t="s">
        <v>362</v>
      </c>
      <c r="C30" s="132" t="s">
        <v>80</v>
      </c>
      <c r="D30" s="134"/>
      <c r="E30" s="134"/>
      <c r="F30" s="134"/>
      <c r="G30" s="135"/>
      <c r="H30" s="132"/>
      <c r="I30" s="86"/>
      <c r="J30" s="132"/>
      <c r="K30" s="86"/>
    </row>
    <row r="31" spans="1:11" s="120" customFormat="1" ht="44.25" customHeight="1">
      <c r="A31" s="127" t="s">
        <v>81</v>
      </c>
      <c r="B31" s="132" t="s">
        <v>363</v>
      </c>
      <c r="C31" s="132" t="s">
        <v>82</v>
      </c>
      <c r="D31" s="134"/>
      <c r="E31" s="134"/>
      <c r="F31" s="134"/>
      <c r="G31" s="135"/>
      <c r="H31" s="132"/>
      <c r="I31" s="86"/>
      <c r="J31" s="132"/>
      <c r="K31" s="86"/>
    </row>
    <row r="32" spans="1:11" s="120" customFormat="1" ht="15.75" customHeight="1">
      <c r="A32" s="127"/>
      <c r="B32" s="132" t="s">
        <v>65</v>
      </c>
      <c r="C32" s="132" t="s">
        <v>83</v>
      </c>
      <c r="D32" s="134"/>
      <c r="E32" s="134"/>
      <c r="F32" s="134"/>
      <c r="G32" s="135"/>
      <c r="H32" s="132"/>
      <c r="I32" s="86"/>
      <c r="J32" s="132"/>
      <c r="K32" s="86"/>
    </row>
    <row r="33" spans="1:11" s="120" customFormat="1" ht="44.25" customHeight="1">
      <c r="A33" s="127" t="s">
        <v>49</v>
      </c>
      <c r="B33" s="132" t="s">
        <v>364</v>
      </c>
      <c r="C33" s="132" t="s">
        <v>84</v>
      </c>
      <c r="D33" s="134"/>
      <c r="E33" s="134"/>
      <c r="F33" s="134"/>
      <c r="G33" s="135"/>
      <c r="H33" s="132"/>
      <c r="I33" s="86"/>
      <c r="J33" s="132"/>
      <c r="K33" s="86"/>
    </row>
    <row r="34" spans="1:11" s="120" customFormat="1" ht="44.25" customHeight="1">
      <c r="A34" s="127" t="s">
        <v>85</v>
      </c>
      <c r="B34" s="132" t="s">
        <v>368</v>
      </c>
      <c r="C34" s="132" t="s">
        <v>86</v>
      </c>
      <c r="D34" s="134"/>
      <c r="E34" s="134"/>
      <c r="F34" s="134"/>
      <c r="G34" s="135"/>
      <c r="H34" s="132"/>
      <c r="I34" s="86"/>
      <c r="J34" s="132"/>
      <c r="K34" s="86"/>
    </row>
    <row r="35" spans="1:11" s="120" customFormat="1" ht="12.75">
      <c r="A35" s="121"/>
      <c r="B35" s="139"/>
      <c r="C35" s="139"/>
      <c r="D35" s="134"/>
      <c r="E35" s="134"/>
      <c r="F35" s="134"/>
      <c r="G35" s="135"/>
      <c r="H35" s="132"/>
      <c r="I35" s="86"/>
      <c r="J35" s="136"/>
      <c r="K35" s="137"/>
    </row>
    <row r="36" spans="1:11" s="120" customFormat="1" ht="12.75">
      <c r="A36" s="140"/>
      <c r="B36" s="126"/>
      <c r="C36" s="126"/>
      <c r="D36" s="126"/>
      <c r="E36" s="126"/>
      <c r="F36" s="126"/>
      <c r="G36" s="126"/>
      <c r="H36" s="126"/>
      <c r="I36" s="126"/>
      <c r="J36" s="126"/>
      <c r="K36" s="126"/>
    </row>
    <row r="37" spans="1:11" s="120" customFormat="1" ht="12.75">
      <c r="A37" s="140"/>
      <c r="B37" s="126"/>
      <c r="C37" s="126"/>
      <c r="D37" s="126"/>
      <c r="E37" s="126"/>
      <c r="F37" s="126"/>
      <c r="G37" s="126"/>
      <c r="H37" s="126"/>
      <c r="I37" s="126"/>
      <c r="J37" s="126"/>
      <c r="K37" s="126"/>
    </row>
    <row r="38" spans="1:11" s="120" customFormat="1" ht="12.75">
      <c r="A38" s="140"/>
      <c r="B38" s="126"/>
      <c r="C38" s="126"/>
      <c r="D38" s="126"/>
      <c r="E38" s="126"/>
      <c r="F38" s="126"/>
      <c r="G38" s="126"/>
      <c r="H38" s="126"/>
      <c r="I38" s="126"/>
      <c r="J38" s="126"/>
      <c r="K38" s="126"/>
    </row>
    <row r="39" spans="1:11" s="120" customFormat="1" ht="12.75">
      <c r="A39" s="59" t="s">
        <v>186</v>
      </c>
      <c r="B39" s="47"/>
      <c r="C39" s="58"/>
      <c r="D39" s="126"/>
      <c r="E39" s="126"/>
      <c r="F39" s="126"/>
      <c r="G39" s="126"/>
      <c r="H39" s="126"/>
      <c r="I39" s="60" t="s">
        <v>187</v>
      </c>
      <c r="J39" s="126"/>
      <c r="K39" s="126"/>
    </row>
    <row r="40" spans="1:11" s="120" customFormat="1" ht="12.75">
      <c r="A40" s="61" t="s">
        <v>188</v>
      </c>
      <c r="B40" s="47"/>
      <c r="C40" s="58"/>
      <c r="D40" s="126"/>
      <c r="E40" s="126"/>
      <c r="F40" s="126"/>
      <c r="G40" s="126"/>
      <c r="H40" s="126"/>
      <c r="I40" s="62" t="s">
        <v>189</v>
      </c>
      <c r="J40" s="126"/>
      <c r="K40" s="126"/>
    </row>
    <row r="41" spans="1:11">
      <c r="A41" s="47"/>
      <c r="B41" s="47"/>
      <c r="C41" s="58"/>
      <c r="D41" s="90"/>
      <c r="E41" s="90"/>
      <c r="F41" s="90"/>
      <c r="G41" s="90"/>
      <c r="H41" s="90"/>
      <c r="I41" s="58"/>
      <c r="J41" s="90"/>
      <c r="K41" s="90"/>
    </row>
    <row r="42" spans="1:11">
      <c r="A42" s="47"/>
      <c r="B42" s="47"/>
      <c r="C42" s="58"/>
      <c r="D42" s="90"/>
      <c r="E42" s="90"/>
      <c r="F42" s="90"/>
      <c r="G42" s="90"/>
      <c r="H42" s="90"/>
      <c r="I42" s="58"/>
      <c r="J42" s="90"/>
      <c r="K42" s="90"/>
    </row>
    <row r="43" spans="1:11">
      <c r="A43" s="47"/>
      <c r="B43" s="47"/>
      <c r="C43" s="58"/>
      <c r="D43" s="90"/>
      <c r="E43" s="90"/>
      <c r="F43" s="90"/>
      <c r="G43" s="90"/>
      <c r="H43" s="90"/>
      <c r="I43" s="58"/>
      <c r="J43" s="90"/>
      <c r="K43" s="90"/>
    </row>
    <row r="44" spans="1:11">
      <c r="A44" s="47"/>
      <c r="B44" s="47"/>
      <c r="C44" s="58"/>
      <c r="D44" s="90"/>
      <c r="E44" s="90"/>
      <c r="F44" s="90"/>
      <c r="G44" s="90"/>
      <c r="H44" s="90"/>
      <c r="I44" s="58"/>
      <c r="J44" s="90"/>
      <c r="K44" s="90"/>
    </row>
    <row r="45" spans="1:11">
      <c r="A45" s="47"/>
      <c r="B45" s="47"/>
      <c r="C45" s="58"/>
      <c r="D45" s="90"/>
      <c r="E45" s="90"/>
      <c r="F45" s="90"/>
      <c r="G45" s="90"/>
      <c r="H45" s="90"/>
      <c r="I45" s="58"/>
      <c r="J45" s="90"/>
      <c r="K45" s="90"/>
    </row>
    <row r="46" spans="1:11">
      <c r="A46" s="47"/>
      <c r="B46" s="47"/>
      <c r="C46" s="58"/>
      <c r="D46" s="90"/>
      <c r="E46" s="90"/>
      <c r="F46" s="90"/>
      <c r="G46" s="90"/>
      <c r="H46" s="90"/>
      <c r="I46" s="58"/>
      <c r="J46" s="90"/>
      <c r="K46" s="90"/>
    </row>
    <row r="47" spans="1:11">
      <c r="A47" s="47"/>
      <c r="B47" s="47"/>
      <c r="C47" s="58"/>
      <c r="D47" s="90"/>
      <c r="E47" s="90"/>
      <c r="F47" s="90"/>
      <c r="G47" s="90"/>
      <c r="H47" s="90"/>
      <c r="I47" s="58"/>
      <c r="J47" s="90"/>
      <c r="K47" s="90"/>
    </row>
    <row r="48" spans="1:11">
      <c r="A48" s="47"/>
      <c r="B48" s="47"/>
      <c r="C48" s="58"/>
      <c r="D48" s="90"/>
      <c r="E48" s="90"/>
      <c r="F48" s="90"/>
      <c r="G48" s="90"/>
      <c r="H48" s="90"/>
      <c r="I48" s="58"/>
      <c r="J48" s="90"/>
      <c r="K48" s="90"/>
    </row>
    <row r="49" spans="1:11">
      <c r="A49" s="63"/>
      <c r="B49" s="63"/>
      <c r="C49" s="58"/>
      <c r="D49" s="90"/>
      <c r="E49" s="90"/>
      <c r="F49" s="90"/>
      <c r="G49" s="90"/>
      <c r="H49" s="90"/>
      <c r="I49" s="64"/>
      <c r="J49" s="142"/>
      <c r="K49" s="142"/>
    </row>
    <row r="50" spans="1:11">
      <c r="A50" s="59" t="s">
        <v>190</v>
      </c>
      <c r="B50" s="47"/>
      <c r="C50" s="459"/>
      <c r="D50" s="460"/>
      <c r="E50" s="90"/>
      <c r="F50" s="90"/>
      <c r="G50" s="90"/>
      <c r="H50" s="90"/>
      <c r="I50" s="60" t="s">
        <v>476</v>
      </c>
      <c r="J50" s="90"/>
      <c r="K50" s="90"/>
    </row>
    <row r="51" spans="1:11">
      <c r="A51" s="59" t="s">
        <v>781</v>
      </c>
      <c r="B51" s="47"/>
      <c r="C51" s="58"/>
      <c r="D51" s="90"/>
      <c r="E51" s="90"/>
      <c r="F51" s="90"/>
      <c r="G51" s="90"/>
      <c r="H51" s="90"/>
      <c r="I51" s="60" t="s">
        <v>477</v>
      </c>
      <c r="J51" s="90"/>
      <c r="K51" s="90"/>
    </row>
    <row r="52" spans="1:11">
      <c r="A52" s="451" t="s">
        <v>1011</v>
      </c>
      <c r="B52" s="47"/>
      <c r="C52" s="58"/>
      <c r="D52" s="90"/>
      <c r="E52" s="90"/>
      <c r="F52" s="90"/>
      <c r="G52" s="90"/>
      <c r="H52" s="90"/>
      <c r="I52" s="58" t="s">
        <v>478</v>
      </c>
      <c r="J52" s="90"/>
      <c r="K52" s="90"/>
    </row>
    <row r="53" spans="1:11">
      <c r="A53" s="115"/>
      <c r="B53" s="90"/>
      <c r="C53" s="90"/>
      <c r="D53" s="90"/>
      <c r="E53" s="90"/>
      <c r="F53" s="90"/>
      <c r="G53" s="90"/>
      <c r="H53" s="90"/>
      <c r="I53" s="90"/>
      <c r="J53" s="90"/>
      <c r="K53" s="90"/>
    </row>
  </sheetData>
  <mergeCells count="26">
    <mergeCell ref="G14:J14"/>
    <mergeCell ref="A8:B8"/>
    <mergeCell ref="G8:J8"/>
    <mergeCell ref="A10:B10"/>
    <mergeCell ref="G10:J10"/>
    <mergeCell ref="G13:J13"/>
    <mergeCell ref="G12:J12"/>
    <mergeCell ref="A9:B9"/>
    <mergeCell ref="G9:J9"/>
    <mergeCell ref="A11:B11"/>
    <mergeCell ref="G11:J11"/>
    <mergeCell ref="A1:K1"/>
    <mergeCell ref="A2:K2"/>
    <mergeCell ref="A3:K4"/>
    <mergeCell ref="A5:K5"/>
    <mergeCell ref="A7:B7"/>
    <mergeCell ref="G7:J7"/>
    <mergeCell ref="G16:G17"/>
    <mergeCell ref="H16:I16"/>
    <mergeCell ref="J16:K16"/>
    <mergeCell ref="A16:A17"/>
    <mergeCell ref="B16:B17"/>
    <mergeCell ref="C16:C17"/>
    <mergeCell ref="D16:D17"/>
    <mergeCell ref="E16:E17"/>
    <mergeCell ref="F16:F17"/>
  </mergeCells>
  <printOptions horizontalCentered="1"/>
  <pageMargins left="0.44" right="0.24" top="0.75" bottom="0.75" header="0.3" footer="0.3"/>
  <pageSetup paperSize="9" scale="57" fitToHeight="2" orientation="portrait" r:id="rId1"/>
  <drawing r:id="rId2"/>
</worksheet>
</file>

<file path=xl/worksheets/sheet11.xml><?xml version="1.0" encoding="utf-8"?>
<worksheet xmlns="http://schemas.openxmlformats.org/spreadsheetml/2006/main" xmlns:r="http://schemas.openxmlformats.org/officeDocument/2006/relationships">
  <sheetPr>
    <tabColor rgb="FF0070C0"/>
    <pageSetUpPr fitToPage="1"/>
  </sheetPr>
  <dimension ref="A1:E65"/>
  <sheetViews>
    <sheetView tabSelected="1" view="pageBreakPreview" topLeftCell="A18" zoomScaleNormal="100" zoomScaleSheetLayoutView="100" workbookViewId="0">
      <selection activeCell="B18" sqref="B18"/>
    </sheetView>
  </sheetViews>
  <sheetFormatPr defaultColWidth="9.140625" defaultRowHeight="15"/>
  <cols>
    <col min="1" max="1" width="9.140625" style="10"/>
    <col min="2" max="2" width="56.85546875" style="10" customWidth="1"/>
    <col min="3" max="3" width="14.140625" style="10" customWidth="1"/>
    <col min="4" max="5" width="25.140625" style="10" customWidth="1"/>
    <col min="6" max="16384" width="9.140625" style="87"/>
  </cols>
  <sheetData>
    <row r="1" spans="1:5" ht="23.25" customHeight="1">
      <c r="A1" s="495" t="s">
        <v>225</v>
      </c>
      <c r="B1" s="495"/>
      <c r="C1" s="495"/>
      <c r="D1" s="495"/>
      <c r="E1" s="495"/>
    </row>
    <row r="2" spans="1:5" ht="27" customHeight="1">
      <c r="A2" s="475" t="s">
        <v>957</v>
      </c>
      <c r="B2" s="475"/>
      <c r="C2" s="475"/>
      <c r="D2" s="475"/>
      <c r="E2" s="475"/>
    </row>
    <row r="3" spans="1:5" ht="15" customHeight="1">
      <c r="A3" s="476" t="s">
        <v>227</v>
      </c>
      <c r="B3" s="476"/>
      <c r="C3" s="476"/>
      <c r="D3" s="476"/>
      <c r="E3" s="476"/>
    </row>
    <row r="4" spans="1:5">
      <c r="A4" s="476"/>
      <c r="B4" s="476"/>
      <c r="C4" s="476"/>
      <c r="D4" s="476"/>
      <c r="E4" s="476"/>
    </row>
    <row r="5" spans="1:5" s="233" customFormat="1">
      <c r="A5" s="528" t="s">
        <v>996</v>
      </c>
      <c r="B5" s="528"/>
      <c r="C5" s="528"/>
      <c r="D5" s="528"/>
      <c r="E5" s="528"/>
    </row>
    <row r="6" spans="1:5">
      <c r="A6" s="18"/>
      <c r="B6" s="18"/>
      <c r="C6" s="18"/>
      <c r="D6" s="18"/>
      <c r="E6" s="18"/>
    </row>
    <row r="7" spans="1:5" ht="15" customHeight="1">
      <c r="A7" s="496" t="s">
        <v>464</v>
      </c>
      <c r="B7" s="496"/>
      <c r="C7" s="497" t="s">
        <v>475</v>
      </c>
      <c r="D7" s="497"/>
      <c r="E7" s="497"/>
    </row>
    <row r="8" spans="1:5" ht="15" customHeight="1">
      <c r="A8" s="499" t="s">
        <v>959</v>
      </c>
      <c r="B8" s="499"/>
      <c r="C8" s="509" t="s">
        <v>614</v>
      </c>
      <c r="D8" s="509"/>
      <c r="E8" s="509"/>
    </row>
    <row r="9" spans="1:5" ht="15" customHeight="1">
      <c r="A9" s="496" t="s">
        <v>466</v>
      </c>
      <c r="B9" s="496"/>
      <c r="C9" s="497" t="s">
        <v>1007</v>
      </c>
      <c r="D9" s="497"/>
      <c r="E9" s="497"/>
    </row>
    <row r="10" spans="1:5" ht="15" customHeight="1">
      <c r="A10" s="500" t="s">
        <v>468</v>
      </c>
      <c r="B10" s="500"/>
      <c r="C10" s="509" t="s">
        <v>469</v>
      </c>
      <c r="D10" s="509"/>
      <c r="E10" s="509"/>
    </row>
    <row r="11" spans="1:5" ht="15" customHeight="1">
      <c r="A11" s="496" t="s">
        <v>401</v>
      </c>
      <c r="B11" s="496"/>
      <c r="C11" s="497" t="s">
        <v>501</v>
      </c>
      <c r="D11" s="497"/>
      <c r="E11" s="497"/>
    </row>
    <row r="12" spans="1:5" ht="15" customHeight="1">
      <c r="A12" s="501" t="s">
        <v>399</v>
      </c>
      <c r="B12" s="501"/>
      <c r="C12" s="509" t="s">
        <v>500</v>
      </c>
      <c r="D12" s="509"/>
      <c r="E12" s="509"/>
    </row>
    <row r="13" spans="1:5" ht="15" customHeight="1">
      <c r="A13" s="497" t="s">
        <v>146</v>
      </c>
      <c r="B13" s="497"/>
      <c r="C13" s="497" t="s">
        <v>997</v>
      </c>
      <c r="D13" s="497"/>
      <c r="E13" s="497"/>
    </row>
    <row r="14" spans="1:5">
      <c r="A14" s="498" t="s">
        <v>147</v>
      </c>
      <c r="B14" s="498"/>
      <c r="C14" s="464">
        <v>43475</v>
      </c>
      <c r="D14" s="464"/>
      <c r="E14" s="464"/>
    </row>
    <row r="15" spans="1:5">
      <c r="A15" s="90"/>
      <c r="B15" s="90"/>
      <c r="C15" s="90"/>
      <c r="D15" s="90"/>
      <c r="E15" s="90"/>
    </row>
    <row r="16" spans="1:5">
      <c r="A16" s="205" t="s">
        <v>124</v>
      </c>
      <c r="B16" s="206" t="s">
        <v>490</v>
      </c>
      <c r="C16" s="90"/>
      <c r="D16" s="90"/>
      <c r="E16" s="90"/>
    </row>
    <row r="17" spans="1:5" s="120" customFormat="1" ht="55.5" customHeight="1">
      <c r="A17" s="125" t="s">
        <v>295</v>
      </c>
      <c r="B17" s="125" t="s">
        <v>323</v>
      </c>
      <c r="C17" s="125" t="s">
        <v>324</v>
      </c>
      <c r="D17" s="125" t="s">
        <v>1000</v>
      </c>
      <c r="E17" s="363" t="s">
        <v>989</v>
      </c>
    </row>
    <row r="18" spans="1:5" s="120" customFormat="1" ht="32.25" customHeight="1">
      <c r="A18" s="111" t="s">
        <v>43</v>
      </c>
      <c r="B18" s="129" t="s">
        <v>325</v>
      </c>
      <c r="C18" s="130">
        <v>2264</v>
      </c>
      <c r="D18" s="131"/>
      <c r="E18" s="364"/>
    </row>
    <row r="19" spans="1:5" s="120" customFormat="1" ht="48" customHeight="1">
      <c r="A19" s="114">
        <v>1</v>
      </c>
      <c r="B19" s="128" t="s">
        <v>326</v>
      </c>
      <c r="C19" s="127">
        <v>2265</v>
      </c>
      <c r="D19" s="161">
        <v>1.9662346358055346E-2</v>
      </c>
      <c r="E19" s="370">
        <v>1.9662328304579951E-2</v>
      </c>
    </row>
    <row r="20" spans="1:5" s="120" customFormat="1" ht="48.75" customHeight="1">
      <c r="A20" s="114">
        <v>2</v>
      </c>
      <c r="B20" s="128" t="s">
        <v>327</v>
      </c>
      <c r="C20" s="127">
        <v>2266</v>
      </c>
      <c r="D20" s="161">
        <v>1.0042742770957039E-3</v>
      </c>
      <c r="E20" s="161">
        <v>1.0148346199094066E-3</v>
      </c>
    </row>
    <row r="21" spans="1:5" s="120" customFormat="1" ht="72" customHeight="1">
      <c r="A21" s="114">
        <v>3</v>
      </c>
      <c r="B21" s="128" t="s">
        <v>328</v>
      </c>
      <c r="C21" s="127">
        <v>22661</v>
      </c>
      <c r="D21" s="161">
        <v>3.8972224100510016E-4</v>
      </c>
      <c r="E21" s="161">
        <v>3.8901312027471538E-4</v>
      </c>
    </row>
    <row r="22" spans="1:5" s="120" customFormat="1" ht="46.5" customHeight="1">
      <c r="A22" s="114">
        <v>4</v>
      </c>
      <c r="B22" s="128" t="s">
        <v>329</v>
      </c>
      <c r="C22" s="127">
        <v>2267</v>
      </c>
      <c r="D22" s="161">
        <v>1.55865795900281E-4</v>
      </c>
      <c r="E22" s="161">
        <v>1.5488292479514778E-4</v>
      </c>
    </row>
    <row r="23" spans="1:5" s="120" customFormat="1" ht="81" customHeight="1">
      <c r="A23" s="114">
        <v>5</v>
      </c>
      <c r="B23" s="128" t="s">
        <v>330</v>
      </c>
      <c r="C23" s="127">
        <v>2268</v>
      </c>
      <c r="D23" s="161">
        <v>2.5387650745819628E-4</v>
      </c>
      <c r="E23" s="161">
        <v>2.5227560917989408E-4</v>
      </c>
    </row>
    <row r="24" spans="1:5" s="120" customFormat="1" ht="31.5" customHeight="1">
      <c r="A24" s="114">
        <v>6</v>
      </c>
      <c r="B24" s="302" t="s">
        <v>331</v>
      </c>
      <c r="C24" s="303">
        <v>2269</v>
      </c>
      <c r="D24" s="251">
        <v>2.1713042939851993E-2</v>
      </c>
      <c r="E24" s="161">
        <v>2.1601915068508198E-2</v>
      </c>
    </row>
    <row r="25" spans="1:5" s="120" customFormat="1" ht="68.25" customHeight="1">
      <c r="A25" s="114">
        <v>7</v>
      </c>
      <c r="B25" s="128" t="s">
        <v>1013</v>
      </c>
      <c r="C25" s="127">
        <v>2270</v>
      </c>
      <c r="D25" s="251">
        <v>1.2815211401399462</v>
      </c>
      <c r="E25" s="251">
        <v>0.97919425834255924</v>
      </c>
    </row>
    <row r="26" spans="1:5" s="120" customFormat="1" ht="31.5" customHeight="1">
      <c r="A26" s="111" t="s">
        <v>49</v>
      </c>
      <c r="B26" s="129" t="s">
        <v>332</v>
      </c>
      <c r="C26" s="130">
        <v>2272</v>
      </c>
      <c r="D26" s="162"/>
      <c r="E26" s="162"/>
    </row>
    <row r="27" spans="1:5" s="120" customFormat="1" ht="45" customHeight="1">
      <c r="A27" s="529">
        <v>1</v>
      </c>
      <c r="B27" s="128" t="s">
        <v>333</v>
      </c>
      <c r="C27" s="127">
        <v>2273</v>
      </c>
      <c r="D27" s="305">
        <v>306823342099.99963</v>
      </c>
      <c r="E27" s="163">
        <v>322614335399.99963</v>
      </c>
    </row>
    <row r="28" spans="1:5" s="120" customFormat="1" ht="42.75" customHeight="1">
      <c r="A28" s="529"/>
      <c r="B28" s="128" t="s">
        <v>334</v>
      </c>
      <c r="C28" s="127">
        <v>2274</v>
      </c>
      <c r="D28" s="305">
        <v>306823342099.99957</v>
      </c>
      <c r="E28" s="163">
        <v>322614335399.99957</v>
      </c>
    </row>
    <row r="29" spans="1:5" s="120" customFormat="1" ht="43.5" customHeight="1">
      <c r="A29" s="529"/>
      <c r="B29" s="128" t="s">
        <v>335</v>
      </c>
      <c r="C29" s="127">
        <v>2275</v>
      </c>
      <c r="D29" s="309">
        <v>30682334.209999956</v>
      </c>
      <c r="E29" s="204">
        <v>32261433.539999958</v>
      </c>
    </row>
    <row r="30" spans="1:5" s="120" customFormat="1" ht="45" customHeight="1">
      <c r="A30" s="529">
        <v>2</v>
      </c>
      <c r="B30" s="128" t="s">
        <v>336</v>
      </c>
      <c r="C30" s="127">
        <v>2276</v>
      </c>
      <c r="D30" s="163">
        <v>-11238586800</v>
      </c>
      <c r="E30" s="163">
        <v>-15790993300.000027</v>
      </c>
    </row>
    <row r="31" spans="1:5" s="120" customFormat="1" ht="43.5" customHeight="1">
      <c r="A31" s="529"/>
      <c r="B31" s="128" t="s">
        <v>962</v>
      </c>
      <c r="C31" s="127" t="s">
        <v>963</v>
      </c>
      <c r="D31" s="400">
        <v>-1123858.6800000002</v>
      </c>
      <c r="E31" s="446">
        <v>-1579099.3300000029</v>
      </c>
    </row>
    <row r="32" spans="1:5" s="120" customFormat="1" ht="43.5" customHeight="1">
      <c r="A32" s="529"/>
      <c r="B32" s="128" t="s">
        <v>964</v>
      </c>
      <c r="C32" s="127" t="s">
        <v>965</v>
      </c>
      <c r="D32" s="163">
        <v>-11238586800.000002</v>
      </c>
      <c r="E32" s="163">
        <v>-15790993300.000029</v>
      </c>
    </row>
    <row r="33" spans="1:5" s="120" customFormat="1" ht="31.5" customHeight="1">
      <c r="A33" s="529"/>
      <c r="B33" s="128" t="s">
        <v>337</v>
      </c>
      <c r="C33" s="127">
        <v>2277</v>
      </c>
      <c r="D33" s="309">
        <v>2401229.4</v>
      </c>
      <c r="E33" s="204">
        <v>3310863.2099999972</v>
      </c>
    </row>
    <row r="34" spans="1:5" s="120" customFormat="1" ht="32.25" customHeight="1">
      <c r="A34" s="529"/>
      <c r="B34" s="128" t="s">
        <v>338</v>
      </c>
      <c r="C34" s="127">
        <v>2278</v>
      </c>
      <c r="D34" s="305">
        <v>24012294000</v>
      </c>
      <c r="E34" s="163">
        <v>33108632099.999973</v>
      </c>
    </row>
    <row r="35" spans="1:5" s="120" customFormat="1" ht="32.25" customHeight="1">
      <c r="A35" s="529"/>
      <c r="B35" s="128" t="s">
        <v>339</v>
      </c>
      <c r="C35" s="127">
        <v>22781</v>
      </c>
      <c r="D35" s="163">
        <v>-3525088.08</v>
      </c>
      <c r="E35" s="204">
        <v>-4889962.54</v>
      </c>
    </row>
    <row r="36" spans="1:5" s="120" customFormat="1" ht="44.25" customHeight="1">
      <c r="A36" s="529"/>
      <c r="B36" s="128" t="s">
        <v>340</v>
      </c>
      <c r="C36" s="127">
        <v>22782</v>
      </c>
      <c r="D36" s="163">
        <v>-35250880800</v>
      </c>
      <c r="E36" s="163">
        <v>-48899625400</v>
      </c>
    </row>
    <row r="37" spans="1:5" s="120" customFormat="1" ht="44.25" customHeight="1">
      <c r="A37" s="529">
        <v>3</v>
      </c>
      <c r="B37" s="128" t="s">
        <v>341</v>
      </c>
      <c r="C37" s="303">
        <v>2279</v>
      </c>
      <c r="D37" s="305">
        <v>295584755299.99963</v>
      </c>
      <c r="E37" s="305">
        <v>306823342099.99963</v>
      </c>
    </row>
    <row r="38" spans="1:5" s="120" customFormat="1" ht="42.75" customHeight="1">
      <c r="A38" s="529"/>
      <c r="B38" s="128" t="s">
        <v>342</v>
      </c>
      <c r="C38" s="303">
        <v>2280</v>
      </c>
      <c r="D38" s="305">
        <v>295584755299.99957</v>
      </c>
      <c r="E38" s="305">
        <v>306823342099.99957</v>
      </c>
    </row>
    <row r="39" spans="1:5" s="120" customFormat="1" ht="44.25" customHeight="1">
      <c r="A39" s="529"/>
      <c r="B39" s="128" t="s">
        <v>343</v>
      </c>
      <c r="C39" s="303">
        <v>2281</v>
      </c>
      <c r="D39" s="306">
        <v>29558475.529999956</v>
      </c>
      <c r="E39" s="365">
        <v>30682334.209999956</v>
      </c>
    </row>
    <row r="40" spans="1:5" s="120" customFormat="1" ht="59.25" customHeight="1">
      <c r="A40" s="114">
        <v>4</v>
      </c>
      <c r="B40" s="128" t="s">
        <v>344</v>
      </c>
      <c r="C40" s="303">
        <v>2282</v>
      </c>
      <c r="D40" s="251">
        <v>1.46E-2</v>
      </c>
      <c r="E40" s="251">
        <v>1.34E-2</v>
      </c>
    </row>
    <row r="41" spans="1:5" s="120" customFormat="1" ht="32.25" customHeight="1">
      <c r="A41" s="114">
        <v>5</v>
      </c>
      <c r="B41" s="128" t="s">
        <v>345</v>
      </c>
      <c r="C41" s="303">
        <v>2283</v>
      </c>
      <c r="D41" s="251">
        <v>0.60589999999999999</v>
      </c>
      <c r="E41" s="251">
        <v>0.61970000000000003</v>
      </c>
    </row>
    <row r="42" spans="1:5" s="120" customFormat="1" ht="32.25" customHeight="1">
      <c r="A42" s="114">
        <v>6</v>
      </c>
      <c r="B42" s="128" t="s">
        <v>346</v>
      </c>
      <c r="C42" s="303">
        <v>2284</v>
      </c>
      <c r="D42" s="251">
        <v>0.52370000000000005</v>
      </c>
      <c r="E42" s="251">
        <v>0.50619999999999998</v>
      </c>
    </row>
    <row r="43" spans="1:5" s="120" customFormat="1" ht="32.25" customHeight="1">
      <c r="A43" s="114">
        <v>7</v>
      </c>
      <c r="B43" s="128" t="s">
        <v>347</v>
      </c>
      <c r="C43" s="303">
        <v>22841</v>
      </c>
      <c r="D43" s="307">
        <v>3467</v>
      </c>
      <c r="E43" s="307">
        <v>3432</v>
      </c>
    </row>
    <row r="44" spans="1:5" s="120" customFormat="1" ht="32.25" customHeight="1">
      <c r="A44" s="114">
        <v>8</v>
      </c>
      <c r="B44" s="128" t="s">
        <v>599</v>
      </c>
      <c r="C44" s="303">
        <v>2285</v>
      </c>
      <c r="D44" s="308">
        <v>36842.79</v>
      </c>
      <c r="E44" s="308">
        <v>41558.239999999998</v>
      </c>
    </row>
    <row r="45" spans="1:5" s="120" customFormat="1" ht="12.75">
      <c r="A45" s="126"/>
      <c r="B45" s="126"/>
      <c r="C45" s="126"/>
      <c r="D45" s="164"/>
      <c r="E45" s="164"/>
    </row>
    <row r="46" spans="1:5" s="120" customFormat="1" ht="24.75" customHeight="1">
      <c r="A46" s="409" t="s">
        <v>783</v>
      </c>
      <c r="B46" s="21"/>
      <c r="C46" s="21"/>
      <c r="D46" s="26"/>
      <c r="E46" s="21"/>
    </row>
    <row r="47" spans="1:5" s="120" customFormat="1" ht="54.75" customHeight="1">
      <c r="A47" s="527" t="s">
        <v>984</v>
      </c>
      <c r="B47" s="527"/>
      <c r="C47" s="527"/>
      <c r="D47" s="527"/>
      <c r="E47" s="527"/>
    </row>
    <row r="48" spans="1:5" s="120" customFormat="1" ht="63" customHeight="1">
      <c r="A48" s="527" t="s">
        <v>983</v>
      </c>
      <c r="B48" s="527"/>
      <c r="C48" s="527"/>
      <c r="D48" s="408"/>
      <c r="E48" s="408"/>
    </row>
    <row r="49" spans="1:5" s="120" customFormat="1" ht="12.75">
      <c r="A49" s="59" t="s">
        <v>186</v>
      </c>
      <c r="B49" s="47"/>
      <c r="C49" s="58"/>
      <c r="D49" s="60" t="s">
        <v>187</v>
      </c>
      <c r="E49" s="126"/>
    </row>
    <row r="50" spans="1:5" s="120" customFormat="1" ht="12.75">
      <c r="A50" s="61" t="s">
        <v>188</v>
      </c>
      <c r="B50" s="47"/>
      <c r="C50" s="58"/>
      <c r="D50" s="62" t="s">
        <v>189</v>
      </c>
      <c r="E50" s="126"/>
    </row>
    <row r="51" spans="1:5" s="120" customFormat="1" ht="12.75">
      <c r="A51" s="47"/>
      <c r="B51" s="47"/>
      <c r="C51" s="58"/>
      <c r="D51" s="58"/>
      <c r="E51" s="126"/>
    </row>
    <row r="52" spans="1:5" s="120" customFormat="1" ht="12.75">
      <c r="A52" s="47"/>
      <c r="B52" s="47"/>
      <c r="C52" s="58"/>
      <c r="D52" s="58"/>
      <c r="E52" s="126"/>
    </row>
    <row r="53" spans="1:5" s="120" customFormat="1" ht="12.75">
      <c r="A53" s="47"/>
      <c r="B53" s="47"/>
      <c r="C53" s="58"/>
      <c r="D53" s="58"/>
      <c r="E53" s="126"/>
    </row>
    <row r="54" spans="1:5" s="120" customFormat="1" ht="12.75">
      <c r="A54" s="47"/>
      <c r="B54" s="47"/>
      <c r="C54" s="58"/>
      <c r="D54" s="58"/>
      <c r="E54" s="126"/>
    </row>
    <row r="55" spans="1:5" s="120" customFormat="1" ht="12.75">
      <c r="A55" s="47"/>
      <c r="B55" s="47"/>
      <c r="C55" s="58"/>
      <c r="D55" s="58"/>
      <c r="E55" s="126"/>
    </row>
    <row r="56" spans="1:5" s="120" customFormat="1" ht="12.75">
      <c r="A56" s="47"/>
      <c r="B56" s="47"/>
      <c r="C56" s="58"/>
      <c r="D56" s="58"/>
      <c r="E56" s="126"/>
    </row>
    <row r="57" spans="1:5" s="120" customFormat="1" ht="12.75">
      <c r="A57" s="47"/>
      <c r="B57" s="47"/>
      <c r="C57" s="58"/>
      <c r="D57" s="58"/>
      <c r="E57" s="126"/>
    </row>
    <row r="58" spans="1:5" s="120" customFormat="1" ht="12.75">
      <c r="A58" s="47"/>
      <c r="B58" s="47"/>
      <c r="C58" s="58"/>
      <c r="D58" s="58"/>
      <c r="E58" s="126"/>
    </row>
    <row r="59" spans="1:5" s="120" customFormat="1" ht="12.75">
      <c r="A59" s="47"/>
      <c r="B59" s="47"/>
      <c r="C59" s="58"/>
      <c r="D59" s="58"/>
      <c r="E59" s="126"/>
    </row>
    <row r="60" spans="1:5" s="120" customFormat="1" ht="12.75">
      <c r="A60" s="63"/>
      <c r="B60" s="63"/>
      <c r="C60" s="58"/>
      <c r="D60" s="64"/>
      <c r="E60" s="64"/>
    </row>
    <row r="61" spans="1:5" s="120" customFormat="1" ht="12.75">
      <c r="A61" s="59" t="s">
        <v>190</v>
      </c>
      <c r="B61" s="47"/>
      <c r="C61" s="58"/>
      <c r="D61" s="60" t="s">
        <v>476</v>
      </c>
      <c r="E61" s="126"/>
    </row>
    <row r="62" spans="1:5" s="120" customFormat="1" ht="12.75">
      <c r="A62" s="59" t="s">
        <v>781</v>
      </c>
      <c r="B62" s="47"/>
      <c r="C62" s="58"/>
      <c r="D62" s="60" t="s">
        <v>477</v>
      </c>
      <c r="E62" s="126"/>
    </row>
    <row r="63" spans="1:5" s="120" customFormat="1" ht="12.75">
      <c r="A63" s="451" t="s">
        <v>1011</v>
      </c>
      <c r="B63" s="47"/>
      <c r="C63" s="58"/>
      <c r="D63" s="58" t="s">
        <v>478</v>
      </c>
      <c r="E63" s="126"/>
    </row>
    <row r="64" spans="1:5">
      <c r="A64" s="90"/>
      <c r="B64" s="90"/>
      <c r="C64" s="90"/>
      <c r="D64" s="90"/>
      <c r="E64" s="90"/>
    </row>
    <row r="65" spans="1:5">
      <c r="A65" s="90"/>
      <c r="B65" s="90"/>
      <c r="C65" s="90"/>
      <c r="D65" s="90"/>
      <c r="E65" s="90"/>
    </row>
  </sheetData>
  <mergeCells count="25">
    <mergeCell ref="A48:C48"/>
    <mergeCell ref="A1:E1"/>
    <mergeCell ref="A2:E2"/>
    <mergeCell ref="A3:E4"/>
    <mergeCell ref="A30:A36"/>
    <mergeCell ref="A37:A39"/>
    <mergeCell ref="A11:B11"/>
    <mergeCell ref="A12:B12"/>
    <mergeCell ref="A13:B13"/>
    <mergeCell ref="A14:B14"/>
    <mergeCell ref="C14:E14"/>
    <mergeCell ref="A27:A29"/>
    <mergeCell ref="A7:B7"/>
    <mergeCell ref="A9:B9"/>
    <mergeCell ref="A8:B8"/>
    <mergeCell ref="A10:B10"/>
    <mergeCell ref="A47:E47"/>
    <mergeCell ref="A5:E5"/>
    <mergeCell ref="C7:E7"/>
    <mergeCell ref="C9:E9"/>
    <mergeCell ref="C11:E11"/>
    <mergeCell ref="C13:E13"/>
    <mergeCell ref="C8:E8"/>
    <mergeCell ref="C10:E10"/>
    <mergeCell ref="C12:E12"/>
  </mergeCells>
  <printOptions horizontalCentered="1"/>
  <pageMargins left="0.7" right="0.7" top="0.75" bottom="0.75" header="0.3" footer="0.3"/>
  <pageSetup paperSize="9" scale="68" fitToHeight="2" orientation="portrait" r:id="rId1"/>
  <rowBreaks count="1" manualBreakCount="1">
    <brk id="36"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jFnLetTZvz5O5hFFPTGFNlvU0Tg=</DigestValue>
    </Reference>
    <Reference URI="#idOfficeObject" Type="http://www.w3.org/2000/09/xmldsig#Object">
      <DigestMethod Algorithm="http://www.w3.org/2000/09/xmldsig#sha1"/>
      <DigestValue>J98+JPGa3W5jrFyzroQ1kzqhQek=</DigestValue>
    </Reference>
  </SignedInfo>
  <SignatureValue>
    F8rvsyxT8lZD8Z3Hwd6lETJrVTBpWOx+j9apBfA/2z13UwQI9UbIy4uYVbj0MMYHN1/Am0VQ
    dOLg/QYECmnKgVSlwXLnuIjefO4Nkvs3IvpaI0Gf2u+COoEg0uTOl0v+4V+9x3qdjCrI3zvZ
    rm++S1tFYFjVe3Gf/D73klxZhP0=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5"/>
            <mdssi:RelationshipReference SourceId="rId10"/>
            <mdssi:RelationshipReference SourceId="rId4"/>
            <mdssi:RelationshipReference SourceId="rId9"/>
            <mdssi:RelationshipReference SourceId="rId14"/>
          </Transform>
          <Transform Algorithm="http://www.w3.org/TR/2001/REC-xml-c14n-20010315"/>
        </Transforms>
        <DigestMethod Algorithm="http://www.w3.org/2000/09/xmldsig#sha1"/>
        <DigestValue>e6EjjVXi7TgJboLDkxdcAGm6NaA=</DigestValue>
      </Reference>
      <Reference URI="/xl/calcChain.xml?ContentType=application/vnd.openxmlformats-officedocument.spreadsheetml.calcChain+xml">
        <DigestMethod Algorithm="http://www.w3.org/2000/09/xmldsig#sha1"/>
        <DigestValue>OifFGa21vyKSKaZaoLkujmSy4dc=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10.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9.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JxWuq8HJb2GECGNHEKmvSep53V8=</DigestValue>
      </Reference>
      <Reference URI="/xl/drawings/drawing10.xml?ContentType=application/vnd.openxmlformats-officedocument.drawing+xml">
        <DigestMethod Algorithm="http://www.w3.org/2000/09/xmldsig#sha1"/>
        <DigestValue>iM4X+yJllnTA0qYj7Kl91QgBr1Y=</DigestValue>
      </Reference>
      <Reference URI="/xl/drawings/drawing2.xml?ContentType=application/vnd.openxmlformats-officedocument.drawing+xml">
        <DigestMethod Algorithm="http://www.w3.org/2000/09/xmldsig#sha1"/>
        <DigestValue>vEg/YqbTZ6vjLbCeE4QvL8/DW5Q=</DigestValue>
      </Reference>
      <Reference URI="/xl/drawings/drawing3.xml?ContentType=application/vnd.openxmlformats-officedocument.drawing+xml">
        <DigestMethod Algorithm="http://www.w3.org/2000/09/xmldsig#sha1"/>
        <DigestValue>lYehkRACkhRj60YDnyaM5l9JP00=</DigestValue>
      </Reference>
      <Reference URI="/xl/drawings/drawing4.xml?ContentType=application/vnd.openxmlformats-officedocument.drawing+xml">
        <DigestMethod Algorithm="http://www.w3.org/2000/09/xmldsig#sha1"/>
        <DigestValue>xhE9j6ONsWJz+1EW/r5xLfYnJdE=</DigestValue>
      </Reference>
      <Reference URI="/xl/drawings/drawing5.xml?ContentType=application/vnd.openxmlformats-officedocument.drawing+xml">
        <DigestMethod Algorithm="http://www.w3.org/2000/09/xmldsig#sha1"/>
        <DigestValue>0wDk9JDGKLRqfIbiJ1pWhwFxzCA=</DigestValue>
      </Reference>
      <Reference URI="/xl/drawings/drawing6.xml?ContentType=application/vnd.openxmlformats-officedocument.drawing+xml">
        <DigestMethod Algorithm="http://www.w3.org/2000/09/xmldsig#sha1"/>
        <DigestValue>lk3aeeD/buGeU/cnqzlAnOSEMvw=</DigestValue>
      </Reference>
      <Reference URI="/xl/drawings/drawing7.xml?ContentType=application/vnd.openxmlformats-officedocument.drawing+xml">
        <DigestMethod Algorithm="http://www.w3.org/2000/09/xmldsig#sha1"/>
        <DigestValue>zJfsaISa0RXIGytVB5edQrn/2lU=</DigestValue>
      </Reference>
      <Reference URI="/xl/drawings/drawing8.xml?ContentType=application/vnd.openxmlformats-officedocument.drawing+xml">
        <DigestMethod Algorithm="http://www.w3.org/2000/09/xmldsig#sha1"/>
        <DigestValue>Li+Poxmh2nNBwjM03+SliP5jEkg=</DigestValue>
      </Reference>
      <Reference URI="/xl/drawings/drawing9.xml?ContentType=application/vnd.openxmlformats-officedocument.drawing+xml">
        <DigestMethod Algorithm="http://www.w3.org/2000/09/xmldsig#sha1"/>
        <DigestValue>Qa5nFDIuuFin5QymJm2Jkdi+7Uw=</DigestValue>
      </Reference>
      <Reference URI="/xl/media/image1.png?ContentType=image/png">
        <DigestMethod Algorithm="http://www.w3.org/2000/09/xmldsig#sha1"/>
        <DigestValue>7HLeWRFPtIfwPU1J5b9/JMp46JI=</DigestValue>
      </Reference>
      <Reference URI="/xl/media/image2.jpeg?ContentType=image/jpeg">
        <DigestMethod Algorithm="http://www.w3.org/2000/09/xmldsig#sha1"/>
        <DigestValue>veLPywS3qMttB+SJD540SWbI7Bg=</DigestValue>
      </Reference>
      <Reference URI="/xl/printerSettings/printerSettings1.bin?ContentType=application/vnd.openxmlformats-officedocument.spreadsheetml.printerSettings">
        <DigestMethod Algorithm="http://www.w3.org/2000/09/xmldsig#sha1"/>
        <DigestValue>7QdkKBMv3l7+kt6go+uJrxnk404=</DigestValue>
      </Reference>
      <Reference URI="/xl/printerSettings/printerSettings10.bin?ContentType=application/vnd.openxmlformats-officedocument.spreadsheetml.printerSettings">
        <DigestMethod Algorithm="http://www.w3.org/2000/09/xmldsig#sha1"/>
        <DigestValue>7QdkKBMv3l7+kt6go+uJrxnk404=</DigestValue>
      </Reference>
      <Reference URI="/xl/printerSettings/printerSettings11.bin?ContentType=application/vnd.openxmlformats-officedocument.spreadsheetml.printerSettings">
        <DigestMethod Algorithm="http://www.w3.org/2000/09/xmldsig#sha1"/>
        <DigestValue>q9yQJyqiSjKHTYC1tmkuFNJ2GHw=</DigestValue>
      </Reference>
      <Reference URI="/xl/printerSettings/printerSettings2.bin?ContentType=application/vnd.openxmlformats-officedocument.spreadsheetml.printerSettings">
        <DigestMethod Algorithm="http://www.w3.org/2000/09/xmldsig#sha1"/>
        <DigestValue>q9yQJyqiSjKHTYC1tmkuFNJ2GHw=</DigestValue>
      </Reference>
      <Reference URI="/xl/printerSettings/printerSettings3.bin?ContentType=application/vnd.openxmlformats-officedocument.spreadsheetml.printerSettings">
        <DigestMethod Algorithm="http://www.w3.org/2000/09/xmldsig#sha1"/>
        <DigestValue>ANchXyClFBLpyKoQefPE1+awWbM=</DigestValue>
      </Reference>
      <Reference URI="/xl/printerSettings/printerSettings4.bin?ContentType=application/vnd.openxmlformats-officedocument.spreadsheetml.printerSettings">
        <DigestMethod Algorithm="http://www.w3.org/2000/09/xmldsig#sha1"/>
        <DigestValue>iBtvHTaufCK2MaSz/dBlOO+jCfs=</DigestValue>
      </Reference>
      <Reference URI="/xl/printerSettings/printerSettings5.bin?ContentType=application/vnd.openxmlformats-officedocument.spreadsheetml.printerSettings">
        <DigestMethod Algorithm="http://www.w3.org/2000/09/xmldsig#sha1"/>
        <DigestValue>q9yQJyqiSjKHTYC1tmkuFNJ2GHw=</DigestValue>
      </Reference>
      <Reference URI="/xl/printerSettings/printerSettings6.bin?ContentType=application/vnd.openxmlformats-officedocument.spreadsheetml.printerSettings">
        <DigestMethod Algorithm="http://www.w3.org/2000/09/xmldsig#sha1"/>
        <DigestValue>ANchXyClFBLpyKoQefPE1+awWbM=</DigestValue>
      </Reference>
      <Reference URI="/xl/printerSettings/printerSettings7.bin?ContentType=application/vnd.openxmlformats-officedocument.spreadsheetml.printerSettings">
        <DigestMethod Algorithm="http://www.w3.org/2000/09/xmldsig#sha1"/>
        <DigestValue>iBtvHTaufCK2MaSz/dBlOO+jCfs=</DigestValue>
      </Reference>
      <Reference URI="/xl/printerSettings/printerSettings8.bin?ContentType=application/vnd.openxmlformats-officedocument.spreadsheetml.printerSettings">
        <DigestMethod Algorithm="http://www.w3.org/2000/09/xmldsig#sha1"/>
        <DigestValue>q9yQJyqiSjKHTYC1tmkuFNJ2GHw=</DigestValue>
      </Reference>
      <Reference URI="/xl/printerSettings/printerSettings9.bin?ContentType=application/vnd.openxmlformats-officedocument.spreadsheetml.printerSettings">
        <DigestMethod Algorithm="http://www.w3.org/2000/09/xmldsig#sha1"/>
        <DigestValue>iBtvHTaufCK2MaSz/dBlOO+jCfs=</DigestValue>
      </Reference>
      <Reference URI="/xl/sharedStrings.xml?ContentType=application/vnd.openxmlformats-officedocument.spreadsheetml.sharedStrings+xml">
        <DigestMethod Algorithm="http://www.w3.org/2000/09/xmldsig#sha1"/>
        <DigestValue>fZKo7p8i7RItoywOmZgaRykoqN8=</DigestValue>
      </Reference>
      <Reference URI="/xl/styles.xml?ContentType=application/vnd.openxmlformats-officedocument.spreadsheetml.styles+xml">
        <DigestMethod Algorithm="http://www.w3.org/2000/09/xmldsig#sha1"/>
        <DigestValue>XfptHvRBOHuB078fEm6kMgdgDDc=</DigestValue>
      </Reference>
      <Reference URI="/xl/theme/theme1.xml?ContentType=application/vnd.openxmlformats-officedocument.theme+xml">
        <DigestMethod Algorithm="http://www.w3.org/2000/09/xmldsig#sha1"/>
        <DigestValue>GtilzE0XZSdKy+1FwTyfcxU/vS8=</DigestValue>
      </Reference>
      <Reference URI="/xl/workbook.xml?ContentType=application/vnd.openxmlformats-officedocument.spreadsheetml.sheet.main+xml">
        <DigestMethod Algorithm="http://www.w3.org/2000/09/xmldsig#sha1"/>
        <DigestValue>uCTQxcPWFIhPQekfWDgsYhKtLtE=</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8kVPwk5ISmMV5+U/Bz0CDvBgn7Q=</DigestValue>
      </Reference>
      <Reference URI="/xl/worksheets/_rels/sheet1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Gh6Qt25fDWsEeuIlcT1xrmosXEo=</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TrY5KQLGVU5tY6b8vUB5N4gJDdM=</DigestValue>
      </Reference>
      <Reference URI="/xl/worksheets/sheet10.xml?ContentType=application/vnd.openxmlformats-officedocument.spreadsheetml.worksheet+xml">
        <DigestMethod Algorithm="http://www.w3.org/2000/09/xmldsig#sha1"/>
        <DigestValue>HxKNDz1NN8q1FFGnVTuNAY1QCx8=</DigestValue>
      </Reference>
      <Reference URI="/xl/worksheets/sheet11.xml?ContentType=application/vnd.openxmlformats-officedocument.spreadsheetml.worksheet+xml">
        <DigestMethod Algorithm="http://www.w3.org/2000/09/xmldsig#sha1"/>
        <DigestValue>hmIkA0zPN+VB0/56TE3g+rH6cBI=</DigestValue>
      </Reference>
      <Reference URI="/xl/worksheets/sheet2.xml?ContentType=application/vnd.openxmlformats-officedocument.spreadsheetml.worksheet+xml">
        <DigestMethod Algorithm="http://www.w3.org/2000/09/xmldsig#sha1"/>
        <DigestValue>4gUfwFFhDhyYZ6KmP0xmU9vOfHI=</DigestValue>
      </Reference>
      <Reference URI="/xl/worksheets/sheet3.xml?ContentType=application/vnd.openxmlformats-officedocument.spreadsheetml.worksheet+xml">
        <DigestMethod Algorithm="http://www.w3.org/2000/09/xmldsig#sha1"/>
        <DigestValue>1dj0yAAhwMwdq2L/E9D4ad3LYVc=</DigestValue>
      </Reference>
      <Reference URI="/xl/worksheets/sheet4.xml?ContentType=application/vnd.openxmlformats-officedocument.spreadsheetml.worksheet+xml">
        <DigestMethod Algorithm="http://www.w3.org/2000/09/xmldsig#sha1"/>
        <DigestValue>+sfXov8qvZAHoAtmF9T3QhA+hUc=</DigestValue>
      </Reference>
      <Reference URI="/xl/worksheets/sheet5.xml?ContentType=application/vnd.openxmlformats-officedocument.spreadsheetml.worksheet+xml">
        <DigestMethod Algorithm="http://www.w3.org/2000/09/xmldsig#sha1"/>
        <DigestValue>SqayEz3zAqs1T5gQHfV95JuwgmE=</DigestValue>
      </Reference>
      <Reference URI="/xl/worksheets/sheet6.xml?ContentType=application/vnd.openxmlformats-officedocument.spreadsheetml.worksheet+xml">
        <DigestMethod Algorithm="http://www.w3.org/2000/09/xmldsig#sha1"/>
        <DigestValue>XgENlbY6OfOXcqt41yc8Rbbu2L0=</DigestValue>
      </Reference>
      <Reference URI="/xl/worksheets/sheet7.xml?ContentType=application/vnd.openxmlformats-officedocument.spreadsheetml.worksheet+xml">
        <DigestMethod Algorithm="http://www.w3.org/2000/09/xmldsig#sha1"/>
        <DigestValue>HMl15KYRgu42O+OaJL8TdP76ZwA=</DigestValue>
      </Reference>
      <Reference URI="/xl/worksheets/sheet8.xml?ContentType=application/vnd.openxmlformats-officedocument.spreadsheetml.worksheet+xml">
        <DigestMethod Algorithm="http://www.w3.org/2000/09/xmldsig#sha1"/>
        <DigestValue>Q5ks2p/iq2WncHxIrkz0CTA2ai0=</DigestValue>
      </Reference>
      <Reference URI="/xl/worksheets/sheet9.xml?ContentType=application/vnd.openxmlformats-officedocument.spreadsheetml.worksheet+xml">
        <DigestMethod Algorithm="http://www.w3.org/2000/09/xmldsig#sha1"/>
        <DigestValue>T90owyzlxsMKvvK8tYR/RHOxToo=</DigestValue>
      </Reference>
    </Manifest>
    <SignatureProperties>
      <SignatureProperty Id="idSignatureTime" Target="#idPackageSignature">
        <mdssi:SignatureTime>
          <mdssi:Format>YYYY-MM-DDThh:mm:ssTZD</mdssi:Format>
          <mdssi:Value>2019-01-15T07:46:11Z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18</vt:i4>
      </vt:variant>
    </vt:vector>
  </HeadingPairs>
  <TitlesOfParts>
    <vt:vector size="29" baseType="lpstr">
      <vt:lpstr>Tong quat</vt:lpstr>
      <vt:lpstr>BCthunhap</vt:lpstr>
      <vt:lpstr>BCtinhhinhtaichinh</vt:lpstr>
      <vt:lpstr>BCLCGT_06262</vt:lpstr>
      <vt:lpstr>BCTaiSan_06027</vt:lpstr>
      <vt:lpstr>BCKetQuaHoatDong_06028</vt:lpstr>
      <vt:lpstr>Thongke phi giao dich</vt:lpstr>
      <vt:lpstr>BCDanhMucDauTu_06029</vt:lpstr>
      <vt:lpstr>GiaTriTaiSanRong_06129</vt:lpstr>
      <vt:lpstr>BCHoatDongVay_06026</vt:lpstr>
      <vt:lpstr>Khac_06030</vt:lpstr>
      <vt:lpstr>BCDanhMucDauTu_06029!Print_Area</vt:lpstr>
      <vt:lpstr>BCKetQuaHoatDong_06028!Print_Area</vt:lpstr>
      <vt:lpstr>BCLCGT_06262!Print_Area</vt:lpstr>
      <vt:lpstr>BCTaiSan_06027!Print_Area</vt:lpstr>
      <vt:lpstr>BCthunhap!Print_Area</vt:lpstr>
      <vt:lpstr>BCtinhhinhtaichinh!Print_Area</vt:lpstr>
      <vt:lpstr>GiaTriTaiSanRong_06129!Print_Area</vt:lpstr>
      <vt:lpstr>Khac_06030!Print_Area</vt:lpstr>
      <vt:lpstr>'Thongke phi giao dich'!Print_Area</vt:lpstr>
      <vt:lpstr>'Tong quat'!Print_Area</vt:lpstr>
      <vt:lpstr>BCDanhMucDauTu_06029!Print_Titles</vt:lpstr>
      <vt:lpstr>BCHoatDongVay_06026!Print_Titles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lastModifiedBy>1505040</cp:lastModifiedBy>
  <cp:lastPrinted>2019-01-14T09:19:29Z</cp:lastPrinted>
  <dcterms:created xsi:type="dcterms:W3CDTF">2013-10-21T08:38:47Z</dcterms:created>
  <dcterms:modified xsi:type="dcterms:W3CDTF">2019-01-15T07:46:07Z</dcterms:modified>
</cp:coreProperties>
</file>