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5\02. Feb\06.02\"/>
    </mc:Choice>
  </mc:AlternateContent>
  <xr:revisionPtr revIDLastSave="0" documentId="13_ncr:1_{F318A7AF-B629-4598-9E09-C6B736EDF6F5}" xr6:coauthVersionLast="47" xr6:coauthVersionMax="47" xr10:uidLastSave="{00000000-0000-0000-0000-000000000000}"/>
  <bookViews>
    <workbookView xWindow="-110" yWindow="-110" windowWidth="19420" windowHeight="10420" firstSheet="2"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LogoFMS" sheetId="25" state="hidden" r:id="rId7"/>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D66" i="32" l="1"/>
  <c r="D65" i="32"/>
  <c r="A66" i="32"/>
  <c r="A65" i="32"/>
  <c r="A64" i="32"/>
  <c r="D54" i="32"/>
  <c r="D53" i="32"/>
  <c r="A54" i="32"/>
  <c r="A53" i="32"/>
  <c r="C14" i="32"/>
  <c r="C12" i="32"/>
  <c r="C10" i="32"/>
  <c r="C13" i="32"/>
  <c r="C11" i="32"/>
  <c r="C9" i="32"/>
  <c r="C8" i="32"/>
  <c r="C7" i="32"/>
  <c r="A5" i="32"/>
  <c r="A107" i="29" l="1"/>
  <c r="A106" i="29"/>
  <c r="A105" i="29"/>
  <c r="C14" i="29"/>
  <c r="C12" i="29"/>
  <c r="C10" i="29"/>
  <c r="C13" i="29"/>
  <c r="C11" i="29"/>
  <c r="C9" i="29"/>
  <c r="A5" i="29"/>
  <c r="C8" i="29"/>
  <c r="C7" i="29"/>
  <c r="F19" i="1" l="1"/>
  <c r="D64" i="32" l="1"/>
</calcChain>
</file>

<file path=xl/sharedStrings.xml><?xml version="1.0" encoding="utf-8"?>
<sst xmlns="http://schemas.openxmlformats.org/spreadsheetml/2006/main" count="1104" uniqueCount="903">
  <si>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</si>
  <si>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</si>
  <si>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</si>
  <si>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</si>
  <si>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</si>
  <si>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</si>
  <si>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</si>
  <si>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</si>
  <si>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</si>
  <si>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</si>
  <si>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</si>
  <si>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</si>
  <si>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</si>
  <si>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</si>
  <si>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</si>
  <si>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</si>
  <si>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</si>
  <si>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</si>
  <si>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</si>
  <si>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</si>
  <si>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</si>
  <si>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</si>
  <si>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</si>
  <si>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</si>
  <si>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</si>
  <si>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</si>
  <si>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</si>
  <si>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</si>
  <si>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</si>
  <si>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</si>
  <si>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</si>
  <si>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</si>
  <si>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</si>
  <si>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</si>
  <si>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</si>
  <si>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</si>
  <si>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</si>
  <si>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</si>
  <si>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</si>
  <si>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</si>
  <si>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</si>
  <si>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</si>
  <si>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</si>
  <si>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</si>
  <si>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</si>
  <si>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</si>
  <si>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</si>
  <si>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</si>
  <si>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</si>
  <si>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</si>
  <si>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</si>
  <si>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</si>
  <si>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</si>
  <si>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</si>
  <si>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</si>
  <si>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</si>
  <si>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</si>
  <si>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</si>
  <si>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</si>
  <si>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</si>
  <si>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</si>
  <si>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</si>
  <si>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</si>
  <si>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</si>
  <si>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</si>
  <si>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</si>
  <si>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</si>
  <si>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</si>
  <si>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</si>
  <si>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</si>
  <si>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</si>
  <si>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</si>
  <si>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</si>
  <si>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</si>
  <si>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</si>
  <si>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</si>
  <si>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</si>
  <si>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</si>
  <si>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</si>
  <si>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</si>
  <si>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</si>
  <si>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</si>
  <si>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</si>
  <si>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</si>
  <si>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</si>
  <si>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</si>
  <si>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</si>
  <si>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</si>
  <si>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</si>
  <si>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</si>
  <si>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</si>
  <si>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</si>
  <si>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</si>
  <si>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</si>
  <si>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</si>
  <si>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</si>
  <si>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</si>
  <si>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</si>
  <si>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</si>
  <si>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</si>
  <si>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</si>
  <si>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</si>
  <si>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</si>
  <si>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</si>
  <si>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</si>
  <si>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</si>
  <si>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</si>
  <si>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</si>
  <si>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</si>
  <si>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</si>
  <si>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</si>
  <si>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</si>
  <si>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</si>
  <si>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</si>
  <si>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</si>
  <si>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</si>
  <si>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</si>
  <si>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</si>
  <si>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</si>
  <si>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</si>
  <si>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</si>
  <si>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</si>
  <si>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</si>
  <si>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</si>
  <si>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</si>
  <si>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</si>
  <si>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</si>
  <si>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</si>
  <si>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</si>
  <si>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</si>
  <si>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</si>
  <si>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</si>
  <si>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</si>
  <si>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</si>
  <si>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</si>
  <si>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</si>
  <si>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</si>
  <si>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</si>
  <si>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</si>
  <si>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</si>
  <si>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</si>
  <si>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</si>
  <si>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</si>
  <si>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</si>
  <si>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</si>
  <si>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</si>
  <si>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</si>
  <si>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</si>
  <si>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</si>
  <si>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</si>
  <si>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</si>
  <si>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</si>
  <si>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</si>
  <si>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</si>
  <si>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</si>
  <si>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</si>
  <si>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</si>
  <si>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</si>
  <si>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</si>
  <si>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</si>
  <si>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</si>
  <si>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</si>
  <si>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</si>
  <si>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</si>
  <si>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</si>
  <si>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</si>
  <si>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</si>
  <si>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</si>
  <si>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</si>
  <si>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</si>
  <si>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</si>
  <si>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</si>
  <si>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</si>
  <si>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</si>
  <si>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</si>
  <si>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</si>
  <si>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</si>
  <si>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</si>
  <si>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</si>
  <si>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</si>
  <si>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</si>
  <si>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</si>
  <si>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</si>
  <si>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</si>
  <si>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</si>
  <si>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</si>
  <si>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</si>
  <si>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</si>
  <si>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</si>
  <si>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</si>
  <si>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</si>
  <si>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</si>
  <si>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</si>
  <si>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</si>
  <si>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</si>
  <si>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</si>
  <si>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</si>
  <si>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</si>
  <si>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</si>
  <si>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</si>
  <si>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</si>
  <si>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</si>
  <si>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</si>
  <si>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</si>
  <si>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</si>
  <si>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</si>
  <si>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</si>
  <si>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</si>
  <si>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</si>
  <si>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</si>
  <si>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</si>
  <si>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</si>
  <si>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</si>
  <si>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</si>
  <si>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</si>
  <si>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</si>
  <si>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</si>
  <si>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</si>
  <si>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</si>
  <si>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</si>
  <si>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</si>
  <si>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</si>
  <si>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</si>
  <si>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</si>
  <si>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</si>
  <si>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</si>
  <si>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</si>
  <si>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</si>
  <si>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</si>
  <si>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</si>
  <si>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</si>
  <si>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</si>
  <si>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</si>
  <si>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</si>
  <si>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</si>
  <si>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</si>
  <si>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</si>
  <si>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</si>
  <si>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</si>
  <si>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</si>
  <si>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</si>
  <si>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</si>
  <si>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</si>
  <si>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</si>
  <si>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</si>
  <si>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</si>
  <si>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</si>
  <si>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</si>
  <si>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</si>
  <si>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</si>
  <si>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</si>
  <si>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</si>
  <si>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</si>
  <si>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</si>
  <si>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</si>
  <si>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</si>
  <si>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</si>
  <si>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</si>
  <si>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</si>
  <si>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</si>
  <si>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</si>
  <si>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</si>
  <si>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</si>
  <si>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</si>
  <si>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</si>
  <si>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</si>
  <si>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</si>
  <si>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</si>
  <si>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</si>
  <si>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</si>
  <si>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</si>
  <si>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</si>
  <si>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</si>
  <si>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</si>
  <si>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</si>
  <si>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</si>
  <si>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</si>
  <si>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</si>
  <si>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</si>
  <si>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</si>
  <si>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</si>
  <si>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</si>
  <si>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</si>
  <si>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</si>
  <si>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</si>
  <si>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</si>
  <si>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</si>
  <si>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</si>
  <si>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</si>
  <si>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</si>
  <si>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</si>
  <si>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</si>
  <si>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</si>
  <si>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</si>
  <si>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</si>
  <si>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</si>
  <si>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</si>
  <si>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</si>
  <si>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</si>
  <si>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</si>
  <si>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</si>
  <si>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</si>
  <si>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</si>
  <si>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</si>
  <si>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</si>
  <si>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</si>
  <si>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</si>
  <si>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</si>
  <si>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</si>
  <si>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</si>
  <si>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</si>
  <si>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</si>
  <si>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</si>
  <si>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</si>
  <si>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</si>
  <si>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</si>
  <si>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</si>
  <si>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</si>
  <si>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</si>
  <si>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</si>
  <si>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</si>
  <si>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</si>
  <si>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</si>
  <si>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</si>
  <si>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</si>
  <si>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</si>
  <si>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</si>
  <si>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</si>
  <si>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</si>
  <si>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</si>
  <si>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</si>
  <si>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</si>
  <si>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</si>
  <si>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</si>
  <si>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</si>
  <si>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</si>
  <si>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</si>
  <si>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</si>
  <si>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</si>
  <si>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</si>
  <si>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</si>
  <si>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</si>
  <si>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</si>
  <si>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</si>
  <si>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</si>
  <si>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</si>
  <si>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</si>
  <si>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</si>
  <si>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</si>
  <si>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</si>
  <si>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</si>
  <si>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</si>
  <si>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</si>
  <si>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</si>
  <si>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</si>
  <si>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</si>
  <si>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</si>
  <si>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</si>
  <si>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</si>
  <si>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</si>
  <si>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</si>
  <si>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</si>
  <si>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</si>
  <si>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</si>
  <si>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</si>
  <si>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</si>
  <si>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</si>
  <si>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</si>
  <si>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</si>
  <si>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</si>
  <si>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</si>
  <si>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</si>
  <si>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</si>
  <si>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</si>
  <si>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</si>
  <si>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</si>
  <si>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</si>
  <si>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</si>
  <si>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</si>
  <si>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</si>
  <si>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</si>
  <si>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</si>
  <si>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</si>
  <si>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</si>
  <si>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</si>
  <si>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</si>
  <si>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</si>
  <si>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</si>
  <si>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</si>
  <si>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</si>
  <si>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</si>
  <si>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</si>
  <si>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</si>
  <si>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</si>
  <si>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</si>
  <si>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</si>
  <si>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</si>
  <si>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</si>
  <si>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</si>
  <si>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</si>
  <si>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</si>
  <si>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</si>
  <si>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</si>
  <si>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</si>
  <si>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</si>
  <si>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</si>
  <si>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</si>
  <si>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</si>
  <si>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</si>
  <si>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</si>
  <si>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</si>
  <si>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</si>
  <si>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</si>
  <si>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</si>
  <si>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</si>
  <si>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TCX124013</t>
  </si>
  <si>
    <t>2251.1.9</t>
  </si>
  <si>
    <t>1.10</t>
  </si>
  <si>
    <t>TNG122017</t>
  </si>
  <si>
    <t>2251.1.10</t>
  </si>
  <si>
    <t>1.11</t>
  </si>
  <si>
    <t>VBA122001</t>
  </si>
  <si>
    <t>2251.1.11</t>
  </si>
  <si>
    <t>1.12</t>
  </si>
  <si>
    <t>VIC123028</t>
  </si>
  <si>
    <t>2251.1.12</t>
  </si>
  <si>
    <t>1.13</t>
  </si>
  <si>
    <t>VND122014</t>
  </si>
  <si>
    <t>2251.1.13</t>
  </si>
  <si>
    <t>1.14</t>
  </si>
  <si>
    <t>VPI124001</t>
  </si>
  <si>
    <t>2251.1.14</t>
  </si>
  <si>
    <t>1.15</t>
  </si>
  <si>
    <t>VRE12007</t>
  </si>
  <si>
    <t>2251.1.15</t>
  </si>
  <si>
    <t>2</t>
  </si>
  <si>
    <t>Trái phiếu chưa niêm yết
Unlisted Bonds</t>
  </si>
  <si>
    <t>2251.2</t>
  </si>
  <si>
    <t>2.1</t>
  </si>
  <si>
    <t>CII12403</t>
  </si>
  <si>
    <t>2251.2.1</t>
  </si>
  <si>
    <t>2.2</t>
  </si>
  <si>
    <t>KBC12401</t>
  </si>
  <si>
    <t>2251.2.2</t>
  </si>
  <si>
    <t>2.3</t>
  </si>
  <si>
    <t>KDH12101</t>
  </si>
  <si>
    <t>2251.2.3</t>
  </si>
  <si>
    <t>2.4</t>
  </si>
  <si>
    <t>KDH12202</t>
  </si>
  <si>
    <t>2251.2.4</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</si>
  <si>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</si>
  <si>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</si>
  <si>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</si>
  <si>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</si>
  <si>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</si>
  <si>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</si>
  <si>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</si>
  <si>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</si>
  <si>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</si>
  <si>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</si>
  <si>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</si>
  <si>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</si>
  <si>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</si>
  <si>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</si>
  <si>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</si>
  <si>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</si>
  <si>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</si>
  <si>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</si>
  <si>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</si>
  <si>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</si>
  <si>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</si>
  <si>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</si>
  <si>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</si>
  <si>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</si>
  <si>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</si>
  <si>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</si>
  <si>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</si>
  <si>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</si>
  <si>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</si>
  <si>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</si>
  <si>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</si>
  <si>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</si>
  <si>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</si>
  <si>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</si>
  <si>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</si>
  <si>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</si>
  <si>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</si>
  <si>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</si>
  <si>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</si>
  <si>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</si>
  <si>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</si>
  <si>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</si>
  <si>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</si>
  <si>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</si>
  <si>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</si>
  <si>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</si>
  <si>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</si>
  <si>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</si>
  <si>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</si>
  <si>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</si>
  <si>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</si>
  <si>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</si>
  <si>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</si>
  <si>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</si>
  <si>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</si>
  <si>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</si>
  <si>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</si>
  <si>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</si>
  <si>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</si>
  <si>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</si>
  <si>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</si>
  <si>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</si>
  <si>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</si>
  <si>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</si>
  <si>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</si>
  <si>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</si>
  <si>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</si>
  <si>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</si>
  <si>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</si>
  <si>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</si>
  <si>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</si>
  <si>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</si>
  <si>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</si>
  <si>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</si>
  <si>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</si>
  <si>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</si>
  <si>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</si>
  <si>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</si>
  <si>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</si>
  <si>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</si>
  <si>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</si>
  <si>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</si>
  <si>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</si>
  <si>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</si>
  <si>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</si>
  <si>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</si>
  <si>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</si>
  <si>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</si>
  <si>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</si>
  <si>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</si>
  <si>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</si>
  <si>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</si>
  <si>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</si>
  <si>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</si>
  <si>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</si>
  <si>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</si>
  <si>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</si>
  <si>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</si>
  <si>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</si>
  <si>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</si>
  <si>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</si>
  <si>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</si>
  <si>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</si>
  <si>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</si>
  <si>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</si>
  <si>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</si>
  <si>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</si>
  <si>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</si>
  <si>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</si>
  <si>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</si>
  <si>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</si>
  <si>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</si>
  <si>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</si>
  <si>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</si>
  <si>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</si>
  <si>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</si>
  <si>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</si>
  <si>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</si>
  <si>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</si>
  <si>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</si>
  <si>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</si>
  <si>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</si>
  <si>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</si>
  <si>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</si>
  <si>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</si>
  <si>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</si>
  <si>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</si>
  <si>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</si>
  <si>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</si>
  <si>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</si>
  <si>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</si>
  <si>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</si>
  <si>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</si>
  <si>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</si>
  <si>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</si>
  <si>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</si>
  <si>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</si>
  <si>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</si>
  <si>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</si>
  <si>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</si>
  <si>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</si>
  <si>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</si>
  <si>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</si>
  <si>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</si>
  <si>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</si>
  <si>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</si>
  <si>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</si>
  <si>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</si>
  <si>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</si>
  <si>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</si>
  <si>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</si>
  <si>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</si>
  <si>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</si>
  <si>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</si>
  <si>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</si>
  <si>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</si>
  <si>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</si>
  <si>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</si>
  <si>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</si>
  <si>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</si>
  <si>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</si>
  <si>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</si>
  <si>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</si>
  <si>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</si>
  <si>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</si>
  <si>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</si>
  <si>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</si>
  <si>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</si>
  <si>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</si>
  <si>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</si>
  <si>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</si>
  <si>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</si>
  <si>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</si>
  <si>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</si>
  <si>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</si>
  <si>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</si>
  <si>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</si>
  <si>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</si>
  <si>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</si>
  <si>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</si>
  <si>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</si>
  <si>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</si>
  <si>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</si>
  <si>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</si>
  <si>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</si>
  <si>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</si>
  <si>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</si>
  <si>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</si>
  <si>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</si>
  <si>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</si>
  <si>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</si>
  <si>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</si>
  <si>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</si>
  <si>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</si>
  <si>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</si>
  <si>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</si>
  <si>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</si>
  <si>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</si>
  <si>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</si>
  <si>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</si>
  <si>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</si>
  <si>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</si>
  <si>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</si>
  <si>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</si>
  <si>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</si>
  <si>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</si>
  <si>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</si>
  <si>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</si>
  <si>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</si>
  <si>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</si>
  <si>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</si>
  <si>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</si>
  <si>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</si>
  <si>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</si>
  <si>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</si>
  <si>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</si>
  <si>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</si>
  <si>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</si>
  <si>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</si>
  <si>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</si>
  <si>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</si>
  <si>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</si>
  <si>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</si>
  <si>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</si>
  <si>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</si>
  <si>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</si>
  <si>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</si>
  <si>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</si>
  <si>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</si>
  <si>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</si>
  <si>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</si>
  <si>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</si>
  <si>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</si>
  <si>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</si>
  <si>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</si>
  <si>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</si>
  <si>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</si>
  <si>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</si>
  <si>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</si>
  <si>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</si>
  <si>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</si>
  <si>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</si>
  <si>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</si>
  <si>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</si>
  <si>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</si>
  <si>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</si>
  <si>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</si>
  <si>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</si>
  <si>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</si>
  <si>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</si>
  <si>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</si>
  <si>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</si>
  <si>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</si>
  <si>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</si>
  <si>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</si>
  <si>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</si>
  <si>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</si>
  <si>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</si>
  <si>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</si>
  <si>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</si>
  <si>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</si>
  <si>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</si>
  <si>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</si>
  <si>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</si>
  <si>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</si>
  <si>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</si>
  <si>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</si>
  <si>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</si>
  <si>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</si>
  <si>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</si>
  <si>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</si>
  <si>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</si>
  <si>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</si>
  <si>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</si>
  <si>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</si>
  <si>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</si>
  <si>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</si>
  <si>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</si>
  <si>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</si>
  <si>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</si>
  <si>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</si>
  <si>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</si>
  <si>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</si>
  <si>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</si>
  <si>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</si>
  <si>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</si>
  <si>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</si>
  <si>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</si>
  <si>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</si>
  <si>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</si>
  <si>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</si>
  <si>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</si>
  <si>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</si>
  <si>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</si>
  <si>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</si>
  <si>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</si>
  <si>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</si>
  <si>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</si>
  <si>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</si>
  <si>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</si>
  <si>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</si>
  <si>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</si>
  <si>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</si>
  <si>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</si>
  <si>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</si>
  <si>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</si>
  <si>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</si>
  <si>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</si>
  <si>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</si>
  <si>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</si>
  <si>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</si>
  <si>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</si>
  <si>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</si>
  <si>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</si>
  <si>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</si>
  <si>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</si>
  <si>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</si>
  <si>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</si>
  <si>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</si>
  <si>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</si>
  <si>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</si>
  <si>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</si>
  <si>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</si>
  <si>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</si>
  <si>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</si>
  <si>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</si>
  <si>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</si>
  <si>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</si>
  <si>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</si>
  <si>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</si>
  <si>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</si>
  <si>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</si>
  <si>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</si>
  <si>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</si>
  <si>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</si>
  <si>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</si>
  <si>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</si>
  <si>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</si>
  <si>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</si>
  <si>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</si>
  <si>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</si>
  <si>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</si>
  <si>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</si>
  <si>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</si>
  <si>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</si>
  <si>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</si>
  <si>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</si>
  <si>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</si>
  <si>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</si>
  <si>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</si>
  <si>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</si>
  <si>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</si>
  <si>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</si>
  <si>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</si>
  <si>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</si>
  <si>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</si>
  <si>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</si>
  <si>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</si>
  <si>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</si>
  <si>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</si>
  <si>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</si>
  <si>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</si>
  <si>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</si>
  <si>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</si>
  <si>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</si>
  <si>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</si>
  <si>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</si>
  <si>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</si>
  <si>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</si>
  <si>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</si>
  <si>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</si>
  <si>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</si>
  <si>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</si>
  <si>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</si>
  <si>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</si>
  <si>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</si>
  <si>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</si>
  <si>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</si>
  <si>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</si>
  <si>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</si>
  <si>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</si>
  <si>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</si>
  <si>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</si>
  <si>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</si>
  <si>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</si>
  <si>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</si>
  <si>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</si>
  <si>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</si>
  <si>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</si>
  <si>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</si>
  <si>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</si>
  <si>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</si>
  <si>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</si>
  <si>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</si>
  <si>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</si>
  <si>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</si>
  <si>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</si>
  <si>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</si>
  <si>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</si>
  <si>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</si>
  <si>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</si>
  <si>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</si>
  <si>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</si>
  <si>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</si>
  <si>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</si>
  <si>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</si>
  <si>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</si>
  <si>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</si>
  <si>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</si>
  <si>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</si>
  <si>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</si>
  <si>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</si>
  <si>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</si>
  <si>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</si>
  <si>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</si>
  <si>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</si>
  <si>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</si>
  <si>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</si>
  <si>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</si>
  <si>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</si>
  <si>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</si>
  <si>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</si>
  <si>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</si>
  <si>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</si>
  <si>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</si>
  <si>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</si>
  <si>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</si>
  <si>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</si>
  <si>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</si>
  <si>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</si>
  <si>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</si>
  <si>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</si>
  <si>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</si>
  <si>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2025
/ As at 31 Jan 2025</t>
  </si>
  <si>
    <t>Tháng 01 năm 2025
/ Jan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</si>
  <si>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</si>
  <si>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</si>
  <si>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</si>
  <si>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</si>
  <si>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02 năm 2025</t>
  </si>
  <si>
    <t>03 Feb 2025</t>
  </si>
  <si>
    <t>Vũ Quang Phan</t>
  </si>
  <si>
    <t>Lê Hoàng Anh</t>
  </si>
  <si>
    <t>Phó phòng Dịch vụ nghiệp vụ giám sát Quỹ</t>
  </si>
  <si>
    <t>Quyền Giám đốc nghiệp vụ hỗ trợ đầu tư</t>
  </si>
  <si>
    <t>Ngày 31 tháng 01 năm 2025
 As at 31 Jan 2025</t>
  </si>
  <si>
    <t>Ngày 31 tháng 12 năm 2024
 As at 31 Dec 2024</t>
  </si>
  <si>
    <t>Tháng 01 năm 2025
Jan 2025</t>
  </si>
  <si>
    <t>Tháng 12 năm 2024
Dec 2024</t>
  </si>
  <si>
    <t>DC Bond Fund (DCBF)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</si>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</sst>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96">
    <xf numFmtId="0" fontId="0" fillId="0" borderId="0" xfId="0"/>
    <xf numFmtId="0" fontId="5" fillId="0" borderId="0" xfId="0" applyFont="1"/>
    <xf numFmtId="0" fontId="6" fillId="3" borderId="0" xfId="0" applyFont="1" applyFill="1"/>
    <xf numFmtId="0" fontId="7" fillId="3" borderId="0" xfId="0" applyFont="1" applyFill="1"/>
    <xf numFmtId="0" fontId="6" fillId="3" borderId="0" xfId="0" applyFont="1" applyFill="1" applyAlignment="1">
      <alignment vertical="center" wrapText="1"/>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protection locked="0"/>
    </xf>
    <xf numFmtId="165" fontId="13" fillId="3" borderId="0" xfId="13" applyNumberFormat="1" applyFont="1" applyFill="1">
      <protection locked="0"/>
    </xf>
    <xf numFmtId="0" fontId="12" fillId="3" borderId="0" xfId="11" applyFont="1" applyFill="1"/>
    <xf numFmtId="165" fontId="12" fillId="3" borderId="0" xfId="13" applyNumberFormat="1" applyFont="1" applyFill="1">
      <protection locked="0"/>
    </xf>
    <xf numFmtId="0" fontId="13" fillId="3" borderId="0" xfId="12" applyFont="1" applyFill="1" applyAlignment="1">
      <alignment horizontal="center"/>
    </xf>
    <xf numFmtId="0" fontId="13" fillId="3" borderId="0" xfId="12" applyFont="1" applyFill="1"/>
    <xf numFmtId="0" fontId="13" fillId="3" borderId="0" xfId="16" applyFont="1" applyFill="1" applyAlignment="1">
      <alignment horizontal="center" vertical="center"/>
    </xf>
    <xf numFmtId="0" fontId="13" fillId="3" borderId="0" xfId="16" applyFont="1" applyFill="1" applyAlignment="1">
      <alignment vertical="center"/>
    </xf>
    <xf numFmtId="0" fontId="7" fillId="3" borderId="0" xfId="0" applyFont="1" applyFill="1" applyAlignment="1">
      <alignment horizontal="lef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3"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6" fillId="3" borderId="0" xfId="12" applyFont="1" applyFill="1" applyAlignment="1">
      <alignment horizontal="center"/>
    </xf>
    <xf numFmtId="0" fontId="13" fillId="3" borderId="5" xfId="12" applyFont="1" applyFill="1" applyBorder="1"/>
    <xf numFmtId="0" fontId="6" fillId="3" borderId="5" xfId="12" applyFont="1" applyFill="1" applyBorder="1"/>
    <xf numFmtId="4" fontId="20" fillId="9" borderId="16" xfId="0" applyNumberFormat="1" applyFont="1" applyFill="1" applyBorder="1" applyAlignment="1" applyProtection="1">
      <alignment horizontal="center" vertical="center" wrapText="1"/>
      <protection locked="0"/>
    </xf>
    <xf numFmtId="10" fontId="21" fillId="11" borderId="18" xfId="0" applyNumberFormat="1" applyFont="1" applyFill="1" applyBorder="1" applyAlignment="1" applyProtection="1">
      <alignment horizontal="right" vertical="center" wrapText="1"/>
      <protection locked="0"/>
    </xf>
    <xf numFmtId="165" fontId="22" fillId="12" borderId="19" xfId="0" applyNumberFormat="1" applyFont="1" applyFill="1" applyBorder="1" applyAlignment="1" applyProtection="1">
      <alignment horizontal="right" vertical="center" wrapText="1"/>
      <protection locked="0"/>
    </xf>
    <xf numFmtId="0" fontId="23" fillId="14" borderId="21" xfId="0" applyNumberFormat="1" applyFont="1" applyFill="1" applyBorder="1" applyAlignment="1" applyProtection="1">
      <alignment horizontal="center" vertical="center" wrapText="1"/>
      <protection locked="0"/>
    </xf>
    <xf numFmtId="10" fontId="24" fillId="15" borderId="22" xfId="0" applyNumberFormat="1" applyFont="1" applyFill="1" applyBorder="1" applyAlignment="1" applyProtection="1">
      <alignment horizontal="right" vertical="center" wrapText="1"/>
      <protection locked="0"/>
    </xf>
    <xf numFmtId="165" fontId="25" fillId="16" borderId="23"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27" fillId="3" borderId="0" xfId="0" applyFont="1" applyFill="1"/>
    <xf numFmtId="0" fontId="29" fillId="3" borderId="0" xfId="0" applyFont="1" applyFill="1" applyAlignment="1">
      <alignment vertical="center"/>
    </xf>
    <xf numFmtId="0" fontId="29" fillId="3" borderId="0" xfId="0" applyFont="1" applyFill="1"/>
    <xf numFmtId="0" fontId="27" fillId="3" borderId="0" xfId="0" applyFont="1" applyFill="1" applyAlignment="1">
      <alignment vertical="center"/>
    </xf>
    <xf numFmtId="0" fontId="31" fillId="3" borderId="0" xfId="16" applyFont="1" applyFill="1" applyAlignment="1">
      <alignment horizontal="center" vertical="center"/>
    </xf>
    <xf numFmtId="0" fontId="31" fillId="3" borderId="0" xfId="16" applyFont="1" applyFill="1" applyAlignment="1">
      <alignment vertical="center"/>
    </xf>
    <xf numFmtId="0" fontId="26" fillId="3" borderId="0" xfId="16" applyFont="1" applyFill="1" applyAlignment="1">
      <alignment horizontal="center" vertical="center"/>
    </xf>
    <xf numFmtId="0" fontId="26" fillId="3" borderId="0" xfId="16" applyFont="1" applyFill="1" applyAlignment="1">
      <alignment vertical="center"/>
    </xf>
    <xf numFmtId="0" fontId="26" fillId="2" borderId="9" xfId="6" applyFont="1" applyFill="1" applyBorder="1" applyAlignment="1">
      <alignment horizontal="center" vertical="center" wrapText="1"/>
    </xf>
    <xf numFmtId="165" fontId="26" fillId="2" borderId="9" xfId="7" applyNumberFormat="1" applyFont="1" applyFill="1" applyBorder="1" applyAlignment="1" applyProtection="1">
      <alignment horizontal="center" vertical="center" wrapText="1"/>
      <protection locked="0"/>
    </xf>
    <xf numFmtId="165" fontId="26" fillId="2" borderId="9" xfId="10" applyNumberFormat="1" applyFont="1" applyFill="1" applyBorder="1" applyAlignment="1" applyProtection="1">
      <alignment horizontal="center" vertical="center" wrapText="1"/>
    </xf>
    <xf numFmtId="0" fontId="26" fillId="14" borderId="21" xfId="0" applyNumberFormat="1" applyFont="1" applyFill="1" applyBorder="1" applyAlignment="1" applyProtection="1">
      <alignment horizontal="center" vertical="center" wrapText="1"/>
      <protection locked="0"/>
    </xf>
    <xf numFmtId="0" fontId="26" fillId="13" borderId="20" xfId="0" applyNumberFormat="1" applyFont="1" applyFill="1" applyBorder="1" applyAlignment="1" applyProtection="1">
      <alignment horizontal="left" vertical="center" wrapText="1"/>
      <protection locked="0"/>
    </xf>
    <xf numFmtId="165" fontId="26" fillId="16" borderId="23" xfId="0" applyNumberFormat="1" applyFont="1" applyFill="1" applyBorder="1" applyAlignment="1" applyProtection="1">
      <alignment horizontal="right" vertical="center" wrapText="1"/>
      <protection locked="0"/>
    </xf>
    <xf numFmtId="10" fontId="26" fillId="15" borderId="22" xfId="0" applyNumberFormat="1" applyFont="1" applyFill="1" applyBorder="1" applyAlignment="1" applyProtection="1">
      <alignment horizontal="right" vertical="center" wrapText="1"/>
      <protection locked="0"/>
    </xf>
    <xf numFmtId="4" fontId="27" fillId="9" borderId="16" xfId="0" applyNumberFormat="1" applyFont="1" applyFill="1" applyBorder="1" applyAlignment="1" applyProtection="1">
      <alignment horizontal="center" vertical="center" wrapText="1"/>
      <protection locked="0"/>
    </xf>
    <xf numFmtId="4" fontId="27" fillId="8" borderId="15" xfId="0" applyNumberFormat="1" applyFont="1" applyFill="1" applyBorder="1" applyAlignment="1" applyProtection="1">
      <alignment horizontal="left" vertical="center" wrapText="1"/>
      <protection locked="0"/>
    </xf>
    <xf numFmtId="165" fontId="27" fillId="12" borderId="19" xfId="0" applyNumberFormat="1" applyFont="1" applyFill="1" applyBorder="1" applyAlignment="1" applyProtection="1">
      <alignment horizontal="right" vertical="center" wrapText="1"/>
      <protection locked="0"/>
    </xf>
    <xf numFmtId="10" fontId="27" fillId="11" borderId="18" xfId="0" applyNumberFormat="1" applyFont="1" applyFill="1" applyBorder="1" applyAlignment="1" applyProtection="1">
      <alignment horizontal="right" vertical="center" wrapText="1"/>
      <protection locked="0"/>
    </xf>
    <xf numFmtId="43" fontId="27" fillId="17" borderId="24" xfId="0" applyNumberFormat="1" applyFont="1" applyFill="1" applyBorder="1" applyAlignment="1" applyProtection="1">
      <alignment horizontal="right" vertical="center" wrapText="1"/>
      <protection locked="0"/>
    </xf>
    <xf numFmtId="0" fontId="32" fillId="3" borderId="0" xfId="0" applyFont="1" applyFill="1" applyAlignment="1">
      <alignment vertical="center"/>
    </xf>
    <xf numFmtId="0" fontId="27" fillId="3" borderId="0" xfId="0" applyFont="1" applyFill="1" applyAlignment="1">
      <alignment horizontal="left" vertical="center"/>
    </xf>
    <xf numFmtId="0" fontId="28" fillId="3" borderId="0" xfId="1" applyFont="1" applyFill="1" applyAlignment="1">
      <alignment vertical="center"/>
    </xf>
    <xf numFmtId="0" fontId="28" fillId="3" borderId="0" xfId="0" applyFont="1" applyFill="1" applyAlignment="1">
      <alignment horizontal="left" vertical="center"/>
    </xf>
    <xf numFmtId="0" fontId="28" fillId="3" borderId="0" xfId="0" applyFont="1" applyFill="1"/>
    <xf numFmtId="0" fontId="27" fillId="3" borderId="8" xfId="0" applyFont="1" applyFill="1" applyBorder="1" applyAlignment="1">
      <alignment horizontal="left" vertical="center"/>
    </xf>
    <xf numFmtId="0" fontId="26" fillId="3" borderId="5" xfId="0" applyFont="1" applyFill="1" applyBorder="1" applyAlignment="1">
      <alignment horizontal="left" vertical="center"/>
    </xf>
    <xf numFmtId="0" fontId="27" fillId="3" borderId="5" xfId="0" applyFont="1" applyFill="1" applyBorder="1" applyAlignment="1">
      <alignment horizontal="left" vertical="center"/>
    </xf>
    <xf numFmtId="0" fontId="26" fillId="3" borderId="0" xfId="0" applyFont="1" applyFill="1" applyAlignment="1">
      <alignment horizontal="left" vertical="center"/>
    </xf>
    <xf numFmtId="0" fontId="27" fillId="3" borderId="0" xfId="0" applyFont="1" applyFill="1" applyBorder="1" applyAlignment="1">
      <alignment horizontal="left" vertical="center"/>
    </xf>
    <xf numFmtId="0" fontId="29" fillId="0" borderId="0" xfId="0" applyFont="1" applyAlignment="1">
      <alignment vertical="center"/>
    </xf>
    <xf numFmtId="0" fontId="30" fillId="3" borderId="0" xfId="0" applyFont="1" applyFill="1" applyAlignment="1">
      <alignment horizontal="left" vertical="center"/>
    </xf>
    <xf numFmtId="0" fontId="30" fillId="3" borderId="0" xfId="0" applyFont="1" applyFill="1" applyAlignment="1">
      <alignment horizontal="left" vertical="center"/>
    </xf>
    <xf numFmtId="0" fontId="31" fillId="3" borderId="0" xfId="2" applyFont="1" applyFill="1" applyAlignment="1">
      <alignment horizontal="center" vertical="center"/>
    </xf>
    <xf numFmtId="0" fontId="31" fillId="3" borderId="0" xfId="2" applyFont="1" applyFill="1" applyAlignment="1">
      <alignment vertical="center"/>
    </xf>
    <xf numFmtId="0" fontId="26" fillId="7" borderId="9" xfId="14" applyFont="1" applyFill="1" applyBorder="1" applyAlignment="1">
      <alignment horizontal="center" vertical="center" wrapText="1"/>
    </xf>
    <xf numFmtId="0" fontId="26" fillId="7" borderId="9" xfId="0" applyFont="1" applyFill="1" applyBorder="1" applyAlignment="1">
      <alignment horizontal="center" vertical="center" wrapText="1"/>
    </xf>
    <xf numFmtId="0" fontId="26" fillId="7" borderId="9" xfId="0" applyFont="1" applyFill="1" applyBorder="1" applyAlignment="1">
      <alignment horizontal="center" vertical="center"/>
    </xf>
    <xf numFmtId="49" fontId="26" fillId="7" borderId="9" xfId="14" applyNumberFormat="1" applyFont="1" applyFill="1" applyBorder="1" applyAlignment="1">
      <alignment horizontal="left" vertical="center" wrapText="1"/>
    </xf>
    <xf numFmtId="49" fontId="26" fillId="7" borderId="9" xfId="14" applyNumberFormat="1" applyFont="1" applyFill="1" applyBorder="1" applyAlignment="1">
      <alignment horizontal="center" vertical="center" wrapText="1"/>
    </xf>
    <xf numFmtId="41" fontId="26" fillId="7" borderId="9" xfId="22" applyNumberFormat="1" applyFont="1" applyFill="1" applyBorder="1" applyAlignment="1">
      <alignment horizontal="left"/>
    </xf>
    <xf numFmtId="0" fontId="31" fillId="0" borderId="0" xfId="0" applyFont="1" applyAlignment="1">
      <alignment vertical="center"/>
    </xf>
    <xf numFmtId="0" fontId="27" fillId="5" borderId="9" xfId="15" applyFont="1" applyBorder="1" applyAlignment="1">
      <alignment horizontal="center" vertical="center"/>
    </xf>
    <xf numFmtId="49" fontId="27" fillId="5" borderId="9" xfId="14" applyNumberFormat="1" applyFont="1" applyBorder="1" applyAlignment="1">
      <alignment horizontal="left" vertical="center" wrapText="1"/>
    </xf>
    <xf numFmtId="49" fontId="27" fillId="5" borderId="9" xfId="14" applyNumberFormat="1" applyFont="1" applyBorder="1" applyAlignment="1">
      <alignment horizontal="center" vertical="center" wrapText="1"/>
    </xf>
    <xf numFmtId="41" fontId="27" fillId="5" borderId="9" xfId="22" applyNumberFormat="1" applyFont="1" applyBorder="1"/>
    <xf numFmtId="0" fontId="27" fillId="0" borderId="9" xfId="0" applyFont="1" applyBorder="1" applyAlignment="1">
      <alignment horizontal="left"/>
    </xf>
    <xf numFmtId="41" fontId="27" fillId="0" borderId="9" xfId="0" applyNumberFormat="1" applyFont="1" applyBorder="1" applyAlignment="1">
      <alignment horizontal="left"/>
    </xf>
    <xf numFmtId="0" fontId="28" fillId="5" borderId="9" xfId="15" applyFont="1" applyBorder="1" applyAlignment="1">
      <alignment horizontal="center" vertical="center"/>
    </xf>
    <xf numFmtId="49" fontId="28" fillId="5" borderId="9" xfId="14" applyNumberFormat="1" applyFont="1" applyBorder="1" applyAlignment="1">
      <alignment horizontal="left" vertical="center" wrapText="1"/>
    </xf>
    <xf numFmtId="49" fontId="28" fillId="5" borderId="9" xfId="14" applyNumberFormat="1" applyFont="1" applyBorder="1" applyAlignment="1">
      <alignment horizontal="center" vertical="center" wrapText="1"/>
    </xf>
    <xf numFmtId="0" fontId="28" fillId="3" borderId="9" xfId="15" applyFont="1" applyFill="1" applyBorder="1" applyAlignment="1">
      <alignment horizontal="center" vertical="center"/>
    </xf>
    <xf numFmtId="49" fontId="28" fillId="3" borderId="9" xfId="14" applyNumberFormat="1" applyFont="1" applyFill="1" applyBorder="1" applyAlignment="1">
      <alignment horizontal="left" vertical="center" wrapText="1"/>
    </xf>
    <xf numFmtId="49" fontId="28" fillId="3" borderId="9" xfId="14" applyNumberFormat="1" applyFont="1" applyFill="1" applyBorder="1" applyAlignment="1">
      <alignment horizontal="center" vertical="center" wrapText="1"/>
    </xf>
    <xf numFmtId="41" fontId="26" fillId="7" borderId="9" xfId="22" applyNumberFormat="1" applyFont="1" applyFill="1" applyBorder="1"/>
    <xf numFmtId="0" fontId="27" fillId="3" borderId="9" xfId="15" applyFont="1" applyFill="1" applyBorder="1" applyAlignment="1">
      <alignment horizontal="center" vertical="center"/>
    </xf>
    <xf numFmtId="0" fontId="27" fillId="5" borderId="9" xfId="14" applyFont="1" applyBorder="1" applyAlignment="1">
      <alignment horizontal="left" vertical="center" wrapText="1"/>
    </xf>
    <xf numFmtId="0" fontId="28" fillId="5" borderId="9" xfId="14" applyFont="1" applyBorder="1" applyAlignment="1">
      <alignment horizontal="left" vertical="center" wrapText="1"/>
    </xf>
    <xf numFmtId="0" fontId="28" fillId="0" borderId="9" xfId="4" applyFont="1" applyBorder="1" applyAlignment="1">
      <alignment horizontal="left" vertical="center" wrapText="1"/>
    </xf>
    <xf numFmtId="0" fontId="26" fillId="7" borderId="9" xfId="15" applyFont="1" applyFill="1" applyBorder="1" applyAlignment="1">
      <alignment horizontal="center" vertical="center"/>
    </xf>
    <xf numFmtId="0" fontId="33" fillId="0" borderId="0" xfId="0" applyFont="1" applyAlignment="1">
      <alignment vertical="center"/>
    </xf>
    <xf numFmtId="0" fontId="27" fillId="0" borderId="9" xfId="0" applyFont="1" applyBorder="1" applyAlignment="1">
      <alignment horizontal="center" vertical="center"/>
    </xf>
    <xf numFmtId="0" fontId="31" fillId="3" borderId="5" xfId="0" applyFont="1" applyFill="1" applyBorder="1" applyAlignment="1">
      <alignment vertical="center"/>
    </xf>
    <xf numFmtId="0" fontId="29" fillId="3" borderId="5" xfId="0" applyFont="1" applyFill="1" applyBorder="1" applyAlignment="1">
      <alignment vertical="center"/>
    </xf>
    <xf numFmtId="0" fontId="31" fillId="3" borderId="0" xfId="0" applyFont="1" applyFill="1" applyAlignment="1">
      <alignment vertical="center"/>
    </xf>
    <xf numFmtId="0" fontId="32" fillId="3" borderId="0" xfId="0" applyFont="1" applyFill="1" applyBorder="1" applyAlignment="1">
      <alignment vertical="center"/>
    </xf>
    <xf numFmtId="0" fontId="28" fillId="3" borderId="0" xfId="1" applyFont="1" applyFill="1" applyBorder="1" applyAlignment="1">
      <alignment vertical="center"/>
    </xf>
    <xf numFmtId="0" fontId="29" fillId="3" borderId="0" xfId="0" applyFont="1" applyFill="1" applyBorder="1" applyAlignment="1">
      <alignment vertical="center"/>
    </xf>
    <xf numFmtId="0" fontId="31" fillId="3" borderId="0" xfId="0" applyFont="1" applyFill="1" applyBorder="1" applyAlignment="1">
      <alignment vertical="center"/>
    </xf>
    <xf numFmtId="0" fontId="29" fillId="0" borderId="0" xfId="0" applyFont="1"/>
    <xf numFmtId="0" fontId="31" fillId="2" borderId="9" xfId="0" applyFont="1" applyFill="1" applyBorder="1" applyAlignment="1">
      <alignment horizontal="center" vertical="center" wrapText="1"/>
    </xf>
    <xf numFmtId="0" fontId="27" fillId="10" borderId="17" xfId="0" applyNumberFormat="1" applyFont="1" applyFill="1" applyBorder="1" applyAlignment="1" applyProtection="1">
      <alignment horizontal="center" vertical="center" wrapText="1"/>
      <protection locked="0"/>
    </xf>
    <xf numFmtId="37" fontId="27" fillId="18" borderId="25" xfId="0" applyNumberFormat="1" applyFont="1" applyFill="1" applyBorder="1" applyAlignment="1" applyProtection="1">
      <alignment horizontal="right" vertical="center" wrapText="1"/>
      <protection locked="0"/>
    </xf>
    <xf numFmtId="0" fontId="34" fillId="3" borderId="0" xfId="0" applyFont="1" applyFill="1" applyAlignment="1">
      <alignment vertical="center"/>
    </xf>
    <xf numFmtId="0" fontId="26" fillId="3" borderId="5" xfId="1" applyFont="1" applyFill="1" applyBorder="1" applyAlignment="1">
      <alignment vertical="center"/>
    </xf>
    <xf numFmtId="0" fontId="26" fillId="3" borderId="0" xfId="1" applyFont="1" applyFill="1" applyAlignment="1">
      <alignment vertical="center"/>
    </xf>
    <xf numFmtId="0" fontId="27" fillId="3" borderId="0" xfId="1" applyFont="1" applyFill="1" applyAlignment="1">
      <alignment vertical="center"/>
    </xf>
    <xf numFmtId="0" fontId="31" fillId="0" borderId="0" xfId="0" applyFont="1" applyAlignment="1">
      <alignment wrapText="1"/>
    </xf>
    <xf numFmtId="0" fontId="33" fillId="0" borderId="0" xfId="0" applyFont="1" applyAlignment="1">
      <alignment wrapText="1"/>
    </xf>
    <xf numFmtId="0" fontId="33" fillId="0" borderId="0" xfId="0" applyFont="1"/>
    <xf numFmtId="0" fontId="31" fillId="7" borderId="9" xfId="0" applyFont="1" applyFill="1" applyBorder="1" applyAlignment="1">
      <alignment horizontal="center" vertical="center" wrapText="1"/>
    </xf>
    <xf numFmtId="4" fontId="26" fillId="7" borderId="13" xfId="0" applyNumberFormat="1" applyFont="1" applyFill="1" applyBorder="1" applyAlignment="1">
      <alignment horizontal="center" vertical="center" wrapText="1"/>
    </xf>
    <xf numFmtId="49" fontId="31" fillId="3" borderId="9" xfId="0" applyNumberFormat="1" applyFont="1" applyFill="1" applyBorder="1" applyAlignment="1">
      <alignment horizontal="center" vertical="center"/>
    </xf>
    <xf numFmtId="49" fontId="31" fillId="3" borderId="9" xfId="0" applyNumberFormat="1" applyFont="1" applyFill="1" applyBorder="1" applyAlignment="1">
      <alignment horizontal="left" vertical="center" wrapText="1"/>
    </xf>
    <xf numFmtId="49" fontId="31" fillId="3" borderId="9" xfId="15" applyNumberFormat="1" applyFont="1" applyFill="1" applyBorder="1" applyAlignment="1">
      <alignment horizontal="center" vertical="center" wrapText="1"/>
    </xf>
    <xf numFmtId="0" fontId="31" fillId="0" borderId="0" xfId="0" applyFont="1"/>
    <xf numFmtId="49" fontId="29" fillId="3" borderId="9" xfId="0" applyNumberFormat="1" applyFont="1" applyFill="1" applyBorder="1" applyAlignment="1">
      <alignment horizontal="center" vertical="center"/>
    </xf>
    <xf numFmtId="49" fontId="29" fillId="3" borderId="9" xfId="0" applyNumberFormat="1" applyFont="1" applyFill="1" applyBorder="1" applyAlignment="1">
      <alignment horizontal="left" vertical="center" wrapText="1"/>
    </xf>
    <xf numFmtId="49" fontId="29" fillId="3" borderId="9" xfId="15" applyNumberFormat="1" applyFont="1" applyFill="1" applyBorder="1" applyAlignment="1">
      <alignment horizontal="center" vertical="center" wrapText="1"/>
    </xf>
    <xf numFmtId="43" fontId="27" fillId="3" borderId="12" xfId="7" applyFont="1" applyFill="1" applyBorder="1" applyAlignment="1" applyProtection="1">
      <alignment horizontal="right" vertical="center" wrapText="1"/>
      <protection locked="0"/>
    </xf>
    <xf numFmtId="43" fontId="26" fillId="3" borderId="12" xfId="7" applyFont="1" applyFill="1" applyBorder="1" applyAlignment="1" applyProtection="1">
      <alignment horizontal="right" vertical="center" wrapText="1"/>
      <protection locked="0"/>
    </xf>
    <xf numFmtId="41" fontId="27" fillId="3" borderId="12" xfId="7" applyNumberFormat="1" applyFont="1" applyFill="1" applyBorder="1" applyAlignment="1" applyProtection="1">
      <alignment horizontal="right" vertical="center" wrapText="1"/>
      <protection locked="0"/>
    </xf>
    <xf numFmtId="0" fontId="33" fillId="3" borderId="0" xfId="0" applyFont="1" applyFill="1" applyAlignment="1">
      <alignment vertical="center"/>
    </xf>
    <xf numFmtId="0" fontId="29" fillId="3" borderId="8" xfId="0" applyFont="1" applyFill="1" applyBorder="1" applyAlignment="1">
      <alignment vertical="center"/>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8" fillId="0" borderId="0" xfId="11" applyFont="1" applyAlignment="1">
      <alignment horizontal="right" vertical="center" wrapText="1"/>
    </xf>
    <xf numFmtId="0" fontId="17" fillId="3" borderId="0" xfId="11" applyFont="1" applyFill="1" applyAlignment="1">
      <alignment horizontal="right" vertical="center" wrapText="1"/>
    </xf>
    <xf numFmtId="0" fontId="8" fillId="0" borderId="0" xfId="11" applyFont="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3" xfId="0" applyFont="1" applyFill="1" applyBorder="1" applyAlignment="1">
      <alignment horizontal="center" vertical="center" wrapText="1"/>
    </xf>
    <xf numFmtId="0" fontId="8" fillId="6" borderId="13" xfId="0" applyFont="1" applyFill="1" applyBorder="1" applyAlignment="1">
      <alignment horizontal="center" vertical="center"/>
    </xf>
    <xf numFmtId="0" fontId="27" fillId="3" borderId="0" xfId="0" applyFont="1" applyFill="1" applyAlignment="1">
      <alignment horizontal="left" vertical="center" wrapText="1"/>
    </xf>
    <xf numFmtId="0" fontId="30" fillId="3" borderId="0" xfId="0" applyFont="1" applyFill="1" applyAlignment="1">
      <alignment horizontal="left" vertical="center" wrapText="1"/>
    </xf>
    <xf numFmtId="0" fontId="26" fillId="3" borderId="0" xfId="0" applyFont="1" applyFill="1" applyAlignment="1">
      <alignment horizontal="right" vertical="center" wrapText="1"/>
    </xf>
    <xf numFmtId="0" fontId="28" fillId="3" borderId="0" xfId="0" applyFont="1" applyFill="1" applyAlignment="1">
      <alignment horizontal="right" vertical="center" wrapText="1"/>
    </xf>
    <xf numFmtId="0" fontId="26" fillId="3" borderId="0" xfId="0" applyFont="1" applyFill="1" applyAlignment="1">
      <alignment horizontal="center" vertical="center" wrapText="1"/>
    </xf>
    <xf numFmtId="0" fontId="28" fillId="3" borderId="0" xfId="0" applyFont="1" applyFill="1" applyAlignment="1">
      <alignment horizontal="center" vertical="center"/>
    </xf>
    <xf numFmtId="0" fontId="29" fillId="3" borderId="0" xfId="0" applyFont="1" applyFill="1" applyAlignment="1">
      <alignment horizontal="left" vertical="center"/>
    </xf>
    <xf numFmtId="0" fontId="31" fillId="3" borderId="0" xfId="0" applyFont="1" applyFill="1" applyAlignment="1">
      <alignment horizontal="right" vertical="center" wrapText="1"/>
    </xf>
    <xf numFmtId="0" fontId="33" fillId="3" borderId="0" xfId="0" applyFont="1" applyFill="1" applyAlignment="1">
      <alignment horizontal="right" vertical="center" wrapText="1"/>
    </xf>
    <xf numFmtId="0" fontId="31" fillId="3" borderId="0" xfId="0" applyFont="1" applyFill="1" applyAlignment="1">
      <alignment horizontal="center" vertical="center" wrapText="1"/>
    </xf>
    <xf numFmtId="0" fontId="33" fillId="3" borderId="0" xfId="0" applyFont="1" applyFill="1" applyAlignment="1">
      <alignment horizontal="center" vertical="center"/>
    </xf>
    <xf numFmtId="0" fontId="30" fillId="3" borderId="0" xfId="0" applyFont="1" applyFill="1" applyAlignment="1">
      <alignment horizontal="left" vertical="center"/>
    </xf>
    <xf numFmtId="0" fontId="29" fillId="3" borderId="0" xfId="0" applyFont="1" applyFill="1" applyAlignment="1">
      <alignment horizontal="left" vertical="center" wrapText="1"/>
    </xf>
    <xf numFmtId="49" fontId="29" fillId="3" borderId="9" xfId="0" applyNumberFormat="1" applyFont="1" applyFill="1" applyBorder="1" applyAlignment="1">
      <alignment horizontal="center" vertical="center"/>
    </xf>
    <xf numFmtId="49" fontId="29" fillId="3" borderId="10" xfId="0" applyNumberFormat="1" applyFont="1" applyFill="1" applyBorder="1" applyAlignment="1">
      <alignment horizontal="center" vertical="center"/>
    </xf>
    <xf numFmtId="49" fontId="29" fillId="3" borderId="14" xfId="0" applyNumberFormat="1" applyFont="1" applyFill="1" applyBorder="1" applyAlignment="1">
      <alignment horizontal="center" vertical="center"/>
    </xf>
    <xf numFmtId="49" fontId="29"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24"/>
    <col min="3" max="3" width="30.1796875" style="24" customWidth="1"/>
    <col min="4" max="4" width="30.81640625" style="24" customWidth="1"/>
    <col min="5" max="5" width="21.1796875" style="24" customWidth="1"/>
    <col min="6" max="9" width="9.1796875" style="24"/>
    <col min="10" max="10" width="11.81640625" style="24" customWidth="1"/>
    <col min="11" max="11" width="15" style="24" customWidth="1"/>
    <col min="12" max="16384" width="9.1796875" style="24"/>
  </cols>
  <sheetData>
    <row r="1" spans="1:11">
      <c r="A1" s="23" t="s">
        <v>0</v>
      </c>
      <c r="C1" s="159" t="s">
        <v>883</v>
      </c>
      <c r="D1" s="160"/>
    </row>
    <row r="2" spans="1:11">
      <c r="C2" s="25" t="s">
        <v>884</v>
      </c>
      <c r="D2" s="26"/>
    </row>
    <row r="3" spans="1:11">
      <c r="D3" s="27"/>
    </row>
    <row r="4" spans="1:11">
      <c r="A4" s="23" t="s">
        <v>1</v>
      </c>
      <c r="D4" s="27"/>
    </row>
    <row r="5" spans="1:11" ht="15" customHeight="1">
      <c r="C5" s="28" t="s">
        <v>2</v>
      </c>
      <c r="D5" s="162" t="s">
        <v>885</v>
      </c>
      <c r="E5" s="162"/>
      <c r="F5" s="162"/>
      <c r="G5" s="162"/>
      <c r="H5" s="162"/>
      <c r="I5" s="162"/>
    </row>
    <row r="6" spans="1:11">
      <c r="C6" s="22" t="s">
        <v>15</v>
      </c>
      <c r="D6" s="161" t="s">
        <v>886</v>
      </c>
      <c r="E6" s="161"/>
      <c r="F6" s="161"/>
      <c r="G6" s="161"/>
      <c r="H6" s="161"/>
      <c r="I6" s="161"/>
    </row>
    <row r="7" spans="1:11">
      <c r="C7" s="29" t="s">
        <v>3</v>
      </c>
      <c r="D7" s="162" t="s">
        <v>887</v>
      </c>
      <c r="E7" s="162"/>
      <c r="F7" s="162"/>
      <c r="G7" s="162"/>
      <c r="H7" s="162"/>
      <c r="I7" s="162"/>
    </row>
    <row r="8" spans="1:11" ht="15" customHeight="1">
      <c r="C8" s="4" t="s">
        <v>4</v>
      </c>
      <c r="D8" s="161" t="s">
        <v>888</v>
      </c>
      <c r="E8" s="161"/>
      <c r="F8" s="161"/>
      <c r="G8" s="161"/>
      <c r="H8" s="161"/>
      <c r="I8" s="161"/>
    </row>
    <row r="9" spans="1:11" ht="15" customHeight="1">
      <c r="C9" s="29" t="s">
        <v>5</v>
      </c>
      <c r="D9" s="162" t="s">
        <v>353</v>
      </c>
      <c r="E9" s="162"/>
      <c r="F9" s="162"/>
      <c r="G9" s="162"/>
      <c r="H9" s="162"/>
      <c r="I9" s="162"/>
    </row>
    <row r="10" spans="1:11" ht="15" customHeight="1">
      <c r="C10" s="30" t="s">
        <v>6</v>
      </c>
      <c r="D10" s="161" t="s">
        <v>899</v>
      </c>
      <c r="E10" s="161"/>
      <c r="F10" s="161"/>
      <c r="G10" s="161"/>
      <c r="H10" s="161"/>
      <c r="I10" s="161"/>
    </row>
    <row r="11" spans="1:11">
      <c r="C11" s="31" t="s">
        <v>7</v>
      </c>
      <c r="D11" s="162" t="s">
        <v>889</v>
      </c>
      <c r="E11" s="162"/>
      <c r="F11" s="162"/>
      <c r="G11" s="162"/>
      <c r="H11" s="162"/>
      <c r="I11" s="162"/>
    </row>
    <row r="12" spans="1:11">
      <c r="C12" s="3" t="s">
        <v>8</v>
      </c>
      <c r="D12" s="161" t="s">
        <v>890</v>
      </c>
      <c r="E12" s="161"/>
      <c r="F12" s="161"/>
      <c r="G12" s="161"/>
      <c r="H12" s="161"/>
      <c r="I12" s="161"/>
    </row>
    <row r="13" spans="1:11">
      <c r="D13" s="27"/>
    </row>
    <row r="14" spans="1:11">
      <c r="A14" s="23" t="s">
        <v>9</v>
      </c>
      <c r="D14" s="27"/>
    </row>
    <row r="15" spans="1:11">
      <c r="D15" s="27"/>
    </row>
    <row r="16" spans="1:11">
      <c r="C16" s="32" t="s">
        <v>10</v>
      </c>
      <c r="D16" s="33"/>
      <c r="F16" s="32" t="s">
        <v>11</v>
      </c>
      <c r="G16" s="34"/>
      <c r="H16" s="34"/>
      <c r="I16" s="34"/>
      <c r="J16" s="34"/>
      <c r="K16" s="35"/>
    </row>
    <row r="17" spans="3:11">
      <c r="C17" s="36" t="s">
        <v>12</v>
      </c>
      <c r="D17" s="37"/>
      <c r="F17" s="36" t="s">
        <v>13</v>
      </c>
      <c r="G17" s="2"/>
      <c r="H17" s="2"/>
      <c r="I17" s="2"/>
      <c r="J17" s="2"/>
      <c r="K17" s="38"/>
    </row>
    <row r="18" spans="3:11">
      <c r="C18" s="39"/>
      <c r="D18" s="37"/>
      <c r="F18" s="39"/>
      <c r="G18" s="2"/>
      <c r="H18" s="2"/>
      <c r="I18" s="2"/>
      <c r="J18" s="2"/>
      <c r="K18" s="38"/>
    </row>
    <row r="19" spans="3:11">
      <c r="C19" s="40" t="s">
        <v>14</v>
      </c>
      <c r="D19" s="37"/>
      <c r="F19" s="40" t="str">
        <f>D5</f>
        <v>Công ty Cổ phần Quản lý Quỹ Đầu tư Dragon Capital Việt Nam</v>
      </c>
      <c r="G19" s="2"/>
      <c r="H19" s="2"/>
      <c r="I19" s="2"/>
      <c r="J19" s="2"/>
      <c r="K19" s="38"/>
    </row>
    <row r="20" spans="3:11">
      <c r="C20" s="40" t="s">
        <v>891</v>
      </c>
      <c r="D20" s="37"/>
      <c r="F20" s="40" t="s">
        <v>892</v>
      </c>
      <c r="G20" s="2"/>
      <c r="H20" s="2"/>
      <c r="I20" s="2"/>
      <c r="J20" s="2"/>
      <c r="K20" s="38"/>
    </row>
    <row r="21" spans="3:11">
      <c r="C21" s="41" t="s">
        <v>893</v>
      </c>
      <c r="D21" s="26"/>
      <c r="F21" s="41" t="s">
        <v>894</v>
      </c>
      <c r="G21" s="42"/>
      <c r="H21" s="42"/>
      <c r="I21" s="42"/>
      <c r="J21" s="42"/>
      <c r="K21" s="43"/>
    </row>
    <row r="22" spans="3:11">
      <c r="D22" s="27"/>
    </row>
    <row r="23" spans="3:11">
      <c r="D23" s="27"/>
    </row>
    <row r="24" spans="3:11">
      <c r="D24" s="27"/>
    </row>
    <row r="25" spans="3:11">
      <c r="D25" s="27"/>
    </row>
    <row r="26" spans="3:11">
      <c r="D26" s="27"/>
    </row>
    <row r="27" spans="3:11">
      <c r="D27" s="27"/>
    </row>
    <row r="28" spans="3:11">
      <c r="D28" s="27"/>
    </row>
    <row r="29" spans="3:11">
      <c r="D29" s="27"/>
    </row>
    <row r="30" spans="3:11">
      <c r="D30" s="27"/>
    </row>
    <row r="31" spans="3:11">
      <c r="D31" s="27"/>
    </row>
    <row r="32" spans="3:11">
      <c r="D32" s="27"/>
    </row>
    <row r="33" spans="4:4">
      <c r="D33" s="27"/>
    </row>
    <row r="34" spans="4:4">
      <c r="D34" s="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8"/>
  <sheetViews>
    <sheetView view="pageBreakPreview" topLeftCell="A19" zoomScale="70" zoomScaleNormal="85" zoomScaleSheetLayoutView="70" workbookViewId="0">
      <selection activeCell="B36" sqref="B36"/>
    </sheetView>
  </sheetViews>
  <sheetFormatPr defaultColWidth="9.1796875" defaultRowHeight="13"/>
  <cols>
    <col min="1" max="1" width="4.81640625" style="53" customWidth="1"/>
    <col min="2" max="2" width="34.453125" style="50" customWidth="1"/>
    <col min="3" max="3" width="14.453125" style="50" customWidth="1"/>
    <col min="4" max="4" width="11.81640625" style="50" customWidth="1"/>
    <col min="5" max="5" width="12.26953125" style="50" customWidth="1"/>
    <col min="6" max="6" width="12.54296875" style="50" customWidth="1"/>
    <col min="7" max="7" width="16.453125" style="50" customWidth="1"/>
    <col min="8" max="9" width="19" style="50" customWidth="1"/>
    <col min="10" max="10" width="43.54296875" style="50" customWidth="1"/>
    <col min="11" max="16384" width="9.1796875" style="50"/>
  </cols>
  <sheetData>
    <row r="1" spans="1:10" s="49" customFormat="1" ht="46.5" customHeight="1">
      <c r="A1" s="163" t="s">
        <v>300</v>
      </c>
      <c r="B1" s="163"/>
      <c r="C1" s="163"/>
      <c r="D1" s="163"/>
      <c r="E1" s="163"/>
      <c r="F1" s="163"/>
      <c r="G1" s="163"/>
      <c r="H1" s="163"/>
      <c r="I1" s="163"/>
      <c r="J1" s="163"/>
    </row>
    <row r="2" spans="1:10" ht="49" customHeight="1">
      <c r="A2" s="164" t="s">
        <v>302</v>
      </c>
      <c r="B2" s="164"/>
      <c r="C2" s="164"/>
      <c r="D2" s="164"/>
      <c r="E2" s="164"/>
      <c r="F2" s="164"/>
      <c r="G2" s="164"/>
      <c r="H2" s="164"/>
      <c r="I2" s="164"/>
      <c r="J2" s="164"/>
    </row>
    <row r="3" spans="1:10" ht="19.149999999999999" customHeight="1">
      <c r="A3" s="165" t="s">
        <v>251</v>
      </c>
      <c r="B3" s="165"/>
      <c r="C3" s="165"/>
      <c r="D3" s="165"/>
      <c r="E3" s="165"/>
      <c r="F3" s="165"/>
      <c r="G3" s="165"/>
      <c r="H3" s="165"/>
      <c r="I3" s="165"/>
      <c r="J3" s="165"/>
    </row>
    <row r="4" spans="1:10" ht="21.65" customHeight="1">
      <c r="A4" s="165"/>
      <c r="B4" s="165"/>
      <c r="C4" s="165"/>
      <c r="D4" s="165"/>
      <c r="E4" s="165"/>
      <c r="F4" s="165"/>
      <c r="G4" s="165"/>
      <c r="H4" s="165"/>
      <c r="I4" s="165"/>
      <c r="J4" s="165"/>
    </row>
    <row r="5" spans="1:10">
      <c r="A5" s="166" t="str">
        <f>TONGQUAN!C2</f>
        <v>Tháng 01 năm 2025
/ Jan 2025</v>
      </c>
      <c r="B5" s="166"/>
      <c r="C5" s="166"/>
      <c r="D5" s="166"/>
      <c r="E5" s="166"/>
      <c r="F5" s="166"/>
      <c r="G5" s="166"/>
      <c r="H5" s="166"/>
      <c r="I5" s="166"/>
      <c r="J5" s="166"/>
    </row>
    <row r="6" spans="1:10">
      <c r="A6" s="45"/>
      <c r="B6" s="45"/>
      <c r="C6" s="45"/>
      <c r="D6" s="45"/>
      <c r="E6" s="45"/>
      <c r="F6" s="5"/>
      <c r="G6" s="51"/>
      <c r="H6" s="51"/>
      <c r="I6" s="51"/>
      <c r="J6" s="51"/>
    </row>
    <row r="7" spans="1:10">
      <c r="A7" s="167" t="s">
        <v>2</v>
      </c>
      <c r="B7" s="168"/>
      <c r="C7" s="51"/>
      <c r="D7" s="51"/>
      <c r="E7" s="51"/>
      <c r="F7" s="51"/>
      <c r="G7" s="169" t="str">
        <f>TONGQUAN!D5</f>
        <v>Công ty Cổ phần Quản lý Quỹ Đầu tư Dragon Capital Việt Nam</v>
      </c>
      <c r="H7" s="169"/>
      <c r="I7" s="169"/>
      <c r="J7" s="169"/>
    </row>
    <row r="8" spans="1:10" ht="15" customHeight="1">
      <c r="A8" s="170" t="s">
        <v>15</v>
      </c>
      <c r="B8" s="170"/>
      <c r="C8" s="51"/>
      <c r="D8" s="51"/>
      <c r="E8" s="51"/>
      <c r="F8" s="51"/>
      <c r="G8" s="171" t="str">
        <f>TONGQUAN!D6</f>
        <v>Dragon Capital Vietfund Management Joint Stock Company</v>
      </c>
      <c r="H8" s="171"/>
      <c r="I8" s="171"/>
      <c r="J8" s="171"/>
    </row>
    <row r="9" spans="1:10">
      <c r="A9" s="172" t="s">
        <v>3</v>
      </c>
      <c r="B9" s="173"/>
      <c r="C9" s="51"/>
      <c r="D9" s="51"/>
      <c r="E9" s="51"/>
      <c r="F9" s="51"/>
      <c r="G9" s="174" t="str">
        <f>TONGQUAN!D7</f>
        <v>Ngân hàng TNHH Một thành viên Standard Chartered (Việt Nam)</v>
      </c>
      <c r="H9" s="174"/>
      <c r="I9" s="174"/>
      <c r="J9" s="174"/>
    </row>
    <row r="10" spans="1:10" ht="15" customHeight="1">
      <c r="A10" s="173" t="s">
        <v>4</v>
      </c>
      <c r="B10" s="173"/>
      <c r="C10" s="51"/>
      <c r="D10" s="51"/>
      <c r="E10" s="51"/>
      <c r="F10" s="51"/>
      <c r="G10" s="171" t="str">
        <f>TONGQUAN!D8</f>
        <v>Standard Chartered Bank (Vietnam) Limited</v>
      </c>
      <c r="H10" s="171"/>
      <c r="I10" s="171"/>
      <c r="J10" s="171"/>
    </row>
    <row r="11" spans="1:10" ht="15" customHeight="1">
      <c r="A11" s="172" t="s">
        <v>5</v>
      </c>
      <c r="B11" s="175"/>
      <c r="C11" s="51"/>
      <c r="D11" s="51"/>
      <c r="E11" s="51"/>
      <c r="F11" s="51"/>
      <c r="G11" s="169" t="str">
        <f>TONGQUAN!D9</f>
        <v>Quỹ Đầu tư Trái phiếu DC</v>
      </c>
      <c r="H11" s="169"/>
      <c r="I11" s="169"/>
      <c r="J11" s="169"/>
    </row>
    <row r="12" spans="1:10" ht="15" customHeight="1">
      <c r="A12" s="6" t="s">
        <v>247</v>
      </c>
      <c r="B12" s="46"/>
      <c r="C12" s="51"/>
      <c r="D12" s="51"/>
      <c r="E12" s="51"/>
      <c r="F12" s="51"/>
      <c r="G12" s="171" t="str">
        <f>TONGQUAN!D10</f>
        <v>DC Bond Fund (DCBF)</v>
      </c>
      <c r="H12" s="171"/>
      <c r="I12" s="171"/>
      <c r="J12" s="171"/>
    </row>
    <row r="13" spans="1:10" ht="15" customHeight="1">
      <c r="A13" s="7" t="s">
        <v>7</v>
      </c>
      <c r="B13" s="8"/>
      <c r="C13" s="51"/>
      <c r="D13" s="51"/>
      <c r="E13" s="51"/>
      <c r="F13" s="51"/>
      <c r="G13" s="169" t="str">
        <f>TONGQUAN!D11</f>
        <v>Ngày 03 tháng 02 năm 2025</v>
      </c>
      <c r="H13" s="169"/>
      <c r="I13" s="169"/>
      <c r="J13" s="169"/>
    </row>
    <row r="14" spans="1:10">
      <c r="A14" s="9" t="s">
        <v>8</v>
      </c>
      <c r="B14" s="9"/>
      <c r="C14" s="11"/>
      <c r="D14" s="11"/>
      <c r="E14" s="11"/>
      <c r="F14" s="11"/>
      <c r="G14" s="176" t="str">
        <f>TONGQUAN!D12</f>
        <v>03 Feb 2025</v>
      </c>
      <c r="H14" s="176"/>
      <c r="I14" s="176"/>
      <c r="J14" s="176"/>
    </row>
    <row r="15" spans="1:10">
      <c r="A15" s="20" t="s">
        <v>298</v>
      </c>
      <c r="B15" s="21" t="s">
        <v>299</v>
      </c>
      <c r="C15" s="11"/>
      <c r="D15" s="11"/>
      <c r="E15" s="11"/>
      <c r="F15" s="11"/>
      <c r="G15" s="47"/>
      <c r="H15" s="47"/>
      <c r="I15" s="47"/>
      <c r="J15" s="47"/>
    </row>
    <row r="16" spans="1:10">
      <c r="A16" s="18" t="s">
        <v>24</v>
      </c>
      <c r="B16" s="19" t="s">
        <v>254</v>
      </c>
      <c r="C16" s="11"/>
      <c r="D16" s="11"/>
      <c r="E16" s="11"/>
      <c r="F16" s="11"/>
      <c r="G16" s="11"/>
      <c r="H16" s="11"/>
      <c r="I16" s="11"/>
      <c r="J16" s="11"/>
    </row>
    <row r="17" spans="1:10" s="10" customFormat="1" ht="36" customHeight="1">
      <c r="A17" s="177" t="s">
        <v>142</v>
      </c>
      <c r="B17" s="177" t="s">
        <v>289</v>
      </c>
      <c r="C17" s="177" t="s">
        <v>290</v>
      </c>
      <c r="D17" s="177" t="s">
        <v>291</v>
      </c>
      <c r="E17" s="177" t="s">
        <v>292</v>
      </c>
      <c r="F17" s="177" t="s">
        <v>293</v>
      </c>
      <c r="G17" s="177" t="s">
        <v>294</v>
      </c>
      <c r="H17" s="178"/>
      <c r="I17" s="177" t="s">
        <v>303</v>
      </c>
      <c r="J17" s="178"/>
    </row>
    <row r="18" spans="1:10" s="10" customFormat="1" ht="87" customHeight="1">
      <c r="A18" s="178"/>
      <c r="B18" s="178"/>
      <c r="C18" s="178"/>
      <c r="D18" s="178"/>
      <c r="E18" s="178"/>
      <c r="F18" s="178"/>
      <c r="G18" s="48" t="s">
        <v>295</v>
      </c>
      <c r="H18" s="48" t="s">
        <v>296</v>
      </c>
      <c r="I18" s="48" t="s">
        <v>295</v>
      </c>
      <c r="J18" s="48" t="s">
        <v>297</v>
      </c>
    </row>
    <row r="19" spans="1:10" s="10" customFormat="1" ht="45.75" customHeight="1">
      <c r="A19" s="58" t="s">
        <v>514</v>
      </c>
      <c r="B19" s="58" t="s">
        <v>515</v>
      </c>
      <c r="C19" s="58"/>
      <c r="D19" s="58"/>
      <c r="E19" s="58"/>
      <c r="F19" s="60"/>
      <c r="G19" s="58"/>
      <c r="H19" s="59"/>
      <c r="I19" s="58"/>
      <c r="J19" s="59"/>
    </row>
    <row r="20" spans="1:10">
      <c r="A20" s="58" t="s">
        <v>516</v>
      </c>
      <c r="B20" s="58" t="s">
        <v>517</v>
      </c>
      <c r="C20" s="58" t="s">
        <v>518</v>
      </c>
      <c r="D20" s="58" t="s">
        <v>519</v>
      </c>
      <c r="E20" s="58" t="s">
        <v>520</v>
      </c>
      <c r="F20" s="60" t="s">
        <v>521</v>
      </c>
      <c r="G20" s="58" t="s">
        <v>522</v>
      </c>
      <c r="H20" s="59" t="s">
        <v>523</v>
      </c>
      <c r="I20" s="58" t="s">
        <v>524</v>
      </c>
      <c r="J20" s="59" t="s">
        <v>525</v>
      </c>
    </row>
    <row r="21" spans="1:10" ht="25">
      <c r="A21" s="61" t="s">
        <v>526</v>
      </c>
      <c r="B21" s="61" t="s">
        <v>527</v>
      </c>
      <c r="C21" s="61"/>
      <c r="D21" s="61"/>
      <c r="E21" s="61"/>
      <c r="F21" s="63">
        <v>0</v>
      </c>
      <c r="G21" s="61"/>
      <c r="H21" s="62">
        <v>0</v>
      </c>
      <c r="I21" s="61"/>
      <c r="J21" s="62">
        <v>0</v>
      </c>
    </row>
    <row r="22" spans="1:10" ht="25">
      <c r="A22" s="58" t="s">
        <v>528</v>
      </c>
      <c r="B22" s="58" t="s">
        <v>529</v>
      </c>
      <c r="C22" s="58"/>
      <c r="D22" s="58"/>
      <c r="E22" s="58"/>
      <c r="F22" s="60"/>
      <c r="G22" s="58"/>
      <c r="H22" s="59"/>
      <c r="I22" s="58"/>
      <c r="J22" s="59"/>
    </row>
    <row r="23" spans="1:10">
      <c r="A23" s="58" t="s">
        <v>530</v>
      </c>
      <c r="B23" s="58" t="s">
        <v>531</v>
      </c>
      <c r="C23" s="58" t="s">
        <v>532</v>
      </c>
      <c r="D23" s="58" t="s">
        <v>533</v>
      </c>
      <c r="E23" s="58" t="s">
        <v>534</v>
      </c>
      <c r="F23" s="60" t="s">
        <v>535</v>
      </c>
      <c r="G23" s="58" t="s">
        <v>536</v>
      </c>
      <c r="H23" s="59" t="s">
        <v>537</v>
      </c>
      <c r="I23" s="58" t="s">
        <v>538</v>
      </c>
      <c r="J23" s="59" t="s">
        <v>539</v>
      </c>
    </row>
    <row r="24" spans="1:10" ht="25">
      <c r="A24" s="61" t="s">
        <v>540</v>
      </c>
      <c r="B24" s="61" t="s">
        <v>541</v>
      </c>
      <c r="C24" s="61"/>
      <c r="D24" s="61"/>
      <c r="E24" s="61"/>
      <c r="F24" s="63">
        <v>0</v>
      </c>
      <c r="G24" s="61"/>
      <c r="H24" s="62">
        <v>0</v>
      </c>
      <c r="I24" s="61"/>
      <c r="J24" s="62">
        <v>0</v>
      </c>
    </row>
    <row r="25" spans="1:10" ht="25">
      <c r="A25" s="61" t="s">
        <v>542</v>
      </c>
      <c r="B25" s="61" t="s">
        <v>543</v>
      </c>
      <c r="C25" s="61"/>
      <c r="D25" s="61"/>
      <c r="E25" s="61"/>
      <c r="F25" s="63">
        <v>0</v>
      </c>
      <c r="G25" s="61"/>
      <c r="H25" s="62">
        <v>0</v>
      </c>
      <c r="I25" s="61"/>
      <c r="J25" s="62">
        <v>0</v>
      </c>
    </row>
    <row r="26" spans="1:10" ht="25">
      <c r="A26" s="58" t="s">
        <v>544</v>
      </c>
      <c r="B26" s="58" t="s">
        <v>545</v>
      </c>
      <c r="C26" s="58"/>
      <c r="D26" s="58"/>
      <c r="E26" s="58"/>
      <c r="F26" s="60"/>
      <c r="G26" s="58"/>
      <c r="H26" s="59"/>
      <c r="I26" s="58"/>
      <c r="J26" s="59"/>
    </row>
    <row r="27" spans="1:10">
      <c r="A27" s="58" t="s">
        <v>546</v>
      </c>
      <c r="B27" s="58" t="s">
        <v>547</v>
      </c>
      <c r="C27" s="58" t="s">
        <v>548</v>
      </c>
      <c r="D27" s="58" t="s">
        <v>549</v>
      </c>
      <c r="E27" s="58" t="s">
        <v>550</v>
      </c>
      <c r="F27" s="60" t="s">
        <v>551</v>
      </c>
      <c r="G27" s="58" t="s">
        <v>552</v>
      </c>
      <c r="H27" s="59" t="s">
        <v>553</v>
      </c>
      <c r="I27" s="58" t="s">
        <v>554</v>
      </c>
      <c r="J27" s="59" t="s">
        <v>555</v>
      </c>
    </row>
    <row r="28" spans="1:10" ht="25">
      <c r="A28" s="61" t="s">
        <v>556</v>
      </c>
      <c r="B28" s="61" t="s">
        <v>557</v>
      </c>
      <c r="C28" s="61"/>
      <c r="D28" s="61"/>
      <c r="E28" s="61"/>
      <c r="F28" s="63">
        <v>0</v>
      </c>
      <c r="G28" s="61"/>
      <c r="H28" s="62">
        <v>0</v>
      </c>
      <c r="I28" s="61"/>
      <c r="J28" s="62">
        <v>0</v>
      </c>
    </row>
    <row r="29" spans="1:10" ht="25">
      <c r="A29" s="58" t="s">
        <v>558</v>
      </c>
      <c r="B29" s="58" t="s">
        <v>559</v>
      </c>
      <c r="C29" s="58"/>
      <c r="D29" s="58"/>
      <c r="E29" s="58"/>
      <c r="F29" s="60"/>
      <c r="G29" s="58"/>
      <c r="H29" s="59"/>
      <c r="I29" s="58"/>
      <c r="J29" s="59"/>
    </row>
    <row r="30" spans="1:10">
      <c r="A30" s="58" t="s">
        <v>560</v>
      </c>
      <c r="B30" s="58" t="s">
        <v>561</v>
      </c>
      <c r="C30" s="58" t="s">
        <v>562</v>
      </c>
      <c r="D30" s="58" t="s">
        <v>563</v>
      </c>
      <c r="E30" s="58" t="s">
        <v>564</v>
      </c>
      <c r="F30" s="60" t="s">
        <v>565</v>
      </c>
      <c r="G30" s="58" t="s">
        <v>566</v>
      </c>
      <c r="H30" s="59" t="s">
        <v>567</v>
      </c>
      <c r="I30" s="58" t="s">
        <v>568</v>
      </c>
      <c r="J30" s="59" t="s">
        <v>569</v>
      </c>
    </row>
    <row r="31" spans="1:10" ht="25">
      <c r="A31" s="61" t="s">
        <v>570</v>
      </c>
      <c r="B31" s="61" t="s">
        <v>571</v>
      </c>
      <c r="C31" s="61"/>
      <c r="D31" s="61"/>
      <c r="E31" s="61"/>
      <c r="F31" s="63">
        <v>0</v>
      </c>
      <c r="G31" s="61"/>
      <c r="H31" s="62">
        <v>0</v>
      </c>
      <c r="I31" s="61"/>
      <c r="J31" s="62">
        <v>0</v>
      </c>
    </row>
    <row r="32" spans="1:10" ht="25">
      <c r="A32" s="61" t="s">
        <v>572</v>
      </c>
      <c r="B32" s="61" t="s">
        <v>573</v>
      </c>
      <c r="C32" s="61"/>
      <c r="D32" s="61"/>
      <c r="E32" s="61"/>
      <c r="F32" s="63">
        <v>0</v>
      </c>
      <c r="G32" s="61"/>
      <c r="H32" s="62">
        <v>0</v>
      </c>
      <c r="I32" s="61"/>
      <c r="J32" s="62">
        <v>0</v>
      </c>
    </row>
    <row r="33" spans="1:10" s="52" customFormat="1" ht="45.75" customHeight="1">
      <c r="A33" s="12" t="s">
        <v>10</v>
      </c>
      <c r="B33" s="13"/>
      <c r="C33" s="14"/>
      <c r="D33" s="11"/>
      <c r="E33" s="11"/>
      <c r="F33" s="11"/>
      <c r="G33" s="11"/>
      <c r="H33" s="11"/>
      <c r="I33" s="15" t="s">
        <v>11</v>
      </c>
      <c r="J33" s="11"/>
    </row>
    <row r="34" spans="1:10">
      <c r="A34" s="16" t="s">
        <v>12</v>
      </c>
      <c r="B34" s="13"/>
      <c r="C34" s="14"/>
      <c r="D34" s="11"/>
      <c r="E34" s="11"/>
      <c r="F34" s="11"/>
      <c r="G34" s="11"/>
      <c r="H34" s="11"/>
      <c r="I34" s="17" t="s">
        <v>13</v>
      </c>
      <c r="J34" s="11"/>
    </row>
    <row r="35" spans="1:10">
      <c r="A35" s="13"/>
      <c r="B35" s="13"/>
      <c r="C35" s="14"/>
      <c r="D35" s="51"/>
      <c r="E35" s="51"/>
      <c r="F35" s="51"/>
      <c r="G35" s="51"/>
      <c r="H35" s="51"/>
      <c r="I35" s="14"/>
      <c r="J35" s="51"/>
    </row>
    <row r="36" spans="1:10">
      <c r="A36" s="13"/>
      <c r="B36" s="13"/>
      <c r="C36" s="14"/>
      <c r="D36" s="51"/>
      <c r="E36" s="51"/>
      <c r="F36" s="51"/>
      <c r="G36" s="51"/>
      <c r="H36" s="51"/>
      <c r="I36" s="14"/>
      <c r="J36" s="51"/>
    </row>
    <row r="37" spans="1:10">
      <c r="A37" s="13"/>
      <c r="B37" s="13"/>
      <c r="C37" s="14"/>
      <c r="D37" s="51"/>
      <c r="E37" s="51"/>
      <c r="F37" s="51"/>
      <c r="G37" s="51"/>
      <c r="H37" s="51"/>
      <c r="I37" s="14"/>
      <c r="J37" s="51"/>
    </row>
    <row r="38" spans="1:10">
      <c r="A38" s="54"/>
      <c r="B38" s="51"/>
      <c r="C38" s="51"/>
      <c r="D38" s="51"/>
      <c r="E38" s="51"/>
      <c r="F38" s="51"/>
      <c r="G38" s="11"/>
      <c r="H38" s="51"/>
      <c r="I38" s="51"/>
      <c r="J38" s="51"/>
    </row>
    <row r="39" spans="1:10">
      <c r="A39" s="54"/>
      <c r="B39" s="51"/>
      <c r="C39" s="51"/>
      <c r="D39" s="51"/>
      <c r="E39" s="51"/>
      <c r="F39" s="51"/>
      <c r="G39" s="51"/>
      <c r="H39" s="51"/>
      <c r="I39" s="51"/>
      <c r="J39" s="51"/>
    </row>
    <row r="40" spans="1:10">
      <c r="A40" s="54"/>
      <c r="B40" s="51"/>
      <c r="C40" s="51"/>
      <c r="D40" s="51"/>
      <c r="E40" s="51"/>
      <c r="F40" s="51"/>
      <c r="G40" s="51"/>
      <c r="H40" s="51"/>
      <c r="I40" s="51"/>
      <c r="J40" s="51"/>
    </row>
    <row r="41" spans="1:10">
      <c r="A41" s="54"/>
      <c r="B41" s="51"/>
      <c r="C41" s="51"/>
      <c r="D41" s="51"/>
      <c r="E41" s="51"/>
      <c r="F41" s="51"/>
      <c r="G41" s="51"/>
      <c r="H41" s="51"/>
      <c r="I41" s="51"/>
      <c r="J41" s="51"/>
    </row>
    <row r="42" spans="1:10" s="10" customFormat="1" ht="12.5">
      <c r="A42" s="64" t="s">
        <v>14</v>
      </c>
      <c r="B42" s="64"/>
      <c r="C42" s="57"/>
      <c r="D42" s="11"/>
      <c r="E42" s="11"/>
      <c r="F42" s="11"/>
      <c r="G42" s="11"/>
      <c r="H42" s="11"/>
      <c r="I42" s="56" t="s">
        <v>885</v>
      </c>
      <c r="J42" s="57"/>
    </row>
    <row r="43" spans="1:10" s="10" customFormat="1" ht="12.5">
      <c r="A43" s="19" t="s">
        <v>891</v>
      </c>
      <c r="B43" s="11"/>
      <c r="C43" s="11"/>
      <c r="D43" s="11"/>
      <c r="E43" s="11"/>
      <c r="F43" s="11"/>
      <c r="G43" s="11"/>
      <c r="H43" s="11"/>
      <c r="I43" s="19" t="s">
        <v>892</v>
      </c>
      <c r="J43" s="11"/>
    </row>
    <row r="44" spans="1:10" s="10" customFormat="1" ht="12.5">
      <c r="A44" s="11" t="s">
        <v>893</v>
      </c>
      <c r="B44" s="11"/>
      <c r="C44" s="11"/>
      <c r="D44" s="11"/>
      <c r="E44" s="11"/>
      <c r="F44" s="11"/>
      <c r="G44" s="11"/>
      <c r="H44" s="11"/>
      <c r="I44" s="11" t="s">
        <v>894</v>
      </c>
      <c r="J44" s="11"/>
    </row>
    <row r="45" spans="1:10" s="10" customFormat="1" ht="12.5">
      <c r="A45" s="55"/>
      <c r="B45" s="11"/>
      <c r="C45" s="11"/>
      <c r="D45" s="11"/>
      <c r="E45" s="11"/>
      <c r="F45" s="11"/>
      <c r="G45" s="11"/>
      <c r="H45" s="11"/>
      <c r="I45" s="11"/>
      <c r="J45" s="11"/>
    </row>
    <row r="46" spans="1:10" s="10" customFormat="1" ht="12.5">
      <c r="A46" s="55"/>
      <c r="B46" s="11"/>
      <c r="C46" s="11"/>
      <c r="D46" s="11"/>
      <c r="E46" s="11"/>
      <c r="F46" s="11"/>
      <c r="G46" s="11"/>
      <c r="H46" s="11"/>
      <c r="I46" s="11"/>
      <c r="J46" s="11"/>
    </row>
    <row r="47" spans="1:10">
      <c r="A47" s="54"/>
      <c r="B47" s="51"/>
      <c r="C47" s="51"/>
      <c r="D47" s="51"/>
      <c r="E47" s="51"/>
      <c r="F47" s="51"/>
      <c r="G47" s="51"/>
      <c r="H47" s="51"/>
      <c r="I47" s="51"/>
      <c r="J47" s="51"/>
    </row>
    <row r="48" spans="1:10">
      <c r="A48" s="54"/>
      <c r="B48" s="51"/>
      <c r="C48" s="51"/>
      <c r="D48" s="51"/>
      <c r="E48" s="51"/>
      <c r="F48" s="51"/>
      <c r="G48" s="51"/>
      <c r="H48" s="51"/>
      <c r="I48" s="51"/>
      <c r="J48" s="5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80" zoomScaleNormal="100" zoomScaleSheetLayoutView="80" workbookViewId="0">
      <selection activeCell="A74" sqref="A74:XFD74"/>
    </sheetView>
  </sheetViews>
  <sheetFormatPr defaultColWidth="8.7265625" defaultRowHeight="15"/>
  <cols>
    <col min="1" max="1" width="8.7265625" style="67"/>
    <col min="2" max="2" width="44.26953125" style="67" customWidth="1"/>
    <col min="3" max="3" width="10.26953125" style="67" customWidth="1"/>
    <col min="4" max="5" width="41.1796875" style="67" customWidth="1"/>
    <col min="6" max="6" width="37.54296875" style="67" customWidth="1"/>
    <col min="7" max="16384" width="8.7265625" style="67"/>
  </cols>
  <sheetData>
    <row r="1" spans="1:6" s="65" customFormat="1" ht="54.75" customHeight="1">
      <c r="A1" s="181" t="s">
        <v>300</v>
      </c>
      <c r="B1" s="181"/>
      <c r="C1" s="181"/>
      <c r="D1" s="181"/>
      <c r="E1" s="181"/>
      <c r="F1" s="181"/>
    </row>
    <row r="2" spans="1:6" s="65" customFormat="1" ht="50.5" customHeight="1">
      <c r="A2" s="182" t="s">
        <v>301</v>
      </c>
      <c r="B2" s="182"/>
      <c r="C2" s="182"/>
      <c r="D2" s="182"/>
      <c r="E2" s="182"/>
      <c r="F2" s="182"/>
    </row>
    <row r="3" spans="1:6" s="65" customFormat="1">
      <c r="A3" s="183" t="s">
        <v>251</v>
      </c>
      <c r="B3" s="183"/>
      <c r="C3" s="183"/>
      <c r="D3" s="183"/>
      <c r="E3" s="183"/>
      <c r="F3" s="183"/>
    </row>
    <row r="4" spans="1:6" s="65" customFormat="1" ht="32.65" customHeight="1">
      <c r="A4" s="183"/>
      <c r="B4" s="183"/>
      <c r="C4" s="183"/>
      <c r="D4" s="183"/>
      <c r="E4" s="183"/>
      <c r="F4" s="183"/>
    </row>
    <row r="5" spans="1:6" s="65" customFormat="1" ht="16.899999999999999" customHeight="1">
      <c r="A5" s="184" t="str">
        <f>TONGQUAN!C1</f>
        <v>Tại ngày 31 tháng 01 năm 2025
/ As at 31 Jan 2025</v>
      </c>
      <c r="B5" s="184"/>
      <c r="C5" s="184"/>
      <c r="D5" s="184"/>
      <c r="E5" s="184"/>
      <c r="F5" s="184"/>
    </row>
    <row r="6" spans="1:6">
      <c r="A6" s="66"/>
      <c r="B6" s="66"/>
      <c r="C6" s="66"/>
      <c r="D6" s="66"/>
      <c r="E6" s="66"/>
      <c r="F6" s="66"/>
    </row>
    <row r="7" spans="1:6" ht="16.899999999999999" customHeight="1">
      <c r="A7" s="180" t="s">
        <v>2</v>
      </c>
      <c r="B7" s="180"/>
      <c r="C7" s="180" t="str">
        <f>TONGQUAN!D5</f>
        <v>Công ty Cổ phần Quản lý Quỹ Đầu tư Dragon Capital Việt Nam</v>
      </c>
      <c r="D7" s="180"/>
      <c r="E7" s="180"/>
      <c r="F7" s="180"/>
    </row>
    <row r="8" spans="1:6" s="65" customFormat="1" ht="16.899999999999999" customHeight="1">
      <c r="A8" s="179" t="s">
        <v>15</v>
      </c>
      <c r="B8" s="179"/>
      <c r="C8" s="179" t="str">
        <f>TONGQUAN!D6</f>
        <v>Dragon Capital Vietfund Management Joint Stock Company</v>
      </c>
      <c r="D8" s="179"/>
      <c r="E8" s="179"/>
      <c r="F8" s="179"/>
    </row>
    <row r="9" spans="1:6" ht="16.899999999999999" customHeight="1">
      <c r="A9" s="180" t="s">
        <v>3</v>
      </c>
      <c r="B9" s="180"/>
      <c r="C9" s="180" t="str">
        <f>TONGQUAN!D7</f>
        <v>Ngân hàng TNHH Một thành viên Standard Chartered (Việt Nam)</v>
      </c>
      <c r="D9" s="180"/>
      <c r="E9" s="180"/>
      <c r="F9" s="180"/>
    </row>
    <row r="10" spans="1:6" s="65" customFormat="1" ht="16.899999999999999" customHeight="1">
      <c r="A10" s="179" t="s">
        <v>4</v>
      </c>
      <c r="B10" s="179"/>
      <c r="C10" s="179" t="str">
        <f>TONGQUAN!D8</f>
        <v>Standard Chartered Bank (Vietnam) Limited</v>
      </c>
      <c r="D10" s="179"/>
      <c r="E10" s="179"/>
      <c r="F10" s="179"/>
    </row>
    <row r="11" spans="1:6" ht="16.899999999999999" customHeight="1">
      <c r="A11" s="180" t="s">
        <v>5</v>
      </c>
      <c r="B11" s="180"/>
      <c r="C11" s="180" t="str">
        <f>TONGQUAN!D9</f>
        <v>Quỹ Đầu tư Trái phiếu DC</v>
      </c>
      <c r="D11" s="180"/>
      <c r="E11" s="180"/>
      <c r="F11" s="180"/>
    </row>
    <row r="12" spans="1:6" s="65" customFormat="1" ht="16.899999999999999" customHeight="1">
      <c r="A12" s="179" t="s">
        <v>6</v>
      </c>
      <c r="B12" s="179"/>
      <c r="C12" s="179" t="str">
        <f>TONGQUAN!D10</f>
        <v>DC Bond Fund (DCBF)</v>
      </c>
      <c r="D12" s="179"/>
      <c r="E12" s="179"/>
      <c r="F12" s="179"/>
    </row>
    <row r="13" spans="1:6" ht="16.899999999999999" customHeight="1">
      <c r="A13" s="180" t="s">
        <v>7</v>
      </c>
      <c r="B13" s="180"/>
      <c r="C13" s="180" t="str">
        <f>TONGQUAN!D11</f>
        <v>Ngày 03 tháng 02 năm 2025</v>
      </c>
      <c r="D13" s="180"/>
      <c r="E13" s="180"/>
      <c r="F13" s="180"/>
    </row>
    <row r="14" spans="1:6" s="65" customFormat="1" ht="16.899999999999999" customHeight="1">
      <c r="A14" s="179" t="s">
        <v>8</v>
      </c>
      <c r="B14" s="179"/>
      <c r="C14" s="179" t="str">
        <f>TONGQUAN!D12</f>
        <v>03 Feb 2025</v>
      </c>
      <c r="D14" s="179"/>
      <c r="E14" s="179"/>
      <c r="F14" s="179"/>
    </row>
    <row r="15" spans="1:6" s="65" customFormat="1" ht="7.5" customHeight="1">
      <c r="A15" s="68"/>
      <c r="B15" s="68"/>
      <c r="C15" s="68"/>
      <c r="D15" s="68"/>
      <c r="E15" s="68"/>
      <c r="F15" s="68"/>
    </row>
    <row r="16" spans="1:6" s="65" customFormat="1" ht="16.899999999999999" customHeight="1">
      <c r="A16" s="69" t="s">
        <v>298</v>
      </c>
      <c r="B16" s="70" t="s">
        <v>299</v>
      </c>
      <c r="C16" s="68"/>
      <c r="D16" s="68"/>
      <c r="E16" s="68"/>
      <c r="F16" s="68"/>
    </row>
    <row r="17" spans="1:6" s="65" customFormat="1" ht="16.899999999999999" customHeight="1">
      <c r="A17" s="71" t="s">
        <v>16</v>
      </c>
      <c r="B17" s="72" t="s">
        <v>252</v>
      </c>
      <c r="C17" s="68"/>
      <c r="D17" s="68"/>
      <c r="E17" s="68"/>
      <c r="F17" s="68"/>
    </row>
    <row r="18" spans="1:6" s="65" customFormat="1" ht="50.65" customHeight="1">
      <c r="A18" s="73" t="s">
        <v>17</v>
      </c>
      <c r="B18" s="73" t="s">
        <v>18</v>
      </c>
      <c r="C18" s="73" t="s">
        <v>19</v>
      </c>
      <c r="D18" s="74" t="s">
        <v>895</v>
      </c>
      <c r="E18" s="74" t="s">
        <v>896</v>
      </c>
      <c r="F18" s="75" t="s">
        <v>20</v>
      </c>
    </row>
    <row r="19" spans="1:6" ht="39" customHeight="1">
      <c r="A19" s="76" t="s">
        <v>574</v>
      </c>
      <c r="B19" s="77" t="s">
        <v>575</v>
      </c>
      <c r="C19" s="76" t="s">
        <v>576</v>
      </c>
      <c r="D19" s="78"/>
      <c r="E19" s="78"/>
      <c r="F19" s="79"/>
    </row>
    <row r="20" spans="1:6" ht="39" customHeight="1">
      <c r="A20" s="80" t="s">
        <v>577</v>
      </c>
      <c r="B20" s="81" t="s">
        <v>578</v>
      </c>
      <c r="C20" s="80" t="s">
        <v>579</v>
      </c>
      <c r="D20" s="82">
        <v>162739470657</v>
      </c>
      <c r="E20" s="82">
        <v>260940922040</v>
      </c>
      <c r="F20" s="83">
        <v>1.58092583111706</v>
      </c>
    </row>
    <row r="21" spans="1:6" ht="39" customHeight="1">
      <c r="A21" s="80" t="s">
        <v>580</v>
      </c>
      <c r="B21" s="81" t="s">
        <v>581</v>
      </c>
      <c r="C21" s="80" t="s">
        <v>582</v>
      </c>
      <c r="D21" s="82"/>
      <c r="E21" s="82"/>
      <c r="F21" s="83"/>
    </row>
    <row r="22" spans="1:6" ht="39" customHeight="1">
      <c r="A22" s="80" t="s">
        <v>583</v>
      </c>
      <c r="B22" s="81" t="s">
        <v>584</v>
      </c>
      <c r="C22" s="80" t="s">
        <v>585</v>
      </c>
      <c r="D22" s="82" t="s">
        <v>586</v>
      </c>
      <c r="E22" s="82" t="s">
        <v>587</v>
      </c>
      <c r="F22" s="83" t="s">
        <v>588</v>
      </c>
    </row>
    <row r="23" spans="1:6" ht="39" customHeight="1">
      <c r="A23" s="80" t="s">
        <v>589</v>
      </c>
      <c r="B23" s="81" t="s">
        <v>590</v>
      </c>
      <c r="C23" s="80" t="s">
        <v>591</v>
      </c>
      <c r="D23" s="82">
        <v>162739470657</v>
      </c>
      <c r="E23" s="82">
        <v>260940922040</v>
      </c>
      <c r="F23" s="83">
        <v>1.58092583111706</v>
      </c>
    </row>
    <row r="24" spans="1:6" ht="39" customHeight="1">
      <c r="A24" s="80" t="s">
        <v>592</v>
      </c>
      <c r="B24" s="81" t="s">
        <v>593</v>
      </c>
      <c r="C24" s="80" t="s">
        <v>594</v>
      </c>
      <c r="D24" s="82" t="s">
        <v>595</v>
      </c>
      <c r="E24" s="82" t="s">
        <v>596</v>
      </c>
      <c r="F24" s="83" t="s">
        <v>597</v>
      </c>
    </row>
    <row r="25" spans="1:6" ht="50.5" customHeight="1">
      <c r="A25" s="80" t="s">
        <v>598</v>
      </c>
      <c r="B25" s="81" t="s">
        <v>599</v>
      </c>
      <c r="C25" s="80" t="s">
        <v>600</v>
      </c>
      <c r="D25" s="82">
        <v>1114420907</v>
      </c>
      <c r="E25" s="82">
        <v>9923142711</v>
      </c>
      <c r="F25" s="83">
        <v>3.88596555833709E-2</v>
      </c>
    </row>
    <row r="26" spans="1:6" ht="69.5" customHeight="1">
      <c r="A26" s="80" t="s">
        <v>601</v>
      </c>
      <c r="B26" s="81" t="s">
        <v>602</v>
      </c>
      <c r="C26" s="80" t="s">
        <v>603</v>
      </c>
      <c r="D26" s="82">
        <v>4991136</v>
      </c>
      <c r="E26" s="82">
        <v>4391073</v>
      </c>
      <c r="F26" s="83">
        <v>0.50972162053357195</v>
      </c>
    </row>
    <row r="27" spans="1:6" ht="42" customHeight="1">
      <c r="A27" s="80" t="s">
        <v>604</v>
      </c>
      <c r="B27" s="81" t="s">
        <v>605</v>
      </c>
      <c r="C27" s="80" t="s">
        <v>606</v>
      </c>
      <c r="D27" s="82">
        <v>620058614</v>
      </c>
      <c r="E27" s="82">
        <v>2213388256</v>
      </c>
      <c r="F27" s="83">
        <v>0.211518810680974</v>
      </c>
    </row>
    <row r="28" spans="1:6" ht="57" customHeight="1">
      <c r="A28" s="80" t="s">
        <v>607</v>
      </c>
      <c r="B28" s="81" t="s">
        <v>608</v>
      </c>
      <c r="C28" s="80" t="s">
        <v>609</v>
      </c>
      <c r="D28" s="82">
        <v>0</v>
      </c>
      <c r="E28" s="82">
        <v>0</v>
      </c>
      <c r="F28" s="83"/>
    </row>
    <row r="29" spans="1:6" ht="39" customHeight="1">
      <c r="A29" s="80" t="s">
        <v>610</v>
      </c>
      <c r="B29" s="81" t="s">
        <v>611</v>
      </c>
      <c r="C29" s="80" t="s">
        <v>612</v>
      </c>
      <c r="D29" s="82">
        <v>161000000000</v>
      </c>
      <c r="E29" s="82">
        <v>248800000000</v>
      </c>
      <c r="F29" s="83">
        <v>2.2574312955692699</v>
      </c>
    </row>
    <row r="30" spans="1:6" ht="39" customHeight="1">
      <c r="A30" s="80" t="s">
        <v>613</v>
      </c>
      <c r="B30" s="81" t="s">
        <v>614</v>
      </c>
      <c r="C30" s="80" t="s">
        <v>615</v>
      </c>
      <c r="D30" s="82">
        <v>1480776952181</v>
      </c>
      <c r="E30" s="82">
        <v>1383107257612</v>
      </c>
      <c r="F30" s="83">
        <v>3.2126466062342902</v>
      </c>
    </row>
    <row r="31" spans="1:6" ht="39" customHeight="1">
      <c r="A31" s="80" t="s">
        <v>616</v>
      </c>
      <c r="B31" s="81" t="s">
        <v>617</v>
      </c>
      <c r="C31" s="80" t="s">
        <v>618</v>
      </c>
      <c r="D31" s="82" t="s">
        <v>619</v>
      </c>
      <c r="E31" s="82" t="s">
        <v>620</v>
      </c>
      <c r="F31" s="83" t="s">
        <v>621</v>
      </c>
    </row>
    <row r="32" spans="1:6" ht="39" customHeight="1">
      <c r="A32" s="80" t="s">
        <v>622</v>
      </c>
      <c r="B32" s="81" t="s">
        <v>623</v>
      </c>
      <c r="C32" s="80" t="s">
        <v>624</v>
      </c>
      <c r="D32" s="82">
        <v>0</v>
      </c>
      <c r="E32" s="82">
        <v>0</v>
      </c>
      <c r="F32" s="83"/>
    </row>
    <row r="33" spans="1:6" ht="39" customHeight="1">
      <c r="A33" s="80" t="s">
        <v>625</v>
      </c>
      <c r="B33" s="81" t="s">
        <v>626</v>
      </c>
      <c r="C33" s="80" t="s">
        <v>627</v>
      </c>
      <c r="D33" s="82">
        <v>0</v>
      </c>
      <c r="E33" s="82">
        <v>0</v>
      </c>
      <c r="F33" s="83"/>
    </row>
    <row r="34" spans="1:6" ht="39" customHeight="1">
      <c r="A34" s="80" t="s">
        <v>628</v>
      </c>
      <c r="B34" s="81" t="s">
        <v>629</v>
      </c>
      <c r="C34" s="80" t="s">
        <v>630</v>
      </c>
      <c r="D34" s="82">
        <v>1054554046578</v>
      </c>
      <c r="E34" s="82">
        <v>956884352009</v>
      </c>
      <c r="F34" s="83">
        <v>2.4759369307097598</v>
      </c>
    </row>
    <row r="35" spans="1:6" ht="39" customHeight="1">
      <c r="A35" s="80" t="s">
        <v>631</v>
      </c>
      <c r="B35" s="81" t="s">
        <v>632</v>
      </c>
      <c r="C35" s="80" t="s">
        <v>633</v>
      </c>
      <c r="D35" s="82">
        <v>265122905603</v>
      </c>
      <c r="E35" s="82">
        <v>265122905603</v>
      </c>
      <c r="F35" s="83">
        <v>7.5749401600857098</v>
      </c>
    </row>
    <row r="36" spans="1:6" ht="59" customHeight="1">
      <c r="A36" s="80" t="s">
        <v>634</v>
      </c>
      <c r="B36" s="81" t="s">
        <v>635</v>
      </c>
      <c r="C36" s="80" t="s">
        <v>636</v>
      </c>
      <c r="D36" s="82">
        <v>161100000000</v>
      </c>
      <c r="E36" s="82">
        <v>161100000000</v>
      </c>
      <c r="F36" s="83"/>
    </row>
    <row r="37" spans="1:6" ht="39" customHeight="1">
      <c r="A37" s="80" t="s">
        <v>637</v>
      </c>
      <c r="B37" s="81" t="s">
        <v>638</v>
      </c>
      <c r="C37" s="80" t="s">
        <v>639</v>
      </c>
      <c r="D37" s="82">
        <v>0</v>
      </c>
      <c r="E37" s="82">
        <v>0</v>
      </c>
      <c r="F37" s="83"/>
    </row>
    <row r="38" spans="1:6" ht="39" customHeight="1">
      <c r="A38" s="80" t="s">
        <v>640</v>
      </c>
      <c r="B38" s="81" t="s">
        <v>641</v>
      </c>
      <c r="C38" s="80" t="s">
        <v>642</v>
      </c>
      <c r="D38" s="82">
        <v>0</v>
      </c>
      <c r="E38" s="82">
        <v>0</v>
      </c>
      <c r="F38" s="83"/>
    </row>
    <row r="39" spans="1:6" ht="39" customHeight="1">
      <c r="A39" s="80" t="s">
        <v>643</v>
      </c>
      <c r="B39" s="81" t="s">
        <v>644</v>
      </c>
      <c r="C39" s="80" t="s">
        <v>645</v>
      </c>
      <c r="D39" s="82">
        <v>0</v>
      </c>
      <c r="E39" s="82">
        <v>0</v>
      </c>
      <c r="F39" s="83"/>
    </row>
    <row r="40" spans="1:6" ht="39" customHeight="1">
      <c r="A40" s="80" t="s">
        <v>646</v>
      </c>
      <c r="B40" s="81" t="s">
        <v>647</v>
      </c>
      <c r="C40" s="80" t="s">
        <v>648</v>
      </c>
      <c r="D40" s="82">
        <v>0</v>
      </c>
      <c r="E40" s="82">
        <v>0</v>
      </c>
      <c r="F40" s="83"/>
    </row>
    <row r="41" spans="1:6" ht="71.5" customHeight="1">
      <c r="A41" s="80" t="s">
        <v>649</v>
      </c>
      <c r="B41" s="81" t="s">
        <v>650</v>
      </c>
      <c r="C41" s="80" t="s">
        <v>651</v>
      </c>
      <c r="D41" s="82">
        <v>0</v>
      </c>
      <c r="E41" s="82">
        <v>0</v>
      </c>
      <c r="F41" s="83"/>
    </row>
    <row r="42" spans="1:6" ht="39" customHeight="1">
      <c r="A42" s="80" t="s">
        <v>652</v>
      </c>
      <c r="B42" s="81" t="s">
        <v>653</v>
      </c>
      <c r="C42" s="80" t="s">
        <v>654</v>
      </c>
      <c r="D42" s="82" t="s">
        <v>655</v>
      </c>
      <c r="E42" s="82" t="s">
        <v>656</v>
      </c>
      <c r="F42" s="83" t="s">
        <v>657</v>
      </c>
    </row>
    <row r="43" spans="1:6" ht="39" customHeight="1">
      <c r="A43" s="80" t="s">
        <v>658</v>
      </c>
      <c r="B43" s="81" t="s">
        <v>659</v>
      </c>
      <c r="C43" s="80" t="s">
        <v>660</v>
      </c>
      <c r="D43" s="82">
        <v>36142849246</v>
      </c>
      <c r="E43" s="82">
        <v>30288039815</v>
      </c>
      <c r="F43" s="83">
        <v>2.0484234507402501</v>
      </c>
    </row>
    <row r="44" spans="1:6" ht="39" customHeight="1">
      <c r="A44" s="80" t="s">
        <v>661</v>
      </c>
      <c r="B44" s="81" t="s">
        <v>662</v>
      </c>
      <c r="C44" s="80" t="s">
        <v>663</v>
      </c>
      <c r="D44" s="82" t="s">
        <v>664</v>
      </c>
      <c r="E44" s="82" t="s">
        <v>665</v>
      </c>
      <c r="F44" s="83" t="s">
        <v>666</v>
      </c>
    </row>
    <row r="45" spans="1:6" ht="39" customHeight="1">
      <c r="A45" s="80" t="s">
        <v>667</v>
      </c>
      <c r="B45" s="81" t="s">
        <v>668</v>
      </c>
      <c r="C45" s="80" t="s">
        <v>669</v>
      </c>
      <c r="D45" s="82">
        <v>0</v>
      </c>
      <c r="E45" s="82">
        <v>0</v>
      </c>
      <c r="F45" s="83"/>
    </row>
    <row r="46" spans="1:6" ht="39" customHeight="1">
      <c r="A46" s="80" t="s">
        <v>670</v>
      </c>
      <c r="B46" s="81" t="s">
        <v>671</v>
      </c>
      <c r="C46" s="80" t="s">
        <v>672</v>
      </c>
      <c r="D46" s="82">
        <v>36142849246</v>
      </c>
      <c r="E46" s="82">
        <v>30288039815</v>
      </c>
      <c r="F46" s="83">
        <v>2.0484234507402501</v>
      </c>
    </row>
    <row r="47" spans="1:6" ht="39" customHeight="1">
      <c r="A47" s="80" t="s">
        <v>673</v>
      </c>
      <c r="B47" s="81" t="s">
        <v>674</v>
      </c>
      <c r="C47" s="80" t="s">
        <v>675</v>
      </c>
      <c r="D47" s="82">
        <v>12944287808</v>
      </c>
      <c r="E47" s="82">
        <v>13444436440</v>
      </c>
      <c r="F47" s="83">
        <v>114.538862519708</v>
      </c>
    </row>
    <row r="48" spans="1:6" ht="39" customHeight="1">
      <c r="A48" s="80" t="s">
        <v>676</v>
      </c>
      <c r="B48" s="81" t="s">
        <v>677</v>
      </c>
      <c r="C48" s="80" t="s">
        <v>678</v>
      </c>
      <c r="D48" s="82" t="s">
        <v>679</v>
      </c>
      <c r="E48" s="82" t="s">
        <v>680</v>
      </c>
      <c r="F48" s="83" t="s">
        <v>681</v>
      </c>
    </row>
    <row r="49" spans="1:6" ht="39" customHeight="1">
      <c r="A49" s="80" t="s">
        <v>682</v>
      </c>
      <c r="B49" s="81" t="s">
        <v>683</v>
      </c>
      <c r="C49" s="80" t="s">
        <v>684</v>
      </c>
      <c r="D49" s="82">
        <v>4757027535</v>
      </c>
      <c r="E49" s="82">
        <v>3842326851</v>
      </c>
      <c r="F49" s="83">
        <v>42.093047598732099</v>
      </c>
    </row>
    <row r="50" spans="1:6" ht="61.5" customHeight="1">
      <c r="A50" s="80" t="s">
        <v>685</v>
      </c>
      <c r="B50" s="81" t="s">
        <v>686</v>
      </c>
      <c r="C50" s="80" t="s">
        <v>687</v>
      </c>
      <c r="D50" s="82">
        <v>8187260273</v>
      </c>
      <c r="E50" s="82">
        <v>9602109589</v>
      </c>
      <c r="F50" s="83"/>
    </row>
    <row r="51" spans="1:6" ht="59" customHeight="1">
      <c r="A51" s="80" t="s">
        <v>688</v>
      </c>
      <c r="B51" s="81" t="s">
        <v>689</v>
      </c>
      <c r="C51" s="80" t="s">
        <v>690</v>
      </c>
      <c r="D51" s="82">
        <v>0</v>
      </c>
      <c r="E51" s="82">
        <v>0</v>
      </c>
      <c r="F51" s="83"/>
    </row>
    <row r="52" spans="1:6" ht="67" customHeight="1">
      <c r="A52" s="80" t="s">
        <v>691</v>
      </c>
      <c r="B52" s="81" t="s">
        <v>692</v>
      </c>
      <c r="C52" s="80" t="s">
        <v>693</v>
      </c>
      <c r="D52" s="82">
        <v>0</v>
      </c>
      <c r="E52" s="82">
        <v>0</v>
      </c>
      <c r="F52" s="83"/>
    </row>
    <row r="53" spans="1:6" ht="39" customHeight="1">
      <c r="A53" s="80" t="s">
        <v>694</v>
      </c>
      <c r="B53" s="81" t="s">
        <v>695</v>
      </c>
      <c r="C53" s="80" t="s">
        <v>696</v>
      </c>
      <c r="D53" s="82" t="s">
        <v>697</v>
      </c>
      <c r="E53" s="82" t="s">
        <v>698</v>
      </c>
      <c r="F53" s="83" t="s">
        <v>699</v>
      </c>
    </row>
    <row r="54" spans="1:6" ht="39" customHeight="1">
      <c r="A54" s="80" t="s">
        <v>700</v>
      </c>
      <c r="B54" s="81" t="s">
        <v>701</v>
      </c>
      <c r="C54" s="80" t="s">
        <v>702</v>
      </c>
      <c r="D54" s="82">
        <v>0</v>
      </c>
      <c r="E54" s="82">
        <v>0</v>
      </c>
      <c r="F54" s="83"/>
    </row>
    <row r="55" spans="1:6" ht="39" customHeight="1">
      <c r="A55" s="80" t="s">
        <v>703</v>
      </c>
      <c r="B55" s="81" t="s">
        <v>704</v>
      </c>
      <c r="C55" s="80" t="s">
        <v>705</v>
      </c>
      <c r="D55" s="82" t="s">
        <v>706</v>
      </c>
      <c r="E55" s="82" t="s">
        <v>707</v>
      </c>
      <c r="F55" s="83" t="s">
        <v>708</v>
      </c>
    </row>
    <row r="56" spans="1:6" ht="39" customHeight="1">
      <c r="A56" s="80" t="s">
        <v>709</v>
      </c>
      <c r="B56" s="81" t="s">
        <v>710</v>
      </c>
      <c r="C56" s="80" t="s">
        <v>711</v>
      </c>
      <c r="D56" s="82">
        <v>0</v>
      </c>
      <c r="E56" s="82">
        <v>0</v>
      </c>
      <c r="F56" s="83"/>
    </row>
    <row r="57" spans="1:6" ht="39" customHeight="1">
      <c r="A57" s="80" t="s">
        <v>712</v>
      </c>
      <c r="B57" s="81" t="s">
        <v>713</v>
      </c>
      <c r="C57" s="80" t="s">
        <v>714</v>
      </c>
      <c r="D57" s="82" t="s">
        <v>715</v>
      </c>
      <c r="E57" s="82" t="s">
        <v>716</v>
      </c>
      <c r="F57" s="83" t="s">
        <v>717</v>
      </c>
    </row>
    <row r="58" spans="1:6" ht="39" customHeight="1">
      <c r="A58" s="80" t="s">
        <v>718</v>
      </c>
      <c r="B58" s="81" t="s">
        <v>719</v>
      </c>
      <c r="C58" s="80" t="s">
        <v>720</v>
      </c>
      <c r="D58" s="82">
        <v>0</v>
      </c>
      <c r="E58" s="82">
        <v>0</v>
      </c>
      <c r="F58" s="83"/>
    </row>
    <row r="59" spans="1:6" ht="39" customHeight="1">
      <c r="A59" s="80" t="s">
        <v>721</v>
      </c>
      <c r="B59" s="81" t="s">
        <v>722</v>
      </c>
      <c r="C59" s="80" t="s">
        <v>723</v>
      </c>
      <c r="D59" s="82">
        <v>0</v>
      </c>
      <c r="E59" s="82">
        <v>0</v>
      </c>
      <c r="F59" s="83"/>
    </row>
    <row r="60" spans="1:6" ht="39" customHeight="1">
      <c r="A60" s="80" t="s">
        <v>724</v>
      </c>
      <c r="B60" s="81" t="s">
        <v>725</v>
      </c>
      <c r="C60" s="80" t="s">
        <v>726</v>
      </c>
      <c r="D60" s="82">
        <v>0</v>
      </c>
      <c r="E60" s="82">
        <v>0</v>
      </c>
      <c r="F60" s="83"/>
    </row>
    <row r="61" spans="1:6" ht="39" customHeight="1">
      <c r="A61" s="80" t="s">
        <v>727</v>
      </c>
      <c r="B61" s="81" t="s">
        <v>728</v>
      </c>
      <c r="C61" s="80" t="s">
        <v>729</v>
      </c>
      <c r="D61" s="82">
        <v>0</v>
      </c>
      <c r="E61" s="82">
        <v>0</v>
      </c>
      <c r="F61" s="83"/>
    </row>
    <row r="62" spans="1:6" ht="39" customHeight="1">
      <c r="A62" s="80" t="s">
        <v>730</v>
      </c>
      <c r="B62" s="81" t="s">
        <v>731</v>
      </c>
      <c r="C62" s="80" t="s">
        <v>732</v>
      </c>
      <c r="D62" s="82" t="s">
        <v>733</v>
      </c>
      <c r="E62" s="82" t="s">
        <v>734</v>
      </c>
      <c r="F62" s="83" t="s">
        <v>735</v>
      </c>
    </row>
    <row r="63" spans="1:6" ht="39" customHeight="1">
      <c r="A63" s="76" t="s">
        <v>736</v>
      </c>
      <c r="B63" s="77" t="s">
        <v>737</v>
      </c>
      <c r="C63" s="76" t="s">
        <v>738</v>
      </c>
      <c r="D63" s="78">
        <v>1692603559892</v>
      </c>
      <c r="E63" s="78">
        <v>1687780655907</v>
      </c>
      <c r="F63" s="79">
        <v>2.9101646846540201</v>
      </c>
    </row>
    <row r="64" spans="1:6" ht="39" customHeight="1">
      <c r="A64" s="76" t="s">
        <v>739</v>
      </c>
      <c r="B64" s="77" t="s">
        <v>740</v>
      </c>
      <c r="C64" s="76" t="s">
        <v>741</v>
      </c>
      <c r="D64" s="78"/>
      <c r="E64" s="78"/>
      <c r="F64" s="79"/>
    </row>
    <row r="65" spans="1:6" ht="66.5" customHeight="1">
      <c r="A65" s="80" t="s">
        <v>742</v>
      </c>
      <c r="B65" s="81" t="s">
        <v>743</v>
      </c>
      <c r="C65" s="80" t="s">
        <v>744</v>
      </c>
      <c r="D65" s="82">
        <v>0</v>
      </c>
      <c r="E65" s="82">
        <v>0</v>
      </c>
      <c r="F65" s="83"/>
    </row>
    <row r="66" spans="1:6" ht="39" customHeight="1">
      <c r="A66" s="80" t="s">
        <v>745</v>
      </c>
      <c r="B66" s="81" t="s">
        <v>746</v>
      </c>
      <c r="C66" s="80" t="s">
        <v>747</v>
      </c>
      <c r="D66" s="82" t="s">
        <v>748</v>
      </c>
      <c r="E66" s="82" t="s">
        <v>749</v>
      </c>
      <c r="F66" s="83" t="s">
        <v>750</v>
      </c>
    </row>
    <row r="67" spans="1:6" ht="39" customHeight="1">
      <c r="A67" s="80" t="s">
        <v>751</v>
      </c>
      <c r="B67" s="81" t="s">
        <v>752</v>
      </c>
      <c r="C67" s="80" t="s">
        <v>753</v>
      </c>
      <c r="D67" s="82">
        <v>0</v>
      </c>
      <c r="E67" s="82">
        <v>0</v>
      </c>
      <c r="F67" s="83"/>
    </row>
    <row r="68" spans="1:6" ht="39" customHeight="1">
      <c r="A68" s="80" t="s">
        <v>754</v>
      </c>
      <c r="B68" s="81" t="s">
        <v>755</v>
      </c>
      <c r="C68" s="80" t="s">
        <v>756</v>
      </c>
      <c r="D68" s="82" t="s">
        <v>757</v>
      </c>
      <c r="E68" s="82" t="s">
        <v>758</v>
      </c>
      <c r="F68" s="83" t="s">
        <v>759</v>
      </c>
    </row>
    <row r="69" spans="1:6" ht="39" customHeight="1">
      <c r="A69" s="80" t="s">
        <v>760</v>
      </c>
      <c r="B69" s="81" t="s">
        <v>761</v>
      </c>
      <c r="C69" s="80" t="s">
        <v>762</v>
      </c>
      <c r="D69" s="82">
        <v>6254402891</v>
      </c>
      <c r="E69" s="82">
        <v>39206607425</v>
      </c>
      <c r="F69" s="83">
        <v>0.20605497248688501</v>
      </c>
    </row>
    <row r="70" spans="1:6" ht="39" customHeight="1">
      <c r="A70" s="80" t="s">
        <v>763</v>
      </c>
      <c r="B70" s="81" t="s">
        <v>764</v>
      </c>
      <c r="C70" s="80" t="s">
        <v>765</v>
      </c>
      <c r="D70" s="82" t="s">
        <v>766</v>
      </c>
      <c r="E70" s="82" t="s">
        <v>767</v>
      </c>
      <c r="F70" s="83" t="s">
        <v>768</v>
      </c>
    </row>
    <row r="71" spans="1:6" ht="39" customHeight="1">
      <c r="A71" s="80" t="s">
        <v>769</v>
      </c>
      <c r="B71" s="81" t="s">
        <v>770</v>
      </c>
      <c r="C71" s="80" t="s">
        <v>771</v>
      </c>
      <c r="D71" s="82">
        <v>3591754541</v>
      </c>
      <c r="E71" s="82">
        <v>36492948218</v>
      </c>
      <c r="F71" s="83">
        <v>0.12194824230831</v>
      </c>
    </row>
    <row r="72" spans="1:6" ht="55.5" customHeight="1">
      <c r="A72" s="80" t="s">
        <v>772</v>
      </c>
      <c r="B72" s="81" t="s">
        <v>773</v>
      </c>
      <c r="C72" s="80" t="s">
        <v>774</v>
      </c>
      <c r="D72" s="82">
        <v>1114420907</v>
      </c>
      <c r="E72" s="82">
        <v>9923142711</v>
      </c>
      <c r="F72" s="83">
        <v>3.88596555833709E-2</v>
      </c>
    </row>
    <row r="73" spans="1:6" ht="48" customHeight="1">
      <c r="A73" s="80" t="s">
        <v>775</v>
      </c>
      <c r="B73" s="81" t="s">
        <v>776</v>
      </c>
      <c r="C73" s="80" t="s">
        <v>777</v>
      </c>
      <c r="D73" s="82">
        <v>0</v>
      </c>
      <c r="E73" s="82">
        <v>0</v>
      </c>
      <c r="F73" s="83"/>
    </row>
    <row r="74" spans="1:6" ht="43" customHeight="1">
      <c r="A74" s="80" t="s">
        <v>778</v>
      </c>
      <c r="B74" s="81" t="s">
        <v>779</v>
      </c>
      <c r="C74" s="80" t="s">
        <v>780</v>
      </c>
      <c r="D74" s="82">
        <v>0</v>
      </c>
      <c r="E74" s="82">
        <v>0</v>
      </c>
      <c r="F74" s="83"/>
    </row>
    <row r="75" spans="1:6" ht="51.5" customHeight="1">
      <c r="A75" s="80" t="s">
        <v>781</v>
      </c>
      <c r="B75" s="81" t="s">
        <v>782</v>
      </c>
      <c r="C75" s="80" t="s">
        <v>783</v>
      </c>
      <c r="D75" s="82">
        <v>2477333634</v>
      </c>
      <c r="E75" s="82">
        <v>26569805507</v>
      </c>
      <c r="F75" s="83">
        <v>3.1965143434649899</v>
      </c>
    </row>
    <row r="76" spans="1:6" ht="49.5" customHeight="1">
      <c r="A76" s="80" t="s">
        <v>784</v>
      </c>
      <c r="B76" s="81" t="s">
        <v>785</v>
      </c>
      <c r="C76" s="80" t="s">
        <v>786</v>
      </c>
      <c r="D76" s="82">
        <v>72785573</v>
      </c>
      <c r="E76" s="82">
        <v>137193084</v>
      </c>
      <c r="F76" s="83">
        <v>35.403334118068202</v>
      </c>
    </row>
    <row r="77" spans="1:6" ht="83.5" customHeight="1">
      <c r="A77" s="80" t="s">
        <v>787</v>
      </c>
      <c r="B77" s="81" t="s">
        <v>788</v>
      </c>
      <c r="C77" s="80" t="s">
        <v>789</v>
      </c>
      <c r="D77" s="82">
        <v>367542413</v>
      </c>
      <c r="E77" s="82">
        <v>405658375</v>
      </c>
      <c r="F77" s="83">
        <v>35.885492988783803</v>
      </c>
    </row>
    <row r="78" spans="1:6" ht="39" customHeight="1">
      <c r="A78" s="80" t="s">
        <v>790</v>
      </c>
      <c r="B78" s="81" t="s">
        <v>791</v>
      </c>
      <c r="C78" s="80" t="s">
        <v>792</v>
      </c>
      <c r="D78" s="82">
        <v>0</v>
      </c>
      <c r="E78" s="82">
        <v>0</v>
      </c>
      <c r="F78" s="83"/>
    </row>
    <row r="79" spans="1:6" ht="49" customHeight="1">
      <c r="A79" s="80" t="s">
        <v>793</v>
      </c>
      <c r="B79" s="81" t="s">
        <v>794</v>
      </c>
      <c r="C79" s="80" t="s">
        <v>795</v>
      </c>
      <c r="D79" s="82">
        <v>6509589</v>
      </c>
      <c r="E79" s="82">
        <v>12000000</v>
      </c>
      <c r="F79" s="83">
        <v>1.00021388412182</v>
      </c>
    </row>
    <row r="80" spans="1:6" ht="39" customHeight="1">
      <c r="A80" s="80" t="s">
        <v>796</v>
      </c>
      <c r="B80" s="81" t="s">
        <v>797</v>
      </c>
      <c r="C80" s="80" t="s">
        <v>798</v>
      </c>
      <c r="D80" s="82">
        <v>1708862226</v>
      </c>
      <c r="E80" s="82">
        <v>1650065860</v>
      </c>
      <c r="F80" s="83">
        <v>3.3648248493946702</v>
      </c>
    </row>
    <row r="81" spans="1:6" ht="39" customHeight="1">
      <c r="A81" s="80" t="s">
        <v>799</v>
      </c>
      <c r="B81" s="81" t="s">
        <v>800</v>
      </c>
      <c r="C81" s="80" t="s">
        <v>801</v>
      </c>
      <c r="D81" s="82">
        <v>46993711</v>
      </c>
      <c r="E81" s="82">
        <v>45376811</v>
      </c>
      <c r="F81" s="83">
        <v>3.3648247418458102</v>
      </c>
    </row>
    <row r="82" spans="1:6" ht="39" customHeight="1">
      <c r="A82" s="80" t="s">
        <v>802</v>
      </c>
      <c r="B82" s="81" t="s">
        <v>803</v>
      </c>
      <c r="C82" s="80" t="s">
        <v>804</v>
      </c>
      <c r="D82" s="82">
        <v>62658281</v>
      </c>
      <c r="E82" s="82">
        <v>60502415</v>
      </c>
      <c r="F82" s="83">
        <v>3.3648250251039702</v>
      </c>
    </row>
    <row r="83" spans="1:6" ht="39" customHeight="1">
      <c r="A83" s="80" t="s">
        <v>805</v>
      </c>
      <c r="B83" s="81" t="s">
        <v>806</v>
      </c>
      <c r="C83" s="80" t="s">
        <v>807</v>
      </c>
      <c r="D83" s="82">
        <v>192537125</v>
      </c>
      <c r="E83" s="82">
        <v>192537125</v>
      </c>
      <c r="F83" s="83">
        <v>1</v>
      </c>
    </row>
    <row r="84" spans="1:6" ht="39" customHeight="1">
      <c r="A84" s="80" t="s">
        <v>808</v>
      </c>
      <c r="B84" s="81" t="s">
        <v>809</v>
      </c>
      <c r="C84" s="80" t="s">
        <v>810</v>
      </c>
      <c r="D84" s="82">
        <v>192537125</v>
      </c>
      <c r="E84" s="82">
        <v>192537125</v>
      </c>
      <c r="F84" s="83">
        <v>1</v>
      </c>
    </row>
    <row r="85" spans="1:6" ht="46" customHeight="1">
      <c r="A85" s="80" t="s">
        <v>811</v>
      </c>
      <c r="B85" s="81" t="s">
        <v>812</v>
      </c>
      <c r="C85" s="80" t="s">
        <v>813</v>
      </c>
      <c r="D85" s="82">
        <v>0</v>
      </c>
      <c r="E85" s="82">
        <v>0</v>
      </c>
      <c r="F85" s="83"/>
    </row>
    <row r="86" spans="1:6" ht="39" customHeight="1">
      <c r="A86" s="80" t="s">
        <v>814</v>
      </c>
      <c r="B86" s="81" t="s">
        <v>815</v>
      </c>
      <c r="C86" s="80" t="s">
        <v>816</v>
      </c>
      <c r="D86" s="82">
        <v>51091815</v>
      </c>
      <c r="E86" s="82">
        <v>49976921</v>
      </c>
      <c r="F86" s="83">
        <v>2.7352998382273999</v>
      </c>
    </row>
    <row r="87" spans="1:6" ht="39" customHeight="1">
      <c r="A87" s="80" t="s">
        <v>817</v>
      </c>
      <c r="B87" s="81" t="s">
        <v>818</v>
      </c>
      <c r="C87" s="80" t="s">
        <v>819</v>
      </c>
      <c r="D87" s="82">
        <v>49841815</v>
      </c>
      <c r="E87" s="82">
        <v>48126921</v>
      </c>
      <c r="F87" s="83">
        <v>2.9442217882318</v>
      </c>
    </row>
    <row r="88" spans="1:6" ht="39" customHeight="1">
      <c r="A88" s="80" t="s">
        <v>820</v>
      </c>
      <c r="B88" s="81" t="s">
        <v>821</v>
      </c>
      <c r="C88" s="80" t="s">
        <v>822</v>
      </c>
      <c r="D88" s="82">
        <v>500000</v>
      </c>
      <c r="E88" s="82">
        <v>1100000</v>
      </c>
      <c r="F88" s="83">
        <v>0.5</v>
      </c>
    </row>
    <row r="89" spans="1:6" ht="69" customHeight="1">
      <c r="A89" s="80" t="s">
        <v>823</v>
      </c>
      <c r="B89" s="81" t="s">
        <v>824</v>
      </c>
      <c r="C89" s="80" t="s">
        <v>825</v>
      </c>
      <c r="D89" s="82">
        <v>750000</v>
      </c>
      <c r="E89" s="82">
        <v>750000</v>
      </c>
      <c r="F89" s="83">
        <v>1</v>
      </c>
    </row>
    <row r="90" spans="1:6" ht="39" customHeight="1">
      <c r="A90" s="80" t="s">
        <v>826</v>
      </c>
      <c r="B90" s="81" t="s">
        <v>827</v>
      </c>
      <c r="C90" s="80" t="s">
        <v>828</v>
      </c>
      <c r="D90" s="82">
        <v>86905479</v>
      </c>
      <c r="E90" s="82">
        <v>74480000</v>
      </c>
      <c r="F90" s="83">
        <v>0.95037125350417695</v>
      </c>
    </row>
    <row r="91" spans="1:6" ht="39" customHeight="1">
      <c r="A91" s="80" t="s">
        <v>829</v>
      </c>
      <c r="B91" s="81" t="s">
        <v>830</v>
      </c>
      <c r="C91" s="80" t="s">
        <v>831</v>
      </c>
      <c r="D91" s="82">
        <v>42983485</v>
      </c>
      <c r="E91" s="82">
        <v>39618616</v>
      </c>
      <c r="F91" s="83"/>
    </row>
    <row r="92" spans="1:6" ht="39" customHeight="1">
      <c r="A92" s="80" t="s">
        <v>832</v>
      </c>
      <c r="B92" s="81" t="s">
        <v>833</v>
      </c>
      <c r="C92" s="80" t="s">
        <v>834</v>
      </c>
      <c r="D92" s="82">
        <v>0</v>
      </c>
      <c r="E92" s="82">
        <v>0</v>
      </c>
      <c r="F92" s="83"/>
    </row>
    <row r="93" spans="1:6" ht="39" customHeight="1">
      <c r="A93" s="80" t="s">
        <v>835</v>
      </c>
      <c r="B93" s="81" t="s">
        <v>836</v>
      </c>
      <c r="C93" s="80" t="s">
        <v>837</v>
      </c>
      <c r="D93" s="82">
        <v>11000000</v>
      </c>
      <c r="E93" s="82">
        <v>11000000</v>
      </c>
      <c r="F93" s="83">
        <v>1</v>
      </c>
    </row>
    <row r="94" spans="1:6" ht="70.5" customHeight="1">
      <c r="A94" s="80" t="s">
        <v>838</v>
      </c>
      <c r="B94" s="81" t="s">
        <v>839</v>
      </c>
      <c r="C94" s="80" t="s">
        <v>840</v>
      </c>
      <c r="D94" s="82">
        <v>0</v>
      </c>
      <c r="E94" s="82">
        <v>0</v>
      </c>
      <c r="F94" s="83"/>
    </row>
    <row r="95" spans="1:6" ht="60.5" customHeight="1">
      <c r="A95" s="80" t="s">
        <v>841</v>
      </c>
      <c r="B95" s="81" t="s">
        <v>842</v>
      </c>
      <c r="C95" s="80" t="s">
        <v>843</v>
      </c>
      <c r="D95" s="82">
        <v>0</v>
      </c>
      <c r="E95" s="82">
        <v>0</v>
      </c>
      <c r="F95" s="83"/>
    </row>
    <row r="96" spans="1:6" ht="39" customHeight="1">
      <c r="A96" s="80" t="s">
        <v>844</v>
      </c>
      <c r="B96" s="81" t="s">
        <v>845</v>
      </c>
      <c r="C96" s="80" t="s">
        <v>846</v>
      </c>
      <c r="D96" s="82">
        <v>12778653</v>
      </c>
      <c r="E96" s="82">
        <v>35250000</v>
      </c>
      <c r="F96" s="83">
        <v>0.472255553994755</v>
      </c>
    </row>
    <row r="97" spans="1:6" ht="39" customHeight="1">
      <c r="A97" s="80" t="s">
        <v>847</v>
      </c>
      <c r="B97" s="81" t="s">
        <v>848</v>
      </c>
      <c r="C97" s="80" t="s">
        <v>849</v>
      </c>
      <c r="D97" s="82">
        <v>12141667</v>
      </c>
      <c r="E97" s="82">
        <v>35250000</v>
      </c>
      <c r="F97" s="83">
        <v>1.5166666146190799</v>
      </c>
    </row>
    <row r="98" spans="1:6" ht="72.5" customHeight="1">
      <c r="A98" s="80" t="s">
        <v>850</v>
      </c>
      <c r="B98" s="81" t="s">
        <v>851</v>
      </c>
      <c r="C98" s="80" t="s">
        <v>852</v>
      </c>
      <c r="D98" s="82">
        <v>0</v>
      </c>
      <c r="E98" s="82">
        <v>0</v>
      </c>
      <c r="F98" s="83"/>
    </row>
    <row r="99" spans="1:6" ht="70" customHeight="1">
      <c r="A99" s="80" t="s">
        <v>853</v>
      </c>
      <c r="B99" s="81" t="s">
        <v>854</v>
      </c>
      <c r="C99" s="80" t="s">
        <v>855</v>
      </c>
      <c r="D99" s="82">
        <v>636986</v>
      </c>
      <c r="E99" s="82">
        <v>0</v>
      </c>
      <c r="F99" s="83">
        <v>7.8299537592348201E-2</v>
      </c>
    </row>
    <row r="100" spans="1:6" ht="39" customHeight="1">
      <c r="A100" s="80" t="s">
        <v>856</v>
      </c>
      <c r="B100" s="81" t="s">
        <v>857</v>
      </c>
      <c r="C100" s="80" t="s">
        <v>858</v>
      </c>
      <c r="D100" s="82">
        <v>0</v>
      </c>
      <c r="E100" s="82">
        <v>0</v>
      </c>
      <c r="F100" s="83">
        <v>0</v>
      </c>
    </row>
    <row r="101" spans="1:6" ht="39" customHeight="1">
      <c r="A101" s="80" t="s">
        <v>859</v>
      </c>
      <c r="B101" s="81" t="s">
        <v>860</v>
      </c>
      <c r="C101" s="80" t="s">
        <v>861</v>
      </c>
      <c r="D101" s="82">
        <v>0</v>
      </c>
      <c r="E101" s="82">
        <v>0</v>
      </c>
      <c r="F101" s="83"/>
    </row>
    <row r="102" spans="1:6" ht="39" customHeight="1">
      <c r="A102" s="80" t="s">
        <v>862</v>
      </c>
      <c r="B102" s="81" t="s">
        <v>863</v>
      </c>
      <c r="C102" s="80" t="s">
        <v>864</v>
      </c>
      <c r="D102" s="82">
        <v>0</v>
      </c>
      <c r="E102" s="82">
        <v>0</v>
      </c>
      <c r="F102" s="83"/>
    </row>
    <row r="103" spans="1:6" ht="39" customHeight="1">
      <c r="A103" s="80" t="s">
        <v>865</v>
      </c>
      <c r="B103" s="81" t="s">
        <v>866</v>
      </c>
      <c r="C103" s="80" t="s">
        <v>867</v>
      </c>
      <c r="D103" s="82">
        <v>0</v>
      </c>
      <c r="E103" s="82">
        <v>0</v>
      </c>
      <c r="F103" s="83"/>
    </row>
    <row r="104" spans="1:6" ht="39" customHeight="1">
      <c r="A104" s="80" t="s">
        <v>868</v>
      </c>
      <c r="B104" s="81" t="s">
        <v>869</v>
      </c>
      <c r="C104" s="80" t="s">
        <v>870</v>
      </c>
      <c r="D104" s="82">
        <v>0</v>
      </c>
      <c r="E104" s="82">
        <v>0</v>
      </c>
      <c r="F104" s="83"/>
    </row>
    <row r="105" spans="1:6" ht="39" customHeight="1">
      <c r="A105" s="76" t="s">
        <v>871</v>
      </c>
      <c r="B105" s="77" t="s">
        <v>872</v>
      </c>
      <c r="C105" s="76" t="s">
        <v>873</v>
      </c>
      <c r="D105" s="78">
        <v>6254402891</v>
      </c>
      <c r="E105" s="78">
        <v>39206607425</v>
      </c>
      <c r="F105" s="79">
        <v>0.20605497248688501</v>
      </c>
    </row>
    <row r="106" spans="1:6" ht="39" customHeight="1">
      <c r="A106" s="80" t="s">
        <v>874</v>
      </c>
      <c r="B106" s="81" t="s">
        <v>875</v>
      </c>
      <c r="C106" s="80" t="s">
        <v>876</v>
      </c>
      <c r="D106" s="82">
        <v>1686349157001</v>
      </c>
      <c r="E106" s="82">
        <v>1648574048482</v>
      </c>
      <c r="F106" s="83">
        <v>3.0590551435422002</v>
      </c>
    </row>
    <row r="107" spans="1:6" ht="39" customHeight="1">
      <c r="A107" s="80" t="s">
        <v>877</v>
      </c>
      <c r="B107" s="81" t="s">
        <v>878</v>
      </c>
      <c r="C107" s="80" t="s">
        <v>879</v>
      </c>
      <c r="D107" s="84">
        <v>61886381.729999997</v>
      </c>
      <c r="E107" s="84">
        <v>60787851.609999999</v>
      </c>
      <c r="F107" s="83">
        <v>2.8634213888525002</v>
      </c>
    </row>
    <row r="108" spans="1:6" ht="39" customHeight="1">
      <c r="A108" s="80" t="s">
        <v>880</v>
      </c>
      <c r="B108" s="81" t="s">
        <v>881</v>
      </c>
      <c r="C108" s="80" t="s">
        <v>882</v>
      </c>
      <c r="D108" s="84">
        <v>27249.11</v>
      </c>
      <c r="E108" s="84">
        <v>27120.12</v>
      </c>
      <c r="F108" s="83">
        <v>1.06832148862622</v>
      </c>
    </row>
    <row r="109" spans="1:6" s="65" customFormat="1" ht="16.899999999999999" customHeight="1"/>
    <row r="110" spans="1:6" s="65" customFormat="1" ht="16.899999999999999" customHeight="1">
      <c r="A110" s="85" t="s">
        <v>10</v>
      </c>
      <c r="B110" s="86"/>
      <c r="C110" s="86"/>
      <c r="E110" s="85" t="s">
        <v>11</v>
      </c>
      <c r="F110" s="86"/>
    </row>
    <row r="111" spans="1:6" s="89" customFormat="1" ht="16.899999999999999" customHeight="1">
      <c r="A111" s="87" t="s">
        <v>12</v>
      </c>
      <c r="B111" s="88"/>
      <c r="C111" s="88"/>
      <c r="E111" s="87" t="s">
        <v>13</v>
      </c>
      <c r="F111" s="88"/>
    </row>
    <row r="112" spans="1:6" s="65" customFormat="1" ht="16.899999999999999" customHeight="1">
      <c r="A112" s="86"/>
      <c r="B112" s="86"/>
      <c r="C112" s="86"/>
      <c r="D112" s="86"/>
      <c r="E112" s="86"/>
      <c r="F112" s="86"/>
    </row>
    <row r="113" spans="1:6" s="65" customFormat="1" ht="16.899999999999999" customHeight="1">
      <c r="A113" s="86"/>
      <c r="B113" s="86"/>
      <c r="C113" s="86"/>
      <c r="D113" s="86"/>
      <c r="E113" s="86"/>
      <c r="F113" s="86"/>
    </row>
    <row r="114" spans="1:6" s="65" customFormat="1" ht="16.899999999999999" customHeight="1">
      <c r="A114" s="86"/>
      <c r="B114" s="86"/>
      <c r="C114" s="86"/>
      <c r="D114" s="86"/>
      <c r="E114" s="86"/>
      <c r="F114" s="86"/>
    </row>
    <row r="115" spans="1:6" s="65" customFormat="1" ht="16.899999999999999" customHeight="1">
      <c r="A115" s="86"/>
      <c r="B115" s="86"/>
      <c r="C115" s="86"/>
      <c r="D115" s="86"/>
      <c r="E115" s="86"/>
      <c r="F115" s="86"/>
    </row>
    <row r="116" spans="1:6" s="65" customFormat="1" ht="16.899999999999999" customHeight="1">
      <c r="A116" s="86"/>
      <c r="B116" s="86"/>
      <c r="C116" s="86"/>
      <c r="D116" s="86"/>
      <c r="E116" s="86"/>
      <c r="F116" s="86"/>
    </row>
    <row r="117" spans="1:6" s="65" customFormat="1" ht="16.899999999999999" customHeight="1">
      <c r="A117" s="86"/>
      <c r="B117" s="86"/>
      <c r="C117" s="86"/>
      <c r="D117" s="86"/>
      <c r="E117" s="86"/>
      <c r="F117" s="86"/>
    </row>
    <row r="118" spans="1:6" s="65" customFormat="1" ht="16.899999999999999" customHeight="1">
      <c r="A118" s="94"/>
      <c r="B118" s="94"/>
      <c r="C118" s="86"/>
      <c r="D118" s="86"/>
      <c r="E118" s="90"/>
      <c r="F118" s="90"/>
    </row>
    <row r="119" spans="1:6" s="65" customFormat="1" ht="16.899999999999999" customHeight="1">
      <c r="A119" s="91" t="s">
        <v>14</v>
      </c>
      <c r="B119" s="92"/>
      <c r="C119" s="92"/>
      <c r="E119" s="91" t="s">
        <v>885</v>
      </c>
      <c r="F119" s="92"/>
    </row>
    <row r="120" spans="1:6" s="65" customFormat="1" ht="16.899999999999999" customHeight="1">
      <c r="A120" s="93" t="s">
        <v>891</v>
      </c>
      <c r="B120" s="86"/>
      <c r="C120" s="86"/>
      <c r="E120" s="93" t="s">
        <v>892</v>
      </c>
      <c r="F120" s="86"/>
    </row>
    <row r="121" spans="1:6" s="65" customFormat="1" ht="16.899999999999999" customHeight="1">
      <c r="A121" s="86" t="s">
        <v>893</v>
      </c>
      <c r="B121" s="86"/>
      <c r="C121" s="86"/>
      <c r="E121" s="86" t="s">
        <v>894</v>
      </c>
      <c r="F121" s="8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80" zoomScaleNormal="100" zoomScaleSheetLayoutView="80" workbookViewId="0">
      <selection activeCell="B102" sqref="B102"/>
    </sheetView>
  </sheetViews>
  <sheetFormatPr defaultColWidth="8.7265625" defaultRowHeight="15"/>
  <cols>
    <col min="1" max="1" width="8.7265625" style="66"/>
    <col min="2" max="2" width="46.26953125" style="66" customWidth="1"/>
    <col min="3" max="3" width="10.7265625" style="66" bestFit="1" customWidth="1"/>
    <col min="4" max="6" width="36.81640625" style="66" customWidth="1"/>
    <col min="7" max="16384" width="8.7265625" style="95"/>
  </cols>
  <sheetData>
    <row r="1" spans="1:6" ht="54.75" customHeight="1">
      <c r="A1" s="186" t="s">
        <v>300</v>
      </c>
      <c r="B1" s="186"/>
      <c r="C1" s="186"/>
      <c r="D1" s="186"/>
      <c r="E1" s="186"/>
      <c r="F1" s="186"/>
    </row>
    <row r="2" spans="1:6" ht="54.75" customHeight="1">
      <c r="A2" s="187" t="s">
        <v>301</v>
      </c>
      <c r="B2" s="187"/>
      <c r="C2" s="187"/>
      <c r="D2" s="187"/>
      <c r="E2" s="187"/>
      <c r="F2" s="187"/>
    </row>
    <row r="3" spans="1:6" ht="22.5" customHeight="1">
      <c r="A3" s="188" t="s">
        <v>251</v>
      </c>
      <c r="B3" s="188"/>
      <c r="C3" s="188"/>
      <c r="D3" s="188"/>
      <c r="E3" s="188"/>
      <c r="F3" s="188"/>
    </row>
    <row r="4" spans="1:6" ht="21" customHeight="1">
      <c r="A4" s="188"/>
      <c r="B4" s="188"/>
      <c r="C4" s="188"/>
      <c r="D4" s="188"/>
      <c r="E4" s="188"/>
      <c r="F4" s="188"/>
    </row>
    <row r="5" spans="1:6" ht="16.149999999999999" customHeight="1">
      <c r="A5" s="189" t="str">
        <f>TONGQUAN!C2</f>
        <v>Tháng 01 năm 2025
/ Jan 2025</v>
      </c>
      <c r="B5" s="189"/>
      <c r="C5" s="189"/>
      <c r="D5" s="189"/>
      <c r="E5" s="189"/>
      <c r="F5" s="189"/>
    </row>
    <row r="7" spans="1:6" ht="16.899999999999999" customHeight="1">
      <c r="A7" s="96" t="s">
        <v>2</v>
      </c>
      <c r="C7" s="190" t="str">
        <f>TONGQUAN!D5</f>
        <v>Công ty Cổ phần Quản lý Quỹ Đầu tư Dragon Capital Việt Nam</v>
      </c>
      <c r="D7" s="190"/>
      <c r="E7" s="190"/>
      <c r="F7" s="190"/>
    </row>
    <row r="8" spans="1:6" ht="16.899999999999999" customHeight="1">
      <c r="A8" s="66" t="s">
        <v>15</v>
      </c>
      <c r="C8" s="185" t="str">
        <f>TONGQUAN!D6</f>
        <v>Dragon Capital Vietfund Management Joint Stock Company</v>
      </c>
      <c r="D8" s="185"/>
      <c r="E8" s="185"/>
      <c r="F8" s="185"/>
    </row>
    <row r="9" spans="1:6" ht="16.899999999999999" customHeight="1">
      <c r="A9" s="96" t="s">
        <v>3</v>
      </c>
      <c r="C9" s="190" t="str">
        <f>TONGQUAN!D7</f>
        <v>Ngân hàng TNHH Một thành viên Standard Chartered (Việt Nam)</v>
      </c>
      <c r="D9" s="190"/>
      <c r="E9" s="190"/>
      <c r="F9" s="190"/>
    </row>
    <row r="10" spans="1:6" ht="16.899999999999999" customHeight="1">
      <c r="A10" s="66" t="s">
        <v>4</v>
      </c>
      <c r="C10" s="185" t="str">
        <f>TONGQUAN!D8</f>
        <v>Standard Chartered Bank (Vietnam) Limited</v>
      </c>
      <c r="D10" s="185"/>
      <c r="E10" s="185"/>
      <c r="F10" s="185"/>
    </row>
    <row r="11" spans="1:6" ht="16.899999999999999" customHeight="1">
      <c r="A11" s="96" t="s">
        <v>5</v>
      </c>
      <c r="C11" s="190" t="str">
        <f>TONGQUAN!D9</f>
        <v>Quỹ Đầu tư Trái phiếu DC</v>
      </c>
      <c r="D11" s="190"/>
      <c r="E11" s="190"/>
      <c r="F11" s="190"/>
    </row>
    <row r="12" spans="1:6" ht="16.899999999999999" customHeight="1">
      <c r="A12" s="66" t="s">
        <v>6</v>
      </c>
      <c r="C12" s="185" t="str">
        <f>TONGQUAN!D10</f>
        <v>DC Bond Fund (DCBF)</v>
      </c>
      <c r="D12" s="185"/>
      <c r="E12" s="185"/>
      <c r="F12" s="185"/>
    </row>
    <row r="13" spans="1:6" ht="16.899999999999999" customHeight="1">
      <c r="A13" s="96" t="s">
        <v>7</v>
      </c>
      <c r="C13" s="190" t="str">
        <f>TONGQUAN!D11</f>
        <v>Ngày 03 tháng 02 năm 2025</v>
      </c>
      <c r="D13" s="190"/>
      <c r="E13" s="190"/>
      <c r="F13" s="190"/>
    </row>
    <row r="14" spans="1:6" ht="16.899999999999999" customHeight="1">
      <c r="A14" s="66" t="s">
        <v>8</v>
      </c>
      <c r="C14" s="185" t="str">
        <f>TONGQUAN!D12</f>
        <v>03 Feb 2025</v>
      </c>
      <c r="D14" s="185"/>
      <c r="E14" s="185"/>
      <c r="F14" s="185"/>
    </row>
    <row r="15" spans="1:6" ht="16.899999999999999" customHeight="1"/>
    <row r="16" spans="1:6" ht="16.899999999999999" customHeight="1">
      <c r="A16" s="69" t="s">
        <v>298</v>
      </c>
      <c r="B16" s="70" t="s">
        <v>299</v>
      </c>
    </row>
    <row r="17" spans="1:6" ht="16.899999999999999" customHeight="1">
      <c r="A17" s="98" t="s">
        <v>21</v>
      </c>
      <c r="B17" s="99" t="s">
        <v>22</v>
      </c>
    </row>
    <row r="18" spans="1:6" ht="45">
      <c r="A18" s="100" t="s">
        <v>17</v>
      </c>
      <c r="B18" s="100" t="s">
        <v>18</v>
      </c>
      <c r="C18" s="100" t="s">
        <v>19</v>
      </c>
      <c r="D18" s="101" t="s">
        <v>897</v>
      </c>
      <c r="E18" s="101" t="s">
        <v>898</v>
      </c>
      <c r="F18" s="101" t="s">
        <v>304</v>
      </c>
    </row>
    <row r="19" spans="1:6" s="106" customFormat="1" ht="39.5" customHeight="1">
      <c r="A19" s="102" t="s">
        <v>16</v>
      </c>
      <c r="B19" s="103" t="s">
        <v>30</v>
      </c>
      <c r="C19" s="104" t="s">
        <v>44</v>
      </c>
      <c r="D19" s="105">
        <v>11300234028</v>
      </c>
      <c r="E19" s="105">
        <v>10832961716</v>
      </c>
      <c r="F19" s="105">
        <v>11300234028</v>
      </c>
    </row>
    <row r="20" spans="1:6" ht="53" customHeight="1">
      <c r="A20" s="107">
        <v>1</v>
      </c>
      <c r="B20" s="108" t="s">
        <v>255</v>
      </c>
      <c r="C20" s="109" t="s">
        <v>51</v>
      </c>
      <c r="D20" s="110">
        <v>0</v>
      </c>
      <c r="E20" s="110">
        <v>0</v>
      </c>
      <c r="F20" s="110">
        <v>0</v>
      </c>
    </row>
    <row r="21" spans="1:6">
      <c r="A21" s="111" t="s">
        <v>256</v>
      </c>
      <c r="B21" s="111" t="s">
        <v>256</v>
      </c>
      <c r="C21" s="111" t="s">
        <v>256</v>
      </c>
      <c r="D21" s="112" t="s">
        <v>256</v>
      </c>
      <c r="E21" s="112" t="s">
        <v>257</v>
      </c>
      <c r="F21" s="112" t="s">
        <v>257</v>
      </c>
    </row>
    <row r="22" spans="1:6" ht="35" customHeight="1">
      <c r="A22" s="107">
        <v>2</v>
      </c>
      <c r="B22" s="108" t="s">
        <v>213</v>
      </c>
      <c r="C22" s="109" t="s">
        <v>45</v>
      </c>
      <c r="D22" s="110">
        <v>8242672705</v>
      </c>
      <c r="E22" s="110">
        <v>7749155913</v>
      </c>
      <c r="F22" s="110">
        <v>8242672705</v>
      </c>
    </row>
    <row r="23" spans="1:6">
      <c r="A23" s="111" t="s">
        <v>256</v>
      </c>
      <c r="B23" s="111" t="s">
        <v>256</v>
      </c>
      <c r="C23" s="111" t="s">
        <v>256</v>
      </c>
      <c r="D23" s="112" t="s">
        <v>256</v>
      </c>
      <c r="E23" s="112" t="s">
        <v>257</v>
      </c>
      <c r="F23" s="112" t="s">
        <v>257</v>
      </c>
    </row>
    <row r="24" spans="1:6" ht="34.5" customHeight="1">
      <c r="A24" s="113"/>
      <c r="B24" s="114" t="s">
        <v>214</v>
      </c>
      <c r="C24" s="115" t="s">
        <v>46</v>
      </c>
      <c r="D24" s="110">
        <v>0</v>
      </c>
      <c r="E24" s="110">
        <v>0</v>
      </c>
      <c r="F24" s="110">
        <v>0</v>
      </c>
    </row>
    <row r="25" spans="1:6" ht="34.5" customHeight="1">
      <c r="A25" s="113"/>
      <c r="B25" s="114" t="s">
        <v>215</v>
      </c>
      <c r="C25" s="115" t="s">
        <v>47</v>
      </c>
      <c r="D25" s="110">
        <v>8242672705</v>
      </c>
      <c r="E25" s="110">
        <v>7749155913</v>
      </c>
      <c r="F25" s="110">
        <v>8242672705</v>
      </c>
    </row>
    <row r="26" spans="1:6" ht="34.5" customHeight="1">
      <c r="A26" s="107">
        <v>3</v>
      </c>
      <c r="B26" s="108" t="s">
        <v>216</v>
      </c>
      <c r="C26" s="109" t="s">
        <v>48</v>
      </c>
      <c r="D26" s="110">
        <v>3057561323</v>
      </c>
      <c r="E26" s="110">
        <v>3083805803</v>
      </c>
      <c r="F26" s="110">
        <v>3057561323</v>
      </c>
    </row>
    <row r="27" spans="1:6">
      <c r="A27" s="111" t="s">
        <v>256</v>
      </c>
      <c r="B27" s="111" t="s">
        <v>256</v>
      </c>
      <c r="C27" s="111" t="s">
        <v>256</v>
      </c>
      <c r="D27" s="112" t="s">
        <v>256</v>
      </c>
      <c r="E27" s="112" t="s">
        <v>256</v>
      </c>
      <c r="F27" s="112" t="s">
        <v>256</v>
      </c>
    </row>
    <row r="28" spans="1:6" ht="39.5" customHeight="1">
      <c r="A28" s="113"/>
      <c r="B28" s="114" t="s">
        <v>180</v>
      </c>
      <c r="C28" s="115" t="s">
        <v>49</v>
      </c>
      <c r="D28" s="110">
        <v>1509150365</v>
      </c>
      <c r="E28" s="110">
        <v>1472655119</v>
      </c>
      <c r="F28" s="110">
        <v>1509150365</v>
      </c>
    </row>
    <row r="29" spans="1:6" ht="49" customHeight="1">
      <c r="A29" s="113"/>
      <c r="B29" s="114" t="s">
        <v>363</v>
      </c>
      <c r="C29" s="115" t="s">
        <v>50</v>
      </c>
      <c r="D29" s="110">
        <v>1548410958</v>
      </c>
      <c r="E29" s="110">
        <v>1611150684</v>
      </c>
      <c r="F29" s="110">
        <v>1548410958</v>
      </c>
    </row>
    <row r="30" spans="1:6" ht="37" customHeight="1">
      <c r="A30" s="113"/>
      <c r="B30" s="114" t="s">
        <v>231</v>
      </c>
      <c r="C30" s="115" t="s">
        <v>179</v>
      </c>
      <c r="D30" s="110">
        <v>0</v>
      </c>
      <c r="E30" s="110">
        <v>0</v>
      </c>
      <c r="F30" s="110">
        <v>0</v>
      </c>
    </row>
    <row r="31" spans="1:6" s="106" customFormat="1" ht="37" customHeight="1">
      <c r="A31" s="107">
        <v>4</v>
      </c>
      <c r="B31" s="108" t="s">
        <v>217</v>
      </c>
      <c r="C31" s="109" t="s">
        <v>51</v>
      </c>
      <c r="D31" s="110">
        <v>0</v>
      </c>
      <c r="E31" s="110">
        <v>0</v>
      </c>
      <c r="F31" s="110">
        <v>0</v>
      </c>
    </row>
    <row r="32" spans="1:6">
      <c r="A32" s="111" t="s">
        <v>256</v>
      </c>
      <c r="B32" s="111" t="s">
        <v>256</v>
      </c>
      <c r="C32" s="111" t="s">
        <v>256</v>
      </c>
      <c r="D32" s="112" t="s">
        <v>256</v>
      </c>
      <c r="E32" s="112" t="s">
        <v>256</v>
      </c>
      <c r="F32" s="112" t="s">
        <v>256</v>
      </c>
    </row>
    <row r="33" spans="1:6" ht="42.5" customHeight="1">
      <c r="A33" s="116"/>
      <c r="B33" s="117" t="s">
        <v>218</v>
      </c>
      <c r="C33" s="118" t="s">
        <v>52</v>
      </c>
      <c r="D33" s="110">
        <v>0</v>
      </c>
      <c r="E33" s="110">
        <v>0</v>
      </c>
      <c r="F33" s="110">
        <v>0</v>
      </c>
    </row>
    <row r="34" spans="1:6" ht="42.5" customHeight="1">
      <c r="A34" s="116"/>
      <c r="B34" s="117" t="s">
        <v>219</v>
      </c>
      <c r="C34" s="118" t="s">
        <v>53</v>
      </c>
      <c r="D34" s="110">
        <v>0</v>
      </c>
      <c r="E34" s="110">
        <v>0</v>
      </c>
      <c r="F34" s="110">
        <v>0</v>
      </c>
    </row>
    <row r="35" spans="1:6" ht="90">
      <c r="A35" s="116"/>
      <c r="B35" s="117" t="s">
        <v>31</v>
      </c>
      <c r="C35" s="118" t="s">
        <v>54</v>
      </c>
      <c r="D35" s="110">
        <v>0</v>
      </c>
      <c r="E35" s="110">
        <v>0</v>
      </c>
      <c r="F35" s="110">
        <v>0</v>
      </c>
    </row>
    <row r="36" spans="1:6" ht="37" customHeight="1">
      <c r="A36" s="102" t="s">
        <v>21</v>
      </c>
      <c r="B36" s="103" t="s">
        <v>220</v>
      </c>
      <c r="C36" s="104" t="s">
        <v>55</v>
      </c>
      <c r="D36" s="119">
        <v>1937332277</v>
      </c>
      <c r="E36" s="119">
        <v>1954948016</v>
      </c>
      <c r="F36" s="119">
        <v>1937332277</v>
      </c>
    </row>
    <row r="37" spans="1:6" ht="54" customHeight="1">
      <c r="A37" s="107">
        <v>1</v>
      </c>
      <c r="B37" s="108" t="s">
        <v>258</v>
      </c>
      <c r="C37" s="109" t="s">
        <v>56</v>
      </c>
      <c r="D37" s="110">
        <v>1708862226</v>
      </c>
      <c r="E37" s="110">
        <v>1650065860</v>
      </c>
      <c r="F37" s="110">
        <v>1708862226</v>
      </c>
    </row>
    <row r="38" spans="1:6">
      <c r="A38" s="111" t="s">
        <v>256</v>
      </c>
      <c r="B38" s="111" t="s">
        <v>256</v>
      </c>
      <c r="C38" s="111" t="s">
        <v>256</v>
      </c>
      <c r="D38" s="112" t="s">
        <v>256</v>
      </c>
      <c r="E38" s="112" t="s">
        <v>256</v>
      </c>
      <c r="F38" s="112" t="s">
        <v>256</v>
      </c>
    </row>
    <row r="39" spans="1:6" ht="60">
      <c r="A39" s="107">
        <v>2</v>
      </c>
      <c r="B39" s="108" t="s">
        <v>365</v>
      </c>
      <c r="C39" s="109" t="s">
        <v>57</v>
      </c>
      <c r="D39" s="110">
        <v>116555410</v>
      </c>
      <c r="E39" s="110">
        <v>111379944</v>
      </c>
      <c r="F39" s="110">
        <v>116555410</v>
      </c>
    </row>
    <row r="40" spans="1:6">
      <c r="A40" s="111" t="s">
        <v>256</v>
      </c>
      <c r="B40" s="111" t="s">
        <v>256</v>
      </c>
      <c r="C40" s="111" t="s">
        <v>256</v>
      </c>
      <c r="D40" s="112" t="s">
        <v>256</v>
      </c>
      <c r="E40" s="112" t="s">
        <v>256</v>
      </c>
      <c r="F40" s="112" t="s">
        <v>256</v>
      </c>
    </row>
    <row r="41" spans="1:6" ht="41.5" customHeight="1">
      <c r="A41" s="120"/>
      <c r="B41" s="114" t="s">
        <v>259</v>
      </c>
      <c r="C41" s="115" t="s">
        <v>58</v>
      </c>
      <c r="D41" s="110">
        <v>49841815</v>
      </c>
      <c r="E41" s="110">
        <v>48126921</v>
      </c>
      <c r="F41" s="110">
        <v>49841815</v>
      </c>
    </row>
    <row r="42" spans="1:6" ht="45">
      <c r="A42" s="120"/>
      <c r="B42" s="114" t="s">
        <v>260</v>
      </c>
      <c r="C42" s="115" t="s">
        <v>59</v>
      </c>
      <c r="D42" s="110">
        <v>2800000</v>
      </c>
      <c r="E42" s="110">
        <v>1300000</v>
      </c>
      <c r="F42" s="110">
        <v>2800000</v>
      </c>
    </row>
    <row r="43" spans="1:6" ht="75">
      <c r="A43" s="120"/>
      <c r="B43" s="114" t="s">
        <v>366</v>
      </c>
      <c r="C43" s="115" t="s">
        <v>60</v>
      </c>
      <c r="D43" s="110">
        <v>1255314</v>
      </c>
      <c r="E43" s="110">
        <v>1450608</v>
      </c>
      <c r="F43" s="110">
        <v>1255314</v>
      </c>
    </row>
    <row r="44" spans="1:6" ht="39.5" customHeight="1">
      <c r="A44" s="120"/>
      <c r="B44" s="114" t="s">
        <v>261</v>
      </c>
      <c r="C44" s="115" t="s">
        <v>61</v>
      </c>
      <c r="D44" s="110">
        <v>62658281</v>
      </c>
      <c r="E44" s="110">
        <v>60502415</v>
      </c>
      <c r="F44" s="110">
        <v>62658281</v>
      </c>
    </row>
    <row r="45" spans="1:6" ht="75">
      <c r="A45" s="107">
        <v>3</v>
      </c>
      <c r="B45" s="121" t="s">
        <v>262</v>
      </c>
      <c r="C45" s="109" t="s">
        <v>62</v>
      </c>
      <c r="D45" s="110">
        <v>57993711</v>
      </c>
      <c r="E45" s="110">
        <v>56376811</v>
      </c>
      <c r="F45" s="110">
        <v>57993711</v>
      </c>
    </row>
    <row r="46" spans="1:6">
      <c r="A46" s="111" t="s">
        <v>256</v>
      </c>
      <c r="B46" s="111" t="s">
        <v>256</v>
      </c>
      <c r="C46" s="111" t="s">
        <v>256</v>
      </c>
      <c r="D46" s="112" t="s">
        <v>256</v>
      </c>
      <c r="E46" s="112" t="s">
        <v>256</v>
      </c>
      <c r="F46" s="112" t="s">
        <v>256</v>
      </c>
    </row>
    <row r="47" spans="1:6" ht="40" customHeight="1">
      <c r="A47" s="120"/>
      <c r="B47" s="122" t="s">
        <v>232</v>
      </c>
      <c r="C47" s="115" t="s">
        <v>63</v>
      </c>
      <c r="D47" s="110">
        <v>46993711</v>
      </c>
      <c r="E47" s="110">
        <v>45376811</v>
      </c>
      <c r="F47" s="110">
        <v>46993711</v>
      </c>
    </row>
    <row r="48" spans="1:6" ht="40" customHeight="1">
      <c r="A48" s="120"/>
      <c r="B48" s="122" t="s">
        <v>32</v>
      </c>
      <c r="C48" s="115" t="s">
        <v>64</v>
      </c>
      <c r="D48" s="110">
        <v>11000000</v>
      </c>
      <c r="E48" s="110">
        <v>11000000</v>
      </c>
      <c r="F48" s="110">
        <v>11000000</v>
      </c>
    </row>
    <row r="49" spans="1:6" ht="60">
      <c r="A49" s="120">
        <v>4</v>
      </c>
      <c r="B49" s="122" t="s">
        <v>263</v>
      </c>
      <c r="C49" s="115"/>
      <c r="D49" s="110">
        <v>0</v>
      </c>
      <c r="E49" s="110">
        <v>0</v>
      </c>
      <c r="F49" s="110">
        <v>0</v>
      </c>
    </row>
    <row r="50" spans="1:6">
      <c r="A50" s="111" t="s">
        <v>256</v>
      </c>
      <c r="B50" s="111" t="s">
        <v>256</v>
      </c>
      <c r="C50" s="111" t="s">
        <v>256</v>
      </c>
      <c r="D50" s="112" t="s">
        <v>256</v>
      </c>
      <c r="E50" s="112" t="s">
        <v>256</v>
      </c>
      <c r="F50" s="112" t="s">
        <v>256</v>
      </c>
    </row>
    <row r="51" spans="1:6" ht="60">
      <c r="A51" s="120">
        <v>5</v>
      </c>
      <c r="B51" s="122" t="s">
        <v>264</v>
      </c>
      <c r="C51" s="115"/>
      <c r="D51" s="110">
        <v>0</v>
      </c>
      <c r="E51" s="110">
        <v>0</v>
      </c>
      <c r="F51" s="110">
        <v>0</v>
      </c>
    </row>
    <row r="52" spans="1:6">
      <c r="A52" s="111" t="s">
        <v>256</v>
      </c>
      <c r="B52" s="111" t="s">
        <v>256</v>
      </c>
      <c r="C52" s="111" t="s">
        <v>256</v>
      </c>
      <c r="D52" s="112" t="s">
        <v>256</v>
      </c>
      <c r="E52" s="112" t="s">
        <v>256</v>
      </c>
      <c r="F52" s="112" t="s">
        <v>256</v>
      </c>
    </row>
    <row r="53" spans="1:6" ht="30">
      <c r="A53" s="107">
        <v>6</v>
      </c>
      <c r="B53" s="108" t="s">
        <v>33</v>
      </c>
      <c r="C53" s="109" t="s">
        <v>65</v>
      </c>
      <c r="D53" s="110">
        <v>12425479</v>
      </c>
      <c r="E53" s="110">
        <v>11813303</v>
      </c>
      <c r="F53" s="110">
        <v>12425479</v>
      </c>
    </row>
    <row r="54" spans="1:6">
      <c r="A54" s="111" t="s">
        <v>256</v>
      </c>
      <c r="B54" s="111" t="s">
        <v>256</v>
      </c>
      <c r="C54" s="111" t="s">
        <v>256</v>
      </c>
      <c r="D54" s="112" t="s">
        <v>256</v>
      </c>
      <c r="E54" s="112" t="s">
        <v>256</v>
      </c>
      <c r="F54" s="112" t="s">
        <v>256</v>
      </c>
    </row>
    <row r="55" spans="1:6" ht="90">
      <c r="A55" s="107">
        <v>7</v>
      </c>
      <c r="B55" s="108" t="s">
        <v>233</v>
      </c>
      <c r="C55" s="109" t="s">
        <v>66</v>
      </c>
      <c r="D55" s="110">
        <v>18651256</v>
      </c>
      <c r="E55" s="110">
        <v>22070048</v>
      </c>
      <c r="F55" s="110">
        <v>18651256</v>
      </c>
    </row>
    <row r="56" spans="1:6">
      <c r="A56" s="111" t="s">
        <v>256</v>
      </c>
      <c r="B56" s="111" t="s">
        <v>256</v>
      </c>
      <c r="C56" s="111" t="s">
        <v>256</v>
      </c>
      <c r="D56" s="112" t="s">
        <v>256</v>
      </c>
      <c r="E56" s="112" t="s">
        <v>256</v>
      </c>
      <c r="F56" s="112" t="s">
        <v>256</v>
      </c>
    </row>
    <row r="57" spans="1:6" ht="45">
      <c r="A57" s="120"/>
      <c r="B57" s="123" t="s">
        <v>234</v>
      </c>
      <c r="C57" s="115" t="s">
        <v>67</v>
      </c>
      <c r="D57" s="110">
        <v>6509589</v>
      </c>
      <c r="E57" s="110">
        <v>6508197</v>
      </c>
      <c r="F57" s="110">
        <v>6509589</v>
      </c>
    </row>
    <row r="58" spans="1:6" ht="37" customHeight="1">
      <c r="A58" s="120"/>
      <c r="B58" s="123" t="s">
        <v>221</v>
      </c>
      <c r="C58" s="115" t="s">
        <v>68</v>
      </c>
      <c r="D58" s="110">
        <v>12141667</v>
      </c>
      <c r="E58" s="110">
        <v>11877717</v>
      </c>
      <c r="F58" s="110">
        <v>12141667</v>
      </c>
    </row>
    <row r="59" spans="1:6" ht="37" customHeight="1">
      <c r="A59" s="120"/>
      <c r="B59" s="123" t="s">
        <v>34</v>
      </c>
      <c r="C59" s="115" t="s">
        <v>69</v>
      </c>
      <c r="D59" s="110">
        <v>0</v>
      </c>
      <c r="E59" s="110">
        <v>3684134</v>
      </c>
      <c r="F59" s="110">
        <v>0</v>
      </c>
    </row>
    <row r="60" spans="1:6" ht="210">
      <c r="A60" s="107">
        <v>8</v>
      </c>
      <c r="B60" s="121" t="s">
        <v>235</v>
      </c>
      <c r="C60" s="109" t="s">
        <v>70</v>
      </c>
      <c r="D60" s="110">
        <v>3364869</v>
      </c>
      <c r="E60" s="110">
        <v>14463673</v>
      </c>
      <c r="F60" s="110">
        <v>3364869</v>
      </c>
    </row>
    <row r="61" spans="1:6">
      <c r="A61" s="111" t="s">
        <v>256</v>
      </c>
      <c r="B61" s="111" t="s">
        <v>256</v>
      </c>
      <c r="C61" s="111" t="s">
        <v>256</v>
      </c>
      <c r="D61" s="112" t="s">
        <v>256</v>
      </c>
      <c r="E61" s="112" t="s">
        <v>256</v>
      </c>
      <c r="F61" s="112" t="s">
        <v>256</v>
      </c>
    </row>
    <row r="62" spans="1:6" ht="37" customHeight="1">
      <c r="A62" s="120"/>
      <c r="B62" s="122" t="s">
        <v>222</v>
      </c>
      <c r="C62" s="115" t="s">
        <v>71</v>
      </c>
      <c r="D62" s="110">
        <v>3364869</v>
      </c>
      <c r="E62" s="110">
        <v>14463673</v>
      </c>
      <c r="F62" s="110">
        <v>3364869</v>
      </c>
    </row>
    <row r="63" spans="1:6" ht="37" customHeight="1">
      <c r="A63" s="120"/>
      <c r="B63" s="122" t="s">
        <v>141</v>
      </c>
      <c r="C63" s="115" t="s">
        <v>72</v>
      </c>
      <c r="D63" s="110">
        <v>0</v>
      </c>
      <c r="E63" s="110">
        <v>0</v>
      </c>
      <c r="F63" s="110">
        <v>0</v>
      </c>
    </row>
    <row r="64" spans="1:6" s="106" customFormat="1" ht="54.5" customHeight="1">
      <c r="A64" s="120"/>
      <c r="B64" s="122" t="s">
        <v>236</v>
      </c>
      <c r="C64" s="115" t="s">
        <v>73</v>
      </c>
      <c r="D64" s="110">
        <v>0</v>
      </c>
      <c r="E64" s="110">
        <v>0</v>
      </c>
      <c r="F64" s="110">
        <v>0</v>
      </c>
    </row>
    <row r="65" spans="1:6" s="106" customFormat="1" ht="45">
      <c r="A65" s="120"/>
      <c r="B65" s="123" t="s">
        <v>223</v>
      </c>
      <c r="C65" s="115" t="s">
        <v>74</v>
      </c>
      <c r="D65" s="110">
        <v>0</v>
      </c>
      <c r="E65" s="110">
        <v>0</v>
      </c>
      <c r="F65" s="110">
        <v>0</v>
      </c>
    </row>
    <row r="66" spans="1:6" ht="39" customHeight="1">
      <c r="A66" s="120"/>
      <c r="B66" s="123" t="s">
        <v>265</v>
      </c>
      <c r="C66" s="115" t="s">
        <v>75</v>
      </c>
      <c r="D66" s="110">
        <v>0</v>
      </c>
      <c r="E66" s="110">
        <v>0</v>
      </c>
      <c r="F66" s="110">
        <v>0</v>
      </c>
    </row>
    <row r="67" spans="1:6" ht="60">
      <c r="A67" s="107">
        <v>9</v>
      </c>
      <c r="B67" s="108" t="s">
        <v>237</v>
      </c>
      <c r="C67" s="109" t="s">
        <v>76</v>
      </c>
      <c r="D67" s="110">
        <v>17303440</v>
      </c>
      <c r="E67" s="110">
        <v>85706631</v>
      </c>
      <c r="F67" s="110">
        <v>17303440</v>
      </c>
    </row>
    <row r="68" spans="1:6" s="106" customFormat="1">
      <c r="A68" s="111" t="s">
        <v>256</v>
      </c>
      <c r="B68" s="111" t="s">
        <v>256</v>
      </c>
      <c r="C68" s="111" t="s">
        <v>256</v>
      </c>
      <c r="D68" s="112" t="s">
        <v>256</v>
      </c>
      <c r="E68" s="112" t="s">
        <v>256</v>
      </c>
      <c r="F68" s="112" t="s">
        <v>256</v>
      </c>
    </row>
    <row r="69" spans="1:6" s="106" customFormat="1" ht="37" customHeight="1">
      <c r="A69" s="120"/>
      <c r="B69" s="114" t="s">
        <v>35</v>
      </c>
      <c r="C69" s="115" t="s">
        <v>77</v>
      </c>
      <c r="D69" s="110">
        <v>16669302</v>
      </c>
      <c r="E69" s="110">
        <v>85256631</v>
      </c>
      <c r="F69" s="110">
        <v>16669302</v>
      </c>
    </row>
    <row r="70" spans="1:6" s="106" customFormat="1" ht="37" customHeight="1">
      <c r="A70" s="120"/>
      <c r="B70" s="114" t="s">
        <v>36</v>
      </c>
      <c r="C70" s="115" t="s">
        <v>78</v>
      </c>
      <c r="D70" s="110">
        <v>634138</v>
      </c>
      <c r="E70" s="110">
        <v>450000</v>
      </c>
      <c r="F70" s="110">
        <v>634138</v>
      </c>
    </row>
    <row r="71" spans="1:6" ht="37" customHeight="1">
      <c r="A71" s="120"/>
      <c r="B71" s="114" t="s">
        <v>37</v>
      </c>
      <c r="C71" s="115" t="s">
        <v>79</v>
      </c>
      <c r="D71" s="110">
        <v>0</v>
      </c>
      <c r="E71" s="110">
        <v>0</v>
      </c>
      <c r="F71" s="110">
        <v>0</v>
      </c>
    </row>
    <row r="72" spans="1:6" ht="37" customHeight="1">
      <c r="A72" s="107">
        <v>10</v>
      </c>
      <c r="B72" s="108" t="s">
        <v>266</v>
      </c>
      <c r="C72" s="109" t="s">
        <v>80</v>
      </c>
      <c r="D72" s="110">
        <v>2175886</v>
      </c>
      <c r="E72" s="110">
        <v>3071746</v>
      </c>
      <c r="F72" s="110">
        <v>2175886</v>
      </c>
    </row>
    <row r="73" spans="1:6">
      <c r="A73" s="111" t="s">
        <v>256</v>
      </c>
      <c r="B73" s="111" t="s">
        <v>256</v>
      </c>
      <c r="C73" s="111" t="s">
        <v>256</v>
      </c>
      <c r="D73" s="112" t="s">
        <v>256</v>
      </c>
      <c r="E73" s="112" t="s">
        <v>256</v>
      </c>
      <c r="F73" s="112" t="s">
        <v>256</v>
      </c>
    </row>
    <row r="74" spans="1:6" ht="37.5" customHeight="1">
      <c r="A74" s="107"/>
      <c r="B74" s="114" t="s">
        <v>38</v>
      </c>
      <c r="C74" s="115" t="s">
        <v>81</v>
      </c>
      <c r="D74" s="110">
        <v>0</v>
      </c>
      <c r="E74" s="110">
        <v>0</v>
      </c>
      <c r="F74" s="110">
        <v>0</v>
      </c>
    </row>
    <row r="75" spans="1:6" ht="37.5" customHeight="1">
      <c r="A75" s="107"/>
      <c r="B75" s="114" t="s">
        <v>238</v>
      </c>
      <c r="C75" s="115" t="s">
        <v>82</v>
      </c>
      <c r="D75" s="110">
        <v>0</v>
      </c>
      <c r="E75" s="110">
        <v>0</v>
      </c>
      <c r="F75" s="110">
        <v>0</v>
      </c>
    </row>
    <row r="76" spans="1:6" ht="37.5" customHeight="1">
      <c r="A76" s="107"/>
      <c r="B76" s="114" t="s">
        <v>39</v>
      </c>
      <c r="C76" s="115" t="s">
        <v>83</v>
      </c>
      <c r="D76" s="110">
        <v>636986</v>
      </c>
      <c r="E76" s="110">
        <v>635246</v>
      </c>
      <c r="F76" s="110">
        <v>636986</v>
      </c>
    </row>
    <row r="77" spans="1:6" ht="37.5" customHeight="1">
      <c r="A77" s="107"/>
      <c r="B77" s="114" t="s">
        <v>40</v>
      </c>
      <c r="C77" s="115" t="s">
        <v>84</v>
      </c>
      <c r="D77" s="110">
        <v>1538900</v>
      </c>
      <c r="E77" s="110">
        <v>2436500</v>
      </c>
      <c r="F77" s="110">
        <v>1538900</v>
      </c>
    </row>
    <row r="78" spans="1:6" ht="37.5" customHeight="1">
      <c r="A78" s="107"/>
      <c r="B78" s="114" t="s">
        <v>239</v>
      </c>
      <c r="C78" s="115" t="s">
        <v>85</v>
      </c>
      <c r="D78" s="110">
        <v>0</v>
      </c>
      <c r="E78" s="110">
        <v>0</v>
      </c>
      <c r="F78" s="110">
        <v>0</v>
      </c>
    </row>
    <row r="79" spans="1:6" ht="37.5" customHeight="1">
      <c r="A79" s="107"/>
      <c r="B79" s="114" t="s">
        <v>37</v>
      </c>
      <c r="C79" s="115" t="s">
        <v>86</v>
      </c>
      <c r="D79" s="110">
        <v>0</v>
      </c>
      <c r="E79" s="110">
        <v>0</v>
      </c>
      <c r="F79" s="110">
        <v>0</v>
      </c>
    </row>
    <row r="80" spans="1:6" ht="52.5" customHeight="1">
      <c r="A80" s="107"/>
      <c r="B80" s="114" t="s">
        <v>364</v>
      </c>
      <c r="C80" s="115" t="s">
        <v>87</v>
      </c>
      <c r="D80" s="110">
        <v>0</v>
      </c>
      <c r="E80" s="110">
        <v>0</v>
      </c>
      <c r="F80" s="110">
        <v>0</v>
      </c>
    </row>
    <row r="81" spans="1:6" ht="68" customHeight="1">
      <c r="A81" s="124" t="s">
        <v>23</v>
      </c>
      <c r="B81" s="103" t="s">
        <v>240</v>
      </c>
      <c r="C81" s="104" t="s">
        <v>88</v>
      </c>
      <c r="D81" s="119">
        <v>9362901751</v>
      </c>
      <c r="E81" s="119">
        <v>8878013700</v>
      </c>
      <c r="F81" s="119">
        <v>9362901751</v>
      </c>
    </row>
    <row r="82" spans="1:6" ht="34" customHeight="1">
      <c r="A82" s="124" t="s">
        <v>24</v>
      </c>
      <c r="B82" s="103" t="s">
        <v>224</v>
      </c>
      <c r="C82" s="104" t="s">
        <v>89</v>
      </c>
      <c r="D82" s="119">
        <v>-1403376355</v>
      </c>
      <c r="E82" s="119">
        <v>225500161</v>
      </c>
      <c r="F82" s="119">
        <v>-1403376355</v>
      </c>
    </row>
    <row r="83" spans="1:6" ht="67" customHeight="1">
      <c r="A83" s="107">
        <v>1</v>
      </c>
      <c r="B83" s="108" t="s">
        <v>267</v>
      </c>
      <c r="C83" s="109" t="s">
        <v>90</v>
      </c>
      <c r="D83" s="110">
        <v>15160000</v>
      </c>
      <c r="E83" s="110">
        <v>1211063828</v>
      </c>
      <c r="F83" s="110">
        <v>15160000</v>
      </c>
    </row>
    <row r="84" spans="1:6" ht="52.5" customHeight="1">
      <c r="A84" s="107">
        <v>2</v>
      </c>
      <c r="B84" s="108" t="s">
        <v>41</v>
      </c>
      <c r="C84" s="109" t="s">
        <v>91</v>
      </c>
      <c r="D84" s="110">
        <v>-1418536355</v>
      </c>
      <c r="E84" s="110">
        <v>-985563667</v>
      </c>
      <c r="F84" s="110">
        <v>-1418536355</v>
      </c>
    </row>
    <row r="85" spans="1:6" ht="112.5" customHeight="1">
      <c r="A85" s="124" t="s">
        <v>25</v>
      </c>
      <c r="B85" s="103" t="s">
        <v>241</v>
      </c>
      <c r="C85" s="104" t="s">
        <v>92</v>
      </c>
      <c r="D85" s="119">
        <v>7959525396</v>
      </c>
      <c r="E85" s="119">
        <v>9103513861</v>
      </c>
      <c r="F85" s="119">
        <v>7959525396</v>
      </c>
    </row>
    <row r="86" spans="1:6" ht="55" customHeight="1">
      <c r="A86" s="124" t="s">
        <v>26</v>
      </c>
      <c r="B86" s="103" t="s">
        <v>42</v>
      </c>
      <c r="C86" s="104" t="s">
        <v>93</v>
      </c>
      <c r="D86" s="119">
        <v>1648574048482</v>
      </c>
      <c r="E86" s="119">
        <v>1633591480269</v>
      </c>
      <c r="F86" s="119">
        <v>1648574048482</v>
      </c>
    </row>
    <row r="87" spans="1:6" ht="71.5" customHeight="1">
      <c r="A87" s="124" t="s">
        <v>27</v>
      </c>
      <c r="B87" s="103" t="s">
        <v>305</v>
      </c>
      <c r="C87" s="104" t="s">
        <v>94</v>
      </c>
      <c r="D87" s="119">
        <v>37775108519</v>
      </c>
      <c r="E87" s="119">
        <v>14982568213</v>
      </c>
      <c r="F87" s="119">
        <v>37775108519</v>
      </c>
    </row>
    <row r="88" spans="1:6" s="106" customFormat="1" ht="70.5" customHeight="1">
      <c r="A88" s="107">
        <v>1</v>
      </c>
      <c r="B88" s="108" t="s">
        <v>268</v>
      </c>
      <c r="C88" s="109" t="s">
        <v>95</v>
      </c>
      <c r="D88" s="110">
        <v>7959525396</v>
      </c>
      <c r="E88" s="110">
        <v>9103513861</v>
      </c>
      <c r="F88" s="110">
        <v>7959525396</v>
      </c>
    </row>
    <row r="89" spans="1:6" ht="84" customHeight="1">
      <c r="A89" s="107">
        <v>2</v>
      </c>
      <c r="B89" s="108" t="s">
        <v>269</v>
      </c>
      <c r="C89" s="109" t="s">
        <v>96</v>
      </c>
      <c r="D89" s="110">
        <v>0</v>
      </c>
      <c r="E89" s="110">
        <v>0</v>
      </c>
      <c r="F89" s="110">
        <v>0</v>
      </c>
    </row>
    <row r="90" spans="1:6" ht="67.5" customHeight="1">
      <c r="A90" s="107">
        <v>3</v>
      </c>
      <c r="B90" s="108" t="s">
        <v>270</v>
      </c>
      <c r="C90" s="109" t="s">
        <v>97</v>
      </c>
      <c r="D90" s="110">
        <v>29815583123</v>
      </c>
      <c r="E90" s="110">
        <v>5879054352</v>
      </c>
      <c r="F90" s="110">
        <v>29815583123</v>
      </c>
    </row>
    <row r="91" spans="1:6" ht="69.5" customHeight="1">
      <c r="A91" s="107"/>
      <c r="B91" s="108" t="s">
        <v>242</v>
      </c>
      <c r="C91" s="109" t="s">
        <v>271</v>
      </c>
      <c r="D91" s="110">
        <v>102603986527</v>
      </c>
      <c r="E91" s="110">
        <v>143294899607</v>
      </c>
      <c r="F91" s="110">
        <v>102603986527</v>
      </c>
    </row>
    <row r="92" spans="1:6" ht="67" customHeight="1">
      <c r="A92" s="107"/>
      <c r="B92" s="108" t="s">
        <v>243</v>
      </c>
      <c r="C92" s="109" t="s">
        <v>272</v>
      </c>
      <c r="D92" s="110">
        <v>-72788403404</v>
      </c>
      <c r="E92" s="110">
        <v>-137415845255</v>
      </c>
      <c r="F92" s="110">
        <v>-72788403404</v>
      </c>
    </row>
    <row r="93" spans="1:6" s="125" customFormat="1" ht="34" customHeight="1">
      <c r="A93" s="102" t="s">
        <v>28</v>
      </c>
      <c r="B93" s="103" t="s">
        <v>43</v>
      </c>
      <c r="C93" s="104" t="s">
        <v>98</v>
      </c>
      <c r="D93" s="119">
        <v>1686349157001</v>
      </c>
      <c r="E93" s="119">
        <v>1648574048482</v>
      </c>
      <c r="F93" s="119">
        <v>1686349157001</v>
      </c>
    </row>
    <row r="94" spans="1:6" ht="73" customHeight="1">
      <c r="A94" s="102" t="s">
        <v>29</v>
      </c>
      <c r="B94" s="103" t="s">
        <v>225</v>
      </c>
      <c r="C94" s="104" t="s">
        <v>99</v>
      </c>
      <c r="D94" s="119">
        <v>0</v>
      </c>
      <c r="E94" s="119">
        <v>0</v>
      </c>
      <c r="F94" s="119">
        <v>0</v>
      </c>
    </row>
    <row r="95" spans="1:6" ht="65.5" customHeight="1">
      <c r="A95" s="126"/>
      <c r="B95" s="108" t="s">
        <v>226</v>
      </c>
      <c r="C95" s="109" t="s">
        <v>100</v>
      </c>
      <c r="D95" s="83">
        <v>0</v>
      </c>
      <c r="E95" s="83">
        <v>0</v>
      </c>
      <c r="F95" s="83">
        <v>0</v>
      </c>
    </row>
    <row r="96" spans="1:6" ht="16.899999999999999" customHeight="1"/>
    <row r="97" spans="1:6" ht="16.899999999999999" customHeight="1">
      <c r="A97" s="85" t="s">
        <v>10</v>
      </c>
      <c r="D97" s="130"/>
      <c r="E97" s="85" t="s">
        <v>11</v>
      </c>
    </row>
    <row r="98" spans="1:6" ht="16.899999999999999" customHeight="1">
      <c r="A98" s="87" t="s">
        <v>12</v>
      </c>
      <c r="D98" s="131"/>
      <c r="E98" s="87" t="s">
        <v>13</v>
      </c>
    </row>
    <row r="99" spans="1:6" ht="16.899999999999999" customHeight="1">
      <c r="A99" s="87"/>
      <c r="D99" s="131"/>
      <c r="E99" s="87"/>
    </row>
    <row r="100" spans="1:6" ht="16.899999999999999" customHeight="1">
      <c r="A100" s="87"/>
      <c r="D100" s="131"/>
      <c r="E100" s="87"/>
    </row>
    <row r="101" spans="1:6" ht="16.899999999999999" customHeight="1">
      <c r="A101" s="87"/>
      <c r="D101" s="131"/>
      <c r="E101" s="87"/>
    </row>
    <row r="102" spans="1:6" ht="16.899999999999999" customHeight="1">
      <c r="A102" s="87"/>
      <c r="D102" s="131"/>
      <c r="E102" s="87"/>
    </row>
    <row r="103" spans="1:6" ht="16.899999999999999" customHeight="1">
      <c r="D103" s="132"/>
    </row>
    <row r="104" spans="1:6" ht="16.899999999999999" customHeight="1">
      <c r="D104" s="132"/>
    </row>
    <row r="105" spans="1:6" ht="16.899999999999999" customHeight="1">
      <c r="A105" s="127" t="str">
        <f>TONGQUAN!C19</f>
        <v>Ngân hàng TNHH MTV Standard Chartered (Việt Nam)</v>
      </c>
      <c r="B105" s="128"/>
      <c r="D105" s="133"/>
      <c r="E105" s="127" t="s">
        <v>885</v>
      </c>
      <c r="F105" s="128"/>
    </row>
    <row r="106" spans="1:6" ht="16.899999999999999" customHeight="1">
      <c r="A106" s="129" t="str">
        <f>TONGQUAN!C20</f>
        <v>Vũ Quang Phan</v>
      </c>
      <c r="D106" s="133"/>
      <c r="E106" s="129" t="s">
        <v>892</v>
      </c>
    </row>
    <row r="107" spans="1:6" ht="16.899999999999999" customHeight="1">
      <c r="A107" s="66" t="str">
        <f>TONGQUAN!C21</f>
        <v>Phó phòng Dịch vụ nghiệp vụ giám sát Quỹ</v>
      </c>
      <c r="D107" s="132"/>
      <c r="E107" s="66" t="s">
        <v>894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1"/>
  <sheetViews>
    <sheetView tabSelected="1" view="pageBreakPreview" topLeftCell="A65" zoomScale="80" zoomScaleNormal="100" zoomScaleSheetLayoutView="80" workbookViewId="0">
      <selection activeCell="E71" sqref="E71"/>
    </sheetView>
  </sheetViews>
  <sheetFormatPr defaultColWidth="8.7265625" defaultRowHeight="15"/>
  <cols>
    <col min="1" max="1" width="9" style="66" customWidth="1"/>
    <col min="2" max="2" width="39.81640625" style="66" customWidth="1"/>
    <col min="3" max="3" width="12.08984375" style="66" customWidth="1"/>
    <col min="4" max="4" width="28" style="66" customWidth="1"/>
    <col min="5" max="5" width="33.81640625" style="66" customWidth="1"/>
    <col min="6" max="6" width="32.1796875" style="66" customWidth="1"/>
    <col min="7" max="7" width="28.54296875" style="66" customWidth="1"/>
    <col min="8" max="16384" width="8.7265625" style="134"/>
  </cols>
  <sheetData>
    <row r="1" spans="1:7" ht="44.25" customHeight="1">
      <c r="A1" s="186" t="s">
        <v>300</v>
      </c>
      <c r="B1" s="186"/>
      <c r="C1" s="186"/>
      <c r="D1" s="186"/>
      <c r="E1" s="186"/>
      <c r="F1" s="186"/>
      <c r="G1" s="186"/>
    </row>
    <row r="2" spans="1:7" ht="59.25" customHeight="1">
      <c r="A2" s="187" t="s">
        <v>301</v>
      </c>
      <c r="B2" s="187"/>
      <c r="C2" s="187"/>
      <c r="D2" s="187"/>
      <c r="E2" s="187"/>
      <c r="F2" s="187"/>
      <c r="G2" s="187"/>
    </row>
    <row r="3" spans="1:7" ht="15" customHeight="1">
      <c r="A3" s="188" t="s">
        <v>251</v>
      </c>
      <c r="B3" s="188"/>
      <c r="C3" s="188"/>
      <c r="D3" s="188"/>
      <c r="E3" s="188"/>
      <c r="F3" s="188"/>
      <c r="G3" s="188"/>
    </row>
    <row r="4" spans="1:7" ht="27.4" customHeight="1">
      <c r="A4" s="188"/>
      <c r="B4" s="188"/>
      <c r="C4" s="188"/>
      <c r="D4" s="188"/>
      <c r="E4" s="188"/>
      <c r="F4" s="188"/>
      <c r="G4" s="188"/>
    </row>
    <row r="5" spans="1:7" ht="16.899999999999999" customHeight="1">
      <c r="A5" s="189" t="str">
        <f>TONGQUAN!C1</f>
        <v>Tại ngày 31 tháng 01 năm 2025
/ As at 31 Jan 2025</v>
      </c>
      <c r="B5" s="189"/>
      <c r="C5" s="189"/>
      <c r="D5" s="189"/>
      <c r="E5" s="189"/>
      <c r="F5" s="189"/>
      <c r="G5" s="189"/>
    </row>
    <row r="6" spans="1:7" ht="16.899999999999999" customHeight="1"/>
    <row r="7" spans="1:7" ht="16.899999999999999" customHeight="1">
      <c r="A7" s="96" t="s">
        <v>2</v>
      </c>
      <c r="C7" s="190" t="str">
        <f>TONGQUAN!D5</f>
        <v>Công ty Cổ phần Quản lý Quỹ Đầu tư Dragon Capital Việt Nam</v>
      </c>
      <c r="D7" s="190"/>
      <c r="E7" s="190"/>
      <c r="F7" s="190"/>
      <c r="G7" s="190"/>
    </row>
    <row r="8" spans="1:7" ht="16.899999999999999" customHeight="1">
      <c r="A8" s="66" t="s">
        <v>15</v>
      </c>
      <c r="C8" s="185" t="str">
        <f>TONGQUAN!D6</f>
        <v>Dragon Capital Vietfund Management Joint Stock Company</v>
      </c>
      <c r="D8" s="185"/>
      <c r="E8" s="185"/>
      <c r="F8" s="185"/>
      <c r="G8" s="185"/>
    </row>
    <row r="9" spans="1:7" ht="16.899999999999999" customHeight="1">
      <c r="A9" s="96" t="s">
        <v>3</v>
      </c>
      <c r="C9" s="190" t="str">
        <f>TONGQUAN!D7</f>
        <v>Ngân hàng TNHH Một thành viên Standard Chartered (Việt Nam)</v>
      </c>
      <c r="D9" s="190"/>
      <c r="E9" s="190"/>
      <c r="F9" s="190"/>
      <c r="G9" s="190"/>
    </row>
    <row r="10" spans="1:7" ht="16.899999999999999" customHeight="1">
      <c r="A10" s="66" t="s">
        <v>4</v>
      </c>
      <c r="C10" s="185" t="str">
        <f>TONGQUAN!D8</f>
        <v>Standard Chartered Bank (Vietnam) Limited</v>
      </c>
      <c r="D10" s="185"/>
      <c r="E10" s="185"/>
      <c r="F10" s="185"/>
      <c r="G10" s="185"/>
    </row>
    <row r="11" spans="1:7" ht="16.899999999999999" customHeight="1">
      <c r="A11" s="96" t="s">
        <v>5</v>
      </c>
      <c r="C11" s="190" t="str">
        <f>TONGQUAN!D9</f>
        <v>Quỹ Đầu tư Trái phiếu DC</v>
      </c>
      <c r="D11" s="190"/>
      <c r="E11" s="190"/>
      <c r="F11" s="190"/>
      <c r="G11" s="190"/>
    </row>
    <row r="12" spans="1:7" ht="16.899999999999999" customHeight="1">
      <c r="A12" s="66" t="s">
        <v>6</v>
      </c>
      <c r="C12" s="185" t="str">
        <f>TONGQUAN!D10</f>
        <v>DC Bond Fund (DCBF)</v>
      </c>
      <c r="D12" s="185"/>
      <c r="E12" s="185"/>
      <c r="F12" s="185"/>
      <c r="G12" s="185"/>
    </row>
    <row r="13" spans="1:7" ht="16.899999999999999" customHeight="1">
      <c r="A13" s="96" t="s">
        <v>7</v>
      </c>
      <c r="C13" s="190" t="str">
        <f>TONGQUAN!D11</f>
        <v>Ngày 03 tháng 02 năm 2025</v>
      </c>
      <c r="D13" s="190"/>
      <c r="E13" s="190"/>
      <c r="F13" s="190"/>
      <c r="G13" s="190"/>
    </row>
    <row r="14" spans="1:7" ht="16.899999999999999" customHeight="1">
      <c r="A14" s="66" t="s">
        <v>8</v>
      </c>
      <c r="C14" s="185" t="str">
        <f>TONGQUAN!D12</f>
        <v>03 Feb 2025</v>
      </c>
      <c r="D14" s="185"/>
      <c r="E14" s="185"/>
      <c r="F14" s="185"/>
      <c r="G14" s="185"/>
    </row>
    <row r="15" spans="1:7" ht="18" hidden="1" customHeight="1"/>
    <row r="16" spans="1:7" ht="16.899999999999999" customHeight="1">
      <c r="A16" s="69" t="s">
        <v>298</v>
      </c>
      <c r="B16" s="70" t="s">
        <v>299</v>
      </c>
    </row>
    <row r="17" spans="1:7" ht="16.899999999999999" customHeight="1">
      <c r="A17" s="98" t="s">
        <v>23</v>
      </c>
      <c r="B17" s="99" t="s">
        <v>253</v>
      </c>
    </row>
    <row r="18" spans="1:7" ht="75.400000000000006" customHeight="1">
      <c r="A18" s="135" t="s">
        <v>142</v>
      </c>
      <c r="B18" s="135" t="s">
        <v>101</v>
      </c>
      <c r="C18" s="135" t="s">
        <v>19</v>
      </c>
      <c r="D18" s="135" t="s">
        <v>102</v>
      </c>
      <c r="E18" s="135" t="s">
        <v>103</v>
      </c>
      <c r="F18" s="135" t="s">
        <v>104</v>
      </c>
      <c r="G18" s="135" t="s">
        <v>105</v>
      </c>
    </row>
    <row r="19" spans="1:7" ht="73" customHeight="1">
      <c r="A19" s="76" t="s">
        <v>370</v>
      </c>
      <c r="B19" s="77" t="s">
        <v>371</v>
      </c>
      <c r="C19" s="76"/>
      <c r="D19" s="78"/>
      <c r="E19" s="78"/>
      <c r="F19" s="78"/>
      <c r="G19" s="79"/>
    </row>
    <row r="20" spans="1:7" ht="39" customHeight="1">
      <c r="A20" s="80"/>
      <c r="B20" s="81"/>
      <c r="C20" s="136"/>
      <c r="D20" s="82"/>
      <c r="E20" s="137"/>
      <c r="F20" s="82"/>
      <c r="G20" s="83"/>
    </row>
    <row r="21" spans="1:7" ht="39" customHeight="1">
      <c r="A21" s="76"/>
      <c r="B21" s="77" t="s">
        <v>372</v>
      </c>
      <c r="C21" s="76" t="s">
        <v>373</v>
      </c>
      <c r="D21" s="78"/>
      <c r="E21" s="78"/>
      <c r="F21" s="78"/>
      <c r="G21" s="79"/>
    </row>
    <row r="22" spans="1:7" ht="93" customHeight="1">
      <c r="A22" s="76" t="s">
        <v>374</v>
      </c>
      <c r="B22" s="77" t="s">
        <v>375</v>
      </c>
      <c r="C22" s="76" t="s">
        <v>376</v>
      </c>
      <c r="D22" s="78"/>
      <c r="E22" s="78"/>
      <c r="F22" s="78"/>
      <c r="G22" s="79"/>
    </row>
    <row r="23" spans="1:7" ht="39" customHeight="1">
      <c r="A23" s="80"/>
      <c r="B23" s="81"/>
      <c r="C23" s="136"/>
      <c r="D23" s="82"/>
      <c r="E23" s="137"/>
      <c r="F23" s="82"/>
      <c r="G23" s="83"/>
    </row>
    <row r="24" spans="1:7" ht="39" customHeight="1">
      <c r="A24" s="76"/>
      <c r="B24" s="77" t="s">
        <v>377</v>
      </c>
      <c r="C24" s="76" t="s">
        <v>378</v>
      </c>
      <c r="D24" s="78"/>
      <c r="E24" s="78"/>
      <c r="F24" s="78"/>
      <c r="G24" s="79"/>
    </row>
    <row r="25" spans="1:7" ht="105.5" customHeight="1">
      <c r="A25" s="76" t="s">
        <v>379</v>
      </c>
      <c r="B25" s="77" t="s">
        <v>380</v>
      </c>
      <c r="C25" s="76" t="s">
        <v>381</v>
      </c>
      <c r="D25" s="78"/>
      <c r="E25" s="78"/>
      <c r="F25" s="78"/>
      <c r="G25" s="79"/>
    </row>
    <row r="26" spans="1:7" ht="39" customHeight="1">
      <c r="A26" s="80"/>
      <c r="B26" s="81"/>
      <c r="C26" s="136"/>
      <c r="D26" s="82"/>
      <c r="E26" s="137"/>
      <c r="F26" s="82"/>
      <c r="G26" s="83"/>
    </row>
    <row r="27" spans="1:7" ht="39" customHeight="1">
      <c r="A27" s="76"/>
      <c r="B27" s="77" t="s">
        <v>382</v>
      </c>
      <c r="C27" s="76" t="s">
        <v>383</v>
      </c>
      <c r="D27" s="78"/>
      <c r="E27" s="78"/>
      <c r="F27" s="78">
        <v>0</v>
      </c>
      <c r="G27" s="79">
        <v>0</v>
      </c>
    </row>
    <row r="28" spans="1:7" ht="39" customHeight="1">
      <c r="A28" s="76" t="s">
        <v>384</v>
      </c>
      <c r="B28" s="77" t="s">
        <v>385</v>
      </c>
      <c r="C28" s="76" t="s">
        <v>386</v>
      </c>
      <c r="D28" s="78"/>
      <c r="E28" s="78"/>
      <c r="F28" s="78"/>
      <c r="G28" s="79"/>
    </row>
    <row r="29" spans="1:7" ht="39" customHeight="1">
      <c r="A29" s="80"/>
      <c r="B29" s="81"/>
      <c r="C29" s="136"/>
      <c r="D29" s="82"/>
      <c r="E29" s="137"/>
      <c r="F29" s="82"/>
      <c r="G29" s="83"/>
    </row>
    <row r="30" spans="1:7" ht="39" customHeight="1">
      <c r="A30" s="80" t="s">
        <v>387</v>
      </c>
      <c r="B30" s="81" t="s">
        <v>388</v>
      </c>
      <c r="C30" s="136" t="s">
        <v>389</v>
      </c>
      <c r="D30" s="82"/>
      <c r="E30" s="137"/>
      <c r="F30" s="82">
        <v>894010461508</v>
      </c>
      <c r="G30" s="83">
        <v>0.52818656576915402</v>
      </c>
    </row>
    <row r="31" spans="1:7" ht="34" customHeight="1">
      <c r="A31" s="80" t="s">
        <v>390</v>
      </c>
      <c r="B31" s="81" t="s">
        <v>391</v>
      </c>
      <c r="C31" s="136" t="s">
        <v>392</v>
      </c>
      <c r="D31" s="82">
        <v>390000</v>
      </c>
      <c r="E31" s="137">
        <v>100492.189</v>
      </c>
      <c r="F31" s="82">
        <v>39191953710</v>
      </c>
      <c r="G31" s="83">
        <v>2.31548335586041E-2</v>
      </c>
    </row>
    <row r="32" spans="1:7" ht="34" customHeight="1">
      <c r="A32" s="80" t="s">
        <v>393</v>
      </c>
      <c r="B32" s="81" t="s">
        <v>394</v>
      </c>
      <c r="C32" s="136" t="s">
        <v>395</v>
      </c>
      <c r="D32" s="82">
        <v>452357</v>
      </c>
      <c r="E32" s="137">
        <v>100711.394</v>
      </c>
      <c r="F32" s="82">
        <v>45557504056</v>
      </c>
      <c r="G32" s="83">
        <v>2.6915637622141698E-2</v>
      </c>
    </row>
    <row r="33" spans="1:7" ht="34" customHeight="1">
      <c r="A33" s="80" t="s">
        <v>396</v>
      </c>
      <c r="B33" s="81" t="s">
        <v>397</v>
      </c>
      <c r="C33" s="136" t="s">
        <v>398</v>
      </c>
      <c r="D33" s="82">
        <v>993</v>
      </c>
      <c r="E33" s="137">
        <v>99996998</v>
      </c>
      <c r="F33" s="82">
        <v>99297019014</v>
      </c>
      <c r="G33" s="83">
        <v>5.86652547394712E-2</v>
      </c>
    </row>
    <row r="34" spans="1:7" ht="34" customHeight="1">
      <c r="A34" s="80" t="s">
        <v>399</v>
      </c>
      <c r="B34" s="81" t="s">
        <v>400</v>
      </c>
      <c r="C34" s="136" t="s">
        <v>401</v>
      </c>
      <c r="D34" s="82">
        <v>100000</v>
      </c>
      <c r="E34" s="137">
        <v>100418.788</v>
      </c>
      <c r="F34" s="82">
        <v>10041878800</v>
      </c>
      <c r="G34" s="83">
        <v>5.9328002362471401E-3</v>
      </c>
    </row>
    <row r="35" spans="1:7" ht="34" customHeight="1">
      <c r="A35" s="80" t="s">
        <v>402</v>
      </c>
      <c r="B35" s="81" t="s">
        <v>403</v>
      </c>
      <c r="C35" s="136" t="s">
        <v>404</v>
      </c>
      <c r="D35" s="82">
        <v>1000000</v>
      </c>
      <c r="E35" s="137">
        <v>99807.273000000001</v>
      </c>
      <c r="F35" s="82">
        <v>99807273000</v>
      </c>
      <c r="G35" s="83">
        <v>5.8966715753787299E-2</v>
      </c>
    </row>
    <row r="36" spans="1:7" ht="34" customHeight="1">
      <c r="A36" s="80" t="s">
        <v>405</v>
      </c>
      <c r="B36" s="81" t="s">
        <v>406</v>
      </c>
      <c r="C36" s="136" t="s">
        <v>407</v>
      </c>
      <c r="D36" s="82">
        <v>400230</v>
      </c>
      <c r="E36" s="137">
        <v>99950.704998999994</v>
      </c>
      <c r="F36" s="82">
        <v>40003270662</v>
      </c>
      <c r="G36" s="83">
        <v>2.3634164319347499E-2</v>
      </c>
    </row>
    <row r="37" spans="1:7" ht="34" customHeight="1">
      <c r="A37" s="80" t="s">
        <v>408</v>
      </c>
      <c r="B37" s="81" t="s">
        <v>409</v>
      </c>
      <c r="C37" s="136" t="s">
        <v>410</v>
      </c>
      <c r="D37" s="82">
        <v>1050000</v>
      </c>
      <c r="E37" s="137">
        <v>99658.654999999999</v>
      </c>
      <c r="F37" s="82">
        <v>104641587750</v>
      </c>
      <c r="G37" s="83">
        <v>6.1822856946299298E-2</v>
      </c>
    </row>
    <row r="38" spans="1:7" ht="34" customHeight="1">
      <c r="A38" s="80" t="s">
        <v>411</v>
      </c>
      <c r="B38" s="81" t="s">
        <v>412</v>
      </c>
      <c r="C38" s="136" t="s">
        <v>413</v>
      </c>
      <c r="D38" s="82">
        <v>250000</v>
      </c>
      <c r="E38" s="137">
        <v>100042.11</v>
      </c>
      <c r="F38" s="82">
        <v>25010527500</v>
      </c>
      <c r="G38" s="83">
        <v>1.4776364703850599E-2</v>
      </c>
    </row>
    <row r="39" spans="1:7" ht="34" customHeight="1">
      <c r="A39" s="80" t="s">
        <v>414</v>
      </c>
      <c r="B39" s="81" t="s">
        <v>415</v>
      </c>
      <c r="C39" s="136" t="s">
        <v>416</v>
      </c>
      <c r="D39" s="82">
        <v>363794</v>
      </c>
      <c r="E39" s="137">
        <v>99415.537998999993</v>
      </c>
      <c r="F39" s="82">
        <v>36166776231</v>
      </c>
      <c r="G39" s="83">
        <v>2.1367541158490599E-2</v>
      </c>
    </row>
    <row r="40" spans="1:7" ht="34" customHeight="1">
      <c r="A40" s="80" t="s">
        <v>417</v>
      </c>
      <c r="B40" s="81" t="s">
        <v>418</v>
      </c>
      <c r="C40" s="136" t="s">
        <v>419</v>
      </c>
      <c r="D40" s="82">
        <v>1100000</v>
      </c>
      <c r="E40" s="137">
        <v>100972.202</v>
      </c>
      <c r="F40" s="82">
        <v>111069422200</v>
      </c>
      <c r="G40" s="83">
        <v>6.5620458819717398E-2</v>
      </c>
    </row>
    <row r="41" spans="1:7" ht="34" customHeight="1">
      <c r="A41" s="80" t="s">
        <v>420</v>
      </c>
      <c r="B41" s="81" t="s">
        <v>421</v>
      </c>
      <c r="C41" s="136" t="s">
        <v>422</v>
      </c>
      <c r="D41" s="82">
        <v>220480</v>
      </c>
      <c r="E41" s="137">
        <v>98103.164999000001</v>
      </c>
      <c r="F41" s="82">
        <v>21629785819</v>
      </c>
      <c r="G41" s="83">
        <v>1.2779002910983E-2</v>
      </c>
    </row>
    <row r="42" spans="1:7" ht="34" customHeight="1">
      <c r="A42" s="80" t="s">
        <v>423</v>
      </c>
      <c r="B42" s="81" t="s">
        <v>424</v>
      </c>
      <c r="C42" s="136" t="s">
        <v>425</v>
      </c>
      <c r="D42" s="82">
        <v>380000</v>
      </c>
      <c r="E42" s="137">
        <v>99213.767000000007</v>
      </c>
      <c r="F42" s="82">
        <v>37701231460</v>
      </c>
      <c r="G42" s="83">
        <v>2.2274106207365901E-2</v>
      </c>
    </row>
    <row r="43" spans="1:7" ht="34" customHeight="1">
      <c r="A43" s="80" t="s">
        <v>426</v>
      </c>
      <c r="B43" s="81" t="s">
        <v>427</v>
      </c>
      <c r="C43" s="136" t="s">
        <v>428</v>
      </c>
      <c r="D43" s="82">
        <v>654430</v>
      </c>
      <c r="E43" s="137">
        <v>100187.397</v>
      </c>
      <c r="F43" s="82">
        <v>65565638219</v>
      </c>
      <c r="G43" s="83">
        <v>3.87365593294531E-2</v>
      </c>
    </row>
    <row r="44" spans="1:7" ht="34" customHeight="1">
      <c r="A44" s="80" t="s">
        <v>429</v>
      </c>
      <c r="B44" s="81" t="s">
        <v>430</v>
      </c>
      <c r="C44" s="136" t="s">
        <v>431</v>
      </c>
      <c r="D44" s="82">
        <v>1383233</v>
      </c>
      <c r="E44" s="137">
        <v>99999.958998999995</v>
      </c>
      <c r="F44" s="82">
        <v>138323243287</v>
      </c>
      <c r="G44" s="83">
        <v>8.1722174385492799E-2</v>
      </c>
    </row>
    <row r="45" spans="1:7" ht="34" customHeight="1">
      <c r="A45" s="80" t="s">
        <v>432</v>
      </c>
      <c r="B45" s="81" t="s">
        <v>433</v>
      </c>
      <c r="C45" s="136" t="s">
        <v>434</v>
      </c>
      <c r="D45" s="82">
        <v>200000</v>
      </c>
      <c r="E45" s="137">
        <v>100016.749</v>
      </c>
      <c r="F45" s="82">
        <v>20003349800</v>
      </c>
      <c r="G45" s="83">
        <v>1.18180950779026E-2</v>
      </c>
    </row>
    <row r="46" spans="1:7" ht="39" customHeight="1">
      <c r="A46" s="80" t="s">
        <v>435</v>
      </c>
      <c r="B46" s="81" t="s">
        <v>436</v>
      </c>
      <c r="C46" s="136" t="s">
        <v>437</v>
      </c>
      <c r="D46" s="82"/>
      <c r="E46" s="137"/>
      <c r="F46" s="82">
        <v>160543585070</v>
      </c>
      <c r="G46" s="83">
        <v>9.4850081185132204E-2</v>
      </c>
    </row>
    <row r="47" spans="1:7" ht="34" customHeight="1">
      <c r="A47" s="80" t="s">
        <v>438</v>
      </c>
      <c r="B47" s="81" t="s">
        <v>439</v>
      </c>
      <c r="C47" s="136" t="s">
        <v>440</v>
      </c>
      <c r="D47" s="82">
        <v>360</v>
      </c>
      <c r="E47" s="137">
        <v>99963194</v>
      </c>
      <c r="F47" s="82">
        <v>35986749840</v>
      </c>
      <c r="G47" s="83">
        <v>2.1261180522564999E-2</v>
      </c>
    </row>
    <row r="48" spans="1:7" ht="34" customHeight="1">
      <c r="A48" s="80" t="s">
        <v>441</v>
      </c>
      <c r="B48" s="81" t="s">
        <v>442</v>
      </c>
      <c r="C48" s="136" t="s">
        <v>443</v>
      </c>
      <c r="D48" s="82">
        <v>83</v>
      </c>
      <c r="E48" s="137">
        <v>993643810</v>
      </c>
      <c r="F48" s="82">
        <v>82472436230</v>
      </c>
      <c r="G48" s="83">
        <v>4.8725193650935202E-2</v>
      </c>
    </row>
    <row r="49" spans="1:7" ht="34" customHeight="1">
      <c r="A49" s="80" t="s">
        <v>444</v>
      </c>
      <c r="B49" s="81" t="s">
        <v>445</v>
      </c>
      <c r="C49" s="136" t="s">
        <v>446</v>
      </c>
      <c r="D49" s="82">
        <v>35</v>
      </c>
      <c r="E49" s="137">
        <v>1002411400</v>
      </c>
      <c r="F49" s="82">
        <v>35084399000</v>
      </c>
      <c r="G49" s="83">
        <v>2.0728066412810001E-2</v>
      </c>
    </row>
    <row r="50" spans="1:7" ht="34" customHeight="1">
      <c r="A50" s="80" t="s">
        <v>447</v>
      </c>
      <c r="B50" s="81" t="s">
        <v>448</v>
      </c>
      <c r="C50" s="136" t="s">
        <v>449</v>
      </c>
      <c r="D50" s="82">
        <v>7</v>
      </c>
      <c r="E50" s="137">
        <v>1000000000</v>
      </c>
      <c r="F50" s="82">
        <v>7000000000</v>
      </c>
      <c r="G50" s="83">
        <v>4.1356405988220001E-3</v>
      </c>
    </row>
    <row r="51" spans="1:7" ht="39" customHeight="1">
      <c r="A51" s="76"/>
      <c r="B51" s="77" t="s">
        <v>450</v>
      </c>
      <c r="C51" s="76" t="s">
        <v>451</v>
      </c>
      <c r="D51" s="78"/>
      <c r="E51" s="78"/>
      <c r="F51" s="78">
        <v>1054554046578</v>
      </c>
      <c r="G51" s="79">
        <v>0.62303664695428596</v>
      </c>
    </row>
    <row r="52" spans="1:7" ht="39" customHeight="1">
      <c r="A52" s="76" t="s">
        <v>452</v>
      </c>
      <c r="B52" s="77" t="s">
        <v>453</v>
      </c>
      <c r="C52" s="76" t="s">
        <v>454</v>
      </c>
      <c r="D52" s="78"/>
      <c r="E52" s="78"/>
      <c r="F52" s="78"/>
      <c r="G52" s="79"/>
    </row>
    <row r="53" spans="1:7" ht="39" customHeight="1">
      <c r="A53" s="80"/>
      <c r="B53" s="81"/>
      <c r="C53" s="136"/>
      <c r="D53" s="82"/>
      <c r="E53" s="137"/>
      <c r="F53" s="82"/>
      <c r="G53" s="83"/>
    </row>
    <row r="54" spans="1:7" ht="39" customHeight="1">
      <c r="A54" s="80" t="s">
        <v>455</v>
      </c>
      <c r="B54" s="81" t="s">
        <v>456</v>
      </c>
      <c r="C54" s="136" t="s">
        <v>457</v>
      </c>
      <c r="D54" s="82"/>
      <c r="E54" s="137"/>
      <c r="F54" s="82">
        <v>0</v>
      </c>
      <c r="G54" s="83">
        <v>0</v>
      </c>
    </row>
    <row r="55" spans="1:7" ht="39" customHeight="1">
      <c r="A55" s="80" t="s">
        <v>458</v>
      </c>
      <c r="B55" s="81" t="s">
        <v>459</v>
      </c>
      <c r="C55" s="136" t="s">
        <v>460</v>
      </c>
      <c r="D55" s="82"/>
      <c r="E55" s="137"/>
      <c r="F55" s="82">
        <v>0</v>
      </c>
      <c r="G55" s="83">
        <v>0</v>
      </c>
    </row>
    <row r="56" spans="1:7" ht="34" customHeight="1">
      <c r="A56" s="76"/>
      <c r="B56" s="77" t="s">
        <v>461</v>
      </c>
      <c r="C56" s="76" t="s">
        <v>462</v>
      </c>
      <c r="D56" s="78"/>
      <c r="E56" s="78"/>
      <c r="F56" s="78">
        <v>0</v>
      </c>
      <c r="G56" s="79">
        <v>0</v>
      </c>
    </row>
    <row r="57" spans="1:7" ht="39" customHeight="1">
      <c r="A57" s="76"/>
      <c r="B57" s="77" t="s">
        <v>463</v>
      </c>
      <c r="C57" s="76" t="s">
        <v>464</v>
      </c>
      <c r="D57" s="78"/>
      <c r="E57" s="78"/>
      <c r="F57" s="78">
        <v>1054554046578</v>
      </c>
      <c r="G57" s="79">
        <v>0.62303664695428596</v>
      </c>
    </row>
    <row r="58" spans="1:7" ht="39" customHeight="1">
      <c r="A58" s="76" t="s">
        <v>465</v>
      </c>
      <c r="B58" s="77" t="s">
        <v>466</v>
      </c>
      <c r="C58" s="76" t="s">
        <v>467</v>
      </c>
      <c r="D58" s="78"/>
      <c r="E58" s="78"/>
      <c r="F58" s="78"/>
      <c r="G58" s="79"/>
    </row>
    <row r="59" spans="1:7" ht="39" customHeight="1">
      <c r="A59" s="80"/>
      <c r="B59" s="81"/>
      <c r="C59" s="136"/>
      <c r="D59" s="82"/>
      <c r="E59" s="137"/>
      <c r="F59" s="82"/>
      <c r="G59" s="83"/>
    </row>
    <row r="60" spans="1:7" ht="39" customHeight="1">
      <c r="A60" s="80" t="s">
        <v>468</v>
      </c>
      <c r="B60" s="81" t="s">
        <v>469</v>
      </c>
      <c r="C60" s="136" t="s">
        <v>470</v>
      </c>
      <c r="D60" s="82"/>
      <c r="E60" s="137"/>
      <c r="F60" s="82">
        <v>0</v>
      </c>
      <c r="G60" s="83">
        <v>0</v>
      </c>
    </row>
    <row r="61" spans="1:7" ht="39" customHeight="1">
      <c r="A61" s="80" t="s">
        <v>471</v>
      </c>
      <c r="B61" s="81" t="s">
        <v>472</v>
      </c>
      <c r="C61" s="136" t="s">
        <v>473</v>
      </c>
      <c r="D61" s="82"/>
      <c r="E61" s="137"/>
      <c r="F61" s="82">
        <v>36142849246</v>
      </c>
      <c r="G61" s="83">
        <v>2.1353404956980099E-2</v>
      </c>
    </row>
    <row r="62" spans="1:7" ht="57" customHeight="1">
      <c r="A62" s="80" t="s">
        <v>474</v>
      </c>
      <c r="B62" s="81" t="s">
        <v>475</v>
      </c>
      <c r="C62" s="136" t="s">
        <v>476</v>
      </c>
      <c r="D62" s="82"/>
      <c r="E62" s="137"/>
      <c r="F62" s="82">
        <v>12944287808</v>
      </c>
      <c r="G62" s="83">
        <v>7.6475603116573504E-3</v>
      </c>
    </row>
    <row r="63" spans="1:7" ht="45" customHeight="1">
      <c r="A63" s="80" t="s">
        <v>477</v>
      </c>
      <c r="B63" s="81" t="s">
        <v>478</v>
      </c>
      <c r="C63" s="136" t="s">
        <v>479</v>
      </c>
      <c r="D63" s="82"/>
      <c r="E63" s="137"/>
      <c r="F63" s="82">
        <v>0</v>
      </c>
      <c r="G63" s="83">
        <v>0</v>
      </c>
    </row>
    <row r="64" spans="1:7" ht="60">
      <c r="A64" s="80" t="s">
        <v>480</v>
      </c>
      <c r="B64" s="81" t="s">
        <v>481</v>
      </c>
      <c r="C64" s="136" t="s">
        <v>482</v>
      </c>
      <c r="D64" s="82"/>
      <c r="E64" s="137"/>
      <c r="F64" s="82">
        <v>0</v>
      </c>
      <c r="G64" s="83">
        <v>0</v>
      </c>
    </row>
    <row r="65" spans="1:7" ht="39" customHeight="1">
      <c r="A65" s="80" t="s">
        <v>483</v>
      </c>
      <c r="B65" s="81" t="s">
        <v>484</v>
      </c>
      <c r="C65" s="136" t="s">
        <v>485</v>
      </c>
      <c r="D65" s="82"/>
      <c r="E65" s="137"/>
      <c r="F65" s="82">
        <v>0</v>
      </c>
      <c r="G65" s="83">
        <v>0</v>
      </c>
    </row>
    <row r="66" spans="1:7" ht="39" customHeight="1">
      <c r="A66" s="80" t="s">
        <v>486</v>
      </c>
      <c r="B66" s="81" t="s">
        <v>487</v>
      </c>
      <c r="C66" s="136" t="s">
        <v>488</v>
      </c>
      <c r="D66" s="82"/>
      <c r="E66" s="137"/>
      <c r="F66" s="82">
        <v>0</v>
      </c>
      <c r="G66" s="83">
        <v>0</v>
      </c>
    </row>
    <row r="67" spans="1:7" ht="39" customHeight="1">
      <c r="A67" s="76"/>
      <c r="B67" s="77" t="s">
        <v>489</v>
      </c>
      <c r="C67" s="76" t="s">
        <v>490</v>
      </c>
      <c r="D67" s="78"/>
      <c r="E67" s="78"/>
      <c r="F67" s="78">
        <v>49087137054</v>
      </c>
      <c r="G67" s="79">
        <v>2.9000965268637401E-2</v>
      </c>
    </row>
    <row r="68" spans="1:7" ht="39" customHeight="1">
      <c r="A68" s="76" t="s">
        <v>491</v>
      </c>
      <c r="B68" s="77" t="s">
        <v>492</v>
      </c>
      <c r="C68" s="76" t="s">
        <v>493</v>
      </c>
      <c r="D68" s="78"/>
      <c r="E68" s="78"/>
      <c r="F68" s="78"/>
      <c r="G68" s="79"/>
    </row>
    <row r="69" spans="1:7" ht="39" customHeight="1">
      <c r="A69" s="80" t="s">
        <v>494</v>
      </c>
      <c r="B69" s="81" t="s">
        <v>495</v>
      </c>
      <c r="C69" s="136" t="s">
        <v>496</v>
      </c>
      <c r="D69" s="82"/>
      <c r="E69" s="137"/>
      <c r="F69" s="82">
        <v>162739470657</v>
      </c>
      <c r="G69" s="83">
        <v>9.6147423125698697E-2</v>
      </c>
    </row>
    <row r="70" spans="1:7" ht="39" customHeight="1">
      <c r="A70" s="80"/>
      <c r="B70" s="81"/>
      <c r="C70" s="136"/>
      <c r="D70" s="82"/>
      <c r="E70" s="137"/>
      <c r="F70" s="82"/>
      <c r="G70" s="83"/>
    </row>
    <row r="71" spans="1:7" ht="39" customHeight="1">
      <c r="A71" s="80" t="s">
        <v>497</v>
      </c>
      <c r="B71" s="81" t="s">
        <v>498</v>
      </c>
      <c r="C71" s="136" t="s">
        <v>499</v>
      </c>
      <c r="D71" s="82"/>
      <c r="E71" s="137"/>
      <c r="F71" s="82">
        <v>1739470657</v>
      </c>
      <c r="G71" s="83">
        <v>1.0276893527926801E-3</v>
      </c>
    </row>
    <row r="72" spans="1:7" ht="39" customHeight="1">
      <c r="A72" s="80" t="s">
        <v>500</v>
      </c>
      <c r="B72" s="81" t="s">
        <v>501</v>
      </c>
      <c r="C72" s="136" t="s">
        <v>502</v>
      </c>
      <c r="D72" s="82"/>
      <c r="E72" s="137"/>
      <c r="F72" s="82">
        <v>161000000000</v>
      </c>
      <c r="G72" s="83">
        <v>9.5119733772906001E-2</v>
      </c>
    </row>
    <row r="73" spans="1:7" ht="69" customHeight="1">
      <c r="A73" s="80" t="s">
        <v>503</v>
      </c>
      <c r="B73" s="81" t="s">
        <v>504</v>
      </c>
      <c r="C73" s="136" t="s">
        <v>505</v>
      </c>
      <c r="D73" s="82"/>
      <c r="E73" s="137"/>
      <c r="F73" s="82">
        <v>161100000000</v>
      </c>
      <c r="G73" s="83">
        <v>9.5178814352889204E-2</v>
      </c>
    </row>
    <row r="74" spans="1:7" ht="39" customHeight="1">
      <c r="A74" s="80"/>
      <c r="B74" s="81"/>
      <c r="C74" s="136"/>
      <c r="D74" s="82"/>
      <c r="E74" s="137"/>
      <c r="F74" s="82"/>
      <c r="G74" s="83"/>
    </row>
    <row r="75" spans="1:7" ht="39" customHeight="1">
      <c r="A75" s="80" t="s">
        <v>506</v>
      </c>
      <c r="B75" s="81" t="s">
        <v>507</v>
      </c>
      <c r="C75" s="136" t="s">
        <v>508</v>
      </c>
      <c r="D75" s="82"/>
      <c r="E75" s="137"/>
      <c r="F75" s="82">
        <v>265122905603</v>
      </c>
      <c r="G75" s="83">
        <v>0.15663615029848901</v>
      </c>
    </row>
    <row r="76" spans="1:7" ht="39" customHeight="1">
      <c r="A76" s="76"/>
      <c r="B76" s="77" t="s">
        <v>509</v>
      </c>
      <c r="C76" s="76" t="s">
        <v>510</v>
      </c>
      <c r="D76" s="78"/>
      <c r="E76" s="78"/>
      <c r="F76" s="78">
        <v>588962376260</v>
      </c>
      <c r="G76" s="79">
        <v>0.347962387777076</v>
      </c>
    </row>
    <row r="77" spans="1:7" ht="39" customHeight="1">
      <c r="A77" s="76" t="s">
        <v>511</v>
      </c>
      <c r="B77" s="77" t="s">
        <v>512</v>
      </c>
      <c r="C77" s="76" t="s">
        <v>513</v>
      </c>
      <c r="D77" s="78"/>
      <c r="E77" s="78"/>
      <c r="F77" s="78">
        <v>1692603559892</v>
      </c>
      <c r="G77" s="79">
        <v>1</v>
      </c>
    </row>
    <row r="78" spans="1:7" ht="16.899999999999999" customHeight="1">
      <c r="A78" s="138"/>
      <c r="E78" s="85"/>
    </row>
    <row r="79" spans="1:7" ht="16.899999999999999" customHeight="1">
      <c r="A79" s="85" t="s">
        <v>10</v>
      </c>
      <c r="E79" s="85" t="s">
        <v>11</v>
      </c>
      <c r="F79" s="85"/>
    </row>
    <row r="80" spans="1:7" ht="16.899999999999999" customHeight="1">
      <c r="A80" s="87" t="s">
        <v>12</v>
      </c>
      <c r="E80" s="87" t="s">
        <v>13</v>
      </c>
      <c r="F80" s="87"/>
    </row>
    <row r="81" spans="1:7" ht="16.899999999999999" customHeight="1"/>
    <row r="82" spans="1:7" ht="16.899999999999999" customHeight="1">
      <c r="A82" s="129"/>
      <c r="E82" s="129"/>
      <c r="F82" s="12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c r="A89" s="139" t="s">
        <v>14</v>
      </c>
      <c r="B89" s="128"/>
      <c r="C89" s="128"/>
      <c r="E89" s="139" t="s">
        <v>885</v>
      </c>
      <c r="F89" s="139"/>
      <c r="G89" s="128"/>
    </row>
    <row r="90" spans="1:7" ht="16.899999999999999" customHeight="1">
      <c r="A90" s="140" t="s">
        <v>891</v>
      </c>
      <c r="E90" s="140" t="s">
        <v>892</v>
      </c>
      <c r="F90" s="140"/>
    </row>
    <row r="91" spans="1:7" ht="16.899999999999999" customHeight="1">
      <c r="A91" s="141" t="s">
        <v>893</v>
      </c>
      <c r="E91" s="141" t="s">
        <v>894</v>
      </c>
      <c r="F91" s="141"/>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52" zoomScale="80" zoomScaleNormal="100" zoomScaleSheetLayoutView="80" workbookViewId="0">
      <selection activeCell="B39" sqref="B39"/>
    </sheetView>
  </sheetViews>
  <sheetFormatPr defaultColWidth="8.7265625" defaultRowHeight="53.25" customHeight="1"/>
  <cols>
    <col min="1" max="1" width="8.7265625" style="66"/>
    <col min="2" max="2" width="68.54296875" style="66" customWidth="1"/>
    <col min="3" max="3" width="10.7265625" style="66" bestFit="1" customWidth="1"/>
    <col min="4" max="4" width="41.7265625" style="66" customWidth="1"/>
    <col min="5" max="5" width="39.54296875" style="66" customWidth="1"/>
    <col min="6" max="6" width="8.453125" style="134" customWidth="1"/>
    <col min="7" max="16384" width="8.7265625" style="134"/>
  </cols>
  <sheetData>
    <row r="1" spans="1:6" ht="53.25" customHeight="1">
      <c r="A1" s="186" t="s">
        <v>300</v>
      </c>
      <c r="B1" s="186"/>
      <c r="C1" s="186"/>
      <c r="D1" s="186"/>
      <c r="E1" s="186"/>
      <c r="F1" s="142"/>
    </row>
    <row r="2" spans="1:6" ht="66" customHeight="1">
      <c r="A2" s="187" t="s">
        <v>301</v>
      </c>
      <c r="B2" s="187"/>
      <c r="C2" s="187"/>
      <c r="D2" s="187"/>
      <c r="E2" s="187"/>
      <c r="F2" s="143"/>
    </row>
    <row r="3" spans="1:6" ht="40.5" customHeight="1">
      <c r="A3" s="188" t="s">
        <v>251</v>
      </c>
      <c r="B3" s="188"/>
      <c r="C3" s="188"/>
      <c r="D3" s="188"/>
      <c r="E3" s="188"/>
      <c r="F3" s="142"/>
    </row>
    <row r="4" spans="1:6" ht="15" hidden="1">
      <c r="A4" s="188"/>
      <c r="B4" s="188"/>
      <c r="C4" s="188"/>
      <c r="D4" s="188"/>
      <c r="E4" s="188"/>
      <c r="F4" s="142"/>
    </row>
    <row r="5" spans="1:6" ht="15">
      <c r="A5" s="189" t="str">
        <f>TONGQUAN!C2</f>
        <v>Tháng 01 năm 2025
/ Jan 2025</v>
      </c>
      <c r="B5" s="189"/>
      <c r="C5" s="189"/>
      <c r="D5" s="189"/>
      <c r="E5" s="189"/>
      <c r="F5" s="144"/>
    </row>
    <row r="6" spans="1:6" ht="15"/>
    <row r="7" spans="1:6" ht="15">
      <c r="A7" s="97" t="s">
        <v>2</v>
      </c>
      <c r="C7" s="190" t="str">
        <f>TONGQUAN!D5</f>
        <v>Công ty Cổ phần Quản lý Quỹ Đầu tư Dragon Capital Việt Nam</v>
      </c>
      <c r="D7" s="190"/>
      <c r="E7" s="190"/>
    </row>
    <row r="8" spans="1:6" ht="15">
      <c r="A8" s="66" t="s">
        <v>15</v>
      </c>
      <c r="C8" s="185" t="str">
        <f>TONGQUAN!D6</f>
        <v>Dragon Capital Vietfund Management Joint Stock Company</v>
      </c>
      <c r="D8" s="185"/>
      <c r="E8" s="185"/>
    </row>
    <row r="9" spans="1:6" ht="15">
      <c r="A9" s="97" t="s">
        <v>3</v>
      </c>
      <c r="C9" s="190" t="str">
        <f>TONGQUAN!D7</f>
        <v>Ngân hàng TNHH Một thành viên Standard Chartered (Việt Nam)</v>
      </c>
      <c r="D9" s="190"/>
      <c r="E9" s="190"/>
    </row>
    <row r="10" spans="1:6" ht="15">
      <c r="A10" s="66" t="s">
        <v>4</v>
      </c>
      <c r="C10" s="185" t="str">
        <f>TONGQUAN!D8</f>
        <v>Standard Chartered Bank (Vietnam) Limited</v>
      </c>
      <c r="D10" s="185"/>
      <c r="E10" s="185"/>
    </row>
    <row r="11" spans="1:6" ht="15">
      <c r="A11" s="97" t="s">
        <v>5</v>
      </c>
      <c r="C11" s="190" t="str">
        <f>TONGQUAN!D9</f>
        <v>Quỹ Đầu tư Trái phiếu DC</v>
      </c>
      <c r="D11" s="190"/>
      <c r="E11" s="190"/>
    </row>
    <row r="12" spans="1:6" ht="15">
      <c r="A12" s="66" t="s">
        <v>6</v>
      </c>
      <c r="C12" s="185" t="str">
        <f>TONGQUAN!D10</f>
        <v>DC Bond Fund (DCBF)</v>
      </c>
      <c r="D12" s="185"/>
      <c r="E12" s="185"/>
    </row>
    <row r="13" spans="1:6" ht="15">
      <c r="A13" s="97" t="s">
        <v>7</v>
      </c>
      <c r="C13" s="190" t="str">
        <f>TONGQUAN!D11</f>
        <v>Ngày 03 tháng 02 năm 2025</v>
      </c>
      <c r="D13" s="190"/>
      <c r="E13" s="190"/>
    </row>
    <row r="14" spans="1:6" ht="15">
      <c r="A14" s="66" t="s">
        <v>8</v>
      </c>
      <c r="C14" s="185" t="str">
        <f>TONGQUAN!D12</f>
        <v>03 Feb 2025</v>
      </c>
      <c r="D14" s="185"/>
      <c r="E14" s="185"/>
    </row>
    <row r="15" spans="1:6" ht="15"/>
    <row r="16" spans="1:6" ht="15">
      <c r="A16" s="69" t="s">
        <v>298</v>
      </c>
      <c r="B16" s="70" t="s">
        <v>299</v>
      </c>
    </row>
    <row r="17" spans="1:5" ht="15">
      <c r="A17" s="98" t="s">
        <v>25</v>
      </c>
      <c r="B17" s="99" t="s">
        <v>244</v>
      </c>
    </row>
    <row r="18" spans="1:5" ht="45">
      <c r="A18" s="145" t="s">
        <v>17</v>
      </c>
      <c r="B18" s="145" t="s">
        <v>288</v>
      </c>
      <c r="C18" s="145" t="s">
        <v>19</v>
      </c>
      <c r="D18" s="146" t="s">
        <v>897</v>
      </c>
      <c r="E18" s="146" t="s">
        <v>898</v>
      </c>
    </row>
    <row r="19" spans="1:5" s="150" customFormat="1" ht="41.5" customHeight="1">
      <c r="A19" s="147" t="s">
        <v>16</v>
      </c>
      <c r="B19" s="148" t="s">
        <v>106</v>
      </c>
      <c r="C19" s="149" t="s">
        <v>107</v>
      </c>
      <c r="D19" s="83"/>
      <c r="E19" s="83"/>
    </row>
    <row r="20" spans="1:5" ht="66" customHeight="1">
      <c r="A20" s="151">
        <v>1</v>
      </c>
      <c r="B20" s="152" t="s">
        <v>273</v>
      </c>
      <c r="C20" s="153" t="s">
        <v>108</v>
      </c>
      <c r="D20" s="83">
        <v>1.2232338516766099E-2</v>
      </c>
      <c r="E20" s="83">
        <v>1.2198485002808601E-2</v>
      </c>
    </row>
    <row r="21" spans="1:5" ht="68" customHeight="1">
      <c r="A21" s="151">
        <v>2</v>
      </c>
      <c r="B21" s="152" t="s">
        <v>274</v>
      </c>
      <c r="C21" s="153" t="s">
        <v>109</v>
      </c>
      <c r="D21" s="83">
        <v>8.2533851110337198E-4</v>
      </c>
      <c r="E21" s="83">
        <v>8.1267747492497796E-4</v>
      </c>
    </row>
    <row r="22" spans="1:5" ht="95" customHeight="1">
      <c r="A22" s="151">
        <v>3</v>
      </c>
      <c r="B22" s="152" t="s">
        <v>275</v>
      </c>
      <c r="C22" s="153" t="s">
        <v>110</v>
      </c>
      <c r="D22" s="83">
        <v>4.2411501615598402E-4</v>
      </c>
      <c r="E22" s="83">
        <v>4.27502271589712E-4</v>
      </c>
    </row>
    <row r="23" spans="1:5" ht="59.5" customHeight="1">
      <c r="A23" s="151">
        <v>4</v>
      </c>
      <c r="B23" s="152" t="s">
        <v>245</v>
      </c>
      <c r="C23" s="153" t="s">
        <v>111</v>
      </c>
      <c r="D23" s="83">
        <v>8.8943779696473298E-5</v>
      </c>
      <c r="E23" s="83">
        <v>8.7332513793803601E-5</v>
      </c>
    </row>
    <row r="24" spans="1:5" ht="60">
      <c r="A24" s="151">
        <v>5</v>
      </c>
      <c r="B24" s="152" t="s">
        <v>276</v>
      </c>
      <c r="C24" s="153" t="s">
        <v>277</v>
      </c>
      <c r="D24" s="154"/>
      <c r="E24" s="154"/>
    </row>
    <row r="25" spans="1:5" ht="79.5" customHeight="1">
      <c r="A25" s="151">
        <v>6</v>
      </c>
      <c r="B25" s="152" t="s">
        <v>278</v>
      </c>
      <c r="C25" s="153"/>
      <c r="D25" s="154"/>
      <c r="E25" s="154"/>
    </row>
    <row r="26" spans="1:5" ht="82.5" customHeight="1">
      <c r="A26" s="151">
        <v>7</v>
      </c>
      <c r="B26" s="152" t="s">
        <v>246</v>
      </c>
      <c r="C26" s="153" t="s">
        <v>112</v>
      </c>
      <c r="D26" s="83">
        <v>1.33508994279136E-4</v>
      </c>
      <c r="E26" s="83">
        <v>1.63157820584972E-4</v>
      </c>
    </row>
    <row r="27" spans="1:5" ht="30">
      <c r="A27" s="151">
        <v>8</v>
      </c>
      <c r="B27" s="152" t="s">
        <v>279</v>
      </c>
      <c r="C27" s="153" t="s">
        <v>113</v>
      </c>
      <c r="D27" s="83">
        <v>1.34852846268123E-2</v>
      </c>
      <c r="E27" s="83">
        <v>1.35959059302058E-2</v>
      </c>
    </row>
    <row r="28" spans="1:5" ht="30">
      <c r="A28" s="151">
        <v>9</v>
      </c>
      <c r="B28" s="152" t="s">
        <v>358</v>
      </c>
      <c r="C28" s="153" t="s">
        <v>114</v>
      </c>
      <c r="D28" s="83">
        <v>0.80455157132048705</v>
      </c>
      <c r="E28" s="83">
        <v>1.78539308532777</v>
      </c>
    </row>
    <row r="29" spans="1:5" ht="79" customHeight="1">
      <c r="A29" s="151">
        <v>10</v>
      </c>
      <c r="B29" s="152" t="s">
        <v>280</v>
      </c>
      <c r="C29" s="153" t="s">
        <v>248</v>
      </c>
      <c r="D29" s="154"/>
      <c r="E29" s="154"/>
    </row>
    <row r="30" spans="1:5" s="150" customFormat="1" ht="38" customHeight="1">
      <c r="A30" s="147" t="s">
        <v>21</v>
      </c>
      <c r="B30" s="148" t="s">
        <v>115</v>
      </c>
      <c r="C30" s="149" t="s">
        <v>116</v>
      </c>
      <c r="D30" s="155"/>
      <c r="E30" s="155"/>
    </row>
    <row r="31" spans="1:5" ht="51.5" customHeight="1">
      <c r="A31" s="193">
        <v>1</v>
      </c>
      <c r="B31" s="152" t="s">
        <v>117</v>
      </c>
      <c r="C31" s="153" t="s">
        <v>118</v>
      </c>
      <c r="D31" s="156">
        <v>607878516100</v>
      </c>
      <c r="E31" s="156">
        <v>605747837800</v>
      </c>
    </row>
    <row r="32" spans="1:5" ht="45">
      <c r="A32" s="194"/>
      <c r="B32" s="152" t="s">
        <v>119</v>
      </c>
      <c r="C32" s="153" t="s">
        <v>120</v>
      </c>
      <c r="D32" s="156">
        <v>607878516100</v>
      </c>
      <c r="E32" s="156">
        <v>605747837800</v>
      </c>
    </row>
    <row r="33" spans="1:5" ht="45">
      <c r="A33" s="195"/>
      <c r="B33" s="152" t="s">
        <v>281</v>
      </c>
      <c r="C33" s="153" t="s">
        <v>121</v>
      </c>
      <c r="D33" s="154">
        <v>60787851.609999999</v>
      </c>
      <c r="E33" s="154">
        <v>60574783.780000001</v>
      </c>
    </row>
    <row r="34" spans="1:5" ht="45">
      <c r="A34" s="192">
        <v>2</v>
      </c>
      <c r="B34" s="152" t="s">
        <v>122</v>
      </c>
      <c r="C34" s="153" t="s">
        <v>123</v>
      </c>
      <c r="D34" s="156">
        <v>10985301200</v>
      </c>
      <c r="E34" s="156">
        <v>2130678300</v>
      </c>
    </row>
    <row r="35" spans="1:5" ht="30">
      <c r="A35" s="192"/>
      <c r="B35" s="152" t="s">
        <v>124</v>
      </c>
      <c r="C35" s="153" t="s">
        <v>282</v>
      </c>
      <c r="D35" s="154">
        <v>1098530.1200000001</v>
      </c>
      <c r="E35" s="154">
        <v>213067.83</v>
      </c>
    </row>
    <row r="36" spans="1:5" ht="30">
      <c r="A36" s="192"/>
      <c r="B36" s="152" t="s">
        <v>125</v>
      </c>
      <c r="C36" s="153" t="s">
        <v>283</v>
      </c>
      <c r="D36" s="156">
        <v>10985301200</v>
      </c>
      <c r="E36" s="156">
        <v>2130678300</v>
      </c>
    </row>
    <row r="37" spans="1:5" ht="30">
      <c r="A37" s="192"/>
      <c r="B37" s="152" t="s">
        <v>284</v>
      </c>
      <c r="C37" s="153" t="s">
        <v>126</v>
      </c>
      <c r="D37" s="154">
        <v>3778254.65</v>
      </c>
      <c r="E37" s="154">
        <v>5296415.87</v>
      </c>
    </row>
    <row r="38" spans="1:5" ht="30">
      <c r="A38" s="192"/>
      <c r="B38" s="152" t="s">
        <v>227</v>
      </c>
      <c r="C38" s="153" t="s">
        <v>127</v>
      </c>
      <c r="D38" s="156">
        <v>37782546500</v>
      </c>
      <c r="E38" s="156">
        <v>52964158700</v>
      </c>
    </row>
    <row r="39" spans="1:5" ht="30">
      <c r="A39" s="192"/>
      <c r="B39" s="152" t="s">
        <v>306</v>
      </c>
      <c r="C39" s="153" t="s">
        <v>128</v>
      </c>
      <c r="D39" s="154">
        <v>-2679724.5299999998</v>
      </c>
      <c r="E39" s="154">
        <v>-5083348.04</v>
      </c>
    </row>
    <row r="40" spans="1:5" ht="45">
      <c r="A40" s="192"/>
      <c r="B40" s="152" t="s">
        <v>228</v>
      </c>
      <c r="C40" s="153" t="s">
        <v>129</v>
      </c>
      <c r="D40" s="156">
        <v>-26797245300</v>
      </c>
      <c r="E40" s="156">
        <v>-50833480400</v>
      </c>
    </row>
    <row r="41" spans="1:5" ht="35" customHeight="1">
      <c r="A41" s="192">
        <v>3</v>
      </c>
      <c r="B41" s="152" t="s">
        <v>229</v>
      </c>
      <c r="C41" s="153" t="s">
        <v>130</v>
      </c>
      <c r="D41" s="156">
        <v>618863817300</v>
      </c>
      <c r="E41" s="156">
        <v>607878516100</v>
      </c>
    </row>
    <row r="42" spans="1:5" ht="60">
      <c r="A42" s="192"/>
      <c r="B42" s="152" t="s">
        <v>285</v>
      </c>
      <c r="C42" s="153" t="s">
        <v>131</v>
      </c>
      <c r="D42" s="156">
        <v>618863817300</v>
      </c>
      <c r="E42" s="156">
        <v>607878516100</v>
      </c>
    </row>
    <row r="43" spans="1:5" ht="45">
      <c r="A43" s="192"/>
      <c r="B43" s="152" t="s">
        <v>286</v>
      </c>
      <c r="C43" s="153" t="s">
        <v>132</v>
      </c>
      <c r="D43" s="154">
        <v>61886381.729999997</v>
      </c>
      <c r="E43" s="154">
        <v>60787851.609999999</v>
      </c>
    </row>
    <row r="44" spans="1:5" ht="60">
      <c r="A44" s="151">
        <v>4</v>
      </c>
      <c r="B44" s="152" t="s">
        <v>133</v>
      </c>
      <c r="C44" s="153" t="s">
        <v>134</v>
      </c>
      <c r="D44" s="83">
        <v>6.7723623240495401E-5</v>
      </c>
      <c r="E44" s="83">
        <v>6.89474934381548E-5</v>
      </c>
    </row>
    <row r="45" spans="1:5" ht="30">
      <c r="A45" s="151">
        <v>5</v>
      </c>
      <c r="B45" s="152" t="s">
        <v>135</v>
      </c>
      <c r="C45" s="153" t="s">
        <v>136</v>
      </c>
      <c r="D45" s="83">
        <v>0.27089999999999997</v>
      </c>
      <c r="E45" s="83">
        <v>0.28310000000000002</v>
      </c>
    </row>
    <row r="46" spans="1:5" ht="51.5" customHeight="1">
      <c r="A46" s="151">
        <v>6</v>
      </c>
      <c r="B46" s="152" t="s">
        <v>901</v>
      </c>
      <c r="C46" s="153" t="s">
        <v>137</v>
      </c>
      <c r="D46" s="83">
        <v>8.3000000000000001E-3</v>
      </c>
      <c r="E46" s="83">
        <v>8.0999999999999996E-3</v>
      </c>
    </row>
    <row r="47" spans="1:5" ht="30">
      <c r="A47" s="151">
        <v>7</v>
      </c>
      <c r="B47" s="152" t="s">
        <v>138</v>
      </c>
      <c r="C47" s="153" t="s">
        <v>139</v>
      </c>
      <c r="D47" s="156">
        <v>11919</v>
      </c>
      <c r="E47" s="156">
        <v>11859</v>
      </c>
    </row>
    <row r="48" spans="1:5" ht="34.5" customHeight="1">
      <c r="A48" s="151">
        <v>8</v>
      </c>
      <c r="B48" s="152" t="s">
        <v>230</v>
      </c>
      <c r="C48" s="153" t="s">
        <v>140</v>
      </c>
      <c r="D48" s="154">
        <v>27249.11</v>
      </c>
      <c r="E48" s="154">
        <v>27120.12</v>
      </c>
    </row>
    <row r="49" spans="1:5" ht="60">
      <c r="A49" s="151">
        <v>9</v>
      </c>
      <c r="B49" s="152" t="s">
        <v>287</v>
      </c>
      <c r="C49" s="153" t="s">
        <v>249</v>
      </c>
      <c r="D49" s="154"/>
      <c r="E49" s="154"/>
    </row>
    <row r="50" spans="1:5" ht="31.5" customHeight="1">
      <c r="A50" s="191" t="s">
        <v>357</v>
      </c>
      <c r="B50" s="185"/>
      <c r="C50" s="185"/>
      <c r="D50" s="185"/>
      <c r="E50" s="185"/>
    </row>
    <row r="51" spans="1:5" ht="95.25" customHeight="1">
      <c r="A51" s="191" t="s">
        <v>900</v>
      </c>
      <c r="B51" s="185"/>
      <c r="C51" s="185"/>
      <c r="D51" s="185"/>
      <c r="E51" s="185"/>
    </row>
    <row r="52" spans="1:5" ht="84" customHeight="1">
      <c r="A52" s="191" t="s">
        <v>902</v>
      </c>
      <c r="B52" s="191"/>
      <c r="C52" s="191"/>
      <c r="D52" s="191"/>
      <c r="E52" s="191"/>
    </row>
    <row r="53" spans="1:5" ht="15">
      <c r="A53" s="129" t="str">
        <f>TONGQUAN!C16</f>
        <v>Đại diện có thẩm quyền của Ngân hàng giám sát</v>
      </c>
      <c r="D53" s="129" t="str">
        <f>TONGQUAN!F16</f>
        <v>Đại diện có thẩm quyền của Công ty quản lý Quỹ</v>
      </c>
    </row>
    <row r="54" spans="1:5" s="144" customFormat="1" ht="15">
      <c r="A54" s="157" t="str">
        <f>TONGQUAN!C17</f>
        <v>Authorised Representative of Supervisory Bank</v>
      </c>
      <c r="B54" s="157"/>
      <c r="C54" s="157"/>
      <c r="D54" s="157" t="str">
        <f>TONGQUAN!F17</f>
        <v>Authorised Representative of Fund Management Company</v>
      </c>
      <c r="E54" s="157"/>
    </row>
    <row r="55" spans="1:5" ht="15"/>
    <row r="56" spans="1:5" ht="15"/>
    <row r="57" spans="1:5" ht="15"/>
    <row r="58" spans="1:5" ht="15"/>
    <row r="59" spans="1:5" ht="15"/>
    <row r="60" spans="1:5" ht="15"/>
    <row r="61" spans="1:5" ht="15"/>
    <row r="62" spans="1:5" ht="15"/>
    <row r="63" spans="1:5" ht="15">
      <c r="A63" s="158"/>
      <c r="B63" s="158"/>
      <c r="D63" s="158"/>
      <c r="E63" s="158"/>
    </row>
    <row r="64" spans="1:5" ht="15">
      <c r="A64" s="129" t="str">
        <f>TONGQUAN!C19</f>
        <v>Ngân hàng TNHH MTV Standard Chartered (Việt Nam)</v>
      </c>
      <c r="D64" s="129" t="str">
        <f>TONGQUAN!F19</f>
        <v>Công ty Cổ phần Quản lý Quỹ Đầu tư Dragon Capital Việt Nam</v>
      </c>
    </row>
    <row r="65" spans="1:4" ht="15">
      <c r="A65" s="129" t="str">
        <f>TONGQUAN!C20</f>
        <v>Vũ Quang Phan</v>
      </c>
      <c r="D65" s="129" t="str">
        <f>TONGQUAN!F20</f>
        <v>Lê Hoàng Anh</v>
      </c>
    </row>
    <row r="66" spans="1:4" ht="15">
      <c r="A66" s="66" t="str">
        <f>TONGQUAN!C21</f>
        <v>Phó phòng Dịch vụ nghiệp vụ giám sát Quỹ</v>
      </c>
      <c r="D66" s="66" t="str">
        <f>TONGQUAN!F21</f>
        <v>Quyền Giám đốc nghiệp vụ hỗ trợ đầu tư</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57" fitToHeight="0" orientation="portrait" r:id="rId1"/>
  <headerFooter>
    <oddHeader>&amp;L&amp;"Arial"&amp;9&amp;KA80000CONFIDENTIAL&amp;1#</oddHeader>
  </headerFooter>
  <rowBreaks count="1" manualBreakCount="1">
    <brk id="33" max="4"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150</v>
      </c>
    </row>
    <row r="2" spans="1:4" s="1" customFormat="1" ht="61.5" customHeight="1">
      <c r="A2" s="1" t="s">
        <v>143</v>
      </c>
      <c r="B2" s="1" t="s">
        <v>144</v>
      </c>
      <c r="C2" s="1" t="s">
        <v>145</v>
      </c>
    </row>
    <row r="3" spans="1:4" ht="57" customHeight="1">
      <c r="A3" t="s">
        <v>250</v>
      </c>
      <c r="B3" t="s">
        <v>355</v>
      </c>
    </row>
    <row r="4" spans="1:4" ht="52.5" customHeight="1">
      <c r="A4" t="s">
        <v>146</v>
      </c>
      <c r="B4" t="s">
        <v>351</v>
      </c>
    </row>
    <row r="5" spans="1:4" ht="57.75" customHeight="1">
      <c r="A5" t="s">
        <v>147</v>
      </c>
      <c r="B5" t="s">
        <v>352</v>
      </c>
    </row>
    <row r="6" spans="1:4" ht="61.5" customHeight="1">
      <c r="A6" t="s">
        <v>148</v>
      </c>
      <c r="B6" t="s">
        <v>149</v>
      </c>
    </row>
    <row r="7" spans="1:4" ht="61.5" customHeight="1">
      <c r="A7" t="s">
        <v>150</v>
      </c>
      <c r="B7" t="s">
        <v>353</v>
      </c>
    </row>
    <row r="8" spans="1:4" ht="61.5" customHeight="1">
      <c r="A8" t="s">
        <v>151</v>
      </c>
      <c r="B8" t="s">
        <v>354</v>
      </c>
    </row>
    <row r="9" spans="1:4" ht="61.5" customHeight="1">
      <c r="A9" t="s">
        <v>153</v>
      </c>
      <c r="B9" t="s">
        <v>154</v>
      </c>
    </row>
    <row r="10" spans="1:4" ht="61.5" customHeight="1">
      <c r="A10" t="s">
        <v>152</v>
      </c>
      <c r="B10" t="s">
        <v>154</v>
      </c>
    </row>
    <row r="11" spans="1:4" ht="61.5" customHeight="1">
      <c r="A11" t="s">
        <v>155</v>
      </c>
      <c r="B11" t="s">
        <v>156</v>
      </c>
    </row>
    <row r="12" spans="1:4" ht="61.5" customHeight="1">
      <c r="A12" t="s">
        <v>157</v>
      </c>
      <c r="B12" t="s">
        <v>158</v>
      </c>
    </row>
    <row r="13" spans="1:4" ht="61.5" customHeight="1">
      <c r="A13" t="s">
        <v>159</v>
      </c>
      <c r="B13" t="s">
        <v>160</v>
      </c>
    </row>
    <row r="14" spans="1:4" ht="61.5" customHeight="1">
      <c r="A14" t="s">
        <v>161</v>
      </c>
      <c r="B14" t="s">
        <v>162</v>
      </c>
    </row>
    <row r="15" spans="1:4" ht="61.5" customHeight="1">
      <c r="A15" t="s">
        <v>163</v>
      </c>
      <c r="B15" t="s">
        <v>164</v>
      </c>
    </row>
    <row r="16" spans="1:4" ht="61.5" customHeight="1">
      <c r="A16" t="s">
        <v>165</v>
      </c>
      <c r="B16" t="s">
        <v>166</v>
      </c>
    </row>
    <row r="17" spans="1:2" ht="61.5" customHeight="1">
      <c r="A17" t="s">
        <v>167</v>
      </c>
      <c r="B17" t="s">
        <v>168</v>
      </c>
    </row>
    <row r="18" spans="1:2" ht="61.5" customHeight="1">
      <c r="A18" t="s">
        <v>169</v>
      </c>
      <c r="B18" t="s">
        <v>170</v>
      </c>
    </row>
    <row r="19" spans="1:2" ht="61.5" customHeight="1">
      <c r="A19" t="s">
        <v>171</v>
      </c>
      <c r="B19" t="s">
        <v>172</v>
      </c>
    </row>
    <row r="20" spans="1:2" ht="61.5" customHeight="1">
      <c r="A20" t="s">
        <v>173</v>
      </c>
      <c r="B20" t="s">
        <v>174</v>
      </c>
    </row>
    <row r="21" spans="1:2" ht="61.5" customHeight="1">
      <c r="A21" t="s">
        <v>175</v>
      </c>
      <c r="B21" t="s">
        <v>176</v>
      </c>
    </row>
    <row r="22" spans="1:2" ht="61.5" customHeight="1">
      <c r="A22" t="s">
        <v>181</v>
      </c>
      <c r="B22" t="s">
        <v>182</v>
      </c>
    </row>
    <row r="23" spans="1:2" ht="61.5" customHeight="1">
      <c r="A23" t="s">
        <v>183</v>
      </c>
      <c r="B23" t="s">
        <v>184</v>
      </c>
    </row>
    <row r="24" spans="1:2" ht="61.5" customHeight="1">
      <c r="A24" t="s">
        <v>185</v>
      </c>
      <c r="B24" t="s">
        <v>186</v>
      </c>
    </row>
    <row r="25" spans="1:2" ht="61.5" customHeight="1">
      <c r="A25" t="s">
        <v>187</v>
      </c>
      <c r="B25" t="s">
        <v>188</v>
      </c>
    </row>
    <row r="26" spans="1:2" ht="61.5" customHeight="1">
      <c r="A26" t="s">
        <v>189</v>
      </c>
      <c r="B26" t="s">
        <v>190</v>
      </c>
    </row>
    <row r="27" spans="1:2" ht="61.5" customHeight="1">
      <c r="A27" t="s">
        <v>191</v>
      </c>
      <c r="B27" t="s">
        <v>192</v>
      </c>
    </row>
    <row r="28" spans="1:2" ht="61.5" customHeight="1">
      <c r="A28" t="s">
        <v>193</v>
      </c>
      <c r="B28" t="s">
        <v>194</v>
      </c>
    </row>
    <row r="29" spans="1:2" ht="61.5" customHeight="1">
      <c r="A29" t="s">
        <v>195</v>
      </c>
      <c r="B29" t="s">
        <v>196</v>
      </c>
    </row>
    <row r="30" spans="1:2" ht="61.5" customHeight="1">
      <c r="A30" t="s">
        <v>197</v>
      </c>
      <c r="B30" t="s">
        <v>198</v>
      </c>
    </row>
    <row r="31" spans="1:2" ht="61.5" customHeight="1">
      <c r="A31" t="s">
        <v>177</v>
      </c>
      <c r="B31" t="s">
        <v>178</v>
      </c>
    </row>
    <row r="32" spans="1:2" ht="61.5" customHeight="1">
      <c r="A32" t="s">
        <v>200</v>
      </c>
      <c r="B32" t="s">
        <v>201</v>
      </c>
    </row>
    <row r="33" spans="1:2" ht="61.5" customHeight="1">
      <c r="A33" t="s">
        <v>202</v>
      </c>
      <c r="B33" t="s">
        <v>203</v>
      </c>
    </row>
    <row r="34" spans="1:2" ht="61.5" customHeight="1">
      <c r="A34" t="s">
        <v>204</v>
      </c>
      <c r="B34" t="s">
        <v>199</v>
      </c>
    </row>
    <row r="35" spans="1:2" ht="61.5" customHeight="1">
      <c r="A35" t="s">
        <v>205</v>
      </c>
      <c r="B35" t="s">
        <v>206</v>
      </c>
    </row>
    <row r="36" spans="1:2" ht="61.5" customHeight="1">
      <c r="A36" t="s">
        <v>207</v>
      </c>
      <c r="B36" t="s">
        <v>208</v>
      </c>
    </row>
    <row r="37" spans="1:2" ht="61.5" customHeight="1">
      <c r="A37" t="s">
        <v>209</v>
      </c>
      <c r="B37" t="s">
        <v>210</v>
      </c>
    </row>
    <row r="38" spans="1:2" ht="61.5" customHeight="1">
      <c r="A38" t="s">
        <v>197</v>
      </c>
      <c r="B38" t="s">
        <v>198</v>
      </c>
    </row>
    <row r="39" spans="1:2" ht="61.5" customHeight="1">
      <c r="A39" t="s">
        <v>211</v>
      </c>
      <c r="B39" t="s">
        <v>212</v>
      </c>
    </row>
    <row r="40" spans="1:2" ht="61.5" customHeight="1">
      <c r="A40" t="s">
        <v>307</v>
      </c>
      <c r="B40" t="s">
        <v>308</v>
      </c>
    </row>
    <row r="41" spans="1:2" ht="61.5" customHeight="1">
      <c r="A41" t="s">
        <v>309</v>
      </c>
      <c r="B41" t="s">
        <v>310</v>
      </c>
    </row>
    <row r="42" spans="1:2" ht="61.5" customHeight="1">
      <c r="A42" t="s">
        <v>311</v>
      </c>
      <c r="B42" t="s">
        <v>312</v>
      </c>
    </row>
    <row r="43" spans="1:2" ht="61.5" customHeight="1">
      <c r="A43" t="s">
        <v>313</v>
      </c>
      <c r="B43" t="s">
        <v>314</v>
      </c>
    </row>
    <row r="44" spans="1:2" ht="61.5" customHeight="1">
      <c r="A44" t="s">
        <v>315</v>
      </c>
      <c r="B44" t="s">
        <v>316</v>
      </c>
    </row>
    <row r="45" spans="1:2" ht="61.5" customHeight="1">
      <c r="A45" t="s">
        <v>317</v>
      </c>
      <c r="B45" t="s">
        <v>318</v>
      </c>
    </row>
    <row r="46" spans="1:2" ht="61.5" customHeight="1">
      <c r="A46" t="s">
        <v>319</v>
      </c>
      <c r="B46" t="s">
        <v>320</v>
      </c>
    </row>
    <row r="47" spans="1:2" ht="61.5" customHeight="1">
      <c r="A47" t="s">
        <v>321</v>
      </c>
      <c r="B47" t="s">
        <v>322</v>
      </c>
    </row>
    <row r="48" spans="1:2" ht="61.5" customHeight="1">
      <c r="A48" t="s">
        <v>323</v>
      </c>
      <c r="B48" t="s">
        <v>324</v>
      </c>
    </row>
    <row r="49" spans="1:2" ht="61.5" customHeight="1">
      <c r="A49" t="s">
        <v>325</v>
      </c>
      <c r="B49" t="s">
        <v>326</v>
      </c>
    </row>
    <row r="50" spans="1:2" ht="61.5" customHeight="1">
      <c r="A50" t="s">
        <v>327</v>
      </c>
      <c r="B50" t="s">
        <v>356</v>
      </c>
    </row>
    <row r="51" spans="1:2" ht="61.5" customHeight="1">
      <c r="A51" t="s">
        <v>328</v>
      </c>
      <c r="B51" t="s">
        <v>329</v>
      </c>
    </row>
    <row r="52" spans="1:2" ht="61.5" customHeight="1">
      <c r="A52" t="s">
        <v>330</v>
      </c>
      <c r="B52" t="s">
        <v>331</v>
      </c>
    </row>
    <row r="53" spans="1:2" ht="61.5" customHeight="1">
      <c r="A53" t="s">
        <v>332</v>
      </c>
    </row>
    <row r="54" spans="1:2" ht="61.5" customHeight="1">
      <c r="A54" t="s">
        <v>333</v>
      </c>
    </row>
    <row r="55" spans="1:2" ht="61.5" customHeight="1">
      <c r="A55" t="s">
        <v>334</v>
      </c>
    </row>
    <row r="56" spans="1:2" ht="61.5" customHeight="1">
      <c r="A56" t="s">
        <v>335</v>
      </c>
      <c r="B56" t="s">
        <v>336</v>
      </c>
    </row>
    <row r="57" spans="1:2" ht="61.5" customHeight="1">
      <c r="A57" t="s">
        <v>337</v>
      </c>
    </row>
    <row r="58" spans="1:2" ht="61.5" customHeight="1">
      <c r="A58" t="s">
        <v>338</v>
      </c>
    </row>
    <row r="59" spans="1:2" ht="61.5" customHeight="1">
      <c r="A59" t="s">
        <v>339</v>
      </c>
    </row>
    <row r="60" spans="1:2" ht="61.5" customHeight="1">
      <c r="A60" t="s">
        <v>340</v>
      </c>
    </row>
    <row r="61" spans="1:2" ht="61.5" customHeight="1">
      <c r="A61" t="s">
        <v>341</v>
      </c>
    </row>
    <row r="62" spans="1:2" ht="61.5" customHeight="1">
      <c r="A62" t="s">
        <v>342</v>
      </c>
    </row>
    <row r="63" spans="1:2" ht="61.5" customHeight="1">
      <c r="A63" t="s">
        <v>343</v>
      </c>
    </row>
    <row r="64" spans="1:2" ht="61.5" customHeight="1">
      <c r="A64" t="s">
        <v>344</v>
      </c>
    </row>
    <row r="65" spans="1:2" ht="61.5" customHeight="1">
      <c r="A65" t="s">
        <v>345</v>
      </c>
    </row>
    <row r="66" spans="1:2" ht="61.5" customHeight="1">
      <c r="A66" t="s">
        <v>346</v>
      </c>
    </row>
    <row r="67" spans="1:2" ht="61.5" customHeight="1">
      <c r="A67" t="s">
        <v>347</v>
      </c>
    </row>
    <row r="68" spans="1:2" ht="61.5" customHeight="1">
      <c r="A68" t="s">
        <v>348</v>
      </c>
    </row>
    <row r="69" spans="1:2" ht="61.5" customHeight="1">
      <c r="A69" t="s">
        <v>349</v>
      </c>
    </row>
    <row r="70" spans="1:2" ht="61.5" customHeight="1">
      <c r="A70" t="s">
        <v>350</v>
      </c>
    </row>
    <row r="71" spans="1:2" ht="61.5" customHeight="1">
      <c r="A71" t="s">
        <v>359</v>
      </c>
      <c r="B71" t="s">
        <v>360</v>
      </c>
    </row>
    <row r="72" spans="1:2" ht="61.5" customHeight="1">
      <c r="A72" t="s">
        <v>361</v>
      </c>
    </row>
    <row r="73" spans="1:2" ht="61.5" customHeight="1">
      <c r="A73" t="s">
        <v>362</v>
      </c>
    </row>
    <row r="74" spans="1:2" ht="61.5" customHeight="1">
      <c r="A74" t="s">
        <v>367</v>
      </c>
    </row>
    <row r="75" spans="1:2" ht="61.5" customHeight="1">
      <c r="A75" t="s">
        <v>368</v>
      </c>
    </row>
    <row r="76" spans="1:2" ht="61.5" customHeight="1">
      <c r="A76" t="s">
        <v>369</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pFB04gwjifB8QuLHbFnMC+ZWqTmBViCQCIOANGS5Xiw=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s06p9qrZVTrET4qidCHicJ7a1tg7wRM09VuJkPPTGEU=</DigestValue>
    </Reference>
  </SignedInfo>
  <SignatureValue>Q5RmCEs+X9VySJ6RgsSTc3TKuWovWqEOrFfOasDHd/EE3BXlFnpZGN8UNomjEjU8QELKEv0sCjXe
8CDXtR5ZvNilcKhj2kfdH0N3huqN4lcEEWg5k+ikLsM3BpEEyvJ9zzfMatlM7HjIQD19u7GqVrBE
hTjEM2hliTjXhmtYuT+tfAJHVUxEoH1itKIE3CyAoCzHG1aZ2+xBKNoGYuyT193HUfD9t27ULXH4
BwxSMRz8JyhhX6A/sleul0zfZSQZiTcMHA/rCJgBpx7E+ECmvSMFbZVUAc3Z70RfzS+6eWOv/G/w
QbRlJMIVhvsjL9MKdnDpJFI3EUEn9MnJZ82xxQ==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hor342mOfLx9NTjPtFfWQZtqjEnwT0DpdqEkyLVE+ic=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zOiUPIGE9fx5BvcnD81eiRFs1VVh0plF+DDioPoRlWA=</DigestValue>
      </Reference>
      <Reference URI="/xl/drawings/drawing2.xml?ContentType=application/vnd.openxmlformats-officedocument.drawing+xml">
        <DigestMethod Algorithm="http://www.w3.org/2001/04/xmlenc#sha256"/>
        <DigestValue>fYA4S1sGLGGeD25TB6yzrD7tFBVG/KxgdUSXA8lg4XM=</DigestValue>
      </Reference>
      <Reference URI="/xl/drawings/drawing3.xml?ContentType=application/vnd.openxmlformats-officedocument.drawing+xml">
        <DigestMethod Algorithm="http://www.w3.org/2001/04/xmlenc#sha256"/>
        <DigestValue>/1fsjTziMhFxsNcDNIg+A2qN/hzB6s1KJV7AV47Q3lM=</DigestValue>
      </Reference>
      <Reference URI="/xl/drawings/drawing4.xml?ContentType=application/vnd.openxmlformats-officedocument.drawing+xml">
        <DigestMethod Algorithm="http://www.w3.org/2001/04/xmlenc#sha256"/>
        <DigestValue>SPVxYBVre7p4IceUX/IJEImCSMs6EVBAPhBBH25n1jc=</DigestValue>
      </Reference>
      <Reference URI="/xl/drawings/drawing5.xml?ContentType=application/vnd.openxmlformats-officedocument.drawing+xml">
        <DigestMethod Algorithm="http://www.w3.org/2001/04/xmlenc#sha256"/>
        <DigestValue>HjP9i/GB8ecWkviJmj+HBSxGn5/jYoKm9klNPB2zg1k=</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ogZNWTHZhs/rP8C2L7K+MyAL1ZWlKRT5bZjMUtCbe50=</DigestValue>
      </Reference>
      <Reference URI="/xl/drawings/vmlDrawing2.vml?ContentType=application/vnd.openxmlformats-officedocument.vmlDrawing">
        <DigestMethod Algorithm="http://www.w3.org/2001/04/xmlenc#sha256"/>
        <DigestValue>Ld+CMi+MgajHJONmUEDjKH8ZUuNy+8lX4WQXNqZM8Zg=</DigestValue>
      </Reference>
      <Reference URI="/xl/drawings/vmlDrawing3.vml?ContentType=application/vnd.openxmlformats-officedocument.vmlDrawing">
        <DigestMethod Algorithm="http://www.w3.org/2001/04/xmlenc#sha256"/>
        <DigestValue>AA1Ht/nniCTBRj+f+DMK8coS7KWnoMbu/AiplCUSiR4=</DigestValue>
      </Reference>
      <Reference URI="/xl/drawings/vmlDrawing4.vml?ContentType=application/vnd.openxmlformats-officedocument.vmlDrawing">
        <DigestMethod Algorithm="http://www.w3.org/2001/04/xmlenc#sha256"/>
        <DigestValue>qPnK5rIk2ef3l6XviQTDznI0eCI2rhLJ+43PP4gCHMg=</DigestValue>
      </Reference>
      <Reference URI="/xl/drawings/vmlDrawing5.vml?ContentType=application/vnd.openxmlformats-officedocument.vmlDrawing">
        <DigestMethod Algorithm="http://www.w3.org/2001/04/xmlenc#sha256"/>
        <DigestValue>B7XdiNS7DGvtIP3qu0q+rkn3v2XXlX0fhWzmm/IQfx8=</DigestValue>
      </Reference>
      <Reference URI="/xl/media/image1.emf?ContentType=image/x-emf">
        <DigestMethod Algorithm="http://www.w3.org/2001/04/xmlenc#sha256"/>
        <DigestValue>+i9DjTdJ5NG8pL1a6GXaH/JukxkPB7auLEmqZ4Qp8PQ=</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+i9DjTdJ5NG8pL1a6GXaH/JukxkPB7auLEmqZ4Qp8PQ=</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9BEDvEtLT0sYKxzC33m1GXOVCEz7eNWpAlAQTHxciJc=</DigestValue>
      </Reference>
      <Reference URI="/xl/sharedStrings.xml?ContentType=application/vnd.openxmlformats-officedocument.spreadsheetml.sharedStrings+xml">
        <DigestMethod Algorithm="http://www.w3.org/2001/04/xmlenc#sha256"/>
        <DigestValue>1a8Y4wQTM+Kmp3NyT+AZbxbNrrxMwFJpIqd3uJrDrCE=</DigestValue>
      </Reference>
      <Reference URI="/xl/styles.xml?ContentType=application/vnd.openxmlformats-officedocument.spreadsheetml.styles+xml">
        <DigestMethod Algorithm="http://www.w3.org/2001/04/xmlenc#sha256"/>
        <DigestValue>1yKa+oSSyOrsifIQbV5g4hAmSqCCb8plZk/txeqwoYw=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2CGuZ24pzTUq8qzmF5msMty2GsKq3bKKFTuZlQVsy1g=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DZe+j9vPkaNHZQQLuxHAmyQ6E1RgpB83MmYC/MIJrHs=</DigestValue>
      </Reference>
      <Reference URI="/xl/worksheets/sheet2.xml?ContentType=application/vnd.openxmlformats-officedocument.spreadsheetml.worksheet+xml">
        <DigestMethod Algorithm="http://www.w3.org/2001/04/xmlenc#sha256"/>
        <DigestValue>jk6iPZOEobHz0ThjdKYH6vXuIQdIxTFarhbBzLdTx+8=</DigestValue>
      </Reference>
      <Reference URI="/xl/worksheets/sheet3.xml?ContentType=application/vnd.openxmlformats-officedocument.spreadsheetml.worksheet+xml">
        <DigestMethod Algorithm="http://www.w3.org/2001/04/xmlenc#sha256"/>
        <DigestValue>AR41dZnOi1OrJRZ78UNxfwyQcf16/QRgCdf+iHuGR3k=</DigestValue>
      </Reference>
      <Reference URI="/xl/worksheets/sheet4.xml?ContentType=application/vnd.openxmlformats-officedocument.spreadsheetml.worksheet+xml">
        <DigestMethod Algorithm="http://www.w3.org/2001/04/xmlenc#sha256"/>
        <DigestValue>CLtdNTDRAmT65NpWYGqiUyhh/z80A90JQYgEdxciIm4=</DigestValue>
      </Reference>
      <Reference URI="/xl/worksheets/sheet5.xml?ContentType=application/vnd.openxmlformats-officedocument.spreadsheetml.worksheet+xml">
        <DigestMethod Algorithm="http://www.w3.org/2001/04/xmlenc#sha256"/>
        <DigestValue>B+DPtkDcgShhizjx2nUKk+zCn3sdTgHildGDeaBW8Vk=</DigestValue>
      </Reference>
      <Reference URI="/xl/worksheets/sheet6.xml?ContentType=application/vnd.openxmlformats-officedocument.spreadsheetml.worksheet+xml">
        <DigestMethod Algorithm="http://www.w3.org/2001/04/xmlenc#sha256"/>
        <DigestValue>fK7NkDsBKWC4nq8QMOxoGEyVsgXO9aWTjNPFoXDgdKc=</DigestValue>
      </Reference>
      <Reference URI="/xl/worksheets/sheet7.xml?ContentType=application/vnd.openxmlformats-officedocument.spreadsheetml.worksheet+xml">
        <DigestMethod Algorithm="http://www.w3.org/2001/04/xmlenc#sha256"/>
        <DigestValue>ix+72Nvm5Uo+8royuCT3qAvR1Gw3haNYcC+OQ99ewXY=</DigestValue>
      </Reference>
    </Manifest>
    <SignatureProperties>
      <SignatureProperty Id="idSignatureTime" Target="#idPackageSignature">
        <mdssi:SignatureTime xmlns:mdssi="http://schemas.openxmlformats.org/package/2006/digital-signature">
          <mdssi:Format>YYYY-MM-DDThh:mm:ssTZD</mdssi:Format>
          <mdssi:Value>2025-02-06T08:04:12Z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2025-02-06T08:04:12Z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TONGQUAN</vt:lpstr>
      <vt:lpstr>BCHoatDongVay_06026</vt:lpstr>
      <vt:lpstr>BCTaiSan_06027</vt:lpstr>
      <vt:lpstr>BCKetQuaHoatDong_06028</vt:lpstr>
      <vt:lpstr>BCDanhMucDauTu_06029</vt:lpstr>
      <vt:lpstr>Khac_06030</vt:lpstr>
      <vt:lpstr>LogoFMS</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2025-02-04T07:19:59Z</cp:lastPrinted>
  <dcterms:created xsi:type="dcterms:W3CDTF">2019-03-13T13:30:00Z</dcterms:created>
  <dcterms:modified xsi:type="dcterms:W3CDTF">2025-02-06T08:04:10Z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