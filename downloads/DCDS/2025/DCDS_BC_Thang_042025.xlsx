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GTO_SSO_FUNDSERVICES_GSSCKL\10. CLIENT PORTFOLIO-NAV recalculation\KYSO\2025\05. May\08.05\"/>
    </mc:Choice>
  </mc:AlternateContent>
  <xr:revisionPtr revIDLastSave="0" documentId="13_ncr:1_{25BE20F9-BBFC-4310-8D23-5A3198743CD5}" xr6:coauthVersionLast="47" xr6:coauthVersionMax="47" xr10:uidLastSave="{00000000-0000-0000-0000-000000000000}"/>
  <bookViews>
    <workbookView xWindow="-110" yWindow="-110" windowWidth="19420" windowHeight="1042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44" l="1"/>
  <c r="C13" i="44"/>
  <c r="C12" i="44"/>
  <c r="C11" i="44"/>
  <c r="C10" i="44"/>
  <c r="C9" i="44"/>
  <c r="C8" i="44"/>
  <c r="C7" i="44"/>
  <c r="A5" i="44"/>
  <c r="F19" i="1" l="1"/>
</calcChain>
</file>

<file path=xl/sharedStrings.xml><?xml version="1.0" encoding="utf-8"?>
<sst xmlns="http://schemas.openxmlformats.org/spreadsheetml/2006/main" count="1127" uniqueCount="882">
  <si>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</si>
  <si>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</si>
  <si>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</si>
  <si>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</si>
  <si>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</si>
  <si>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</si>
  <si>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</si>
  <si>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</si>
  <si>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</si>
  <si>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</si>
  <si>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</si>
  <si>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</si>
  <si>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</si>
  <si>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</si>
  <si>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</si>
  <si>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</si>
  <si>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</si>
  <si>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</si>
  <si>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</si>
  <si>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</si>
  <si>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</si>
  <si>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</si>
  <si>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</si>
  <si>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</si>
  <si>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</si>
  <si>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</si>
  <si>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</si>
  <si>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</si>
  <si>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</si>
  <si>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</si>
  <si>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</si>
  <si>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</si>
  <si>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</si>
  <si>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</si>
  <si>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</si>
  <si>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</si>
  <si>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</si>
  <si>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</si>
  <si>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</si>
  <si>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</si>
  <si>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</si>
  <si>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</si>
  <si>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</si>
  <si>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</si>
  <si>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</si>
  <si>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</si>
  <si>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</si>
  <si>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</si>
  <si>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</si>
  <si>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</si>
  <si>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</si>
  <si>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</si>
  <si>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</si>
  <si>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</si>
  <si>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</si>
  <si>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</si>
  <si>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</si>
  <si>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</si>
  <si>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</si>
  <si>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</si>
  <si>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</si>
  <si>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</si>
  <si>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</si>
  <si>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</si>
  <si>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</si>
  <si>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</si>
  <si>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</si>
  <si>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</si>
  <si>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</si>
  <si>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</si>
  <si>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</si>
  <si>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</si>
  <si>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</si>
  <si>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</si>
  <si>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</si>
  <si>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</si>
  <si>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</si>
  <si>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</si>
  <si>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</si>
  <si>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</si>
  <si>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</si>
  <si>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</si>
  <si>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</si>
  <si>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</si>
  <si>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</si>
  <si>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</si>
  <si>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</si>
  <si>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</si>
  <si>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</si>
  <si>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</si>
  <si>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</si>
  <si>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</si>
  <si>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</si>
  <si>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</si>
  <si>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</si>
  <si>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</si>
  <si>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</si>
  <si>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</si>
  <si>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</si>
  <si>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</si>
  <si>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</si>
  <si>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</si>
  <si>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</si>
  <si>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</si>
  <si>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</si>
  <si>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</si>
  <si>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</si>
  <si>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</si>
  <si>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</si>
  <si>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</si>
  <si>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</si>
  <si>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</si>
  <si>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</si>
  <si>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</si>
  <si>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</si>
  <si>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</si>
  <si>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</si>
  <si>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</si>
  <si>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</si>
  <si>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</si>
  <si>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</si>
  <si>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</si>
  <si>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</si>
  <si>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</si>
  <si>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</si>
  <si>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</si>
  <si>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</si>
  <si>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</si>
  <si>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</si>
  <si>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</si>
  <si>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</si>
  <si>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</si>
  <si>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</si>
  <si>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</si>
  <si>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</si>
  <si>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</si>
  <si>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</si>
  <si>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</si>
  <si>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</si>
  <si>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</si>
  <si>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</si>
  <si>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</si>
  <si>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</si>
  <si>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</si>
  <si>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</si>
  <si>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</si>
  <si>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</si>
  <si>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</si>
  <si>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</si>
  <si>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</si>
  <si>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</si>
  <si>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</si>
  <si>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</si>
  <si>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</si>
  <si>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</si>
  <si>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</si>
  <si>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</si>
  <si>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</si>
  <si>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</si>
  <si>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</si>
  <si>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</si>
  <si>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</si>
  <si>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</si>
  <si>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</si>
  <si>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</si>
  <si>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</si>
  <si>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</si>
  <si>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</si>
  <si>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</si>
  <si>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</si>
  <si>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</si>
  <si>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</si>
  <si>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</si>
  <si>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</si>
  <si>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</si>
  <si>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</si>
  <si>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</si>
  <si>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</si>
  <si>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</si>
  <si>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</si>
  <si>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</si>
  <si>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</si>
  <si>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</si>
  <si>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</si>
  <si>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</si>
  <si>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</si>
  <si>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</si>
  <si>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</si>
  <si>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</si>
  <si>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</si>
  <si>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</si>
  <si>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</si>
  <si>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</si>
  <si>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</si>
  <si>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</si>
  <si>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</si>
  <si>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</si>
  <si>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</si>
  <si>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</si>
  <si>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</si>
  <si>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</si>
  <si>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</si>
  <si>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</si>
  <si>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</si>
  <si>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</si>
  <si>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</si>
  <si>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</si>
  <si>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</si>
  <si>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</si>
  <si>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</si>
  <si>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</si>
  <si>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</si>
  <si>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</si>
  <si>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</si>
  <si>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</si>
  <si>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</si>
  <si>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</si>
  <si>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</si>
  <si>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</si>
  <si>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</si>
  <si>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</si>
  <si>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</si>
  <si>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</si>
  <si>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</si>
  <si>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</si>
  <si>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</si>
  <si>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</si>
  <si>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</si>
  <si>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</si>
  <si>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</si>
  <si>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</si>
  <si>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</si>
  <si>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</si>
  <si>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</si>
  <si>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</si>
  <si>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</si>
  <si>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</si>
  <si>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</si>
  <si>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</si>
  <si>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</si>
  <si>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</si>
  <si>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</si>
  <si>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</si>
  <si>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</si>
  <si>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</si>
  <si>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</si>
  <si>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</si>
  <si>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</si>
  <si>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</si>
  <si>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</si>
  <si>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</si>
  <si>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</si>
  <si>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</si>
  <si>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</si>
  <si>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</si>
  <si>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</si>
  <si>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</si>
  <si>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ANV</t>
  </si>
  <si>
    <t>2246.2</t>
  </si>
  <si>
    <t>3</t>
  </si>
  <si>
    <t>BAF</t>
  </si>
  <si>
    <t>2246.3</t>
  </si>
  <si>
    <t>4</t>
  </si>
  <si>
    <t>BID</t>
  </si>
  <si>
    <t>2246.4</t>
  </si>
  <si>
    <t>5</t>
  </si>
  <si>
    <t>CMG</t>
  </si>
  <si>
    <t>2246.5</t>
  </si>
  <si>
    <t>6</t>
  </si>
  <si>
    <t>CTD</t>
  </si>
  <si>
    <t>2246.6</t>
  </si>
  <si>
    <t>7</t>
  </si>
  <si>
    <t>CTG</t>
  </si>
  <si>
    <t>2246.7</t>
  </si>
  <si>
    <t>8</t>
  </si>
  <si>
    <t>CTI</t>
  </si>
  <si>
    <t>2246.8</t>
  </si>
  <si>
    <t>9</t>
  </si>
  <si>
    <t>DBC</t>
  </si>
  <si>
    <t>2246.9</t>
  </si>
  <si>
    <t>10</t>
  </si>
  <si>
    <t>DCM</t>
  </si>
  <si>
    <t>2246.10</t>
  </si>
  <si>
    <t>11</t>
  </si>
  <si>
    <t>DGC</t>
  </si>
  <si>
    <t>2246.11</t>
  </si>
  <si>
    <t>12</t>
  </si>
  <si>
    <t>DGW</t>
  </si>
  <si>
    <t>2246.12</t>
  </si>
  <si>
    <t>13</t>
  </si>
  <si>
    <t>DPG</t>
  </si>
  <si>
    <t>2246.13</t>
  </si>
  <si>
    <t>14</t>
  </si>
  <si>
    <t>DXG</t>
  </si>
  <si>
    <t>2246.14</t>
  </si>
  <si>
    <t>15</t>
  </si>
  <si>
    <t>DXS</t>
  </si>
  <si>
    <t>2246.15</t>
  </si>
  <si>
    <t>16</t>
  </si>
  <si>
    <t>EIB</t>
  </si>
  <si>
    <t>2246.16</t>
  </si>
  <si>
    <t>17</t>
  </si>
  <si>
    <t>ELC</t>
  </si>
  <si>
    <t>2246.17</t>
  </si>
  <si>
    <t>18</t>
  </si>
  <si>
    <t>FPT</t>
  </si>
  <si>
    <t>2246.18</t>
  </si>
  <si>
    <t>19</t>
  </si>
  <si>
    <t>FRT</t>
  </si>
  <si>
    <t>2246.19</t>
  </si>
  <si>
    <t>20</t>
  </si>
  <si>
    <t>GEX</t>
  </si>
  <si>
    <t>2246.20</t>
  </si>
  <si>
    <t>21</t>
  </si>
  <si>
    <t>GMD</t>
  </si>
  <si>
    <t>2246.21</t>
  </si>
  <si>
    <t>22</t>
  </si>
  <si>
    <t>HAH</t>
  </si>
  <si>
    <t>2246.22</t>
  </si>
  <si>
    <t>23</t>
  </si>
  <si>
    <t>HDC</t>
  </si>
  <si>
    <t>2246.23</t>
  </si>
  <si>
    <t>24</t>
  </si>
  <si>
    <t>HDG</t>
  </si>
  <si>
    <t>2246.24</t>
  </si>
  <si>
    <t>25</t>
  </si>
  <si>
    <t>HHS</t>
  </si>
  <si>
    <t>2246.25</t>
  </si>
  <si>
    <t>26</t>
  </si>
  <si>
    <t>HPG</t>
  </si>
  <si>
    <t>2246.26</t>
  </si>
  <si>
    <t>27</t>
  </si>
  <si>
    <t>HSG</t>
  </si>
  <si>
    <t>2246.27</t>
  </si>
  <si>
    <t>28</t>
  </si>
  <si>
    <t>HVN</t>
  </si>
  <si>
    <t>2246.28</t>
  </si>
  <si>
    <t>29</t>
  </si>
  <si>
    <t>KDH</t>
  </si>
  <si>
    <t>2246.29</t>
  </si>
  <si>
    <t>30</t>
  </si>
  <si>
    <t>MBB</t>
  </si>
  <si>
    <t>2246.30</t>
  </si>
  <si>
    <t>31</t>
  </si>
  <si>
    <t>MBS</t>
  </si>
  <si>
    <t>2246.31</t>
  </si>
  <si>
    <t>32</t>
  </si>
  <si>
    <t>MSN</t>
  </si>
  <si>
    <t>2246.32</t>
  </si>
  <si>
    <t>33</t>
  </si>
  <si>
    <t>MWG</t>
  </si>
  <si>
    <t>2246.33</t>
  </si>
  <si>
    <t>34</t>
  </si>
  <si>
    <t>PDR</t>
  </si>
  <si>
    <t>2246.34</t>
  </si>
  <si>
    <t>35</t>
  </si>
  <si>
    <t>PHP</t>
  </si>
  <si>
    <t>2246.35</t>
  </si>
  <si>
    <t>36</t>
  </si>
  <si>
    <t>PNJ</t>
  </si>
  <si>
    <t>2246.36</t>
  </si>
  <si>
    <t>37</t>
  </si>
  <si>
    <t>PVS</t>
  </si>
  <si>
    <t>2246.37</t>
  </si>
  <si>
    <t>38</t>
  </si>
  <si>
    <t>REE</t>
  </si>
  <si>
    <t>2246.38</t>
  </si>
  <si>
    <t>39</t>
  </si>
  <si>
    <t>SIP</t>
  </si>
  <si>
    <t>2246.39</t>
  </si>
  <si>
    <t>40</t>
  </si>
  <si>
    <t>STB</t>
  </si>
  <si>
    <t>2246.40</t>
  </si>
  <si>
    <t>41</t>
  </si>
  <si>
    <t>TCB</t>
  </si>
  <si>
    <t>2246.41</t>
  </si>
  <si>
    <t>42</t>
  </si>
  <si>
    <t>TCH</t>
  </si>
  <si>
    <t>2246.42</t>
  </si>
  <si>
    <t>43</t>
  </si>
  <si>
    <t>TV2</t>
  </si>
  <si>
    <t>2246.43</t>
  </si>
  <si>
    <t>44</t>
  </si>
  <si>
    <t>VCB</t>
  </si>
  <si>
    <t>2246.44</t>
  </si>
  <si>
    <t>45</t>
  </si>
  <si>
    <t>VCG</t>
  </si>
  <si>
    <t>2246.45</t>
  </si>
  <si>
    <t>46</t>
  </si>
  <si>
    <t>VEA</t>
  </si>
  <si>
    <t>2246.46</t>
  </si>
  <si>
    <t>47</t>
  </si>
  <si>
    <t>VGC</t>
  </si>
  <si>
    <t>2246.47</t>
  </si>
  <si>
    <t>48</t>
  </si>
  <si>
    <t>VHC</t>
  </si>
  <si>
    <t>2246.48</t>
  </si>
  <si>
    <t>49</t>
  </si>
  <si>
    <t>VHM</t>
  </si>
  <si>
    <t>2246.49</t>
  </si>
  <si>
    <t>50</t>
  </si>
  <si>
    <t>VIB</t>
  </si>
  <si>
    <t>2246.50</t>
  </si>
  <si>
    <t>51</t>
  </si>
  <si>
    <t>VIC</t>
  </si>
  <si>
    <t>2246.51</t>
  </si>
  <si>
    <t>52</t>
  </si>
  <si>
    <t>VIX</t>
  </si>
  <si>
    <t>2246.52</t>
  </si>
  <si>
    <t>53</t>
  </si>
  <si>
    <t>VND</t>
  </si>
  <si>
    <t>2246.53</t>
  </si>
  <si>
    <t>54</t>
  </si>
  <si>
    <t>VRE</t>
  </si>
  <si>
    <t>2246.54</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</si>
  <si>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</si>
  <si>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</si>
  <si>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</si>
  <si>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</si>
  <si>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</si>
  <si>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</si>
  <si>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</si>
  <si>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</si>
  <si>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</si>
  <si>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</si>
  <si>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</si>
  <si>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</si>
  <si>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</si>
  <si>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</si>
  <si>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</si>
  <si>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</si>
  <si>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</si>
  <si>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</si>
  <si>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</si>
  <si>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</si>
  <si>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</si>
  <si>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</si>
  <si>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</si>
  <si>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</si>
  <si>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</si>
  <si>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</si>
  <si>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</si>
  <si>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</si>
  <si>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</si>
  <si>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</si>
  <si>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</si>
  <si>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</si>
  <si>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</si>
  <si>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</si>
  <si>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</si>
  <si>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</si>
  <si>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</si>
  <si>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</si>
  <si>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</si>
  <si>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</si>
  <si>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</si>
  <si>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</si>
  <si>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</si>
  <si>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</si>
  <si>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</si>
  <si>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</si>
  <si>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</si>
  <si>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</si>
  <si>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</si>
  <si>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</si>
  <si>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</si>
  <si>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</si>
  <si>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</si>
  <si>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</si>
  <si>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</si>
  <si>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</si>
  <si>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</si>
  <si>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</si>
  <si>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</si>
  <si>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</si>
  <si>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</si>
  <si>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</si>
  <si>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</si>
  <si>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</si>
  <si>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</si>
  <si>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</si>
  <si>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</si>
  <si>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</si>
  <si>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</si>
  <si>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</si>
  <si>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</si>
  <si>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</si>
  <si>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</si>
  <si>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</si>
  <si>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</si>
  <si>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</si>
  <si>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</si>
  <si>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</si>
  <si>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</si>
  <si>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</si>
  <si>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</si>
  <si>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</si>
  <si>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</si>
  <si>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</si>
  <si>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</si>
  <si>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</si>
  <si>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</si>
  <si>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</si>
  <si>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</si>
  <si>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</si>
  <si>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</si>
  <si>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</si>
  <si>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</si>
  <si>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</si>
  <si>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</si>
  <si>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</si>
  <si>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</si>
  <si>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</si>
  <si>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</si>
  <si>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</si>
  <si>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</si>
  <si>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</si>
  <si>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</si>
  <si>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</si>
  <si>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</si>
  <si>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</si>
  <si>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</si>
  <si>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</si>
  <si>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</si>
  <si>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</si>
  <si>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</si>
  <si>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</si>
  <si>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</si>
  <si>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</si>
  <si>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</si>
  <si>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</si>
  <si>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</si>
  <si>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</si>
  <si>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</si>
  <si>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</si>
  <si>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</si>
  <si>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</si>
  <si>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</si>
  <si>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</si>
  <si>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</si>
  <si>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</si>
  <si>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</si>
  <si>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</si>
  <si>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</si>
  <si>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</si>
  <si>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</si>
  <si>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</si>
  <si>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</si>
  <si>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</si>
  <si>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</si>
  <si>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</si>
  <si>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</si>
  <si>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</si>
  <si>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</si>
  <si>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</si>
  <si>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</si>
  <si>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</si>
  <si>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</si>
  <si>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</si>
  <si>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</si>
  <si>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</si>
  <si>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</si>
  <si>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</si>
  <si>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</si>
  <si>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</si>
  <si>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</si>
  <si>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</si>
  <si>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</si>
  <si>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</si>
  <si>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</si>
  <si>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</si>
  <si>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</si>
  <si>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</si>
  <si>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</si>
  <si>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</si>
  <si>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</si>
  <si>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</si>
  <si>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</si>
  <si>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</si>
  <si>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</si>
  <si>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</si>
  <si>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</si>
  <si>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</si>
  <si>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</si>
  <si>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</si>
  <si>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</si>
  <si>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</si>
  <si>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</si>
  <si>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</si>
  <si>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</si>
  <si>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</si>
  <si>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</si>
  <si>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</si>
  <si>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</si>
  <si>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</si>
  <si>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</si>
  <si>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</si>
  <si>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</si>
  <si>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</si>
  <si>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</si>
  <si>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</si>
  <si>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</si>
  <si>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</si>
  <si>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</si>
  <si>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</si>
  <si>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</si>
  <si>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</si>
  <si>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</si>
  <si>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</si>
  <si>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</si>
  <si>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</si>
  <si>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</si>
  <si>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</si>
  <si>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</si>
  <si>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</si>
  <si>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</si>
  <si>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</si>
  <si>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</si>
  <si>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</si>
  <si>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</si>
  <si>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</si>
  <si>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</si>
  <si>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</si>
  <si>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</si>
  <si>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</si>
  <si>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</si>
  <si>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</si>
  <si>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</si>
  <si>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</si>
  <si>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</si>
  <si>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</si>
  <si>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</si>
  <si>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</si>
  <si>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</si>
  <si>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</si>
  <si>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</si>
  <si>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</si>
  <si>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</si>
  <si>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</si>
  <si>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</si>
  <si>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</si>
  <si>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</si>
  <si>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</si>
  <si>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</si>
  <si>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</si>
  <si>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</si>
  <si>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</si>
  <si>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</si>
  <si>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</si>
  <si>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</si>
  <si>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</si>
  <si>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</si>
  <si>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</si>
  <si>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</si>
  <si>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</si>
  <si>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</si>
  <si>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</si>
  <si>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</si>
  <si>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</si>
  <si>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</si>
  <si>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</si>
  <si>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</si>
  <si>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</si>
  <si>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</si>
  <si>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</si>
  <si>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</si>
  <si>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</si>
  <si>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</si>
  <si>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</si>
  <si>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</si>
  <si>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</si>
  <si>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</si>
  <si>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</si>
  <si>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</si>
  <si>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</si>
  <si>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</si>
  <si>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</si>
  <si>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</si>
  <si>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</si>
  <si>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</si>
  <si>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</si>
  <si>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</si>
  <si>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</si>
  <si>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</si>
  <si>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</si>
  <si>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</si>
  <si>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</si>
  <si>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</si>
  <si>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</si>
  <si>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</si>
  <si>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</si>
  <si>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</si>
  <si>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</si>
  <si>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</si>
  <si>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</si>
  <si>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</si>
  <si>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</si>
  <si>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</si>
  <si>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</si>
  <si>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</si>
  <si>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</si>
  <si>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</si>
  <si>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</si>
  <si>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</si>
  <si>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</si>
  <si>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</si>
  <si>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</si>
  <si>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</si>
  <si>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</si>
  <si>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</si>
  <si>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</si>
  <si>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</si>
  <si>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</si>
  <si>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</si>
  <si>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</si>
  <si>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</si>
  <si>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</si>
  <si>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</si>
  <si>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</si>
  <si>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</si>
  <si>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</si>
  <si>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</si>
  <si>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</si>
  <si>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</si>
  <si>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</si>
  <si>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</si>
  <si>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</si>
  <si>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</si>
  <si>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</si>
  <si>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</si>
  <si>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</si>
  <si>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</si>
  <si>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</si>
  <si>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</si>
  <si>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</si>
  <si>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</si>
  <si>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</si>
  <si>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</si>
  <si>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</si>
  <si>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</si>
  <si>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</si>
  <si>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</si>
  <si>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</si>
  <si>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</si>
  <si>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</si>
  <si>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</si>
  <si>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</si>
  <si>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</si>
  <si>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</si>
  <si>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</si>
  <si>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</si>
  <si>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</si>
  <si>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</si>
  <si>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</si>
  <si>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</si>
  <si>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</si>
  <si>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</si>
  <si>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</si>
  <si>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</si>
  <si>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</si>
  <si>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</si>
  <si>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</si>
  <si>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</si>
  <si>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</si>
  <si>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</si>
  <si>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</si>
  <si>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</si>
  <si>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</si>
  <si>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</si>
  <si>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</si>
  <si>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</si>
  <si>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</si>
  <si>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</si>
  <si>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</si>
  <si>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</si>
  <si>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</si>
  <si>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</si>
  <si>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</si>
  <si>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</si>
  <si>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</si>
  <si>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</si>
  <si>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</si>
  <si>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</si>
  <si>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</si>
  <si>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</si>
  <si>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</si>
  <si>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</si>
  <si>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</si>
  <si>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</si>
  <si>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</si>
  <si>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</si>
  <si>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</si>
  <si>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</si>
  <si>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</si>
  <si>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</si>
  <si>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</si>
  <si>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</si>
  <si>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</si>
  <si>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</si>
  <si>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</si>
  <si>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</si>
  <si>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</si>
  <si>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</si>
  <si>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</si>
  <si>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</si>
  <si>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</si>
  <si>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</si>
  <si>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</si>
  <si>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</si>
  <si>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</si>
  <si>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</si>
  <si>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</si>
  <si>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</si>
  <si>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</si>
  <si>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</si>
  <si>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</si>
  <si>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</si>
  <si>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</si>
  <si>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</si>
  <si>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</si>
  <si>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</si>
  <si>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</si>
  <si>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</si>
  <si>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</si>
  <si>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</si>
  <si>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</si>
  <si>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</si>
  <si>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</si>
  <si>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</si>
  <si>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</si>
  <si>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</si>
  <si>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</si>
  <si>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</si>
  <si>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</si>
  <si>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</si>
  <si>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</si>
  <si>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</si>
  <si>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</si>
  <si>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</si>
  <si>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</si>
  <si>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</si>
  <si>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</si>
  <si>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</si>
  <si>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</si>
  <si>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</si>
  <si>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</si>
  <si>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</si>
  <si>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</si>
  <si>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</si>
  <si>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</si>
  <si>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</si>
  <si>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</si>
  <si>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</si>
  <si>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</si>
  <si>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</si>
  <si>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</si>
  <si>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</si>
  <si>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</si>
  <si>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</si>
  <si>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</si>
  <si>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</si>
  <si>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</si>
  <si>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</si>
  <si>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</si>
  <si>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04 năm 2025
/ As at 30 Apr 2025</t>
  </si>
  <si>
    <t>Tháng 04 năm 2025
/ Apr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</si>
  <si>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</si>
  <si>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</si>
  <si>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</si>
  <si>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</si>
  <si>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06 tháng 05 năm 2025</t>
  </si>
  <si>
    <t>06 May 2025</t>
  </si>
  <si>
    <t>Vũ Quang Phan</t>
  </si>
  <si>
    <t>Lê Hoàng Anh</t>
  </si>
  <si>
    <t>Phó phòng Dịch vụ nghiệp vụ giám sát Quỹ</t>
  </si>
  <si>
    <t>Quyền Giám đốc nghiệp vụ hỗ trợ đầu tư</t>
  </si>
  <si>
    <t>Ngày 30 tháng 04 năm 2025
 As at 30 Apr 2025</t>
  </si>
  <si>
    <t>Ngày 31 tháng 03 năm 2025
 As at 31 Mar 2025</t>
  </si>
  <si>
    <t>Tháng 04 năm 2025
Apr 2025</t>
  </si>
  <si>
    <t>Tháng 03 năm 2025
Mar 2025</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</si>
  <si>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</si>
  <si>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DC Dynamic Securities Fund (DCDS)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</si>
</sst>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1</xdr:row>
          <xdr:rowOff>11043</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0"/>
                </a:ext>
              </a:extLst>
            </xdr:cNvPicPr>
          </xdr:nvPicPr>
          <xdr:blipFill>
            <a:blip xmlns:r="http://schemas.openxmlformats.org/officeDocument/2006/relationships" r:embed="rId1"/>
            <a:srcRect/>
            <a:stretch>
              <a:fillRect/>
            </a:stretch>
          </xdr:blipFill>
          <xdr:spPr bwMode="auto">
            <a:xfrm>
              <a:off x="57150" y="0"/>
              <a:ext cx="2835612" cy="70678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6"/>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136358</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0"/>
                </a:ext>
              </a:extLst>
            </xdr:cNvPicPr>
          </xdr:nvPicPr>
          <xdr:blipFill>
            <a:blip xmlns:r="http://schemas.openxmlformats.org/officeDocument/2006/relationships" r:embed="rId1"/>
            <a:srcRect/>
            <a:stretch>
              <a:fillRect/>
            </a:stretch>
          </xdr:blipFill>
          <xdr:spPr bwMode="auto">
            <a:xfrm>
              <a:off x="0" y="0"/>
              <a:ext cx="2293776" cy="68981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1813560</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0"/>
                </a:ext>
              </a:extLst>
            </xdr:cNvPicPr>
          </xdr:nvPicPr>
          <xdr:blipFill>
            <a:blip xmlns:r="http://schemas.openxmlformats.org/officeDocument/2006/relationships" r:embed="rId1"/>
            <a:srcRect/>
            <a:stretch>
              <a:fillRect/>
            </a:stretch>
          </xdr:blipFill>
          <xdr:spPr bwMode="auto">
            <a:xfrm>
              <a:off x="0" y="0"/>
              <a:ext cx="2141220" cy="67198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1810871</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99"/>
                </a:ext>
              </a:extLst>
            </xdr:cNvPicPr>
          </xdr:nvPicPr>
          <xdr:blipFill>
            <a:blip xmlns:r="http://schemas.openxmlformats.org/officeDocument/2006/relationships" r:embed="rId1"/>
            <a:srcRect/>
            <a:stretch>
              <a:fillRect/>
            </a:stretch>
          </xdr:blipFill>
          <xdr:spPr bwMode="auto">
            <a:xfrm>
              <a:off x="1" y="0"/>
              <a:ext cx="2411505" cy="70137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topLeftCell="A9" zoomScaleSheetLayoutView="100" workbookViewId="0">
      <selection activeCell="C31" sqref="C31"/>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864</v>
      </c>
      <c r="D1" s="142"/>
    </row>
    <row r="2" spans="1:11">
      <c r="C2" s="80" t="s">
        <v>865</v>
      </c>
      <c r="D2" s="81"/>
    </row>
    <row r="3" spans="1:11">
      <c r="D3" s="82"/>
    </row>
    <row r="4" spans="1:11">
      <c r="A4" s="78" t="s">
        <v>1</v>
      </c>
      <c r="D4" s="82"/>
    </row>
    <row r="5" spans="1:11" ht="15" customHeight="1">
      <c r="C5" s="83" t="s">
        <v>2</v>
      </c>
      <c r="D5" s="144" t="s">
        <v>866</v>
      </c>
      <c r="E5" s="144"/>
      <c r="F5" s="144"/>
      <c r="G5" s="144"/>
      <c r="H5" s="144"/>
      <c r="I5" s="144"/>
    </row>
    <row r="6" spans="1:11">
      <c r="C6" s="74" t="s">
        <v>15</v>
      </c>
      <c r="D6" s="143" t="s">
        <v>867</v>
      </c>
      <c r="E6" s="143"/>
      <c r="F6" s="143"/>
      <c r="G6" s="143"/>
      <c r="H6" s="143"/>
      <c r="I6" s="143"/>
    </row>
    <row r="7" spans="1:11">
      <c r="C7" s="84" t="s">
        <v>3</v>
      </c>
      <c r="D7" s="144" t="s">
        <v>868</v>
      </c>
      <c r="E7" s="144"/>
      <c r="F7" s="144"/>
      <c r="G7" s="144"/>
      <c r="H7" s="144"/>
      <c r="I7" s="144"/>
    </row>
    <row r="8" spans="1:11" ht="15" customHeight="1">
      <c r="C8" s="28" t="s">
        <v>4</v>
      </c>
      <c r="D8" s="143" t="s">
        <v>869</v>
      </c>
      <c r="E8" s="143"/>
      <c r="F8" s="143"/>
      <c r="G8" s="143"/>
      <c r="H8" s="143"/>
      <c r="I8" s="143"/>
    </row>
    <row r="9" spans="1:11" ht="15" customHeight="1">
      <c r="C9" s="84" t="s">
        <v>5</v>
      </c>
      <c r="D9" s="144" t="s">
        <v>239</v>
      </c>
      <c r="E9" s="144"/>
      <c r="F9" s="144"/>
      <c r="G9" s="144"/>
      <c r="H9" s="144"/>
      <c r="I9" s="144"/>
    </row>
    <row r="10" spans="1:11" ht="15" customHeight="1">
      <c r="C10" s="85" t="s">
        <v>6</v>
      </c>
      <c r="D10" s="143" t="s">
        <v>881</v>
      </c>
      <c r="E10" s="143"/>
      <c r="F10" s="143"/>
      <c r="G10" s="143"/>
      <c r="H10" s="143"/>
      <c r="I10" s="143"/>
    </row>
    <row r="11" spans="1:11">
      <c r="C11" s="86" t="s">
        <v>7</v>
      </c>
      <c r="D11" s="144" t="s">
        <v>870</v>
      </c>
      <c r="E11" s="144"/>
      <c r="F11" s="144"/>
      <c r="G11" s="144"/>
      <c r="H11" s="144"/>
      <c r="I11" s="144"/>
    </row>
    <row r="12" spans="1:11">
      <c r="C12" s="2" t="s">
        <v>8</v>
      </c>
      <c r="D12" s="143" t="s">
        <v>871</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tr">
        <f>D5</f>
        <v>Công ty Cổ phần Quản lý Quỹ Đầu tư Dragon Capital Việt Nam</v>
      </c>
      <c r="G19" s="1"/>
      <c r="H19" s="1"/>
      <c r="I19" s="1"/>
      <c r="J19" s="1"/>
      <c r="K19" s="93"/>
    </row>
    <row r="20" spans="3:11">
      <c r="C20" s="95" t="s">
        <v>872</v>
      </c>
      <c r="D20" s="92"/>
      <c r="F20" s="95" t="s">
        <v>873</v>
      </c>
      <c r="G20" s="1"/>
      <c r="H20" s="1"/>
      <c r="I20" s="1"/>
      <c r="J20" s="1"/>
      <c r="K20" s="93"/>
    </row>
    <row r="21" spans="3:11">
      <c r="C21" s="96" t="s">
        <v>874</v>
      </c>
      <c r="D21" s="81"/>
      <c r="F21" s="96" t="s">
        <v>875</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94" zoomScale="69" zoomScaleNormal="100" zoomScaleSheetLayoutView="69" workbookViewId="0">
      <selection activeCell="D63" sqref="D63"/>
    </sheetView>
  </sheetViews>
  <sheetFormatPr defaultColWidth="8.81640625" defaultRowHeight="12.5"/>
  <cols>
    <col min="1" max="1" width="8.81640625" style="1"/>
    <col min="2" max="2" width="44.1796875" style="1" customWidth="1"/>
    <col min="3" max="3" width="10.1796875" style="1" customWidth="1"/>
    <col min="4" max="6" width="32" style="1" customWidth="1"/>
    <col min="7" max="16384" width="8.81640625" style="1"/>
  </cols>
  <sheetData>
    <row r="1" spans="1:6" s="2" customFormat="1" ht="54.75" customHeight="1">
      <c r="A1" s="145" t="s">
        <v>232</v>
      </c>
      <c r="B1" s="145"/>
      <c r="C1" s="145"/>
      <c r="D1" s="145"/>
      <c r="E1" s="145"/>
      <c r="F1" s="145"/>
    </row>
    <row r="2" spans="1:6" s="2" customFormat="1" ht="50.5" customHeight="1">
      <c r="A2" s="146" t="s">
        <v>233</v>
      </c>
      <c r="B2" s="146"/>
      <c r="C2" s="146"/>
      <c r="D2" s="146"/>
      <c r="E2" s="146"/>
      <c r="F2" s="146"/>
    </row>
    <row r="3" spans="1:6" s="2" customFormat="1">
      <c r="A3" s="147" t="s">
        <v>183</v>
      </c>
      <c r="B3" s="147"/>
      <c r="C3" s="147"/>
      <c r="D3" s="147"/>
      <c r="E3" s="147"/>
      <c r="F3" s="147"/>
    </row>
    <row r="4" spans="1:6" s="2" customFormat="1" ht="32.75" customHeight="1">
      <c r="A4" s="147"/>
      <c r="B4" s="147"/>
      <c r="C4" s="147"/>
      <c r="D4" s="147"/>
      <c r="E4" s="147"/>
      <c r="F4" s="147"/>
    </row>
    <row r="5" spans="1:6" s="2" customFormat="1" ht="17" customHeight="1">
      <c r="A5" s="148" t="s">
        <v>864</v>
      </c>
      <c r="B5" s="148"/>
      <c r="C5" s="148"/>
      <c r="D5" s="148"/>
      <c r="E5" s="148"/>
      <c r="F5" s="148"/>
    </row>
    <row r="6" spans="1:6">
      <c r="A6" s="9"/>
      <c r="B6" s="9"/>
      <c r="C6" s="9"/>
      <c r="D6" s="9"/>
      <c r="E6" s="9"/>
      <c r="F6" s="9"/>
    </row>
    <row r="7" spans="1:6" ht="17" customHeight="1">
      <c r="A7" s="144" t="s">
        <v>2</v>
      </c>
      <c r="B7" s="144"/>
      <c r="C7" s="144" t="s">
        <v>866</v>
      </c>
      <c r="D7" s="144"/>
      <c r="E7" s="144"/>
      <c r="F7" s="144"/>
    </row>
    <row r="8" spans="1:6" s="2" customFormat="1" ht="17" customHeight="1">
      <c r="A8" s="143" t="s">
        <v>15</v>
      </c>
      <c r="B8" s="143"/>
      <c r="C8" s="143" t="s">
        <v>867</v>
      </c>
      <c r="D8" s="143"/>
      <c r="E8" s="143"/>
      <c r="F8" s="143"/>
    </row>
    <row r="9" spans="1:6" ht="17" customHeight="1">
      <c r="A9" s="144" t="s">
        <v>3</v>
      </c>
      <c r="B9" s="144"/>
      <c r="C9" s="144" t="s">
        <v>868</v>
      </c>
      <c r="D9" s="144"/>
      <c r="E9" s="144"/>
      <c r="F9" s="144"/>
    </row>
    <row r="10" spans="1:6" s="2" customFormat="1" ht="17" customHeight="1">
      <c r="A10" s="143" t="s">
        <v>4</v>
      </c>
      <c r="B10" s="143"/>
      <c r="C10" s="143" t="s">
        <v>869</v>
      </c>
      <c r="D10" s="143"/>
      <c r="E10" s="143"/>
      <c r="F10" s="143"/>
    </row>
    <row r="11" spans="1:6" ht="17" customHeight="1">
      <c r="A11" s="144" t="s">
        <v>5</v>
      </c>
      <c r="B11" s="144"/>
      <c r="C11" s="144" t="s">
        <v>239</v>
      </c>
      <c r="D11" s="144"/>
      <c r="E11" s="144"/>
      <c r="F11" s="144"/>
    </row>
    <row r="12" spans="1:6" s="2" customFormat="1" ht="17" customHeight="1">
      <c r="A12" s="143" t="s">
        <v>6</v>
      </c>
      <c r="B12" s="143"/>
      <c r="C12" s="143" t="s">
        <v>881</v>
      </c>
      <c r="D12" s="143"/>
      <c r="E12" s="143"/>
      <c r="F12" s="143"/>
    </row>
    <row r="13" spans="1:6" ht="17" customHeight="1">
      <c r="A13" s="144" t="s">
        <v>7</v>
      </c>
      <c r="B13" s="144"/>
      <c r="C13" s="144" t="s">
        <v>870</v>
      </c>
      <c r="D13" s="144"/>
      <c r="E13" s="144"/>
      <c r="F13" s="144"/>
    </row>
    <row r="14" spans="1:6" s="2" customFormat="1" ht="17" customHeight="1">
      <c r="A14" s="143" t="s">
        <v>8</v>
      </c>
      <c r="B14" s="143"/>
      <c r="C14" s="143" t="s">
        <v>871</v>
      </c>
      <c r="D14" s="143"/>
      <c r="E14" s="143"/>
      <c r="F14" s="143"/>
    </row>
    <row r="15" spans="1:6" s="2" customFormat="1" ht="7.5" customHeight="1">
      <c r="A15" s="8"/>
      <c r="B15" s="8"/>
      <c r="C15" s="8"/>
      <c r="D15" s="8"/>
      <c r="E15" s="8"/>
      <c r="F15" s="8"/>
    </row>
    <row r="16" spans="1:6" s="2" customFormat="1" ht="17" customHeight="1">
      <c r="A16" s="69" t="s">
        <v>230</v>
      </c>
      <c r="B16" s="70" t="s">
        <v>231</v>
      </c>
      <c r="C16" s="8"/>
      <c r="D16" s="8"/>
      <c r="E16" s="8"/>
      <c r="F16" s="8"/>
    </row>
    <row r="17" spans="1:6" s="2" customFormat="1" ht="17" customHeight="1">
      <c r="A17" s="71" t="s">
        <v>16</v>
      </c>
      <c r="B17" s="72" t="s">
        <v>184</v>
      </c>
      <c r="C17" s="8"/>
      <c r="D17" s="8"/>
      <c r="E17" s="8"/>
      <c r="F17" s="8"/>
    </row>
    <row r="18" spans="1:6" s="2" customFormat="1" ht="50.75" customHeight="1">
      <c r="A18" s="6" t="s">
        <v>17</v>
      </c>
      <c r="B18" s="6" t="s">
        <v>18</v>
      </c>
      <c r="C18" s="6" t="s">
        <v>19</v>
      </c>
      <c r="D18" s="7" t="s">
        <v>876</v>
      </c>
      <c r="E18" s="7" t="s">
        <v>877</v>
      </c>
      <c r="F18" s="30" t="s">
        <v>20</v>
      </c>
    </row>
    <row r="19" spans="1:6" ht="39" customHeight="1">
      <c r="A19" s="136" t="s">
        <v>555</v>
      </c>
      <c r="B19" s="135" t="s">
        <v>556</v>
      </c>
      <c r="C19" s="136" t="s">
        <v>557</v>
      </c>
      <c r="D19" s="138"/>
      <c r="E19" s="138"/>
      <c r="F19" s="137"/>
    </row>
    <row r="20" spans="1:6" ht="39" customHeight="1">
      <c r="A20" s="131" t="s">
        <v>558</v>
      </c>
      <c r="B20" s="130" t="s">
        <v>559</v>
      </c>
      <c r="C20" s="131" t="s">
        <v>560</v>
      </c>
      <c r="D20" s="134">
        <v>160659707915</v>
      </c>
      <c r="E20" s="134">
        <v>376006874977</v>
      </c>
      <c r="F20" s="133">
        <v>2.50441134310043</v>
      </c>
    </row>
    <row r="21" spans="1:6" ht="39" customHeight="1">
      <c r="A21" s="131" t="s">
        <v>561</v>
      </c>
      <c r="B21" s="130" t="s">
        <v>562</v>
      </c>
      <c r="C21" s="131" t="s">
        <v>563</v>
      </c>
      <c r="D21" s="134"/>
      <c r="E21" s="134"/>
      <c r="F21" s="133"/>
    </row>
    <row r="22" spans="1:6" ht="39" customHeight="1">
      <c r="A22" s="131" t="s">
        <v>564</v>
      </c>
      <c r="B22" s="130" t="s">
        <v>565</v>
      </c>
      <c r="C22" s="131" t="s">
        <v>566</v>
      </c>
      <c r="D22" s="134" t="s">
        <v>567</v>
      </c>
      <c r="E22" s="134" t="s">
        <v>568</v>
      </c>
      <c r="F22" s="133" t="s">
        <v>569</v>
      </c>
    </row>
    <row r="23" spans="1:6" ht="39" customHeight="1">
      <c r="A23" s="131" t="s">
        <v>570</v>
      </c>
      <c r="B23" s="130" t="s">
        <v>571</v>
      </c>
      <c r="C23" s="131" t="s">
        <v>572</v>
      </c>
      <c r="D23" s="134">
        <v>160659707915</v>
      </c>
      <c r="E23" s="134">
        <v>376006874977</v>
      </c>
      <c r="F23" s="133">
        <v>2.50441134310043</v>
      </c>
    </row>
    <row r="24" spans="1:6" ht="39" customHeight="1">
      <c r="A24" s="131" t="s">
        <v>573</v>
      </c>
      <c r="B24" s="130" t="s">
        <v>574</v>
      </c>
      <c r="C24" s="131" t="s">
        <v>575</v>
      </c>
      <c r="D24" s="134" t="s">
        <v>576</v>
      </c>
      <c r="E24" s="134" t="s">
        <v>577</v>
      </c>
      <c r="F24" s="133" t="s">
        <v>578</v>
      </c>
    </row>
    <row r="25" spans="1:6" ht="48" customHeight="1">
      <c r="A25" s="131" t="s">
        <v>579</v>
      </c>
      <c r="B25" s="130" t="s">
        <v>580</v>
      </c>
      <c r="C25" s="131" t="s">
        <v>581</v>
      </c>
      <c r="D25" s="134">
        <v>7777185877</v>
      </c>
      <c r="E25" s="134">
        <v>26074130781</v>
      </c>
      <c r="F25" s="133">
        <v>2.1014786949340301</v>
      </c>
    </row>
    <row r="26" spans="1:6" ht="45" customHeight="1">
      <c r="A26" s="131" t="s">
        <v>582</v>
      </c>
      <c r="B26" s="130" t="s">
        <v>583</v>
      </c>
      <c r="C26" s="131" t="s">
        <v>584</v>
      </c>
      <c r="D26" s="134">
        <v>157900876</v>
      </c>
      <c r="E26" s="134">
        <v>206542503</v>
      </c>
      <c r="F26" s="133">
        <v>0.518127308502349</v>
      </c>
    </row>
    <row r="27" spans="1:6" ht="42" customHeight="1">
      <c r="A27" s="131" t="s">
        <v>585</v>
      </c>
      <c r="B27" s="130" t="s">
        <v>586</v>
      </c>
      <c r="C27" s="131" t="s">
        <v>587</v>
      </c>
      <c r="D27" s="134">
        <v>152724621162</v>
      </c>
      <c r="E27" s="134">
        <v>349726201693</v>
      </c>
      <c r="F27" s="133">
        <v>2.5392687971579102</v>
      </c>
    </row>
    <row r="28" spans="1:6" ht="48" customHeight="1">
      <c r="A28" s="131" t="s">
        <v>588</v>
      </c>
      <c r="B28" s="130" t="s">
        <v>589</v>
      </c>
      <c r="C28" s="131" t="s">
        <v>590</v>
      </c>
      <c r="D28" s="134">
        <v>0</v>
      </c>
      <c r="E28" s="134">
        <v>0</v>
      </c>
      <c r="F28" s="133"/>
    </row>
    <row r="29" spans="1:6" ht="39" customHeight="1">
      <c r="A29" s="131" t="s">
        <v>591</v>
      </c>
      <c r="B29" s="130" t="s">
        <v>592</v>
      </c>
      <c r="C29" s="131" t="s">
        <v>593</v>
      </c>
      <c r="D29" s="134">
        <v>0</v>
      </c>
      <c r="E29" s="134">
        <v>0</v>
      </c>
      <c r="F29" s="133"/>
    </row>
    <row r="30" spans="1:6" ht="39" customHeight="1">
      <c r="A30" s="131" t="s">
        <v>594</v>
      </c>
      <c r="B30" s="130" t="s">
        <v>595</v>
      </c>
      <c r="C30" s="131" t="s">
        <v>596</v>
      </c>
      <c r="D30" s="134">
        <v>2663491507550</v>
      </c>
      <c r="E30" s="134">
        <v>2289931683100</v>
      </c>
      <c r="F30" s="133">
        <v>1.5094838773025701</v>
      </c>
    </row>
    <row r="31" spans="1:6" ht="39" customHeight="1">
      <c r="A31" s="131" t="s">
        <v>597</v>
      </c>
      <c r="B31" s="130" t="s">
        <v>598</v>
      </c>
      <c r="C31" s="131" t="s">
        <v>599</v>
      </c>
      <c r="D31" s="134" t="s">
        <v>600</v>
      </c>
      <c r="E31" s="134" t="s">
        <v>601</v>
      </c>
      <c r="F31" s="133" t="s">
        <v>602</v>
      </c>
    </row>
    <row r="32" spans="1:6" ht="39" customHeight="1">
      <c r="A32" s="131" t="s">
        <v>603</v>
      </c>
      <c r="B32" s="130" t="s">
        <v>604</v>
      </c>
      <c r="C32" s="131" t="s">
        <v>605</v>
      </c>
      <c r="D32" s="134">
        <v>2663491507550</v>
      </c>
      <c r="E32" s="134">
        <v>2289931683100</v>
      </c>
      <c r="F32" s="133">
        <v>1.5094838773025701</v>
      </c>
    </row>
    <row r="33" spans="1:6" ht="39" customHeight="1">
      <c r="A33" s="131" t="s">
        <v>606</v>
      </c>
      <c r="B33" s="130" t="s">
        <v>607</v>
      </c>
      <c r="C33" s="131" t="s">
        <v>608</v>
      </c>
      <c r="D33" s="134">
        <v>0</v>
      </c>
      <c r="E33" s="134">
        <v>0</v>
      </c>
      <c r="F33" s="133"/>
    </row>
    <row r="34" spans="1:6" ht="39" customHeight="1">
      <c r="A34" s="131" t="s">
        <v>609</v>
      </c>
      <c r="B34" s="130" t="s">
        <v>610</v>
      </c>
      <c r="C34" s="131" t="s">
        <v>611</v>
      </c>
      <c r="D34" s="134">
        <v>0</v>
      </c>
      <c r="E34" s="134">
        <v>0</v>
      </c>
      <c r="F34" s="133"/>
    </row>
    <row r="35" spans="1:6" ht="39" customHeight="1">
      <c r="A35" s="131" t="s">
        <v>612</v>
      </c>
      <c r="B35" s="130" t="s">
        <v>613</v>
      </c>
      <c r="C35" s="131" t="s">
        <v>614</v>
      </c>
      <c r="D35" s="134">
        <v>0</v>
      </c>
      <c r="E35" s="134">
        <v>0</v>
      </c>
      <c r="F35" s="133"/>
    </row>
    <row r="36" spans="1:6" ht="39" customHeight="1">
      <c r="A36" s="131" t="s">
        <v>615</v>
      </c>
      <c r="B36" s="130" t="s">
        <v>616</v>
      </c>
      <c r="C36" s="131" t="s">
        <v>617</v>
      </c>
      <c r="D36" s="134">
        <v>0</v>
      </c>
      <c r="E36" s="134">
        <v>0</v>
      </c>
      <c r="F36" s="133"/>
    </row>
    <row r="37" spans="1:6" ht="39" customHeight="1">
      <c r="A37" s="131" t="s">
        <v>618</v>
      </c>
      <c r="B37" s="130" t="s">
        <v>619</v>
      </c>
      <c r="C37" s="131" t="s">
        <v>620</v>
      </c>
      <c r="D37" s="134">
        <v>0</v>
      </c>
      <c r="E37" s="134">
        <v>0</v>
      </c>
      <c r="F37" s="133"/>
    </row>
    <row r="38" spans="1:6" ht="39" customHeight="1">
      <c r="A38" s="131" t="s">
        <v>621</v>
      </c>
      <c r="B38" s="130" t="s">
        <v>622</v>
      </c>
      <c r="C38" s="131" t="s">
        <v>623</v>
      </c>
      <c r="D38" s="134">
        <v>0</v>
      </c>
      <c r="E38" s="134">
        <v>0</v>
      </c>
      <c r="F38" s="133"/>
    </row>
    <row r="39" spans="1:6" ht="39" customHeight="1">
      <c r="A39" s="131" t="s">
        <v>624</v>
      </c>
      <c r="B39" s="130" t="s">
        <v>625</v>
      </c>
      <c r="C39" s="131" t="s">
        <v>626</v>
      </c>
      <c r="D39" s="134">
        <v>0</v>
      </c>
      <c r="E39" s="134">
        <v>0</v>
      </c>
      <c r="F39" s="133"/>
    </row>
    <row r="40" spans="1:6" ht="39" customHeight="1">
      <c r="A40" s="131" t="s">
        <v>627</v>
      </c>
      <c r="B40" s="130" t="s">
        <v>628</v>
      </c>
      <c r="C40" s="131" t="s">
        <v>629</v>
      </c>
      <c r="D40" s="134">
        <v>0</v>
      </c>
      <c r="E40" s="134">
        <v>0</v>
      </c>
      <c r="F40" s="133"/>
    </row>
    <row r="41" spans="1:6" ht="39" customHeight="1">
      <c r="A41" s="131" t="s">
        <v>630</v>
      </c>
      <c r="B41" s="130" t="s">
        <v>631</v>
      </c>
      <c r="C41" s="131" t="s">
        <v>632</v>
      </c>
      <c r="D41" s="134">
        <v>0</v>
      </c>
      <c r="E41" s="134">
        <v>0</v>
      </c>
      <c r="F41" s="133"/>
    </row>
    <row r="42" spans="1:6" ht="39" customHeight="1">
      <c r="A42" s="131" t="s">
        <v>633</v>
      </c>
      <c r="B42" s="130" t="s">
        <v>634</v>
      </c>
      <c r="C42" s="131" t="s">
        <v>635</v>
      </c>
      <c r="D42" s="134" t="s">
        <v>636</v>
      </c>
      <c r="E42" s="134" t="s">
        <v>637</v>
      </c>
      <c r="F42" s="133" t="s">
        <v>638</v>
      </c>
    </row>
    <row r="43" spans="1:6" ht="39" customHeight="1">
      <c r="A43" s="131" t="s">
        <v>639</v>
      </c>
      <c r="B43" s="130" t="s">
        <v>640</v>
      </c>
      <c r="C43" s="131" t="s">
        <v>641</v>
      </c>
      <c r="D43" s="134">
        <v>3775460000</v>
      </c>
      <c r="E43" s="134">
        <v>1820030000</v>
      </c>
      <c r="F43" s="133">
        <v>1.8618686445275101</v>
      </c>
    </row>
    <row r="44" spans="1:6" ht="39" customHeight="1">
      <c r="A44" s="131" t="s">
        <v>642</v>
      </c>
      <c r="B44" s="130" t="s">
        <v>643</v>
      </c>
      <c r="C44" s="131" t="s">
        <v>644</v>
      </c>
      <c r="D44" s="134" t="s">
        <v>645</v>
      </c>
      <c r="E44" s="134" t="s">
        <v>646</v>
      </c>
      <c r="F44" s="133" t="s">
        <v>647</v>
      </c>
    </row>
    <row r="45" spans="1:6" ht="39" customHeight="1">
      <c r="A45" s="131" t="s">
        <v>648</v>
      </c>
      <c r="B45" s="130" t="s">
        <v>649</v>
      </c>
      <c r="C45" s="131" t="s">
        <v>650</v>
      </c>
      <c r="D45" s="134">
        <v>3775460000</v>
      </c>
      <c r="E45" s="134">
        <v>1820030000</v>
      </c>
      <c r="F45" s="133">
        <v>1.8618686445275101</v>
      </c>
    </row>
    <row r="46" spans="1:6" ht="39" customHeight="1">
      <c r="A46" s="131" t="s">
        <v>651</v>
      </c>
      <c r="B46" s="130" t="s">
        <v>652</v>
      </c>
      <c r="C46" s="131" t="s">
        <v>653</v>
      </c>
      <c r="D46" s="134">
        <v>0</v>
      </c>
      <c r="E46" s="134">
        <v>0</v>
      </c>
      <c r="F46" s="133"/>
    </row>
    <row r="47" spans="1:6" ht="39" customHeight="1">
      <c r="A47" s="131" t="s">
        <v>654</v>
      </c>
      <c r="B47" s="130" t="s">
        <v>655</v>
      </c>
      <c r="C47" s="131" t="s">
        <v>656</v>
      </c>
      <c r="D47" s="134">
        <v>0</v>
      </c>
      <c r="E47" s="134">
        <v>0</v>
      </c>
      <c r="F47" s="133"/>
    </row>
    <row r="48" spans="1:6" ht="39" customHeight="1">
      <c r="A48" s="131" t="s">
        <v>657</v>
      </c>
      <c r="B48" s="130" t="s">
        <v>658</v>
      </c>
      <c r="C48" s="131" t="s">
        <v>659</v>
      </c>
      <c r="D48" s="134" t="s">
        <v>660</v>
      </c>
      <c r="E48" s="134" t="s">
        <v>661</v>
      </c>
      <c r="F48" s="133" t="s">
        <v>662</v>
      </c>
    </row>
    <row r="49" spans="1:6" ht="39" customHeight="1">
      <c r="A49" s="131" t="s">
        <v>663</v>
      </c>
      <c r="B49" s="130" t="s">
        <v>664</v>
      </c>
      <c r="C49" s="131" t="s">
        <v>665</v>
      </c>
      <c r="D49" s="134">
        <v>0</v>
      </c>
      <c r="E49" s="134">
        <v>0</v>
      </c>
      <c r="F49" s="133"/>
    </row>
    <row r="50" spans="1:6" ht="39" customHeight="1">
      <c r="A50" s="131" t="s">
        <v>666</v>
      </c>
      <c r="B50" s="130" t="s">
        <v>667</v>
      </c>
      <c r="C50" s="131" t="s">
        <v>668</v>
      </c>
      <c r="D50" s="134">
        <v>0</v>
      </c>
      <c r="E50" s="134">
        <v>0</v>
      </c>
      <c r="F50" s="133"/>
    </row>
    <row r="51" spans="1:6" ht="39" customHeight="1">
      <c r="A51" s="131" t="s">
        <v>669</v>
      </c>
      <c r="B51" s="130" t="s">
        <v>670</v>
      </c>
      <c r="C51" s="131" t="s">
        <v>671</v>
      </c>
      <c r="D51" s="134">
        <v>0</v>
      </c>
      <c r="E51" s="134">
        <v>0</v>
      </c>
      <c r="F51" s="133"/>
    </row>
    <row r="52" spans="1:6" ht="39" customHeight="1">
      <c r="A52" s="131" t="s">
        <v>672</v>
      </c>
      <c r="B52" s="130" t="s">
        <v>673</v>
      </c>
      <c r="C52" s="131" t="s">
        <v>674</v>
      </c>
      <c r="D52" s="134">
        <v>0</v>
      </c>
      <c r="E52" s="134">
        <v>0</v>
      </c>
      <c r="F52" s="133"/>
    </row>
    <row r="53" spans="1:6" ht="39" customHeight="1">
      <c r="A53" s="131" t="s">
        <v>675</v>
      </c>
      <c r="B53" s="130" t="s">
        <v>676</v>
      </c>
      <c r="C53" s="131" t="s">
        <v>677</v>
      </c>
      <c r="D53" s="134" t="s">
        <v>678</v>
      </c>
      <c r="E53" s="134" t="s">
        <v>679</v>
      </c>
      <c r="F53" s="133" t="s">
        <v>680</v>
      </c>
    </row>
    <row r="54" spans="1:6" ht="39" customHeight="1">
      <c r="A54" s="131" t="s">
        <v>681</v>
      </c>
      <c r="B54" s="130" t="s">
        <v>682</v>
      </c>
      <c r="C54" s="131" t="s">
        <v>683</v>
      </c>
      <c r="D54" s="134">
        <v>133872837900</v>
      </c>
      <c r="E54" s="134">
        <v>237933964250</v>
      </c>
      <c r="F54" s="133">
        <v>3.3190578582799501</v>
      </c>
    </row>
    <row r="55" spans="1:6" ht="39" customHeight="1">
      <c r="A55" s="131" t="s">
        <v>684</v>
      </c>
      <c r="B55" s="130" t="s">
        <v>685</v>
      </c>
      <c r="C55" s="131" t="s">
        <v>686</v>
      </c>
      <c r="D55" s="134" t="s">
        <v>687</v>
      </c>
      <c r="E55" s="134" t="s">
        <v>688</v>
      </c>
      <c r="F55" s="133" t="s">
        <v>689</v>
      </c>
    </row>
    <row r="56" spans="1:6" ht="39" customHeight="1">
      <c r="A56" s="131" t="s">
        <v>690</v>
      </c>
      <c r="B56" s="130" t="s">
        <v>691</v>
      </c>
      <c r="C56" s="131" t="s">
        <v>692</v>
      </c>
      <c r="D56" s="134">
        <v>-866400000</v>
      </c>
      <c r="E56" s="134">
        <v>-866387900</v>
      </c>
      <c r="F56" s="133">
        <v>1</v>
      </c>
    </row>
    <row r="57" spans="1:6" ht="39" customHeight="1">
      <c r="A57" s="131" t="s">
        <v>693</v>
      </c>
      <c r="B57" s="130" t="s">
        <v>694</v>
      </c>
      <c r="C57" s="131" t="s">
        <v>695</v>
      </c>
      <c r="D57" s="134" t="s">
        <v>696</v>
      </c>
      <c r="E57" s="134" t="s">
        <v>697</v>
      </c>
      <c r="F57" s="133" t="s">
        <v>698</v>
      </c>
    </row>
    <row r="58" spans="1:6" ht="39" customHeight="1">
      <c r="A58" s="131" t="s">
        <v>699</v>
      </c>
      <c r="B58" s="130" t="s">
        <v>700</v>
      </c>
      <c r="C58" s="131" t="s">
        <v>701</v>
      </c>
      <c r="D58" s="134">
        <v>0</v>
      </c>
      <c r="E58" s="134">
        <v>0</v>
      </c>
      <c r="F58" s="133"/>
    </row>
    <row r="59" spans="1:6" ht="39" customHeight="1">
      <c r="A59" s="131" t="s">
        <v>702</v>
      </c>
      <c r="B59" s="130" t="s">
        <v>703</v>
      </c>
      <c r="C59" s="131" t="s">
        <v>704</v>
      </c>
      <c r="D59" s="134">
        <v>-866400000</v>
      </c>
      <c r="E59" s="134">
        <v>-866400000</v>
      </c>
      <c r="F59" s="133">
        <v>1</v>
      </c>
    </row>
    <row r="60" spans="1:6" ht="39" customHeight="1">
      <c r="A60" s="131" t="s">
        <v>705</v>
      </c>
      <c r="B60" s="130" t="s">
        <v>706</v>
      </c>
      <c r="C60" s="131" t="s">
        <v>707</v>
      </c>
      <c r="D60" s="134">
        <v>0</v>
      </c>
      <c r="E60" s="134">
        <v>12100</v>
      </c>
      <c r="F60" s="133"/>
    </row>
    <row r="61" spans="1:6" ht="39" customHeight="1">
      <c r="A61" s="131" t="s">
        <v>708</v>
      </c>
      <c r="B61" s="130" t="s">
        <v>709</v>
      </c>
      <c r="C61" s="131" t="s">
        <v>710</v>
      </c>
      <c r="D61" s="134">
        <v>46228246</v>
      </c>
      <c r="E61" s="134">
        <v>0</v>
      </c>
      <c r="F61" s="133">
        <v>0.84942484883734004</v>
      </c>
    </row>
    <row r="62" spans="1:6" ht="39" customHeight="1">
      <c r="A62" s="131" t="s">
        <v>711</v>
      </c>
      <c r="B62" s="130" t="s">
        <v>712</v>
      </c>
      <c r="C62" s="131" t="s">
        <v>713</v>
      </c>
      <c r="D62" s="134" t="s">
        <v>714</v>
      </c>
      <c r="E62" s="134" t="s">
        <v>715</v>
      </c>
      <c r="F62" s="133" t="s">
        <v>716</v>
      </c>
    </row>
    <row r="63" spans="1:6" ht="39" customHeight="1">
      <c r="A63" s="136" t="s">
        <v>717</v>
      </c>
      <c r="B63" s="135" t="s">
        <v>718</v>
      </c>
      <c r="C63" s="136" t="s">
        <v>719</v>
      </c>
      <c r="D63" s="138">
        <v>2960979341611</v>
      </c>
      <c r="E63" s="138">
        <v>2904826164427</v>
      </c>
      <c r="F63" s="137">
        <v>1.5832371263807401</v>
      </c>
    </row>
    <row r="64" spans="1:6" ht="39" customHeight="1">
      <c r="A64" s="136" t="s">
        <v>720</v>
      </c>
      <c r="B64" s="135" t="s">
        <v>721</v>
      </c>
      <c r="C64" s="136" t="s">
        <v>722</v>
      </c>
      <c r="D64" s="138"/>
      <c r="E64" s="138"/>
      <c r="F64" s="137"/>
    </row>
    <row r="65" spans="1:6" ht="39" customHeight="1">
      <c r="A65" s="131" t="s">
        <v>723</v>
      </c>
      <c r="B65" s="130" t="s">
        <v>724</v>
      </c>
      <c r="C65" s="131" t="s">
        <v>725</v>
      </c>
      <c r="D65" s="134">
        <v>0</v>
      </c>
      <c r="E65" s="134">
        <v>0</v>
      </c>
      <c r="F65" s="133"/>
    </row>
    <row r="66" spans="1:6" ht="39" customHeight="1">
      <c r="A66" s="131" t="s">
        <v>726</v>
      </c>
      <c r="B66" s="130" t="s">
        <v>727</v>
      </c>
      <c r="C66" s="131" t="s">
        <v>728</v>
      </c>
      <c r="D66" s="134" t="s">
        <v>729</v>
      </c>
      <c r="E66" s="134" t="s">
        <v>730</v>
      </c>
      <c r="F66" s="133" t="s">
        <v>731</v>
      </c>
    </row>
    <row r="67" spans="1:6" ht="39" customHeight="1">
      <c r="A67" s="131" t="s">
        <v>732</v>
      </c>
      <c r="B67" s="130" t="s">
        <v>733</v>
      </c>
      <c r="C67" s="131" t="s">
        <v>734</v>
      </c>
      <c r="D67" s="134">
        <v>77135554000</v>
      </c>
      <c r="E67" s="134">
        <v>80494260000</v>
      </c>
      <c r="F67" s="133">
        <v>1.47929457937313</v>
      </c>
    </row>
    <row r="68" spans="1:6" ht="39" customHeight="1">
      <c r="A68" s="131" t="s">
        <v>735</v>
      </c>
      <c r="B68" s="130" t="s">
        <v>736</v>
      </c>
      <c r="C68" s="131" t="s">
        <v>737</v>
      </c>
      <c r="D68" s="134" t="s">
        <v>738</v>
      </c>
      <c r="E68" s="134" t="s">
        <v>739</v>
      </c>
      <c r="F68" s="133" t="s">
        <v>740</v>
      </c>
    </row>
    <row r="69" spans="1:6" ht="39" customHeight="1">
      <c r="A69" s="131" t="s">
        <v>741</v>
      </c>
      <c r="B69" s="130" t="s">
        <v>742</v>
      </c>
      <c r="C69" s="131" t="s">
        <v>743</v>
      </c>
      <c r="D69" s="134">
        <v>20718729482</v>
      </c>
      <c r="E69" s="134">
        <v>35551904367</v>
      </c>
      <c r="F69" s="133">
        <v>2.1053061177901</v>
      </c>
    </row>
    <row r="70" spans="1:6" ht="39" customHeight="1">
      <c r="A70" s="131" t="s">
        <v>744</v>
      </c>
      <c r="B70" s="130" t="s">
        <v>745</v>
      </c>
      <c r="C70" s="131" t="s">
        <v>746</v>
      </c>
      <c r="D70" s="134" t="s">
        <v>747</v>
      </c>
      <c r="E70" s="134" t="s">
        <v>748</v>
      </c>
      <c r="F70" s="133" t="s">
        <v>749</v>
      </c>
    </row>
    <row r="71" spans="1:6" ht="39" customHeight="1">
      <c r="A71" s="131" t="s">
        <v>750</v>
      </c>
      <c r="B71" s="130" t="s">
        <v>751</v>
      </c>
      <c r="C71" s="131" t="s">
        <v>752</v>
      </c>
      <c r="D71" s="134">
        <v>14758619429</v>
      </c>
      <c r="E71" s="134">
        <v>29280303142</v>
      </c>
      <c r="F71" s="133">
        <v>2.4480125534215702</v>
      </c>
    </row>
    <row r="72" spans="1:6" ht="39" customHeight="1">
      <c r="A72" s="131" t="s">
        <v>753</v>
      </c>
      <c r="B72" s="130" t="s">
        <v>754</v>
      </c>
      <c r="C72" s="131" t="s">
        <v>755</v>
      </c>
      <c r="D72" s="134">
        <v>7777185877</v>
      </c>
      <c r="E72" s="134">
        <v>26074130781</v>
      </c>
      <c r="F72" s="133">
        <v>2.1014786949340301</v>
      </c>
    </row>
    <row r="73" spans="1:6" ht="48" customHeight="1">
      <c r="A73" s="131" t="s">
        <v>756</v>
      </c>
      <c r="B73" s="130" t="s">
        <v>757</v>
      </c>
      <c r="C73" s="131" t="s">
        <v>758</v>
      </c>
      <c r="D73" s="134">
        <v>0</v>
      </c>
      <c r="E73" s="134">
        <v>0</v>
      </c>
      <c r="F73" s="133"/>
    </row>
    <row r="74" spans="1:6" ht="39" customHeight="1">
      <c r="A74" s="131" t="s">
        <v>759</v>
      </c>
      <c r="B74" s="130" t="s">
        <v>760</v>
      </c>
      <c r="C74" s="131" t="s">
        <v>761</v>
      </c>
      <c r="D74" s="134">
        <v>0</v>
      </c>
      <c r="E74" s="134">
        <v>0</v>
      </c>
      <c r="F74" s="133"/>
    </row>
    <row r="75" spans="1:6" ht="39" customHeight="1">
      <c r="A75" s="131" t="s">
        <v>762</v>
      </c>
      <c r="B75" s="130" t="s">
        <v>763</v>
      </c>
      <c r="C75" s="131" t="s">
        <v>764</v>
      </c>
      <c r="D75" s="134">
        <v>6981433552</v>
      </c>
      <c r="E75" s="134">
        <v>3206172361</v>
      </c>
      <c r="F75" s="133">
        <v>2.9988963655649501</v>
      </c>
    </row>
    <row r="76" spans="1:6" ht="39" customHeight="1">
      <c r="A76" s="131" t="s">
        <v>765</v>
      </c>
      <c r="B76" s="130" t="s">
        <v>766</v>
      </c>
      <c r="C76" s="131" t="s">
        <v>767</v>
      </c>
      <c r="D76" s="134">
        <v>212291189</v>
      </c>
      <c r="E76" s="134">
        <v>154773365</v>
      </c>
      <c r="F76" s="133">
        <v>3.7608451917662502</v>
      </c>
    </row>
    <row r="77" spans="1:6" ht="61" customHeight="1">
      <c r="A77" s="131" t="s">
        <v>768</v>
      </c>
      <c r="B77" s="130" t="s">
        <v>769</v>
      </c>
      <c r="C77" s="131" t="s">
        <v>770</v>
      </c>
      <c r="D77" s="134">
        <v>346639095</v>
      </c>
      <c r="E77" s="134">
        <v>367702661</v>
      </c>
      <c r="F77" s="133">
        <v>1.30813555794648</v>
      </c>
    </row>
    <row r="78" spans="1:6" ht="39" customHeight="1">
      <c r="A78" s="131" t="s">
        <v>771</v>
      </c>
      <c r="B78" s="130" t="s">
        <v>772</v>
      </c>
      <c r="C78" s="131" t="s">
        <v>773</v>
      </c>
      <c r="D78" s="134">
        <v>39925000</v>
      </c>
      <c r="E78" s="134">
        <v>39925000</v>
      </c>
      <c r="F78" s="133">
        <v>1</v>
      </c>
    </row>
    <row r="79" spans="1:6" ht="39" customHeight="1">
      <c r="A79" s="131" t="s">
        <v>774</v>
      </c>
      <c r="B79" s="130" t="s">
        <v>775</v>
      </c>
      <c r="C79" s="131" t="s">
        <v>776</v>
      </c>
      <c r="D79" s="134">
        <v>15945205</v>
      </c>
      <c r="E79" s="134">
        <v>14958904</v>
      </c>
      <c r="F79" s="133">
        <v>0.99862167555477599</v>
      </c>
    </row>
    <row r="80" spans="1:6" ht="39" customHeight="1">
      <c r="A80" s="131" t="s">
        <v>777</v>
      </c>
      <c r="B80" s="130" t="s">
        <v>778</v>
      </c>
      <c r="C80" s="131" t="s">
        <v>779</v>
      </c>
      <c r="D80" s="134">
        <v>4412861503</v>
      </c>
      <c r="E80" s="134">
        <v>4642011704</v>
      </c>
      <c r="F80" s="133">
        <v>1.5675947267074299</v>
      </c>
    </row>
    <row r="81" spans="1:6" ht="39" customHeight="1">
      <c r="A81" s="131" t="s">
        <v>780</v>
      </c>
      <c r="B81" s="130" t="s">
        <v>781</v>
      </c>
      <c r="C81" s="131" t="s">
        <v>782</v>
      </c>
      <c r="D81" s="134">
        <v>62232662</v>
      </c>
      <c r="E81" s="134">
        <v>65464265</v>
      </c>
      <c r="F81" s="133">
        <v>1.56759471205892</v>
      </c>
    </row>
    <row r="82" spans="1:6" ht="39" customHeight="1">
      <c r="A82" s="131" t="s">
        <v>783</v>
      </c>
      <c r="B82" s="130" t="s">
        <v>784</v>
      </c>
      <c r="C82" s="131" t="s">
        <v>785</v>
      </c>
      <c r="D82" s="134">
        <v>99572259</v>
      </c>
      <c r="E82" s="134">
        <v>104742829</v>
      </c>
      <c r="F82" s="133">
        <v>1.56759469410281</v>
      </c>
    </row>
    <row r="83" spans="1:6" ht="39" customHeight="1">
      <c r="A83" s="131" t="s">
        <v>786</v>
      </c>
      <c r="B83" s="130" t="s">
        <v>787</v>
      </c>
      <c r="C83" s="131" t="s">
        <v>788</v>
      </c>
      <c r="D83" s="134">
        <v>299446436</v>
      </c>
      <c r="E83" s="134">
        <v>413533118</v>
      </c>
      <c r="F83" s="133">
        <v>2.2551234461509999</v>
      </c>
    </row>
    <row r="84" spans="1:6" ht="39" customHeight="1">
      <c r="A84" s="131" t="s">
        <v>789</v>
      </c>
      <c r="B84" s="130" t="s">
        <v>790</v>
      </c>
      <c r="C84" s="131" t="s">
        <v>791</v>
      </c>
      <c r="D84" s="134">
        <v>299446436</v>
      </c>
      <c r="E84" s="134">
        <v>413533118</v>
      </c>
      <c r="F84" s="133">
        <v>2.2551234461509999</v>
      </c>
    </row>
    <row r="85" spans="1:6" ht="46" customHeight="1">
      <c r="A85" s="131" t="s">
        <v>792</v>
      </c>
      <c r="B85" s="130" t="s">
        <v>793</v>
      </c>
      <c r="C85" s="131" t="s">
        <v>794</v>
      </c>
      <c r="D85" s="134">
        <v>0</v>
      </c>
      <c r="E85" s="134">
        <v>0</v>
      </c>
      <c r="F85" s="133"/>
    </row>
    <row r="86" spans="1:6" ht="39" customHeight="1">
      <c r="A86" s="131" t="s">
        <v>795</v>
      </c>
      <c r="B86" s="130" t="s">
        <v>796</v>
      </c>
      <c r="C86" s="131" t="s">
        <v>797</v>
      </c>
      <c r="D86" s="134">
        <v>164220237</v>
      </c>
      <c r="E86" s="134">
        <v>163520755</v>
      </c>
      <c r="F86" s="133">
        <v>1.50323343012036</v>
      </c>
    </row>
    <row r="87" spans="1:6" ht="39" customHeight="1">
      <c r="A87" s="131" t="s">
        <v>798</v>
      </c>
      <c r="B87" s="130" t="s">
        <v>799</v>
      </c>
      <c r="C87" s="131" t="s">
        <v>800</v>
      </c>
      <c r="D87" s="134">
        <v>90520237</v>
      </c>
      <c r="E87" s="134">
        <v>95220755</v>
      </c>
      <c r="F87" s="133">
        <v>1.56759472580222</v>
      </c>
    </row>
    <row r="88" spans="1:6" ht="39" customHeight="1">
      <c r="A88" s="131" t="s">
        <v>801</v>
      </c>
      <c r="B88" s="130" t="s">
        <v>802</v>
      </c>
      <c r="C88" s="131" t="s">
        <v>803</v>
      </c>
      <c r="D88" s="134">
        <v>62700000</v>
      </c>
      <c r="E88" s="134">
        <v>57300000</v>
      </c>
      <c r="F88" s="133">
        <v>1.54814814814815</v>
      </c>
    </row>
    <row r="89" spans="1:6" ht="60" customHeight="1">
      <c r="A89" s="131" t="s">
        <v>804</v>
      </c>
      <c r="B89" s="130" t="s">
        <v>805</v>
      </c>
      <c r="C89" s="131" t="s">
        <v>806</v>
      </c>
      <c r="D89" s="134">
        <v>11000000</v>
      </c>
      <c r="E89" s="134">
        <v>11000000</v>
      </c>
      <c r="F89" s="133">
        <v>1</v>
      </c>
    </row>
    <row r="90" spans="1:6" ht="39" customHeight="1">
      <c r="A90" s="131" t="s">
        <v>807</v>
      </c>
      <c r="B90" s="130" t="s">
        <v>808</v>
      </c>
      <c r="C90" s="131" t="s">
        <v>809</v>
      </c>
      <c r="D90" s="134">
        <v>66180822</v>
      </c>
      <c r="E90" s="134">
        <v>49635616</v>
      </c>
      <c r="F90" s="133">
        <v>0.99445262208865504</v>
      </c>
    </row>
    <row r="91" spans="1:6" ht="39" customHeight="1">
      <c r="A91" s="131" t="s">
        <v>810</v>
      </c>
      <c r="B91" s="130" t="s">
        <v>811</v>
      </c>
      <c r="C91" s="131" t="s">
        <v>812</v>
      </c>
      <c r="D91" s="134">
        <v>40946926</v>
      </c>
      <c r="E91" s="134">
        <v>56100727</v>
      </c>
      <c r="F91" s="133"/>
    </row>
    <row r="92" spans="1:6" ht="39" customHeight="1">
      <c r="A92" s="131" t="s">
        <v>813</v>
      </c>
      <c r="B92" s="130" t="s">
        <v>814</v>
      </c>
      <c r="C92" s="131" t="s">
        <v>815</v>
      </c>
      <c r="D92" s="134">
        <v>0</v>
      </c>
      <c r="E92" s="134">
        <v>0</v>
      </c>
      <c r="F92" s="133"/>
    </row>
    <row r="93" spans="1:6" ht="39" customHeight="1">
      <c r="A93" s="131" t="s">
        <v>816</v>
      </c>
      <c r="B93" s="130" t="s">
        <v>817</v>
      </c>
      <c r="C93" s="131" t="s">
        <v>818</v>
      </c>
      <c r="D93" s="134">
        <v>13200000</v>
      </c>
      <c r="E93" s="134">
        <v>13200000</v>
      </c>
      <c r="F93" s="133">
        <v>1</v>
      </c>
    </row>
    <row r="94" spans="1:6" ht="48" customHeight="1">
      <c r="A94" s="131" t="s">
        <v>819</v>
      </c>
      <c r="B94" s="130" t="s">
        <v>820</v>
      </c>
      <c r="C94" s="131" t="s">
        <v>821</v>
      </c>
      <c r="D94" s="134">
        <v>0</v>
      </c>
      <c r="E94" s="134">
        <v>0</v>
      </c>
      <c r="F94" s="133"/>
    </row>
    <row r="95" spans="1:6" ht="39" customHeight="1">
      <c r="A95" s="131" t="s">
        <v>822</v>
      </c>
      <c r="B95" s="130" t="s">
        <v>823</v>
      </c>
      <c r="C95" s="131" t="s">
        <v>824</v>
      </c>
      <c r="D95" s="134">
        <v>0</v>
      </c>
      <c r="E95" s="134">
        <v>0</v>
      </c>
      <c r="F95" s="133"/>
    </row>
    <row r="96" spans="1:6" ht="39" customHeight="1">
      <c r="A96" s="131" t="s">
        <v>825</v>
      </c>
      <c r="B96" s="130" t="s">
        <v>826</v>
      </c>
      <c r="C96" s="131" t="s">
        <v>827</v>
      </c>
      <c r="D96" s="134">
        <v>186648719</v>
      </c>
      <c r="E96" s="134">
        <v>186032281</v>
      </c>
      <c r="F96" s="133">
        <v>0.95716812229099801</v>
      </c>
    </row>
    <row r="97" spans="1:6" ht="39" customHeight="1">
      <c r="A97" s="131" t="s">
        <v>828</v>
      </c>
      <c r="B97" s="130" t="s">
        <v>829</v>
      </c>
      <c r="C97" s="131" t="s">
        <v>830</v>
      </c>
      <c r="D97" s="134">
        <v>0</v>
      </c>
      <c r="E97" s="134">
        <v>0</v>
      </c>
      <c r="F97" s="133">
        <v>0</v>
      </c>
    </row>
    <row r="98" spans="1:6" ht="48" customHeight="1">
      <c r="A98" s="131" t="s">
        <v>831</v>
      </c>
      <c r="B98" s="130" t="s">
        <v>832</v>
      </c>
      <c r="C98" s="131" t="s">
        <v>833</v>
      </c>
      <c r="D98" s="134">
        <v>0</v>
      </c>
      <c r="E98" s="134">
        <v>0</v>
      </c>
      <c r="F98" s="133"/>
    </row>
    <row r="99" spans="1:6" ht="45" customHeight="1">
      <c r="A99" s="131" t="s">
        <v>834</v>
      </c>
      <c r="B99" s="130" t="s">
        <v>835</v>
      </c>
      <c r="C99" s="131" t="s">
        <v>836</v>
      </c>
      <c r="D99" s="134">
        <v>2465753</v>
      </c>
      <c r="E99" s="134">
        <v>1849315</v>
      </c>
      <c r="F99" s="133">
        <v>0.99445252848549004</v>
      </c>
    </row>
    <row r="100" spans="1:6" ht="39" customHeight="1">
      <c r="A100" s="131" t="s">
        <v>837</v>
      </c>
      <c r="B100" s="130" t="s">
        <v>838</v>
      </c>
      <c r="C100" s="131" t="s">
        <v>839</v>
      </c>
      <c r="D100" s="134">
        <v>184182966</v>
      </c>
      <c r="E100" s="134">
        <v>184182966</v>
      </c>
      <c r="F100" s="133">
        <v>0.99680014878266299</v>
      </c>
    </row>
    <row r="101" spans="1:6" ht="39" customHeight="1">
      <c r="A101" s="131" t="s">
        <v>840</v>
      </c>
      <c r="B101" s="130" t="s">
        <v>841</v>
      </c>
      <c r="C101" s="131" t="s">
        <v>842</v>
      </c>
      <c r="D101" s="134">
        <v>0</v>
      </c>
      <c r="E101" s="134">
        <v>0</v>
      </c>
      <c r="F101" s="133"/>
    </row>
    <row r="102" spans="1:6" ht="39" customHeight="1">
      <c r="A102" s="131" t="s">
        <v>843</v>
      </c>
      <c r="B102" s="130" t="s">
        <v>844</v>
      </c>
      <c r="C102" s="131" t="s">
        <v>845</v>
      </c>
      <c r="D102" s="134">
        <v>0</v>
      </c>
      <c r="E102" s="134">
        <v>0</v>
      </c>
      <c r="F102" s="133"/>
    </row>
    <row r="103" spans="1:6" ht="39" customHeight="1">
      <c r="A103" s="131" t="s">
        <v>846</v>
      </c>
      <c r="B103" s="130" t="s">
        <v>847</v>
      </c>
      <c r="C103" s="131" t="s">
        <v>848</v>
      </c>
      <c r="D103" s="134">
        <v>0</v>
      </c>
      <c r="E103" s="134">
        <v>0</v>
      </c>
      <c r="F103" s="133"/>
    </row>
    <row r="104" spans="1:6" ht="39" customHeight="1">
      <c r="A104" s="131" t="s">
        <v>849</v>
      </c>
      <c r="B104" s="130" t="s">
        <v>850</v>
      </c>
      <c r="C104" s="131" t="s">
        <v>851</v>
      </c>
      <c r="D104" s="134">
        <v>0</v>
      </c>
      <c r="E104" s="134">
        <v>0</v>
      </c>
      <c r="F104" s="133"/>
    </row>
    <row r="105" spans="1:6" ht="39" customHeight="1">
      <c r="A105" s="136" t="s">
        <v>852</v>
      </c>
      <c r="B105" s="135" t="s">
        <v>853</v>
      </c>
      <c r="C105" s="136" t="s">
        <v>854</v>
      </c>
      <c r="D105" s="138">
        <v>97854283482</v>
      </c>
      <c r="E105" s="138">
        <v>116046164367</v>
      </c>
      <c r="F105" s="137">
        <v>1.5786853219568899</v>
      </c>
    </row>
    <row r="106" spans="1:6" ht="39" customHeight="1">
      <c r="A106" s="131" t="s">
        <v>855</v>
      </c>
      <c r="B106" s="130" t="s">
        <v>856</v>
      </c>
      <c r="C106" s="131" t="s">
        <v>857</v>
      </c>
      <c r="D106" s="134">
        <v>2863125058129</v>
      </c>
      <c r="E106" s="134">
        <v>2788780000060</v>
      </c>
      <c r="F106" s="133">
        <v>1.5833931593274</v>
      </c>
    </row>
    <row r="107" spans="1:6" ht="39" customHeight="1">
      <c r="A107" s="131" t="s">
        <v>858</v>
      </c>
      <c r="B107" s="130" t="s">
        <v>859</v>
      </c>
      <c r="C107" s="131" t="s">
        <v>860</v>
      </c>
      <c r="D107" s="139">
        <v>37365742.109999999</v>
      </c>
      <c r="E107" s="139">
        <v>35153320.390000001</v>
      </c>
      <c r="F107" s="133">
        <v>1.5074680681608099</v>
      </c>
    </row>
    <row r="108" spans="1:6" ht="39" customHeight="1">
      <c r="A108" s="131" t="s">
        <v>861</v>
      </c>
      <c r="B108" s="130" t="s">
        <v>862</v>
      </c>
      <c r="C108" s="131" t="s">
        <v>863</v>
      </c>
      <c r="D108" s="139">
        <v>76624.33</v>
      </c>
      <c r="E108" s="139">
        <v>79331.899999999994</v>
      </c>
      <c r="F108" s="133">
        <v>1.05036605834233</v>
      </c>
    </row>
    <row r="109" spans="1:6" s="2" customFormat="1" ht="17" customHeight="1"/>
    <row r="110" spans="1:6" s="2" customFormat="1" ht="17" customHeight="1">
      <c r="A110" s="12" t="s">
        <v>10</v>
      </c>
      <c r="B110" s="3"/>
      <c r="C110" s="3"/>
      <c r="E110" s="12" t="s">
        <v>11</v>
      </c>
      <c r="F110" s="3"/>
    </row>
    <row r="111" spans="1:6" s="4" customFormat="1" ht="17" customHeight="1">
      <c r="A111" s="13" t="s">
        <v>12</v>
      </c>
      <c r="B111" s="5"/>
      <c r="C111" s="5"/>
      <c r="E111" s="13" t="s">
        <v>13</v>
      </c>
      <c r="F111" s="5"/>
    </row>
    <row r="112" spans="1:6" s="2" customFormat="1" ht="17" customHeight="1">
      <c r="A112" s="3"/>
      <c r="B112" s="3"/>
      <c r="C112" s="3"/>
      <c r="D112" s="3"/>
      <c r="E112" s="3"/>
      <c r="F112" s="3"/>
    </row>
    <row r="113" spans="1:6" s="2" customFormat="1" ht="17" customHeight="1">
      <c r="A113" s="3"/>
      <c r="B113" s="3"/>
      <c r="C113" s="3"/>
      <c r="D113" s="3"/>
      <c r="E113" s="3"/>
      <c r="F113" s="3"/>
    </row>
    <row r="114" spans="1:6" s="2" customFormat="1" ht="17" customHeight="1">
      <c r="A114" s="3"/>
      <c r="B114" s="3"/>
      <c r="C114" s="3"/>
      <c r="D114" s="3"/>
      <c r="E114" s="3"/>
      <c r="F114" s="3"/>
    </row>
    <row r="115" spans="1:6" s="2" customFormat="1" ht="17" customHeight="1">
      <c r="A115" s="3"/>
      <c r="B115" s="3"/>
      <c r="C115" s="3"/>
      <c r="D115" s="3"/>
      <c r="E115" s="3"/>
      <c r="F115" s="3"/>
    </row>
    <row r="116" spans="1:6" s="2" customFormat="1" ht="17" customHeight="1">
      <c r="A116" s="3"/>
      <c r="B116" s="3"/>
      <c r="C116" s="3"/>
      <c r="D116" s="3"/>
      <c r="E116" s="3"/>
      <c r="F116" s="3"/>
    </row>
    <row r="117" spans="1:6" s="2" customFormat="1" ht="17" customHeight="1">
      <c r="A117" s="3"/>
      <c r="B117" s="3"/>
      <c r="C117" s="3"/>
      <c r="D117" s="3"/>
      <c r="E117" s="3"/>
      <c r="F117" s="3"/>
    </row>
    <row r="118" spans="1:6" s="2" customFormat="1" ht="17" customHeight="1">
      <c r="A118" s="47"/>
      <c r="B118" s="47"/>
      <c r="C118" s="3"/>
      <c r="D118" s="3"/>
      <c r="E118" s="47"/>
      <c r="F118" s="47"/>
    </row>
    <row r="119" spans="1:6" s="2" customFormat="1" ht="17" customHeight="1">
      <c r="A119" s="11" t="s">
        <v>14</v>
      </c>
      <c r="B119" s="46"/>
      <c r="C119" s="3"/>
      <c r="E119" s="11" t="s">
        <v>866</v>
      </c>
      <c r="F119" s="46"/>
    </row>
    <row r="120" spans="1:6" s="2" customFormat="1" ht="17" customHeight="1">
      <c r="A120" s="45" t="s">
        <v>872</v>
      </c>
      <c r="B120" s="3"/>
      <c r="C120" s="3"/>
      <c r="E120" s="45" t="s">
        <v>873</v>
      </c>
      <c r="F120" s="3"/>
    </row>
    <row r="121" spans="1:6" s="2" customFormat="1" ht="17" customHeight="1">
      <c r="A121" s="3" t="s">
        <v>874</v>
      </c>
      <c r="B121" s="3"/>
      <c r="C121" s="3"/>
      <c r="E121" s="3" t="s">
        <v>875</v>
      </c>
      <c r="F121" s="3"/>
    </row>
    <row r="122" spans="1:6" ht="17"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1" fitToHeight="0" orientation="portrait" r:id="rId1"/>
  <headerFooter>
    <oddHeader>&amp;L&amp;"Arial"&amp;9&amp;KA80000CONFIDENTIAL&amp;1#</oddHeader>
  </headerFooter>
  <rowBreaks count="1" manualBreakCount="1">
    <brk id="76" max="5"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88" zoomScale="70" zoomScaleNormal="100" zoomScaleSheetLayoutView="70" workbookViewId="0">
      <selection sqref="A1:XFD1048576"/>
    </sheetView>
  </sheetViews>
  <sheetFormatPr defaultColWidth="8.81640625" defaultRowHeight="12.5"/>
  <cols>
    <col min="1" max="1" width="8.81640625" style="9"/>
    <col min="2" max="2" width="46.1796875" style="9" customWidth="1"/>
    <col min="3" max="3" width="10.81640625" style="9" bestFit="1" customWidth="1"/>
    <col min="4" max="6" width="25.6328125" style="9" customWidth="1"/>
    <col min="7" max="16384" width="8.81640625" style="16"/>
  </cols>
  <sheetData>
    <row r="1" spans="1:6" ht="54.75" customHeight="1">
      <c r="A1" s="150" t="s">
        <v>232</v>
      </c>
      <c r="B1" s="150"/>
      <c r="C1" s="150"/>
      <c r="D1" s="150"/>
      <c r="E1" s="150"/>
      <c r="F1" s="150"/>
    </row>
    <row r="2" spans="1:6" ht="54.75" customHeight="1">
      <c r="A2" s="151" t="s">
        <v>233</v>
      </c>
      <c r="B2" s="151"/>
      <c r="C2" s="151"/>
      <c r="D2" s="151"/>
      <c r="E2" s="151"/>
      <c r="F2" s="151"/>
    </row>
    <row r="3" spans="1:6" ht="22.5" customHeight="1">
      <c r="A3" s="152" t="s">
        <v>183</v>
      </c>
      <c r="B3" s="152"/>
      <c r="C3" s="152"/>
      <c r="D3" s="152"/>
      <c r="E3" s="152"/>
      <c r="F3" s="152"/>
    </row>
    <row r="4" spans="1:6" ht="21" customHeight="1">
      <c r="A4" s="152"/>
      <c r="B4" s="152"/>
      <c r="C4" s="152"/>
      <c r="D4" s="152"/>
      <c r="E4" s="152"/>
      <c r="F4" s="152"/>
    </row>
    <row r="5" spans="1:6" ht="16.25" customHeight="1">
      <c r="A5" s="153" t="s">
        <v>865</v>
      </c>
      <c r="B5" s="153"/>
      <c r="C5" s="153"/>
      <c r="D5" s="153"/>
      <c r="E5" s="153"/>
      <c r="F5" s="153"/>
    </row>
    <row r="7" spans="1:6" ht="17" customHeight="1">
      <c r="A7" s="75" t="s">
        <v>2</v>
      </c>
      <c r="C7" s="154" t="s">
        <v>866</v>
      </c>
      <c r="D7" s="154"/>
      <c r="E7" s="154"/>
      <c r="F7" s="154"/>
    </row>
    <row r="8" spans="1:6" ht="17" customHeight="1">
      <c r="A8" s="9" t="s">
        <v>15</v>
      </c>
      <c r="C8" s="149" t="s">
        <v>867</v>
      </c>
      <c r="D8" s="149"/>
      <c r="E8" s="149"/>
      <c r="F8" s="149"/>
    </row>
    <row r="9" spans="1:6" ht="17" customHeight="1">
      <c r="A9" s="75" t="s">
        <v>3</v>
      </c>
      <c r="C9" s="154" t="s">
        <v>868</v>
      </c>
      <c r="D9" s="154"/>
      <c r="E9" s="154"/>
      <c r="F9" s="154"/>
    </row>
    <row r="10" spans="1:6" ht="17" customHeight="1">
      <c r="A10" s="9" t="s">
        <v>4</v>
      </c>
      <c r="C10" s="149" t="s">
        <v>869</v>
      </c>
      <c r="D10" s="149"/>
      <c r="E10" s="149"/>
      <c r="F10" s="149"/>
    </row>
    <row r="11" spans="1:6" ht="17" customHeight="1">
      <c r="A11" s="75" t="s">
        <v>5</v>
      </c>
      <c r="C11" s="154" t="s">
        <v>239</v>
      </c>
      <c r="D11" s="154"/>
      <c r="E11" s="154"/>
      <c r="F11" s="154"/>
    </row>
    <row r="12" spans="1:6" ht="17" customHeight="1">
      <c r="A12" s="9" t="s">
        <v>6</v>
      </c>
      <c r="C12" s="149" t="s">
        <v>881</v>
      </c>
      <c r="D12" s="149"/>
      <c r="E12" s="149"/>
      <c r="F12" s="149"/>
    </row>
    <row r="13" spans="1:6" ht="17" customHeight="1">
      <c r="A13" s="75" t="s">
        <v>7</v>
      </c>
      <c r="C13" s="154" t="s">
        <v>870</v>
      </c>
      <c r="D13" s="154"/>
      <c r="E13" s="154"/>
      <c r="F13" s="154"/>
    </row>
    <row r="14" spans="1:6" ht="17" customHeight="1">
      <c r="A14" s="9" t="s">
        <v>8</v>
      </c>
      <c r="C14" s="149" t="s">
        <v>871</v>
      </c>
      <c r="D14" s="149"/>
      <c r="E14" s="149"/>
      <c r="F14" s="149"/>
    </row>
    <row r="15" spans="1:6" ht="17" customHeight="1"/>
    <row r="16" spans="1:6" ht="17" customHeight="1">
      <c r="A16" s="69" t="s">
        <v>230</v>
      </c>
      <c r="B16" s="70" t="s">
        <v>231</v>
      </c>
    </row>
    <row r="17" spans="1:6" ht="17" customHeight="1">
      <c r="A17" s="14" t="s">
        <v>21</v>
      </c>
      <c r="B17" s="15" t="s">
        <v>22</v>
      </c>
    </row>
    <row r="18" spans="1:6" ht="37.5">
      <c r="A18" s="117" t="s">
        <v>17</v>
      </c>
      <c r="B18" s="117" t="s">
        <v>18</v>
      </c>
      <c r="C18" s="117" t="s">
        <v>19</v>
      </c>
      <c r="D18" s="118" t="s">
        <v>878</v>
      </c>
      <c r="E18" s="118" t="s">
        <v>879</v>
      </c>
      <c r="F18" s="118" t="s">
        <v>236</v>
      </c>
    </row>
    <row r="19" spans="1:6" s="17" customFormat="1" ht="25">
      <c r="A19" s="119" t="s">
        <v>16</v>
      </c>
      <c r="B19" s="120" t="s">
        <v>30</v>
      </c>
      <c r="C19" s="121" t="s">
        <v>44</v>
      </c>
      <c r="D19" s="122">
        <v>2558329725</v>
      </c>
      <c r="E19" s="122">
        <v>188470171</v>
      </c>
      <c r="F19" s="122">
        <v>4523497006</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2469280000</v>
      </c>
      <c r="E22" s="123">
        <v>141600000</v>
      </c>
      <c r="F22" s="123">
        <v>4336070000</v>
      </c>
    </row>
    <row r="23" spans="1:6">
      <c r="A23" s="73" t="s">
        <v>188</v>
      </c>
      <c r="B23" s="73" t="s">
        <v>188</v>
      </c>
      <c r="C23" s="73" t="s">
        <v>188</v>
      </c>
      <c r="D23" s="124" t="s">
        <v>188</v>
      </c>
      <c r="E23" s="124" t="s">
        <v>189</v>
      </c>
      <c r="F23" s="124" t="s">
        <v>189</v>
      </c>
    </row>
    <row r="24" spans="1:6" ht="25">
      <c r="A24" s="53"/>
      <c r="B24" s="54" t="s">
        <v>147</v>
      </c>
      <c r="C24" s="55" t="s">
        <v>46</v>
      </c>
      <c r="D24" s="123">
        <v>2469280000</v>
      </c>
      <c r="E24" s="123">
        <v>141600000</v>
      </c>
      <c r="F24" s="123">
        <v>4336070000</v>
      </c>
    </row>
    <row r="25" spans="1:6" ht="25">
      <c r="A25" s="53"/>
      <c r="B25" s="54" t="s">
        <v>148</v>
      </c>
      <c r="C25" s="55" t="s">
        <v>47</v>
      </c>
      <c r="D25" s="123">
        <v>0</v>
      </c>
      <c r="E25" s="123">
        <v>0</v>
      </c>
      <c r="F25" s="123">
        <v>0</v>
      </c>
    </row>
    <row r="26" spans="1:6" ht="25">
      <c r="A26" s="50">
        <v>3</v>
      </c>
      <c r="B26" s="51" t="s">
        <v>149</v>
      </c>
      <c r="C26" s="52" t="s">
        <v>48</v>
      </c>
      <c r="D26" s="123">
        <v>89049725</v>
      </c>
      <c r="E26" s="123">
        <v>46870171</v>
      </c>
      <c r="F26" s="123">
        <v>187427006</v>
      </c>
    </row>
    <row r="27" spans="1:6">
      <c r="A27" s="73" t="s">
        <v>188</v>
      </c>
      <c r="B27" s="73" t="s">
        <v>188</v>
      </c>
      <c r="C27" s="73" t="s">
        <v>188</v>
      </c>
      <c r="D27" s="124" t="s">
        <v>188</v>
      </c>
      <c r="E27" s="124" t="s">
        <v>188</v>
      </c>
      <c r="F27" s="124" t="s">
        <v>188</v>
      </c>
    </row>
    <row r="28" spans="1:6" ht="25">
      <c r="A28" s="53"/>
      <c r="B28" s="54" t="s">
        <v>145</v>
      </c>
      <c r="C28" s="55" t="s">
        <v>49</v>
      </c>
      <c r="D28" s="123">
        <v>89049725</v>
      </c>
      <c r="E28" s="123">
        <v>46870171</v>
      </c>
      <c r="F28" s="123">
        <v>187427006</v>
      </c>
    </row>
    <row r="29" spans="1:6" ht="25">
      <c r="A29" s="53"/>
      <c r="B29" s="54" t="s">
        <v>242</v>
      </c>
      <c r="C29" s="55" t="s">
        <v>50</v>
      </c>
      <c r="D29" s="123">
        <v>0</v>
      </c>
      <c r="E29" s="123">
        <v>0</v>
      </c>
      <c r="F29" s="123">
        <v>0</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8608317133</v>
      </c>
      <c r="E36" s="126">
        <v>7540134486</v>
      </c>
      <c r="F36" s="126">
        <v>28924306738</v>
      </c>
    </row>
    <row r="37" spans="1:6" ht="25">
      <c r="A37" s="50">
        <v>1</v>
      </c>
      <c r="B37" s="51" t="s">
        <v>190</v>
      </c>
      <c r="C37" s="52" t="s">
        <v>56</v>
      </c>
      <c r="D37" s="123">
        <v>4412861503</v>
      </c>
      <c r="E37" s="123">
        <v>4642011704</v>
      </c>
      <c r="F37" s="123">
        <v>18164080482</v>
      </c>
    </row>
    <row r="38" spans="1:6">
      <c r="A38" s="73" t="s">
        <v>188</v>
      </c>
      <c r="B38" s="73" t="s">
        <v>188</v>
      </c>
      <c r="C38" s="73" t="s">
        <v>188</v>
      </c>
      <c r="D38" s="124" t="s">
        <v>188</v>
      </c>
      <c r="E38" s="124" t="s">
        <v>188</v>
      </c>
      <c r="F38" s="124" t="s">
        <v>188</v>
      </c>
    </row>
    <row r="39" spans="1:6" ht="50">
      <c r="A39" s="50">
        <v>2</v>
      </c>
      <c r="B39" s="51" t="s">
        <v>244</v>
      </c>
      <c r="C39" s="52" t="s">
        <v>57</v>
      </c>
      <c r="D39" s="123">
        <v>264538510</v>
      </c>
      <c r="E39" s="123">
        <v>272430187</v>
      </c>
      <c r="F39" s="123">
        <v>1045265338</v>
      </c>
    </row>
    <row r="40" spans="1:6">
      <c r="A40" s="73" t="s">
        <v>188</v>
      </c>
      <c r="B40" s="73" t="s">
        <v>188</v>
      </c>
      <c r="C40" s="73" t="s">
        <v>188</v>
      </c>
      <c r="D40" s="124" t="s">
        <v>188</v>
      </c>
      <c r="E40" s="124" t="s">
        <v>188</v>
      </c>
      <c r="F40" s="124" t="s">
        <v>188</v>
      </c>
    </row>
    <row r="41" spans="1:6" ht="25">
      <c r="A41" s="59"/>
      <c r="B41" s="54" t="s">
        <v>191</v>
      </c>
      <c r="C41" s="55" t="s">
        <v>58</v>
      </c>
      <c r="D41" s="123">
        <v>90520237</v>
      </c>
      <c r="E41" s="123">
        <v>95220755</v>
      </c>
      <c r="F41" s="123">
        <v>372596529</v>
      </c>
    </row>
    <row r="42" spans="1:6" ht="25">
      <c r="A42" s="59"/>
      <c r="B42" s="54" t="s">
        <v>192</v>
      </c>
      <c r="C42" s="55" t="s">
        <v>59</v>
      </c>
      <c r="D42" s="123">
        <v>55100000</v>
      </c>
      <c r="E42" s="123">
        <v>52700000</v>
      </c>
      <c r="F42" s="123">
        <v>187300000</v>
      </c>
    </row>
    <row r="43" spans="1:6" ht="50">
      <c r="A43" s="59"/>
      <c r="B43" s="54" t="s">
        <v>245</v>
      </c>
      <c r="C43" s="55" t="s">
        <v>60</v>
      </c>
      <c r="D43" s="123">
        <v>19346014</v>
      </c>
      <c r="E43" s="123">
        <v>19766603</v>
      </c>
      <c r="F43" s="123">
        <v>75512632</v>
      </c>
    </row>
    <row r="44" spans="1:6" ht="25">
      <c r="A44" s="59"/>
      <c r="B44" s="54" t="s">
        <v>193</v>
      </c>
      <c r="C44" s="55" t="s">
        <v>61</v>
      </c>
      <c r="D44" s="123">
        <v>99572259</v>
      </c>
      <c r="E44" s="123">
        <v>104742829</v>
      </c>
      <c r="F44" s="123">
        <v>409856177</v>
      </c>
    </row>
    <row r="45" spans="1:6" ht="62.5">
      <c r="A45" s="50">
        <v>3</v>
      </c>
      <c r="B45" s="60" t="s">
        <v>194</v>
      </c>
      <c r="C45" s="52" t="s">
        <v>62</v>
      </c>
      <c r="D45" s="123">
        <v>75432662</v>
      </c>
      <c r="E45" s="123">
        <v>78664265</v>
      </c>
      <c r="F45" s="123">
        <v>308960102</v>
      </c>
    </row>
    <row r="46" spans="1:6">
      <c r="A46" s="73" t="s">
        <v>188</v>
      </c>
      <c r="B46" s="73" t="s">
        <v>188</v>
      </c>
      <c r="C46" s="73" t="s">
        <v>188</v>
      </c>
      <c r="D46" s="124" t="s">
        <v>188</v>
      </c>
      <c r="E46" s="124" t="s">
        <v>188</v>
      </c>
      <c r="F46" s="124" t="s">
        <v>188</v>
      </c>
    </row>
    <row r="47" spans="1:6" ht="25">
      <c r="A47" s="59"/>
      <c r="B47" s="61" t="s">
        <v>165</v>
      </c>
      <c r="C47" s="55" t="s">
        <v>63</v>
      </c>
      <c r="D47" s="123">
        <v>62232662</v>
      </c>
      <c r="E47" s="123">
        <v>65464265</v>
      </c>
      <c r="F47" s="123">
        <v>256160102</v>
      </c>
    </row>
    <row r="48" spans="1:6" ht="25">
      <c r="A48" s="59"/>
      <c r="B48" s="61" t="s">
        <v>32</v>
      </c>
      <c r="C48" s="55" t="s">
        <v>64</v>
      </c>
      <c r="D48" s="123">
        <v>13200000</v>
      </c>
      <c r="E48" s="123">
        <v>13200000</v>
      </c>
      <c r="F48" s="123">
        <v>52800000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37.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16545206</v>
      </c>
      <c r="E53" s="123">
        <v>15935486</v>
      </c>
      <c r="F53" s="123">
        <v>65019596</v>
      </c>
    </row>
    <row r="54" spans="1:6">
      <c r="A54" s="73" t="s">
        <v>188</v>
      </c>
      <c r="B54" s="73" t="s">
        <v>188</v>
      </c>
      <c r="C54" s="73" t="s">
        <v>188</v>
      </c>
      <c r="D54" s="124" t="s">
        <v>188</v>
      </c>
      <c r="E54" s="124" t="s">
        <v>188</v>
      </c>
      <c r="F54" s="124" t="s">
        <v>188</v>
      </c>
    </row>
    <row r="55" spans="1:6" ht="62.5">
      <c r="A55" s="50">
        <v>7</v>
      </c>
      <c r="B55" s="51" t="s">
        <v>166</v>
      </c>
      <c r="C55" s="52" t="s">
        <v>66</v>
      </c>
      <c r="D55" s="123">
        <v>16193975</v>
      </c>
      <c r="E55" s="123">
        <v>13019178</v>
      </c>
      <c r="F55" s="123">
        <v>55152879</v>
      </c>
    </row>
    <row r="56" spans="1:6">
      <c r="A56" s="73" t="s">
        <v>188</v>
      </c>
      <c r="B56" s="73" t="s">
        <v>188</v>
      </c>
      <c r="C56" s="73" t="s">
        <v>188</v>
      </c>
      <c r="D56" s="124" t="s">
        <v>188</v>
      </c>
      <c r="E56" s="124" t="s">
        <v>188</v>
      </c>
      <c r="F56" s="124" t="s">
        <v>188</v>
      </c>
    </row>
    <row r="57" spans="1:6" ht="25">
      <c r="A57" s="59"/>
      <c r="B57" s="10" t="s">
        <v>167</v>
      </c>
      <c r="C57" s="55" t="s">
        <v>67</v>
      </c>
      <c r="D57" s="123">
        <v>12986301</v>
      </c>
      <c r="E57" s="123">
        <v>13019178</v>
      </c>
      <c r="F57" s="123">
        <v>51945205</v>
      </c>
    </row>
    <row r="58" spans="1:6" ht="25">
      <c r="A58" s="59"/>
      <c r="B58" s="10" t="s">
        <v>154</v>
      </c>
      <c r="C58" s="55" t="s">
        <v>68</v>
      </c>
      <c r="D58" s="123">
        <v>0</v>
      </c>
      <c r="E58" s="123">
        <v>0</v>
      </c>
      <c r="F58" s="123">
        <v>0</v>
      </c>
    </row>
    <row r="59" spans="1:6" ht="25">
      <c r="A59" s="59"/>
      <c r="B59" s="10" t="s">
        <v>34</v>
      </c>
      <c r="C59" s="55" t="s">
        <v>69</v>
      </c>
      <c r="D59" s="123">
        <v>3207674</v>
      </c>
      <c r="E59" s="123">
        <v>0</v>
      </c>
      <c r="F59" s="123">
        <v>3207674</v>
      </c>
    </row>
    <row r="60" spans="1:6" ht="137.5">
      <c r="A60" s="50">
        <v>8</v>
      </c>
      <c r="B60" s="60" t="s">
        <v>168</v>
      </c>
      <c r="C60" s="52" t="s">
        <v>70</v>
      </c>
      <c r="D60" s="123">
        <v>3698949</v>
      </c>
      <c r="E60" s="123">
        <v>3822247</v>
      </c>
      <c r="F60" s="123">
        <v>14795796</v>
      </c>
    </row>
    <row r="61" spans="1:6">
      <c r="A61" s="73" t="s">
        <v>188</v>
      </c>
      <c r="B61" s="73" t="s">
        <v>188</v>
      </c>
      <c r="C61" s="73" t="s">
        <v>188</v>
      </c>
      <c r="D61" s="124" t="s">
        <v>188</v>
      </c>
      <c r="E61" s="124" t="s">
        <v>188</v>
      </c>
      <c r="F61" s="124" t="s">
        <v>188</v>
      </c>
    </row>
    <row r="62" spans="1:6" ht="25">
      <c r="A62" s="59"/>
      <c r="B62" s="61" t="s">
        <v>155</v>
      </c>
      <c r="C62" s="55" t="s">
        <v>71</v>
      </c>
      <c r="D62" s="123">
        <v>3698949</v>
      </c>
      <c r="E62" s="123">
        <v>3822247</v>
      </c>
      <c r="F62" s="123">
        <v>14795796</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3809522640</v>
      </c>
      <c r="E67" s="123">
        <v>2505159283</v>
      </c>
      <c r="F67" s="123">
        <v>9235601992</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3799813915</v>
      </c>
      <c r="E69" s="123">
        <v>2499332238</v>
      </c>
      <c r="F69" s="123">
        <v>9208418516</v>
      </c>
    </row>
    <row r="70" spans="1:6" s="17" customFormat="1" ht="25">
      <c r="A70" s="59"/>
      <c r="B70" s="54" t="s">
        <v>36</v>
      </c>
      <c r="C70" s="55" t="s">
        <v>78</v>
      </c>
      <c r="D70" s="123">
        <v>9708725</v>
      </c>
      <c r="E70" s="123">
        <v>5827045</v>
      </c>
      <c r="F70" s="123">
        <v>27183476</v>
      </c>
    </row>
    <row r="71" spans="1:6" ht="25">
      <c r="A71" s="59"/>
      <c r="B71" s="54" t="s">
        <v>37</v>
      </c>
      <c r="C71" s="55" t="s">
        <v>79</v>
      </c>
      <c r="D71" s="123">
        <v>0</v>
      </c>
      <c r="E71" s="123">
        <v>0</v>
      </c>
      <c r="F71" s="123">
        <v>0</v>
      </c>
    </row>
    <row r="72" spans="1:6" ht="25">
      <c r="A72" s="50">
        <v>10</v>
      </c>
      <c r="B72" s="51" t="s">
        <v>198</v>
      </c>
      <c r="C72" s="52" t="s">
        <v>80</v>
      </c>
      <c r="D72" s="123">
        <v>9523688</v>
      </c>
      <c r="E72" s="123">
        <v>9092136</v>
      </c>
      <c r="F72" s="123">
        <v>35430553</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616438</v>
      </c>
      <c r="E76" s="123">
        <v>636986</v>
      </c>
      <c r="F76" s="123">
        <v>2465753</v>
      </c>
    </row>
    <row r="77" spans="1:6" ht="25">
      <c r="A77" s="50"/>
      <c r="B77" s="54" t="s">
        <v>40</v>
      </c>
      <c r="C77" s="55" t="s">
        <v>84</v>
      </c>
      <c r="D77" s="123">
        <v>7807250</v>
      </c>
      <c r="E77" s="123">
        <v>8455150</v>
      </c>
      <c r="F77" s="123">
        <v>31864800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243</v>
      </c>
      <c r="C80" s="55" t="s">
        <v>87</v>
      </c>
      <c r="D80" s="123">
        <v>1100000</v>
      </c>
      <c r="E80" s="123">
        <v>0</v>
      </c>
      <c r="F80" s="123">
        <v>1100000</v>
      </c>
    </row>
    <row r="81" spans="1:6" ht="37.5">
      <c r="A81" s="125" t="s">
        <v>23</v>
      </c>
      <c r="B81" s="120" t="s">
        <v>173</v>
      </c>
      <c r="C81" s="121" t="s">
        <v>88</v>
      </c>
      <c r="D81" s="126">
        <v>-6049987408</v>
      </c>
      <c r="E81" s="126">
        <v>-7351664315</v>
      </c>
      <c r="F81" s="126">
        <v>-24400809732</v>
      </c>
    </row>
    <row r="82" spans="1:6" ht="25">
      <c r="A82" s="125" t="s">
        <v>24</v>
      </c>
      <c r="B82" s="120" t="s">
        <v>157</v>
      </c>
      <c r="C82" s="121" t="s">
        <v>89</v>
      </c>
      <c r="D82" s="126">
        <v>-77914451850</v>
      </c>
      <c r="E82" s="126">
        <v>-67061627700</v>
      </c>
      <c r="F82" s="126">
        <v>-128136216350</v>
      </c>
    </row>
    <row r="83" spans="1:6" ht="50">
      <c r="A83" s="50">
        <v>1</v>
      </c>
      <c r="B83" s="51" t="s">
        <v>199</v>
      </c>
      <c r="C83" s="52" t="s">
        <v>90</v>
      </c>
      <c r="D83" s="123">
        <v>-60437452111</v>
      </c>
      <c r="E83" s="123">
        <v>32921268037</v>
      </c>
      <c r="F83" s="123">
        <v>7327492866</v>
      </c>
    </row>
    <row r="84" spans="1:6" ht="25">
      <c r="A84" s="50">
        <v>2</v>
      </c>
      <c r="B84" s="51" t="s">
        <v>41</v>
      </c>
      <c r="C84" s="52" t="s">
        <v>91</v>
      </c>
      <c r="D84" s="123">
        <v>-17476999739</v>
      </c>
      <c r="E84" s="123">
        <v>-99982895737</v>
      </c>
      <c r="F84" s="123">
        <v>-135463709216</v>
      </c>
    </row>
    <row r="85" spans="1:6" ht="62.5">
      <c r="A85" s="125" t="s">
        <v>25</v>
      </c>
      <c r="B85" s="120" t="s">
        <v>174</v>
      </c>
      <c r="C85" s="121" t="s">
        <v>92</v>
      </c>
      <c r="D85" s="126">
        <v>-83964439258</v>
      </c>
      <c r="E85" s="126">
        <v>-74413292015</v>
      </c>
      <c r="F85" s="126">
        <v>-152537026082</v>
      </c>
    </row>
    <row r="86" spans="1:6" ht="25">
      <c r="A86" s="125" t="s">
        <v>26</v>
      </c>
      <c r="B86" s="120" t="s">
        <v>42</v>
      </c>
      <c r="C86" s="121" t="s">
        <v>93</v>
      </c>
      <c r="D86" s="126">
        <v>2788780000060</v>
      </c>
      <c r="E86" s="126">
        <v>2858311833529</v>
      </c>
      <c r="F86" s="126">
        <v>2864542092297</v>
      </c>
    </row>
    <row r="87" spans="1:6" ht="62.25" customHeight="1">
      <c r="A87" s="125" t="s">
        <v>27</v>
      </c>
      <c r="B87" s="120" t="s">
        <v>237</v>
      </c>
      <c r="C87" s="121" t="s">
        <v>94</v>
      </c>
      <c r="D87" s="126">
        <v>74345058069</v>
      </c>
      <c r="E87" s="126">
        <v>-69531833469</v>
      </c>
      <c r="F87" s="126">
        <v>-1417034168</v>
      </c>
    </row>
    <row r="88" spans="1:6" s="17" customFormat="1" ht="50">
      <c r="A88" s="50">
        <v>1</v>
      </c>
      <c r="B88" s="51" t="s">
        <v>200</v>
      </c>
      <c r="C88" s="52" t="s">
        <v>95</v>
      </c>
      <c r="D88" s="123">
        <v>-83964439258</v>
      </c>
      <c r="E88" s="123">
        <v>-74413292015</v>
      </c>
      <c r="F88" s="123">
        <v>-152537026082</v>
      </c>
    </row>
    <row r="89" spans="1:6" ht="50">
      <c r="A89" s="50">
        <v>2</v>
      </c>
      <c r="B89" s="51" t="s">
        <v>201</v>
      </c>
      <c r="C89" s="52" t="s">
        <v>96</v>
      </c>
      <c r="D89" s="123">
        <v>0</v>
      </c>
      <c r="E89" s="123">
        <v>0</v>
      </c>
      <c r="F89" s="123">
        <v>0</v>
      </c>
    </row>
    <row r="90" spans="1:6" ht="50">
      <c r="A90" s="50">
        <v>3</v>
      </c>
      <c r="B90" s="51" t="s">
        <v>202</v>
      </c>
      <c r="C90" s="52" t="s">
        <v>97</v>
      </c>
      <c r="D90" s="123">
        <v>158309497327</v>
      </c>
      <c r="E90" s="123">
        <v>4881458546</v>
      </c>
      <c r="F90" s="123">
        <v>151119991914</v>
      </c>
    </row>
    <row r="91" spans="1:6" ht="50">
      <c r="A91" s="50"/>
      <c r="B91" s="51" t="s">
        <v>175</v>
      </c>
      <c r="C91" s="52" t="s">
        <v>203</v>
      </c>
      <c r="D91" s="123">
        <v>371044806778</v>
      </c>
      <c r="E91" s="123">
        <v>160614488362</v>
      </c>
      <c r="F91" s="123">
        <v>788883891948</v>
      </c>
    </row>
    <row r="92" spans="1:6" ht="37.5">
      <c r="A92" s="50"/>
      <c r="B92" s="51" t="s">
        <v>176</v>
      </c>
      <c r="C92" s="52" t="s">
        <v>204</v>
      </c>
      <c r="D92" s="123">
        <v>-212735309451</v>
      </c>
      <c r="E92" s="123">
        <v>-155733029816</v>
      </c>
      <c r="F92" s="123">
        <v>-637763900034</v>
      </c>
    </row>
    <row r="93" spans="1:6" s="20" customFormat="1" ht="25">
      <c r="A93" s="119" t="s">
        <v>28</v>
      </c>
      <c r="B93" s="120" t="s">
        <v>43</v>
      </c>
      <c r="C93" s="121" t="s">
        <v>98</v>
      </c>
      <c r="D93" s="126">
        <v>2863125058129</v>
      </c>
      <c r="E93" s="126">
        <v>2788780000060</v>
      </c>
      <c r="F93" s="126">
        <v>2863125058129</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7" customHeight="1"/>
    <row r="97" spans="1:6" ht="17" customHeight="1">
      <c r="A97" s="12" t="s">
        <v>10</v>
      </c>
      <c r="D97" s="12" t="s">
        <v>11</v>
      </c>
    </row>
    <row r="98" spans="1:6" ht="17" customHeight="1">
      <c r="A98" s="13" t="s">
        <v>12</v>
      </c>
      <c r="D98" s="13" t="s">
        <v>13</v>
      </c>
    </row>
    <row r="99" spans="1:6" ht="17" customHeight="1">
      <c r="A99" s="13"/>
      <c r="D99" s="13"/>
    </row>
    <row r="100" spans="1:6" ht="17" customHeight="1">
      <c r="A100" s="13"/>
      <c r="D100" s="13"/>
    </row>
    <row r="101" spans="1:6" ht="17" customHeight="1">
      <c r="A101" s="13"/>
      <c r="D101" s="13"/>
    </row>
    <row r="102" spans="1:6" ht="17" customHeight="1">
      <c r="A102" s="13"/>
      <c r="D102" s="13"/>
    </row>
    <row r="103" spans="1:6" ht="17" customHeight="1"/>
    <row r="104" spans="1:6" ht="17" customHeight="1"/>
    <row r="105" spans="1:6" ht="17" customHeight="1">
      <c r="A105" s="21" t="s">
        <v>14</v>
      </c>
      <c r="B105" s="22"/>
      <c r="D105" s="21" t="s">
        <v>866</v>
      </c>
      <c r="E105" s="22"/>
      <c r="F105" s="22"/>
    </row>
    <row r="106" spans="1:6" ht="17" customHeight="1">
      <c r="A106" s="18" t="s">
        <v>872</v>
      </c>
      <c r="D106" s="18" t="s">
        <v>873</v>
      </c>
    </row>
    <row r="107" spans="1:6" ht="17" customHeight="1">
      <c r="A107" s="9" t="s">
        <v>874</v>
      </c>
      <c r="D107" s="9" t="s">
        <v>875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8"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6"/>
  <sheetViews>
    <sheetView view="pageBreakPreview" topLeftCell="A99" zoomScale="55" zoomScaleNormal="100" zoomScaleSheetLayoutView="55" workbookViewId="0">
      <selection activeCell="E105" sqref="E105"/>
    </sheetView>
  </sheetViews>
  <sheetFormatPr defaultColWidth="8.81640625" defaultRowHeight="12.5"/>
  <cols>
    <col min="1" max="1" width="9" style="9" customWidth="1"/>
    <col min="2" max="2" width="39.81640625" style="9" customWidth="1"/>
    <col min="3" max="3" width="9.1796875" style="9" customWidth="1"/>
    <col min="4" max="7" width="22.54296875" style="9" customWidth="1"/>
    <col min="8" max="16384" width="8.81640625" style="100"/>
  </cols>
  <sheetData>
    <row r="1" spans="1:7" ht="44.25" customHeight="1">
      <c r="A1" s="150" t="s">
        <v>232</v>
      </c>
      <c r="B1" s="150"/>
      <c r="C1" s="150"/>
      <c r="D1" s="150"/>
      <c r="E1" s="150"/>
      <c r="F1" s="150"/>
      <c r="G1" s="150"/>
    </row>
    <row r="2" spans="1:7" ht="59.25" customHeight="1">
      <c r="A2" s="151" t="s">
        <v>233</v>
      </c>
      <c r="B2" s="151"/>
      <c r="C2" s="151"/>
      <c r="D2" s="151"/>
      <c r="E2" s="151"/>
      <c r="F2" s="151"/>
      <c r="G2" s="151"/>
    </row>
    <row r="3" spans="1:7" ht="15" customHeight="1">
      <c r="A3" s="152" t="s">
        <v>183</v>
      </c>
      <c r="B3" s="152"/>
      <c r="C3" s="152"/>
      <c r="D3" s="152"/>
      <c r="E3" s="152"/>
      <c r="F3" s="152"/>
      <c r="G3" s="152"/>
    </row>
    <row r="4" spans="1:7" ht="27.5" customHeight="1">
      <c r="A4" s="152"/>
      <c r="B4" s="152"/>
      <c r="C4" s="152"/>
      <c r="D4" s="152"/>
      <c r="E4" s="152"/>
      <c r="F4" s="152"/>
      <c r="G4" s="152"/>
    </row>
    <row r="5" spans="1:7" ht="17" customHeight="1">
      <c r="A5" s="153" t="str">
        <f>TONGQUAN!C1</f>
        <v>Tại ngày 30 tháng 04 năm 2025
/ As at 30 Apr 2025</v>
      </c>
      <c r="B5" s="153"/>
      <c r="C5" s="153"/>
      <c r="D5" s="153"/>
      <c r="E5" s="153"/>
      <c r="F5" s="153"/>
      <c r="G5" s="153"/>
    </row>
    <row r="6" spans="1:7" ht="17" customHeight="1"/>
    <row r="7" spans="1:7" ht="17" customHeight="1">
      <c r="A7" s="75" t="s">
        <v>2</v>
      </c>
      <c r="C7" s="154" t="str">
        <f>TONGQUAN!D5</f>
        <v>Công ty Cổ phần Quản lý Quỹ Đầu tư Dragon Capital Việt Nam</v>
      </c>
      <c r="D7" s="154"/>
      <c r="E7" s="154"/>
      <c r="F7" s="154"/>
      <c r="G7" s="154"/>
    </row>
    <row r="8" spans="1:7" ht="17" customHeight="1">
      <c r="A8" s="9" t="s">
        <v>15</v>
      </c>
      <c r="C8" s="149" t="str">
        <f>TONGQUAN!D6</f>
        <v>Dragon Capital Vietfund Management Joint Stock Company</v>
      </c>
      <c r="D8" s="149"/>
      <c r="E8" s="149"/>
      <c r="F8" s="149"/>
      <c r="G8" s="149"/>
    </row>
    <row r="9" spans="1:7" ht="17" customHeight="1">
      <c r="A9" s="75" t="s">
        <v>3</v>
      </c>
      <c r="C9" s="154" t="str">
        <f>TONGQUAN!D7</f>
        <v>Ngân hàng TNHH Một thành viên Standard Chartered (Việt Nam)</v>
      </c>
      <c r="D9" s="154"/>
      <c r="E9" s="154"/>
      <c r="F9" s="154"/>
      <c r="G9" s="154"/>
    </row>
    <row r="10" spans="1:7" ht="17" customHeight="1">
      <c r="A10" s="9" t="s">
        <v>4</v>
      </c>
      <c r="C10" s="149" t="str">
        <f>TONGQUAN!D8</f>
        <v>Standard Chartered Bank (Vietnam) Limited</v>
      </c>
      <c r="D10" s="149"/>
      <c r="E10" s="149"/>
      <c r="F10" s="149"/>
      <c r="G10" s="149"/>
    </row>
    <row r="11" spans="1:7" ht="17" customHeight="1">
      <c r="A11" s="75" t="s">
        <v>5</v>
      </c>
      <c r="C11" s="154" t="str">
        <f>TONGQUAN!D9</f>
        <v>Quỹ Đầu tư Chứng khoán Năng động DC</v>
      </c>
      <c r="D11" s="154"/>
      <c r="E11" s="154"/>
      <c r="F11" s="154"/>
      <c r="G11" s="154"/>
    </row>
    <row r="12" spans="1:7" ht="17" customHeight="1">
      <c r="A12" s="9" t="s">
        <v>6</v>
      </c>
      <c r="C12" s="149" t="str">
        <f>TONGQUAN!D10</f>
        <v>DC Dynamic Securities Fund (DCDS)</v>
      </c>
      <c r="D12" s="149"/>
      <c r="E12" s="149"/>
      <c r="F12" s="149"/>
      <c r="G12" s="149"/>
    </row>
    <row r="13" spans="1:7" ht="17" customHeight="1">
      <c r="A13" s="75" t="s">
        <v>7</v>
      </c>
      <c r="C13" s="154" t="str">
        <f>TONGQUAN!D11</f>
        <v>Ngày 06 tháng 05 năm 2025</v>
      </c>
      <c r="D13" s="154"/>
      <c r="E13" s="154"/>
      <c r="F13" s="154"/>
      <c r="G13" s="154"/>
    </row>
    <row r="14" spans="1:7" ht="17" customHeight="1">
      <c r="A14" s="9" t="s">
        <v>8</v>
      </c>
      <c r="C14" s="149" t="str">
        <f>TONGQUAN!D12</f>
        <v>06 May 2025</v>
      </c>
      <c r="D14" s="149"/>
      <c r="E14" s="149"/>
      <c r="F14" s="149"/>
      <c r="G14" s="149"/>
    </row>
    <row r="15" spans="1:7" ht="18" hidden="1" customHeight="1"/>
    <row r="16" spans="1:7" ht="17" customHeight="1">
      <c r="A16" s="69" t="s">
        <v>230</v>
      </c>
      <c r="B16" s="70" t="s">
        <v>231</v>
      </c>
    </row>
    <row r="17" spans="1:7" ht="17" customHeight="1">
      <c r="A17" s="14" t="s">
        <v>23</v>
      </c>
      <c r="B17" s="15" t="s">
        <v>185</v>
      </c>
    </row>
    <row r="18" spans="1:7" ht="75.5" customHeight="1">
      <c r="A18" s="23" t="s">
        <v>143</v>
      </c>
      <c r="B18" s="23" t="s">
        <v>101</v>
      </c>
      <c r="C18" s="23" t="s">
        <v>19</v>
      </c>
      <c r="D18" s="23" t="s">
        <v>102</v>
      </c>
      <c r="E18" s="23" t="s">
        <v>103</v>
      </c>
      <c r="F18" s="23" t="s">
        <v>104</v>
      </c>
      <c r="G18" s="23" t="s">
        <v>105</v>
      </c>
    </row>
    <row r="19" spans="1:7" ht="73.75"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87" customHeight="1">
      <c r="A22" s="136" t="s">
        <v>250</v>
      </c>
      <c r="B22" s="135" t="s">
        <v>251</v>
      </c>
      <c r="C22" s="136" t="s">
        <v>252</v>
      </c>
      <c r="D22" s="138"/>
      <c r="E22" s="138"/>
      <c r="F22" s="138"/>
      <c r="G22" s="137"/>
    </row>
    <row r="23" spans="1:7" ht="39" customHeight="1">
      <c r="A23" s="131"/>
      <c r="B23" s="130"/>
      <c r="C23" s="132"/>
      <c r="D23" s="134"/>
      <c r="E23" s="140"/>
      <c r="F23" s="134"/>
      <c r="G23" s="133"/>
    </row>
    <row r="24" spans="1:7" ht="34" customHeight="1">
      <c r="A24" s="131" t="s">
        <v>253</v>
      </c>
      <c r="B24" s="130" t="s">
        <v>254</v>
      </c>
      <c r="C24" s="132" t="s">
        <v>255</v>
      </c>
      <c r="D24" s="134">
        <v>716835</v>
      </c>
      <c r="E24" s="140">
        <v>24050</v>
      </c>
      <c r="F24" s="134">
        <v>17239881750</v>
      </c>
      <c r="G24" s="133">
        <v>5.8223579974793702E-3</v>
      </c>
    </row>
    <row r="25" spans="1:7" ht="34" customHeight="1">
      <c r="A25" s="131" t="s">
        <v>256</v>
      </c>
      <c r="B25" s="130" t="s">
        <v>257</v>
      </c>
      <c r="C25" s="132" t="s">
        <v>258</v>
      </c>
      <c r="D25" s="134">
        <v>894800</v>
      </c>
      <c r="E25" s="140">
        <v>15050</v>
      </c>
      <c r="F25" s="134">
        <v>13466740000</v>
      </c>
      <c r="G25" s="133">
        <v>4.5480695561601102E-3</v>
      </c>
    </row>
    <row r="26" spans="1:7" ht="34" customHeight="1">
      <c r="A26" s="131" t="s">
        <v>259</v>
      </c>
      <c r="B26" s="130" t="s">
        <v>260</v>
      </c>
      <c r="C26" s="132" t="s">
        <v>261</v>
      </c>
      <c r="D26" s="134">
        <v>568800</v>
      </c>
      <c r="E26" s="140">
        <v>34250</v>
      </c>
      <c r="F26" s="134">
        <v>19481400000</v>
      </c>
      <c r="G26" s="133">
        <v>6.5793772101769002E-3</v>
      </c>
    </row>
    <row r="27" spans="1:7" ht="34" customHeight="1">
      <c r="A27" s="131" t="s">
        <v>262</v>
      </c>
      <c r="B27" s="130" t="s">
        <v>263</v>
      </c>
      <c r="C27" s="132" t="s">
        <v>264</v>
      </c>
      <c r="D27" s="134">
        <v>1607740</v>
      </c>
      <c r="E27" s="140">
        <v>34550</v>
      </c>
      <c r="F27" s="134">
        <v>55547417000</v>
      </c>
      <c r="G27" s="133">
        <v>1.8759812410504E-2</v>
      </c>
    </row>
    <row r="28" spans="1:7" ht="34" customHeight="1">
      <c r="A28" s="131" t="s">
        <v>265</v>
      </c>
      <c r="B28" s="130" t="s">
        <v>266</v>
      </c>
      <c r="C28" s="132" t="s">
        <v>267</v>
      </c>
      <c r="D28" s="134">
        <v>26180</v>
      </c>
      <c r="E28" s="140">
        <v>31450</v>
      </c>
      <c r="F28" s="134">
        <v>823361000</v>
      </c>
      <c r="G28" s="133">
        <v>2.7807049796977902E-4</v>
      </c>
    </row>
    <row r="29" spans="1:7" ht="34" customHeight="1">
      <c r="A29" s="131" t="s">
        <v>268</v>
      </c>
      <c r="B29" s="130" t="s">
        <v>269</v>
      </c>
      <c r="C29" s="132" t="s">
        <v>270</v>
      </c>
      <c r="D29" s="134">
        <v>347100</v>
      </c>
      <c r="E29" s="140">
        <v>80900</v>
      </c>
      <c r="F29" s="134">
        <v>28080390000</v>
      </c>
      <c r="G29" s="133">
        <v>9.4834805516482001E-3</v>
      </c>
    </row>
    <row r="30" spans="1:7" ht="34" customHeight="1">
      <c r="A30" s="131" t="s">
        <v>271</v>
      </c>
      <c r="B30" s="130" t="s">
        <v>272</v>
      </c>
      <c r="C30" s="132" t="s">
        <v>273</v>
      </c>
      <c r="D30" s="134">
        <v>4870026</v>
      </c>
      <c r="E30" s="140">
        <v>37200</v>
      </c>
      <c r="F30" s="134">
        <v>181164967200</v>
      </c>
      <c r="G30" s="133">
        <v>6.1184137509528301E-2</v>
      </c>
    </row>
    <row r="31" spans="1:7" ht="34" customHeight="1">
      <c r="A31" s="131" t="s">
        <v>274</v>
      </c>
      <c r="B31" s="130" t="s">
        <v>275</v>
      </c>
      <c r="C31" s="132" t="s">
        <v>276</v>
      </c>
      <c r="D31" s="134">
        <v>608000</v>
      </c>
      <c r="E31" s="140">
        <v>19800</v>
      </c>
      <c r="F31" s="134">
        <v>12038400000</v>
      </c>
      <c r="G31" s="133">
        <v>4.0656818610055497E-3</v>
      </c>
    </row>
    <row r="32" spans="1:7" ht="34" customHeight="1">
      <c r="A32" s="131" t="s">
        <v>277</v>
      </c>
      <c r="B32" s="130" t="s">
        <v>278</v>
      </c>
      <c r="C32" s="132" t="s">
        <v>279</v>
      </c>
      <c r="D32" s="134">
        <v>1216000</v>
      </c>
      <c r="E32" s="140">
        <v>27450</v>
      </c>
      <c r="F32" s="134">
        <v>33379200000</v>
      </c>
      <c r="G32" s="133">
        <v>1.1273026978242701E-2</v>
      </c>
    </row>
    <row r="33" spans="1:7" ht="34" customHeight="1">
      <c r="A33" s="131" t="s">
        <v>280</v>
      </c>
      <c r="B33" s="130" t="s">
        <v>281</v>
      </c>
      <c r="C33" s="132" t="s">
        <v>282</v>
      </c>
      <c r="D33" s="134">
        <v>868800</v>
      </c>
      <c r="E33" s="140">
        <v>32300</v>
      </c>
      <c r="F33" s="134">
        <v>28062240000</v>
      </c>
      <c r="G33" s="133">
        <v>9.4773508229652106E-3</v>
      </c>
    </row>
    <row r="34" spans="1:7" ht="34" customHeight="1">
      <c r="A34" s="131" t="s">
        <v>283</v>
      </c>
      <c r="B34" s="130" t="s">
        <v>284</v>
      </c>
      <c r="C34" s="132" t="s">
        <v>285</v>
      </c>
      <c r="D34" s="134">
        <v>390100</v>
      </c>
      <c r="E34" s="140">
        <v>91000</v>
      </c>
      <c r="F34" s="134">
        <v>35499100000</v>
      </c>
      <c r="G34" s="133">
        <v>1.19889725338934E-2</v>
      </c>
    </row>
    <row r="35" spans="1:7" ht="34" customHeight="1">
      <c r="A35" s="131" t="s">
        <v>286</v>
      </c>
      <c r="B35" s="130" t="s">
        <v>287</v>
      </c>
      <c r="C35" s="132" t="s">
        <v>288</v>
      </c>
      <c r="D35" s="134">
        <v>440000</v>
      </c>
      <c r="E35" s="140">
        <v>32650</v>
      </c>
      <c r="F35" s="134">
        <v>14366000000</v>
      </c>
      <c r="G35" s="133">
        <v>4.8517731272599103E-3</v>
      </c>
    </row>
    <row r="36" spans="1:7" ht="34" customHeight="1">
      <c r="A36" s="131" t="s">
        <v>289</v>
      </c>
      <c r="B36" s="130" t="s">
        <v>290</v>
      </c>
      <c r="C36" s="132" t="s">
        <v>291</v>
      </c>
      <c r="D36" s="134">
        <v>798800</v>
      </c>
      <c r="E36" s="140">
        <v>51300</v>
      </c>
      <c r="F36" s="134">
        <v>40978440000</v>
      </c>
      <c r="G36" s="133">
        <v>1.3839488653002399E-2</v>
      </c>
    </row>
    <row r="37" spans="1:7" ht="34" customHeight="1">
      <c r="A37" s="131" t="s">
        <v>292</v>
      </c>
      <c r="B37" s="130" t="s">
        <v>293</v>
      </c>
      <c r="C37" s="132" t="s">
        <v>294</v>
      </c>
      <c r="D37" s="134">
        <v>2370083</v>
      </c>
      <c r="E37" s="140">
        <v>15150</v>
      </c>
      <c r="F37" s="134">
        <v>35906757450</v>
      </c>
      <c r="G37" s="133">
        <v>1.21266490938988E-2</v>
      </c>
    </row>
    <row r="38" spans="1:7" ht="34" customHeight="1">
      <c r="A38" s="131" t="s">
        <v>295</v>
      </c>
      <c r="B38" s="130" t="s">
        <v>296</v>
      </c>
      <c r="C38" s="132" t="s">
        <v>297</v>
      </c>
      <c r="D38" s="134">
        <v>1118000</v>
      </c>
      <c r="E38" s="140">
        <v>6440</v>
      </c>
      <c r="F38" s="134">
        <v>7199920000</v>
      </c>
      <c r="G38" s="133">
        <v>2.4316008892121101E-3</v>
      </c>
    </row>
    <row r="39" spans="1:7" ht="34" customHeight="1">
      <c r="A39" s="131" t="s">
        <v>298</v>
      </c>
      <c r="B39" s="130" t="s">
        <v>299</v>
      </c>
      <c r="C39" s="132" t="s">
        <v>300</v>
      </c>
      <c r="D39" s="134">
        <v>2368800</v>
      </c>
      <c r="E39" s="140">
        <v>18950</v>
      </c>
      <c r="F39" s="134">
        <v>44888760000</v>
      </c>
      <c r="G39" s="133">
        <v>1.5160105769457E-2</v>
      </c>
    </row>
    <row r="40" spans="1:7" ht="34" customHeight="1">
      <c r="A40" s="131" t="s">
        <v>301</v>
      </c>
      <c r="B40" s="130" t="s">
        <v>302</v>
      </c>
      <c r="C40" s="132" t="s">
        <v>303</v>
      </c>
      <c r="D40" s="134">
        <v>721600</v>
      </c>
      <c r="E40" s="140">
        <v>21350</v>
      </c>
      <c r="F40" s="134">
        <v>15406160000</v>
      </c>
      <c r="G40" s="133">
        <v>5.2030623056011803E-3</v>
      </c>
    </row>
    <row r="41" spans="1:7" ht="34" customHeight="1">
      <c r="A41" s="131" t="s">
        <v>304</v>
      </c>
      <c r="B41" s="130" t="s">
        <v>305</v>
      </c>
      <c r="C41" s="132" t="s">
        <v>306</v>
      </c>
      <c r="D41" s="134">
        <v>1214271</v>
      </c>
      <c r="E41" s="140">
        <v>109400</v>
      </c>
      <c r="F41" s="134">
        <v>132841247400</v>
      </c>
      <c r="G41" s="133">
        <v>4.4863956169219399E-2</v>
      </c>
    </row>
    <row r="42" spans="1:7" ht="34" customHeight="1">
      <c r="A42" s="131" t="s">
        <v>307</v>
      </c>
      <c r="B42" s="130" t="s">
        <v>308</v>
      </c>
      <c r="C42" s="132" t="s">
        <v>309</v>
      </c>
      <c r="D42" s="134">
        <v>382800</v>
      </c>
      <c r="E42" s="140">
        <v>167800</v>
      </c>
      <c r="F42" s="134">
        <v>64233840000</v>
      </c>
      <c r="G42" s="133">
        <v>2.16934441579224E-2</v>
      </c>
    </row>
    <row r="43" spans="1:7" ht="34" customHeight="1">
      <c r="A43" s="131" t="s">
        <v>310</v>
      </c>
      <c r="B43" s="130" t="s">
        <v>311</v>
      </c>
      <c r="C43" s="132" t="s">
        <v>312</v>
      </c>
      <c r="D43" s="134">
        <v>1102300</v>
      </c>
      <c r="E43" s="140">
        <v>26500</v>
      </c>
      <c r="F43" s="134">
        <v>29210950000</v>
      </c>
      <c r="G43" s="133">
        <v>9.8653001692700099E-3</v>
      </c>
    </row>
    <row r="44" spans="1:7" ht="34" customHeight="1">
      <c r="A44" s="131" t="s">
        <v>313</v>
      </c>
      <c r="B44" s="130" t="s">
        <v>314</v>
      </c>
      <c r="C44" s="132" t="s">
        <v>315</v>
      </c>
      <c r="D44" s="134">
        <v>533100</v>
      </c>
      <c r="E44" s="140">
        <v>53000</v>
      </c>
      <c r="F44" s="134">
        <v>28254300000</v>
      </c>
      <c r="G44" s="133">
        <v>9.54221449739244E-3</v>
      </c>
    </row>
    <row r="45" spans="1:7" ht="34" customHeight="1">
      <c r="A45" s="131" t="s">
        <v>316</v>
      </c>
      <c r="B45" s="130" t="s">
        <v>317</v>
      </c>
      <c r="C45" s="132" t="s">
        <v>318</v>
      </c>
      <c r="D45" s="134">
        <v>337200</v>
      </c>
      <c r="E45" s="140">
        <v>64200</v>
      </c>
      <c r="F45" s="134">
        <v>21648240000</v>
      </c>
      <c r="G45" s="133">
        <v>7.3111756288788202E-3</v>
      </c>
    </row>
    <row r="46" spans="1:7" ht="34" customHeight="1">
      <c r="A46" s="131" t="s">
        <v>319</v>
      </c>
      <c r="B46" s="130" t="s">
        <v>320</v>
      </c>
      <c r="C46" s="132" t="s">
        <v>321</v>
      </c>
      <c r="D46" s="134">
        <v>806500</v>
      </c>
      <c r="E46" s="140">
        <v>21650</v>
      </c>
      <c r="F46" s="134">
        <v>17460725000</v>
      </c>
      <c r="G46" s="133">
        <v>5.8969425266236497E-3</v>
      </c>
    </row>
    <row r="47" spans="1:7" ht="34" customHeight="1">
      <c r="A47" s="131" t="s">
        <v>322</v>
      </c>
      <c r="B47" s="130" t="s">
        <v>323</v>
      </c>
      <c r="C47" s="132" t="s">
        <v>324</v>
      </c>
      <c r="D47" s="134">
        <v>2328800</v>
      </c>
      <c r="E47" s="140">
        <v>23400</v>
      </c>
      <c r="F47" s="134">
        <v>54493920000</v>
      </c>
      <c r="G47" s="133">
        <v>1.8404018979190601E-2</v>
      </c>
    </row>
    <row r="48" spans="1:7" ht="34" customHeight="1">
      <c r="A48" s="131" t="s">
        <v>325</v>
      </c>
      <c r="B48" s="130" t="s">
        <v>326</v>
      </c>
      <c r="C48" s="132" t="s">
        <v>327</v>
      </c>
      <c r="D48" s="134">
        <v>4028000</v>
      </c>
      <c r="E48" s="140">
        <v>11000</v>
      </c>
      <c r="F48" s="134">
        <v>44308000000</v>
      </c>
      <c r="G48" s="133">
        <v>1.49639679606454E-2</v>
      </c>
    </row>
    <row r="49" spans="1:7" ht="34" customHeight="1">
      <c r="A49" s="131" t="s">
        <v>328</v>
      </c>
      <c r="B49" s="130" t="s">
        <v>329</v>
      </c>
      <c r="C49" s="132" t="s">
        <v>330</v>
      </c>
      <c r="D49" s="134">
        <v>5533400</v>
      </c>
      <c r="E49" s="140">
        <v>25500</v>
      </c>
      <c r="F49" s="134">
        <v>141101700000</v>
      </c>
      <c r="G49" s="133">
        <v>4.7653726595481699E-2</v>
      </c>
    </row>
    <row r="50" spans="1:7" ht="34" customHeight="1">
      <c r="A50" s="131" t="s">
        <v>331</v>
      </c>
      <c r="B50" s="130" t="s">
        <v>332</v>
      </c>
      <c r="C50" s="132" t="s">
        <v>333</v>
      </c>
      <c r="D50" s="134">
        <v>974300</v>
      </c>
      <c r="E50" s="140">
        <v>13800</v>
      </c>
      <c r="F50" s="134">
        <v>13445340000</v>
      </c>
      <c r="G50" s="133">
        <v>4.5408422176578603E-3</v>
      </c>
    </row>
    <row r="51" spans="1:7" ht="34" customHeight="1">
      <c r="A51" s="131" t="s">
        <v>334</v>
      </c>
      <c r="B51" s="130" t="s">
        <v>335</v>
      </c>
      <c r="C51" s="132" t="s">
        <v>336</v>
      </c>
      <c r="D51" s="134">
        <v>770000</v>
      </c>
      <c r="E51" s="140">
        <v>31600</v>
      </c>
      <c r="F51" s="134">
        <v>24332000000</v>
      </c>
      <c r="G51" s="133">
        <v>8.2175514222809602E-3</v>
      </c>
    </row>
    <row r="52" spans="1:7" ht="34" customHeight="1">
      <c r="A52" s="131" t="s">
        <v>337</v>
      </c>
      <c r="B52" s="130" t="s">
        <v>338</v>
      </c>
      <c r="C52" s="132" t="s">
        <v>339</v>
      </c>
      <c r="D52" s="134">
        <v>515600</v>
      </c>
      <c r="E52" s="140">
        <v>26350</v>
      </c>
      <c r="F52" s="134">
        <v>13586060000</v>
      </c>
      <c r="G52" s="133">
        <v>4.5883670342016401E-3</v>
      </c>
    </row>
    <row r="53" spans="1:7" ht="34" customHeight="1">
      <c r="A53" s="131" t="s">
        <v>340</v>
      </c>
      <c r="B53" s="130" t="s">
        <v>341</v>
      </c>
      <c r="C53" s="132" t="s">
        <v>342</v>
      </c>
      <c r="D53" s="134">
        <v>5118065</v>
      </c>
      <c r="E53" s="140">
        <v>23550</v>
      </c>
      <c r="F53" s="134">
        <v>120530430750</v>
      </c>
      <c r="G53" s="133">
        <v>4.0706272095914799E-2</v>
      </c>
    </row>
    <row r="54" spans="1:7" ht="34" customHeight="1">
      <c r="A54" s="131" t="s">
        <v>343</v>
      </c>
      <c r="B54" s="130" t="s">
        <v>344</v>
      </c>
      <c r="C54" s="132" t="s">
        <v>345</v>
      </c>
      <c r="D54" s="134">
        <v>1189400</v>
      </c>
      <c r="E54" s="140">
        <v>26800</v>
      </c>
      <c r="F54" s="134">
        <v>31875920000</v>
      </c>
      <c r="G54" s="133">
        <v>1.0765330089286301E-2</v>
      </c>
    </row>
    <row r="55" spans="1:7" ht="34" customHeight="1">
      <c r="A55" s="131" t="s">
        <v>346</v>
      </c>
      <c r="B55" s="130" t="s">
        <v>347</v>
      </c>
      <c r="C55" s="132" t="s">
        <v>348</v>
      </c>
      <c r="D55" s="134">
        <v>804000</v>
      </c>
      <c r="E55" s="140">
        <v>62500</v>
      </c>
      <c r="F55" s="134">
        <v>50250000000</v>
      </c>
      <c r="G55" s="133">
        <v>1.69707364363644E-2</v>
      </c>
    </row>
    <row r="56" spans="1:7" ht="34" customHeight="1">
      <c r="A56" s="131" t="s">
        <v>349</v>
      </c>
      <c r="B56" s="130" t="s">
        <v>350</v>
      </c>
      <c r="C56" s="132" t="s">
        <v>351</v>
      </c>
      <c r="D56" s="134">
        <v>2918600</v>
      </c>
      <c r="E56" s="140">
        <v>60800</v>
      </c>
      <c r="F56" s="134">
        <v>177450880000</v>
      </c>
      <c r="G56" s="133">
        <v>5.9929793330963599E-2</v>
      </c>
    </row>
    <row r="57" spans="1:7" ht="34" customHeight="1">
      <c r="A57" s="131" t="s">
        <v>352</v>
      </c>
      <c r="B57" s="130" t="s">
        <v>353</v>
      </c>
      <c r="C57" s="132" t="s">
        <v>354</v>
      </c>
      <c r="D57" s="134">
        <v>1240800</v>
      </c>
      <c r="E57" s="140">
        <v>15400</v>
      </c>
      <c r="F57" s="134">
        <v>19108320000</v>
      </c>
      <c r="G57" s="133">
        <v>6.4533783574469697E-3</v>
      </c>
    </row>
    <row r="58" spans="1:7" ht="34" customHeight="1">
      <c r="A58" s="131" t="s">
        <v>355</v>
      </c>
      <c r="B58" s="130" t="s">
        <v>356</v>
      </c>
      <c r="C58" s="132" t="s">
        <v>357</v>
      </c>
      <c r="D58" s="134">
        <v>111800</v>
      </c>
      <c r="E58" s="140">
        <v>34500</v>
      </c>
      <c r="F58" s="134">
        <v>3857100000</v>
      </c>
      <c r="G58" s="133">
        <v>1.30264333350649E-3</v>
      </c>
    </row>
    <row r="59" spans="1:7" ht="34" customHeight="1">
      <c r="A59" s="131" t="s">
        <v>358</v>
      </c>
      <c r="B59" s="130" t="s">
        <v>359</v>
      </c>
      <c r="C59" s="132" t="s">
        <v>360</v>
      </c>
      <c r="D59" s="134">
        <v>100900</v>
      </c>
      <c r="E59" s="140">
        <v>71100</v>
      </c>
      <c r="F59" s="134">
        <v>7173990000</v>
      </c>
      <c r="G59" s="133">
        <v>2.4228436514848501E-3</v>
      </c>
    </row>
    <row r="60" spans="1:7" ht="34" customHeight="1">
      <c r="A60" s="131" t="s">
        <v>361</v>
      </c>
      <c r="B60" s="130" t="s">
        <v>362</v>
      </c>
      <c r="C60" s="132" t="s">
        <v>363</v>
      </c>
      <c r="D60" s="134">
        <v>611000</v>
      </c>
      <c r="E60" s="140">
        <v>25600</v>
      </c>
      <c r="F60" s="134">
        <v>15641600000</v>
      </c>
      <c r="G60" s="133">
        <v>5.2825765381698904E-3</v>
      </c>
    </row>
    <row r="61" spans="1:7" ht="34" customHeight="1">
      <c r="A61" s="131" t="s">
        <v>364</v>
      </c>
      <c r="B61" s="130" t="s">
        <v>365</v>
      </c>
      <c r="C61" s="132" t="s">
        <v>366</v>
      </c>
      <c r="D61" s="134">
        <v>424400</v>
      </c>
      <c r="E61" s="140">
        <v>68500</v>
      </c>
      <c r="F61" s="134">
        <v>29071400000</v>
      </c>
      <c r="G61" s="133">
        <v>9.81817049226116E-3</v>
      </c>
    </row>
    <row r="62" spans="1:7" ht="34" customHeight="1">
      <c r="A62" s="131" t="s">
        <v>367</v>
      </c>
      <c r="B62" s="130" t="s">
        <v>368</v>
      </c>
      <c r="C62" s="132" t="s">
        <v>369</v>
      </c>
      <c r="D62" s="134">
        <v>254800</v>
      </c>
      <c r="E62" s="140">
        <v>63500</v>
      </c>
      <c r="F62" s="134">
        <v>16179800000</v>
      </c>
      <c r="G62" s="133">
        <v>5.4643407242405597E-3</v>
      </c>
    </row>
    <row r="63" spans="1:7" ht="34" customHeight="1">
      <c r="A63" s="131" t="s">
        <v>370</v>
      </c>
      <c r="B63" s="130" t="s">
        <v>371</v>
      </c>
      <c r="C63" s="132" t="s">
        <v>372</v>
      </c>
      <c r="D63" s="134">
        <v>4578000</v>
      </c>
      <c r="E63" s="140">
        <v>39100</v>
      </c>
      <c r="F63" s="134">
        <v>178999800000</v>
      </c>
      <c r="G63" s="133">
        <v>6.0452904039043499E-2</v>
      </c>
    </row>
    <row r="64" spans="1:7" ht="34" customHeight="1">
      <c r="A64" s="131" t="s">
        <v>373</v>
      </c>
      <c r="B64" s="130" t="s">
        <v>374</v>
      </c>
      <c r="C64" s="132" t="s">
        <v>375</v>
      </c>
      <c r="D64" s="134">
        <v>7226900</v>
      </c>
      <c r="E64" s="140">
        <v>26300</v>
      </c>
      <c r="F64" s="134">
        <v>190067470000</v>
      </c>
      <c r="G64" s="133">
        <v>6.41907450447083E-2</v>
      </c>
    </row>
    <row r="65" spans="1:7" ht="34" customHeight="1">
      <c r="A65" s="131" t="s">
        <v>376</v>
      </c>
      <c r="B65" s="130" t="s">
        <v>377</v>
      </c>
      <c r="C65" s="132" t="s">
        <v>378</v>
      </c>
      <c r="D65" s="134">
        <v>1206600</v>
      </c>
      <c r="E65" s="140">
        <v>17200</v>
      </c>
      <c r="F65" s="134">
        <v>20753520000</v>
      </c>
      <c r="G65" s="133">
        <v>7.0090053342650102E-3</v>
      </c>
    </row>
    <row r="66" spans="1:7" ht="34" customHeight="1">
      <c r="A66" s="131" t="s">
        <v>379</v>
      </c>
      <c r="B66" s="130" t="s">
        <v>380</v>
      </c>
      <c r="C66" s="132" t="s">
        <v>381</v>
      </c>
      <c r="D66" s="134">
        <v>534800</v>
      </c>
      <c r="E66" s="140">
        <v>30850</v>
      </c>
      <c r="F66" s="134">
        <v>16498580000</v>
      </c>
      <c r="G66" s="133">
        <v>5.5720010498362697E-3</v>
      </c>
    </row>
    <row r="67" spans="1:7" ht="34" customHeight="1">
      <c r="A67" s="131" t="s">
        <v>382</v>
      </c>
      <c r="B67" s="130" t="s">
        <v>383</v>
      </c>
      <c r="C67" s="132" t="s">
        <v>384</v>
      </c>
      <c r="D67" s="134">
        <v>287100</v>
      </c>
      <c r="E67" s="140">
        <v>57300</v>
      </c>
      <c r="F67" s="134">
        <v>16450830000</v>
      </c>
      <c r="G67" s="133">
        <v>5.5558746286454999E-3</v>
      </c>
    </row>
    <row r="68" spans="1:7" ht="34" customHeight="1">
      <c r="A68" s="131" t="s">
        <v>385</v>
      </c>
      <c r="B68" s="130" t="s">
        <v>386</v>
      </c>
      <c r="C68" s="132" t="s">
        <v>387</v>
      </c>
      <c r="D68" s="134">
        <v>1674000</v>
      </c>
      <c r="E68" s="140">
        <v>21300</v>
      </c>
      <c r="F68" s="134">
        <v>35656200000</v>
      </c>
      <c r="G68" s="133">
        <v>1.20420293039263E-2</v>
      </c>
    </row>
    <row r="69" spans="1:7" ht="34" customHeight="1">
      <c r="A69" s="131" t="s">
        <v>388</v>
      </c>
      <c r="B69" s="130" t="s">
        <v>389</v>
      </c>
      <c r="C69" s="132" t="s">
        <v>390</v>
      </c>
      <c r="D69" s="134">
        <v>666800</v>
      </c>
      <c r="E69" s="140">
        <v>38900</v>
      </c>
      <c r="F69" s="134">
        <v>25938520000</v>
      </c>
      <c r="G69" s="133">
        <v>8.7601151536192308E-3</v>
      </c>
    </row>
    <row r="70" spans="1:7" ht="34" customHeight="1">
      <c r="A70" s="131" t="s">
        <v>391</v>
      </c>
      <c r="B70" s="130" t="s">
        <v>392</v>
      </c>
      <c r="C70" s="132" t="s">
        <v>393</v>
      </c>
      <c r="D70" s="134">
        <v>226000</v>
      </c>
      <c r="E70" s="140">
        <v>39300</v>
      </c>
      <c r="F70" s="134">
        <v>8881800000</v>
      </c>
      <c r="G70" s="133">
        <v>2.9996156593134499E-3</v>
      </c>
    </row>
    <row r="71" spans="1:7" ht="34" customHeight="1">
      <c r="A71" s="131" t="s">
        <v>394</v>
      </c>
      <c r="B71" s="130" t="s">
        <v>395</v>
      </c>
      <c r="C71" s="132" t="s">
        <v>396</v>
      </c>
      <c r="D71" s="134">
        <v>481600</v>
      </c>
      <c r="E71" s="140">
        <v>49700</v>
      </c>
      <c r="F71" s="134">
        <v>23935520000</v>
      </c>
      <c r="G71" s="133">
        <v>8.0836497788523004E-3</v>
      </c>
    </row>
    <row r="72" spans="1:7" ht="34" customHeight="1">
      <c r="A72" s="131" t="s">
        <v>397</v>
      </c>
      <c r="B72" s="130" t="s">
        <v>398</v>
      </c>
      <c r="C72" s="132" t="s">
        <v>399</v>
      </c>
      <c r="D72" s="134">
        <v>1779800</v>
      </c>
      <c r="E72" s="140">
        <v>58400</v>
      </c>
      <c r="F72" s="134">
        <v>103940320000</v>
      </c>
      <c r="G72" s="133">
        <v>3.5103358723012401E-2</v>
      </c>
    </row>
    <row r="73" spans="1:7" ht="34" customHeight="1">
      <c r="A73" s="131" t="s">
        <v>400</v>
      </c>
      <c r="B73" s="130" t="s">
        <v>401</v>
      </c>
      <c r="C73" s="132" t="s">
        <v>402</v>
      </c>
      <c r="D73" s="134">
        <v>2838400</v>
      </c>
      <c r="E73" s="140">
        <v>17350</v>
      </c>
      <c r="F73" s="134">
        <v>49246240000</v>
      </c>
      <c r="G73" s="133">
        <v>1.6631740487998901E-2</v>
      </c>
    </row>
    <row r="74" spans="1:7" ht="34" customHeight="1">
      <c r="A74" s="131" t="s">
        <v>403</v>
      </c>
      <c r="B74" s="130" t="s">
        <v>404</v>
      </c>
      <c r="C74" s="132" t="s">
        <v>405</v>
      </c>
      <c r="D74" s="134">
        <v>2235200</v>
      </c>
      <c r="E74" s="140">
        <v>68000</v>
      </c>
      <c r="F74" s="134">
        <v>151993600000</v>
      </c>
      <c r="G74" s="133">
        <v>5.1332205484859499E-2</v>
      </c>
    </row>
    <row r="75" spans="1:7" ht="34" customHeight="1">
      <c r="A75" s="131" t="s">
        <v>406</v>
      </c>
      <c r="B75" s="130" t="s">
        <v>407</v>
      </c>
      <c r="C75" s="132" t="s">
        <v>408</v>
      </c>
      <c r="D75" s="134">
        <v>3591800</v>
      </c>
      <c r="E75" s="140">
        <v>11950</v>
      </c>
      <c r="F75" s="134">
        <v>42922010000</v>
      </c>
      <c r="G75" s="133">
        <v>1.4495882965751199E-2</v>
      </c>
    </row>
    <row r="76" spans="1:7" ht="34" customHeight="1">
      <c r="A76" s="131" t="s">
        <v>409</v>
      </c>
      <c r="B76" s="130" t="s">
        <v>410</v>
      </c>
      <c r="C76" s="132" t="s">
        <v>411</v>
      </c>
      <c r="D76" s="134">
        <v>2329800</v>
      </c>
      <c r="E76" s="140">
        <v>14600</v>
      </c>
      <c r="F76" s="134">
        <v>34015080000</v>
      </c>
      <c r="G76" s="133">
        <v>1.1487780249589E-2</v>
      </c>
    </row>
    <row r="77" spans="1:7" ht="34" customHeight="1">
      <c r="A77" s="131" t="s">
        <v>412</v>
      </c>
      <c r="B77" s="130" t="s">
        <v>413</v>
      </c>
      <c r="C77" s="132" t="s">
        <v>414</v>
      </c>
      <c r="D77" s="134">
        <v>5268800</v>
      </c>
      <c r="E77" s="140">
        <v>23650</v>
      </c>
      <c r="F77" s="134">
        <v>124607120000</v>
      </c>
      <c r="G77" s="133">
        <v>4.2083076450038399E-2</v>
      </c>
    </row>
    <row r="78" spans="1:7" ht="39" customHeight="1">
      <c r="A78" s="136"/>
      <c r="B78" s="135" t="s">
        <v>415</v>
      </c>
      <c r="C78" s="136" t="s">
        <v>416</v>
      </c>
      <c r="D78" s="138"/>
      <c r="E78" s="138"/>
      <c r="F78" s="138">
        <v>2663491507550</v>
      </c>
      <c r="G78" s="137">
        <v>0.89953059452986805</v>
      </c>
    </row>
    <row r="79" spans="1:7" ht="93.65" customHeight="1">
      <c r="A79" s="136" t="s">
        <v>417</v>
      </c>
      <c r="B79" s="135" t="s">
        <v>418</v>
      </c>
      <c r="C79" s="136" t="s">
        <v>419</v>
      </c>
      <c r="D79" s="138"/>
      <c r="E79" s="138"/>
      <c r="F79" s="138"/>
      <c r="G79" s="137"/>
    </row>
    <row r="80" spans="1:7" ht="93.65" customHeight="1">
      <c r="A80" s="131"/>
      <c r="B80" s="130"/>
      <c r="C80" s="132"/>
      <c r="D80" s="134"/>
      <c r="E80" s="140"/>
      <c r="F80" s="134"/>
      <c r="G80" s="133"/>
    </row>
    <row r="81" spans="1:7" ht="39" customHeight="1">
      <c r="A81" s="136"/>
      <c r="B81" s="135" t="s">
        <v>420</v>
      </c>
      <c r="C81" s="136" t="s">
        <v>421</v>
      </c>
      <c r="D81" s="138"/>
      <c r="E81" s="138"/>
      <c r="F81" s="138">
        <v>0</v>
      </c>
      <c r="G81" s="137">
        <v>0</v>
      </c>
    </row>
    <row r="82" spans="1:7" ht="39" customHeight="1">
      <c r="A82" s="136" t="s">
        <v>422</v>
      </c>
      <c r="B82" s="135" t="s">
        <v>423</v>
      </c>
      <c r="C82" s="136" t="s">
        <v>424</v>
      </c>
      <c r="D82" s="138"/>
      <c r="E82" s="138"/>
      <c r="F82" s="138"/>
      <c r="G82" s="137"/>
    </row>
    <row r="83" spans="1:7" ht="39" customHeight="1">
      <c r="A83" s="131"/>
      <c r="B83" s="130"/>
      <c r="C83" s="132"/>
      <c r="D83" s="134"/>
      <c r="E83" s="140"/>
      <c r="F83" s="134"/>
      <c r="G83" s="133"/>
    </row>
    <row r="84" spans="1:7" ht="39" customHeight="1">
      <c r="A84" s="131" t="s">
        <v>425</v>
      </c>
      <c r="B84" s="130" t="s">
        <v>426</v>
      </c>
      <c r="C84" s="132" t="s">
        <v>427</v>
      </c>
      <c r="D84" s="134"/>
      <c r="E84" s="140"/>
      <c r="F84" s="134">
        <v>0</v>
      </c>
      <c r="G84" s="133">
        <v>0</v>
      </c>
    </row>
    <row r="85" spans="1:7" ht="39" customHeight="1">
      <c r="A85" s="131" t="s">
        <v>428</v>
      </c>
      <c r="B85" s="130" t="s">
        <v>429</v>
      </c>
      <c r="C85" s="132" t="s">
        <v>430</v>
      </c>
      <c r="D85" s="134"/>
      <c r="E85" s="140"/>
      <c r="F85" s="134">
        <v>0</v>
      </c>
      <c r="G85" s="133">
        <v>0</v>
      </c>
    </row>
    <row r="86" spans="1:7" ht="39" customHeight="1">
      <c r="A86" s="136"/>
      <c r="B86" s="135" t="s">
        <v>431</v>
      </c>
      <c r="C86" s="136" t="s">
        <v>432</v>
      </c>
      <c r="D86" s="138"/>
      <c r="E86" s="138"/>
      <c r="F86" s="138">
        <v>0</v>
      </c>
      <c r="G86" s="137">
        <v>0</v>
      </c>
    </row>
    <row r="87" spans="1:7" ht="39" customHeight="1">
      <c r="A87" s="136" t="s">
        <v>433</v>
      </c>
      <c r="B87" s="135" t="s">
        <v>434</v>
      </c>
      <c r="C87" s="136" t="s">
        <v>435</v>
      </c>
      <c r="D87" s="138"/>
      <c r="E87" s="138"/>
      <c r="F87" s="138"/>
      <c r="G87" s="137"/>
    </row>
    <row r="88" spans="1:7" ht="39" customHeight="1">
      <c r="A88" s="131"/>
      <c r="B88" s="130"/>
      <c r="C88" s="132"/>
      <c r="D88" s="134"/>
      <c r="E88" s="140"/>
      <c r="F88" s="134"/>
      <c r="G88" s="133"/>
    </row>
    <row r="89" spans="1:7" ht="39" customHeight="1">
      <c r="A89" s="131" t="s">
        <v>436</v>
      </c>
      <c r="B89" s="130" t="s">
        <v>437</v>
      </c>
      <c r="C89" s="132" t="s">
        <v>438</v>
      </c>
      <c r="D89" s="134"/>
      <c r="E89" s="140"/>
      <c r="F89" s="134">
        <v>0</v>
      </c>
      <c r="G89" s="133">
        <v>0</v>
      </c>
    </row>
    <row r="90" spans="1:7" ht="39" customHeight="1">
      <c r="A90" s="131" t="s">
        <v>439</v>
      </c>
      <c r="B90" s="130" t="s">
        <v>440</v>
      </c>
      <c r="C90" s="132" t="s">
        <v>441</v>
      </c>
      <c r="D90" s="134"/>
      <c r="E90" s="140"/>
      <c r="F90" s="134">
        <v>0</v>
      </c>
      <c r="G90" s="133">
        <v>0</v>
      </c>
    </row>
    <row r="91" spans="1:7" ht="34" customHeight="1">
      <c r="A91" s="136"/>
      <c r="B91" s="135" t="s">
        <v>442</v>
      </c>
      <c r="C91" s="136" t="s">
        <v>443</v>
      </c>
      <c r="D91" s="138"/>
      <c r="E91" s="138"/>
      <c r="F91" s="138">
        <v>0</v>
      </c>
      <c r="G91" s="137">
        <v>0</v>
      </c>
    </row>
    <row r="92" spans="1:7" ht="39" customHeight="1">
      <c r="A92" s="136"/>
      <c r="B92" s="135" t="s">
        <v>444</v>
      </c>
      <c r="C92" s="136" t="s">
        <v>445</v>
      </c>
      <c r="D92" s="138"/>
      <c r="E92" s="138"/>
      <c r="F92" s="138">
        <v>2663491507550</v>
      </c>
      <c r="G92" s="137">
        <v>0.89953059452986805</v>
      </c>
    </row>
    <row r="93" spans="1:7" ht="39" customHeight="1">
      <c r="A93" s="136" t="s">
        <v>446</v>
      </c>
      <c r="B93" s="135" t="s">
        <v>447</v>
      </c>
      <c r="C93" s="136" t="s">
        <v>448</v>
      </c>
      <c r="D93" s="138"/>
      <c r="E93" s="138"/>
      <c r="F93" s="138"/>
      <c r="G93" s="137"/>
    </row>
    <row r="94" spans="1:7" ht="39" customHeight="1">
      <c r="A94" s="131"/>
      <c r="B94" s="130"/>
      <c r="C94" s="132"/>
      <c r="D94" s="134"/>
      <c r="E94" s="140"/>
      <c r="F94" s="134"/>
      <c r="G94" s="133"/>
    </row>
    <row r="95" spans="1:7" ht="39" customHeight="1">
      <c r="A95" s="131" t="s">
        <v>449</v>
      </c>
      <c r="B95" s="130" t="s">
        <v>450</v>
      </c>
      <c r="C95" s="132" t="s">
        <v>451</v>
      </c>
      <c r="D95" s="134"/>
      <c r="E95" s="140"/>
      <c r="F95" s="134">
        <v>3775460000</v>
      </c>
      <c r="G95" s="133">
        <v>1.27507137484649E-3</v>
      </c>
    </row>
    <row r="96" spans="1:7" ht="39" customHeight="1">
      <c r="A96" s="131" t="s">
        <v>452</v>
      </c>
      <c r="B96" s="130" t="s">
        <v>453</v>
      </c>
      <c r="C96" s="132" t="s">
        <v>454</v>
      </c>
      <c r="D96" s="134"/>
      <c r="E96" s="140"/>
      <c r="F96" s="134">
        <v>0</v>
      </c>
      <c r="G96" s="133">
        <v>0</v>
      </c>
    </row>
    <row r="97" spans="1:7" ht="64.25" customHeight="1">
      <c r="A97" s="131" t="s">
        <v>455</v>
      </c>
      <c r="B97" s="130" t="s">
        <v>456</v>
      </c>
      <c r="C97" s="132" t="s">
        <v>457</v>
      </c>
      <c r="D97" s="134"/>
      <c r="E97" s="140"/>
      <c r="F97" s="134">
        <v>0</v>
      </c>
      <c r="G97" s="133">
        <v>0</v>
      </c>
    </row>
    <row r="98" spans="1:7" ht="45" customHeight="1">
      <c r="A98" s="131" t="s">
        <v>458</v>
      </c>
      <c r="B98" s="130" t="s">
        <v>459</v>
      </c>
      <c r="C98" s="132" t="s">
        <v>460</v>
      </c>
      <c r="D98" s="134"/>
      <c r="E98" s="140"/>
      <c r="F98" s="134">
        <v>133872837900</v>
      </c>
      <c r="G98" s="133">
        <v>4.5212351203761797E-2</v>
      </c>
    </row>
    <row r="99" spans="1:7" ht="57" customHeight="1">
      <c r="A99" s="131" t="s">
        <v>461</v>
      </c>
      <c r="B99" s="130" t="s">
        <v>462</v>
      </c>
      <c r="C99" s="132" t="s">
        <v>463</v>
      </c>
      <c r="D99" s="134"/>
      <c r="E99" s="140"/>
      <c r="F99" s="134">
        <v>0</v>
      </c>
      <c r="G99" s="133">
        <v>0</v>
      </c>
    </row>
    <row r="100" spans="1:7" ht="39" customHeight="1">
      <c r="A100" s="131" t="s">
        <v>464</v>
      </c>
      <c r="B100" s="130" t="s">
        <v>465</v>
      </c>
      <c r="C100" s="132" t="s">
        <v>466</v>
      </c>
      <c r="D100" s="134"/>
      <c r="E100" s="140"/>
      <c r="F100" s="134">
        <v>-866400000</v>
      </c>
      <c r="G100" s="133">
        <v>-2.9260589151176299E-4</v>
      </c>
    </row>
    <row r="101" spans="1:7" ht="39" customHeight="1">
      <c r="A101" s="131" t="s">
        <v>467</v>
      </c>
      <c r="B101" s="130" t="s">
        <v>468</v>
      </c>
      <c r="C101" s="132" t="s">
        <v>469</v>
      </c>
      <c r="D101" s="134"/>
      <c r="E101" s="140"/>
      <c r="F101" s="134">
        <v>46228246</v>
      </c>
      <c r="G101" s="133">
        <v>1.5612485149878901E-5</v>
      </c>
    </row>
    <row r="102" spans="1:7" ht="39" customHeight="1">
      <c r="A102" s="136"/>
      <c r="B102" s="135" t="s">
        <v>470</v>
      </c>
      <c r="C102" s="136" t="s">
        <v>471</v>
      </c>
      <c r="D102" s="138"/>
      <c r="E102" s="138"/>
      <c r="F102" s="138">
        <v>136828126146</v>
      </c>
      <c r="G102" s="137">
        <v>4.6210429172246402E-2</v>
      </c>
    </row>
    <row r="103" spans="1:7" ht="39" customHeight="1">
      <c r="A103" s="136" t="s">
        <v>472</v>
      </c>
      <c r="B103" s="135" t="s">
        <v>473</v>
      </c>
      <c r="C103" s="136" t="s">
        <v>474</v>
      </c>
      <c r="D103" s="138"/>
      <c r="E103" s="138"/>
      <c r="F103" s="138"/>
      <c r="G103" s="137"/>
    </row>
    <row r="104" spans="1:7" ht="39" customHeight="1">
      <c r="A104" s="131" t="s">
        <v>475</v>
      </c>
      <c r="B104" s="130" t="s">
        <v>476</v>
      </c>
      <c r="C104" s="132" t="s">
        <v>477</v>
      </c>
      <c r="D104" s="134"/>
      <c r="E104" s="140"/>
      <c r="F104" s="134">
        <v>160659707915</v>
      </c>
      <c r="G104" s="133">
        <v>5.4258976297885501E-2</v>
      </c>
    </row>
    <row r="105" spans="1:7" ht="39" customHeight="1">
      <c r="A105" s="131"/>
      <c r="B105" s="130"/>
      <c r="C105" s="132"/>
      <c r="D105" s="134"/>
      <c r="E105" s="140"/>
      <c r="F105" s="134"/>
      <c r="G105" s="133"/>
    </row>
    <row r="106" spans="1:7" ht="39" customHeight="1">
      <c r="A106" s="131" t="s">
        <v>478</v>
      </c>
      <c r="B106" s="130" t="s">
        <v>479</v>
      </c>
      <c r="C106" s="132" t="s">
        <v>480</v>
      </c>
      <c r="D106" s="134"/>
      <c r="E106" s="140"/>
      <c r="F106" s="134">
        <v>160659707915</v>
      </c>
      <c r="G106" s="133">
        <v>5.4258976297885501E-2</v>
      </c>
    </row>
    <row r="107" spans="1:7" ht="39" customHeight="1">
      <c r="A107" s="131" t="s">
        <v>481</v>
      </c>
      <c r="B107" s="130" t="s">
        <v>482</v>
      </c>
      <c r="C107" s="132" t="s">
        <v>483</v>
      </c>
      <c r="D107" s="134"/>
      <c r="E107" s="140"/>
      <c r="F107" s="134">
        <v>0</v>
      </c>
      <c r="G107" s="133">
        <v>0</v>
      </c>
    </row>
    <row r="108" spans="1:7" ht="39" customHeight="1">
      <c r="A108" s="131" t="s">
        <v>484</v>
      </c>
      <c r="B108" s="130" t="s">
        <v>485</v>
      </c>
      <c r="C108" s="132" t="s">
        <v>486</v>
      </c>
      <c r="D108" s="134"/>
      <c r="E108" s="140"/>
      <c r="F108" s="134">
        <v>0</v>
      </c>
      <c r="G108" s="133">
        <v>0</v>
      </c>
    </row>
    <row r="109" spans="1:7" ht="39" customHeight="1">
      <c r="A109" s="131"/>
      <c r="B109" s="130"/>
      <c r="C109" s="132"/>
      <c r="D109" s="134"/>
      <c r="E109" s="140"/>
      <c r="F109" s="134"/>
      <c r="G109" s="133"/>
    </row>
    <row r="110" spans="1:7" ht="39" customHeight="1">
      <c r="A110" s="131" t="s">
        <v>487</v>
      </c>
      <c r="B110" s="130" t="s">
        <v>488</v>
      </c>
      <c r="C110" s="132" t="s">
        <v>489</v>
      </c>
      <c r="D110" s="134"/>
      <c r="E110" s="140"/>
      <c r="F110" s="134">
        <v>0</v>
      </c>
      <c r="G110" s="133">
        <v>0</v>
      </c>
    </row>
    <row r="111" spans="1:7" ht="39" customHeight="1">
      <c r="A111" s="136"/>
      <c r="B111" s="135" t="s">
        <v>490</v>
      </c>
      <c r="C111" s="136" t="s">
        <v>491</v>
      </c>
      <c r="D111" s="138"/>
      <c r="E111" s="138"/>
      <c r="F111" s="138">
        <v>160659707915</v>
      </c>
      <c r="G111" s="137">
        <v>5.4258976297885501E-2</v>
      </c>
    </row>
    <row r="112" spans="1:7" ht="39" customHeight="1">
      <c r="A112" s="136" t="s">
        <v>492</v>
      </c>
      <c r="B112" s="135" t="s">
        <v>493</v>
      </c>
      <c r="C112" s="136" t="s">
        <v>494</v>
      </c>
      <c r="D112" s="138"/>
      <c r="E112" s="138"/>
      <c r="F112" s="138">
        <v>2960979341611</v>
      </c>
      <c r="G112" s="137">
        <v>1</v>
      </c>
    </row>
    <row r="113" spans="1:7" ht="17" customHeight="1">
      <c r="A113" s="31"/>
      <c r="E113" s="12"/>
    </row>
    <row r="114" spans="1:7" ht="17" customHeight="1">
      <c r="A114" s="12" t="s">
        <v>10</v>
      </c>
      <c r="E114" s="12" t="s">
        <v>11</v>
      </c>
    </row>
    <row r="115" spans="1:7" ht="17" customHeight="1">
      <c r="A115" s="13" t="s">
        <v>12</v>
      </c>
      <c r="E115" s="13" t="s">
        <v>13</v>
      </c>
    </row>
    <row r="116" spans="1:7" ht="17" customHeight="1"/>
    <row r="117" spans="1:7" ht="17" customHeight="1">
      <c r="A117" s="18"/>
      <c r="E117" s="18"/>
    </row>
    <row r="118" spans="1:7" ht="17" customHeight="1"/>
    <row r="119" spans="1:7" ht="17" customHeight="1"/>
    <row r="120" spans="1:7" ht="17" customHeight="1"/>
    <row r="121" spans="1:7" ht="17" customHeight="1"/>
    <row r="122" spans="1:7" ht="17" customHeight="1"/>
    <row r="123" spans="1:7" ht="17" customHeight="1"/>
    <row r="124" spans="1:7" ht="17" customHeight="1">
      <c r="A124" s="24" t="s">
        <v>14</v>
      </c>
      <c r="B124" s="22"/>
      <c r="C124" s="22"/>
      <c r="E124" s="24" t="s">
        <v>866</v>
      </c>
      <c r="F124" s="22"/>
      <c r="G124" s="22"/>
    </row>
    <row r="125" spans="1:7" ht="17" customHeight="1">
      <c r="A125" s="25" t="s">
        <v>872</v>
      </c>
      <c r="E125" s="25" t="s">
        <v>873</v>
      </c>
    </row>
    <row r="126" spans="1:7" ht="17" customHeight="1">
      <c r="A126" s="26" t="s">
        <v>874</v>
      </c>
      <c r="E126" s="26" t="s">
        <v>875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9" zoomScale="70" zoomScaleNormal="85" zoomScaleSheetLayoutView="7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179687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55" t="s">
        <v>232</v>
      </c>
      <c r="B1" s="155"/>
      <c r="C1" s="155"/>
      <c r="D1" s="155"/>
      <c r="E1" s="155"/>
      <c r="F1" s="155"/>
      <c r="G1" s="155"/>
      <c r="H1" s="155"/>
      <c r="I1" s="155"/>
      <c r="J1" s="155"/>
    </row>
    <row r="2" spans="1:10" ht="49" customHeight="1">
      <c r="A2" s="156" t="s">
        <v>234</v>
      </c>
      <c r="B2" s="156"/>
      <c r="C2" s="156"/>
      <c r="D2" s="156"/>
      <c r="E2" s="156"/>
      <c r="F2" s="156"/>
      <c r="G2" s="156"/>
      <c r="H2" s="156"/>
      <c r="I2" s="156"/>
      <c r="J2" s="156"/>
    </row>
    <row r="3" spans="1:10" ht="19.25" customHeight="1">
      <c r="A3" s="157" t="s">
        <v>183</v>
      </c>
      <c r="B3" s="157"/>
      <c r="C3" s="157"/>
      <c r="D3" s="157"/>
      <c r="E3" s="157"/>
      <c r="F3" s="157"/>
      <c r="G3" s="157"/>
      <c r="H3" s="157"/>
      <c r="I3" s="157"/>
      <c r="J3" s="157"/>
    </row>
    <row r="4" spans="1:10" ht="21.65" customHeight="1">
      <c r="A4" s="157"/>
      <c r="B4" s="157"/>
      <c r="C4" s="157"/>
      <c r="D4" s="157"/>
      <c r="E4" s="157"/>
      <c r="F4" s="157"/>
      <c r="G4" s="157"/>
      <c r="H4" s="157"/>
      <c r="I4" s="157"/>
      <c r="J4" s="157"/>
    </row>
    <row r="5" spans="1:10">
      <c r="A5" s="158" t="s">
        <v>865</v>
      </c>
      <c r="B5" s="158"/>
      <c r="C5" s="158"/>
      <c r="D5" s="158"/>
      <c r="E5" s="158"/>
      <c r="F5" s="158"/>
      <c r="G5" s="158"/>
      <c r="H5" s="158"/>
      <c r="I5" s="158"/>
      <c r="J5" s="158"/>
    </row>
    <row r="6" spans="1:10">
      <c r="A6" s="105"/>
      <c r="B6" s="105"/>
      <c r="C6" s="105"/>
      <c r="D6" s="105"/>
      <c r="E6" s="105"/>
      <c r="F6" s="32"/>
      <c r="G6" s="111"/>
      <c r="H6" s="111"/>
      <c r="I6" s="111"/>
      <c r="J6" s="111"/>
    </row>
    <row r="7" spans="1:10">
      <c r="A7" s="159" t="s">
        <v>2</v>
      </c>
      <c r="B7" s="160"/>
      <c r="C7" s="111"/>
      <c r="D7" s="111"/>
      <c r="E7" s="111"/>
      <c r="F7" s="111"/>
      <c r="G7" s="161" t="s">
        <v>866</v>
      </c>
      <c r="H7" s="161"/>
      <c r="I7" s="161"/>
      <c r="J7" s="161"/>
    </row>
    <row r="8" spans="1:10" ht="15" customHeight="1">
      <c r="A8" s="162" t="s">
        <v>15</v>
      </c>
      <c r="B8" s="162"/>
      <c r="C8" s="111"/>
      <c r="D8" s="111"/>
      <c r="E8" s="111"/>
      <c r="F8" s="111"/>
      <c r="G8" s="163" t="s">
        <v>867</v>
      </c>
      <c r="H8" s="163"/>
      <c r="I8" s="163"/>
      <c r="J8" s="163"/>
    </row>
    <row r="9" spans="1:10">
      <c r="A9" s="164" t="s">
        <v>3</v>
      </c>
      <c r="B9" s="165"/>
      <c r="C9" s="111"/>
      <c r="D9" s="111"/>
      <c r="E9" s="111"/>
      <c r="F9" s="111"/>
      <c r="G9" s="166" t="s">
        <v>868</v>
      </c>
      <c r="H9" s="166"/>
      <c r="I9" s="166"/>
      <c r="J9" s="166"/>
    </row>
    <row r="10" spans="1:10" ht="15" customHeight="1">
      <c r="A10" s="165" t="s">
        <v>4</v>
      </c>
      <c r="B10" s="165"/>
      <c r="C10" s="111"/>
      <c r="D10" s="111"/>
      <c r="E10" s="111"/>
      <c r="F10" s="111"/>
      <c r="G10" s="163" t="s">
        <v>869</v>
      </c>
      <c r="H10" s="163"/>
      <c r="I10" s="163"/>
      <c r="J10" s="163"/>
    </row>
    <row r="11" spans="1:10" ht="15" customHeight="1">
      <c r="A11" s="164" t="s">
        <v>5</v>
      </c>
      <c r="B11" s="167"/>
      <c r="C11" s="111"/>
      <c r="D11" s="111"/>
      <c r="E11" s="111"/>
      <c r="F11" s="111"/>
      <c r="G11" s="161" t="s">
        <v>239</v>
      </c>
      <c r="H11" s="161"/>
      <c r="I11" s="161"/>
      <c r="J11" s="161"/>
    </row>
    <row r="12" spans="1:10" ht="15" customHeight="1">
      <c r="A12" s="33" t="s">
        <v>180</v>
      </c>
      <c r="B12" s="106"/>
      <c r="C12" s="111"/>
      <c r="D12" s="111"/>
      <c r="E12" s="111"/>
      <c r="F12" s="111"/>
      <c r="G12" s="163" t="s">
        <v>881</v>
      </c>
      <c r="H12" s="163"/>
      <c r="I12" s="163"/>
      <c r="J12" s="163"/>
    </row>
    <row r="13" spans="1:10" ht="15" customHeight="1">
      <c r="A13" s="34" t="s">
        <v>7</v>
      </c>
      <c r="B13" s="35"/>
      <c r="C13" s="111"/>
      <c r="D13" s="111"/>
      <c r="E13" s="111"/>
      <c r="F13" s="111"/>
      <c r="G13" s="161" t="s">
        <v>870</v>
      </c>
      <c r="H13" s="161"/>
      <c r="I13" s="161"/>
      <c r="J13" s="161"/>
    </row>
    <row r="14" spans="1:10">
      <c r="A14" s="36" t="s">
        <v>8</v>
      </c>
      <c r="B14" s="36"/>
      <c r="C14" s="38"/>
      <c r="D14" s="38"/>
      <c r="E14" s="38"/>
      <c r="F14" s="38"/>
      <c r="G14" s="168" t="s">
        <v>871</v>
      </c>
      <c r="H14" s="168"/>
      <c r="I14" s="168"/>
      <c r="J14" s="168"/>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70" t="s">
        <v>143</v>
      </c>
      <c r="B17" s="170" t="s">
        <v>221</v>
      </c>
      <c r="C17" s="170" t="s">
        <v>222</v>
      </c>
      <c r="D17" s="170" t="s">
        <v>223</v>
      </c>
      <c r="E17" s="170" t="s">
        <v>224</v>
      </c>
      <c r="F17" s="170" t="s">
        <v>225</v>
      </c>
      <c r="G17" s="170" t="s">
        <v>226</v>
      </c>
      <c r="H17" s="171"/>
      <c r="I17" s="170" t="s">
        <v>235</v>
      </c>
      <c r="J17" s="171"/>
    </row>
    <row r="18" spans="1:10" s="37" customFormat="1" ht="87" customHeight="1">
      <c r="A18" s="171"/>
      <c r="B18" s="171"/>
      <c r="C18" s="171"/>
      <c r="D18" s="171"/>
      <c r="E18" s="171"/>
      <c r="F18" s="171"/>
      <c r="G18" s="108" t="s">
        <v>227</v>
      </c>
      <c r="H18" s="108" t="s">
        <v>228</v>
      </c>
      <c r="I18" s="108" t="s">
        <v>227</v>
      </c>
      <c r="J18" s="108" t="s">
        <v>229</v>
      </c>
    </row>
    <row r="19" spans="1:10" s="37" customFormat="1" ht="45.75" customHeight="1">
      <c r="A19" s="131" t="s">
        <v>495</v>
      </c>
      <c r="B19" s="131" t="s">
        <v>496</v>
      </c>
      <c r="C19" s="131"/>
      <c r="D19" s="131"/>
      <c r="E19" s="131"/>
      <c r="F19" s="134"/>
      <c r="G19" s="131"/>
      <c r="H19" s="133"/>
      <c r="I19" s="131"/>
      <c r="J19" s="133"/>
    </row>
    <row r="20" spans="1:10">
      <c r="A20" s="131" t="s">
        <v>497</v>
      </c>
      <c r="B20" s="131" t="s">
        <v>498</v>
      </c>
      <c r="C20" s="131" t="s">
        <v>499</v>
      </c>
      <c r="D20" s="131" t="s">
        <v>500</v>
      </c>
      <c r="E20" s="131" t="s">
        <v>501</v>
      </c>
      <c r="F20" s="134" t="s">
        <v>502</v>
      </c>
      <c r="G20" s="131" t="s">
        <v>503</v>
      </c>
      <c r="H20" s="133" t="s">
        <v>504</v>
      </c>
      <c r="I20" s="131" t="s">
        <v>505</v>
      </c>
      <c r="J20" s="133" t="s">
        <v>506</v>
      </c>
    </row>
    <row r="21" spans="1:10" ht="25">
      <c r="A21" s="136" t="s">
        <v>507</v>
      </c>
      <c r="B21" s="136" t="s">
        <v>508</v>
      </c>
      <c r="C21" s="136"/>
      <c r="D21" s="136"/>
      <c r="E21" s="136"/>
      <c r="F21" s="138">
        <v>0</v>
      </c>
      <c r="G21" s="136"/>
      <c r="H21" s="137">
        <v>0</v>
      </c>
      <c r="I21" s="136"/>
      <c r="J21" s="137">
        <v>0</v>
      </c>
    </row>
    <row r="22" spans="1:10" ht="25">
      <c r="A22" s="131" t="s">
        <v>509</v>
      </c>
      <c r="B22" s="131" t="s">
        <v>510</v>
      </c>
      <c r="C22" s="131"/>
      <c r="D22" s="131"/>
      <c r="E22" s="131"/>
      <c r="F22" s="134"/>
      <c r="G22" s="131"/>
      <c r="H22" s="133"/>
      <c r="I22" s="131"/>
      <c r="J22" s="133"/>
    </row>
    <row r="23" spans="1:10">
      <c r="A23" s="131" t="s">
        <v>511</v>
      </c>
      <c r="B23" s="131" t="s">
        <v>512</v>
      </c>
      <c r="C23" s="131" t="s">
        <v>513</v>
      </c>
      <c r="D23" s="131" t="s">
        <v>514</v>
      </c>
      <c r="E23" s="131" t="s">
        <v>515</v>
      </c>
      <c r="F23" s="134" t="s">
        <v>516</v>
      </c>
      <c r="G23" s="131" t="s">
        <v>517</v>
      </c>
      <c r="H23" s="133" t="s">
        <v>518</v>
      </c>
      <c r="I23" s="131" t="s">
        <v>519</v>
      </c>
      <c r="J23" s="133" t="s">
        <v>520</v>
      </c>
    </row>
    <row r="24" spans="1:10" ht="25">
      <c r="A24" s="136" t="s">
        <v>521</v>
      </c>
      <c r="B24" s="136" t="s">
        <v>522</v>
      </c>
      <c r="C24" s="136"/>
      <c r="D24" s="136"/>
      <c r="E24" s="136"/>
      <c r="F24" s="138">
        <v>0</v>
      </c>
      <c r="G24" s="136"/>
      <c r="H24" s="137">
        <v>0</v>
      </c>
      <c r="I24" s="136"/>
      <c r="J24" s="137">
        <v>0</v>
      </c>
    </row>
    <row r="25" spans="1:10" ht="25">
      <c r="A25" s="136" t="s">
        <v>523</v>
      </c>
      <c r="B25" s="136" t="s">
        <v>524</v>
      </c>
      <c r="C25" s="136"/>
      <c r="D25" s="136"/>
      <c r="E25" s="136"/>
      <c r="F25" s="138">
        <v>0</v>
      </c>
      <c r="G25" s="136"/>
      <c r="H25" s="137">
        <v>0</v>
      </c>
      <c r="I25" s="136"/>
      <c r="J25" s="137">
        <v>0</v>
      </c>
    </row>
    <row r="26" spans="1:10" ht="25">
      <c r="A26" s="131" t="s">
        <v>525</v>
      </c>
      <c r="B26" s="131" t="s">
        <v>526</v>
      </c>
      <c r="C26" s="131"/>
      <c r="D26" s="131"/>
      <c r="E26" s="131"/>
      <c r="F26" s="134"/>
      <c r="G26" s="131"/>
      <c r="H26" s="133"/>
      <c r="I26" s="131"/>
      <c r="J26" s="133"/>
    </row>
    <row r="27" spans="1:10">
      <c r="A27" s="131" t="s">
        <v>527</v>
      </c>
      <c r="B27" s="131" t="s">
        <v>528</v>
      </c>
      <c r="C27" s="131" t="s">
        <v>529</v>
      </c>
      <c r="D27" s="131" t="s">
        <v>530</v>
      </c>
      <c r="E27" s="131" t="s">
        <v>531</v>
      </c>
      <c r="F27" s="134" t="s">
        <v>532</v>
      </c>
      <c r="G27" s="131" t="s">
        <v>533</v>
      </c>
      <c r="H27" s="133" t="s">
        <v>534</v>
      </c>
      <c r="I27" s="131" t="s">
        <v>535</v>
      </c>
      <c r="J27" s="133" t="s">
        <v>536</v>
      </c>
    </row>
    <row r="28" spans="1:10" ht="25">
      <c r="A28" s="136" t="s">
        <v>537</v>
      </c>
      <c r="B28" s="136" t="s">
        <v>538</v>
      </c>
      <c r="C28" s="136"/>
      <c r="D28" s="136"/>
      <c r="E28" s="136"/>
      <c r="F28" s="138">
        <v>0</v>
      </c>
      <c r="G28" s="136"/>
      <c r="H28" s="137">
        <v>0</v>
      </c>
      <c r="I28" s="136"/>
      <c r="J28" s="137">
        <v>0</v>
      </c>
    </row>
    <row r="29" spans="1:10" ht="25">
      <c r="A29" s="131" t="s">
        <v>539</v>
      </c>
      <c r="B29" s="131" t="s">
        <v>540</v>
      </c>
      <c r="C29" s="131"/>
      <c r="D29" s="131"/>
      <c r="E29" s="131"/>
      <c r="F29" s="134"/>
      <c r="G29" s="131"/>
      <c r="H29" s="133"/>
      <c r="I29" s="131"/>
      <c r="J29" s="133"/>
    </row>
    <row r="30" spans="1:10">
      <c r="A30" s="131" t="s">
        <v>541</v>
      </c>
      <c r="B30" s="131" t="s">
        <v>542</v>
      </c>
      <c r="C30" s="131" t="s">
        <v>543</v>
      </c>
      <c r="D30" s="131" t="s">
        <v>544</v>
      </c>
      <c r="E30" s="131" t="s">
        <v>545</v>
      </c>
      <c r="F30" s="134" t="s">
        <v>546</v>
      </c>
      <c r="G30" s="131" t="s">
        <v>547</v>
      </c>
      <c r="H30" s="133" t="s">
        <v>548</v>
      </c>
      <c r="I30" s="131" t="s">
        <v>549</v>
      </c>
      <c r="J30" s="133" t="s">
        <v>550</v>
      </c>
    </row>
    <row r="31" spans="1:10" ht="25">
      <c r="A31" s="136" t="s">
        <v>551</v>
      </c>
      <c r="B31" s="136" t="s">
        <v>552</v>
      </c>
      <c r="C31" s="136"/>
      <c r="D31" s="136"/>
      <c r="E31" s="136"/>
      <c r="F31" s="138">
        <v>0</v>
      </c>
      <c r="G31" s="136"/>
      <c r="H31" s="137">
        <v>0</v>
      </c>
      <c r="I31" s="136"/>
      <c r="J31" s="137">
        <v>0</v>
      </c>
    </row>
    <row r="32" spans="1:10" ht="25">
      <c r="A32" s="136" t="s">
        <v>553</v>
      </c>
      <c r="B32" s="136" t="s">
        <v>554</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69" t="s">
        <v>14</v>
      </c>
      <c r="B40" s="169"/>
      <c r="C40" s="38"/>
      <c r="D40" s="38"/>
      <c r="E40" s="38"/>
      <c r="F40" s="38"/>
      <c r="G40" s="38"/>
      <c r="H40" s="38"/>
      <c r="I40" s="128" t="s">
        <v>866</v>
      </c>
      <c r="J40" s="129"/>
    </row>
    <row r="41" spans="1:10" s="37" customFormat="1" ht="12.5">
      <c r="A41" s="49" t="s">
        <v>872</v>
      </c>
      <c r="B41" s="38"/>
      <c r="C41" s="38"/>
      <c r="D41" s="38"/>
      <c r="E41" s="38"/>
      <c r="F41" s="38"/>
      <c r="G41" s="38"/>
      <c r="H41" s="38"/>
      <c r="I41" s="49" t="s">
        <v>873</v>
      </c>
      <c r="J41" s="38"/>
    </row>
    <row r="42" spans="1:10" s="37" customFormat="1" ht="12.5">
      <c r="A42" s="38" t="s">
        <v>874</v>
      </c>
      <c r="B42" s="38"/>
      <c r="C42" s="38"/>
      <c r="D42" s="38"/>
      <c r="E42" s="38"/>
      <c r="F42" s="38"/>
      <c r="G42" s="38"/>
      <c r="H42" s="38"/>
      <c r="I42" s="38" t="s">
        <v>875</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9" zoomScale="85" zoomScaleNormal="100" zoomScaleSheetLayoutView="85" workbookViewId="0">
      <selection sqref="A1:XFD1048576"/>
    </sheetView>
  </sheetViews>
  <sheetFormatPr defaultColWidth="8.81640625" defaultRowHeight="53.25" customHeight="1"/>
  <cols>
    <col min="1" max="1" width="8.81640625" style="9"/>
    <col min="2" max="2" width="59.81640625" style="9" customWidth="1"/>
    <col min="3" max="3" width="10.81640625" style="9" bestFit="1" customWidth="1"/>
    <col min="4" max="5" width="31.6328125" style="9" customWidth="1"/>
    <col min="6" max="6" width="8.453125" style="100" customWidth="1"/>
    <col min="7" max="16384" width="8.81640625" style="100"/>
  </cols>
  <sheetData>
    <row r="1" spans="1:6" ht="53.25" customHeight="1">
      <c r="A1" s="150" t="s">
        <v>232</v>
      </c>
      <c r="B1" s="150"/>
      <c r="C1" s="150"/>
      <c r="D1" s="150"/>
      <c r="E1" s="150"/>
      <c r="F1" s="101"/>
    </row>
    <row r="2" spans="1:6" ht="66" customHeight="1">
      <c r="A2" s="151" t="s">
        <v>233</v>
      </c>
      <c r="B2" s="151"/>
      <c r="C2" s="151"/>
      <c r="D2" s="151"/>
      <c r="E2" s="151"/>
      <c r="F2" s="102"/>
    </row>
    <row r="3" spans="1:6" ht="40.5" customHeight="1">
      <c r="A3" s="152" t="s">
        <v>183</v>
      </c>
      <c r="B3" s="152"/>
      <c r="C3" s="152"/>
      <c r="D3" s="152"/>
      <c r="E3" s="152"/>
      <c r="F3" s="101"/>
    </row>
    <row r="4" spans="1:6" ht="12.5" hidden="1">
      <c r="A4" s="152"/>
      <c r="B4" s="152"/>
      <c r="C4" s="152"/>
      <c r="D4" s="152"/>
      <c r="E4" s="152"/>
      <c r="F4" s="101"/>
    </row>
    <row r="5" spans="1:6" ht="12.5">
      <c r="A5" s="153" t="s">
        <v>865</v>
      </c>
      <c r="B5" s="153"/>
      <c r="C5" s="153"/>
      <c r="D5" s="153"/>
      <c r="E5" s="153"/>
      <c r="F5" s="103"/>
    </row>
    <row r="6" spans="1:6" ht="12.5"/>
    <row r="7" spans="1:6" ht="12.5">
      <c r="A7" s="75" t="s">
        <v>2</v>
      </c>
      <c r="C7" s="154" t="s">
        <v>866</v>
      </c>
      <c r="D7" s="154"/>
      <c r="E7" s="154"/>
    </row>
    <row r="8" spans="1:6" ht="12.5">
      <c r="A8" s="9" t="s">
        <v>15</v>
      </c>
      <c r="C8" s="149" t="s">
        <v>867</v>
      </c>
      <c r="D8" s="149"/>
      <c r="E8" s="149"/>
    </row>
    <row r="9" spans="1:6" ht="12.5">
      <c r="A9" s="75" t="s">
        <v>3</v>
      </c>
      <c r="C9" s="154" t="s">
        <v>868</v>
      </c>
      <c r="D9" s="154"/>
      <c r="E9" s="154"/>
    </row>
    <row r="10" spans="1:6" ht="12.5">
      <c r="A10" s="9" t="s">
        <v>4</v>
      </c>
      <c r="C10" s="149" t="s">
        <v>869</v>
      </c>
      <c r="D10" s="149"/>
      <c r="E10" s="149"/>
    </row>
    <row r="11" spans="1:6" ht="12.5">
      <c r="A11" s="75" t="s">
        <v>5</v>
      </c>
      <c r="C11" s="154" t="s">
        <v>239</v>
      </c>
      <c r="D11" s="154"/>
      <c r="E11" s="154"/>
    </row>
    <row r="12" spans="1:6" ht="12.5">
      <c r="A12" s="9" t="s">
        <v>6</v>
      </c>
      <c r="C12" s="149" t="s">
        <v>881</v>
      </c>
      <c r="D12" s="149"/>
      <c r="E12" s="149"/>
    </row>
    <row r="13" spans="1:6" ht="12.5">
      <c r="A13" s="75" t="s">
        <v>7</v>
      </c>
      <c r="C13" s="154" t="s">
        <v>870</v>
      </c>
      <c r="D13" s="154"/>
      <c r="E13" s="154"/>
    </row>
    <row r="14" spans="1:6" ht="12.5">
      <c r="A14" s="9" t="s">
        <v>8</v>
      </c>
      <c r="C14" s="149" t="s">
        <v>871</v>
      </c>
      <c r="D14" s="149"/>
      <c r="E14" s="149"/>
    </row>
    <row r="15" spans="1:6" ht="12.5"/>
    <row r="16" spans="1:6" ht="12.5">
      <c r="A16" s="69" t="s">
        <v>230</v>
      </c>
      <c r="B16" s="70" t="s">
        <v>231</v>
      </c>
    </row>
    <row r="17" spans="1:5" ht="12.5">
      <c r="A17" s="14" t="s">
        <v>25</v>
      </c>
      <c r="B17" s="15" t="s">
        <v>177</v>
      </c>
    </row>
    <row r="18" spans="1:5" ht="37.5">
      <c r="A18" s="115" t="s">
        <v>17</v>
      </c>
      <c r="B18" s="115" t="s">
        <v>220</v>
      </c>
      <c r="C18" s="115" t="s">
        <v>19</v>
      </c>
      <c r="D18" s="116" t="s">
        <v>878</v>
      </c>
      <c r="E18" s="116" t="s">
        <v>879</v>
      </c>
    </row>
    <row r="19" spans="1:5" s="104" customFormat="1" ht="39" customHeight="1">
      <c r="A19" s="29" t="s">
        <v>16</v>
      </c>
      <c r="B19" s="63" t="s">
        <v>106</v>
      </c>
      <c r="C19" s="64" t="s">
        <v>107</v>
      </c>
      <c r="D19" s="133"/>
      <c r="E19" s="133"/>
    </row>
    <row r="20" spans="1:5" ht="74.400000000000006" customHeight="1">
      <c r="A20" s="76">
        <v>1</v>
      </c>
      <c r="B20" s="65" t="s">
        <v>205</v>
      </c>
      <c r="C20" s="66" t="s">
        <v>108</v>
      </c>
      <c r="D20" s="133">
        <v>1.9235117828253701E-2</v>
      </c>
      <c r="E20" s="133">
        <v>1.9876034997647E-2</v>
      </c>
    </row>
    <row r="21" spans="1:5" ht="74.400000000000006" customHeight="1">
      <c r="A21" s="76">
        <v>2</v>
      </c>
      <c r="B21" s="65" t="s">
        <v>206</v>
      </c>
      <c r="C21" s="66" t="s">
        <v>109</v>
      </c>
      <c r="D21" s="133">
        <v>1.0687637824022701E-3</v>
      </c>
      <c r="E21" s="133">
        <v>1.0818478191012601E-3</v>
      </c>
    </row>
    <row r="22" spans="1:5" ht="89.4" customHeight="1">
      <c r="A22" s="76">
        <v>3</v>
      </c>
      <c r="B22" s="65" t="s">
        <v>207</v>
      </c>
      <c r="C22" s="66" t="s">
        <v>110</v>
      </c>
      <c r="D22" s="133">
        <v>4.1312853331709997E-4</v>
      </c>
      <c r="E22" s="133">
        <v>4.2145851884236598E-4</v>
      </c>
    </row>
    <row r="23" spans="1:5" ht="74.400000000000006" customHeight="1">
      <c r="A23" s="76">
        <v>4</v>
      </c>
      <c r="B23" s="65" t="s">
        <v>178</v>
      </c>
      <c r="C23" s="66" t="s">
        <v>111</v>
      </c>
      <c r="D23" s="133">
        <v>7.2118507840405799E-5</v>
      </c>
      <c r="E23" s="133">
        <v>6.8232115220128597E-5</v>
      </c>
    </row>
    <row r="24" spans="1:5" ht="74.400000000000006" customHeight="1">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7.0587535326234994E-5</v>
      </c>
      <c r="E26" s="133">
        <v>5.5745149747385399E-5</v>
      </c>
    </row>
    <row r="27" spans="1:5" ht="56.4" customHeight="1">
      <c r="A27" s="76">
        <v>8</v>
      </c>
      <c r="B27" s="65" t="s">
        <v>211</v>
      </c>
      <c r="C27" s="66" t="s">
        <v>113</v>
      </c>
      <c r="D27" s="133">
        <v>2.1207870805562402E-2</v>
      </c>
      <c r="E27" s="133">
        <v>2.1152942178331399E-2</v>
      </c>
    </row>
    <row r="28" spans="1:5" ht="56.4" customHeight="1">
      <c r="A28" s="76">
        <v>9</v>
      </c>
      <c r="B28" s="65" t="s">
        <v>241</v>
      </c>
      <c r="C28" s="66" t="s">
        <v>114</v>
      </c>
      <c r="D28" s="133">
        <v>4.1610005056836403</v>
      </c>
      <c r="E28" s="133">
        <v>3.3318011989288698</v>
      </c>
    </row>
    <row r="29" spans="1:5" ht="60" customHeight="1">
      <c r="A29" s="76">
        <v>10</v>
      </c>
      <c r="B29" s="65" t="s">
        <v>212</v>
      </c>
      <c r="C29" s="66" t="s">
        <v>181</v>
      </c>
      <c r="D29" s="68"/>
      <c r="E29" s="68"/>
    </row>
    <row r="30" spans="1:5" s="104" customFormat="1" ht="42" customHeight="1">
      <c r="A30" s="29" t="s">
        <v>21</v>
      </c>
      <c r="B30" s="63" t="s">
        <v>115</v>
      </c>
      <c r="C30" s="64" t="s">
        <v>116</v>
      </c>
      <c r="D30" s="67"/>
      <c r="E30" s="67"/>
    </row>
    <row r="31" spans="1:5" ht="55.75" customHeight="1">
      <c r="A31" s="174">
        <v>1</v>
      </c>
      <c r="B31" s="65" t="s">
        <v>117</v>
      </c>
      <c r="C31" s="66" t="s">
        <v>118</v>
      </c>
      <c r="D31" s="77">
        <v>351533203900</v>
      </c>
      <c r="E31" s="77">
        <v>350708661100</v>
      </c>
    </row>
    <row r="32" spans="1:5" ht="55.75" customHeight="1">
      <c r="A32" s="175"/>
      <c r="B32" s="65" t="s">
        <v>119</v>
      </c>
      <c r="C32" s="66" t="s">
        <v>120</v>
      </c>
      <c r="D32" s="77">
        <v>351533203900</v>
      </c>
      <c r="E32" s="77">
        <v>350708661100</v>
      </c>
    </row>
    <row r="33" spans="1:5" ht="55.75" customHeight="1">
      <c r="A33" s="176"/>
      <c r="B33" s="65" t="s">
        <v>213</v>
      </c>
      <c r="C33" s="66" t="s">
        <v>121</v>
      </c>
      <c r="D33" s="68">
        <v>35153320.390000001</v>
      </c>
      <c r="E33" s="68">
        <v>35070866.109999999</v>
      </c>
    </row>
    <row r="34" spans="1:5" ht="55.75" customHeight="1">
      <c r="A34" s="173">
        <v>2</v>
      </c>
      <c r="B34" s="65" t="s">
        <v>122</v>
      </c>
      <c r="C34" s="66" t="s">
        <v>123</v>
      </c>
      <c r="D34" s="77">
        <v>22124217200</v>
      </c>
      <c r="E34" s="77">
        <v>824542800</v>
      </c>
    </row>
    <row r="35" spans="1:5" ht="55.75" customHeight="1">
      <c r="A35" s="173"/>
      <c r="B35" s="65" t="s">
        <v>124</v>
      </c>
      <c r="C35" s="66" t="s">
        <v>214</v>
      </c>
      <c r="D35" s="68">
        <v>2212421.7200000002</v>
      </c>
      <c r="E35" s="68">
        <v>82454.28</v>
      </c>
    </row>
    <row r="36" spans="1:5" ht="55.75" customHeight="1">
      <c r="A36" s="173"/>
      <c r="B36" s="65" t="s">
        <v>125</v>
      </c>
      <c r="C36" s="66" t="s">
        <v>215</v>
      </c>
      <c r="D36" s="77">
        <v>22124217200</v>
      </c>
      <c r="E36" s="77">
        <v>824542800</v>
      </c>
    </row>
    <row r="37" spans="1:5" ht="55.75" customHeight="1">
      <c r="A37" s="173"/>
      <c r="B37" s="65" t="s">
        <v>216</v>
      </c>
      <c r="C37" s="66" t="s">
        <v>126</v>
      </c>
      <c r="D37" s="68">
        <v>5029103.1900000004</v>
      </c>
      <c r="E37" s="68">
        <v>1987575.55</v>
      </c>
    </row>
    <row r="38" spans="1:5" ht="55.75" customHeight="1">
      <c r="A38" s="173"/>
      <c r="B38" s="65" t="s">
        <v>160</v>
      </c>
      <c r="C38" s="66" t="s">
        <v>127</v>
      </c>
      <c r="D38" s="77">
        <v>50291031900</v>
      </c>
      <c r="E38" s="77">
        <v>19875755500</v>
      </c>
    </row>
    <row r="39" spans="1:5" ht="55.75" customHeight="1">
      <c r="A39" s="173"/>
      <c r="B39" s="65" t="s">
        <v>238</v>
      </c>
      <c r="C39" s="66" t="s">
        <v>128</v>
      </c>
      <c r="D39" s="68">
        <v>-2816681.47</v>
      </c>
      <c r="E39" s="68">
        <v>-1905121.27</v>
      </c>
    </row>
    <row r="40" spans="1:5" ht="55.75" customHeight="1">
      <c r="A40" s="173"/>
      <c r="B40" s="65" t="s">
        <v>161</v>
      </c>
      <c r="C40" s="66" t="s">
        <v>129</v>
      </c>
      <c r="D40" s="77">
        <v>-28166814700</v>
      </c>
      <c r="E40" s="77">
        <v>-19051212700</v>
      </c>
    </row>
    <row r="41" spans="1:5" ht="55.75" customHeight="1">
      <c r="A41" s="173">
        <v>3</v>
      </c>
      <c r="B41" s="65" t="s">
        <v>162</v>
      </c>
      <c r="C41" s="66" t="s">
        <v>130</v>
      </c>
      <c r="D41" s="77">
        <v>373657421100</v>
      </c>
      <c r="E41" s="77">
        <v>351533203900</v>
      </c>
    </row>
    <row r="42" spans="1:5" ht="55.75" customHeight="1">
      <c r="A42" s="173"/>
      <c r="B42" s="65" t="s">
        <v>217</v>
      </c>
      <c r="C42" s="66" t="s">
        <v>131</v>
      </c>
      <c r="D42" s="77">
        <v>373657421100</v>
      </c>
      <c r="E42" s="77">
        <v>351533203900</v>
      </c>
    </row>
    <row r="43" spans="1:5" ht="55.75" customHeight="1">
      <c r="A43" s="173"/>
      <c r="B43" s="65" t="s">
        <v>218</v>
      </c>
      <c r="C43" s="66" t="s">
        <v>132</v>
      </c>
      <c r="D43" s="68">
        <v>37365742.109999999</v>
      </c>
      <c r="E43" s="68">
        <v>35153320.390000001</v>
      </c>
    </row>
    <row r="44" spans="1:5" ht="55.75" customHeight="1">
      <c r="A44" s="76">
        <v>4</v>
      </c>
      <c r="B44" s="65" t="s">
        <v>133</v>
      </c>
      <c r="C44" s="66" t="s">
        <v>134</v>
      </c>
      <c r="D44" s="133">
        <v>7.8308811086530303E-2</v>
      </c>
      <c r="E44" s="133">
        <v>8.3275538057928505E-2</v>
      </c>
    </row>
    <row r="45" spans="1:5" ht="55.75" customHeight="1">
      <c r="A45" s="76">
        <v>5</v>
      </c>
      <c r="B45" s="65" t="s">
        <v>135</v>
      </c>
      <c r="C45" s="66" t="s">
        <v>136</v>
      </c>
      <c r="D45" s="133">
        <v>0.2198</v>
      </c>
      <c r="E45" s="133">
        <v>0.23300000000000001</v>
      </c>
    </row>
    <row r="46" spans="1:5" ht="55.75" customHeight="1">
      <c r="A46" s="76">
        <v>6</v>
      </c>
      <c r="B46" s="65" t="s">
        <v>137</v>
      </c>
      <c r="C46" s="66" t="s">
        <v>138</v>
      </c>
      <c r="D46" s="133">
        <v>0.183</v>
      </c>
      <c r="E46" s="133">
        <v>0.19070000000000001</v>
      </c>
    </row>
    <row r="47" spans="1:5" ht="55.75" customHeight="1">
      <c r="A47" s="76">
        <v>7</v>
      </c>
      <c r="B47" s="65" t="s">
        <v>139</v>
      </c>
      <c r="C47" s="66" t="s">
        <v>140</v>
      </c>
      <c r="D47" s="77">
        <v>34905</v>
      </c>
      <c r="E47" s="77">
        <v>34360</v>
      </c>
    </row>
    <row r="48" spans="1:5" ht="55.75" customHeight="1">
      <c r="A48" s="76">
        <v>8</v>
      </c>
      <c r="B48" s="65" t="s">
        <v>163</v>
      </c>
      <c r="C48" s="66" t="s">
        <v>141</v>
      </c>
      <c r="D48" s="68">
        <v>76624.33</v>
      </c>
      <c r="E48" s="68">
        <v>79331.899999999994</v>
      </c>
    </row>
    <row r="49" spans="1:5" ht="55.75" customHeight="1">
      <c r="A49" s="76">
        <v>9</v>
      </c>
      <c r="B49" s="65" t="s">
        <v>219</v>
      </c>
      <c r="C49" s="66" t="s">
        <v>182</v>
      </c>
      <c r="D49" s="68"/>
      <c r="E49" s="68"/>
    </row>
    <row r="50" spans="1:5" ht="31.5" customHeight="1">
      <c r="A50" s="172" t="s">
        <v>240</v>
      </c>
      <c r="B50" s="149"/>
      <c r="C50" s="149"/>
      <c r="D50" s="149"/>
      <c r="E50" s="149"/>
    </row>
    <row r="51" spans="1:5" ht="95.25" customHeight="1">
      <c r="A51" s="172" t="s">
        <v>880</v>
      </c>
      <c r="B51" s="149"/>
      <c r="C51" s="149"/>
      <c r="D51" s="149"/>
      <c r="E51" s="149"/>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866</v>
      </c>
    </row>
    <row r="64" spans="1:5" ht="12.5">
      <c r="A64" s="18" t="s">
        <v>872</v>
      </c>
      <c r="D64" s="18" t="s">
        <v>873</v>
      </c>
    </row>
    <row r="65" spans="1:4" ht="12.5">
      <c r="A65" s="9" t="s">
        <v>874</v>
      </c>
      <c r="D65" s="9" t="s">
        <v>875</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8" fitToHeight="0" orientation="portrait" r:id="rId1"/>
  <headerFooter>
    <oddHeader>&amp;L&amp;"Arial"&amp;9&amp;KA80000CONFIDENTIAL&amp;1#</oddHeader>
  </headerFooter>
  <rowBreaks count="1" manualBreakCount="1">
    <brk id="28"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3x1IKFlqOFJYjAHkenCD03OO9nTAjvqvccEsAoywJq8=</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gqmgRX908pZHfw9J+1RNGRl0hKSJqKQRXVMzd8k3Qhg=</DigestValue>
    </Reference>
  </SignedInfo>
  <SignatureValue>qXdiJ+dC6eqdfd2Guvf4SfRo8Kx83p2ZcUi891t+JJVOiryrWl1iFwglrLh3qTkVzR7Q3FA7MMiZ
hAXxGhjBIvvFRXF5fPSjUv+GmNMxivs2Y2d3cePIAO5LzsG5f9Nc6eY53WHsvMVuS3S6LcpaelUD
E9csywo5uuSg0OKq4TVjINJP9IJ5NCu/CrkU3vGkrnOLnChqEtQyi+9LeDKuAv+qlZzJiFnjhJdk
2W1kyN7gBEGlr5TsvxzgqRx64ZUzAfplCUYbOQVO32Kwy39JbmThJYg0ZqoJvsLRugYJmEzbbMBv
oVemxdFdnZrsi/X41fhzt6Vz7YfP84RqtRAkdQ==</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lzLbaIzpG443ZAmlR8oaCgxFoLmp2QKXFIw9ML8wpds=</DigestValue>
      </Reference>
      <Reference URI="/xl/calcChain.xml?ContentType=application/vnd.openxmlformats-officedocument.spreadsheetml.calcChain+xml">
        <DigestMethod Algorithm="http://www.w3.org/2001/04/xmlenc#sha256"/>
        <DigestValue>o75bSIaUwOwhCqatE1i77uieDpVGkiETUXXK2FY7wtM=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Xv4SgB8XC/SCsUhETflTAKfz5+99TcYaNpRNfW0Ds/A=</DigestValue>
      </Reference>
      <Reference URI="/xl/drawings/drawing2.xml?ContentType=application/vnd.openxmlformats-officedocument.drawing+xml">
        <DigestMethod Algorithm="http://www.w3.org/2001/04/xmlenc#sha256"/>
        <DigestValue>X5jFM8feV0SvAk1w6pUZg7KjvQnd6Z9ZPbYQ16AsEwM=</DigestValue>
      </Reference>
      <Reference URI="/xl/drawings/drawing3.xml?ContentType=application/vnd.openxmlformats-officedocument.drawing+xml">
        <DigestMethod Algorithm="http://www.w3.org/2001/04/xmlenc#sha256"/>
        <DigestValue>fubMCQR0ZV/dG07yP4tJtpdTd8rIE3L0nu0190e8jjU=</DigestValue>
      </Reference>
      <Reference URI="/xl/drawings/drawing4.xml?ContentType=application/vnd.openxmlformats-officedocument.drawing+xml">
        <DigestMethod Algorithm="http://www.w3.org/2001/04/xmlenc#sha256"/>
        <DigestValue>3GlrVZnmA/AcYBklIWC4hfoBdFwW0pKIN9VuV+du798=</DigestValue>
      </Reference>
      <Reference URI="/xl/drawings/drawing5.xml?ContentType=application/vnd.openxmlformats-officedocument.drawing+xml">
        <DigestMethod Algorithm="http://www.w3.org/2001/04/xmlenc#sha256"/>
        <DigestValue>5BObzGKRUUv9B0k82r6CTR35zewN/hm0bLjHpJXPVNc=</DigestValue>
      </Reference>
      <Reference URI="/xl/drawings/vmlDrawing1.vml?ContentType=application/vnd.openxmlformats-officedocument.vmlDrawing">
        <DigestMethod Algorithm="http://www.w3.org/2001/04/xmlenc#sha256"/>
        <DigestValue>zdDdCi/b+rZepdN1USuIH2oMzj2dfNP84I2Q1ivPH/Q=</DigestValue>
      </Reference>
      <Reference URI="/xl/drawings/vmlDrawing2.vml?ContentType=application/vnd.openxmlformats-officedocument.vmlDrawing">
        <DigestMethod Algorithm="http://www.w3.org/2001/04/xmlenc#sha256"/>
        <DigestValue>38IydmYpr6gmCRzxScwN7VkeUuc1i5grBiew0AvIg3Q=</DigestValue>
      </Reference>
      <Reference URI="/xl/drawings/vmlDrawing3.vml?ContentType=application/vnd.openxmlformats-officedocument.vmlDrawing">
        <DigestMethod Algorithm="http://www.w3.org/2001/04/xmlenc#sha256"/>
        <DigestValue>zJtMDhbFXlW+GE6kUL1Kslb7kIxr6wXSMo1l+Sibl94=</DigestValue>
      </Reference>
      <Reference URI="/xl/drawings/vmlDrawing4.vml?ContentType=application/vnd.openxmlformats-officedocument.vmlDrawing">
        <DigestMethod Algorithm="http://www.w3.org/2001/04/xmlenc#sha256"/>
        <DigestValue>b/ptzEY6pxBNROGe3oJuxJ5doFE3oYWXTtT/rn7K+yk=</DigestValue>
      </Reference>
      <Reference URI="/xl/drawings/vmlDrawing5.vml?ContentType=application/vnd.openxmlformats-officedocument.vmlDrawing">
        <DigestMethod Algorithm="http://www.w3.org/2001/04/xmlenc#sha256"/>
        <DigestValue>OyVells0bZEx0bin9eMW101Vxw1kNllRLZJULHc+tys=</DigestValue>
      </Reference>
      <Reference URI="/xl/media/image1.emf?ContentType=image/x-emf">
        <DigestMethod Algorithm="http://www.w3.org/2001/04/xmlenc#sha256"/>
        <DigestValue>xkAfkrQANkbQyeKw5l+1iKerOvENAUWXDQb0kbozu3g=</DigestValue>
      </Reference>
      <Reference URI="/xl/media/image2.emf?ContentType=image/x-emf">
        <DigestMethod Algorithm="http://www.w3.org/2001/04/xmlenc#sha256"/>
        <DigestValue>xkAfkrQANkbQyeKw5l+1iKerOvENAUWXDQb0kbozu3g=</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0jlnoHmEJZVdDbeTrWl+44uY7yYHrtAXr36SBxQIH6k=</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p8SjWCeUxI3TwHZih5omRP7h0YIf0vFtTIoepRXZnVI=</DigestValue>
      </Reference>
      <Reference URI="/xl/styles.xml?ContentType=application/vnd.openxmlformats-officedocument.spreadsheetml.styles+xml">
        <DigestMethod Algorithm="http://www.w3.org/2001/04/xmlenc#sha256"/>
        <DigestValue>vCKOp5o7tZSQjFINGO6p0RkUwBtuPJ4hqNS5oFr4VnE=</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QGtIL4qnNxyaQJCXiwcq/hGM++FgP2WhbiS/IdNfmdw=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2DklB4H0rFwGE4CW0zN9oP/cshrwt1Ds5BVby0feuVQ=</DigestValue>
      </Reference>
      <Reference URI="/xl/worksheets/sheet2.xml?ContentType=application/vnd.openxmlformats-officedocument.spreadsheetml.worksheet+xml">
        <DigestMethod Algorithm="http://www.w3.org/2001/04/xmlenc#sha256"/>
        <DigestValue>kjlTetlKDZn0pc6cZ1EHwhwO7xztS8PanC3owcC28lo=</DigestValue>
      </Reference>
      <Reference URI="/xl/worksheets/sheet3.xml?ContentType=application/vnd.openxmlformats-officedocument.spreadsheetml.worksheet+xml">
        <DigestMethod Algorithm="http://www.w3.org/2001/04/xmlenc#sha256"/>
        <DigestValue>KeHtyU0SA4ebI3hItOAWtbwoUdbB68FDhnGdm+I5c0I=</DigestValue>
      </Reference>
      <Reference URI="/xl/worksheets/sheet4.xml?ContentType=application/vnd.openxmlformats-officedocument.spreadsheetml.worksheet+xml">
        <DigestMethod Algorithm="http://www.w3.org/2001/04/xmlenc#sha256"/>
        <DigestValue>dYqOrBF/eh2OI9wGMk4vqsItjrEHGGMgmSJ2t7qK7cI=</DigestValue>
      </Reference>
      <Reference URI="/xl/worksheets/sheet5.xml?ContentType=application/vnd.openxmlformats-officedocument.spreadsheetml.worksheet+xml">
        <DigestMethod Algorithm="http://www.w3.org/2001/04/xmlenc#sha256"/>
        <DigestValue>L5q4eky9gp8i4S968qSmv+yRzeXDAbpWjBb6e7C28Kw=</DigestValue>
      </Reference>
      <Reference URI="/xl/worksheets/sheet6.xml?ContentType=application/vnd.openxmlformats-officedocument.spreadsheetml.worksheet+xml">
        <DigestMethod Algorithm="http://www.w3.org/2001/04/xmlenc#sha256"/>
        <DigestValue>BbHspDT/D9jx11m3944R9VVUE0C1F//ldlLY3V4k82Y=</DigestValue>
      </Reference>
    </Manifest>
    <SignatureProperties>
      <SignatureProperty Id="idSignatureTime" Target="#idPackageSignature">
        <mdssi:SignatureTime xmlns:mdssi="http://schemas.openxmlformats.org/package/2006/digital-signature">
          <mdssi:Format>YYYY-MM-DDThh:mm:ssTZD</mdssi:Format>
          <mdssi:Value>2025-05-08T07:15:39Z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2025-05-08T07:15:39Z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BCTaiSan_06027</vt:lpstr>
      <vt:lpstr>BCKetQuaHoatDong_06028</vt:lpstr>
      <vt:lpstr>BCDanhMucDauTu_06029</vt:lpstr>
      <vt:lpstr>BCHoatDongVay_06026</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2025-05-08T07:15:37Z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