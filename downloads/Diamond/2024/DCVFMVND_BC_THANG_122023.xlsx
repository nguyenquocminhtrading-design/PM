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240" yWindow="105" windowWidth="14805" windowHeight="801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BCThuNhap_06203" sheetId="13" r:id="rId7"/>
    <sheet name="BCTinhHinhTaiChinh_06105" sheetId="14" r:id="rId8"/>
    <sheet name="GTTSRong_06107" sheetId="12" r:id="rId9"/>
  </sheets>
  <definedNames>
    <definedName name="_xlnm.Print_Area" localSheetId="4">BCHDVay_GDMuaBanLai!$A$1:$K$36</definedName>
    <definedName name="_xlnm.Print_Area" localSheetId="0">TONGQUAN!$A$1:$I$47</definedName>
  </definedNames>
  <calcPr calcId="145621"/>
</workbook>
</file>

<file path=xl/calcChain.xml><?xml version="1.0" encoding="utf-8"?>
<calcChain xmlns="http://schemas.openxmlformats.org/spreadsheetml/2006/main">
  <c r="C13" i="16" l="1"/>
  <c r="E13" i="15"/>
  <c r="F119" i="14" l="1"/>
  <c r="E119" i="14"/>
  <c r="F115" i="14"/>
  <c r="E115" i="14"/>
  <c r="F111" i="14"/>
  <c r="E111" i="14"/>
  <c r="F103" i="14"/>
  <c r="F100" i="14" s="1"/>
  <c r="E103" i="14"/>
  <c r="E100" i="14" s="1"/>
  <c r="F89" i="14"/>
  <c r="F87" i="14" s="1"/>
  <c r="E89" i="14"/>
  <c r="E87" i="14" s="1"/>
  <c r="F77" i="14"/>
  <c r="E77" i="14"/>
  <c r="F72" i="14"/>
  <c r="E72" i="14"/>
  <c r="F58" i="14"/>
  <c r="F56" i="14" s="1"/>
  <c r="E58" i="14"/>
  <c r="E56" i="14" s="1"/>
  <c r="F50" i="14"/>
  <c r="E50" i="14"/>
  <c r="F43" i="14"/>
  <c r="F42" i="14" s="1"/>
  <c r="E43" i="14"/>
  <c r="E42" i="14" s="1"/>
  <c r="F28" i="14"/>
  <c r="F27" i="14" s="1"/>
  <c r="E28" i="14"/>
  <c r="E27" i="14" s="1"/>
  <c r="F20" i="14"/>
  <c r="F19" i="14" s="1"/>
  <c r="E20" i="14"/>
  <c r="E19" i="14" s="1"/>
  <c r="G76" i="13"/>
  <c r="F76" i="13"/>
  <c r="E76" i="13"/>
  <c r="D76" i="13"/>
  <c r="G60" i="13"/>
  <c r="F60" i="13"/>
  <c r="E60" i="13"/>
  <c r="D60" i="13"/>
  <c r="G53" i="13"/>
  <c r="F53" i="13"/>
  <c r="E53" i="13"/>
  <c r="D53" i="13"/>
  <c r="G45" i="13"/>
  <c r="F45" i="13"/>
  <c r="F43" i="13" s="1"/>
  <c r="G36" i="13"/>
  <c r="G35" i="13" s="1"/>
  <c r="F36" i="13"/>
  <c r="F35" i="13" s="1"/>
  <c r="G26" i="13"/>
  <c r="F26" i="13"/>
  <c r="F19" i="13" s="1"/>
  <c r="E26" i="13"/>
  <c r="E19" i="13" s="1"/>
  <c r="D26" i="13"/>
  <c r="D19" i="13" s="1"/>
  <c r="G23" i="13"/>
  <c r="F23" i="13"/>
  <c r="E23" i="13"/>
  <c r="D23" i="13"/>
  <c r="G20" i="13"/>
  <c r="F20" i="13"/>
  <c r="E20" i="13"/>
  <c r="D20" i="13"/>
  <c r="F39" i="14" l="1"/>
  <c r="F66" i="14" s="1"/>
  <c r="E39" i="14"/>
  <c r="E66" i="14" s="1"/>
  <c r="G43" i="13"/>
  <c r="G19" i="13"/>
  <c r="D75" i="13"/>
  <c r="D79" i="13" s="1"/>
  <c r="D83" i="13" s="1"/>
  <c r="E75" i="13"/>
  <c r="E79" i="13" s="1"/>
  <c r="E83" i="13" s="1"/>
  <c r="F75" i="13"/>
  <c r="F79" i="13" s="1"/>
  <c r="F83" i="13" s="1"/>
  <c r="E109" i="14"/>
  <c r="F109" i="14"/>
  <c r="G75" i="13" l="1"/>
  <c r="G79" i="13" s="1"/>
  <c r="G83" i="13" s="1"/>
  <c r="F110" i="14"/>
  <c r="E110" i="14"/>
</calcChain>
</file>

<file path=xl/sharedStrings.xml><?xml version="1.0" encoding="utf-8"?>
<sst xmlns="http://schemas.openxmlformats.org/spreadsheetml/2006/main" count="1436" uniqueCount="1074">
  <si>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</si>
  <si>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</si>
  <si>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</si>
  <si>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Tháng 12 năm 2023 / Dec 2023</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</si>
  <si>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</si>
  <si>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</si>
  <si>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</si>
  <si>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</si>
  <si>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</si>
  <si>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</si>
  <si>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</si>
  <si>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</si>
  <si>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</si>
  <si>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</si>
  <si>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</si>
  <si>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</si>
  <si>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</si>
  <si>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</si>
  <si>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</si>
  <si>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</si>
  <si>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</si>
  <si>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</si>
  <si>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</si>
  <si>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</si>
  <si>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</si>
  <si>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</si>
  <si>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</si>
  <si>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</si>
  <si>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12  năm2023 
As at 31 Dec 2023</t>
  </si>
  <si>
    <t>Tại ngày 30 tháng 11  năm 2023 
As at 30 Nov 2023</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</si>
  <si>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</si>
  <si>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</si>
  <si>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</si>
  <si>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</si>
  <si>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</si>
  <si>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</si>
  <si>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</si>
  <si>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</si>
  <si>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</si>
  <si>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</si>
  <si>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</si>
  <si>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</si>
  <si>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</si>
  <si>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</si>
  <si>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</si>
  <si>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</si>
  <si>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</si>
  <si>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</si>
  <si>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</si>
  <si>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</si>
  <si>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</si>
  <si>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</si>
  <si>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</si>
  <si>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</si>
  <si>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</si>
  <si>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</si>
  <si>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</si>
  <si>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</si>
  <si>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</si>
  <si>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</si>
  <si>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</si>
  <si>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</si>
  <si>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</si>
  <si>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</si>
  <si>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</si>
  <si>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</si>
  <si>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</si>
  <si>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</si>
  <si>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</si>
  <si>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</si>
  <si>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</si>
  <si>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</si>
  <si>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</si>
  <si>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</si>
  <si>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</si>
  <si>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</si>
  <si>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</si>
  <si>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</si>
  <si>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</si>
  <si>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</si>
  <si>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</si>
  <si>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</si>
  <si>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</si>
  <si>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</si>
  <si>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</si>
  <si>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</si>
  <si>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</si>
  <si>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</si>
  <si>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</si>
  <si>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</si>
  <si>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</si>
  <si>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</si>
  <si>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</si>
  <si>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</si>
  <si>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</si>
  <si>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</si>
  <si>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</si>
  <si>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</si>
  <si>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</si>
  <si>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</si>
  <si>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</si>
  <si>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</si>
  <si>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</si>
  <si>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</si>
  <si>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</si>
  <si>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</si>
  <si>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</si>
  <si>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</si>
  <si>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</si>
  <si>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</si>
  <si>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</si>
  <si>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</si>
  <si>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</si>
  <si>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</si>
  <si>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</si>
  <si>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</si>
  <si>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</si>
  <si>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</si>
  <si>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</si>
  <si>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</si>
  <si>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</si>
  <si>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</si>
  <si>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</si>
  <si>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</si>
  <si>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</si>
  <si>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</si>
  <si>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</si>
  <si>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</si>
  <si>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</si>
  <si>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</si>
  <si>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</si>
  <si>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</si>
  <si>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</si>
  <si>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</si>
  <si>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</si>
  <si>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</si>
  <si>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</si>
  <si>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</si>
  <si>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</si>
  <si>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</si>
  <si>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</si>
  <si>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</si>
  <si>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</si>
  <si>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</si>
  <si>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</si>
  <si>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</si>
  <si>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</si>
  <si>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</si>
  <si>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</si>
  <si>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</si>
  <si>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</si>
  <si>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</si>
  <si>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</si>
  <si>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</si>
  <si>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</si>
  <si>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</si>
  <si>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</si>
  <si>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</si>
  <si>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</si>
  <si>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</si>
  <si>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</si>
  <si>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</si>
  <si>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</si>
  <si>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</si>
  <si>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</si>
  <si>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</si>
  <si>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</si>
  <si>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</si>
  <si>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</si>
  <si>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</si>
  <si>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</si>
  <si>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</si>
  <si>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</si>
  <si>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</si>
  <si>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</si>
  <si>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</si>
  <si>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</si>
  <si>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</si>
  <si>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</si>
  <si>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</si>
  <si>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</si>
  <si>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</si>
  <si>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</si>
  <si>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</si>
  <si>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</si>
  <si>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</si>
  <si>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</si>
  <si>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</si>
  <si>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</si>
  <si>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</si>
  <si>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</si>
  <si>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</si>
  <si>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</si>
  <si>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</si>
  <si>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</si>
  <si>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</si>
  <si>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</si>
  <si>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</si>
  <si>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</si>
  <si>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</si>
  <si>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</si>
  <si>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</si>
  <si>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</si>
  <si>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</si>
  <si>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</si>
  <si>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</si>
  <si>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</si>
  <si>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</si>
  <si>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</si>
  <si>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</si>
  <si>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</si>
  <si>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</si>
  <si>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</si>
  <si>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</si>
  <si>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</si>
  <si>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</si>
  <si>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</si>
  <si>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</si>
  <si>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</si>
  <si>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</si>
  <si>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</si>
  <si>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</si>
  <si>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</si>
  <si>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</si>
  <si>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</si>
  <si>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</si>
  <si>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</si>
  <si>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Quyền Giám đốc Nghiệp vụ hỗ trợ đầu tư</t>
  </si>
  <si>
    <t>Lê Hoàng Anh</t>
  </si>
  <si>
    <t>BÁO CÁO VỀ HOẠT ĐỘNG ĐẦU TƯ
REPORT ON INVESTMENT ACTIVITIES</t>
  </si>
  <si>
    <t>Tên quỹ:</t>
  </si>
  <si>
    <t>II. BÁO CÁO KẾT QUẢ HOẠT ĐỘNG / PROFIT AND LOSS REPORT</t>
  </si>
  <si>
    <t>Tháng 12 năm 2023
Dec 2023</t>
  </si>
  <si>
    <t>Tháng 11 năm 2023
Nov 2023</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</si>
  <si>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</si>
  <si>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</si>
  <si>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</si>
  <si>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</si>
  <si>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</si>
  <si>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</si>
  <si>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</si>
  <si>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</si>
  <si>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</si>
  <si>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</si>
  <si>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</si>
  <si>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</si>
  <si>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</si>
  <si>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</si>
  <si>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</si>
  <si>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</si>
  <si>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</si>
  <si>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</si>
  <si>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</si>
  <si>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</si>
  <si>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</si>
  <si>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</si>
  <si>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</si>
  <si>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</si>
  <si>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</si>
  <si>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</si>
  <si>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</si>
  <si>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</si>
  <si>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</si>
  <si>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</si>
  <si>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</si>
  <si>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</si>
  <si>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</si>
  <si>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</si>
  <si>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</si>
  <si>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</si>
  <si>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</si>
  <si>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</si>
  <si>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</si>
  <si>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</si>
  <si>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</si>
  <si>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</si>
  <si>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</si>
  <si>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</si>
  <si>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</si>
  <si>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</si>
  <si>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</si>
  <si>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</si>
  <si>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</si>
  <si>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</si>
  <si>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</si>
  <si>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</si>
  <si>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</si>
  <si>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</si>
  <si>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</si>
  <si>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</si>
  <si>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</si>
  <si>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</si>
  <si>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</si>
  <si>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</si>
  <si>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</si>
  <si>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</si>
  <si>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</si>
  <si>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</si>
  <si>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</si>
  <si>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</si>
  <si>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</si>
  <si>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</si>
  <si>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</si>
  <si>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</si>
  <si>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</si>
  <si>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</si>
  <si>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</si>
  <si>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</si>
  <si>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</si>
  <si>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</si>
  <si>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</si>
  <si>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</si>
  <si>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</si>
  <si>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</si>
  <si>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</si>
  <si>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</si>
  <si>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</si>
  <si>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</si>
  <si>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</si>
  <si>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</si>
  <si>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</si>
  <si>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</si>
  <si>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</si>
  <si>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</si>
  <si>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</si>
  <si>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</si>
  <si>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</si>
  <si>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</si>
  <si>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</si>
  <si>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</si>
  <si>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</si>
  <si>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</si>
  <si>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</si>
  <si>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</si>
  <si>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</si>
  <si>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</si>
  <si>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</si>
  <si>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</si>
  <si>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</si>
  <si>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</si>
  <si>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</si>
  <si>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</si>
  <si>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</si>
  <si>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</si>
  <si>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</si>
  <si>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</si>
  <si>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</si>
  <si>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</si>
  <si>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</si>
  <si>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</si>
  <si>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</si>
  <si>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</si>
  <si>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</si>
  <si>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</si>
  <si>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</si>
  <si>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</si>
  <si>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</si>
  <si>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</si>
  <si>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</si>
  <si>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</si>
  <si>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</si>
  <si>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</si>
  <si>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</si>
  <si>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</si>
  <si>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</si>
  <si>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</si>
  <si>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</si>
  <si>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</si>
  <si>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</si>
  <si>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</si>
  <si>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</si>
  <si>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</si>
  <si>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</si>
  <si>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</si>
  <si>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</si>
  <si>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</si>
  <si>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</si>
  <si>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</si>
  <si>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</si>
  <si>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</si>
  <si>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</si>
  <si>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</si>
  <si>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12 năm 2023 / As at 31 Dec 2023</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</si>
  <si>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</si>
  <si>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</si>
  <si>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</si>
  <si>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</si>
  <si>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</si>
  <si>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</si>
  <si>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</si>
  <si>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</si>
  <si>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</si>
  <si>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</si>
  <si>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</si>
  <si>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</si>
  <si>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</si>
  <si>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</si>
  <si>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</si>
  <si>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</si>
  <si>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</si>
  <si>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</si>
  <si>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</si>
  <si>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</si>
  <si>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</si>
  <si>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</si>
  <si>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</si>
  <si>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</si>
  <si>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</si>
  <si>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</si>
  <si>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</si>
  <si>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</si>
  <si>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</si>
  <si>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</si>
  <si>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</si>
  <si>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</si>
  <si>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</si>
  <si>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</si>
  <si>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</si>
  <si>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</si>
  <si>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</si>
  <si>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</si>
  <si>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</si>
  <si>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</si>
  <si>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</si>
  <si>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</si>
  <si>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</si>
  <si>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</si>
  <si>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</si>
  <si>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</si>
  <si>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</si>
  <si>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</si>
  <si>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</si>
  <si>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</si>
  <si>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</si>
  <si>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</si>
  <si>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</si>
  <si>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</si>
  <si>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</si>
  <si>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</si>
  <si>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</si>
  <si>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</si>
  <si>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</si>
  <si>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</si>
  <si>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</si>
  <si>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</si>
  <si>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</si>
  <si>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</si>
  <si>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</si>
  <si>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</si>
  <si>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</si>
  <si>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</si>
  <si>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</si>
  <si>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</si>
  <si>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</si>
  <si>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</si>
  <si>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</si>
  <si>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</si>
  <si>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</si>
  <si>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</si>
  <si>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</si>
  <si>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</si>
  <si>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</si>
  <si>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</si>
  <si>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</si>
  <si>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</si>
  <si>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</si>
  <si>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</si>
  <si>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</si>
  <si>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</si>
  <si>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</si>
  <si>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</si>
  <si>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</si>
  <si>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</si>
  <si>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</si>
  <si>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</si>
  <si>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</si>
  <si>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</si>
  <si>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</si>
  <si>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</si>
  <si>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</si>
  <si>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</si>
  <si>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</si>
  <si>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</si>
  <si>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</si>
  <si>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</si>
  <si>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</si>
  <si>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</si>
  <si>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</si>
  <si>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</si>
  <si>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</si>
  <si>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</si>
  <si>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</si>
  <si>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</si>
  <si>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</si>
  <si>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</si>
  <si>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</si>
  <si>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</si>
  <si>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</si>
  <si>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</si>
  <si>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</si>
  <si>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</si>
  <si>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</si>
  <si>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</si>
  <si>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</si>
  <si>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</si>
  <si>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</si>
  <si>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</si>
  <si>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</si>
  <si>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</si>
  <si>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</si>
  <si>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</si>
  <si>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</si>
  <si>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</si>
  <si>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</si>
  <si>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</si>
  <si>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</si>
  <si>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</si>
  <si>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</si>
  <si>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</si>
  <si>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</si>
  <si>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</si>
  <si>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</si>
  <si>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</si>
  <si>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</si>
  <si>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</si>
  <si>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</si>
  <si>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</si>
  <si>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</si>
  <si>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</si>
  <si>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</si>
  <si>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</si>
  <si>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</si>
  <si>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</si>
  <si>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</si>
  <si>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</si>
  <si>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</si>
  <si>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</si>
  <si>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</si>
  <si>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</si>
  <si>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</si>
  <si>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</si>
  <si>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</si>
  <si>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</si>
  <si>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</si>
  <si>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</si>
  <si>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</si>
  <si>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</si>
  <si>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</si>
  <si>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</si>
  <si>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</si>
  <si>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</si>
  <si>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</si>
  <si>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</si>
  <si>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</si>
  <si>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</si>
  <si>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</si>
  <si>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</si>
  <si>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</si>
  <si>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</si>
  <si>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</si>
  <si>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</si>
  <si>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</si>
  <si>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</si>
  <si>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</si>
  <si>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</si>
  <si>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</si>
  <si>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</si>
  <si>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</si>
  <si>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</si>
  <si>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</si>
  <si>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</si>
  <si>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</si>
  <si>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</si>
  <si>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</si>
  <si>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</si>
  <si>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</si>
  <si>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</si>
  <si>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</si>
  <si>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</si>
  <si>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</si>
  <si>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</si>
  <si>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</si>
  <si>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</si>
  <si>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</si>
  <si>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</si>
  <si>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</si>
  <si>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</si>
  <si>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</si>
  <si>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</si>
  <si>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</si>
  <si>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</si>
  <si>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</si>
  <si>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</si>
  <si>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</si>
  <si>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</si>
  <si>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</si>
  <si>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</si>
  <si>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</si>
  <si>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</si>
  <si>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</si>
  <si>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</si>
  <si>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</si>
  <si>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</si>
  <si>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(Ký, họ tên)</t>
  </si>
  <si>
    <t>(Ký, họ tên, đóng dấu)</t>
  </si>
  <si>
    <t>Vương Thị Trâm Anh</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</si>
  <si>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</si>
  <si>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</si>
  <si>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</si>
  <si>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</si>
  <si>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</si>
  <si>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</si>
  <si>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</si>
  <si>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2023
YEAR 2023</t>
  </si>
  <si>
    <t>NĂM 2022
YEAR 2022</t>
  </si>
  <si>
    <t>Số lũy kế
Year-to-date</t>
  </si>
  <si>
    <t>Tháng 12 năm 2022
Dec 2022</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</si>
  <si>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</si>
  <si>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</si>
  <si>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</si>
  <si>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</si>
  <si>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</si>
  <si>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</si>
  <si>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</si>
  <si>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</si>
  <si>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</si>
  <si>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</si>
  <si>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</si>
  <si>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</si>
  <si>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</si>
  <si>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</si>
  <si>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</si>
  <si>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</si>
  <si>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</si>
  <si>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</si>
  <si>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</si>
  <si>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</si>
  <si>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</si>
  <si>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</si>
  <si>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</si>
  <si>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</si>
  <si>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</si>
  <si>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</si>
  <si>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</si>
  <si>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</si>
  <si>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</si>
  <si>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</si>
  <si>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</si>
  <si>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</si>
  <si>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</si>
  <si>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</si>
  <si>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</si>
  <si>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</si>
  <si>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</si>
  <si>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</si>
  <si>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</si>
  <si>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</si>
  <si>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</si>
  <si>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</si>
  <si>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</si>
  <si>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</si>
  <si>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</si>
  <si>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</si>
  <si>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</si>
  <si>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</si>
  <si>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</si>
  <si>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</si>
  <si>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</si>
  <si>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</si>
  <si>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</si>
  <si>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</si>
  <si>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</si>
  <si>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</si>
  <si>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</si>
  <si>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</si>
  <si>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</si>
  <si>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</si>
  <si>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</si>
  <si>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</si>
  <si>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</si>
  <si>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</si>
  <si>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</si>
  <si>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</si>
  <si>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</si>
  <si>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</si>
  <si>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</si>
  <si>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</si>
  <si>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</si>
  <si>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</si>
  <si>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</si>
  <si>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</si>
  <si>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</si>
  <si>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</si>
  <si>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</si>
  <si>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</si>
  <si>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</si>
  <si>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</si>
  <si>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</si>
  <si>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</si>
  <si>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</si>
  <si>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</si>
  <si>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</si>
  <si>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</si>
  <si>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</si>
  <si>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</si>
  <si>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</si>
  <si>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</si>
  <si>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</si>
  <si>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</si>
  <si>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</si>
  <si>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</si>
  <si>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</si>
  <si>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</si>
  <si>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</si>
  <si>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</si>
  <si>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</si>
  <si>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</si>
  <si>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</si>
  <si>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</si>
  <si>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</si>
  <si>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</si>
  <si>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</si>
  <si>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</si>
  <si>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</si>
  <si>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</si>
  <si>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</si>
  <si>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</si>
  <si>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</si>
  <si>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</si>
  <si>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</si>
  <si>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</si>
  <si>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</si>
  <si>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</si>
  <si>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</si>
  <si>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</si>
  <si>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</si>
  <si>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</si>
  <si>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</si>
  <si>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</si>
  <si>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</si>
  <si>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</si>
  <si>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</si>
  <si>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</si>
  <si>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Tại ngày: 31 tháng 12 năm 2023 / As at 31 Dec 2023</t>
  </si>
  <si>
    <t>CHỈ TIÊU
Indicators</t>
  </si>
  <si>
    <t>Thuyết minh
Notes</t>
  </si>
  <si>
    <t>Tại ngày 31 tháng 12  năm 2023 
As at 31 Dec 2023</t>
  </si>
  <si>
    <t>Tại ngày 30 tháng 11  năm 2023 
As at 30 Nov 2023</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</si>
  <si>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</si>
  <si>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</si>
  <si>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</si>
  <si>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</si>
  <si>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</si>
  <si>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</si>
  <si>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</si>
  <si>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</si>
  <si>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</si>
  <si>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</si>
  <si>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</si>
  <si>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</si>
  <si>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</si>
  <si>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</si>
  <si>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</si>
  <si>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</si>
  <si>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</si>
  <si>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</si>
  <si>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</si>
  <si>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</si>
  <si>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</si>
  <si>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</si>
  <si>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</si>
  <si>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</si>
  <si>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</si>
  <si>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</si>
  <si>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</si>
  <si>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</si>
  <si>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</si>
  <si>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</si>
  <si>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</si>
  <si>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</si>
  <si>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</si>
  <si>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</si>
  <si>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</si>
  <si>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</si>
  <si>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</si>
  <si>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</si>
  <si>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</si>
  <si>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</si>
  <si>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</si>
  <si>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</si>
  <si>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</si>
  <si>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</si>
  <si>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</si>
  <si>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</si>
  <si>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</si>
  <si>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</si>
  <si>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</si>
  <si>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</si>
  <si>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</si>
  <si>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</si>
  <si>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</si>
  <si>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</si>
  <si>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</si>
  <si>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</si>
  <si>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</si>
  <si>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</si>
  <si>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</si>
  <si>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</si>
  <si>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</si>
  <si>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</si>
  <si>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</si>
  <si>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</si>
  <si>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</si>
  <si>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</si>
  <si>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</si>
  <si>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</si>
  <si>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</si>
  <si>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</si>
  <si>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</si>
  <si>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</si>
  <si>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</si>
  <si>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</si>
  <si>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</si>
  <si>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</si>
  <si>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</si>
  <si>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</si>
  <si>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</si>
  <si>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</si>
  <si>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</si>
  <si>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</si>
  <si>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</si>
  <si>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</si>
  <si>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</si>
  <si>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</si>
  <si>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</si>
  <si>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</si>
  <si>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</si>
  <si>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</si>
  <si>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</si>
  <si>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</si>
  <si>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</si>
  <si>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</si>
  <si>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</si>
  <si>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</si>
  <si>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</si>
  <si>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</si>
  <si>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</si>
  <si>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</si>
  <si>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</si>
  <si>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</si>
  <si>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</si>
  <si>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</si>
  <si>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</si>
  <si>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</si>
  <si>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</si>
  <si>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</si>
  <si>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</si>
  <si>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</si>
  <si>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</si>
  <si>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</si>
  <si>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</si>
  <si>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</si>
  <si>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</si>
  <si>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</si>
  <si>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</si>
  <si>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</si>
  <si>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</si>
  <si>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</si>
  <si>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</si>
  <si>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</si>
  <si>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</si>
  <si>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</si>
  <si>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</si>
  <si>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</si>
  <si>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</si>
  <si>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</si>
  <si>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</si>
  <si>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</si>
  <si>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</si>
  <si>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</si>
  <si>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</si>
  <si>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</si>
  <si>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</si>
  <si>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</si>
  <si>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</si>
  <si>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</si>
  <si>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</si>
  <si>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</si>
  <si>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</si>
  <si>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</si>
  <si>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</si>
  <si>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</si>
  <si>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</si>
  <si>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</si>
  <si>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</si>
  <si>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</si>
  <si>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</si>
  <si>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</si>
  <si>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</si>
  <si>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</si>
  <si>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</si>
  <si>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</si>
  <si>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</si>
  <si>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</si>
  <si>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</si>
  <si>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</si>
  <si>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</si>
  <si>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</si>
  <si>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</si>
  <si>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</si>
  <si>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</si>
  <si>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</si>
  <si>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</si>
  <si>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</si>
  <si>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</si>
  <si>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</si>
  <si>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</si>
  <si>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</si>
  <si>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</si>
  <si>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</si>
  <si>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</si>
  <si>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</si>
  <si>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</si>
  <si>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</si>
  <si>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</si>
  <si>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</si>
  <si>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</si>
  <si>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</si>
  <si>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</si>
  <si>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</si>
  <si>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</si>
  <si>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</si>
  <si>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</si>
  <si>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</si>
  <si>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</si>
  <si>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</si>
  <si>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</si>
  <si>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</si>
  <si>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</si>
  <si>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</si>
  <si>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</si>
  <si>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</si>
  <si>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</si>
  <si>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</si>
  <si>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</si>
  <si>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</si>
  <si>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</si>
  <si>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</si>
  <si>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</si>
  <si>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</si>
  <si>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</si>
  <si>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</si>
  <si>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</si>
  <si>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</si>
  <si>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</si>
  <si>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</si>
  <si>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</si>
  <si>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</si>
  <si>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</si>
  <si>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</si>
  <si>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</si>
  <si>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</si>
  <si>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</si>
  <si>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</si>
  <si>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</si>
  <si>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441</t>
  </si>
  <si>
    <t>442</t>
  </si>
  <si>
    <t>VI. CÁC CHỈ TIÊU NGOÀI BÁO CÁO TÌNH HÌNH TÀI CHÍNH
OFF BALANCE SHEET ITEMS</t>
  </si>
  <si>
    <t>001</t>
  </si>
  <si>
    <t>002</t>
  </si>
  <si>
    <t>003</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</si>
  <si>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</si>
  <si>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</si>
  <si>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</si>
  <si>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</si>
  <si>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</si>
  <si>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</si>
  <si>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</si>
  <si>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</si>
  <si>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</si>
  <si>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</si>
  <si>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</si>
  <si>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</si>
  <si>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</si>
  <si>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</si>
  <si>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</si>
  <si>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</si>
  <si>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</si>
  <si>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</si>
  <si>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</si>
  <si>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</si>
  <si>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</si>
  <si>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</si>
  <si>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</si>
  <si>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</si>
  <si>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</si>
  <si>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</si>
  <si>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</si>
  <si>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</si>
  <si>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</si>
  <si>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</si>
  <si>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</si>
  <si>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</si>
  <si>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</si>
  <si>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</si>
  <si>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</si>
  <si>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</si>
  <si>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</si>
  <si>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</si>
  <si>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</si>
  <si>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</si>
  <si>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</si>
  <si>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</si>
  <si>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</si>
  <si>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</si>
  <si>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</si>
  <si>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</si>
  <si>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</si>
  <si>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</si>
  <si>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</si>
  <si>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</si>
  <si>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</si>
  <si>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</si>
  <si>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</si>
  <si>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</si>
  <si>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</si>
  <si>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</si>
  <si>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</si>
  <si>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</si>
  <si>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</si>
  <si>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</si>
  <si>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</si>
  <si>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</si>
  <si>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</si>
  <si>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</si>
  <si>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</si>
  <si>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</si>
  <si>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</si>
  <si>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</si>
  <si>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</si>
  <si>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</si>
  <si>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</si>
  <si>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</si>
  <si>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</si>
  <si>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</si>
  <si>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</si>
  <si>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</si>
  <si>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</si>
  <si>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</si>
  <si>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</si>
  <si>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</si>
  <si>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</si>
  <si>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</si>
  <si>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</si>
  <si>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Trưởng phòng Kế toán quỹ</t>
  </si>
  <si>
    <t>Ninh Thị Tuệ Minh</t>
  </si>
  <si>
    <t>Số lượng Chứng khoán bị hạn chế đang nắm giữ hộ Nhà đầu tư
Restricted securities quantity fund holds on behalf of AP/ investors</t>
  </si>
  <si>
    <t>005</t>
  </si>
  <si>
    <t>TP Kế toán quỹ</t>
  </si>
  <si>
    <t>Lợi nhuận/Tài sản đã phân phối cho Nhà đầu tư trong năm
Distributed earnings assets in the period</t>
  </si>
  <si>
    <t>Lợi nhuận đã phân phối cho Nhà đầu tư lũy kế từ khi thành lập Quỹ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</si>
  <si>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</si>
  <si>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</si>
  <si>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</si>
  <si>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</si>
  <si>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Mẫu số B03-ETF: Mẫu báo cáo thay đổi giá trị tài sản ròng, giao dịch chứng chỉ quỹ
Template B03 - ETF: Report on change of Net Asset Value, trading of Fund Certificate</t>
  </si>
  <si>
    <t>Quyền Giám đốc Nghiệp vụ 
hỗ trợ đầu tư</t>
  </si>
  <si>
    <t>Tại ngày 31 tháng 12 năm 2023/ As at 31 Dec 2023</t>
  </si>
  <si>
    <t>Tháng 12 năm 2023/ Dec 2023</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</si>
  <si>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</si>
  <si>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</si>
  <si>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Phó Trưởng Phòng DVKHTC2</t>
  </si>
  <si>
    <t>Nguyễn Xuân Lượng</t>
  </si>
  <si>
    <t>NGUYỄN XUÂN LƯỢNG</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</si>
</sst>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5">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8"/>
      <color rgb="FF000000"/>
      <name val="Tahoma"/>
      <family val="2"/>
    </font>
    <font>
      <b/>
      <sz val="10"/>
      <color rgb="FF000000"/>
      <name val="Tahoma"/>
      <family val="2"/>
    </font>
    <font>
      <i/>
      <sz val="7"/>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3">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70" fontId="24" fillId="0" borderId="0" applyFont="0" applyFill="0" applyBorder="0" applyAlignment="0" applyProtection="0"/>
    <xf numFmtId="0" fontId="1" fillId="0" borderId="0"/>
    <xf numFmtId="0" fontId="15" fillId="0" borderId="0"/>
  </cellStyleXfs>
  <cellXfs count="342">
    <xf numFmtId="0" fontId="0" fillId="0" borderId="0" xfId="0"/>
    <xf numFmtId="0" fontId="10" fillId="4" borderId="0" xfId="0" applyFont="1" applyFill="1"/>
    <xf numFmtId="0" fontId="10" fillId="4" borderId="0" xfId="0" applyFont="1" applyFill="1" applyAlignment="1">
      <alignment horizontal="left"/>
    </xf>
    <xf numFmtId="0" fontId="9" fillId="5" borderId="4" xfId="0" applyFont="1" applyFill="1" applyBorder="1" applyAlignment="1">
      <alignment vertical="center"/>
    </xf>
    <xf numFmtId="0" fontId="9" fillId="5" borderId="4" xfId="0" applyFont="1" applyFill="1" applyBorder="1" applyAlignment="1">
      <alignment vertical="center" wrapText="1"/>
    </xf>
    <xf numFmtId="0" fontId="9" fillId="5" borderId="5"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0" xfId="0" applyFont="1" applyFill="1" applyBorder="1" applyAlignment="1">
      <alignment vertical="center" wrapText="1"/>
    </xf>
    <xf numFmtId="166" fontId="9" fillId="5" borderId="0" xfId="0" applyNumberFormat="1" applyFont="1" applyFill="1" applyBorder="1" applyAlignment="1">
      <alignment horizontal="left" vertical="center"/>
    </xf>
    <xf numFmtId="169" fontId="10" fillId="5" borderId="8"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1" xfId="0" applyFont="1" applyFill="1" applyBorder="1" applyAlignment="1">
      <alignment horizontal="center" vertical="center"/>
    </xf>
    <xf numFmtId="0" fontId="9"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20" fillId="4" borderId="11" xfId="6" applyFont="1" applyFill="1" applyBorder="1" applyAlignment="1">
      <alignment horizontal="center" vertical="center"/>
    </xf>
    <xf numFmtId="0" fontId="20" fillId="4" borderId="11" xfId="6" quotePrefix="1" applyFont="1" applyFill="1" applyBorder="1" applyAlignment="1">
      <alignment horizontal="center" vertical="center"/>
    </xf>
    <xf numFmtId="0" fontId="17" fillId="4" borderId="11"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1" xfId="7" applyFont="1" applyFill="1" applyBorder="1" applyAlignment="1">
      <alignment horizontal="center" vertical="center" wrapText="1"/>
    </xf>
    <xf numFmtId="0" fontId="22" fillId="0" borderId="11" xfId="7" applyFont="1" applyFill="1" applyBorder="1" applyAlignment="1">
      <alignment horizontal="center" vertical="center"/>
    </xf>
    <xf numFmtId="49" fontId="22" fillId="0" borderId="11" xfId="7" applyNumberFormat="1" applyFont="1" applyFill="1" applyBorder="1" applyAlignment="1" applyProtection="1">
      <alignment horizontal="left" vertical="center" wrapText="1"/>
    </xf>
    <xf numFmtId="49" fontId="29" fillId="0" borderId="11" xfId="7" applyNumberFormat="1" applyFont="1" applyFill="1" applyBorder="1" applyAlignment="1" applyProtection="1">
      <alignment horizontal="center" vertical="center" wrapText="1"/>
    </xf>
    <xf numFmtId="49" fontId="27" fillId="0" borderId="11" xfId="7" applyNumberFormat="1" applyFont="1" applyFill="1" applyBorder="1" applyAlignment="1" applyProtection="1">
      <alignment horizontal="left" vertical="center" wrapText="1"/>
    </xf>
    <xf numFmtId="49" fontId="22" fillId="0" borderId="11" xfId="7" applyNumberFormat="1" applyFont="1" applyFill="1" applyBorder="1" applyAlignment="1" applyProtection="1">
      <alignment horizontal="center" vertical="center" wrapText="1"/>
    </xf>
    <xf numFmtId="0" fontId="8" fillId="5" borderId="0" xfId="7" applyFont="1" applyFill="1"/>
    <xf numFmtId="173" fontId="28" fillId="5" borderId="0" xfId="10" applyNumberFormat="1" applyFont="1" applyFill="1" applyAlignment="1">
      <alignment vertical="center" wrapText="1"/>
    </xf>
    <xf numFmtId="0" fontId="27" fillId="5" borderId="0" xfId="10" applyFont="1" applyFill="1" applyBorder="1" applyAlignment="1">
      <alignment vertical="center"/>
    </xf>
    <xf numFmtId="171"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1" fontId="28" fillId="5" borderId="0" xfId="8" applyNumberFormat="1" applyFont="1" applyFill="1" applyBorder="1" applyAlignment="1">
      <alignment horizontal="right" vertical="center" wrapText="1"/>
    </xf>
    <xf numFmtId="171"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1" fontId="28" fillId="5" borderId="0" xfId="8" applyNumberFormat="1" applyFont="1" applyFill="1" applyBorder="1" applyAlignment="1">
      <alignment horizontal="right" vertical="center"/>
    </xf>
    <xf numFmtId="171"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1"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7" xfId="10" applyNumberFormat="1" applyFont="1" applyFill="1" applyBorder="1" applyAlignment="1">
      <alignment vertical="center"/>
    </xf>
    <xf numFmtId="171" fontId="27" fillId="5" borderId="7"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25" fillId="6" borderId="0" xfId="0" applyFont="1" applyFill="1" applyAlignment="1">
      <alignment horizontal="left" vertical="top"/>
    </xf>
    <xf numFmtId="43" fontId="22" fillId="0" borderId="0" xfId="2" applyFont="1"/>
    <xf numFmtId="0" fontId="22" fillId="0" borderId="0" xfId="0" applyFont="1"/>
    <xf numFmtId="43" fontId="10" fillId="0" borderId="0" xfId="2" applyFont="1"/>
    <xf numFmtId="0" fontId="10" fillId="0" borderId="0" xfId="0" applyFont="1"/>
    <xf numFmtId="0" fontId="30" fillId="6" borderId="0" xfId="0" applyFont="1" applyFill="1" applyAlignment="1">
      <alignment horizontal="left" vertical="center"/>
    </xf>
    <xf numFmtId="0" fontId="25" fillId="6" borderId="0" xfId="0" applyFont="1" applyFill="1" applyAlignment="1">
      <alignment horizontal="left" vertical="center"/>
    </xf>
    <xf numFmtId="0" fontId="25" fillId="6" borderId="16" xfId="0" applyFont="1" applyFill="1" applyBorder="1" applyAlignment="1">
      <alignment horizontal="left" vertical="top"/>
    </xf>
    <xf numFmtId="43" fontId="22" fillId="0" borderId="0" xfId="2" applyFont="1" applyAlignment="1">
      <alignment horizontal="center" vertical="center"/>
    </xf>
    <xf numFmtId="0" fontId="22" fillId="0" borderId="0" xfId="0" applyFont="1" applyAlignment="1">
      <alignment horizontal="center" vertical="center"/>
    </xf>
    <xf numFmtId="0" fontId="30" fillId="3" borderId="2" xfId="0" applyNumberFormat="1" applyFont="1" applyFill="1" applyBorder="1" applyAlignment="1" applyProtection="1">
      <alignment horizontal="center" vertical="center" wrapText="1"/>
    </xf>
    <xf numFmtId="0" fontId="30" fillId="3" borderId="21" xfId="0" applyNumberFormat="1" applyFont="1" applyFill="1" applyBorder="1" applyAlignment="1" applyProtection="1">
      <alignment horizontal="center" vertical="center" wrapText="1"/>
    </xf>
    <xf numFmtId="0" fontId="30" fillId="6" borderId="22" xfId="0" applyFont="1" applyFill="1" applyBorder="1" applyAlignment="1">
      <alignment horizontal="left" vertical="center" wrapText="1"/>
    </xf>
    <xf numFmtId="0" fontId="30" fillId="6" borderId="1" xfId="0" applyFont="1" applyFill="1" applyBorder="1" applyAlignment="1">
      <alignment horizontal="center" vertical="center" wrapText="1"/>
    </xf>
    <xf numFmtId="0" fontId="30" fillId="6" borderId="1" xfId="0" applyFont="1" applyFill="1" applyBorder="1" applyAlignment="1">
      <alignment horizontal="center" vertical="center"/>
    </xf>
    <xf numFmtId="171" fontId="30" fillId="6" borderId="1" xfId="2" applyNumberFormat="1" applyFont="1" applyFill="1" applyBorder="1" applyAlignment="1">
      <alignment horizontal="right" vertical="center"/>
    </xf>
    <xf numFmtId="171" fontId="30" fillId="6" borderId="23" xfId="2" applyNumberFormat="1" applyFont="1" applyFill="1" applyBorder="1" applyAlignment="1">
      <alignment horizontal="right" vertical="center"/>
    </xf>
    <xf numFmtId="43" fontId="22" fillId="0" borderId="0" xfId="2" applyFont="1" applyAlignment="1">
      <alignment vertical="center"/>
    </xf>
    <xf numFmtId="0" fontId="22" fillId="0" borderId="0" xfId="0" applyFont="1" applyAlignment="1">
      <alignment vertical="center"/>
    </xf>
    <xf numFmtId="0" fontId="25" fillId="6" borderId="22"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25" fillId="6" borderId="1" xfId="0" applyFont="1" applyFill="1" applyBorder="1" applyAlignment="1">
      <alignment horizontal="center" vertical="center"/>
    </xf>
    <xf numFmtId="171" fontId="25" fillId="6" borderId="1" xfId="2" applyNumberFormat="1" applyFont="1" applyFill="1" applyBorder="1" applyAlignment="1">
      <alignment horizontal="right" vertical="center"/>
    </xf>
    <xf numFmtId="171" fontId="25" fillId="6" borderId="23" xfId="2" applyNumberFormat="1" applyFont="1" applyFill="1" applyBorder="1" applyAlignment="1">
      <alignment horizontal="right" vertical="center"/>
    </xf>
    <xf numFmtId="0" fontId="31" fillId="6" borderId="22" xfId="0" applyFont="1" applyFill="1" applyBorder="1" applyAlignment="1">
      <alignment horizontal="left" vertical="center" wrapText="1"/>
    </xf>
    <xf numFmtId="0" fontId="31" fillId="6" borderId="1" xfId="0" applyFont="1" applyFill="1" applyBorder="1" applyAlignment="1">
      <alignment horizontal="center" vertical="center" wrapText="1"/>
    </xf>
    <xf numFmtId="0" fontId="31" fillId="6" borderId="1" xfId="0" applyFont="1" applyFill="1" applyBorder="1" applyAlignment="1">
      <alignment horizontal="center" vertical="center"/>
    </xf>
    <xf numFmtId="171" fontId="31" fillId="6" borderId="1" xfId="2" applyNumberFormat="1" applyFont="1" applyFill="1" applyBorder="1" applyAlignment="1">
      <alignment horizontal="right" vertical="center"/>
    </xf>
    <xf numFmtId="171" fontId="31" fillId="6" borderId="23" xfId="2" applyNumberFormat="1" applyFont="1" applyFill="1" applyBorder="1" applyAlignment="1">
      <alignment horizontal="right" vertical="center"/>
    </xf>
    <xf numFmtId="0" fontId="30" fillId="6" borderId="24" xfId="0" applyFont="1" applyFill="1" applyBorder="1" applyAlignment="1">
      <alignment horizontal="left" vertical="center" wrapText="1"/>
    </xf>
    <xf numFmtId="0" fontId="30" fillId="6" borderId="25" xfId="0" applyFont="1" applyFill="1" applyBorder="1" applyAlignment="1">
      <alignment horizontal="center" vertical="center" wrapText="1"/>
    </xf>
    <xf numFmtId="0" fontId="30" fillId="6" borderId="25" xfId="0" applyFont="1" applyFill="1" applyBorder="1" applyAlignment="1">
      <alignment horizontal="center" vertical="center"/>
    </xf>
    <xf numFmtId="171" fontId="30" fillId="6" borderId="25" xfId="2" applyNumberFormat="1" applyFont="1" applyFill="1" applyBorder="1" applyAlignment="1">
      <alignment horizontal="right" vertical="center"/>
    </xf>
    <xf numFmtId="171" fontId="30" fillId="6" borderId="26" xfId="2" applyNumberFormat="1" applyFont="1" applyFill="1" applyBorder="1" applyAlignment="1">
      <alignment horizontal="right" vertical="center"/>
    </xf>
    <xf numFmtId="0" fontId="30" fillId="6" borderId="0" xfId="0" applyFont="1" applyFill="1" applyAlignment="1">
      <alignment horizontal="center" vertical="top"/>
    </xf>
    <xf numFmtId="0" fontId="31" fillId="6" borderId="0" xfId="0" applyFont="1" applyFill="1" applyAlignment="1">
      <alignment horizontal="center" vertical="top"/>
    </xf>
    <xf numFmtId="0" fontId="22" fillId="0" borderId="0" xfId="0" applyFont="1" applyAlignment="1">
      <alignment wrapText="1"/>
    </xf>
    <xf numFmtId="0" fontId="31" fillId="6" borderId="0" xfId="0" applyFont="1" applyFill="1" applyAlignment="1">
      <alignment horizontal="center" vertical="center"/>
    </xf>
    <xf numFmtId="0" fontId="31" fillId="6" borderId="0" xfId="0" applyFont="1" applyFill="1" applyAlignment="1">
      <alignment horizontal="center"/>
    </xf>
    <xf numFmtId="0" fontId="31" fillId="6" borderId="0" xfId="0" applyFont="1" applyFill="1" applyAlignment="1">
      <alignment horizontal="right" vertical="top"/>
    </xf>
    <xf numFmtId="0" fontId="25" fillId="6" borderId="16" xfId="0" applyFont="1" applyFill="1" applyBorder="1" applyAlignment="1">
      <alignment horizontal="right" vertical="top"/>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14" fontId="30" fillId="3" borderId="18" xfId="0" applyNumberFormat="1" applyFont="1" applyFill="1" applyBorder="1" applyAlignment="1">
      <alignment horizontal="center" vertical="center" wrapText="1"/>
    </xf>
    <xf numFmtId="0" fontId="30" fillId="3" borderId="19" xfId="0" applyFont="1" applyFill="1" applyBorder="1" applyAlignment="1">
      <alignment horizontal="center" vertical="center" wrapText="1"/>
    </xf>
    <xf numFmtId="167" fontId="30" fillId="6" borderId="22" xfId="0" applyNumberFormat="1" applyFont="1" applyFill="1" applyBorder="1" applyAlignment="1">
      <alignment horizontal="center" vertical="top"/>
    </xf>
    <xf numFmtId="167" fontId="30" fillId="6" borderId="1" xfId="0" applyNumberFormat="1" applyFont="1" applyFill="1" applyBorder="1" applyAlignment="1">
      <alignment horizontal="left" vertical="top" wrapText="1"/>
    </xf>
    <xf numFmtId="167" fontId="30" fillId="6" borderId="1" xfId="0" applyNumberFormat="1" applyFont="1" applyFill="1" applyBorder="1" applyAlignment="1">
      <alignment horizontal="center" vertical="top"/>
    </xf>
    <xf numFmtId="167" fontId="30" fillId="6" borderId="1" xfId="0" applyNumberFormat="1" applyFont="1" applyFill="1" applyBorder="1" applyAlignment="1">
      <alignment horizontal="right" vertical="top"/>
    </xf>
    <xf numFmtId="167" fontId="30" fillId="6" borderId="23" xfId="0" applyNumberFormat="1" applyFont="1" applyFill="1" applyBorder="1" applyAlignment="1">
      <alignment horizontal="right" vertical="top"/>
    </xf>
    <xf numFmtId="171" fontId="30" fillId="6" borderId="1" xfId="2" applyNumberFormat="1" applyFont="1" applyFill="1" applyBorder="1" applyAlignment="1">
      <alignment horizontal="right" vertical="top"/>
    </xf>
    <xf numFmtId="171" fontId="30" fillId="6" borderId="23" xfId="2" applyNumberFormat="1" applyFont="1" applyFill="1" applyBorder="1" applyAlignment="1">
      <alignment horizontal="right" vertical="top"/>
    </xf>
    <xf numFmtId="171" fontId="22" fillId="0" borderId="0" xfId="0" applyNumberFormat="1" applyFont="1"/>
    <xf numFmtId="167" fontId="25" fillId="6" borderId="22" xfId="0" applyNumberFormat="1" applyFont="1" applyFill="1" applyBorder="1" applyAlignment="1">
      <alignment horizontal="center" vertical="top"/>
    </xf>
    <xf numFmtId="167" fontId="25" fillId="6" borderId="1" xfId="0" applyNumberFormat="1" applyFont="1" applyFill="1" applyBorder="1" applyAlignment="1">
      <alignment horizontal="left" vertical="top" wrapText="1"/>
    </xf>
    <xf numFmtId="167" fontId="25" fillId="6" borderId="1" xfId="0" applyNumberFormat="1" applyFont="1" applyFill="1" applyBorder="1" applyAlignment="1">
      <alignment horizontal="center" vertical="top"/>
    </xf>
    <xf numFmtId="171" fontId="25" fillId="6" borderId="1" xfId="2" applyNumberFormat="1" applyFont="1" applyFill="1" applyBorder="1" applyAlignment="1">
      <alignment horizontal="right" vertical="top"/>
    </xf>
    <xf numFmtId="171" fontId="25" fillId="6" borderId="23" xfId="2" applyNumberFormat="1" applyFont="1" applyFill="1" applyBorder="1" applyAlignment="1">
      <alignment horizontal="right" vertical="top"/>
    </xf>
    <xf numFmtId="167" fontId="31" fillId="6" borderId="22" xfId="0" applyNumberFormat="1" applyFont="1" applyFill="1" applyBorder="1" applyAlignment="1">
      <alignment horizontal="center" vertical="top"/>
    </xf>
    <xf numFmtId="167" fontId="31" fillId="6" borderId="1" xfId="0" applyNumberFormat="1" applyFont="1" applyFill="1" applyBorder="1" applyAlignment="1">
      <alignment horizontal="left" vertical="top" wrapText="1"/>
    </xf>
    <xf numFmtId="167" fontId="31" fillId="6" borderId="1" xfId="0" applyNumberFormat="1" applyFont="1" applyFill="1" applyBorder="1" applyAlignment="1">
      <alignment horizontal="center" vertical="top"/>
    </xf>
    <xf numFmtId="171" fontId="31" fillId="6" borderId="1" xfId="2" applyNumberFormat="1" applyFont="1" applyFill="1" applyBorder="1" applyAlignment="1">
      <alignment horizontal="right" vertical="top"/>
    </xf>
    <xf numFmtId="171" fontId="31" fillId="6" borderId="23" xfId="2" applyNumberFormat="1" applyFont="1" applyFill="1" applyBorder="1" applyAlignment="1">
      <alignment horizontal="right" vertical="top"/>
    </xf>
    <xf numFmtId="171" fontId="25" fillId="6" borderId="1" xfId="2" applyNumberFormat="1" applyFont="1" applyFill="1" applyBorder="1" applyAlignment="1" applyProtection="1">
      <alignment horizontal="right" vertical="top"/>
    </xf>
    <xf numFmtId="171" fontId="25" fillId="6" borderId="23" xfId="2" applyNumberFormat="1" applyFont="1" applyFill="1" applyBorder="1" applyAlignment="1" applyProtection="1">
      <alignment horizontal="right" vertical="top"/>
    </xf>
    <xf numFmtId="4" fontId="30" fillId="6" borderId="22" xfId="0" applyNumberFormat="1" applyFont="1" applyFill="1" applyBorder="1" applyAlignment="1">
      <alignment horizontal="center" vertical="top"/>
    </xf>
    <xf numFmtId="4" fontId="30" fillId="6" borderId="1" xfId="0" applyNumberFormat="1" applyFont="1" applyFill="1" applyBorder="1" applyAlignment="1">
      <alignment horizontal="left" vertical="top" wrapText="1"/>
    </xf>
    <xf numFmtId="4" fontId="30" fillId="6" borderId="1" xfId="0" applyNumberFormat="1" applyFont="1" applyFill="1" applyBorder="1" applyAlignment="1">
      <alignment horizontal="center" vertical="top"/>
    </xf>
    <xf numFmtId="43" fontId="30" fillId="6" borderId="1" xfId="2" applyFont="1" applyFill="1" applyBorder="1" applyAlignment="1">
      <alignment horizontal="right" vertical="top"/>
    </xf>
    <xf numFmtId="43" fontId="30" fillId="6" borderId="23" xfId="2" applyFont="1" applyFill="1" applyBorder="1" applyAlignment="1">
      <alignment horizontal="right" vertical="top"/>
    </xf>
    <xf numFmtId="167" fontId="25" fillId="6" borderId="24" xfId="0" applyNumberFormat="1" applyFont="1" applyFill="1" applyBorder="1" applyAlignment="1">
      <alignment horizontal="center" vertical="top"/>
    </xf>
    <xf numFmtId="167" fontId="25" fillId="6" borderId="25" xfId="0" applyNumberFormat="1" applyFont="1" applyFill="1" applyBorder="1" applyAlignment="1">
      <alignment horizontal="left" vertical="top" wrapText="1"/>
    </xf>
    <xf numFmtId="49" fontId="25" fillId="6" borderId="25" xfId="0" applyNumberFormat="1" applyFont="1" applyFill="1" applyBorder="1" applyAlignment="1">
      <alignment horizontal="center" vertical="top"/>
    </xf>
    <xf numFmtId="171" fontId="25" fillId="6" borderId="25" xfId="2" applyNumberFormat="1" applyFont="1" applyFill="1" applyBorder="1" applyAlignment="1">
      <alignment horizontal="right" vertical="top"/>
    </xf>
    <xf numFmtId="171" fontId="25" fillId="6" borderId="26" xfId="2" applyNumberFormat="1" applyFont="1" applyFill="1" applyBorder="1" applyAlignment="1">
      <alignment horizontal="right" vertical="top"/>
    </xf>
    <xf numFmtId="167" fontId="25" fillId="6" borderId="0" xfId="0" applyNumberFormat="1" applyFont="1" applyFill="1" applyBorder="1" applyAlignment="1">
      <alignment horizontal="center" vertical="top"/>
    </xf>
    <xf numFmtId="167" fontId="25" fillId="6" borderId="0" xfId="0" applyNumberFormat="1" applyFont="1" applyFill="1" applyBorder="1" applyAlignment="1">
      <alignment horizontal="left" vertical="top" wrapText="1"/>
    </xf>
    <xf numFmtId="49" fontId="25" fillId="6" borderId="0" xfId="0" applyNumberFormat="1" applyFont="1" applyFill="1" applyBorder="1" applyAlignment="1">
      <alignment horizontal="center" vertical="top"/>
    </xf>
    <xf numFmtId="171" fontId="25" fillId="6" borderId="0" xfId="2" applyNumberFormat="1" applyFont="1" applyFill="1" applyBorder="1" applyAlignment="1">
      <alignment horizontal="right" vertical="top"/>
    </xf>
    <xf numFmtId="0" fontId="22" fillId="0" borderId="0" xfId="0" applyFont="1" applyAlignment="1">
      <alignment vertical="top"/>
    </xf>
    <xf numFmtId="0" fontId="30" fillId="6" borderId="0" xfId="0" applyFont="1" applyFill="1" applyAlignment="1">
      <alignment horizontal="center" vertical="top" wrapText="1"/>
    </xf>
    <xf numFmtId="165" fontId="30" fillId="6" borderId="22" xfId="0" applyNumberFormat="1" applyFont="1" applyFill="1" applyBorder="1" applyAlignment="1">
      <alignment horizontal="center" vertical="top"/>
    </xf>
    <xf numFmtId="165" fontId="30" fillId="6" borderId="1" xfId="0" applyNumberFormat="1" applyFont="1" applyFill="1" applyBorder="1" applyAlignment="1">
      <alignment horizontal="left" vertical="top" wrapText="1"/>
    </xf>
    <xf numFmtId="165" fontId="30" fillId="6" borderId="1" xfId="0" applyNumberFormat="1" applyFont="1" applyFill="1" applyBorder="1" applyAlignment="1">
      <alignment horizontal="center" vertical="top"/>
    </xf>
    <xf numFmtId="165" fontId="25" fillId="6" borderId="22" xfId="0" applyNumberFormat="1" applyFont="1" applyFill="1" applyBorder="1" applyAlignment="1">
      <alignment horizontal="center" vertical="top"/>
    </xf>
    <xf numFmtId="165" fontId="25" fillId="6" borderId="1" xfId="0" applyNumberFormat="1" applyFont="1" applyFill="1" applyBorder="1" applyAlignment="1">
      <alignment horizontal="left" vertical="top" wrapText="1"/>
    </xf>
    <xf numFmtId="165" fontId="25" fillId="6" borderId="1" xfId="0" applyNumberFormat="1" applyFont="1" applyFill="1" applyBorder="1" applyAlignment="1">
      <alignment horizontal="center" vertical="top"/>
    </xf>
    <xf numFmtId="4" fontId="30" fillId="6" borderId="24" xfId="0" applyNumberFormat="1" applyFont="1" applyFill="1" applyBorder="1" applyAlignment="1">
      <alignment horizontal="center" vertical="top"/>
    </xf>
    <xf numFmtId="4" fontId="30" fillId="6" borderId="25" xfId="0" applyNumberFormat="1" applyFont="1" applyFill="1" applyBorder="1" applyAlignment="1">
      <alignment horizontal="left" vertical="top" wrapText="1"/>
    </xf>
    <xf numFmtId="4" fontId="30" fillId="6" borderId="25" xfId="0" applyNumberFormat="1" applyFont="1" applyFill="1" applyBorder="1" applyAlignment="1">
      <alignment horizontal="center" vertical="top"/>
    </xf>
    <xf numFmtId="43" fontId="30" fillId="6" borderId="25" xfId="2" applyFont="1" applyFill="1" applyBorder="1" applyAlignment="1">
      <alignment horizontal="right" vertical="top"/>
    </xf>
    <xf numFmtId="43" fontId="30" fillId="6" borderId="26" xfId="2" applyFont="1" applyFill="1" applyBorder="1" applyAlignment="1">
      <alignment horizontal="right" vertical="top"/>
    </xf>
    <xf numFmtId="4" fontId="22" fillId="0" borderId="0" xfId="0" applyNumberFormat="1" applyFont="1"/>
    <xf numFmtId="0" fontId="22" fillId="0" borderId="0" xfId="0" applyFont="1" applyAlignment="1">
      <alignment vertical="top" wrapText="1"/>
    </xf>
    <xf numFmtId="0" fontId="25" fillId="6" borderId="0" xfId="0" applyFont="1" applyFill="1" applyAlignment="1">
      <alignment horizontal="center" vertical="top"/>
    </xf>
    <xf numFmtId="0" fontId="30" fillId="6" borderId="0" xfId="0" applyFont="1" applyFill="1" applyAlignment="1">
      <alignment vertical="center" wrapText="1"/>
    </xf>
    <xf numFmtId="0" fontId="30" fillId="6" borderId="0" xfId="0" applyFont="1" applyFill="1" applyAlignment="1">
      <alignment horizontal="right" vertical="center"/>
    </xf>
    <xf numFmtId="0" fontId="30" fillId="6" borderId="0" xfId="0" applyFont="1" applyFill="1" applyAlignment="1">
      <alignment horizontal="left" vertical="top"/>
    </xf>
    <xf numFmtId="0" fontId="25" fillId="6" borderId="22" xfId="0" applyFont="1" applyFill="1" applyBorder="1" applyAlignment="1">
      <alignment horizontal="center" vertical="center"/>
    </xf>
    <xf numFmtId="0" fontId="25" fillId="6" borderId="1" xfId="0" applyFont="1" applyFill="1" applyBorder="1" applyAlignment="1">
      <alignment horizontal="left" vertical="center" wrapText="1"/>
    </xf>
    <xf numFmtId="164" fontId="25" fillId="6" borderId="23" xfId="0" applyNumberFormat="1" applyFont="1" applyFill="1" applyBorder="1" applyAlignment="1">
      <alignment horizontal="right" vertical="center"/>
    </xf>
    <xf numFmtId="0" fontId="30" fillId="6" borderId="22" xfId="0" applyFont="1" applyFill="1" applyBorder="1" applyAlignment="1">
      <alignment horizontal="center" vertical="center"/>
    </xf>
    <xf numFmtId="0" fontId="30" fillId="6" borderId="1" xfId="0" applyFont="1" applyFill="1" applyBorder="1" applyAlignment="1">
      <alignment horizontal="left" vertical="center" wrapText="1"/>
    </xf>
    <xf numFmtId="164" fontId="30" fillId="6" borderId="23" xfId="0" applyNumberFormat="1" applyFont="1" applyFill="1" applyBorder="1" applyAlignment="1">
      <alignment horizontal="right" vertical="center"/>
    </xf>
    <xf numFmtId="0" fontId="26" fillId="0" borderId="0" xfId="0" applyFont="1"/>
    <xf numFmtId="171" fontId="25" fillId="0" borderId="1" xfId="2" applyNumberFormat="1" applyFont="1" applyFill="1" applyBorder="1" applyAlignment="1">
      <alignment horizontal="right" vertical="center"/>
    </xf>
    <xf numFmtId="164" fontId="25" fillId="0" borderId="23" xfId="0" applyNumberFormat="1" applyFont="1" applyFill="1" applyBorder="1" applyAlignment="1">
      <alignment horizontal="right" vertical="center"/>
    </xf>
    <xf numFmtId="171" fontId="31" fillId="0" borderId="1" xfId="2" applyNumberFormat="1" applyFont="1" applyFill="1" applyBorder="1" applyAlignment="1">
      <alignment horizontal="right" vertical="center"/>
    </xf>
    <xf numFmtId="0" fontId="25" fillId="6" borderId="24" xfId="0" applyFont="1" applyFill="1" applyBorder="1" applyAlignment="1">
      <alignment horizontal="center" vertical="center"/>
    </xf>
    <xf numFmtId="0" fontId="25" fillId="6" borderId="25" xfId="0" applyFont="1" applyFill="1" applyBorder="1" applyAlignment="1">
      <alignment horizontal="left" vertical="center" wrapText="1"/>
    </xf>
    <xf numFmtId="0" fontId="25" fillId="6" borderId="25" xfId="0" applyFont="1" applyFill="1" applyBorder="1" applyAlignment="1">
      <alignment horizontal="center" vertical="center"/>
    </xf>
    <xf numFmtId="43" fontId="25" fillId="6" borderId="25" xfId="2" applyFont="1" applyFill="1" applyBorder="1" applyAlignment="1">
      <alignment horizontal="right" vertical="center"/>
    </xf>
    <xf numFmtId="164" fontId="25" fillId="6" borderId="26" xfId="0" applyNumberFormat="1" applyFont="1" applyFill="1" applyBorder="1" applyAlignment="1">
      <alignment horizontal="right" vertical="center"/>
    </xf>
    <xf numFmtId="0" fontId="30" fillId="6" borderId="0" xfId="0" applyFont="1" applyFill="1" applyAlignment="1">
      <alignment horizontal="center" vertical="center"/>
    </xf>
    <xf numFmtId="165" fontId="30" fillId="6" borderId="22"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1" fontId="22" fillId="0" borderId="0" xfId="0" applyNumberFormat="1" applyFont="1" applyAlignment="1">
      <alignment vertical="center"/>
    </xf>
    <xf numFmtId="165" fontId="25" fillId="6" borderId="22"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65" fontId="31" fillId="6" borderId="22" xfId="0" applyNumberFormat="1" applyFont="1" applyFill="1" applyBorder="1" applyAlignment="1">
      <alignment horizontal="center" vertical="center"/>
    </xf>
    <xf numFmtId="165" fontId="31" fillId="6" borderId="1" xfId="0" applyNumberFormat="1" applyFont="1" applyFill="1" applyBorder="1" applyAlignment="1">
      <alignment horizontal="left" vertical="center" wrapText="1"/>
    </xf>
    <xf numFmtId="165" fontId="31" fillId="6" borderId="1" xfId="0" applyNumberFormat="1" applyFont="1" applyFill="1" applyBorder="1" applyAlignment="1">
      <alignment horizontal="center" vertical="center"/>
    </xf>
    <xf numFmtId="165" fontId="25" fillId="6" borderId="24" xfId="0" applyNumberFormat="1" applyFont="1" applyFill="1" applyBorder="1" applyAlignment="1">
      <alignment horizontal="center" vertical="center"/>
    </xf>
    <xf numFmtId="165" fontId="25" fillId="6" borderId="25" xfId="0" applyNumberFormat="1" applyFont="1" applyFill="1" applyBorder="1" applyAlignment="1">
      <alignment horizontal="left" vertical="center" wrapText="1"/>
    </xf>
    <xf numFmtId="165" fontId="25" fillId="6" borderId="25" xfId="0" applyNumberFormat="1" applyFont="1" applyFill="1" applyBorder="1" applyAlignment="1">
      <alignment horizontal="center" vertical="center"/>
    </xf>
    <xf numFmtId="171" fontId="25" fillId="6" borderId="25" xfId="2" applyNumberFormat="1" applyFont="1" applyFill="1" applyBorder="1" applyAlignment="1">
      <alignment horizontal="right" vertical="center"/>
    </xf>
    <xf numFmtId="171" fontId="25" fillId="6" borderId="26" xfId="2" applyNumberFormat="1" applyFont="1" applyFill="1" applyBorder="1" applyAlignment="1">
      <alignment horizontal="right" vertical="center"/>
    </xf>
    <xf numFmtId="0" fontId="31" fillId="6" borderId="0" xfId="0" applyFont="1" applyFill="1" applyAlignment="1">
      <alignment horizontal="right" vertical="center"/>
    </xf>
    <xf numFmtId="0" fontId="25" fillId="6" borderId="16" xfId="0" applyFont="1" applyFill="1" applyBorder="1" applyAlignment="1">
      <alignment horizontal="left" vertical="center"/>
    </xf>
    <xf numFmtId="0" fontId="25" fillId="6" borderId="16"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7" xfId="0" applyFont="1" applyFill="1" applyBorder="1" applyAlignment="1">
      <alignment horizontal="center" vertical="center" wrapText="1"/>
    </xf>
    <xf numFmtId="0" fontId="30" fillId="3" borderId="28" xfId="0" applyFont="1" applyFill="1" applyBorder="1" applyAlignment="1">
      <alignment horizontal="center" vertical="center" wrapText="1"/>
    </xf>
    <xf numFmtId="0" fontId="30" fillId="3" borderId="29" xfId="0" applyFont="1" applyFill="1" applyBorder="1" applyAlignment="1">
      <alignment horizontal="center" vertical="center" wrapText="1"/>
    </xf>
    <xf numFmtId="0" fontId="31" fillId="6" borderId="16" xfId="0" applyFont="1" applyFill="1" applyBorder="1" applyAlignment="1">
      <alignment horizontal="right" vertical="center"/>
    </xf>
    <xf numFmtId="3" fontId="30" fillId="6" borderId="1" xfId="0" applyNumberFormat="1" applyFont="1" applyFill="1" applyBorder="1" applyAlignment="1">
      <alignment horizontal="right" vertical="center"/>
    </xf>
    <xf numFmtId="3" fontId="30" fillId="6" borderId="23"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1" fontId="25" fillId="6" borderId="1" xfId="2" applyNumberFormat="1" applyFont="1" applyFill="1" applyBorder="1" applyAlignment="1" applyProtection="1">
      <alignment horizontal="right" vertical="center"/>
    </xf>
    <xf numFmtId="171" fontId="25" fillId="6" borderId="23" xfId="2" applyNumberFormat="1" applyFont="1" applyFill="1" applyBorder="1" applyAlignment="1" applyProtection="1">
      <alignment horizontal="right" vertical="center"/>
    </xf>
    <xf numFmtId="4" fontId="25" fillId="0" borderId="1" xfId="0" applyNumberFormat="1" applyFont="1" applyFill="1" applyBorder="1" applyAlignment="1">
      <alignment horizontal="right" vertical="center"/>
    </xf>
    <xf numFmtId="4" fontId="25" fillId="0" borderId="23"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3" fontId="25" fillId="0" borderId="26" xfId="0" applyNumberFormat="1" applyFont="1" applyFill="1" applyBorder="1" applyAlignment="1">
      <alignment horizontal="right" vertical="center"/>
    </xf>
    <xf numFmtId="0" fontId="25" fillId="0" borderId="0" xfId="0" applyFont="1" applyAlignment="1">
      <alignment horizontal="left" vertical="center"/>
    </xf>
    <xf numFmtId="164" fontId="27" fillId="0" borderId="1" xfId="0" applyNumberFormat="1" applyFont="1" applyFill="1" applyBorder="1" applyAlignment="1">
      <alignment horizontal="right" vertical="center"/>
    </xf>
    <xf numFmtId="3" fontId="25" fillId="0" borderId="25" xfId="0" applyNumberFormat="1" applyFont="1" applyFill="1" applyBorder="1" applyAlignment="1">
      <alignment horizontal="right" vertical="center"/>
    </xf>
    <xf numFmtId="0" fontId="25" fillId="6" borderId="0" xfId="0" applyFont="1" applyFill="1" applyAlignment="1">
      <alignment horizontal="left" vertical="center"/>
    </xf>
    <xf numFmtId="0" fontId="9" fillId="4" borderId="11" xfId="0" applyFont="1" applyFill="1" applyBorder="1" applyAlignment="1">
      <alignment horizontal="left" wrapText="1"/>
    </xf>
    <xf numFmtId="0" fontId="10" fillId="4" borderId="11" xfId="0" applyFont="1" applyFill="1" applyBorder="1" applyAlignment="1">
      <alignment horizontal="left" vertical="center"/>
    </xf>
    <xf numFmtId="0" fontId="16" fillId="5" borderId="9"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10" xfId="5" applyFont="1" applyFill="1" applyBorder="1" applyAlignment="1">
      <alignment horizontal="center" vertical="center"/>
    </xf>
    <xf numFmtId="0" fontId="17" fillId="5" borderId="9"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0"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18" fillId="5" borderId="8" xfId="5" applyFont="1" applyFill="1" applyBorder="1" applyAlignment="1">
      <alignment horizontal="center" vertical="center"/>
    </xf>
    <xf numFmtId="0" fontId="9" fillId="4" borderId="11" xfId="0" applyFont="1" applyFill="1" applyBorder="1" applyAlignment="1">
      <alignment horizontal="left" vertical="center"/>
    </xf>
    <xf numFmtId="168" fontId="13" fillId="2" borderId="7" xfId="4" applyNumberFormat="1" applyFont="1" applyFill="1" applyBorder="1" applyAlignment="1" applyProtection="1">
      <alignment horizontal="left" vertical="top"/>
    </xf>
    <xf numFmtId="0" fontId="9" fillId="4" borderId="0" xfId="0" applyFont="1" applyFill="1" applyAlignment="1">
      <alignment horizontal="left"/>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10" fillId="5" borderId="6" xfId="0" applyFont="1" applyFill="1" applyBorder="1" applyAlignment="1">
      <alignment horizontal="left"/>
    </xf>
    <xf numFmtId="0" fontId="10" fillId="5" borderId="7" xfId="0" applyFont="1" applyFill="1" applyBorder="1" applyAlignment="1">
      <alignment horizontal="left"/>
    </xf>
    <xf numFmtId="0" fontId="9" fillId="5" borderId="9" xfId="0" applyFont="1" applyFill="1" applyBorder="1" applyAlignment="1">
      <alignment horizontal="left" vertical="center" wrapText="1"/>
    </xf>
    <xf numFmtId="0" fontId="9" fillId="5" borderId="0" xfId="0" applyFont="1" applyFill="1" applyBorder="1" applyAlignment="1">
      <alignment horizontal="left" vertical="center" wrapText="1"/>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10" fillId="5" borderId="8" xfId="0" applyFont="1" applyFill="1" applyBorder="1" applyAlignment="1">
      <alignment horizontal="left" wrapText="1"/>
    </xf>
    <xf numFmtId="0" fontId="9" fillId="5" borderId="3" xfId="0" applyFont="1" applyFill="1" applyBorder="1" applyAlignment="1">
      <alignment horizontal="left" vertical="center" wrapText="1"/>
    </xf>
    <xf numFmtId="0" fontId="9" fillId="5" borderId="4" xfId="0" applyFont="1" applyFill="1" applyBorder="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top"/>
    </xf>
    <xf numFmtId="0" fontId="25" fillId="6" borderId="0" xfId="0" applyFont="1" applyFill="1" applyAlignment="1">
      <alignment horizontal="center" vertical="center"/>
    </xf>
    <xf numFmtId="0" fontId="30" fillId="6" borderId="0" xfId="0" applyFont="1" applyFill="1" applyAlignment="1">
      <alignment horizontal="center" vertical="center" wrapText="1"/>
    </xf>
    <xf numFmtId="0" fontId="25" fillId="6" borderId="0" xfId="0" applyFont="1" applyFill="1" applyAlignment="1">
      <alignment horizontal="left" vertical="top"/>
    </xf>
    <xf numFmtId="0" fontId="30" fillId="6" borderId="0" xfId="0" applyFont="1" applyFill="1" applyAlignment="1">
      <alignment horizontal="left" vertical="top"/>
    </xf>
    <xf numFmtId="166" fontId="26"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6" xfId="0" applyFont="1" applyFill="1" applyBorder="1" applyAlignment="1">
      <alignment horizontal="right" vertical="top"/>
    </xf>
    <xf numFmtId="0" fontId="25" fillId="6" borderId="0" xfId="0" applyFont="1" applyFill="1" applyAlignment="1">
      <alignment horizontal="left" vertical="center" wrapText="1"/>
    </xf>
    <xf numFmtId="0" fontId="33" fillId="6" borderId="0" xfId="0" applyFont="1" applyFill="1" applyAlignment="1">
      <alignment horizontal="center" vertical="center" wrapText="1"/>
    </xf>
    <xf numFmtId="0" fontId="32" fillId="6" borderId="0" xfId="0" applyFont="1" applyFill="1" applyAlignment="1">
      <alignment horizontal="center" vertical="center" wrapText="1"/>
    </xf>
    <xf numFmtId="0" fontId="30" fillId="6" borderId="0" xfId="0" applyFont="1" applyFill="1" applyAlignment="1">
      <alignment horizontal="center"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0" fillId="6" borderId="0" xfId="0" applyFont="1" applyFill="1" applyAlignment="1">
      <alignment horizontal="left" vertical="center" wrapText="1"/>
    </xf>
    <xf numFmtId="0" fontId="25" fillId="6" borderId="16" xfId="0" applyFont="1" applyFill="1" applyBorder="1" applyAlignment="1">
      <alignment horizontal="right" vertical="center"/>
    </xf>
    <xf numFmtId="0" fontId="31" fillId="6" borderId="0" xfId="0" applyFont="1" applyFill="1" applyAlignment="1">
      <alignment horizontal="left" vertical="center"/>
    </xf>
    <xf numFmtId="0" fontId="31" fillId="6" borderId="0" xfId="0" applyFont="1" applyFill="1" applyAlignment="1">
      <alignment horizontal="left"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28" fillId="5" borderId="0" xfId="8" applyNumberFormat="1" applyFont="1" applyFill="1" applyBorder="1" applyAlignment="1">
      <alignment horizontal="center" vertical="center"/>
    </xf>
    <xf numFmtId="0" fontId="28" fillId="5" borderId="4" xfId="10" applyFont="1" applyFill="1" applyBorder="1" applyAlignment="1">
      <alignment horizontal="center" vertical="center"/>
    </xf>
    <xf numFmtId="0" fontId="26" fillId="7" borderId="12" xfId="7" applyFont="1" applyFill="1" applyBorder="1" applyAlignment="1">
      <alignment horizontal="center" vertical="center" wrapText="1"/>
    </xf>
    <xf numFmtId="0" fontId="26" fillId="7" borderId="15"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10"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2" fillId="0" borderId="8" xfId="7" applyFont="1" applyBorder="1" applyAlignment="1">
      <alignment horizontal="center" vertical="center" wrapText="1"/>
    </xf>
    <xf numFmtId="0" fontId="28" fillId="5" borderId="0" xfId="10" applyFont="1" applyFill="1" applyAlignment="1">
      <alignment horizontal="center" vertical="center"/>
    </xf>
    <xf numFmtId="173" fontId="28" fillId="5" borderId="0" xfId="10" applyNumberFormat="1" applyFont="1" applyFill="1" applyAlignment="1">
      <alignment horizontal="center" vertical="center"/>
    </xf>
    <xf numFmtId="0" fontId="28" fillId="7" borderId="12" xfId="7" applyFont="1" applyFill="1" applyBorder="1" applyAlignment="1" applyProtection="1">
      <alignment horizontal="center" vertical="center" wrapText="1"/>
    </xf>
    <xf numFmtId="0" fontId="28" fillId="7" borderId="15" xfId="7" applyFont="1" applyFill="1" applyBorder="1" applyAlignment="1" applyProtection="1">
      <alignment horizontal="center"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5" fillId="6" borderId="1" xfId="0" applyFont="1" applyFill="1" applyBorder="1" applyAlignment="1">
      <alignment horizontal="left" vertical="center" wrapText="1"/>
    </xf>
    <xf numFmtId="0" fontId="25" fillId="6" borderId="30" xfId="0" applyFont="1" applyFill="1" applyBorder="1" applyAlignment="1">
      <alignment horizontal="left" vertical="center" wrapText="1"/>
    </xf>
    <xf numFmtId="0" fontId="25" fillId="6" borderId="31" xfId="0" applyFont="1" applyFill="1" applyBorder="1" applyAlignment="1">
      <alignment horizontal="left" vertical="center" wrapText="1"/>
    </xf>
    <xf numFmtId="0" fontId="25" fillId="6" borderId="32" xfId="0" applyFont="1" applyFill="1" applyBorder="1" applyAlignment="1">
      <alignment horizontal="left" vertical="center" wrapText="1"/>
    </xf>
    <xf numFmtId="0" fontId="25" fillId="6" borderId="25" xfId="0" applyFont="1" applyFill="1" applyBorder="1" applyAlignment="1">
      <alignment horizontal="left" vertical="center" wrapText="1"/>
    </xf>
    <xf numFmtId="0" fontId="30" fillId="3" borderId="18" xfId="0" applyFont="1" applyFill="1" applyBorder="1" applyAlignment="1">
      <alignment horizontal="center" vertical="center" wrapText="1"/>
    </xf>
    <xf numFmtId="0" fontId="31" fillId="6" borderId="0" xfId="0" applyFont="1" applyFill="1" applyAlignment="1">
      <alignment horizontal="right" vertical="center"/>
    </xf>
    <xf numFmtId="0" fontId="31" fillId="6" borderId="0" xfId="0" applyFont="1" applyFill="1" applyAlignment="1">
      <alignment horizontal="center" vertical="center"/>
    </xf>
    <xf numFmtId="0" fontId="31" fillId="6" borderId="0" xfId="0" applyFont="1" applyFill="1" applyAlignment="1">
      <alignment horizontal="center"/>
    </xf>
    <xf numFmtId="0" fontId="25" fillId="6" borderId="16" xfId="0" applyFont="1" applyFill="1" applyBorder="1" applyAlignment="1">
      <alignment horizontal="left" vertical="top"/>
    </xf>
    <xf numFmtId="0" fontId="30" fillId="6" borderId="0" xfId="0" applyFont="1" applyFill="1" applyAlignment="1">
      <alignment horizontal="center" wrapText="1"/>
    </xf>
    <xf numFmtId="0" fontId="30" fillId="3" borderId="17" xfId="0" applyFont="1" applyFill="1" applyBorder="1" applyAlignment="1">
      <alignment horizontal="center" vertical="center" wrapText="1"/>
    </xf>
    <xf numFmtId="0" fontId="30" fillId="3" borderId="20"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18" xfId="0" applyNumberFormat="1" applyFont="1" applyFill="1" applyBorder="1" applyAlignment="1" applyProtection="1">
      <alignment horizontal="center" vertical="center" wrapText="1"/>
    </xf>
    <xf numFmtId="0" fontId="30" fillId="3" borderId="19" xfId="0" applyNumberFormat="1" applyFont="1" applyFill="1" applyBorder="1" applyAlignment="1" applyProtection="1">
      <alignment horizontal="center" vertical="center" wrapText="1"/>
    </xf>
    <xf numFmtId="0" fontId="32" fillId="6" borderId="0" xfId="0" applyFont="1" applyFill="1" applyAlignment="1">
      <alignment horizontal="center" vertical="center"/>
    </xf>
    <xf numFmtId="0" fontId="32" fillId="6" borderId="0" xfId="0" applyFont="1" applyFill="1" applyAlignment="1">
      <alignment horizontal="center" vertical="top"/>
    </xf>
    <xf numFmtId="0" fontId="31" fillId="6" borderId="0" xfId="0" applyFont="1" applyFill="1" applyAlignment="1">
      <alignment horizontal="center" vertical="top" wrapText="1"/>
    </xf>
    <xf numFmtId="0" fontId="30" fillId="6" borderId="0" xfId="0" applyFont="1" applyFill="1" applyAlignment="1">
      <alignment horizontal="center" vertical="top" wrapText="1"/>
    </xf>
    <xf numFmtId="0" fontId="25" fillId="6" borderId="0" xfId="0" applyFont="1" applyFill="1" applyAlignment="1">
      <alignment horizontal="center" vertical="top" wrapText="1"/>
    </xf>
    <xf numFmtId="0" fontId="31" fillId="6" borderId="0" xfId="0" applyFont="1" applyFill="1" applyAlignment="1">
      <alignment horizontal="center" vertical="top"/>
    </xf>
    <xf numFmtId="0" fontId="34" fillId="6" borderId="0" xfId="0" applyFont="1" applyFill="1" applyAlignment="1">
      <alignment horizontal="center" vertical="center" wrapText="1"/>
    </xf>
    <xf numFmtId="0" fontId="33" fillId="6" borderId="0" xfId="0" applyFont="1" applyFill="1" applyAlignment="1">
      <alignment horizontal="center" vertical="top"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28575</xdr:rowOff>
    </xdr:from>
    <xdr:to>
      <xdr:col>1</xdr:col>
      <xdr:colOff>1733550</xdr:colOff>
      <xdr:row>0</xdr:row>
      <xdr:rowOff>292968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8575"/>
          <a:ext cx="2076450" cy="264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19051</xdr:colOff>
      <xdr:row>0</xdr:row>
      <xdr:rowOff>28575</xdr:rowOff>
    </xdr:from>
    <xdr:to>
      <xdr:col>1</xdr:col>
      <xdr:colOff>2066925</xdr:colOff>
      <xdr:row>0</xdr:row>
      <xdr:rowOff>325934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28575"/>
          <a:ext cx="2324099" cy="2973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1</xdr:col>
      <xdr:colOff>2028824</xdr:colOff>
      <xdr:row>0</xdr:row>
      <xdr:rowOff>316409</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9050"/>
          <a:ext cx="2324099" cy="2973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1995904</xdr:colOff>
      <xdr:row>1</xdr:row>
      <xdr:rowOff>28575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281654" cy="295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3</xdr:col>
      <xdr:colOff>81379</xdr:colOff>
      <xdr:row>0</xdr:row>
      <xdr:rowOff>314324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9050"/>
          <a:ext cx="2281654" cy="295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304800</xdr:colOff>
      <xdr:row>0</xdr:row>
      <xdr:rowOff>304800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9525"/>
          <a:ext cx="23431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1885950</xdr:colOff>
      <xdr:row>0</xdr:row>
      <xdr:rowOff>302895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9525"/>
          <a:ext cx="2266950" cy="293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1952625</xdr:colOff>
      <xdr:row>0</xdr:row>
      <xdr:rowOff>302895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9525"/>
          <a:ext cx="2266950" cy="293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C26" sqref="C26:E26"/>
    </sheetView>
  </sheetViews>
  <sheetFormatPr defaultRowHeight="12.7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c r="A1" s="262" t="s">
        <v>972</v>
      </c>
      <c r="B1" s="262"/>
    </row>
    <row r="2" spans="1:10" ht="15.75" customHeight="1">
      <c r="C2" s="263" t="s">
        <v>1067</v>
      </c>
      <c r="D2" s="264"/>
      <c r="E2" s="265"/>
    </row>
    <row r="3" spans="1:10" ht="15.75" customHeight="1">
      <c r="A3" s="2"/>
      <c r="B3" s="2"/>
      <c r="C3" s="266" t="s">
        <v>1068</v>
      </c>
      <c r="D3" s="267"/>
      <c r="E3" s="268"/>
    </row>
    <row r="4" spans="1:10">
      <c r="A4" s="2"/>
      <c r="B4" s="2"/>
    </row>
    <row r="5" spans="1:10">
      <c r="A5" s="252" t="s">
        <v>973</v>
      </c>
      <c r="B5" s="252"/>
    </row>
    <row r="6" spans="1:10">
      <c r="A6" s="2"/>
      <c r="B6" s="2"/>
      <c r="C6" s="269" t="s">
        <v>10</v>
      </c>
      <c r="D6" s="270"/>
      <c r="E6" s="3" t="s">
        <v>974</v>
      </c>
      <c r="F6" s="4"/>
      <c r="G6" s="4"/>
      <c r="H6" s="4"/>
      <c r="I6" s="5"/>
    </row>
    <row r="7" spans="1:10">
      <c r="A7" s="2"/>
      <c r="B7" s="2"/>
      <c r="C7" s="260" t="s">
        <v>12</v>
      </c>
      <c r="D7" s="261"/>
      <c r="E7" s="6" t="s">
        <v>13</v>
      </c>
      <c r="F7" s="7"/>
      <c r="G7" s="7"/>
      <c r="H7" s="7"/>
      <c r="I7" s="8"/>
      <c r="J7" s="9"/>
    </row>
    <row r="8" spans="1:10">
      <c r="A8" s="2"/>
      <c r="B8" s="2"/>
      <c r="C8" s="258" t="s">
        <v>383</v>
      </c>
      <c r="D8" s="259"/>
      <c r="E8" s="10" t="s">
        <v>975</v>
      </c>
      <c r="F8" s="11"/>
      <c r="G8" s="11"/>
      <c r="H8" s="11"/>
      <c r="I8" s="12"/>
      <c r="J8" s="9"/>
    </row>
    <row r="9" spans="1:10">
      <c r="A9" s="2"/>
      <c r="B9" s="2"/>
      <c r="C9" s="260" t="s">
        <v>976</v>
      </c>
      <c r="D9" s="261"/>
      <c r="E9" s="6" t="s">
        <v>609</v>
      </c>
      <c r="F9" s="7"/>
      <c r="G9" s="7"/>
      <c r="H9" s="7"/>
      <c r="I9" s="8"/>
      <c r="J9" s="9"/>
    </row>
    <row r="10" spans="1:10">
      <c r="A10" s="2"/>
      <c r="B10" s="2"/>
      <c r="C10" s="258" t="s">
        <v>5</v>
      </c>
      <c r="D10" s="259"/>
      <c r="E10" s="10" t="s">
        <v>977</v>
      </c>
      <c r="F10" s="11"/>
      <c r="G10" s="11"/>
      <c r="H10" s="11"/>
      <c r="I10" s="12"/>
      <c r="J10" s="9"/>
    </row>
    <row r="11" spans="1:10">
      <c r="A11" s="2"/>
      <c r="B11" s="2"/>
      <c r="C11" s="260" t="s">
        <v>978</v>
      </c>
      <c r="D11" s="261"/>
      <c r="E11" s="6" t="s">
        <v>979</v>
      </c>
      <c r="F11" s="7"/>
      <c r="G11" s="7"/>
      <c r="H11" s="7"/>
      <c r="I11" s="8"/>
      <c r="J11" s="9"/>
    </row>
    <row r="12" spans="1:10">
      <c r="A12" s="2"/>
      <c r="B12" s="2"/>
      <c r="C12" s="258" t="s">
        <v>20</v>
      </c>
      <c r="D12" s="259"/>
      <c r="E12" s="13">
        <v>45294</v>
      </c>
      <c r="F12" s="11"/>
      <c r="G12" s="11"/>
      <c r="H12" s="11"/>
      <c r="I12" s="12"/>
      <c r="J12" s="9"/>
    </row>
    <row r="13" spans="1:10">
      <c r="A13" s="2"/>
      <c r="B13" s="2"/>
      <c r="C13" s="256" t="s">
        <v>21</v>
      </c>
      <c r="D13" s="257"/>
      <c r="E13" s="251">
        <f>+E12</f>
        <v>45294</v>
      </c>
      <c r="F13" s="251"/>
      <c r="G13" s="251"/>
      <c r="H13" s="251"/>
      <c r="I13" s="14"/>
      <c r="J13" s="9"/>
    </row>
    <row r="14" spans="1:10">
      <c r="D14" s="15"/>
    </row>
    <row r="15" spans="1:10">
      <c r="A15" s="252" t="s">
        <v>980</v>
      </c>
      <c r="B15" s="252"/>
    </row>
    <row r="16" spans="1:10">
      <c r="C16" s="253" t="s">
        <v>221</v>
      </c>
      <c r="D16" s="254"/>
      <c r="E16" s="255"/>
      <c r="G16" s="253" t="s">
        <v>981</v>
      </c>
      <c r="H16" s="254"/>
      <c r="I16" s="255"/>
    </row>
    <row r="17" spans="3:9">
      <c r="C17" s="238" t="s">
        <v>223</v>
      </c>
      <c r="D17" s="239"/>
      <c r="E17" s="240"/>
      <c r="G17" s="238" t="s">
        <v>224</v>
      </c>
      <c r="H17" s="239"/>
      <c r="I17" s="240"/>
    </row>
    <row r="18" spans="3:9">
      <c r="C18" s="238"/>
      <c r="D18" s="239"/>
      <c r="E18" s="240"/>
      <c r="G18" s="241"/>
      <c r="H18" s="242"/>
      <c r="I18" s="243"/>
    </row>
    <row r="19" spans="3:9" ht="27" customHeight="1">
      <c r="C19" s="238"/>
      <c r="D19" s="239"/>
      <c r="E19" s="240"/>
      <c r="G19" s="241"/>
      <c r="H19" s="242"/>
      <c r="I19" s="243"/>
    </row>
    <row r="20" spans="3:9">
      <c r="C20" s="238"/>
      <c r="D20" s="239"/>
      <c r="E20" s="240"/>
      <c r="G20" s="241"/>
      <c r="H20" s="242"/>
      <c r="I20" s="243"/>
    </row>
    <row r="21" spans="3:9">
      <c r="C21" s="238"/>
      <c r="D21" s="239"/>
      <c r="E21" s="240"/>
      <c r="G21" s="241"/>
      <c r="H21" s="242"/>
      <c r="I21" s="243"/>
    </row>
    <row r="22" spans="3:9">
      <c r="C22" s="238"/>
      <c r="D22" s="239"/>
      <c r="E22" s="240"/>
      <c r="G22" s="241"/>
      <c r="H22" s="242"/>
      <c r="I22" s="243"/>
    </row>
    <row r="23" spans="3:9">
      <c r="C23" s="238"/>
      <c r="D23" s="239"/>
      <c r="E23" s="240"/>
      <c r="G23" s="241"/>
      <c r="H23" s="242"/>
      <c r="I23" s="243"/>
    </row>
    <row r="24" spans="3:9">
      <c r="C24" s="244" t="s">
        <v>975</v>
      </c>
      <c r="D24" s="245"/>
      <c r="E24" s="246"/>
      <c r="G24" s="244" t="s">
        <v>974</v>
      </c>
      <c r="H24" s="245"/>
      <c r="I24" s="246"/>
    </row>
    <row r="25" spans="3:9">
      <c r="C25" s="244" t="s">
        <v>1071</v>
      </c>
      <c r="D25" s="245"/>
      <c r="E25" s="246"/>
      <c r="G25" s="244" t="s">
        <v>982</v>
      </c>
      <c r="H25" s="245"/>
      <c r="I25" s="246"/>
    </row>
    <row r="26" spans="3:9">
      <c r="C26" s="247" t="s">
        <v>1073</v>
      </c>
      <c r="D26" s="248"/>
      <c r="E26" s="249"/>
      <c r="G26" s="247" t="s">
        <v>983</v>
      </c>
      <c r="H26" s="248"/>
      <c r="I26" s="249"/>
    </row>
    <row r="27" spans="3:9">
      <c r="C27" s="16"/>
      <c r="D27" s="16"/>
      <c r="E27" s="16"/>
      <c r="G27" s="17"/>
      <c r="H27" s="17"/>
      <c r="I27" s="17"/>
    </row>
    <row r="28" spans="3:9">
      <c r="C28" s="16"/>
      <c r="D28" s="16"/>
      <c r="E28" s="16"/>
      <c r="G28" s="17"/>
      <c r="H28" s="17"/>
      <c r="I28" s="17"/>
    </row>
    <row r="29" spans="3:9">
      <c r="C29" s="18" t="s">
        <v>501</v>
      </c>
      <c r="D29" s="250" t="s">
        <v>984</v>
      </c>
      <c r="E29" s="250"/>
      <c r="F29" s="250"/>
      <c r="G29" s="250"/>
      <c r="H29" s="19" t="s">
        <v>985</v>
      </c>
      <c r="I29" s="17"/>
    </row>
    <row r="30" spans="3:9">
      <c r="C30" s="18" t="s">
        <v>986</v>
      </c>
      <c r="D30" s="250" t="s">
        <v>987</v>
      </c>
      <c r="E30" s="250"/>
      <c r="F30" s="250"/>
      <c r="G30" s="250"/>
      <c r="H30" s="19"/>
      <c r="I30" s="17"/>
    </row>
    <row r="31" spans="3:9">
      <c r="C31" s="20" t="s">
        <v>988</v>
      </c>
      <c r="D31" s="237" t="s">
        <v>989</v>
      </c>
      <c r="E31" s="237"/>
      <c r="F31" s="237"/>
      <c r="G31" s="237"/>
      <c r="H31" s="21" t="s">
        <v>990</v>
      </c>
      <c r="I31" s="17"/>
    </row>
    <row r="32" spans="3:9">
      <c r="C32" s="20" t="s">
        <v>991</v>
      </c>
      <c r="D32" s="237" t="s">
        <v>992</v>
      </c>
      <c r="E32" s="237"/>
      <c r="F32" s="237"/>
      <c r="G32" s="237"/>
      <c r="H32" s="21" t="s">
        <v>993</v>
      </c>
      <c r="I32" s="17"/>
    </row>
    <row r="33" spans="3:9">
      <c r="C33" s="20" t="s">
        <v>994</v>
      </c>
      <c r="D33" s="237" t="s">
        <v>995</v>
      </c>
      <c r="E33" s="237"/>
      <c r="F33" s="237"/>
      <c r="G33" s="237"/>
      <c r="H33" s="21" t="s">
        <v>996</v>
      </c>
      <c r="I33" s="17"/>
    </row>
    <row r="34" spans="3:9">
      <c r="C34" s="20" t="s">
        <v>997</v>
      </c>
      <c r="D34" s="237" t="s">
        <v>998</v>
      </c>
      <c r="E34" s="237"/>
      <c r="F34" s="237"/>
      <c r="G34" s="237"/>
      <c r="H34" s="21" t="s">
        <v>999</v>
      </c>
      <c r="I34" s="17"/>
    </row>
    <row r="35" spans="3:9">
      <c r="C35" s="20" t="s">
        <v>1000</v>
      </c>
      <c r="D35" s="237" t="s">
        <v>1001</v>
      </c>
      <c r="E35" s="237"/>
      <c r="F35" s="237"/>
      <c r="G35" s="237"/>
      <c r="H35" s="21" t="s">
        <v>1002</v>
      </c>
      <c r="I35" s="17"/>
    </row>
    <row r="36" spans="3:9">
      <c r="C36" s="20" t="s">
        <v>1003</v>
      </c>
      <c r="D36" s="237" t="s">
        <v>1004</v>
      </c>
      <c r="E36" s="237"/>
      <c r="F36" s="237"/>
      <c r="G36" s="237"/>
      <c r="H36" s="22" t="s">
        <v>1005</v>
      </c>
      <c r="I36" s="17"/>
    </row>
    <row r="37" spans="3:9">
      <c r="C37" s="20" t="s">
        <v>1006</v>
      </c>
      <c r="D37" s="237" t="s">
        <v>1007</v>
      </c>
      <c r="E37" s="237"/>
      <c r="F37" s="237"/>
      <c r="G37" s="237"/>
      <c r="H37" s="23" t="s">
        <v>1008</v>
      </c>
      <c r="I37" s="17"/>
    </row>
    <row r="38" spans="3:9">
      <c r="C38" s="20" t="s">
        <v>1009</v>
      </c>
      <c r="D38" s="237" t="s">
        <v>1010</v>
      </c>
      <c r="E38" s="237"/>
      <c r="F38" s="237"/>
      <c r="G38" s="237"/>
      <c r="H38" s="23" t="s">
        <v>1008</v>
      </c>
      <c r="I38" s="17"/>
    </row>
    <row r="39" spans="3:9">
      <c r="C39" s="18" t="s">
        <v>1011</v>
      </c>
      <c r="D39" s="236" t="s">
        <v>1012</v>
      </c>
      <c r="E39" s="236"/>
      <c r="F39" s="236"/>
      <c r="G39" s="236"/>
      <c r="H39" s="23" t="s">
        <v>1008</v>
      </c>
      <c r="I39" s="17"/>
    </row>
    <row r="40" spans="3:9">
      <c r="C40" s="20">
        <v>6</v>
      </c>
      <c r="D40" s="237" t="s">
        <v>1013</v>
      </c>
      <c r="E40" s="237"/>
      <c r="F40" s="237"/>
      <c r="G40" s="237"/>
      <c r="H40" s="21" t="s">
        <v>1014</v>
      </c>
      <c r="I40" s="17"/>
    </row>
    <row r="41" spans="3:9">
      <c r="C41" s="20">
        <v>7</v>
      </c>
      <c r="D41" s="237" t="s">
        <v>1015</v>
      </c>
      <c r="E41" s="237"/>
      <c r="F41" s="237"/>
      <c r="G41" s="237"/>
      <c r="H41" s="21" t="s">
        <v>1016</v>
      </c>
      <c r="I41" s="17"/>
    </row>
    <row r="42" spans="3:9">
      <c r="C42" s="20">
        <v>8</v>
      </c>
      <c r="D42" s="237" t="s">
        <v>1017</v>
      </c>
      <c r="E42" s="237"/>
      <c r="F42" s="237"/>
      <c r="G42" s="237"/>
      <c r="H42" s="21" t="s">
        <v>1018</v>
      </c>
      <c r="I42" s="17"/>
    </row>
    <row r="43" spans="3:9">
      <c r="C43" s="16"/>
      <c r="D43" s="16"/>
      <c r="E43" s="16"/>
      <c r="G43" s="17"/>
      <c r="H43" s="17"/>
      <c r="I43" s="17"/>
    </row>
    <row r="44" spans="3:9">
      <c r="C44" s="16"/>
      <c r="D44" s="16"/>
      <c r="E44" s="16"/>
      <c r="G44" s="17"/>
      <c r="H44" s="17"/>
      <c r="I44" s="17"/>
    </row>
    <row r="45" spans="3:9">
      <c r="C45" s="16"/>
      <c r="D45" s="16"/>
      <c r="E45" s="16"/>
      <c r="G45" s="17"/>
      <c r="H45" s="17"/>
      <c r="I45" s="17"/>
    </row>
    <row r="46" spans="3:9">
      <c r="C46" s="16"/>
      <c r="D46" s="16"/>
      <c r="E46" s="16"/>
      <c r="G46" s="17"/>
      <c r="H46" s="17"/>
      <c r="I46" s="17"/>
    </row>
    <row r="47" spans="3:9">
      <c r="C47" s="16"/>
      <c r="D47" s="16"/>
      <c r="E47" s="16"/>
      <c r="G47" s="17"/>
      <c r="H47" s="17"/>
      <c r="I47" s="17"/>
    </row>
    <row r="48" spans="3:9">
      <c r="C48" s="16"/>
      <c r="D48" s="16"/>
      <c r="E48" s="16"/>
      <c r="G48" s="17"/>
      <c r="H48" s="17"/>
      <c r="I48" s="17"/>
    </row>
    <row r="49" spans="2:9">
      <c r="C49" s="16"/>
      <c r="D49" s="16"/>
      <c r="E49" s="16"/>
      <c r="G49" s="17"/>
      <c r="H49" s="17"/>
      <c r="I49" s="17"/>
    </row>
    <row r="50" spans="2:9">
      <c r="C50" s="16"/>
      <c r="D50" s="16"/>
      <c r="E50" s="16"/>
      <c r="G50" s="17"/>
      <c r="H50" s="17"/>
      <c r="I50" s="17"/>
    </row>
    <row r="51" spans="2:9">
      <c r="B51" s="24"/>
      <c r="C51" s="25"/>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18"/>
  <sheetViews>
    <sheetView showGridLines="0" showZeros="0" showOutlineSymbols="0" view="pageBreakPreview" topLeftCell="A107" zoomScaleNormal="100" zoomScaleSheetLayoutView="100" workbookViewId="0">
      <selection activeCell="A118" sqref="A118:C118"/>
    </sheetView>
  </sheetViews>
  <sheetFormatPr defaultColWidth="9.140625" defaultRowHeight="10.5"/>
  <cols>
    <col min="1" max="1" width="6" style="84" customWidth="1"/>
    <col min="2" max="2" width="39.42578125" style="84" customWidth="1"/>
    <col min="3" max="3" width="8.140625" style="84" bestFit="1" customWidth="1"/>
    <col min="4" max="5" width="19.140625" style="84" bestFit="1" customWidth="1"/>
    <col min="6" max="6" width="12" style="84" bestFit="1" customWidth="1"/>
    <col min="7" max="16384" width="9.140625" style="84"/>
  </cols>
  <sheetData>
    <row r="1" spans="1:6" ht="36" customHeight="1">
      <c r="A1" s="275"/>
      <c r="B1" s="275"/>
      <c r="C1" s="178"/>
      <c r="D1" s="274" t="s">
        <v>0</v>
      </c>
      <c r="E1" s="274"/>
      <c r="F1" s="274"/>
    </row>
    <row r="2" spans="1:6" ht="27.75" customHeight="1">
      <c r="A2" s="282" t="s">
        <v>1</v>
      </c>
      <c r="B2" s="282"/>
      <c r="C2" s="282"/>
      <c r="D2" s="282"/>
      <c r="E2" s="282"/>
      <c r="F2" s="282"/>
    </row>
    <row r="3" spans="1:6" ht="7.5" customHeight="1">
      <c r="A3" s="82"/>
      <c r="B3" s="82"/>
      <c r="C3" s="82"/>
      <c r="D3" s="82"/>
      <c r="E3" s="82"/>
      <c r="F3" s="82"/>
    </row>
    <row r="4" spans="1:6" ht="27" customHeight="1">
      <c r="A4" s="283" t="s">
        <v>2</v>
      </c>
      <c r="B4" s="283"/>
      <c r="C4" s="283"/>
      <c r="D4" s="283"/>
      <c r="E4" s="283"/>
      <c r="F4" s="283"/>
    </row>
    <row r="5" spans="1:6" ht="18" customHeight="1">
      <c r="A5" s="272" t="s">
        <v>3</v>
      </c>
      <c r="B5" s="272"/>
      <c r="C5" s="272"/>
      <c r="D5" s="272"/>
      <c r="E5" s="272"/>
      <c r="F5" s="272"/>
    </row>
    <row r="6" spans="1:6" ht="12.75" customHeight="1">
      <c r="A6" s="116" t="s">
        <v>4</v>
      </c>
      <c r="B6" s="179" t="s">
        <v>5</v>
      </c>
      <c r="C6" s="276" t="s">
        <v>6</v>
      </c>
      <c r="D6" s="276"/>
      <c r="E6" s="276"/>
      <c r="F6" s="276"/>
    </row>
    <row r="7" spans="1:6" ht="12.75" customHeight="1">
      <c r="A7" s="82"/>
      <c r="B7" s="82" t="s">
        <v>7</v>
      </c>
      <c r="C7" s="275" t="s">
        <v>8</v>
      </c>
      <c r="D7" s="275"/>
      <c r="E7" s="275"/>
      <c r="F7" s="275"/>
    </row>
    <row r="8" spans="1:6" ht="12.75" customHeight="1">
      <c r="A8" s="116" t="s">
        <v>9</v>
      </c>
      <c r="B8" s="179" t="s">
        <v>10</v>
      </c>
      <c r="C8" s="276" t="s">
        <v>11</v>
      </c>
      <c r="D8" s="276"/>
      <c r="E8" s="276"/>
      <c r="F8" s="276"/>
    </row>
    <row r="9" spans="1:6" ht="12.75" customHeight="1">
      <c r="A9" s="82"/>
      <c r="B9" s="82" t="s">
        <v>12</v>
      </c>
      <c r="C9" s="275" t="s">
        <v>13</v>
      </c>
      <c r="D9" s="275"/>
      <c r="E9" s="275"/>
      <c r="F9" s="275"/>
    </row>
    <row r="10" spans="1:6" ht="12.75" customHeight="1">
      <c r="A10" s="116" t="s">
        <v>14</v>
      </c>
      <c r="B10" s="179" t="s">
        <v>15</v>
      </c>
      <c r="C10" s="276" t="s">
        <v>16</v>
      </c>
      <c r="D10" s="276"/>
      <c r="E10" s="276"/>
      <c r="F10" s="276"/>
    </row>
    <row r="11" spans="1:6" ht="12.75" customHeight="1">
      <c r="A11" s="82"/>
      <c r="B11" s="82" t="s">
        <v>17</v>
      </c>
      <c r="C11" s="275" t="s">
        <v>18</v>
      </c>
      <c r="D11" s="275"/>
      <c r="E11" s="275"/>
      <c r="F11" s="275"/>
    </row>
    <row r="12" spans="1:6" ht="12.75" customHeight="1">
      <c r="A12" s="116" t="s">
        <v>19</v>
      </c>
      <c r="B12" s="179" t="s">
        <v>20</v>
      </c>
      <c r="C12" s="277">
        <v>45294</v>
      </c>
      <c r="D12" s="277"/>
      <c r="E12" s="277"/>
      <c r="F12" s="277"/>
    </row>
    <row r="13" spans="1:6" ht="12.75" customHeight="1">
      <c r="A13" s="82"/>
      <c r="B13" s="82" t="s">
        <v>21</v>
      </c>
      <c r="C13" s="278">
        <v>45294</v>
      </c>
      <c r="D13" s="278"/>
      <c r="E13" s="278"/>
      <c r="F13" s="278"/>
    </row>
    <row r="14" spans="1:6" ht="12.75" customHeight="1">
      <c r="A14" s="82"/>
      <c r="B14" s="82"/>
      <c r="C14" s="82"/>
      <c r="D14" s="82"/>
      <c r="E14" s="82"/>
      <c r="F14" s="82"/>
    </row>
    <row r="15" spans="1:6" ht="12.75" customHeight="1">
      <c r="A15" s="279" t="s">
        <v>22</v>
      </c>
      <c r="B15" s="279"/>
      <c r="C15" s="279"/>
      <c r="D15" s="279"/>
      <c r="E15" s="279"/>
      <c r="F15" s="279"/>
    </row>
    <row r="16" spans="1:6" ht="12.75" customHeight="1">
      <c r="A16" s="276" t="s">
        <v>23</v>
      </c>
      <c r="B16" s="276"/>
      <c r="C16" s="276"/>
      <c r="D16" s="276"/>
      <c r="E16" s="276"/>
      <c r="F16" s="276"/>
    </row>
    <row r="17" spans="1:8" ht="12.75" customHeight="1">
      <c r="A17" s="89"/>
      <c r="B17" s="122"/>
      <c r="C17" s="89"/>
      <c r="D17" s="89"/>
      <c r="E17" s="280" t="s">
        <v>24</v>
      </c>
      <c r="F17" s="280"/>
    </row>
    <row r="18" spans="1:8" ht="42">
      <c r="A18" s="123" t="s">
        <v>25</v>
      </c>
      <c r="B18" s="124" t="s">
        <v>26</v>
      </c>
      <c r="C18" s="124" t="s">
        <v>27</v>
      </c>
      <c r="D18" s="124" t="s">
        <v>28</v>
      </c>
      <c r="E18" s="124" t="s">
        <v>29</v>
      </c>
      <c r="F18" s="126" t="s">
        <v>30</v>
      </c>
    </row>
    <row r="19" spans="1:8" ht="23.1" customHeight="1">
      <c r="A19" s="180" t="s">
        <v>31</v>
      </c>
      <c r="B19" s="181" t="s">
        <v>32</v>
      </c>
      <c r="C19" s="103" t="s">
        <v>33</v>
      </c>
      <c r="D19" s="97"/>
      <c r="E19" s="97"/>
      <c r="F19" s="182"/>
    </row>
    <row r="20" spans="1:8" ht="23.1" customHeight="1">
      <c r="A20" s="180" t="s">
        <v>34</v>
      </c>
      <c r="B20" s="181" t="s">
        <v>35</v>
      </c>
      <c r="C20" s="103" t="s">
        <v>36</v>
      </c>
      <c r="D20" s="104">
        <v>22225901806</v>
      </c>
      <c r="E20" s="104">
        <v>133433949762</v>
      </c>
      <c r="F20" s="182">
        <v>0.1011</v>
      </c>
      <c r="H20" s="134"/>
    </row>
    <row r="21" spans="1:8" ht="23.1" customHeight="1">
      <c r="A21" s="180"/>
      <c r="B21" s="181" t="s">
        <v>37</v>
      </c>
      <c r="C21" s="103" t="s">
        <v>38</v>
      </c>
      <c r="D21" s="104">
        <v>0</v>
      </c>
      <c r="E21" s="104">
        <v>0</v>
      </c>
      <c r="F21" s="182">
        <v>0</v>
      </c>
      <c r="H21" s="134"/>
    </row>
    <row r="22" spans="1:8" ht="23.1" customHeight="1">
      <c r="A22" s="180"/>
      <c r="B22" s="181" t="s">
        <v>39</v>
      </c>
      <c r="C22" s="103" t="s">
        <v>40</v>
      </c>
      <c r="D22" s="104">
        <v>22225901806</v>
      </c>
      <c r="E22" s="104">
        <v>133433949762</v>
      </c>
      <c r="F22" s="182">
        <v>0.1011</v>
      </c>
      <c r="H22" s="134"/>
    </row>
    <row r="23" spans="1:8" ht="33" customHeight="1">
      <c r="A23" s="180"/>
      <c r="B23" s="181" t="s">
        <v>41</v>
      </c>
      <c r="C23" s="103" t="s">
        <v>42</v>
      </c>
      <c r="D23" s="109">
        <v>0</v>
      </c>
      <c r="E23" s="109">
        <v>0</v>
      </c>
      <c r="F23" s="182">
        <v>0</v>
      </c>
      <c r="H23" s="134"/>
    </row>
    <row r="24" spans="1:8" ht="23.1" customHeight="1">
      <c r="A24" s="180"/>
      <c r="B24" s="181" t="s">
        <v>43</v>
      </c>
      <c r="C24" s="103" t="s">
        <v>44</v>
      </c>
      <c r="D24" s="109">
        <v>0</v>
      </c>
      <c r="E24" s="109">
        <v>0</v>
      </c>
      <c r="F24" s="182">
        <v>0</v>
      </c>
      <c r="H24" s="134"/>
    </row>
    <row r="25" spans="1:8" ht="23.1" customHeight="1">
      <c r="A25" s="180"/>
      <c r="B25" s="181" t="s">
        <v>45</v>
      </c>
      <c r="C25" s="103" t="s">
        <v>46</v>
      </c>
      <c r="D25" s="109">
        <v>22225901806</v>
      </c>
      <c r="E25" s="109">
        <v>133433949762</v>
      </c>
      <c r="F25" s="182">
        <v>0.1011</v>
      </c>
      <c r="H25" s="134"/>
    </row>
    <row r="26" spans="1:8" ht="33" customHeight="1">
      <c r="A26" s="180"/>
      <c r="B26" s="181" t="s">
        <v>47</v>
      </c>
      <c r="C26" s="103" t="s">
        <v>48</v>
      </c>
      <c r="D26" s="109">
        <v>0</v>
      </c>
      <c r="E26" s="109">
        <v>0</v>
      </c>
      <c r="F26" s="182">
        <v>0</v>
      </c>
      <c r="H26" s="134"/>
    </row>
    <row r="27" spans="1:8" ht="23.1" customHeight="1">
      <c r="A27" s="180"/>
      <c r="B27" s="181" t="s">
        <v>49</v>
      </c>
      <c r="C27" s="103" t="s">
        <v>50</v>
      </c>
      <c r="D27" s="109">
        <v>0</v>
      </c>
      <c r="E27" s="109">
        <v>0</v>
      </c>
      <c r="F27" s="182">
        <v>0</v>
      </c>
      <c r="H27" s="134"/>
    </row>
    <row r="28" spans="1:8" ht="23.1" customHeight="1">
      <c r="A28" s="180"/>
      <c r="B28" s="181" t="s">
        <v>51</v>
      </c>
      <c r="C28" s="103" t="s">
        <v>52</v>
      </c>
      <c r="D28" s="104">
        <v>0</v>
      </c>
      <c r="E28" s="104">
        <v>0</v>
      </c>
      <c r="F28" s="182">
        <v>0</v>
      </c>
      <c r="H28" s="134"/>
    </row>
    <row r="29" spans="1:8" ht="23.1" customHeight="1">
      <c r="A29" s="180" t="s">
        <v>53</v>
      </c>
      <c r="B29" s="181" t="s">
        <v>54</v>
      </c>
      <c r="C29" s="103" t="s">
        <v>55</v>
      </c>
      <c r="D29" s="104">
        <v>17263333319150</v>
      </c>
      <c r="E29" s="104">
        <v>17505212385400</v>
      </c>
      <c r="F29" s="182">
        <v>0.95989999999999998</v>
      </c>
      <c r="H29" s="134"/>
    </row>
    <row r="30" spans="1:8" ht="23.1" customHeight="1">
      <c r="A30" s="180"/>
      <c r="B30" s="181" t="s">
        <v>56</v>
      </c>
      <c r="C30" s="103" t="s">
        <v>57</v>
      </c>
      <c r="D30" s="104">
        <v>17263333319150</v>
      </c>
      <c r="E30" s="104">
        <v>17505212385400</v>
      </c>
      <c r="F30" s="182">
        <v>0.95989999999999998</v>
      </c>
      <c r="H30" s="134"/>
    </row>
    <row r="31" spans="1:8" ht="23.1" customHeight="1">
      <c r="A31" s="180"/>
      <c r="B31" s="181" t="s">
        <v>58</v>
      </c>
      <c r="C31" s="103" t="s">
        <v>59</v>
      </c>
      <c r="D31" s="104">
        <v>0</v>
      </c>
      <c r="E31" s="104">
        <v>0</v>
      </c>
      <c r="F31" s="182">
        <v>0</v>
      </c>
      <c r="H31" s="134"/>
    </row>
    <row r="32" spans="1:8" ht="23.1" customHeight="1">
      <c r="A32" s="180"/>
      <c r="B32" s="181" t="s">
        <v>60</v>
      </c>
      <c r="C32" s="103" t="s">
        <v>61</v>
      </c>
      <c r="D32" s="104">
        <v>0</v>
      </c>
      <c r="E32" s="104">
        <v>0</v>
      </c>
      <c r="F32" s="182">
        <v>0</v>
      </c>
      <c r="H32" s="134"/>
    </row>
    <row r="33" spans="1:8" ht="23.1" customHeight="1">
      <c r="A33" s="180"/>
      <c r="B33" s="181" t="s">
        <v>62</v>
      </c>
      <c r="C33" s="103" t="s">
        <v>63</v>
      </c>
      <c r="D33" s="104">
        <v>0</v>
      </c>
      <c r="E33" s="104">
        <v>0</v>
      </c>
      <c r="F33" s="182">
        <v>0</v>
      </c>
      <c r="H33" s="134"/>
    </row>
    <row r="34" spans="1:8" ht="23.1" customHeight="1">
      <c r="A34" s="180"/>
      <c r="B34" s="181" t="s">
        <v>64</v>
      </c>
      <c r="C34" s="103" t="s">
        <v>65</v>
      </c>
      <c r="D34" s="104">
        <v>0</v>
      </c>
      <c r="E34" s="104">
        <v>0</v>
      </c>
      <c r="F34" s="182">
        <v>0</v>
      </c>
      <c r="H34" s="134"/>
    </row>
    <row r="35" spans="1:8" ht="23.1" customHeight="1">
      <c r="A35" s="180"/>
      <c r="B35" s="181" t="s">
        <v>66</v>
      </c>
      <c r="C35" s="103" t="s">
        <v>67</v>
      </c>
      <c r="D35" s="104">
        <v>0</v>
      </c>
      <c r="E35" s="104">
        <v>0</v>
      </c>
      <c r="F35" s="182">
        <v>0</v>
      </c>
      <c r="H35" s="134"/>
    </row>
    <row r="36" spans="1:8" ht="23.1" customHeight="1">
      <c r="A36" s="180"/>
      <c r="B36" s="181" t="s">
        <v>68</v>
      </c>
      <c r="C36" s="103" t="s">
        <v>69</v>
      </c>
      <c r="D36" s="104">
        <v>0</v>
      </c>
      <c r="E36" s="104">
        <v>0</v>
      </c>
      <c r="F36" s="182">
        <v>0</v>
      </c>
      <c r="H36" s="134"/>
    </row>
    <row r="37" spans="1:8" ht="23.1" customHeight="1">
      <c r="A37" s="180"/>
      <c r="B37" s="181" t="s">
        <v>70</v>
      </c>
      <c r="C37" s="103" t="s">
        <v>71</v>
      </c>
      <c r="D37" s="104">
        <v>0</v>
      </c>
      <c r="E37" s="104">
        <v>0</v>
      </c>
      <c r="F37" s="182">
        <v>0</v>
      </c>
      <c r="H37" s="134"/>
    </row>
    <row r="38" spans="1:8" ht="34.5" customHeight="1">
      <c r="A38" s="180" t="s">
        <v>72</v>
      </c>
      <c r="B38" s="181" t="s">
        <v>73</v>
      </c>
      <c r="C38" s="103"/>
      <c r="D38" s="104">
        <v>0</v>
      </c>
      <c r="E38" s="104">
        <v>0</v>
      </c>
      <c r="F38" s="182">
        <v>0</v>
      </c>
      <c r="H38" s="134"/>
    </row>
    <row r="39" spans="1:8" ht="23.1" customHeight="1">
      <c r="A39" s="180" t="s">
        <v>74</v>
      </c>
      <c r="B39" s="181" t="s">
        <v>75</v>
      </c>
      <c r="C39" s="103" t="s">
        <v>76</v>
      </c>
      <c r="D39" s="104">
        <v>0</v>
      </c>
      <c r="E39" s="104">
        <v>0</v>
      </c>
      <c r="F39" s="182">
        <v>0</v>
      </c>
      <c r="H39" s="134"/>
    </row>
    <row r="40" spans="1:8" ht="23.1" customHeight="1">
      <c r="A40" s="180"/>
      <c r="B40" s="181" t="s">
        <v>77</v>
      </c>
      <c r="C40" s="103" t="s">
        <v>78</v>
      </c>
      <c r="D40" s="104">
        <v>0</v>
      </c>
      <c r="E40" s="104">
        <v>0</v>
      </c>
      <c r="F40" s="182">
        <v>0</v>
      </c>
      <c r="H40" s="134"/>
    </row>
    <row r="41" spans="1:8" ht="23.1" customHeight="1">
      <c r="A41" s="180"/>
      <c r="B41" s="181" t="s">
        <v>79</v>
      </c>
      <c r="C41" s="103" t="s">
        <v>80</v>
      </c>
      <c r="D41" s="104">
        <v>0</v>
      </c>
      <c r="E41" s="104">
        <v>0</v>
      </c>
      <c r="F41" s="182">
        <v>0</v>
      </c>
      <c r="H41" s="134"/>
    </row>
    <row r="42" spans="1:8" ht="23.1" customHeight="1">
      <c r="A42" s="180" t="s">
        <v>81</v>
      </c>
      <c r="B42" s="181" t="s">
        <v>82</v>
      </c>
      <c r="C42" s="103" t="s">
        <v>83</v>
      </c>
      <c r="D42" s="104">
        <v>0</v>
      </c>
      <c r="E42" s="104">
        <v>0</v>
      </c>
      <c r="F42" s="182">
        <v>0</v>
      </c>
      <c r="H42" s="134"/>
    </row>
    <row r="43" spans="1:8" ht="33" customHeight="1">
      <c r="A43" s="180"/>
      <c r="B43" s="181" t="s">
        <v>84</v>
      </c>
      <c r="C43" s="103" t="s">
        <v>85</v>
      </c>
      <c r="D43" s="104">
        <v>0</v>
      </c>
      <c r="E43" s="104">
        <v>0</v>
      </c>
      <c r="F43" s="182">
        <v>0</v>
      </c>
      <c r="H43" s="134"/>
    </row>
    <row r="44" spans="1:8" ht="33" customHeight="1">
      <c r="A44" s="180"/>
      <c r="B44" s="181" t="s">
        <v>86</v>
      </c>
      <c r="C44" s="103" t="s">
        <v>87</v>
      </c>
      <c r="D44" s="104">
        <v>0</v>
      </c>
      <c r="E44" s="104">
        <v>0</v>
      </c>
      <c r="F44" s="182">
        <v>0</v>
      </c>
      <c r="H44" s="134"/>
    </row>
    <row r="45" spans="1:8" ht="23.1" customHeight="1">
      <c r="A45" s="180"/>
      <c r="B45" s="181" t="s">
        <v>88</v>
      </c>
      <c r="C45" s="103" t="s">
        <v>89</v>
      </c>
      <c r="D45" s="104">
        <v>0</v>
      </c>
      <c r="E45" s="104">
        <v>0</v>
      </c>
      <c r="F45" s="182">
        <v>0</v>
      </c>
      <c r="H45" s="134"/>
    </row>
    <row r="46" spans="1:8" ht="23.1" customHeight="1">
      <c r="A46" s="180" t="s">
        <v>90</v>
      </c>
      <c r="B46" s="181" t="s">
        <v>91</v>
      </c>
      <c r="C46" s="103" t="s">
        <v>92</v>
      </c>
      <c r="D46" s="104">
        <v>0</v>
      </c>
      <c r="E46" s="104">
        <v>0</v>
      </c>
      <c r="F46" s="182">
        <v>0</v>
      </c>
      <c r="H46" s="134"/>
    </row>
    <row r="47" spans="1:8" ht="23.1" customHeight="1">
      <c r="A47" s="180" t="s">
        <v>93</v>
      </c>
      <c r="B47" s="181" t="s">
        <v>94</v>
      </c>
      <c r="C47" s="103" t="s">
        <v>95</v>
      </c>
      <c r="D47" s="104">
        <v>13837903250</v>
      </c>
      <c r="E47" s="104">
        <v>0</v>
      </c>
      <c r="F47" s="182">
        <v>0.83850000000000002</v>
      </c>
      <c r="H47" s="134"/>
    </row>
    <row r="48" spans="1:8" ht="23.1" customHeight="1">
      <c r="A48" s="180" t="s">
        <v>96</v>
      </c>
      <c r="B48" s="181" t="s">
        <v>97</v>
      </c>
      <c r="C48" s="103" t="s">
        <v>98</v>
      </c>
      <c r="D48" s="104">
        <v>36799980</v>
      </c>
      <c r="E48" s="104">
        <v>0</v>
      </c>
      <c r="F48" s="182">
        <v>0</v>
      </c>
      <c r="H48" s="134"/>
    </row>
    <row r="49" spans="1:8" ht="23.1" customHeight="1">
      <c r="A49" s="180"/>
      <c r="B49" s="181" t="s">
        <v>99</v>
      </c>
      <c r="C49" s="103" t="s">
        <v>100</v>
      </c>
      <c r="D49" s="104">
        <v>0</v>
      </c>
      <c r="E49" s="104">
        <v>0</v>
      </c>
      <c r="F49" s="182">
        <v>0</v>
      </c>
      <c r="H49" s="134"/>
    </row>
    <row r="50" spans="1:8" ht="23.1" customHeight="1">
      <c r="A50" s="180"/>
      <c r="B50" s="181" t="s">
        <v>101</v>
      </c>
      <c r="C50" s="103" t="s">
        <v>102</v>
      </c>
      <c r="D50" s="104">
        <v>0</v>
      </c>
      <c r="E50" s="104">
        <v>0</v>
      </c>
      <c r="F50" s="182">
        <v>0</v>
      </c>
      <c r="H50" s="134"/>
    </row>
    <row r="51" spans="1:8" ht="23.1" customHeight="1">
      <c r="A51" s="180"/>
      <c r="B51" s="181" t="s">
        <v>103</v>
      </c>
      <c r="C51" s="103" t="s">
        <v>104</v>
      </c>
      <c r="D51" s="104">
        <v>36799980</v>
      </c>
      <c r="E51" s="104">
        <v>0</v>
      </c>
      <c r="F51" s="182">
        <v>0</v>
      </c>
      <c r="H51" s="134"/>
    </row>
    <row r="52" spans="1:8" ht="23.1" customHeight="1">
      <c r="A52" s="180" t="s">
        <v>105</v>
      </c>
      <c r="B52" s="181" t="s">
        <v>106</v>
      </c>
      <c r="C52" s="103" t="s">
        <v>107</v>
      </c>
      <c r="D52" s="104">
        <v>0</v>
      </c>
      <c r="E52" s="104">
        <v>0</v>
      </c>
      <c r="F52" s="182">
        <v>0</v>
      </c>
      <c r="H52" s="134"/>
    </row>
    <row r="53" spans="1:8" ht="23.1" customHeight="1">
      <c r="A53" s="180"/>
      <c r="B53" s="181" t="s">
        <v>108</v>
      </c>
      <c r="C53" s="103" t="s">
        <v>109</v>
      </c>
      <c r="D53" s="104">
        <v>0</v>
      </c>
      <c r="E53" s="104">
        <v>0</v>
      </c>
      <c r="F53" s="182">
        <v>0</v>
      </c>
      <c r="H53" s="134"/>
    </row>
    <row r="54" spans="1:8" ht="23.1" customHeight="1">
      <c r="A54" s="180"/>
      <c r="B54" s="181" t="s">
        <v>110</v>
      </c>
      <c r="C54" s="103" t="s">
        <v>111</v>
      </c>
      <c r="D54" s="104">
        <v>0</v>
      </c>
      <c r="E54" s="104">
        <v>0</v>
      </c>
      <c r="F54" s="182">
        <v>0</v>
      </c>
      <c r="H54" s="134"/>
    </row>
    <row r="55" spans="1:8" ht="23.1" customHeight="1">
      <c r="A55" s="180"/>
      <c r="B55" s="181" t="s">
        <v>112</v>
      </c>
      <c r="C55" s="103" t="s">
        <v>113</v>
      </c>
      <c r="D55" s="104">
        <v>0</v>
      </c>
      <c r="E55" s="104">
        <v>0</v>
      </c>
      <c r="F55" s="182">
        <v>0</v>
      </c>
      <c r="H55" s="134"/>
    </row>
    <row r="56" spans="1:8" ht="23.1" customHeight="1">
      <c r="A56" s="180"/>
      <c r="B56" s="181" t="s">
        <v>114</v>
      </c>
      <c r="C56" s="103" t="s">
        <v>115</v>
      </c>
      <c r="D56" s="104">
        <v>0</v>
      </c>
      <c r="E56" s="104">
        <v>0</v>
      </c>
      <c r="F56" s="182">
        <v>0</v>
      </c>
      <c r="H56" s="134"/>
    </row>
    <row r="57" spans="1:8" ht="44.1" customHeight="1">
      <c r="A57" s="180"/>
      <c r="B57" s="181" t="s">
        <v>116</v>
      </c>
      <c r="C57" s="103" t="s">
        <v>117</v>
      </c>
      <c r="D57" s="104">
        <v>0</v>
      </c>
      <c r="E57" s="104">
        <v>0</v>
      </c>
      <c r="F57" s="182">
        <v>0</v>
      </c>
      <c r="H57" s="134"/>
    </row>
    <row r="58" spans="1:8" s="186" customFormat="1" ht="23.1" customHeight="1">
      <c r="A58" s="183" t="s">
        <v>118</v>
      </c>
      <c r="B58" s="184" t="s">
        <v>119</v>
      </c>
      <c r="C58" s="96" t="s">
        <v>120</v>
      </c>
      <c r="D58" s="97">
        <v>17299433924186</v>
      </c>
      <c r="E58" s="97">
        <v>17638646335162</v>
      </c>
      <c r="F58" s="185">
        <v>0.94940000000000002</v>
      </c>
      <c r="H58" s="134"/>
    </row>
    <row r="59" spans="1:8" ht="23.1" customHeight="1">
      <c r="A59" s="180" t="s">
        <v>121</v>
      </c>
      <c r="B59" s="181" t="s">
        <v>122</v>
      </c>
      <c r="C59" s="103" t="s">
        <v>123</v>
      </c>
      <c r="D59" s="97">
        <v>0</v>
      </c>
      <c r="E59" s="97">
        <v>0</v>
      </c>
      <c r="F59" s="182">
        <v>0</v>
      </c>
      <c r="H59" s="134"/>
    </row>
    <row r="60" spans="1:8" ht="33" customHeight="1">
      <c r="A60" s="180" t="s">
        <v>124</v>
      </c>
      <c r="B60" s="181" t="s">
        <v>125</v>
      </c>
      <c r="C60" s="103"/>
      <c r="D60" s="104">
        <v>0</v>
      </c>
      <c r="E60" s="104">
        <v>0</v>
      </c>
      <c r="F60" s="182">
        <v>0</v>
      </c>
      <c r="H60" s="134"/>
    </row>
    <row r="61" spans="1:8" ht="23.1" customHeight="1">
      <c r="A61" s="180" t="s">
        <v>126</v>
      </c>
      <c r="B61" s="181" t="s">
        <v>127</v>
      </c>
      <c r="C61" s="103" t="s">
        <v>128</v>
      </c>
      <c r="D61" s="104">
        <v>0</v>
      </c>
      <c r="E61" s="104">
        <v>0</v>
      </c>
      <c r="F61" s="182">
        <v>0</v>
      </c>
      <c r="H61" s="134"/>
    </row>
    <row r="62" spans="1:8" ht="23.1" customHeight="1">
      <c r="A62" s="180" t="s">
        <v>129</v>
      </c>
      <c r="B62" s="181" t="s">
        <v>130</v>
      </c>
      <c r="C62" s="103" t="s">
        <v>131</v>
      </c>
      <c r="D62" s="104">
        <v>38039111049</v>
      </c>
      <c r="E62" s="104">
        <v>21742894172</v>
      </c>
      <c r="F62" s="182">
        <v>1.1722999999999999</v>
      </c>
      <c r="H62" s="134"/>
    </row>
    <row r="63" spans="1:8" ht="23.1" customHeight="1">
      <c r="A63" s="180"/>
      <c r="B63" s="181" t="s">
        <v>132</v>
      </c>
      <c r="C63" s="103" t="s">
        <v>133</v>
      </c>
      <c r="D63" s="104">
        <v>13836703250</v>
      </c>
      <c r="E63" s="104">
        <v>0</v>
      </c>
      <c r="F63" s="182">
        <v>1.5394000000000001</v>
      </c>
      <c r="H63" s="134"/>
    </row>
    <row r="64" spans="1:8" ht="23.1" customHeight="1">
      <c r="A64" s="180"/>
      <c r="B64" s="181" t="s">
        <v>134</v>
      </c>
      <c r="C64" s="103" t="s">
        <v>135</v>
      </c>
      <c r="D64" s="109">
        <v>0</v>
      </c>
      <c r="E64" s="109">
        <v>0</v>
      </c>
      <c r="F64" s="182">
        <v>0</v>
      </c>
      <c r="H64" s="134"/>
    </row>
    <row r="65" spans="1:8" ht="23.1" customHeight="1">
      <c r="A65" s="180"/>
      <c r="B65" s="181" t="s">
        <v>136</v>
      </c>
      <c r="C65" s="103" t="s">
        <v>137</v>
      </c>
      <c r="D65" s="109">
        <v>0</v>
      </c>
      <c r="E65" s="109">
        <v>0</v>
      </c>
      <c r="F65" s="182">
        <v>0</v>
      </c>
      <c r="H65" s="134"/>
    </row>
    <row r="66" spans="1:8" ht="23.1" customHeight="1">
      <c r="A66" s="180"/>
      <c r="B66" s="181" t="s">
        <v>138</v>
      </c>
      <c r="C66" s="103" t="s">
        <v>139</v>
      </c>
      <c r="D66" s="109">
        <v>13836703250</v>
      </c>
      <c r="E66" s="109">
        <v>0</v>
      </c>
      <c r="F66" s="182">
        <v>0</v>
      </c>
      <c r="H66" s="134"/>
    </row>
    <row r="67" spans="1:8" ht="23.1" customHeight="1">
      <c r="A67" s="180"/>
      <c r="B67" s="181" t="s">
        <v>140</v>
      </c>
      <c r="C67" s="103" t="s">
        <v>141</v>
      </c>
      <c r="D67" s="104">
        <v>0</v>
      </c>
      <c r="E67" s="104">
        <v>0</v>
      </c>
      <c r="F67" s="182">
        <v>0</v>
      </c>
      <c r="H67" s="134"/>
    </row>
    <row r="68" spans="1:8" ht="44.1" customHeight="1">
      <c r="A68" s="180"/>
      <c r="B68" s="181" t="s">
        <v>142</v>
      </c>
      <c r="C68" s="103" t="s">
        <v>143</v>
      </c>
      <c r="D68" s="104">
        <v>0</v>
      </c>
      <c r="E68" s="104">
        <v>0</v>
      </c>
      <c r="F68" s="182">
        <v>0</v>
      </c>
      <c r="H68" s="134"/>
    </row>
    <row r="69" spans="1:8" ht="33" customHeight="1">
      <c r="A69" s="180"/>
      <c r="B69" s="181" t="s">
        <v>144</v>
      </c>
      <c r="C69" s="103" t="s">
        <v>145</v>
      </c>
      <c r="D69" s="104">
        <v>0</v>
      </c>
      <c r="E69" s="104">
        <v>0</v>
      </c>
      <c r="F69" s="182">
        <v>0</v>
      </c>
      <c r="H69" s="134"/>
    </row>
    <row r="70" spans="1:8" ht="44.1" customHeight="1">
      <c r="A70" s="180"/>
      <c r="B70" s="181" t="s">
        <v>146</v>
      </c>
      <c r="C70" s="103" t="s">
        <v>147</v>
      </c>
      <c r="D70" s="109">
        <v>0</v>
      </c>
      <c r="E70" s="109">
        <v>0</v>
      </c>
      <c r="F70" s="182">
        <v>0</v>
      </c>
      <c r="H70" s="134"/>
    </row>
    <row r="71" spans="1:8" ht="23.1" customHeight="1">
      <c r="A71" s="180"/>
      <c r="B71" s="181" t="s">
        <v>148</v>
      </c>
      <c r="C71" s="103" t="s">
        <v>149</v>
      </c>
      <c r="D71" s="104">
        <v>0</v>
      </c>
      <c r="E71" s="104">
        <v>0</v>
      </c>
      <c r="F71" s="182">
        <v>0</v>
      </c>
      <c r="H71" s="134"/>
    </row>
    <row r="72" spans="1:8" ht="33" customHeight="1">
      <c r="A72" s="180"/>
      <c r="B72" s="181" t="s">
        <v>150</v>
      </c>
      <c r="C72" s="103" t="s">
        <v>151</v>
      </c>
      <c r="D72" s="104">
        <v>18000000</v>
      </c>
      <c r="E72" s="104">
        <v>17235534</v>
      </c>
      <c r="F72" s="182">
        <v>1.0588</v>
      </c>
      <c r="H72" s="134"/>
    </row>
    <row r="73" spans="1:8" ht="23.1" customHeight="1">
      <c r="A73" s="180"/>
      <c r="B73" s="181" t="s">
        <v>152</v>
      </c>
      <c r="C73" s="103" t="s">
        <v>153</v>
      </c>
      <c r="D73" s="104">
        <v>11808763923</v>
      </c>
      <c r="E73" s="104">
        <v>11557855213</v>
      </c>
      <c r="F73" s="182">
        <v>0.9587</v>
      </c>
      <c r="H73" s="134"/>
    </row>
    <row r="74" spans="1:8" ht="23.1" customHeight="1">
      <c r="A74" s="180"/>
      <c r="B74" s="181" t="s">
        <v>154</v>
      </c>
      <c r="C74" s="103" t="s">
        <v>155</v>
      </c>
      <c r="D74" s="104">
        <v>324741010</v>
      </c>
      <c r="E74" s="104">
        <v>317841018</v>
      </c>
      <c r="F74" s="182">
        <v>0.9587</v>
      </c>
      <c r="H74" s="134"/>
    </row>
    <row r="75" spans="1:8" ht="23.1" customHeight="1">
      <c r="A75" s="180"/>
      <c r="B75" s="181" t="s">
        <v>156</v>
      </c>
      <c r="C75" s="103" t="s">
        <v>157</v>
      </c>
      <c r="D75" s="104">
        <v>649482016</v>
      </c>
      <c r="E75" s="104">
        <v>635682038</v>
      </c>
      <c r="F75" s="182">
        <v>0.9587</v>
      </c>
      <c r="H75" s="134"/>
    </row>
    <row r="76" spans="1:8" ht="23.1" customHeight="1">
      <c r="A76" s="180"/>
      <c r="B76" s="181" t="s">
        <v>158</v>
      </c>
      <c r="C76" s="103" t="s">
        <v>159</v>
      </c>
      <c r="D76" s="187">
        <v>0</v>
      </c>
      <c r="E76" s="187">
        <v>0</v>
      </c>
      <c r="F76" s="188">
        <v>0</v>
      </c>
      <c r="H76" s="134"/>
    </row>
    <row r="77" spans="1:8" ht="23.1" customHeight="1">
      <c r="A77" s="180"/>
      <c r="B77" s="181" t="s">
        <v>160</v>
      </c>
      <c r="C77" s="103" t="s">
        <v>161</v>
      </c>
      <c r="D77" s="109">
        <v>0</v>
      </c>
      <c r="E77" s="109">
        <v>0</v>
      </c>
      <c r="F77" s="182">
        <v>0</v>
      </c>
      <c r="H77" s="134"/>
    </row>
    <row r="78" spans="1:8" ht="23.1" customHeight="1">
      <c r="A78" s="180"/>
      <c r="B78" s="181" t="s">
        <v>162</v>
      </c>
      <c r="C78" s="103" t="s">
        <v>163</v>
      </c>
      <c r="D78" s="189">
        <v>0</v>
      </c>
      <c r="E78" s="109">
        <v>0</v>
      </c>
      <c r="F78" s="182">
        <v>0</v>
      </c>
      <c r="H78" s="134"/>
    </row>
    <row r="79" spans="1:8" ht="23.1" customHeight="1">
      <c r="A79" s="180"/>
      <c r="B79" s="181" t="s">
        <v>164</v>
      </c>
      <c r="C79" s="103" t="s">
        <v>165</v>
      </c>
      <c r="D79" s="104">
        <v>309319100</v>
      </c>
      <c r="E79" s="104">
        <v>294846380</v>
      </c>
      <c r="F79" s="182">
        <v>0.96409999999999996</v>
      </c>
      <c r="H79" s="134"/>
    </row>
    <row r="80" spans="1:8" ht="23.1" customHeight="1">
      <c r="A80" s="180"/>
      <c r="B80" s="181" t="s">
        <v>166</v>
      </c>
      <c r="C80" s="103" t="s">
        <v>167</v>
      </c>
      <c r="D80" s="109">
        <v>295219100</v>
      </c>
      <c r="E80" s="109">
        <v>288946380</v>
      </c>
      <c r="F80" s="182">
        <v>0.9587</v>
      </c>
      <c r="H80" s="134"/>
    </row>
    <row r="81" spans="1:8" ht="23.1" customHeight="1">
      <c r="A81" s="180"/>
      <c r="B81" s="181" t="s">
        <v>168</v>
      </c>
      <c r="C81" s="103" t="s">
        <v>169</v>
      </c>
      <c r="D81" s="109">
        <v>14100000</v>
      </c>
      <c r="E81" s="109">
        <v>5900000</v>
      </c>
      <c r="F81" s="182">
        <v>1.093</v>
      </c>
      <c r="H81" s="134"/>
    </row>
    <row r="82" spans="1:8" ht="23.1" customHeight="1">
      <c r="A82" s="180"/>
      <c r="B82" s="181" t="s">
        <v>170</v>
      </c>
      <c r="C82" s="103" t="s">
        <v>171</v>
      </c>
      <c r="D82" s="109">
        <v>0</v>
      </c>
      <c r="E82" s="109">
        <v>0</v>
      </c>
      <c r="F82" s="182">
        <v>0</v>
      </c>
      <c r="H82" s="134"/>
    </row>
    <row r="83" spans="1:8" ht="44.1" customHeight="1">
      <c r="A83" s="180"/>
      <c r="B83" s="181" t="s">
        <v>172</v>
      </c>
      <c r="C83" s="103" t="s">
        <v>173</v>
      </c>
      <c r="D83" s="109">
        <v>0</v>
      </c>
      <c r="E83" s="109">
        <v>0</v>
      </c>
      <c r="F83" s="182">
        <v>0</v>
      </c>
      <c r="H83" s="134"/>
    </row>
    <row r="84" spans="1:8" ht="23.1" customHeight="1">
      <c r="A84" s="180"/>
      <c r="B84" s="181" t="s">
        <v>174</v>
      </c>
      <c r="C84" s="103" t="s">
        <v>175</v>
      </c>
      <c r="D84" s="104">
        <v>181500000</v>
      </c>
      <c r="E84" s="104">
        <v>154670700</v>
      </c>
      <c r="F84" s="182">
        <v>1.1000000000000001</v>
      </c>
      <c r="H84" s="134"/>
    </row>
    <row r="85" spans="1:8" ht="23.1" customHeight="1">
      <c r="A85" s="180"/>
      <c r="B85" s="181" t="s">
        <v>176</v>
      </c>
      <c r="C85" s="103" t="s">
        <v>177</v>
      </c>
      <c r="D85" s="104">
        <v>0</v>
      </c>
      <c r="E85" s="104">
        <v>0</v>
      </c>
      <c r="F85" s="182">
        <v>0</v>
      </c>
      <c r="H85" s="134"/>
    </row>
    <row r="86" spans="1:8" ht="23.1" customHeight="1">
      <c r="A86" s="180"/>
      <c r="B86" s="181" t="s">
        <v>178</v>
      </c>
      <c r="C86" s="103" t="s">
        <v>179</v>
      </c>
      <c r="D86" s="104">
        <v>0</v>
      </c>
      <c r="E86" s="104">
        <v>0</v>
      </c>
      <c r="F86" s="182">
        <v>0</v>
      </c>
      <c r="H86" s="134"/>
    </row>
    <row r="87" spans="1:8" ht="23.1" customHeight="1">
      <c r="A87" s="180"/>
      <c r="B87" s="181" t="s">
        <v>180</v>
      </c>
      <c r="C87" s="103" t="s">
        <v>181</v>
      </c>
      <c r="D87" s="104">
        <v>16500000</v>
      </c>
      <c r="E87" s="104">
        <v>11000000</v>
      </c>
      <c r="F87" s="182">
        <v>1</v>
      </c>
      <c r="H87" s="134"/>
    </row>
    <row r="88" spans="1:8" ht="44.1" customHeight="1">
      <c r="A88" s="180"/>
      <c r="B88" s="181" t="s">
        <v>182</v>
      </c>
      <c r="C88" s="103" t="s">
        <v>183</v>
      </c>
      <c r="D88" s="104">
        <v>4784723002</v>
      </c>
      <c r="E88" s="104">
        <v>4046675258</v>
      </c>
      <c r="F88" s="182">
        <v>1.1468</v>
      </c>
      <c r="H88" s="134"/>
    </row>
    <row r="89" spans="1:8" ht="23.1" customHeight="1">
      <c r="A89" s="180"/>
      <c r="B89" s="181" t="s">
        <v>184</v>
      </c>
      <c r="C89" s="103" t="s">
        <v>185</v>
      </c>
      <c r="D89" s="104">
        <v>3827778402</v>
      </c>
      <c r="E89" s="104">
        <v>3237340206</v>
      </c>
      <c r="F89" s="182">
        <v>1.1468</v>
      </c>
      <c r="H89" s="134"/>
    </row>
    <row r="90" spans="1:8" ht="23.1" customHeight="1">
      <c r="A90" s="180"/>
      <c r="B90" s="181" t="s">
        <v>186</v>
      </c>
      <c r="C90" s="103" t="s">
        <v>187</v>
      </c>
      <c r="D90" s="104">
        <v>2281600346</v>
      </c>
      <c r="E90" s="104">
        <v>1469747825</v>
      </c>
      <c r="F90" s="182">
        <v>1.1347</v>
      </c>
      <c r="H90" s="134"/>
    </row>
    <row r="91" spans="1:8" ht="23.1" customHeight="1">
      <c r="A91" s="180"/>
      <c r="B91" s="181" t="s">
        <v>188</v>
      </c>
      <c r="C91" s="103" t="s">
        <v>189</v>
      </c>
      <c r="D91" s="104">
        <v>0</v>
      </c>
      <c r="E91" s="104">
        <v>0</v>
      </c>
      <c r="F91" s="182">
        <v>0</v>
      </c>
      <c r="H91" s="134"/>
    </row>
    <row r="92" spans="1:8" ht="23.1" customHeight="1">
      <c r="A92" s="180"/>
      <c r="B92" s="181" t="s">
        <v>190</v>
      </c>
      <c r="C92" s="103" t="s">
        <v>191</v>
      </c>
      <c r="D92" s="109">
        <v>0</v>
      </c>
      <c r="E92" s="109">
        <v>0</v>
      </c>
      <c r="F92" s="182">
        <v>0</v>
      </c>
      <c r="H92" s="134"/>
    </row>
    <row r="93" spans="1:8" ht="33" customHeight="1">
      <c r="A93" s="180"/>
      <c r="B93" s="181" t="s">
        <v>192</v>
      </c>
      <c r="C93" s="103" t="s">
        <v>193</v>
      </c>
      <c r="D93" s="109">
        <v>0</v>
      </c>
      <c r="E93" s="109">
        <v>0</v>
      </c>
      <c r="F93" s="182">
        <v>0</v>
      </c>
      <c r="H93" s="134"/>
    </row>
    <row r="94" spans="1:8" ht="23.1" customHeight="1">
      <c r="A94" s="180"/>
      <c r="B94" s="181" t="s">
        <v>194</v>
      </c>
      <c r="C94" s="103" t="s">
        <v>195</v>
      </c>
      <c r="D94" s="109">
        <v>0</v>
      </c>
      <c r="E94" s="109">
        <v>0</v>
      </c>
      <c r="F94" s="182">
        <v>0</v>
      </c>
      <c r="H94" s="134"/>
    </row>
    <row r="95" spans="1:8" ht="23.1" customHeight="1">
      <c r="A95" s="180"/>
      <c r="B95" s="181" t="s">
        <v>196</v>
      </c>
      <c r="C95" s="103" t="s">
        <v>197</v>
      </c>
      <c r="D95" s="109">
        <v>0</v>
      </c>
      <c r="E95" s="109">
        <v>0</v>
      </c>
      <c r="F95" s="182">
        <v>0</v>
      </c>
      <c r="H95" s="134"/>
    </row>
    <row r="96" spans="1:8" ht="33" customHeight="1">
      <c r="A96" s="180"/>
      <c r="B96" s="181" t="s">
        <v>198</v>
      </c>
      <c r="C96" s="103" t="s">
        <v>199</v>
      </c>
      <c r="D96" s="109">
        <v>0</v>
      </c>
      <c r="E96" s="109">
        <v>0</v>
      </c>
      <c r="F96" s="182">
        <v>0</v>
      </c>
      <c r="H96" s="134"/>
    </row>
    <row r="97" spans="1:8" ht="23.1" customHeight="1">
      <c r="A97" s="180"/>
      <c r="B97" s="181" t="s">
        <v>200</v>
      </c>
      <c r="C97" s="103" t="s">
        <v>201</v>
      </c>
      <c r="D97" s="109">
        <v>0</v>
      </c>
      <c r="E97" s="109">
        <v>0</v>
      </c>
      <c r="F97" s="182">
        <v>0</v>
      </c>
      <c r="H97" s="134"/>
    </row>
    <row r="98" spans="1:8" ht="23.1" customHeight="1">
      <c r="A98" s="180"/>
      <c r="B98" s="181" t="s">
        <v>202</v>
      </c>
      <c r="C98" s="103" t="s">
        <v>203</v>
      </c>
      <c r="D98" s="109">
        <v>0</v>
      </c>
      <c r="E98" s="109">
        <v>0</v>
      </c>
      <c r="F98" s="182">
        <v>0</v>
      </c>
      <c r="H98" s="134"/>
    </row>
    <row r="99" spans="1:8" ht="23.1" customHeight="1">
      <c r="A99" s="180"/>
      <c r="B99" s="181" t="s">
        <v>204</v>
      </c>
      <c r="C99" s="103" t="s">
        <v>205</v>
      </c>
      <c r="D99" s="109">
        <v>0</v>
      </c>
      <c r="E99" s="109">
        <v>0</v>
      </c>
      <c r="F99" s="182">
        <v>0</v>
      </c>
      <c r="H99" s="134"/>
    </row>
    <row r="100" spans="1:8" ht="23.1" customHeight="1">
      <c r="A100" s="180"/>
      <c r="B100" s="181" t="s">
        <v>206</v>
      </c>
      <c r="C100" s="103" t="s">
        <v>207</v>
      </c>
      <c r="D100" s="104">
        <v>0</v>
      </c>
      <c r="E100" s="104">
        <v>0</v>
      </c>
      <c r="F100" s="182">
        <v>0</v>
      </c>
      <c r="H100" s="134"/>
    </row>
    <row r="101" spans="1:8" ht="23.1" customHeight="1">
      <c r="A101" s="180"/>
      <c r="B101" s="181" t="s">
        <v>208</v>
      </c>
      <c r="C101" s="103" t="s">
        <v>209</v>
      </c>
      <c r="D101" s="109">
        <v>0</v>
      </c>
      <c r="E101" s="109">
        <v>0</v>
      </c>
      <c r="F101" s="182">
        <v>0</v>
      </c>
      <c r="H101" s="134"/>
    </row>
    <row r="102" spans="1:8" ht="23.1" customHeight="1">
      <c r="A102" s="180"/>
      <c r="B102" s="181" t="s">
        <v>210</v>
      </c>
      <c r="C102" s="103" t="s">
        <v>211</v>
      </c>
      <c r="D102" s="109">
        <v>0</v>
      </c>
      <c r="E102" s="109">
        <v>0</v>
      </c>
      <c r="F102" s="182">
        <v>0</v>
      </c>
      <c r="H102" s="134"/>
    </row>
    <row r="103" spans="1:8" s="186" customFormat="1" ht="23.1" customHeight="1">
      <c r="A103" s="183" t="s">
        <v>212</v>
      </c>
      <c r="B103" s="184" t="s">
        <v>213</v>
      </c>
      <c r="C103" s="96" t="s">
        <v>214</v>
      </c>
      <c r="D103" s="97">
        <v>38039111049</v>
      </c>
      <c r="E103" s="97">
        <v>21742894172</v>
      </c>
      <c r="F103" s="185">
        <v>0.27600000000000002</v>
      </c>
      <c r="H103" s="134"/>
    </row>
    <row r="104" spans="1:8" s="186" customFormat="1" ht="23.1" customHeight="1">
      <c r="A104" s="183"/>
      <c r="B104" s="184" t="s">
        <v>215</v>
      </c>
      <c r="C104" s="96" t="s">
        <v>216</v>
      </c>
      <c r="D104" s="97">
        <v>17261394813137</v>
      </c>
      <c r="E104" s="97">
        <v>17616903440990</v>
      </c>
      <c r="F104" s="185">
        <v>0.95450000000000002</v>
      </c>
      <c r="H104" s="134"/>
    </row>
    <row r="105" spans="1:8" ht="23.1" customHeight="1">
      <c r="A105" s="180"/>
      <c r="B105" s="181" t="s">
        <v>217</v>
      </c>
      <c r="C105" s="103" t="s">
        <v>218</v>
      </c>
      <c r="D105" s="104">
        <v>665100000</v>
      </c>
      <c r="E105" s="104">
        <v>710900000</v>
      </c>
      <c r="F105" s="182">
        <v>0.82140000000000002</v>
      </c>
      <c r="H105" s="134"/>
    </row>
    <row r="106" spans="1:8" ht="23.1" customHeight="1">
      <c r="A106" s="190"/>
      <c r="B106" s="191" t="s">
        <v>219</v>
      </c>
      <c r="C106" s="192" t="s">
        <v>220</v>
      </c>
      <c r="D106" s="193">
        <v>25953.08</v>
      </c>
      <c r="E106" s="193">
        <v>24781.119999999999</v>
      </c>
      <c r="F106" s="194">
        <v>1.1620999999999999</v>
      </c>
      <c r="H106" s="134"/>
    </row>
    <row r="107" spans="1:8" ht="2.25" customHeight="1">
      <c r="A107" s="281"/>
      <c r="B107" s="281"/>
      <c r="C107" s="281"/>
      <c r="D107" s="281"/>
      <c r="E107" s="281"/>
      <c r="F107" s="281"/>
    </row>
    <row r="108" spans="1:8" ht="2.25" customHeight="1">
      <c r="A108" s="82"/>
      <c r="B108" s="82"/>
      <c r="C108" s="120"/>
      <c r="D108" s="82"/>
      <c r="E108" s="82"/>
      <c r="F108" s="82"/>
    </row>
    <row r="109" spans="1:8" ht="12.75" customHeight="1">
      <c r="A109" s="274" t="s">
        <v>221</v>
      </c>
      <c r="B109" s="274"/>
      <c r="C109" s="274"/>
      <c r="D109" s="274" t="s">
        <v>222</v>
      </c>
      <c r="E109" s="274"/>
      <c r="F109" s="274"/>
    </row>
    <row r="110" spans="1:8" ht="12.75" customHeight="1">
      <c r="A110" s="272" t="s">
        <v>223</v>
      </c>
      <c r="B110" s="272"/>
      <c r="C110" s="272"/>
      <c r="D110" s="273" t="s">
        <v>224</v>
      </c>
      <c r="E110" s="273"/>
      <c r="F110" s="273"/>
    </row>
    <row r="111" spans="1:8" ht="18" customHeight="1">
      <c r="A111" s="82"/>
      <c r="B111" s="82"/>
      <c r="C111" s="82"/>
      <c r="D111" s="82"/>
      <c r="E111" s="82"/>
      <c r="F111" s="82"/>
    </row>
    <row r="112" spans="1:8" ht="18" customHeight="1">
      <c r="A112" s="82"/>
      <c r="B112" s="82"/>
      <c r="C112" s="82"/>
      <c r="D112" s="82"/>
      <c r="E112" s="82"/>
      <c r="F112" s="82"/>
    </row>
    <row r="113" spans="1:6" ht="18" customHeight="1">
      <c r="A113" s="82"/>
      <c r="B113" s="82"/>
      <c r="C113" s="82"/>
      <c r="D113" s="82"/>
      <c r="E113" s="82"/>
      <c r="F113" s="82"/>
    </row>
    <row r="114" spans="1:6" ht="18" customHeight="1">
      <c r="A114" s="82"/>
      <c r="B114" s="82"/>
      <c r="C114" s="82"/>
      <c r="D114" s="82"/>
      <c r="E114" s="82"/>
      <c r="F114" s="82"/>
    </row>
    <row r="115" spans="1:6" ht="18" customHeight="1">
      <c r="A115" s="82"/>
      <c r="B115" s="82"/>
      <c r="C115" s="82"/>
      <c r="D115" s="82"/>
      <c r="E115" s="82"/>
      <c r="F115" s="82"/>
    </row>
    <row r="116" spans="1:6" ht="12.75" customHeight="1">
      <c r="A116" s="274" t="s">
        <v>225</v>
      </c>
      <c r="B116" s="274"/>
      <c r="C116" s="274"/>
      <c r="D116" s="274" t="s">
        <v>226</v>
      </c>
      <c r="E116" s="274"/>
      <c r="F116" s="274"/>
    </row>
    <row r="117" spans="1:6" ht="12.75" customHeight="1">
      <c r="A117" s="271" t="s">
        <v>1071</v>
      </c>
      <c r="B117" s="271"/>
      <c r="C117" s="271"/>
      <c r="D117" s="271" t="s">
        <v>227</v>
      </c>
      <c r="E117" s="271"/>
      <c r="F117" s="271"/>
    </row>
    <row r="118" spans="1:6" ht="12.75" customHeight="1">
      <c r="A118" s="271" t="s">
        <v>1072</v>
      </c>
      <c r="B118" s="271"/>
      <c r="C118" s="271"/>
      <c r="D118" s="271" t="s">
        <v>228</v>
      </c>
      <c r="E118" s="271"/>
      <c r="F118" s="271"/>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63" bottom="0.5899999737739563" header="0.5" footer="0.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99"/>
  <sheetViews>
    <sheetView showGridLines="0" showZeros="0" showOutlineSymbols="0" view="pageBreakPreview" zoomScaleNormal="100" zoomScaleSheetLayoutView="100" workbookViewId="0">
      <selection sqref="A1:B1"/>
    </sheetView>
  </sheetViews>
  <sheetFormatPr defaultColWidth="9.140625" defaultRowHeight="10.5"/>
  <cols>
    <col min="1" max="1" width="4.140625" style="84" customWidth="1"/>
    <col min="2" max="2" width="40.7109375" style="84" customWidth="1"/>
    <col min="3" max="3" width="6.5703125" style="84" bestFit="1" customWidth="1"/>
    <col min="4" max="6" width="18.42578125" style="84" bestFit="1" customWidth="1"/>
    <col min="7" max="16384" width="9.140625" style="84"/>
  </cols>
  <sheetData>
    <row r="1" spans="1:6" ht="36.75" customHeight="1">
      <c r="A1" s="275"/>
      <c r="B1" s="275"/>
      <c r="C1" s="178"/>
      <c r="D1" s="274" t="s">
        <v>0</v>
      </c>
      <c r="E1" s="274"/>
      <c r="F1" s="274"/>
    </row>
    <row r="2" spans="1:6" ht="27.75" customHeight="1">
      <c r="A2" s="282" t="s">
        <v>1</v>
      </c>
      <c r="B2" s="282"/>
      <c r="C2" s="282"/>
      <c r="D2" s="282"/>
      <c r="E2" s="282"/>
      <c r="F2" s="282"/>
    </row>
    <row r="3" spans="1:6" ht="4.5" customHeight="1">
      <c r="A3" s="82"/>
      <c r="B3" s="82"/>
      <c r="C3" s="82"/>
      <c r="D3" s="82"/>
      <c r="E3" s="82"/>
      <c r="F3" s="82"/>
    </row>
    <row r="4" spans="1:6" ht="28.5" customHeight="1">
      <c r="A4" s="283" t="s">
        <v>229</v>
      </c>
      <c r="B4" s="283"/>
      <c r="C4" s="283"/>
      <c r="D4" s="283"/>
      <c r="E4" s="283"/>
      <c r="F4" s="283"/>
    </row>
    <row r="5" spans="1:6" s="161" customFormat="1" ht="16.5" customHeight="1">
      <c r="A5" s="272" t="s">
        <v>3</v>
      </c>
      <c r="B5" s="272"/>
      <c r="C5" s="272"/>
      <c r="D5" s="272"/>
      <c r="E5" s="272"/>
      <c r="F5" s="272"/>
    </row>
    <row r="6" spans="1:6" ht="12" customHeight="1">
      <c r="A6" s="195" t="s">
        <v>4</v>
      </c>
      <c r="B6" s="179" t="s">
        <v>230</v>
      </c>
      <c r="C6" s="276" t="s">
        <v>6</v>
      </c>
      <c r="D6" s="276"/>
      <c r="E6" s="276"/>
      <c r="F6" s="276"/>
    </row>
    <row r="7" spans="1:6" ht="12" customHeight="1">
      <c r="A7" s="82"/>
      <c r="B7" s="82" t="s">
        <v>7</v>
      </c>
      <c r="C7" s="275" t="s">
        <v>8</v>
      </c>
      <c r="D7" s="275"/>
      <c r="E7" s="275"/>
      <c r="F7" s="275"/>
    </row>
    <row r="8" spans="1:6" ht="12" customHeight="1">
      <c r="A8" s="116" t="s">
        <v>9</v>
      </c>
      <c r="B8" s="179" t="s">
        <v>10</v>
      </c>
      <c r="C8" s="276" t="s">
        <v>11</v>
      </c>
      <c r="D8" s="276"/>
      <c r="E8" s="276"/>
      <c r="F8" s="276"/>
    </row>
    <row r="9" spans="1:6" ht="12" customHeight="1">
      <c r="A9" s="82"/>
      <c r="B9" s="82" t="s">
        <v>12</v>
      </c>
      <c r="C9" s="275" t="s">
        <v>13</v>
      </c>
      <c r="D9" s="275"/>
      <c r="E9" s="275"/>
      <c r="F9" s="275"/>
    </row>
    <row r="10" spans="1:6" ht="12" customHeight="1">
      <c r="A10" s="116" t="s">
        <v>14</v>
      </c>
      <c r="B10" s="179" t="s">
        <v>15</v>
      </c>
      <c r="C10" s="276" t="s">
        <v>16</v>
      </c>
      <c r="D10" s="276"/>
      <c r="E10" s="276"/>
      <c r="F10" s="276"/>
    </row>
    <row r="11" spans="1:6" ht="12" customHeight="1">
      <c r="A11" s="82"/>
      <c r="B11" s="82" t="s">
        <v>17</v>
      </c>
      <c r="C11" s="275" t="s">
        <v>18</v>
      </c>
      <c r="D11" s="275"/>
      <c r="E11" s="275"/>
      <c r="F11" s="275"/>
    </row>
    <row r="12" spans="1:6" ht="12" customHeight="1">
      <c r="A12" s="116" t="s">
        <v>19</v>
      </c>
      <c r="B12" s="179" t="s">
        <v>20</v>
      </c>
      <c r="C12" s="277">
        <v>45294</v>
      </c>
      <c r="D12" s="277"/>
      <c r="E12" s="277"/>
      <c r="F12" s="277"/>
    </row>
    <row r="13" spans="1:6" ht="12" customHeight="1">
      <c r="A13" s="82"/>
      <c r="B13" s="82" t="s">
        <v>21</v>
      </c>
      <c r="C13" s="278">
        <v>45294</v>
      </c>
      <c r="D13" s="278"/>
      <c r="E13" s="278"/>
      <c r="F13" s="278"/>
    </row>
    <row r="14" spans="1:6">
      <c r="A14" s="82"/>
      <c r="B14" s="82"/>
      <c r="C14" s="82"/>
      <c r="D14" s="82"/>
      <c r="E14" s="82"/>
      <c r="F14" s="82"/>
    </row>
    <row r="15" spans="1:6" ht="12" customHeight="1">
      <c r="A15" s="279" t="s">
        <v>22</v>
      </c>
      <c r="B15" s="279"/>
      <c r="C15" s="279"/>
      <c r="D15" s="279"/>
      <c r="E15" s="279"/>
      <c r="F15" s="279"/>
    </row>
    <row r="16" spans="1:6" ht="12" customHeight="1">
      <c r="A16" s="276" t="s">
        <v>231</v>
      </c>
      <c r="B16" s="276"/>
      <c r="C16" s="276"/>
      <c r="D16" s="276"/>
      <c r="E16" s="276"/>
      <c r="F16" s="276"/>
    </row>
    <row r="17" spans="1:8">
      <c r="A17" s="89"/>
      <c r="B17" s="122"/>
      <c r="C17" s="89"/>
      <c r="D17" s="89"/>
      <c r="E17" s="280" t="s">
        <v>24</v>
      </c>
      <c r="F17" s="280"/>
    </row>
    <row r="18" spans="1:8" s="100" customFormat="1" ht="48" customHeight="1">
      <c r="A18" s="123" t="s">
        <v>25</v>
      </c>
      <c r="B18" s="124" t="s">
        <v>26</v>
      </c>
      <c r="C18" s="124" t="s">
        <v>27</v>
      </c>
      <c r="D18" s="124" t="s">
        <v>232</v>
      </c>
      <c r="E18" s="124" t="s">
        <v>233</v>
      </c>
      <c r="F18" s="126" t="s">
        <v>234</v>
      </c>
    </row>
    <row r="19" spans="1:8" s="100" customFormat="1" ht="21">
      <c r="A19" s="196" t="s">
        <v>31</v>
      </c>
      <c r="B19" s="197" t="s">
        <v>235</v>
      </c>
      <c r="C19" s="198" t="s">
        <v>236</v>
      </c>
      <c r="D19" s="97">
        <v>36799980</v>
      </c>
      <c r="E19" s="97">
        <v>53138877954</v>
      </c>
      <c r="F19" s="98">
        <v>447705752157</v>
      </c>
      <c r="H19" s="199"/>
    </row>
    <row r="20" spans="1:8" s="100" customFormat="1" ht="21">
      <c r="A20" s="200" t="s">
        <v>4</v>
      </c>
      <c r="B20" s="201" t="s">
        <v>237</v>
      </c>
      <c r="C20" s="202"/>
      <c r="D20" s="104">
        <v>0</v>
      </c>
      <c r="E20" s="104">
        <v>0</v>
      </c>
      <c r="F20" s="105">
        <v>0</v>
      </c>
      <c r="H20" s="199"/>
    </row>
    <row r="21" spans="1:8" s="100" customFormat="1" ht="21">
      <c r="A21" s="200" t="s">
        <v>9</v>
      </c>
      <c r="B21" s="201" t="s">
        <v>238</v>
      </c>
      <c r="C21" s="202" t="s">
        <v>239</v>
      </c>
      <c r="D21" s="104">
        <v>0</v>
      </c>
      <c r="E21" s="104">
        <v>53103216000</v>
      </c>
      <c r="F21" s="105">
        <v>447349855000</v>
      </c>
      <c r="H21" s="199"/>
    </row>
    <row r="22" spans="1:8" s="100" customFormat="1" ht="21">
      <c r="A22" s="203"/>
      <c r="B22" s="204" t="s">
        <v>240</v>
      </c>
      <c r="C22" s="205" t="s">
        <v>241</v>
      </c>
      <c r="D22" s="109">
        <v>0</v>
      </c>
      <c r="E22" s="109">
        <v>53103216000</v>
      </c>
      <c r="F22" s="110">
        <v>447349855000</v>
      </c>
      <c r="H22" s="199"/>
    </row>
    <row r="23" spans="1:8" s="100" customFormat="1" ht="21">
      <c r="A23" s="203"/>
      <c r="B23" s="204" t="s">
        <v>242</v>
      </c>
      <c r="C23" s="205" t="s">
        <v>243</v>
      </c>
      <c r="D23" s="109">
        <v>0</v>
      </c>
      <c r="E23" s="109">
        <v>0</v>
      </c>
      <c r="F23" s="110">
        <v>0</v>
      </c>
      <c r="H23" s="199"/>
    </row>
    <row r="24" spans="1:8" s="100" customFormat="1" ht="21">
      <c r="A24" s="200" t="s">
        <v>14</v>
      </c>
      <c r="B24" s="201" t="s">
        <v>244</v>
      </c>
      <c r="C24" s="202" t="s">
        <v>245</v>
      </c>
      <c r="D24" s="104">
        <v>36799980</v>
      </c>
      <c r="E24" s="104">
        <v>35661954</v>
      </c>
      <c r="F24" s="105">
        <v>355897157</v>
      </c>
      <c r="H24" s="199"/>
    </row>
    <row r="25" spans="1:8" s="100" customFormat="1" ht="21">
      <c r="A25" s="203"/>
      <c r="B25" s="204" t="s">
        <v>246</v>
      </c>
      <c r="C25" s="205" t="s">
        <v>247</v>
      </c>
      <c r="D25" s="109">
        <v>36799980</v>
      </c>
      <c r="E25" s="109">
        <v>35661954</v>
      </c>
      <c r="F25" s="110">
        <v>355897157</v>
      </c>
      <c r="H25" s="199"/>
    </row>
    <row r="26" spans="1:8" s="100" customFormat="1" ht="21">
      <c r="A26" s="203"/>
      <c r="B26" s="204" t="s">
        <v>248</v>
      </c>
      <c r="C26" s="205" t="s">
        <v>249</v>
      </c>
      <c r="D26" s="109">
        <v>0</v>
      </c>
      <c r="E26" s="109">
        <v>0</v>
      </c>
      <c r="F26" s="110">
        <v>0</v>
      </c>
      <c r="H26" s="199"/>
    </row>
    <row r="27" spans="1:8" s="100" customFormat="1" ht="21">
      <c r="A27" s="200" t="s">
        <v>19</v>
      </c>
      <c r="B27" s="201" t="s">
        <v>250</v>
      </c>
      <c r="C27" s="202" t="s">
        <v>251</v>
      </c>
      <c r="D27" s="104">
        <v>0</v>
      </c>
      <c r="E27" s="104">
        <v>0</v>
      </c>
      <c r="F27" s="105">
        <v>0</v>
      </c>
      <c r="H27" s="199"/>
    </row>
    <row r="28" spans="1:8" s="100" customFormat="1" ht="21">
      <c r="A28" s="203"/>
      <c r="B28" s="204" t="s">
        <v>252</v>
      </c>
      <c r="C28" s="205" t="s">
        <v>253</v>
      </c>
      <c r="D28" s="109">
        <v>0</v>
      </c>
      <c r="E28" s="109">
        <v>0</v>
      </c>
      <c r="F28" s="110">
        <v>0</v>
      </c>
      <c r="H28" s="199"/>
    </row>
    <row r="29" spans="1:8" s="100" customFormat="1" ht="21">
      <c r="A29" s="203"/>
      <c r="B29" s="204" t="s">
        <v>254</v>
      </c>
      <c r="C29" s="205" t="s">
        <v>255</v>
      </c>
      <c r="D29" s="109">
        <v>0</v>
      </c>
      <c r="E29" s="109">
        <v>0</v>
      </c>
      <c r="F29" s="110">
        <v>0</v>
      </c>
      <c r="H29" s="199"/>
    </row>
    <row r="30" spans="1:8" s="100" customFormat="1" ht="53.25" customHeight="1">
      <c r="A30" s="203"/>
      <c r="B30" s="204" t="s">
        <v>256</v>
      </c>
      <c r="C30" s="205" t="s">
        <v>257</v>
      </c>
      <c r="D30" s="109">
        <v>0</v>
      </c>
      <c r="E30" s="109">
        <v>0</v>
      </c>
      <c r="F30" s="110">
        <v>0</v>
      </c>
      <c r="H30" s="199"/>
    </row>
    <row r="31" spans="1:8" s="100" customFormat="1" ht="21">
      <c r="A31" s="196" t="s">
        <v>121</v>
      </c>
      <c r="B31" s="197" t="s">
        <v>258</v>
      </c>
      <c r="C31" s="198" t="s">
        <v>259</v>
      </c>
      <c r="D31" s="97">
        <v>16646333309</v>
      </c>
      <c r="E31" s="97">
        <v>17937374820</v>
      </c>
      <c r="F31" s="98">
        <v>210323336084</v>
      </c>
      <c r="H31" s="199"/>
    </row>
    <row r="32" spans="1:8" s="100" customFormat="1" ht="21">
      <c r="A32" s="200" t="s">
        <v>4</v>
      </c>
      <c r="B32" s="201" t="s">
        <v>260</v>
      </c>
      <c r="C32" s="202" t="s">
        <v>261</v>
      </c>
      <c r="D32" s="104">
        <v>11808763923</v>
      </c>
      <c r="E32" s="104">
        <v>11557855213</v>
      </c>
      <c r="F32" s="105">
        <v>150577829773</v>
      </c>
      <c r="H32" s="199"/>
    </row>
    <row r="33" spans="1:8" s="100" customFormat="1" ht="21">
      <c r="A33" s="200" t="s">
        <v>9</v>
      </c>
      <c r="B33" s="201" t="s">
        <v>262</v>
      </c>
      <c r="C33" s="202" t="s">
        <v>263</v>
      </c>
      <c r="D33" s="104">
        <v>1097460901</v>
      </c>
      <c r="E33" s="104">
        <v>1075850604</v>
      </c>
      <c r="F33" s="105">
        <v>13874951400</v>
      </c>
      <c r="H33" s="199"/>
    </row>
    <row r="34" spans="1:8" s="100" customFormat="1" ht="21">
      <c r="A34" s="203"/>
      <c r="B34" s="204" t="s">
        <v>264</v>
      </c>
      <c r="C34" s="205" t="s">
        <v>265</v>
      </c>
      <c r="D34" s="109">
        <v>295219100</v>
      </c>
      <c r="E34" s="109">
        <v>288946380</v>
      </c>
      <c r="F34" s="110">
        <v>3764445747</v>
      </c>
      <c r="H34" s="199"/>
    </row>
    <row r="35" spans="1:8" s="100" customFormat="1" ht="21">
      <c r="A35" s="203"/>
      <c r="B35" s="204" t="s">
        <v>266</v>
      </c>
      <c r="C35" s="205" t="s">
        <v>267</v>
      </c>
      <c r="D35" s="109">
        <v>10400000</v>
      </c>
      <c r="E35" s="109">
        <v>5900000</v>
      </c>
      <c r="F35" s="110">
        <v>60400000</v>
      </c>
      <c r="H35" s="199"/>
    </row>
    <row r="36" spans="1:8" s="100" customFormat="1" ht="21">
      <c r="A36" s="203"/>
      <c r="B36" s="204" t="s">
        <v>170</v>
      </c>
      <c r="C36" s="205" t="s">
        <v>268</v>
      </c>
      <c r="D36" s="109">
        <v>142359785</v>
      </c>
      <c r="E36" s="109">
        <v>145322186</v>
      </c>
      <c r="F36" s="110">
        <v>1768325021</v>
      </c>
      <c r="H36" s="199"/>
    </row>
    <row r="37" spans="1:8" s="100" customFormat="1" ht="21">
      <c r="A37" s="203"/>
      <c r="B37" s="204" t="s">
        <v>269</v>
      </c>
      <c r="C37" s="205" t="s">
        <v>270</v>
      </c>
      <c r="D37" s="109">
        <v>649482016</v>
      </c>
      <c r="E37" s="109">
        <v>635682038</v>
      </c>
      <c r="F37" s="110">
        <v>8281780632</v>
      </c>
      <c r="H37" s="199"/>
    </row>
    <row r="38" spans="1:8" s="100" customFormat="1" ht="42">
      <c r="A38" s="203"/>
      <c r="B38" s="204" t="s">
        <v>172</v>
      </c>
      <c r="C38" s="205" t="s">
        <v>271</v>
      </c>
      <c r="D38" s="109">
        <v>0</v>
      </c>
      <c r="E38" s="109">
        <v>0</v>
      </c>
      <c r="F38" s="110">
        <v>0</v>
      </c>
      <c r="H38" s="199"/>
    </row>
    <row r="39" spans="1:8" s="100" customFormat="1" ht="52.5">
      <c r="A39" s="200" t="s">
        <v>14</v>
      </c>
      <c r="B39" s="201" t="s">
        <v>272</v>
      </c>
      <c r="C39" s="202" t="s">
        <v>273</v>
      </c>
      <c r="D39" s="104">
        <v>2470579471</v>
      </c>
      <c r="E39" s="104">
        <v>2238938974</v>
      </c>
      <c r="F39" s="105">
        <v>30583055039</v>
      </c>
      <c r="H39" s="199"/>
    </row>
    <row r="40" spans="1:8" s="100" customFormat="1" ht="21">
      <c r="A40" s="203"/>
      <c r="B40" s="204" t="s">
        <v>274</v>
      </c>
      <c r="C40" s="205" t="s">
        <v>275</v>
      </c>
      <c r="D40" s="109">
        <v>324741010</v>
      </c>
      <c r="E40" s="109">
        <v>317841018</v>
      </c>
      <c r="F40" s="110">
        <v>4140890323</v>
      </c>
      <c r="H40" s="199"/>
    </row>
    <row r="41" spans="1:8" s="100" customFormat="1" ht="21">
      <c r="A41" s="203"/>
      <c r="B41" s="204" t="s">
        <v>276</v>
      </c>
      <c r="C41" s="205" t="s">
        <v>277</v>
      </c>
      <c r="D41" s="109">
        <v>5500000</v>
      </c>
      <c r="E41" s="109">
        <v>5500000</v>
      </c>
      <c r="F41" s="110">
        <v>66000000</v>
      </c>
      <c r="H41" s="199"/>
    </row>
    <row r="42" spans="1:8" s="100" customFormat="1" ht="31.5">
      <c r="A42" s="203"/>
      <c r="B42" s="204" t="s">
        <v>278</v>
      </c>
      <c r="C42" s="205" t="s">
        <v>279</v>
      </c>
      <c r="D42" s="109">
        <v>738047744</v>
      </c>
      <c r="E42" s="109">
        <v>722365952</v>
      </c>
      <c r="F42" s="110">
        <v>9411114358</v>
      </c>
      <c r="H42" s="199"/>
    </row>
    <row r="43" spans="1:8" s="100" customFormat="1" ht="21">
      <c r="A43" s="203"/>
      <c r="B43" s="204" t="s">
        <v>280</v>
      </c>
      <c r="C43" s="205" t="s">
        <v>281</v>
      </c>
      <c r="D43" s="109">
        <v>590438196</v>
      </c>
      <c r="E43" s="109">
        <v>577892762</v>
      </c>
      <c r="F43" s="110">
        <v>7528891482</v>
      </c>
      <c r="H43" s="199"/>
    </row>
    <row r="44" spans="1:8" s="100" customFormat="1" ht="21">
      <c r="A44" s="203"/>
      <c r="B44" s="204" t="s">
        <v>282</v>
      </c>
      <c r="C44" s="205" t="s">
        <v>283</v>
      </c>
      <c r="D44" s="109">
        <v>811852521</v>
      </c>
      <c r="E44" s="109">
        <v>615339242</v>
      </c>
      <c r="F44" s="110">
        <v>9436158876</v>
      </c>
      <c r="H44" s="199"/>
    </row>
    <row r="45" spans="1:8" s="100" customFormat="1" ht="21">
      <c r="A45" s="200" t="s">
        <v>19</v>
      </c>
      <c r="B45" s="201" t="s">
        <v>284</v>
      </c>
      <c r="C45" s="202"/>
      <c r="D45" s="104">
        <v>0</v>
      </c>
      <c r="E45" s="104">
        <v>0</v>
      </c>
      <c r="F45" s="105">
        <v>0</v>
      </c>
      <c r="H45" s="199"/>
    </row>
    <row r="46" spans="1:8" s="100" customFormat="1" ht="21">
      <c r="A46" s="200" t="s">
        <v>285</v>
      </c>
      <c r="B46" s="201" t="s">
        <v>286</v>
      </c>
      <c r="C46" s="202"/>
      <c r="D46" s="104">
        <v>0</v>
      </c>
      <c r="E46" s="104">
        <v>0</v>
      </c>
      <c r="F46" s="105">
        <v>0</v>
      </c>
      <c r="H46" s="199"/>
    </row>
    <row r="47" spans="1:8" s="100" customFormat="1" ht="21">
      <c r="A47" s="200" t="s">
        <v>287</v>
      </c>
      <c r="B47" s="201" t="s">
        <v>288</v>
      </c>
      <c r="C47" s="202" t="s">
        <v>289</v>
      </c>
      <c r="D47" s="104">
        <v>26829300</v>
      </c>
      <c r="E47" s="104">
        <v>27758974</v>
      </c>
      <c r="F47" s="105">
        <v>306540960</v>
      </c>
      <c r="H47" s="199"/>
    </row>
    <row r="48" spans="1:8" s="100" customFormat="1" ht="52.5">
      <c r="A48" s="200" t="s">
        <v>290</v>
      </c>
      <c r="B48" s="201" t="s">
        <v>291</v>
      </c>
      <c r="C48" s="202" t="s">
        <v>292</v>
      </c>
      <c r="D48" s="104">
        <v>9764466</v>
      </c>
      <c r="E48" s="104">
        <v>9739718</v>
      </c>
      <c r="F48" s="105">
        <v>117000000</v>
      </c>
      <c r="H48" s="199"/>
    </row>
    <row r="49" spans="1:8" s="100" customFormat="1" ht="21">
      <c r="A49" s="203"/>
      <c r="B49" s="204" t="s">
        <v>293</v>
      </c>
      <c r="C49" s="205" t="s">
        <v>294</v>
      </c>
      <c r="D49" s="109">
        <v>9764466</v>
      </c>
      <c r="E49" s="109">
        <v>9739718</v>
      </c>
      <c r="F49" s="110">
        <v>117000000</v>
      </c>
      <c r="H49" s="199"/>
    </row>
    <row r="50" spans="1:8" s="100" customFormat="1" ht="21">
      <c r="A50" s="203"/>
      <c r="B50" s="204" t="s">
        <v>295</v>
      </c>
      <c r="C50" s="205" t="s">
        <v>296</v>
      </c>
      <c r="D50" s="109">
        <v>0</v>
      </c>
      <c r="E50" s="109">
        <v>0</v>
      </c>
      <c r="F50" s="110">
        <v>0</v>
      </c>
      <c r="H50" s="199"/>
    </row>
    <row r="51" spans="1:8" s="100" customFormat="1" ht="21">
      <c r="A51" s="203"/>
      <c r="B51" s="204" t="s">
        <v>297</v>
      </c>
      <c r="C51" s="205" t="s">
        <v>298</v>
      </c>
      <c r="D51" s="109">
        <v>0</v>
      </c>
      <c r="E51" s="109">
        <v>0</v>
      </c>
      <c r="F51" s="110">
        <v>0</v>
      </c>
      <c r="H51" s="199"/>
    </row>
    <row r="52" spans="1:8" s="100" customFormat="1" ht="115.5">
      <c r="A52" s="200" t="s">
        <v>299</v>
      </c>
      <c r="B52" s="201" t="s">
        <v>300</v>
      </c>
      <c r="C52" s="202" t="s">
        <v>301</v>
      </c>
      <c r="D52" s="104">
        <v>0</v>
      </c>
      <c r="E52" s="104">
        <v>0</v>
      </c>
      <c r="F52" s="105">
        <v>87789716</v>
      </c>
      <c r="H52" s="199"/>
    </row>
    <row r="53" spans="1:8" s="100" customFormat="1" ht="21">
      <c r="A53" s="203"/>
      <c r="B53" s="204" t="s">
        <v>302</v>
      </c>
      <c r="C53" s="205" t="s">
        <v>303</v>
      </c>
      <c r="D53" s="109">
        <v>0</v>
      </c>
      <c r="E53" s="109">
        <v>0</v>
      </c>
      <c r="F53" s="110">
        <v>42258500</v>
      </c>
      <c r="H53" s="199"/>
    </row>
    <row r="54" spans="1:8" s="100" customFormat="1" ht="21">
      <c r="A54" s="203"/>
      <c r="B54" s="204" t="s">
        <v>304</v>
      </c>
      <c r="C54" s="205" t="s">
        <v>305</v>
      </c>
      <c r="D54" s="109">
        <v>0</v>
      </c>
      <c r="E54" s="109">
        <v>0</v>
      </c>
      <c r="F54" s="110">
        <v>0</v>
      </c>
      <c r="H54" s="199"/>
    </row>
    <row r="55" spans="1:8" s="100" customFormat="1" ht="31.5">
      <c r="A55" s="203"/>
      <c r="B55" s="204" t="s">
        <v>306</v>
      </c>
      <c r="C55" s="205" t="s">
        <v>307</v>
      </c>
      <c r="D55" s="109">
        <v>0</v>
      </c>
      <c r="E55" s="109">
        <v>0</v>
      </c>
      <c r="F55" s="110">
        <v>0</v>
      </c>
      <c r="H55" s="199"/>
    </row>
    <row r="56" spans="1:8" s="100" customFormat="1" ht="21">
      <c r="A56" s="203"/>
      <c r="B56" s="204" t="s">
        <v>308</v>
      </c>
      <c r="C56" s="205" t="s">
        <v>309</v>
      </c>
      <c r="D56" s="109">
        <v>0</v>
      </c>
      <c r="E56" s="109">
        <v>0</v>
      </c>
      <c r="F56" s="110">
        <v>0</v>
      </c>
      <c r="H56" s="199"/>
    </row>
    <row r="57" spans="1:8" s="100" customFormat="1" ht="21">
      <c r="A57" s="203"/>
      <c r="B57" s="204" t="s">
        <v>310</v>
      </c>
      <c r="C57" s="205" t="s">
        <v>311</v>
      </c>
      <c r="D57" s="109">
        <v>0</v>
      </c>
      <c r="E57" s="109">
        <v>0</v>
      </c>
      <c r="F57" s="110">
        <v>45531216</v>
      </c>
      <c r="H57" s="199"/>
    </row>
    <row r="58" spans="1:8" s="100" customFormat="1" ht="42">
      <c r="A58" s="200" t="s">
        <v>312</v>
      </c>
      <c r="B58" s="201" t="s">
        <v>313</v>
      </c>
      <c r="C58" s="202" t="s">
        <v>314</v>
      </c>
      <c r="D58" s="104">
        <v>1227912907</v>
      </c>
      <c r="E58" s="104">
        <v>3018064262</v>
      </c>
      <c r="F58" s="105">
        <v>14620374419</v>
      </c>
      <c r="H58" s="199"/>
    </row>
    <row r="59" spans="1:8" s="100" customFormat="1" ht="21">
      <c r="A59" s="203"/>
      <c r="B59" s="204" t="s">
        <v>315</v>
      </c>
      <c r="C59" s="205" t="s">
        <v>316</v>
      </c>
      <c r="D59" s="109">
        <v>1223504192</v>
      </c>
      <c r="E59" s="109">
        <v>3016043402</v>
      </c>
      <c r="F59" s="110">
        <v>14584539661</v>
      </c>
      <c r="H59" s="199"/>
    </row>
    <row r="60" spans="1:8" s="100" customFormat="1" ht="21">
      <c r="A60" s="203"/>
      <c r="B60" s="204" t="s">
        <v>317</v>
      </c>
      <c r="C60" s="205" t="s">
        <v>318</v>
      </c>
      <c r="D60" s="109">
        <v>4408715</v>
      </c>
      <c r="E60" s="109">
        <v>2020860</v>
      </c>
      <c r="F60" s="110">
        <v>35834758</v>
      </c>
      <c r="H60" s="199"/>
    </row>
    <row r="61" spans="1:8" s="100" customFormat="1" ht="21">
      <c r="A61" s="200" t="s">
        <v>319</v>
      </c>
      <c r="B61" s="201" t="s">
        <v>320</v>
      </c>
      <c r="C61" s="202" t="s">
        <v>321</v>
      </c>
      <c r="D61" s="104">
        <v>5022341</v>
      </c>
      <c r="E61" s="104">
        <v>9167075</v>
      </c>
      <c r="F61" s="105">
        <v>155794777</v>
      </c>
      <c r="H61" s="199"/>
    </row>
    <row r="62" spans="1:8" s="100" customFormat="1" ht="21">
      <c r="A62" s="203"/>
      <c r="B62" s="204" t="s">
        <v>322</v>
      </c>
      <c r="C62" s="205" t="s">
        <v>323</v>
      </c>
      <c r="D62" s="109">
        <v>0</v>
      </c>
      <c r="E62" s="109">
        <v>0</v>
      </c>
      <c r="F62" s="110">
        <v>0</v>
      </c>
      <c r="H62" s="199"/>
    </row>
    <row r="63" spans="1:8" s="100" customFormat="1" ht="21">
      <c r="A63" s="203"/>
      <c r="B63" s="204" t="s">
        <v>324</v>
      </c>
      <c r="C63" s="205" t="s">
        <v>325</v>
      </c>
      <c r="D63" s="109">
        <v>0</v>
      </c>
      <c r="E63" s="109">
        <v>0</v>
      </c>
      <c r="F63" s="110">
        <v>30000000</v>
      </c>
      <c r="H63" s="199"/>
    </row>
    <row r="64" spans="1:8" s="100" customFormat="1" ht="21">
      <c r="A64" s="203"/>
      <c r="B64" s="204" t="s">
        <v>326</v>
      </c>
      <c r="C64" s="205" t="s">
        <v>327</v>
      </c>
      <c r="D64" s="109">
        <v>0</v>
      </c>
      <c r="E64" s="109">
        <v>0</v>
      </c>
      <c r="F64" s="110">
        <v>17125995</v>
      </c>
      <c r="H64" s="199"/>
    </row>
    <row r="65" spans="1:8" s="100" customFormat="1" ht="21">
      <c r="A65" s="203"/>
      <c r="B65" s="204" t="s">
        <v>328</v>
      </c>
      <c r="C65" s="205" t="s">
        <v>329</v>
      </c>
      <c r="D65" s="109">
        <v>522341</v>
      </c>
      <c r="E65" s="109">
        <v>1167075</v>
      </c>
      <c r="F65" s="110">
        <v>10668782</v>
      </c>
      <c r="H65" s="199"/>
    </row>
    <row r="66" spans="1:8" s="100" customFormat="1" ht="21">
      <c r="A66" s="203"/>
      <c r="B66" s="204" t="s">
        <v>330</v>
      </c>
      <c r="C66" s="205" t="s">
        <v>331</v>
      </c>
      <c r="D66" s="109">
        <v>0</v>
      </c>
      <c r="E66" s="109">
        <v>0</v>
      </c>
      <c r="F66" s="110">
        <v>0</v>
      </c>
      <c r="H66" s="199"/>
    </row>
    <row r="67" spans="1:8" s="100" customFormat="1" ht="21">
      <c r="A67" s="203"/>
      <c r="B67" s="204" t="s">
        <v>332</v>
      </c>
      <c r="C67" s="205" t="s">
        <v>333</v>
      </c>
      <c r="D67" s="109">
        <v>0</v>
      </c>
      <c r="E67" s="109">
        <v>0</v>
      </c>
      <c r="F67" s="110">
        <v>0</v>
      </c>
      <c r="H67" s="199"/>
    </row>
    <row r="68" spans="1:8" s="100" customFormat="1" ht="21">
      <c r="A68" s="203"/>
      <c r="B68" s="204" t="s">
        <v>334</v>
      </c>
      <c r="C68" s="205" t="s">
        <v>335</v>
      </c>
      <c r="D68" s="109">
        <v>0</v>
      </c>
      <c r="E68" s="109">
        <v>0</v>
      </c>
      <c r="F68" s="110">
        <v>14000000</v>
      </c>
      <c r="H68" s="199"/>
    </row>
    <row r="69" spans="1:8" s="100" customFormat="1" ht="21">
      <c r="A69" s="203"/>
      <c r="B69" s="204" t="s">
        <v>336</v>
      </c>
      <c r="C69" s="205" t="s">
        <v>337</v>
      </c>
      <c r="D69" s="109">
        <v>4500000</v>
      </c>
      <c r="E69" s="109">
        <v>8000000</v>
      </c>
      <c r="F69" s="110">
        <v>84000000</v>
      </c>
      <c r="H69" s="199"/>
    </row>
    <row r="70" spans="1:8" s="100" customFormat="1" ht="31.5">
      <c r="A70" s="196" t="s">
        <v>338</v>
      </c>
      <c r="B70" s="197" t="s">
        <v>339</v>
      </c>
      <c r="C70" s="198" t="s">
        <v>340</v>
      </c>
      <c r="D70" s="97">
        <v>-16609533329</v>
      </c>
      <c r="E70" s="97">
        <v>35201503134</v>
      </c>
      <c r="F70" s="98">
        <v>237382416073</v>
      </c>
      <c r="H70" s="199"/>
    </row>
    <row r="71" spans="1:8" s="100" customFormat="1" ht="21">
      <c r="A71" s="196" t="s">
        <v>341</v>
      </c>
      <c r="B71" s="197" t="s">
        <v>342</v>
      </c>
      <c r="C71" s="198" t="s">
        <v>343</v>
      </c>
      <c r="D71" s="97">
        <v>821195998726</v>
      </c>
      <c r="E71" s="97">
        <v>1134018325900</v>
      </c>
      <c r="F71" s="98">
        <v>2602727620526</v>
      </c>
      <c r="H71" s="199"/>
    </row>
    <row r="72" spans="1:8" s="100" customFormat="1" ht="42">
      <c r="A72" s="200" t="s">
        <v>4</v>
      </c>
      <c r="B72" s="201" t="s">
        <v>344</v>
      </c>
      <c r="C72" s="202" t="s">
        <v>345</v>
      </c>
      <c r="D72" s="104">
        <v>110775420803</v>
      </c>
      <c r="E72" s="104">
        <v>103525630982</v>
      </c>
      <c r="F72" s="105">
        <v>593948317281</v>
      </c>
      <c r="H72" s="199"/>
    </row>
    <row r="73" spans="1:8" s="100" customFormat="1" ht="21">
      <c r="A73" s="203"/>
      <c r="B73" s="204" t="s">
        <v>346</v>
      </c>
      <c r="C73" s="205" t="s">
        <v>347</v>
      </c>
      <c r="D73" s="109">
        <v>22095724778</v>
      </c>
      <c r="E73" s="109">
        <v>93885099543</v>
      </c>
      <c r="F73" s="110">
        <v>214939749139</v>
      </c>
      <c r="H73" s="199"/>
    </row>
    <row r="74" spans="1:8" s="100" customFormat="1" ht="31.5">
      <c r="A74" s="203"/>
      <c r="B74" s="204" t="s">
        <v>348</v>
      </c>
      <c r="C74" s="205" t="s">
        <v>349</v>
      </c>
      <c r="D74" s="109">
        <v>88679696025</v>
      </c>
      <c r="E74" s="109">
        <v>9640531439</v>
      </c>
      <c r="F74" s="110">
        <v>375561248542</v>
      </c>
      <c r="H74" s="199"/>
    </row>
    <row r="75" spans="1:8" s="100" customFormat="1" ht="42">
      <c r="A75" s="203"/>
      <c r="B75" s="204" t="s">
        <v>350</v>
      </c>
      <c r="C75" s="205" t="s">
        <v>351</v>
      </c>
      <c r="D75" s="109">
        <v>0</v>
      </c>
      <c r="E75" s="109">
        <v>0</v>
      </c>
      <c r="F75" s="110">
        <v>3447319600</v>
      </c>
      <c r="H75" s="199"/>
    </row>
    <row r="76" spans="1:8" s="100" customFormat="1" ht="21">
      <c r="A76" s="200" t="s">
        <v>9</v>
      </c>
      <c r="B76" s="201" t="s">
        <v>352</v>
      </c>
      <c r="C76" s="202" t="s">
        <v>353</v>
      </c>
      <c r="D76" s="104">
        <v>710420577923</v>
      </c>
      <c r="E76" s="104">
        <v>1030492694918</v>
      </c>
      <c r="F76" s="105">
        <v>2008779303245</v>
      </c>
      <c r="H76" s="199"/>
    </row>
    <row r="77" spans="1:8" s="100" customFormat="1" ht="47.25" customHeight="1">
      <c r="A77" s="196" t="s">
        <v>354</v>
      </c>
      <c r="B77" s="197" t="s">
        <v>355</v>
      </c>
      <c r="C77" s="198" t="s">
        <v>356</v>
      </c>
      <c r="D77" s="97">
        <v>804586465397</v>
      </c>
      <c r="E77" s="97">
        <v>1169219829034</v>
      </c>
      <c r="F77" s="98">
        <v>2840110036599</v>
      </c>
      <c r="H77" s="199"/>
    </row>
    <row r="78" spans="1:8" s="100" customFormat="1" ht="21">
      <c r="A78" s="196" t="s">
        <v>357</v>
      </c>
      <c r="B78" s="197" t="s">
        <v>358</v>
      </c>
      <c r="C78" s="198" t="s">
        <v>359</v>
      </c>
      <c r="D78" s="97">
        <v>17616903440990</v>
      </c>
      <c r="E78" s="97">
        <v>16349043616804</v>
      </c>
      <c r="F78" s="98">
        <v>18083580873093</v>
      </c>
      <c r="H78" s="199"/>
    </row>
    <row r="79" spans="1:8" s="100" customFormat="1" ht="31.5">
      <c r="A79" s="196" t="s">
        <v>360</v>
      </c>
      <c r="B79" s="197" t="s">
        <v>361</v>
      </c>
      <c r="C79" s="198" t="s">
        <v>362</v>
      </c>
      <c r="D79" s="97">
        <v>-355508627853</v>
      </c>
      <c r="E79" s="97">
        <v>1267859824186</v>
      </c>
      <c r="F79" s="98">
        <v>-822186059956</v>
      </c>
      <c r="H79" s="199"/>
    </row>
    <row r="80" spans="1:8" s="100" customFormat="1" ht="21">
      <c r="A80" s="200"/>
      <c r="B80" s="201" t="s">
        <v>363</v>
      </c>
      <c r="C80" s="202" t="s">
        <v>364</v>
      </c>
      <c r="D80" s="104">
        <v>0</v>
      </c>
      <c r="E80" s="104">
        <v>0</v>
      </c>
      <c r="F80" s="105">
        <v>0</v>
      </c>
      <c r="H80" s="199"/>
    </row>
    <row r="81" spans="1:8" s="100" customFormat="1" ht="42">
      <c r="A81" s="200" t="s">
        <v>4</v>
      </c>
      <c r="B81" s="201" t="s">
        <v>365</v>
      </c>
      <c r="C81" s="202" t="s">
        <v>366</v>
      </c>
      <c r="D81" s="104">
        <v>804586465397</v>
      </c>
      <c r="E81" s="104">
        <v>1169219829034</v>
      </c>
      <c r="F81" s="105">
        <v>2840110036599</v>
      </c>
      <c r="H81" s="199"/>
    </row>
    <row r="82" spans="1:8" s="100" customFormat="1" ht="42">
      <c r="A82" s="200" t="s">
        <v>9</v>
      </c>
      <c r="B82" s="201" t="s">
        <v>367</v>
      </c>
      <c r="C82" s="202"/>
      <c r="D82" s="104">
        <v>0</v>
      </c>
      <c r="E82" s="104">
        <v>0</v>
      </c>
      <c r="F82" s="105">
        <v>0</v>
      </c>
      <c r="H82" s="199"/>
    </row>
    <row r="83" spans="1:8" s="100" customFormat="1" ht="42">
      <c r="A83" s="200" t="s">
        <v>14</v>
      </c>
      <c r="B83" s="201" t="s">
        <v>368</v>
      </c>
      <c r="C83" s="202" t="s">
        <v>369</v>
      </c>
      <c r="D83" s="104">
        <v>-1160095093250</v>
      </c>
      <c r="E83" s="104">
        <v>98639995152</v>
      </c>
      <c r="F83" s="105">
        <v>-3662296096555</v>
      </c>
      <c r="H83" s="199"/>
    </row>
    <row r="84" spans="1:8" s="100" customFormat="1" ht="42">
      <c r="A84" s="203"/>
      <c r="B84" s="204" t="s">
        <v>370</v>
      </c>
      <c r="C84" s="205" t="s">
        <v>371</v>
      </c>
      <c r="D84" s="109">
        <v>159082514490</v>
      </c>
      <c r="E84" s="109">
        <v>244781169848</v>
      </c>
      <c r="F84" s="110">
        <v>2143254396794</v>
      </c>
      <c r="H84" s="199"/>
    </row>
    <row r="85" spans="1:8" s="100" customFormat="1" ht="31.5">
      <c r="A85" s="203"/>
      <c r="B85" s="204" t="s">
        <v>372</v>
      </c>
      <c r="C85" s="205" t="s">
        <v>373</v>
      </c>
      <c r="D85" s="109">
        <v>-1319177607740</v>
      </c>
      <c r="E85" s="109">
        <v>-146141174696</v>
      </c>
      <c r="F85" s="110">
        <v>-5805550493349</v>
      </c>
      <c r="H85" s="199"/>
    </row>
    <row r="86" spans="1:8" s="100" customFormat="1" ht="21">
      <c r="A86" s="196" t="s">
        <v>374</v>
      </c>
      <c r="B86" s="197" t="s">
        <v>375</v>
      </c>
      <c r="C86" s="198" t="s">
        <v>376</v>
      </c>
      <c r="D86" s="97">
        <v>17261394813137</v>
      </c>
      <c r="E86" s="97">
        <v>17616903440990</v>
      </c>
      <c r="F86" s="98">
        <v>17261394813137</v>
      </c>
      <c r="H86" s="199"/>
    </row>
    <row r="87" spans="1:8" s="100" customFormat="1" ht="42">
      <c r="A87" s="196" t="s">
        <v>377</v>
      </c>
      <c r="B87" s="197" t="s">
        <v>378</v>
      </c>
      <c r="C87" s="198" t="s">
        <v>379</v>
      </c>
      <c r="D87" s="97">
        <v>0</v>
      </c>
      <c r="E87" s="97">
        <v>0</v>
      </c>
      <c r="F87" s="98">
        <v>0</v>
      </c>
      <c r="H87" s="199"/>
    </row>
    <row r="88" spans="1:8" s="100" customFormat="1" ht="42">
      <c r="A88" s="206"/>
      <c r="B88" s="207" t="s">
        <v>380</v>
      </c>
      <c r="C88" s="208" t="s">
        <v>381</v>
      </c>
      <c r="D88" s="209">
        <v>0</v>
      </c>
      <c r="E88" s="209">
        <v>0</v>
      </c>
      <c r="F88" s="210">
        <v>0</v>
      </c>
      <c r="H88" s="199"/>
    </row>
    <row r="89" spans="1:8" ht="9" customHeight="1">
      <c r="A89" s="82"/>
      <c r="B89" s="82"/>
      <c r="C89" s="120"/>
      <c r="D89" s="82"/>
      <c r="E89" s="82"/>
      <c r="F89" s="82"/>
    </row>
    <row r="90" spans="1:8" ht="12.75" customHeight="1">
      <c r="A90" s="274" t="s">
        <v>221</v>
      </c>
      <c r="B90" s="274"/>
      <c r="C90" s="274"/>
      <c r="D90" s="274" t="s">
        <v>222</v>
      </c>
      <c r="E90" s="274"/>
      <c r="F90" s="274"/>
    </row>
    <row r="91" spans="1:8" ht="12.75" customHeight="1">
      <c r="A91" s="272" t="s">
        <v>223</v>
      </c>
      <c r="B91" s="272"/>
      <c r="C91" s="272"/>
      <c r="D91" s="273" t="s">
        <v>224</v>
      </c>
      <c r="E91" s="273"/>
      <c r="F91" s="273"/>
    </row>
    <row r="92" spans="1:8" ht="12.75" customHeight="1">
      <c r="A92" s="82"/>
      <c r="B92" s="82"/>
      <c r="C92" s="82"/>
      <c r="D92" s="82"/>
      <c r="E92" s="82"/>
      <c r="F92" s="82"/>
    </row>
    <row r="93" spans="1:8" ht="12.75" customHeight="1">
      <c r="A93" s="82"/>
      <c r="B93" s="82"/>
      <c r="C93" s="82"/>
      <c r="D93" s="82"/>
      <c r="E93" s="82"/>
      <c r="F93" s="82"/>
    </row>
    <row r="94" spans="1:8" ht="12.75" customHeight="1">
      <c r="A94" s="82"/>
      <c r="B94" s="82"/>
      <c r="C94" s="82"/>
      <c r="D94" s="82"/>
      <c r="E94" s="82"/>
      <c r="F94" s="82"/>
    </row>
    <row r="95" spans="1:8" ht="12.75" customHeight="1">
      <c r="A95" s="82"/>
      <c r="B95" s="82"/>
      <c r="C95" s="82"/>
      <c r="D95" s="82"/>
      <c r="E95" s="82"/>
      <c r="F95" s="82"/>
    </row>
    <row r="96" spans="1:8" ht="12.75" customHeight="1">
      <c r="A96" s="82"/>
      <c r="B96" s="82"/>
      <c r="C96" s="82"/>
      <c r="D96" s="82"/>
      <c r="E96" s="82"/>
      <c r="F96" s="82"/>
    </row>
    <row r="97" spans="1:6" ht="12.75" customHeight="1">
      <c r="A97" s="274" t="s">
        <v>225</v>
      </c>
      <c r="B97" s="274"/>
      <c r="C97" s="274"/>
      <c r="D97" s="274" t="s">
        <v>226</v>
      </c>
      <c r="E97" s="274"/>
      <c r="F97" s="274"/>
    </row>
    <row r="98" spans="1:6" ht="12.75" customHeight="1">
      <c r="A98" s="271" t="s">
        <v>1071</v>
      </c>
      <c r="B98" s="271"/>
      <c r="C98" s="271"/>
      <c r="D98" s="271" t="s">
        <v>227</v>
      </c>
      <c r="E98" s="271"/>
      <c r="F98" s="271"/>
    </row>
    <row r="99" spans="1:6" ht="12.75" customHeight="1">
      <c r="A99" s="271" t="s">
        <v>1072</v>
      </c>
      <c r="B99" s="271"/>
      <c r="C99" s="271"/>
      <c r="D99" s="271" t="s">
        <v>228</v>
      </c>
      <c r="E99" s="271"/>
      <c r="F99" s="271"/>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3" bottom="0.28999999999999998" header="0.48" footer="0.22"/>
  <pageSetup paperSize="9" scale="9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heetViews>
  <sheetFormatPr defaultColWidth="9.140625" defaultRowHeight="10.5"/>
  <cols>
    <col min="1" max="1" width="4.5703125" style="100" customWidth="1"/>
    <col min="2" max="2" width="42" style="100" customWidth="1"/>
    <col min="3" max="3" width="9.140625" style="100"/>
    <col min="4" max="4" width="12.42578125" style="100" bestFit="1" customWidth="1"/>
    <col min="5" max="5" width="11.42578125" style="100" bestFit="1" customWidth="1"/>
    <col min="6" max="6" width="17.140625" style="100" customWidth="1"/>
    <col min="7" max="7" width="10.85546875" style="100" customWidth="1"/>
    <col min="8" max="8" width="9.140625" style="100"/>
    <col min="9" max="9" width="16.5703125" style="100" bestFit="1" customWidth="1"/>
    <col min="10" max="16384" width="9.140625" style="100"/>
  </cols>
  <sheetData>
    <row r="1" spans="1:7" ht="30.75" customHeight="1">
      <c r="A1" s="88"/>
      <c r="B1" s="88"/>
      <c r="C1" s="178"/>
      <c r="D1" s="274" t="s">
        <v>0</v>
      </c>
      <c r="E1" s="274"/>
      <c r="F1" s="274"/>
      <c r="G1" s="274"/>
    </row>
    <row r="2" spans="1:7" ht="27.75" customHeight="1">
      <c r="A2" s="282" t="s">
        <v>1</v>
      </c>
      <c r="B2" s="282"/>
      <c r="C2" s="282"/>
      <c r="D2" s="282"/>
      <c r="E2" s="282"/>
      <c r="F2" s="282"/>
      <c r="G2" s="282"/>
    </row>
    <row r="3" spans="1:7" ht="6" customHeight="1">
      <c r="A3" s="88"/>
      <c r="B3" s="88"/>
      <c r="C3" s="88"/>
      <c r="D3" s="88"/>
      <c r="E3" s="88"/>
      <c r="F3" s="88"/>
      <c r="G3" s="88"/>
    </row>
    <row r="4" spans="1:7" ht="30" customHeight="1">
      <c r="A4" s="283" t="s">
        <v>229</v>
      </c>
      <c r="B4" s="283"/>
      <c r="C4" s="283"/>
      <c r="D4" s="283"/>
      <c r="E4" s="283"/>
      <c r="F4" s="283"/>
      <c r="G4" s="283"/>
    </row>
    <row r="5" spans="1:7" ht="12.75" customHeight="1">
      <c r="A5" s="273" t="s">
        <v>382</v>
      </c>
      <c r="B5" s="273"/>
      <c r="C5" s="273"/>
      <c r="D5" s="273"/>
      <c r="E5" s="273"/>
      <c r="F5" s="273"/>
      <c r="G5" s="273"/>
    </row>
    <row r="6" spans="1:7" ht="12.75" customHeight="1">
      <c r="A6" s="195" t="s">
        <v>4</v>
      </c>
      <c r="B6" s="87" t="s">
        <v>230</v>
      </c>
      <c r="C6" s="285" t="s">
        <v>6</v>
      </c>
      <c r="D6" s="285"/>
      <c r="E6" s="285"/>
      <c r="F6" s="285"/>
      <c r="G6" s="285"/>
    </row>
    <row r="7" spans="1:7" ht="12.75" customHeight="1">
      <c r="A7" s="88"/>
      <c r="B7" s="88" t="s">
        <v>7</v>
      </c>
      <c r="C7" s="286" t="s">
        <v>8</v>
      </c>
      <c r="D7" s="286"/>
      <c r="E7" s="286"/>
      <c r="F7" s="286"/>
      <c r="G7" s="286"/>
    </row>
    <row r="8" spans="1:7" ht="12.75" customHeight="1">
      <c r="A8" s="195" t="s">
        <v>9</v>
      </c>
      <c r="B8" s="87" t="s">
        <v>10</v>
      </c>
      <c r="C8" s="285" t="s">
        <v>11</v>
      </c>
      <c r="D8" s="285"/>
      <c r="E8" s="285"/>
      <c r="F8" s="285"/>
      <c r="G8" s="285"/>
    </row>
    <row r="9" spans="1:7" ht="12.75" customHeight="1">
      <c r="A9" s="88"/>
      <c r="B9" s="88" t="s">
        <v>12</v>
      </c>
      <c r="C9" s="286" t="s">
        <v>13</v>
      </c>
      <c r="D9" s="286"/>
      <c r="E9" s="286"/>
      <c r="F9" s="286"/>
      <c r="G9" s="286"/>
    </row>
    <row r="10" spans="1:7" ht="12.75" customHeight="1">
      <c r="A10" s="195" t="s">
        <v>14</v>
      </c>
      <c r="B10" s="87" t="s">
        <v>383</v>
      </c>
      <c r="C10" s="285" t="s">
        <v>16</v>
      </c>
      <c r="D10" s="285"/>
      <c r="E10" s="285"/>
      <c r="F10" s="285"/>
      <c r="G10" s="285"/>
    </row>
    <row r="11" spans="1:7" ht="12.75" customHeight="1">
      <c r="A11" s="88"/>
      <c r="B11" s="88" t="s">
        <v>17</v>
      </c>
      <c r="C11" s="286" t="s">
        <v>18</v>
      </c>
      <c r="D11" s="286"/>
      <c r="E11" s="286"/>
      <c r="F11" s="286"/>
      <c r="G11" s="286"/>
    </row>
    <row r="12" spans="1:7" ht="12.75" customHeight="1">
      <c r="A12" s="195" t="s">
        <v>19</v>
      </c>
      <c r="B12" s="87" t="s">
        <v>20</v>
      </c>
      <c r="C12" s="277">
        <v>45294</v>
      </c>
      <c r="D12" s="277"/>
      <c r="E12" s="277"/>
      <c r="F12" s="277"/>
      <c r="G12" s="277"/>
    </row>
    <row r="13" spans="1:7" ht="12.75" customHeight="1">
      <c r="A13" s="88"/>
      <c r="B13" s="88" t="s">
        <v>21</v>
      </c>
      <c r="C13" s="278">
        <v>45294</v>
      </c>
      <c r="D13" s="278"/>
      <c r="E13" s="278"/>
      <c r="F13" s="278"/>
      <c r="G13" s="278"/>
    </row>
    <row r="14" spans="1:7" ht="9" customHeight="1">
      <c r="A14" s="88"/>
      <c r="B14" s="88"/>
      <c r="C14" s="211"/>
      <c r="D14" s="88"/>
      <c r="E14" s="88"/>
      <c r="F14" s="88"/>
      <c r="G14" s="88"/>
    </row>
    <row r="15" spans="1:7" ht="12.75" customHeight="1">
      <c r="A15" s="287" t="s">
        <v>384</v>
      </c>
      <c r="B15" s="287"/>
      <c r="C15" s="287"/>
      <c r="D15" s="287"/>
      <c r="E15" s="287"/>
      <c r="F15" s="287"/>
      <c r="G15" s="287"/>
    </row>
    <row r="16" spans="1:7" ht="12.75" customHeight="1">
      <c r="A16" s="285" t="s">
        <v>385</v>
      </c>
      <c r="B16" s="285"/>
      <c r="C16" s="285"/>
      <c r="D16" s="285"/>
      <c r="E16" s="285"/>
      <c r="F16" s="285"/>
      <c r="G16" s="285"/>
    </row>
    <row r="17" spans="1:7" ht="12.75" customHeight="1">
      <c r="A17" s="212"/>
      <c r="B17" s="212"/>
      <c r="C17" s="213"/>
      <c r="D17" s="212"/>
      <c r="E17" s="212"/>
      <c r="F17" s="288" t="s">
        <v>24</v>
      </c>
      <c r="G17" s="288"/>
    </row>
    <row r="18" spans="1:7" ht="79.5" customHeight="1">
      <c r="A18" s="123" t="s">
        <v>386</v>
      </c>
      <c r="B18" s="124" t="s">
        <v>387</v>
      </c>
      <c r="C18" s="124" t="s">
        <v>27</v>
      </c>
      <c r="D18" s="124" t="s">
        <v>388</v>
      </c>
      <c r="E18" s="124" t="s">
        <v>389</v>
      </c>
      <c r="F18" s="124" t="s">
        <v>390</v>
      </c>
      <c r="G18" s="126" t="s">
        <v>391</v>
      </c>
    </row>
    <row r="19" spans="1:7" ht="21">
      <c r="A19" s="180" t="s">
        <v>31</v>
      </c>
      <c r="B19" s="181" t="s">
        <v>392</v>
      </c>
      <c r="C19" s="103"/>
      <c r="D19" s="214">
        <v>0</v>
      </c>
      <c r="E19" s="215">
        <v>0</v>
      </c>
      <c r="F19" s="215">
        <v>0</v>
      </c>
      <c r="G19" s="182">
        <v>0</v>
      </c>
    </row>
    <row r="20" spans="1:7" ht="35.25" customHeight="1">
      <c r="A20" s="180" t="s">
        <v>121</v>
      </c>
      <c r="B20" s="181" t="s">
        <v>393</v>
      </c>
      <c r="C20" s="103" t="s">
        <v>394</v>
      </c>
      <c r="D20" s="214">
        <v>0</v>
      </c>
      <c r="E20" s="215">
        <v>0</v>
      </c>
      <c r="F20" s="215">
        <v>0</v>
      </c>
      <c r="G20" s="182">
        <v>0</v>
      </c>
    </row>
    <row r="21" spans="1:7" ht="15" customHeight="1">
      <c r="A21" s="180" t="s">
        <v>4</v>
      </c>
      <c r="B21" s="181" t="s">
        <v>395</v>
      </c>
      <c r="C21" s="103" t="s">
        <v>396</v>
      </c>
      <c r="D21" s="104">
        <v>37531968</v>
      </c>
      <c r="E21" s="104">
        <v>23900</v>
      </c>
      <c r="F21" s="104">
        <v>897014035200</v>
      </c>
      <c r="G21" s="182">
        <v>5.1900000000000002E-2</v>
      </c>
    </row>
    <row r="22" spans="1:7" ht="15" customHeight="1">
      <c r="A22" s="180" t="s">
        <v>9</v>
      </c>
      <c r="B22" s="181" t="s">
        <v>397</v>
      </c>
      <c r="C22" s="103" t="s">
        <v>398</v>
      </c>
      <c r="D22" s="104">
        <v>12964736</v>
      </c>
      <c r="E22" s="104">
        <v>27100</v>
      </c>
      <c r="F22" s="104">
        <v>351344345600</v>
      </c>
      <c r="G22" s="182">
        <v>2.0299999999999999E-2</v>
      </c>
    </row>
    <row r="23" spans="1:7" ht="15" customHeight="1">
      <c r="A23" s="180" t="s">
        <v>14</v>
      </c>
      <c r="B23" s="181" t="s">
        <v>399</v>
      </c>
      <c r="C23" s="103" t="s">
        <v>400</v>
      </c>
      <c r="D23" s="104">
        <v>27714134</v>
      </c>
      <c r="E23" s="104">
        <v>96100</v>
      </c>
      <c r="F23" s="104">
        <v>2663328277400</v>
      </c>
      <c r="G23" s="182">
        <v>0.154</v>
      </c>
    </row>
    <row r="24" spans="1:7" ht="15" customHeight="1">
      <c r="A24" s="180" t="s">
        <v>19</v>
      </c>
      <c r="B24" s="181" t="s">
        <v>401</v>
      </c>
      <c r="C24" s="103" t="s">
        <v>402</v>
      </c>
      <c r="D24" s="104">
        <v>22853950</v>
      </c>
      <c r="E24" s="104">
        <v>70500</v>
      </c>
      <c r="F24" s="104">
        <v>1611203475000</v>
      </c>
      <c r="G24" s="182">
        <v>9.3100000000000002E-2</v>
      </c>
    </row>
    <row r="25" spans="1:7" ht="15" customHeight="1">
      <c r="A25" s="180" t="s">
        <v>285</v>
      </c>
      <c r="B25" s="181" t="s">
        <v>403</v>
      </c>
      <c r="C25" s="103" t="s">
        <v>404</v>
      </c>
      <c r="D25" s="104">
        <v>15571300</v>
      </c>
      <c r="E25" s="104">
        <v>20300</v>
      </c>
      <c r="F25" s="104">
        <v>316097390000</v>
      </c>
      <c r="G25" s="182">
        <v>1.83E-2</v>
      </c>
    </row>
    <row r="26" spans="1:7" ht="15" customHeight="1">
      <c r="A26" s="180" t="s">
        <v>287</v>
      </c>
      <c r="B26" s="181" t="s">
        <v>405</v>
      </c>
      <c r="C26" s="103" t="s">
        <v>406</v>
      </c>
      <c r="D26" s="104">
        <v>12208192</v>
      </c>
      <c r="E26" s="104">
        <v>31400</v>
      </c>
      <c r="F26" s="104">
        <v>383337228800</v>
      </c>
      <c r="G26" s="182">
        <v>2.2200000000000001E-2</v>
      </c>
    </row>
    <row r="27" spans="1:7" ht="15" customHeight="1">
      <c r="A27" s="180" t="s">
        <v>290</v>
      </c>
      <c r="B27" s="181" t="s">
        <v>407</v>
      </c>
      <c r="C27" s="103" t="s">
        <v>408</v>
      </c>
      <c r="D27" s="104">
        <v>61533783</v>
      </c>
      <c r="E27" s="104">
        <v>18650</v>
      </c>
      <c r="F27" s="104">
        <v>1147605052950</v>
      </c>
      <c r="G27" s="182">
        <v>6.6299999999999998E-2</v>
      </c>
    </row>
    <row r="28" spans="1:7" ht="15" customHeight="1">
      <c r="A28" s="180" t="s">
        <v>299</v>
      </c>
      <c r="B28" s="181" t="s">
        <v>409</v>
      </c>
      <c r="C28" s="103" t="s">
        <v>410</v>
      </c>
      <c r="D28" s="104">
        <v>36272987</v>
      </c>
      <c r="E28" s="104">
        <v>13000</v>
      </c>
      <c r="F28" s="104">
        <v>471548831000</v>
      </c>
      <c r="G28" s="182">
        <v>2.7300000000000001E-2</v>
      </c>
    </row>
    <row r="29" spans="1:7" ht="15" customHeight="1">
      <c r="A29" s="180" t="s">
        <v>312</v>
      </c>
      <c r="B29" s="181" t="s">
        <v>411</v>
      </c>
      <c r="C29" s="103" t="s">
        <v>412</v>
      </c>
      <c r="D29" s="104">
        <v>53657440</v>
      </c>
      <c r="E29" s="104">
        <v>42800</v>
      </c>
      <c r="F29" s="104">
        <v>2296538432000</v>
      </c>
      <c r="G29" s="182">
        <v>0.1328</v>
      </c>
    </row>
    <row r="30" spans="1:7" ht="15" customHeight="1">
      <c r="A30" s="180" t="s">
        <v>319</v>
      </c>
      <c r="B30" s="181" t="s">
        <v>413</v>
      </c>
      <c r="C30" s="103" t="s">
        <v>414</v>
      </c>
      <c r="D30" s="104">
        <v>11688988</v>
      </c>
      <c r="E30" s="104">
        <v>36650</v>
      </c>
      <c r="F30" s="104">
        <v>428401410200</v>
      </c>
      <c r="G30" s="182">
        <v>2.4799999999999999E-2</v>
      </c>
    </row>
    <row r="31" spans="1:7" ht="15" customHeight="1">
      <c r="A31" s="180" t="s">
        <v>415</v>
      </c>
      <c r="B31" s="181" t="s">
        <v>416</v>
      </c>
      <c r="C31" s="103" t="s">
        <v>417</v>
      </c>
      <c r="D31" s="104">
        <v>17579850</v>
      </c>
      <c r="E31" s="104">
        <v>13300</v>
      </c>
      <c r="F31" s="104">
        <v>233812005000</v>
      </c>
      <c r="G31" s="182">
        <v>1.35E-2</v>
      </c>
    </row>
    <row r="32" spans="1:7" ht="15" customHeight="1">
      <c r="A32" s="180" t="s">
        <v>418</v>
      </c>
      <c r="B32" s="181" t="s">
        <v>419</v>
      </c>
      <c r="C32" s="103" t="s">
        <v>420</v>
      </c>
      <c r="D32" s="104">
        <v>20321304</v>
      </c>
      <c r="E32" s="104">
        <v>86000</v>
      </c>
      <c r="F32" s="104">
        <v>1747632144000</v>
      </c>
      <c r="G32" s="182">
        <v>0.10100000000000001</v>
      </c>
    </row>
    <row r="33" spans="1:7" ht="15" customHeight="1">
      <c r="A33" s="180" t="s">
        <v>421</v>
      </c>
      <c r="B33" s="181" t="s">
        <v>422</v>
      </c>
      <c r="C33" s="103" t="s">
        <v>423</v>
      </c>
      <c r="D33" s="104">
        <v>15240181</v>
      </c>
      <c r="E33" s="104">
        <v>56800</v>
      </c>
      <c r="F33" s="104">
        <v>865642280800</v>
      </c>
      <c r="G33" s="182">
        <v>0.05</v>
      </c>
    </row>
    <row r="34" spans="1:7" ht="15" customHeight="1">
      <c r="A34" s="180" t="s">
        <v>424</v>
      </c>
      <c r="B34" s="181" t="s">
        <v>425</v>
      </c>
      <c r="C34" s="103" t="s">
        <v>426</v>
      </c>
      <c r="D34" s="104">
        <v>48784400</v>
      </c>
      <c r="E34" s="104">
        <v>31800</v>
      </c>
      <c r="F34" s="104">
        <v>1551343920000</v>
      </c>
      <c r="G34" s="182">
        <v>8.9700000000000002E-2</v>
      </c>
    </row>
    <row r="35" spans="1:7" ht="15" customHeight="1">
      <c r="A35" s="180" t="s">
        <v>427</v>
      </c>
      <c r="B35" s="181" t="s">
        <v>428</v>
      </c>
      <c r="C35" s="103" t="s">
        <v>429</v>
      </c>
      <c r="D35" s="104">
        <v>28339174</v>
      </c>
      <c r="E35" s="104">
        <v>17400</v>
      </c>
      <c r="F35" s="104">
        <v>493101627600</v>
      </c>
      <c r="G35" s="182">
        <v>2.8500000000000001E-2</v>
      </c>
    </row>
    <row r="36" spans="1:7" ht="15" customHeight="1">
      <c r="A36" s="180" t="s">
        <v>430</v>
      </c>
      <c r="B36" s="181" t="s">
        <v>431</v>
      </c>
      <c r="C36" s="103" t="s">
        <v>432</v>
      </c>
      <c r="D36" s="104">
        <v>29923484</v>
      </c>
      <c r="E36" s="104">
        <v>19600</v>
      </c>
      <c r="F36" s="104">
        <v>586500286400</v>
      </c>
      <c r="G36" s="182">
        <v>3.39E-2</v>
      </c>
    </row>
    <row r="37" spans="1:7" ht="15" customHeight="1">
      <c r="A37" s="180" t="s">
        <v>433</v>
      </c>
      <c r="B37" s="181" t="s">
        <v>434</v>
      </c>
      <c r="C37" s="103" t="s">
        <v>435</v>
      </c>
      <c r="D37" s="104">
        <v>50601116</v>
      </c>
      <c r="E37" s="104">
        <v>19200</v>
      </c>
      <c r="F37" s="104">
        <v>971541427200</v>
      </c>
      <c r="G37" s="182">
        <v>5.62E-2</v>
      </c>
    </row>
    <row r="38" spans="1:7">
      <c r="A38" s="180" t="s">
        <v>436</v>
      </c>
      <c r="B38" s="181" t="s">
        <v>437</v>
      </c>
      <c r="C38" s="103" t="s">
        <v>438</v>
      </c>
      <c r="D38" s="104">
        <v>10615500</v>
      </c>
      <c r="E38" s="104">
        <v>23300</v>
      </c>
      <c r="F38" s="104">
        <v>247341150000</v>
      </c>
      <c r="G38" s="182">
        <v>1.43E-2</v>
      </c>
    </row>
    <row r="39" spans="1:7" ht="21">
      <c r="A39" s="180"/>
      <c r="B39" s="181" t="s">
        <v>442</v>
      </c>
      <c r="C39" s="103" t="s">
        <v>439</v>
      </c>
      <c r="D39" s="104"/>
      <c r="E39" s="104"/>
      <c r="F39" s="104">
        <v>17263333319150</v>
      </c>
      <c r="G39" s="182">
        <v>0.99790000000000001</v>
      </c>
    </row>
    <row r="40" spans="1:7" ht="42">
      <c r="A40" s="180" t="s">
        <v>338</v>
      </c>
      <c r="B40" s="181" t="s">
        <v>440</v>
      </c>
      <c r="C40" s="103" t="s">
        <v>441</v>
      </c>
      <c r="D40" s="104"/>
      <c r="E40" s="104"/>
      <c r="F40" s="104">
        <v>0</v>
      </c>
      <c r="G40" s="182">
        <v>0</v>
      </c>
    </row>
    <row r="41" spans="1:7" ht="21">
      <c r="A41" s="180"/>
      <c r="B41" s="181" t="s">
        <v>442</v>
      </c>
      <c r="C41" s="103" t="s">
        <v>443</v>
      </c>
      <c r="D41" s="104"/>
      <c r="E41" s="104"/>
      <c r="F41" s="104">
        <v>0</v>
      </c>
      <c r="G41" s="182">
        <v>0</v>
      </c>
    </row>
    <row r="42" spans="1:7" ht="21">
      <c r="A42" s="180"/>
      <c r="B42" s="181" t="s">
        <v>444</v>
      </c>
      <c r="C42" s="103" t="s">
        <v>445</v>
      </c>
      <c r="D42" s="104"/>
      <c r="E42" s="104"/>
      <c r="F42" s="104">
        <v>17263333319150</v>
      </c>
      <c r="G42" s="182">
        <v>0.99790000000000001</v>
      </c>
    </row>
    <row r="43" spans="1:7" ht="21">
      <c r="A43" s="180" t="s">
        <v>341</v>
      </c>
      <c r="B43" s="181" t="s">
        <v>446</v>
      </c>
      <c r="C43" s="103" t="s">
        <v>447</v>
      </c>
      <c r="D43" s="104"/>
      <c r="E43" s="104"/>
      <c r="F43" s="104">
        <v>0</v>
      </c>
      <c r="G43" s="182">
        <v>0</v>
      </c>
    </row>
    <row r="44" spans="1:7" ht="21">
      <c r="A44" s="180"/>
      <c r="B44" s="181" t="s">
        <v>442</v>
      </c>
      <c r="C44" s="103" t="s">
        <v>448</v>
      </c>
      <c r="D44" s="104"/>
      <c r="E44" s="104"/>
      <c r="F44" s="104">
        <v>0</v>
      </c>
      <c r="G44" s="182">
        <v>0</v>
      </c>
    </row>
    <row r="45" spans="1:7" ht="21">
      <c r="A45" s="180" t="s">
        <v>354</v>
      </c>
      <c r="B45" s="181" t="s">
        <v>449</v>
      </c>
      <c r="C45" s="103" t="s">
        <v>450</v>
      </c>
      <c r="D45" s="104"/>
      <c r="E45" s="104"/>
      <c r="F45" s="104">
        <v>0</v>
      </c>
      <c r="G45" s="182">
        <v>0</v>
      </c>
    </row>
    <row r="46" spans="1:7" ht="21">
      <c r="A46" s="180" t="s">
        <v>4</v>
      </c>
      <c r="B46" s="181" t="s">
        <v>451</v>
      </c>
      <c r="C46" s="103" t="s">
        <v>452</v>
      </c>
      <c r="D46" s="104"/>
      <c r="E46" s="104"/>
      <c r="F46" s="104">
        <v>0</v>
      </c>
      <c r="G46" s="182">
        <v>0</v>
      </c>
    </row>
    <row r="47" spans="1:7" ht="21">
      <c r="A47" s="180" t="s">
        <v>9</v>
      </c>
      <c r="B47" s="181" t="s">
        <v>453</v>
      </c>
      <c r="C47" s="103" t="s">
        <v>454</v>
      </c>
      <c r="D47" s="104"/>
      <c r="E47" s="104"/>
      <c r="F47" s="104">
        <v>0</v>
      </c>
      <c r="G47" s="182">
        <v>0</v>
      </c>
    </row>
    <row r="48" spans="1:7" ht="21">
      <c r="A48" s="180"/>
      <c r="B48" s="181" t="s">
        <v>442</v>
      </c>
      <c r="C48" s="103" t="s">
        <v>455</v>
      </c>
      <c r="D48" s="104"/>
      <c r="E48" s="104"/>
      <c r="F48" s="104">
        <v>0</v>
      </c>
      <c r="G48" s="182">
        <v>0</v>
      </c>
    </row>
    <row r="49" spans="1:7" ht="21">
      <c r="A49" s="180"/>
      <c r="B49" s="181" t="s">
        <v>456</v>
      </c>
      <c r="C49" s="103" t="s">
        <v>457</v>
      </c>
      <c r="D49" s="104"/>
      <c r="E49" s="104"/>
      <c r="F49" s="104">
        <v>17263333319150</v>
      </c>
      <c r="G49" s="182">
        <v>0.99790000000000001</v>
      </c>
    </row>
    <row r="50" spans="1:7" ht="21">
      <c r="A50" s="180" t="s">
        <v>357</v>
      </c>
      <c r="B50" s="181" t="s">
        <v>458</v>
      </c>
      <c r="C50" s="103" t="s">
        <v>459</v>
      </c>
      <c r="D50" s="104"/>
      <c r="E50" s="104"/>
      <c r="F50" s="104">
        <v>0</v>
      </c>
      <c r="G50" s="182">
        <v>0</v>
      </c>
    </row>
    <row r="51" spans="1:7" ht="21">
      <c r="A51" s="180" t="s">
        <v>4</v>
      </c>
      <c r="B51" s="181" t="s">
        <v>460</v>
      </c>
      <c r="C51" s="103" t="s">
        <v>461</v>
      </c>
      <c r="D51" s="104"/>
      <c r="E51" s="104"/>
      <c r="F51" s="104">
        <v>0</v>
      </c>
      <c r="G51" s="182">
        <v>0</v>
      </c>
    </row>
    <row r="52" spans="1:7" ht="21">
      <c r="A52" s="180" t="s">
        <v>9</v>
      </c>
      <c r="B52" s="181" t="s">
        <v>462</v>
      </c>
      <c r="C52" s="103" t="s">
        <v>463</v>
      </c>
      <c r="D52" s="104"/>
      <c r="E52" s="104"/>
      <c r="F52" s="104">
        <v>0</v>
      </c>
      <c r="G52" s="182">
        <v>0</v>
      </c>
    </row>
    <row r="53" spans="1:7" ht="21">
      <c r="A53" s="180" t="s">
        <v>14</v>
      </c>
      <c r="B53" s="181" t="s">
        <v>464</v>
      </c>
      <c r="C53" s="103" t="s">
        <v>465</v>
      </c>
      <c r="D53" s="104"/>
      <c r="E53" s="104"/>
      <c r="F53" s="104">
        <v>0</v>
      </c>
      <c r="G53" s="182">
        <v>0</v>
      </c>
    </row>
    <row r="54" spans="1:7" ht="33" customHeight="1">
      <c r="A54" s="180" t="s">
        <v>19</v>
      </c>
      <c r="B54" s="181" t="s">
        <v>466</v>
      </c>
      <c r="C54" s="103" t="s">
        <v>467</v>
      </c>
      <c r="D54" s="104"/>
      <c r="E54" s="104"/>
      <c r="F54" s="104">
        <v>13837903250</v>
      </c>
      <c r="G54" s="182">
        <v>8.0000000000000004E-4</v>
      </c>
    </row>
    <row r="55" spans="1:7" ht="21">
      <c r="A55" s="180" t="s">
        <v>285</v>
      </c>
      <c r="B55" s="181" t="s">
        <v>468</v>
      </c>
      <c r="C55" s="103" t="s">
        <v>469</v>
      </c>
      <c r="D55" s="104"/>
      <c r="E55" s="104"/>
      <c r="F55" s="104">
        <v>0</v>
      </c>
      <c r="G55" s="182">
        <v>0</v>
      </c>
    </row>
    <row r="56" spans="1:7" ht="21">
      <c r="A56" s="180" t="s">
        <v>287</v>
      </c>
      <c r="B56" s="181" t="s">
        <v>470</v>
      </c>
      <c r="C56" s="103" t="s">
        <v>471</v>
      </c>
      <c r="D56" s="104"/>
      <c r="E56" s="104"/>
      <c r="F56" s="104">
        <v>36799980</v>
      </c>
      <c r="G56" s="182">
        <v>0</v>
      </c>
    </row>
    <row r="57" spans="1:7" ht="21">
      <c r="A57" s="180" t="s">
        <v>290</v>
      </c>
      <c r="B57" s="181" t="s">
        <v>472</v>
      </c>
      <c r="C57" s="103" t="s">
        <v>473</v>
      </c>
      <c r="D57" s="104"/>
      <c r="E57" s="104"/>
      <c r="F57" s="104">
        <v>0</v>
      </c>
      <c r="G57" s="182">
        <v>0</v>
      </c>
    </row>
    <row r="58" spans="1:7" ht="21">
      <c r="A58" s="180" t="s">
        <v>299</v>
      </c>
      <c r="B58" s="181" t="s">
        <v>474</v>
      </c>
      <c r="C58" s="103" t="s">
        <v>475</v>
      </c>
      <c r="D58" s="104"/>
      <c r="E58" s="104"/>
      <c r="F58" s="104">
        <v>0</v>
      </c>
      <c r="G58" s="182">
        <v>0</v>
      </c>
    </row>
    <row r="59" spans="1:7" ht="21">
      <c r="A59" s="180" t="s">
        <v>312</v>
      </c>
      <c r="B59" s="181" t="s">
        <v>476</v>
      </c>
      <c r="C59" s="103" t="s">
        <v>477</v>
      </c>
      <c r="D59" s="104"/>
      <c r="E59" s="104"/>
      <c r="F59" s="104">
        <v>0</v>
      </c>
      <c r="G59" s="182">
        <v>0</v>
      </c>
    </row>
    <row r="60" spans="1:7" ht="21" customHeight="1">
      <c r="A60" s="180" t="s">
        <v>319</v>
      </c>
      <c r="B60" s="181" t="s">
        <v>478</v>
      </c>
      <c r="C60" s="103" t="s">
        <v>479</v>
      </c>
      <c r="D60" s="104"/>
      <c r="E60" s="104"/>
      <c r="F60" s="104">
        <v>0</v>
      </c>
      <c r="G60" s="182">
        <v>0</v>
      </c>
    </row>
    <row r="61" spans="1:7" ht="21">
      <c r="A61" s="180"/>
      <c r="B61" s="181" t="s">
        <v>442</v>
      </c>
      <c r="C61" s="103" t="s">
        <v>480</v>
      </c>
      <c r="D61" s="104"/>
      <c r="E61" s="104"/>
      <c r="F61" s="104">
        <v>13874703230</v>
      </c>
      <c r="G61" s="182">
        <v>8.0000000000000004E-4</v>
      </c>
    </row>
    <row r="62" spans="1:7" ht="21">
      <c r="A62" s="180" t="s">
        <v>360</v>
      </c>
      <c r="B62" s="181" t="s">
        <v>37</v>
      </c>
      <c r="C62" s="103" t="s">
        <v>481</v>
      </c>
      <c r="D62" s="104"/>
      <c r="E62" s="104"/>
      <c r="F62" s="104">
        <v>0</v>
      </c>
      <c r="G62" s="182">
        <v>0</v>
      </c>
    </row>
    <row r="63" spans="1:7" ht="21">
      <c r="A63" s="180" t="s">
        <v>4</v>
      </c>
      <c r="B63" s="181" t="s">
        <v>482</v>
      </c>
      <c r="C63" s="103" t="s">
        <v>483</v>
      </c>
      <c r="D63" s="104"/>
      <c r="E63" s="104"/>
      <c r="F63" s="104">
        <v>22225901806</v>
      </c>
      <c r="G63" s="182">
        <v>1.2999999999999999E-3</v>
      </c>
    </row>
    <row r="64" spans="1:7" ht="21">
      <c r="A64" s="180"/>
      <c r="B64" s="181" t="s">
        <v>484</v>
      </c>
      <c r="C64" s="103" t="s">
        <v>485</v>
      </c>
      <c r="D64" s="104"/>
      <c r="E64" s="104"/>
      <c r="F64" s="104">
        <v>0</v>
      </c>
      <c r="G64" s="182">
        <v>0</v>
      </c>
    </row>
    <row r="65" spans="1:9" ht="21">
      <c r="A65" s="180"/>
      <c r="B65" s="181" t="s">
        <v>486</v>
      </c>
      <c r="C65" s="103" t="s">
        <v>487</v>
      </c>
      <c r="D65" s="104"/>
      <c r="E65" s="104"/>
      <c r="F65" s="104">
        <v>22225901806</v>
      </c>
      <c r="G65" s="182">
        <v>1.2999999999999999E-3</v>
      </c>
    </row>
    <row r="66" spans="1:9" ht="21">
      <c r="A66" s="180"/>
      <c r="B66" s="181" t="s">
        <v>488</v>
      </c>
      <c r="C66" s="103" t="s">
        <v>489</v>
      </c>
      <c r="D66" s="104"/>
      <c r="E66" s="104"/>
      <c r="F66" s="104">
        <v>0</v>
      </c>
      <c r="G66" s="182">
        <v>0</v>
      </c>
    </row>
    <row r="67" spans="1:9" ht="21">
      <c r="A67" s="180" t="s">
        <v>9</v>
      </c>
      <c r="B67" s="181" t="s">
        <v>490</v>
      </c>
      <c r="C67" s="103" t="s">
        <v>491</v>
      </c>
      <c r="D67" s="104"/>
      <c r="E67" s="104"/>
      <c r="F67" s="104">
        <v>0</v>
      </c>
      <c r="G67" s="182">
        <v>0</v>
      </c>
    </row>
    <row r="68" spans="1:9" ht="21">
      <c r="A68" s="180" t="s">
        <v>14</v>
      </c>
      <c r="B68" s="181" t="s">
        <v>492</v>
      </c>
      <c r="C68" s="103" t="s">
        <v>493</v>
      </c>
      <c r="D68" s="104"/>
      <c r="E68" s="104"/>
      <c r="F68" s="104">
        <v>0</v>
      </c>
      <c r="G68" s="182">
        <v>0</v>
      </c>
    </row>
    <row r="69" spans="1:9" ht="21">
      <c r="A69" s="180" t="s">
        <v>19</v>
      </c>
      <c r="B69" s="181" t="s">
        <v>494</v>
      </c>
      <c r="C69" s="103" t="s">
        <v>495</v>
      </c>
      <c r="D69" s="104"/>
      <c r="E69" s="104"/>
      <c r="F69" s="104">
        <v>0</v>
      </c>
      <c r="G69" s="182">
        <v>0</v>
      </c>
    </row>
    <row r="70" spans="1:9" ht="21">
      <c r="A70" s="180"/>
      <c r="B70" s="181" t="s">
        <v>442</v>
      </c>
      <c r="C70" s="103" t="s">
        <v>496</v>
      </c>
      <c r="D70" s="104"/>
      <c r="E70" s="104"/>
      <c r="F70" s="104">
        <v>22225901806</v>
      </c>
      <c r="G70" s="182">
        <v>1.2999999999999999E-3</v>
      </c>
    </row>
    <row r="71" spans="1:9" ht="21">
      <c r="A71" s="190" t="s">
        <v>374</v>
      </c>
      <c r="B71" s="191" t="s">
        <v>497</v>
      </c>
      <c r="C71" s="192" t="s">
        <v>498</v>
      </c>
      <c r="D71" s="209"/>
      <c r="E71" s="209"/>
      <c r="F71" s="209">
        <v>17299433924186</v>
      </c>
      <c r="G71" s="194">
        <v>1</v>
      </c>
    </row>
    <row r="72" spans="1:9">
      <c r="A72" s="88"/>
      <c r="B72" s="88"/>
      <c r="C72" s="88"/>
      <c r="D72" s="88"/>
      <c r="E72" s="88"/>
      <c r="F72" s="88"/>
      <c r="G72" s="88"/>
      <c r="I72" s="216"/>
    </row>
    <row r="73" spans="1:9">
      <c r="A73" s="289" t="s">
        <v>499</v>
      </c>
      <c r="B73" s="289"/>
      <c r="C73" s="88"/>
      <c r="D73" s="88"/>
      <c r="E73" s="88"/>
      <c r="F73" s="88"/>
      <c r="G73" s="88"/>
    </row>
    <row r="74" spans="1:9" ht="28.5" customHeight="1">
      <c r="A74" s="290" t="s">
        <v>500</v>
      </c>
      <c r="B74" s="290"/>
      <c r="C74" s="290"/>
      <c r="D74" s="290"/>
      <c r="E74" s="290"/>
      <c r="F74" s="290"/>
      <c r="G74" s="290"/>
    </row>
    <row r="75" spans="1:9" ht="12.75" customHeight="1">
      <c r="A75" s="212"/>
      <c r="B75" s="212"/>
      <c r="C75" s="212"/>
      <c r="D75" s="212"/>
      <c r="E75" s="212"/>
      <c r="F75" s="212"/>
      <c r="G75" s="212"/>
    </row>
    <row r="76" spans="1:9" ht="51" customHeight="1">
      <c r="A76" s="217" t="s">
        <v>501</v>
      </c>
      <c r="B76" s="218" t="s">
        <v>502</v>
      </c>
      <c r="C76" s="218" t="s">
        <v>503</v>
      </c>
      <c r="D76" s="218" t="s">
        <v>504</v>
      </c>
      <c r="E76" s="218" t="s">
        <v>505</v>
      </c>
      <c r="F76" s="218" t="s">
        <v>506</v>
      </c>
      <c r="G76" s="219" t="s">
        <v>507</v>
      </c>
    </row>
    <row r="77" spans="1:9">
      <c r="A77" s="88"/>
      <c r="B77" s="88"/>
      <c r="C77" s="88"/>
      <c r="D77" s="88"/>
      <c r="E77" s="88"/>
      <c r="F77" s="88"/>
      <c r="G77" s="88"/>
    </row>
    <row r="78" spans="1:9" ht="15" customHeight="1">
      <c r="A78" s="284" t="s">
        <v>221</v>
      </c>
      <c r="B78" s="284"/>
      <c r="C78" s="284"/>
      <c r="D78" s="284" t="s">
        <v>222</v>
      </c>
      <c r="E78" s="284"/>
      <c r="F78" s="284"/>
      <c r="G78" s="284"/>
    </row>
    <row r="79" spans="1:9" ht="15" customHeight="1">
      <c r="A79" s="273" t="s">
        <v>223</v>
      </c>
      <c r="B79" s="273"/>
      <c r="C79" s="273"/>
      <c r="D79" s="273" t="s">
        <v>224</v>
      </c>
      <c r="E79" s="273"/>
      <c r="F79" s="273"/>
      <c r="G79" s="273"/>
    </row>
    <row r="80" spans="1:9" ht="15" customHeight="1">
      <c r="A80" s="88"/>
      <c r="B80" s="88"/>
      <c r="C80" s="88"/>
      <c r="D80" s="88"/>
      <c r="E80" s="88"/>
      <c r="F80" s="88"/>
      <c r="G80" s="88"/>
    </row>
    <row r="81" spans="1:7" ht="15" customHeight="1">
      <c r="A81" s="88"/>
      <c r="B81" s="88"/>
      <c r="C81" s="88"/>
      <c r="D81" s="88"/>
      <c r="E81" s="88"/>
      <c r="F81" s="88"/>
      <c r="G81" s="88"/>
    </row>
    <row r="82" spans="1:7" ht="15" customHeight="1">
      <c r="A82" s="88"/>
      <c r="B82" s="88"/>
      <c r="C82" s="88"/>
      <c r="D82" s="88"/>
      <c r="E82" s="88"/>
      <c r="F82" s="88"/>
      <c r="G82" s="88"/>
    </row>
    <row r="83" spans="1:7" ht="15.75" customHeight="1">
      <c r="A83" s="88"/>
      <c r="B83" s="88"/>
      <c r="C83" s="88"/>
      <c r="D83" s="88"/>
      <c r="E83" s="88"/>
      <c r="F83" s="88"/>
      <c r="G83" s="88"/>
    </row>
    <row r="84" spans="1:7" ht="15.75" customHeight="1">
      <c r="A84" s="88"/>
      <c r="B84" s="88"/>
      <c r="C84" s="88"/>
      <c r="D84" s="88"/>
      <c r="E84" s="88"/>
      <c r="F84" s="88"/>
      <c r="G84" s="88"/>
    </row>
    <row r="85" spans="1:7" ht="15.75" customHeight="1">
      <c r="A85" s="284" t="s">
        <v>225</v>
      </c>
      <c r="B85" s="284"/>
      <c r="C85" s="284"/>
      <c r="D85" s="284" t="s">
        <v>226</v>
      </c>
      <c r="E85" s="284"/>
      <c r="F85" s="284"/>
      <c r="G85" s="284"/>
    </row>
    <row r="86" spans="1:7" ht="15" customHeight="1">
      <c r="A86" s="284" t="s">
        <v>1071</v>
      </c>
      <c r="B86" s="284"/>
      <c r="C86" s="284"/>
      <c r="D86" s="284" t="s">
        <v>227</v>
      </c>
      <c r="E86" s="284"/>
      <c r="F86" s="284"/>
      <c r="G86" s="284"/>
    </row>
    <row r="87" spans="1:7" ht="15" customHeight="1">
      <c r="A87" s="284" t="s">
        <v>1072</v>
      </c>
      <c r="B87" s="284"/>
      <c r="C87" s="284"/>
      <c r="D87" s="284" t="s">
        <v>228</v>
      </c>
      <c r="E87" s="284"/>
      <c r="F87" s="284"/>
      <c r="G87" s="284"/>
    </row>
    <row r="88" spans="1:7" ht="15.75" customHeight="1">
      <c r="A88" s="235"/>
      <c r="B88" s="235"/>
      <c r="C88" s="235"/>
      <c r="D88" s="235"/>
      <c r="E88" s="235"/>
      <c r="F88" s="235"/>
      <c r="G88" s="235"/>
    </row>
  </sheetData>
  <mergeCells count="27">
    <mergeCell ref="C7:G7"/>
    <mergeCell ref="D1:G1"/>
    <mergeCell ref="A2:G2"/>
    <mergeCell ref="A4:G4"/>
    <mergeCell ref="A5:G5"/>
    <mergeCell ref="C6:G6"/>
    <mergeCell ref="A78:C78"/>
    <mergeCell ref="D78:G78"/>
    <mergeCell ref="C8:G8"/>
    <mergeCell ref="C9:G9"/>
    <mergeCell ref="C10:G10"/>
    <mergeCell ref="C11:G11"/>
    <mergeCell ref="C12:G12"/>
    <mergeCell ref="C13:G13"/>
    <mergeCell ref="A15:G15"/>
    <mergeCell ref="A16:G16"/>
    <mergeCell ref="F17:G17"/>
    <mergeCell ref="A73:B73"/>
    <mergeCell ref="A74:G74"/>
    <mergeCell ref="A87:C87"/>
    <mergeCell ref="D87:G87"/>
    <mergeCell ref="A79:C79"/>
    <mergeCell ref="D79:G79"/>
    <mergeCell ref="A85:C85"/>
    <mergeCell ref="D85:G85"/>
    <mergeCell ref="A86:C86"/>
    <mergeCell ref="D86:G86"/>
  </mergeCells>
  <printOptions horizontalCentered="1"/>
  <pageMargins left="0" right="0" top="0.38" bottom="0.27" header="0.4" footer="0.28999999999999998"/>
  <pageSetup paperSize="9" scale="97"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heetViews>
  <sheetFormatPr defaultColWidth="9.28515625" defaultRowHeight="10.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c r="B1" s="27"/>
      <c r="C1" s="27"/>
      <c r="D1" s="27"/>
      <c r="E1" s="27"/>
      <c r="F1" s="27"/>
      <c r="G1" s="27"/>
      <c r="H1" s="313" t="s">
        <v>508</v>
      </c>
      <c r="I1" s="313"/>
      <c r="J1" s="313"/>
      <c r="K1" s="313"/>
    </row>
    <row r="2" spans="1:11" ht="26.25" customHeight="1">
      <c r="A2" s="314" t="s">
        <v>1019</v>
      </c>
      <c r="B2" s="314"/>
      <c r="C2" s="314"/>
      <c r="D2" s="314"/>
      <c r="E2" s="314"/>
      <c r="F2" s="314"/>
      <c r="G2" s="314"/>
      <c r="H2" s="314"/>
      <c r="I2" s="314"/>
      <c r="J2" s="314"/>
      <c r="K2" s="314"/>
    </row>
    <row r="3" spans="1:11" ht="28.5" customHeight="1">
      <c r="A3" s="315" t="s">
        <v>1020</v>
      </c>
      <c r="B3" s="315"/>
      <c r="C3" s="315"/>
      <c r="D3" s="315"/>
      <c r="E3" s="315"/>
      <c r="F3" s="315"/>
      <c r="G3" s="315"/>
      <c r="H3" s="315"/>
      <c r="I3" s="315"/>
      <c r="J3" s="315"/>
      <c r="K3" s="315"/>
    </row>
    <row r="4" spans="1:11" ht="18" customHeight="1">
      <c r="A4" s="316" t="s">
        <v>1068</v>
      </c>
      <c r="B4" s="317"/>
      <c r="C4" s="317"/>
      <c r="D4" s="317"/>
      <c r="E4" s="317"/>
      <c r="F4" s="317"/>
      <c r="G4" s="317"/>
      <c r="H4" s="317"/>
      <c r="I4" s="317"/>
      <c r="J4" s="317"/>
      <c r="K4" s="317"/>
    </row>
    <row r="5" spans="1:11">
      <c r="A5" s="28"/>
      <c r="B5" s="29"/>
      <c r="C5" s="29"/>
      <c r="D5" s="30"/>
      <c r="E5" s="30"/>
      <c r="F5" s="29"/>
      <c r="G5" s="29"/>
      <c r="H5" s="29"/>
      <c r="I5" s="29"/>
      <c r="J5" s="29"/>
      <c r="K5" s="29"/>
    </row>
    <row r="6" spans="1:11">
      <c r="A6" s="31">
        <v>1</v>
      </c>
      <c r="B6" s="32" t="s">
        <v>10</v>
      </c>
      <c r="C6" s="32" t="s">
        <v>1021</v>
      </c>
      <c r="D6" s="30"/>
      <c r="E6" s="30"/>
      <c r="F6" s="29"/>
      <c r="G6" s="29"/>
      <c r="H6" s="29"/>
      <c r="I6" s="29"/>
      <c r="J6" s="29"/>
      <c r="K6" s="29"/>
    </row>
    <row r="7" spans="1:11">
      <c r="A7" s="31"/>
      <c r="B7" s="33" t="s">
        <v>12</v>
      </c>
      <c r="C7" s="33" t="s">
        <v>13</v>
      </c>
      <c r="D7" s="34"/>
      <c r="E7" s="34"/>
      <c r="F7" s="35"/>
      <c r="G7" s="35"/>
      <c r="H7" s="35"/>
      <c r="I7" s="35"/>
      <c r="J7" s="35"/>
      <c r="K7" s="35"/>
    </row>
    <row r="8" spans="1:11" ht="12.75" customHeight="1">
      <c r="A8" s="36">
        <v>2</v>
      </c>
      <c r="B8" s="37" t="s">
        <v>383</v>
      </c>
      <c r="C8" s="38" t="s">
        <v>975</v>
      </c>
      <c r="D8" s="38"/>
      <c r="E8" s="38"/>
      <c r="F8" s="38"/>
      <c r="G8" s="38"/>
      <c r="H8" s="38"/>
      <c r="I8" s="39"/>
      <c r="J8" s="39"/>
      <c r="K8" s="39"/>
    </row>
    <row r="9" spans="1:11" ht="12.75" customHeight="1">
      <c r="A9" s="36"/>
      <c r="B9" s="40" t="s">
        <v>976</v>
      </c>
      <c r="C9" s="41" t="s">
        <v>609</v>
      </c>
      <c r="D9" s="42"/>
      <c r="E9" s="42"/>
      <c r="F9" s="42"/>
      <c r="G9" s="42"/>
      <c r="H9" s="42"/>
      <c r="I9" s="43"/>
      <c r="J9" s="43"/>
      <c r="K9" s="43"/>
    </row>
    <row r="10" spans="1:11" ht="12.75" customHeight="1">
      <c r="A10" s="36">
        <v>3</v>
      </c>
      <c r="B10" s="37" t="s">
        <v>5</v>
      </c>
      <c r="C10" s="38" t="s">
        <v>977</v>
      </c>
      <c r="D10" s="38"/>
      <c r="E10" s="38"/>
      <c r="F10" s="38"/>
      <c r="G10" s="38"/>
      <c r="H10" s="38"/>
      <c r="I10" s="39"/>
      <c r="J10" s="39"/>
      <c r="K10" s="39"/>
    </row>
    <row r="11" spans="1:11" ht="12.75" customHeight="1">
      <c r="A11" s="36"/>
      <c r="B11" s="40" t="s">
        <v>978</v>
      </c>
      <c r="C11" s="42" t="s">
        <v>979</v>
      </c>
      <c r="D11" s="42"/>
      <c r="E11" s="42"/>
      <c r="F11" s="42"/>
      <c r="G11" s="42"/>
      <c r="H11" s="42"/>
      <c r="I11" s="39"/>
      <c r="J11" s="39"/>
      <c r="K11" s="39"/>
    </row>
    <row r="12" spans="1:11" ht="13.5" customHeight="1">
      <c r="A12" s="36">
        <v>4</v>
      </c>
      <c r="B12" s="37" t="s">
        <v>20</v>
      </c>
      <c r="C12" s="277">
        <v>45294</v>
      </c>
      <c r="D12" s="277"/>
      <c r="E12" s="277"/>
      <c r="F12" s="277"/>
      <c r="G12" s="38"/>
      <c r="H12" s="38"/>
      <c r="I12" s="44"/>
      <c r="J12" s="44"/>
      <c r="K12" s="44"/>
    </row>
    <row r="13" spans="1:11" ht="13.5" customHeight="1">
      <c r="A13" s="42"/>
      <c r="B13" s="40" t="s">
        <v>21</v>
      </c>
      <c r="C13" s="278">
        <f>+C12</f>
        <v>45294</v>
      </c>
      <c r="D13" s="278"/>
      <c r="E13" s="278"/>
      <c r="F13" s="278"/>
      <c r="G13" s="312"/>
      <c r="H13" s="312"/>
      <c r="I13" s="45"/>
      <c r="J13" s="45"/>
      <c r="K13" s="45"/>
    </row>
    <row r="14" spans="1:11">
      <c r="A14" s="46" t="s">
        <v>986</v>
      </c>
      <c r="B14" s="46" t="s">
        <v>1022</v>
      </c>
      <c r="C14" s="47"/>
      <c r="D14" s="48"/>
      <c r="E14" s="48"/>
      <c r="F14" s="48"/>
      <c r="G14" s="49"/>
      <c r="H14" s="49"/>
      <c r="I14" s="45"/>
      <c r="J14" s="45"/>
      <c r="K14" s="45"/>
    </row>
    <row r="15" spans="1:11">
      <c r="A15" s="32" t="s">
        <v>341</v>
      </c>
      <c r="B15" s="32" t="s">
        <v>1023</v>
      </c>
      <c r="C15" s="50"/>
      <c r="D15" s="51"/>
      <c r="E15" s="51"/>
      <c r="F15" s="52"/>
      <c r="G15" s="52"/>
      <c r="H15" s="52"/>
      <c r="I15" s="52"/>
      <c r="J15" s="52"/>
      <c r="K15" s="52"/>
    </row>
    <row r="16" spans="1:11" ht="24.75" customHeight="1">
      <c r="A16" s="295" t="s">
        <v>386</v>
      </c>
      <c r="B16" s="295" t="s">
        <v>1024</v>
      </c>
      <c r="C16" s="310" t="s">
        <v>27</v>
      </c>
      <c r="D16" s="295" t="s">
        <v>1025</v>
      </c>
      <c r="E16" s="295" t="s">
        <v>1026</v>
      </c>
      <c r="F16" s="295" t="s">
        <v>1027</v>
      </c>
      <c r="G16" s="295" t="s">
        <v>1028</v>
      </c>
      <c r="H16" s="297" t="s">
        <v>1029</v>
      </c>
      <c r="I16" s="298"/>
      <c r="J16" s="297" t="s">
        <v>1030</v>
      </c>
      <c r="K16" s="298"/>
    </row>
    <row r="17" spans="1:11" ht="58.5" customHeight="1">
      <c r="A17" s="296"/>
      <c r="B17" s="296"/>
      <c r="C17" s="311"/>
      <c r="D17" s="296"/>
      <c r="E17" s="296"/>
      <c r="F17" s="296"/>
      <c r="G17" s="296"/>
      <c r="H17" s="53" t="s">
        <v>1031</v>
      </c>
      <c r="I17" s="53" t="s">
        <v>1032</v>
      </c>
      <c r="J17" s="53" t="s">
        <v>1033</v>
      </c>
      <c r="K17" s="53" t="s">
        <v>1034</v>
      </c>
    </row>
    <row r="18" spans="1:11" ht="21">
      <c r="A18" s="54">
        <v>1</v>
      </c>
      <c r="B18" s="55" t="s">
        <v>1035</v>
      </c>
      <c r="C18" s="56" t="s">
        <v>569</v>
      </c>
      <c r="D18" s="299"/>
      <c r="E18" s="300"/>
      <c r="F18" s="300"/>
      <c r="G18" s="300"/>
      <c r="H18" s="300"/>
      <c r="I18" s="300"/>
      <c r="J18" s="300"/>
      <c r="K18" s="301"/>
    </row>
    <row r="19" spans="1:11" ht="21">
      <c r="A19" s="54" t="s">
        <v>31</v>
      </c>
      <c r="B19" s="55" t="s">
        <v>1036</v>
      </c>
      <c r="C19" s="56" t="s">
        <v>1037</v>
      </c>
      <c r="D19" s="302"/>
      <c r="E19" s="303"/>
      <c r="F19" s="303"/>
      <c r="G19" s="303"/>
      <c r="H19" s="303"/>
      <c r="I19" s="303"/>
      <c r="J19" s="303"/>
      <c r="K19" s="304"/>
    </row>
    <row r="20" spans="1:11" ht="21">
      <c r="A20" s="54">
        <v>2</v>
      </c>
      <c r="B20" s="55" t="s">
        <v>1038</v>
      </c>
      <c r="C20" s="56" t="s">
        <v>1039</v>
      </c>
      <c r="D20" s="302"/>
      <c r="E20" s="303"/>
      <c r="F20" s="303"/>
      <c r="G20" s="303"/>
      <c r="H20" s="303"/>
      <c r="I20" s="303"/>
      <c r="J20" s="303"/>
      <c r="K20" s="304"/>
    </row>
    <row r="21" spans="1:11" ht="21">
      <c r="A21" s="54" t="s">
        <v>121</v>
      </c>
      <c r="B21" s="55" t="s">
        <v>1040</v>
      </c>
      <c r="C21" s="56" t="s">
        <v>1041</v>
      </c>
      <c r="D21" s="302"/>
      <c r="E21" s="303"/>
      <c r="F21" s="303"/>
      <c r="G21" s="303"/>
      <c r="H21" s="303"/>
      <c r="I21" s="303"/>
      <c r="J21" s="303"/>
      <c r="K21" s="304"/>
    </row>
    <row r="22" spans="1:11" ht="21">
      <c r="A22" s="54" t="s">
        <v>986</v>
      </c>
      <c r="B22" s="57" t="s">
        <v>1042</v>
      </c>
      <c r="C22" s="56" t="s">
        <v>1043</v>
      </c>
      <c r="D22" s="302"/>
      <c r="E22" s="303"/>
      <c r="F22" s="303"/>
      <c r="G22" s="303"/>
      <c r="H22" s="303"/>
      <c r="I22" s="303"/>
      <c r="J22" s="303"/>
      <c r="K22" s="304"/>
    </row>
    <row r="23" spans="1:11" ht="21">
      <c r="A23" s="58" t="s">
        <v>14</v>
      </c>
      <c r="B23" s="57" t="s">
        <v>1044</v>
      </c>
      <c r="C23" s="56" t="s">
        <v>1045</v>
      </c>
      <c r="D23" s="302"/>
      <c r="E23" s="303"/>
      <c r="F23" s="303"/>
      <c r="G23" s="303"/>
      <c r="H23" s="303"/>
      <c r="I23" s="303"/>
      <c r="J23" s="303"/>
      <c r="K23" s="304"/>
    </row>
    <row r="24" spans="1:11" ht="21">
      <c r="A24" s="58" t="s">
        <v>338</v>
      </c>
      <c r="B24" s="55" t="s">
        <v>1046</v>
      </c>
      <c r="C24" s="56" t="s">
        <v>1047</v>
      </c>
      <c r="D24" s="302"/>
      <c r="E24" s="303"/>
      <c r="F24" s="303"/>
      <c r="G24" s="303"/>
      <c r="H24" s="303"/>
      <c r="I24" s="303"/>
      <c r="J24" s="303"/>
      <c r="K24" s="304"/>
    </row>
    <row r="25" spans="1:11" ht="21">
      <c r="A25" s="58" t="s">
        <v>19</v>
      </c>
      <c r="B25" s="55" t="s">
        <v>1048</v>
      </c>
      <c r="C25" s="56" t="s">
        <v>1049</v>
      </c>
      <c r="D25" s="302"/>
      <c r="E25" s="303"/>
      <c r="F25" s="303"/>
      <c r="G25" s="303"/>
      <c r="H25" s="303"/>
      <c r="I25" s="303"/>
      <c r="J25" s="303"/>
      <c r="K25" s="304"/>
    </row>
    <row r="26" spans="1:11" ht="21">
      <c r="A26" s="58" t="s">
        <v>341</v>
      </c>
      <c r="B26" s="55" t="s">
        <v>1046</v>
      </c>
      <c r="C26" s="56" t="s">
        <v>1050</v>
      </c>
      <c r="D26" s="302"/>
      <c r="E26" s="303"/>
      <c r="F26" s="303"/>
      <c r="G26" s="303"/>
      <c r="H26" s="303"/>
      <c r="I26" s="303"/>
      <c r="J26" s="303"/>
      <c r="K26" s="304"/>
    </row>
    <row r="27" spans="1:11" ht="25.5" customHeight="1">
      <c r="A27" s="54" t="s">
        <v>1011</v>
      </c>
      <c r="B27" s="57" t="s">
        <v>1051</v>
      </c>
      <c r="C27" s="56" t="s">
        <v>1052</v>
      </c>
      <c r="D27" s="305"/>
      <c r="E27" s="306"/>
      <c r="F27" s="306"/>
      <c r="G27" s="306"/>
      <c r="H27" s="306"/>
      <c r="I27" s="306"/>
      <c r="J27" s="306"/>
      <c r="K27" s="307"/>
    </row>
    <row r="28" spans="1:11" ht="9" customHeight="1">
      <c r="A28" s="52"/>
      <c r="B28" s="59"/>
      <c r="C28" s="59"/>
      <c r="D28" s="52"/>
      <c r="E28" s="52"/>
      <c r="F28" s="52"/>
      <c r="G28" s="52"/>
      <c r="H28" s="52"/>
      <c r="I28" s="52"/>
      <c r="J28" s="52"/>
      <c r="K28" s="52"/>
    </row>
    <row r="29" spans="1:11">
      <c r="A29" s="308" t="s">
        <v>221</v>
      </c>
      <c r="B29" s="308"/>
      <c r="C29" s="308"/>
      <c r="E29" s="60"/>
      <c r="F29" s="61"/>
      <c r="G29" s="61"/>
      <c r="H29" s="309" t="s">
        <v>222</v>
      </c>
      <c r="I29" s="309"/>
      <c r="J29" s="309"/>
      <c r="K29" s="309"/>
    </row>
    <row r="30" spans="1:11">
      <c r="A30" s="291" t="s">
        <v>223</v>
      </c>
      <c r="B30" s="291"/>
      <c r="C30" s="291"/>
      <c r="E30" s="62"/>
      <c r="F30" s="63"/>
      <c r="G30" s="63"/>
      <c r="H30" s="293" t="s">
        <v>224</v>
      </c>
      <c r="I30" s="293"/>
      <c r="J30" s="293"/>
      <c r="K30" s="293"/>
    </row>
    <row r="31" spans="1:11" ht="36.75" customHeight="1">
      <c r="A31" s="63"/>
      <c r="B31" s="64"/>
      <c r="C31" s="65"/>
      <c r="E31" s="62"/>
      <c r="F31" s="63"/>
      <c r="G31" s="63"/>
      <c r="H31" s="66"/>
      <c r="J31" s="67"/>
      <c r="K31" s="68"/>
    </row>
    <row r="32" spans="1:11" ht="36.75" customHeight="1">
      <c r="A32" s="64"/>
      <c r="B32" s="64"/>
      <c r="C32" s="69"/>
      <c r="D32" s="70"/>
      <c r="E32" s="71"/>
      <c r="F32" s="72"/>
      <c r="G32" s="67"/>
      <c r="H32" s="67"/>
      <c r="J32" s="67"/>
      <c r="K32" s="67"/>
    </row>
    <row r="33" spans="1:11">
      <c r="A33" s="73"/>
      <c r="B33" s="73"/>
      <c r="C33" s="74"/>
      <c r="D33" s="75"/>
      <c r="E33" s="76"/>
      <c r="F33" s="72"/>
      <c r="G33" s="77"/>
      <c r="H33" s="73"/>
      <c r="I33" s="73"/>
      <c r="J33" s="74"/>
      <c r="K33" s="67"/>
    </row>
    <row r="34" spans="1:11" s="78" customFormat="1" ht="12.75" customHeight="1">
      <c r="A34" s="291" t="s">
        <v>1053</v>
      </c>
      <c r="B34" s="291"/>
      <c r="C34" s="291"/>
      <c r="E34" s="63"/>
      <c r="F34" s="63"/>
      <c r="G34" s="79"/>
      <c r="H34" s="294" t="s">
        <v>974</v>
      </c>
      <c r="I34" s="294"/>
      <c r="J34" s="294"/>
      <c r="K34" s="294"/>
    </row>
    <row r="35" spans="1:11" s="78" customFormat="1" ht="12.75" customHeight="1">
      <c r="A35" s="291" t="s">
        <v>1071</v>
      </c>
      <c r="B35" s="291"/>
      <c r="C35" s="291"/>
      <c r="E35" s="80"/>
      <c r="F35" s="81"/>
      <c r="G35" s="79"/>
      <c r="H35" s="292" t="s">
        <v>227</v>
      </c>
      <c r="I35" s="292"/>
      <c r="J35" s="292"/>
      <c r="K35" s="292"/>
    </row>
    <row r="36" spans="1:11" s="78" customFormat="1" ht="12.75" customHeight="1">
      <c r="A36" s="291" t="s">
        <v>1072</v>
      </c>
      <c r="B36" s="291"/>
      <c r="C36" s="291"/>
      <c r="H36" s="292" t="s">
        <v>228</v>
      </c>
      <c r="I36" s="292"/>
      <c r="J36" s="292"/>
      <c r="K36" s="292"/>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showOutlineSymbols="0" view="pageBreakPreview" zoomScaleNormal="100" zoomScaleSheetLayoutView="100" workbookViewId="0">
      <selection sqref="A1:B1"/>
    </sheetView>
  </sheetViews>
  <sheetFormatPr defaultColWidth="9.140625" defaultRowHeight="10.5"/>
  <cols>
    <col min="1" max="1" width="4.28515625" style="100" customWidth="1"/>
    <col min="2" max="2" width="12.5703125" style="100" customWidth="1"/>
    <col min="3" max="3" width="16.28515625" style="100" customWidth="1"/>
    <col min="4" max="4" width="24.42578125" style="100" customWidth="1"/>
    <col min="5" max="5" width="9.140625" style="100"/>
    <col min="6" max="6" width="19.28515625" style="100" customWidth="1"/>
    <col min="7" max="7" width="20.5703125" style="100" customWidth="1"/>
    <col min="8" max="16384" width="9.140625" style="100"/>
  </cols>
  <sheetData>
    <row r="1" spans="1:7" ht="30.75" customHeight="1">
      <c r="A1" s="286"/>
      <c r="B1" s="286"/>
      <c r="C1" s="88"/>
      <c r="D1" s="88"/>
      <c r="E1" s="274" t="s">
        <v>508</v>
      </c>
      <c r="F1" s="274"/>
      <c r="G1" s="274"/>
    </row>
    <row r="2" spans="1:7" ht="27" customHeight="1">
      <c r="A2" s="282" t="s">
        <v>1</v>
      </c>
      <c r="B2" s="282"/>
      <c r="C2" s="282"/>
      <c r="D2" s="282"/>
      <c r="E2" s="282"/>
      <c r="F2" s="282"/>
      <c r="G2" s="282"/>
    </row>
    <row r="3" spans="1:7" ht="6.75" customHeight="1">
      <c r="A3" s="88"/>
      <c r="B3" s="88"/>
      <c r="C3" s="88"/>
      <c r="D3" s="88"/>
      <c r="E3" s="88"/>
      <c r="F3" s="88"/>
      <c r="G3" s="88"/>
    </row>
    <row r="4" spans="1:7" ht="24.75" customHeight="1">
      <c r="A4" s="283" t="s">
        <v>229</v>
      </c>
      <c r="B4" s="283"/>
      <c r="C4" s="283"/>
      <c r="D4" s="283"/>
      <c r="E4" s="283"/>
      <c r="F4" s="283"/>
      <c r="G4" s="283"/>
    </row>
    <row r="5" spans="1:7" ht="18.75" customHeight="1">
      <c r="A5" s="273" t="s">
        <v>3</v>
      </c>
      <c r="B5" s="273"/>
      <c r="C5" s="273"/>
      <c r="D5" s="273"/>
      <c r="E5" s="273"/>
      <c r="F5" s="273"/>
      <c r="G5" s="273"/>
    </row>
    <row r="6" spans="1:7" ht="12.75" customHeight="1">
      <c r="A6" s="195" t="s">
        <v>4</v>
      </c>
      <c r="B6" s="285" t="s">
        <v>230</v>
      </c>
      <c r="C6" s="285"/>
      <c r="D6" s="285" t="s">
        <v>6</v>
      </c>
      <c r="E6" s="285"/>
      <c r="F6" s="285"/>
      <c r="G6" s="285"/>
    </row>
    <row r="7" spans="1:7" ht="12.75" customHeight="1">
      <c r="A7" s="88"/>
      <c r="B7" s="286" t="s">
        <v>7</v>
      </c>
      <c r="C7" s="286"/>
      <c r="D7" s="286" t="s">
        <v>8</v>
      </c>
      <c r="E7" s="286"/>
      <c r="F7" s="286"/>
      <c r="G7" s="286"/>
    </row>
    <row r="8" spans="1:7" ht="12.75" customHeight="1">
      <c r="A8" s="195" t="s">
        <v>9</v>
      </c>
      <c r="B8" s="285" t="s">
        <v>10</v>
      </c>
      <c r="C8" s="285"/>
      <c r="D8" s="285" t="s">
        <v>11</v>
      </c>
      <c r="E8" s="285"/>
      <c r="F8" s="285"/>
      <c r="G8" s="285"/>
    </row>
    <row r="9" spans="1:7" ht="12.75" customHeight="1">
      <c r="A9" s="88"/>
      <c r="B9" s="286" t="s">
        <v>12</v>
      </c>
      <c r="C9" s="286"/>
      <c r="D9" s="286" t="s">
        <v>13</v>
      </c>
      <c r="E9" s="286"/>
      <c r="F9" s="286"/>
      <c r="G9" s="286"/>
    </row>
    <row r="10" spans="1:7" ht="12.75" customHeight="1">
      <c r="A10" s="195" t="s">
        <v>14</v>
      </c>
      <c r="B10" s="285" t="s">
        <v>15</v>
      </c>
      <c r="C10" s="285"/>
      <c r="D10" s="285" t="s">
        <v>16</v>
      </c>
      <c r="E10" s="285"/>
      <c r="F10" s="285"/>
      <c r="G10" s="285"/>
    </row>
    <row r="11" spans="1:7" ht="12.75" customHeight="1">
      <c r="A11" s="88"/>
      <c r="B11" s="286" t="s">
        <v>17</v>
      </c>
      <c r="C11" s="286"/>
      <c r="D11" s="286" t="s">
        <v>18</v>
      </c>
      <c r="E11" s="286"/>
      <c r="F11" s="286"/>
      <c r="G11" s="286"/>
    </row>
    <row r="12" spans="1:7" ht="12.75" customHeight="1">
      <c r="A12" s="195" t="s">
        <v>19</v>
      </c>
      <c r="B12" s="285" t="s">
        <v>20</v>
      </c>
      <c r="C12" s="285"/>
      <c r="D12" s="277">
        <v>45294</v>
      </c>
      <c r="E12" s="277"/>
      <c r="F12" s="277"/>
      <c r="G12" s="277"/>
    </row>
    <row r="13" spans="1:7" ht="12.75" customHeight="1">
      <c r="A13" s="88"/>
      <c r="B13" s="286" t="s">
        <v>21</v>
      </c>
      <c r="C13" s="286"/>
      <c r="D13" s="278">
        <v>45294</v>
      </c>
      <c r="E13" s="278"/>
      <c r="F13" s="278"/>
      <c r="G13" s="278"/>
    </row>
    <row r="14" spans="1:7" ht="9" customHeight="1">
      <c r="A14" s="88"/>
      <c r="B14" s="88"/>
      <c r="C14" s="88"/>
      <c r="D14" s="88"/>
      <c r="E14" s="324"/>
      <c r="F14" s="324"/>
      <c r="G14" s="324"/>
    </row>
    <row r="15" spans="1:7" ht="15.75" customHeight="1">
      <c r="A15" s="287" t="s">
        <v>22</v>
      </c>
      <c r="B15" s="287"/>
      <c r="C15" s="287"/>
      <c r="D15" s="287"/>
      <c r="E15" s="287"/>
      <c r="F15" s="287"/>
      <c r="G15" s="287"/>
    </row>
    <row r="16" spans="1:7" ht="15.75" customHeight="1">
      <c r="A16" s="285" t="s">
        <v>509</v>
      </c>
      <c r="B16" s="285"/>
      <c r="C16" s="285"/>
      <c r="D16" s="285"/>
      <c r="E16" s="285"/>
      <c r="F16" s="285"/>
      <c r="G16" s="285"/>
    </row>
    <row r="17" spans="1:9" ht="11.25" customHeight="1">
      <c r="A17" s="212"/>
      <c r="B17" s="220"/>
      <c r="C17" s="212"/>
      <c r="D17" s="288" t="s">
        <v>24</v>
      </c>
      <c r="E17" s="288"/>
      <c r="F17" s="288"/>
      <c r="G17" s="288"/>
    </row>
    <row r="18" spans="1:9" ht="32.25" customHeight="1">
      <c r="A18" s="123" t="s">
        <v>510</v>
      </c>
      <c r="B18" s="323" t="s">
        <v>26</v>
      </c>
      <c r="C18" s="323"/>
      <c r="D18" s="323"/>
      <c r="E18" s="124" t="s">
        <v>27</v>
      </c>
      <c r="F18" s="124" t="s">
        <v>232</v>
      </c>
      <c r="G18" s="126" t="s">
        <v>233</v>
      </c>
    </row>
    <row r="19" spans="1:9" ht="21.95" customHeight="1">
      <c r="A19" s="180" t="s">
        <v>31</v>
      </c>
      <c r="B19" s="318" t="s">
        <v>511</v>
      </c>
      <c r="C19" s="318"/>
      <c r="D19" s="318"/>
      <c r="E19" s="103" t="s">
        <v>512</v>
      </c>
      <c r="F19" s="221">
        <v>0</v>
      </c>
      <c r="G19" s="222">
        <v>0</v>
      </c>
    </row>
    <row r="20" spans="1:9" ht="33" customHeight="1">
      <c r="A20" s="180" t="s">
        <v>4</v>
      </c>
      <c r="B20" s="318" t="s">
        <v>513</v>
      </c>
      <c r="C20" s="318"/>
      <c r="D20" s="318"/>
      <c r="E20" s="103" t="s">
        <v>514</v>
      </c>
      <c r="F20" s="223">
        <v>8.1539999999999998E-3</v>
      </c>
      <c r="G20" s="182">
        <v>7.8910000000000004E-3</v>
      </c>
      <c r="H20" s="224"/>
      <c r="I20" s="224"/>
    </row>
    <row r="21" spans="1:9" ht="33" customHeight="1">
      <c r="A21" s="180" t="s">
        <v>9</v>
      </c>
      <c r="B21" s="318" t="s">
        <v>515</v>
      </c>
      <c r="C21" s="318"/>
      <c r="D21" s="318"/>
      <c r="E21" s="103" t="s">
        <v>516</v>
      </c>
      <c r="F21" s="223">
        <v>7.5799999999999999E-4</v>
      </c>
      <c r="G21" s="182">
        <v>7.3499999999999998E-4</v>
      </c>
      <c r="H21" s="224"/>
      <c r="I21" s="224"/>
    </row>
    <row r="22" spans="1:9" ht="41.25" customHeight="1">
      <c r="A22" s="180" t="s">
        <v>14</v>
      </c>
      <c r="B22" s="318" t="s">
        <v>517</v>
      </c>
      <c r="C22" s="318"/>
      <c r="D22" s="318"/>
      <c r="E22" s="103" t="s">
        <v>518</v>
      </c>
      <c r="F22" s="223">
        <v>1.7060000000000001E-3</v>
      </c>
      <c r="G22" s="182">
        <v>1.529E-3</v>
      </c>
      <c r="H22" s="224"/>
      <c r="I22" s="224"/>
    </row>
    <row r="23" spans="1:9" ht="33" customHeight="1">
      <c r="A23" s="180" t="s">
        <v>19</v>
      </c>
      <c r="B23" s="318" t="s">
        <v>519</v>
      </c>
      <c r="C23" s="318"/>
      <c r="D23" s="318"/>
      <c r="E23" s="103" t="s">
        <v>520</v>
      </c>
      <c r="F23" s="223">
        <v>1.9000000000000001E-5</v>
      </c>
      <c r="G23" s="182">
        <v>1.9000000000000001E-5</v>
      </c>
      <c r="H23" s="224"/>
      <c r="I23" s="224"/>
    </row>
    <row r="24" spans="1:9" ht="41.25" customHeight="1">
      <c r="A24" s="180" t="s">
        <v>285</v>
      </c>
      <c r="B24" s="318" t="s">
        <v>521</v>
      </c>
      <c r="C24" s="318"/>
      <c r="D24" s="318"/>
      <c r="E24" s="103"/>
      <c r="F24" s="223">
        <v>0</v>
      </c>
      <c r="G24" s="182">
        <v>0</v>
      </c>
      <c r="H24" s="224"/>
      <c r="I24" s="224"/>
    </row>
    <row r="25" spans="1:9" ht="42.75" customHeight="1">
      <c r="A25" s="180" t="s">
        <v>287</v>
      </c>
      <c r="B25" s="318" t="s">
        <v>522</v>
      </c>
      <c r="C25" s="318"/>
      <c r="D25" s="318"/>
      <c r="E25" s="103"/>
      <c r="F25" s="223">
        <v>0</v>
      </c>
      <c r="G25" s="182">
        <v>0</v>
      </c>
      <c r="H25" s="224"/>
      <c r="I25" s="224"/>
    </row>
    <row r="26" spans="1:9" ht="42.75" customHeight="1">
      <c r="A26" s="180" t="s">
        <v>290</v>
      </c>
      <c r="B26" s="318" t="s">
        <v>523</v>
      </c>
      <c r="C26" s="318"/>
      <c r="D26" s="318"/>
      <c r="E26" s="103" t="s">
        <v>524</v>
      </c>
      <c r="F26" s="223">
        <v>6.9999999999999999E-6</v>
      </c>
      <c r="G26" s="182">
        <v>6.9999999999999999E-6</v>
      </c>
      <c r="H26" s="224"/>
      <c r="I26" s="224"/>
    </row>
    <row r="27" spans="1:9" ht="21.95" customHeight="1">
      <c r="A27" s="180" t="s">
        <v>299</v>
      </c>
      <c r="B27" s="318" t="s">
        <v>525</v>
      </c>
      <c r="C27" s="318"/>
      <c r="D27" s="318"/>
      <c r="E27" s="103" t="s">
        <v>526</v>
      </c>
      <c r="F27" s="223">
        <v>1.0397999999999999E-2</v>
      </c>
      <c r="G27" s="182">
        <v>1.0394E-2</v>
      </c>
      <c r="H27" s="224"/>
      <c r="I27" s="224"/>
    </row>
    <row r="28" spans="1:9" ht="42.75" customHeight="1">
      <c r="A28" s="180" t="s">
        <v>312</v>
      </c>
      <c r="B28" s="318" t="s">
        <v>527</v>
      </c>
      <c r="C28" s="318"/>
      <c r="D28" s="318"/>
      <c r="E28" s="103" t="s">
        <v>528</v>
      </c>
      <c r="F28" s="223">
        <v>0.27555499999999999</v>
      </c>
      <c r="G28" s="182">
        <v>0.27549099999999999</v>
      </c>
      <c r="H28" s="224"/>
      <c r="I28" s="224"/>
    </row>
    <row r="29" spans="1:9" ht="42.75" customHeight="1">
      <c r="A29" s="180" t="s">
        <v>319</v>
      </c>
      <c r="B29" s="318" t="s">
        <v>529</v>
      </c>
      <c r="C29" s="318"/>
      <c r="D29" s="318"/>
      <c r="E29" s="103"/>
      <c r="F29" s="223">
        <v>0</v>
      </c>
      <c r="G29" s="182">
        <v>0</v>
      </c>
      <c r="H29" s="224"/>
      <c r="I29" s="224"/>
    </row>
    <row r="30" spans="1:9" ht="21.95" customHeight="1">
      <c r="A30" s="180" t="s">
        <v>121</v>
      </c>
      <c r="B30" s="318" t="s">
        <v>530</v>
      </c>
      <c r="C30" s="318"/>
      <c r="D30" s="318"/>
      <c r="E30" s="103" t="s">
        <v>531</v>
      </c>
      <c r="F30" s="221">
        <v>0</v>
      </c>
      <c r="G30" s="222">
        <v>0</v>
      </c>
      <c r="H30" s="224"/>
      <c r="I30" s="224"/>
    </row>
    <row r="31" spans="1:9" ht="21.95" customHeight="1">
      <c r="A31" s="180" t="s">
        <v>4</v>
      </c>
      <c r="B31" s="318" t="s">
        <v>532</v>
      </c>
      <c r="C31" s="318"/>
      <c r="D31" s="318"/>
      <c r="E31" s="103" t="s">
        <v>533</v>
      </c>
      <c r="F31" s="225">
        <v>7109000000000</v>
      </c>
      <c r="G31" s="226">
        <v>7070000000000</v>
      </c>
      <c r="H31" s="224"/>
      <c r="I31" s="224"/>
    </row>
    <row r="32" spans="1:9" ht="21.95" customHeight="1">
      <c r="A32" s="180"/>
      <c r="B32" s="318" t="s">
        <v>534</v>
      </c>
      <c r="C32" s="318"/>
      <c r="D32" s="318"/>
      <c r="E32" s="103" t="s">
        <v>535</v>
      </c>
      <c r="F32" s="225">
        <v>7109000000000</v>
      </c>
      <c r="G32" s="226">
        <v>7070000000000</v>
      </c>
      <c r="H32" s="224"/>
      <c r="I32" s="224"/>
    </row>
    <row r="33" spans="1:9" ht="21.95" customHeight="1">
      <c r="A33" s="180"/>
      <c r="B33" s="318" t="s">
        <v>536</v>
      </c>
      <c r="C33" s="318"/>
      <c r="D33" s="318"/>
      <c r="E33" s="103" t="s">
        <v>537</v>
      </c>
      <c r="F33" s="225">
        <v>710900000</v>
      </c>
      <c r="G33" s="226">
        <v>707000000</v>
      </c>
      <c r="H33" s="224"/>
      <c r="I33" s="224"/>
    </row>
    <row r="34" spans="1:9" ht="21.95" customHeight="1">
      <c r="A34" s="180" t="s">
        <v>9</v>
      </c>
      <c r="B34" s="318" t="s">
        <v>538</v>
      </c>
      <c r="C34" s="318"/>
      <c r="D34" s="318"/>
      <c r="E34" s="103" t="s">
        <v>539</v>
      </c>
      <c r="F34" s="225">
        <v>-458000000000</v>
      </c>
      <c r="G34" s="226">
        <v>39000000000</v>
      </c>
      <c r="H34" s="224"/>
      <c r="I34" s="224"/>
    </row>
    <row r="35" spans="1:9" ht="21.95" customHeight="1">
      <c r="A35" s="180"/>
      <c r="B35" s="318" t="s">
        <v>540</v>
      </c>
      <c r="C35" s="318"/>
      <c r="D35" s="318"/>
      <c r="E35" s="103" t="s">
        <v>541</v>
      </c>
      <c r="F35" s="225">
        <v>-45800000</v>
      </c>
      <c r="G35" s="226">
        <v>3900000</v>
      </c>
      <c r="H35" s="224"/>
      <c r="I35" s="224"/>
    </row>
    <row r="36" spans="1:9" ht="21.95" customHeight="1">
      <c r="A36" s="180"/>
      <c r="B36" s="318" t="s">
        <v>542</v>
      </c>
      <c r="C36" s="318"/>
      <c r="D36" s="318"/>
      <c r="E36" s="103" t="s">
        <v>543</v>
      </c>
      <c r="F36" s="225">
        <v>-458000000000</v>
      </c>
      <c r="G36" s="226">
        <v>39000000000</v>
      </c>
      <c r="H36" s="224"/>
      <c r="I36" s="224"/>
    </row>
    <row r="37" spans="1:9" ht="21.95" customHeight="1">
      <c r="A37" s="180"/>
      <c r="B37" s="318" t="s">
        <v>544</v>
      </c>
      <c r="C37" s="318"/>
      <c r="D37" s="318"/>
      <c r="E37" s="103" t="s">
        <v>545</v>
      </c>
      <c r="F37" s="225">
        <v>6400000</v>
      </c>
      <c r="G37" s="226">
        <v>9700000</v>
      </c>
      <c r="H37" s="224"/>
      <c r="I37" s="224"/>
    </row>
    <row r="38" spans="1:9" ht="21.95" customHeight="1">
      <c r="A38" s="180"/>
      <c r="B38" s="318" t="s">
        <v>546</v>
      </c>
      <c r="C38" s="318"/>
      <c r="D38" s="318"/>
      <c r="E38" s="103" t="s">
        <v>547</v>
      </c>
      <c r="F38" s="225">
        <v>64000000000</v>
      </c>
      <c r="G38" s="226">
        <v>97000000000</v>
      </c>
      <c r="H38" s="224"/>
      <c r="I38" s="224"/>
    </row>
    <row r="39" spans="1:9" ht="21.95" customHeight="1">
      <c r="A39" s="180"/>
      <c r="B39" s="318" t="s">
        <v>548</v>
      </c>
      <c r="C39" s="318"/>
      <c r="D39" s="318"/>
      <c r="E39" s="103" t="s">
        <v>549</v>
      </c>
      <c r="F39" s="225">
        <v>-52200000</v>
      </c>
      <c r="G39" s="226">
        <v>-5800000</v>
      </c>
      <c r="H39" s="224"/>
      <c r="I39" s="224"/>
    </row>
    <row r="40" spans="1:9" ht="21.95" customHeight="1">
      <c r="A40" s="180"/>
      <c r="B40" s="318" t="s">
        <v>550</v>
      </c>
      <c r="C40" s="318"/>
      <c r="D40" s="318"/>
      <c r="E40" s="103" t="s">
        <v>551</v>
      </c>
      <c r="F40" s="225">
        <v>-522000000000</v>
      </c>
      <c r="G40" s="226">
        <v>-58000000000</v>
      </c>
      <c r="H40" s="224"/>
      <c r="I40" s="224"/>
    </row>
    <row r="41" spans="1:9" ht="21.95" customHeight="1">
      <c r="A41" s="180" t="s">
        <v>14</v>
      </c>
      <c r="B41" s="318" t="s">
        <v>552</v>
      </c>
      <c r="C41" s="318"/>
      <c r="D41" s="318"/>
      <c r="E41" s="103" t="s">
        <v>553</v>
      </c>
      <c r="F41" s="225">
        <v>6651000000000</v>
      </c>
      <c r="G41" s="226">
        <v>7109000000000</v>
      </c>
      <c r="H41" s="224"/>
      <c r="I41" s="224"/>
    </row>
    <row r="42" spans="1:9" ht="21.95" customHeight="1">
      <c r="A42" s="180"/>
      <c r="B42" s="318" t="s">
        <v>554</v>
      </c>
      <c r="C42" s="318"/>
      <c r="D42" s="318"/>
      <c r="E42" s="103" t="s">
        <v>555</v>
      </c>
      <c r="F42" s="225">
        <v>6651000000000</v>
      </c>
      <c r="G42" s="226">
        <v>7109000000000</v>
      </c>
      <c r="H42" s="224"/>
      <c r="I42" s="224"/>
    </row>
    <row r="43" spans="1:9" ht="21.95" customHeight="1">
      <c r="A43" s="180"/>
      <c r="B43" s="318" t="s">
        <v>556</v>
      </c>
      <c r="C43" s="318"/>
      <c r="D43" s="318"/>
      <c r="E43" s="103" t="s">
        <v>557</v>
      </c>
      <c r="F43" s="225">
        <v>665100000</v>
      </c>
      <c r="G43" s="226">
        <v>710900000</v>
      </c>
      <c r="H43" s="224"/>
      <c r="I43" s="224"/>
    </row>
    <row r="44" spans="1:9" ht="31.5" customHeight="1">
      <c r="A44" s="180" t="s">
        <v>19</v>
      </c>
      <c r="B44" s="318" t="s">
        <v>558</v>
      </c>
      <c r="C44" s="318"/>
      <c r="D44" s="318"/>
      <c r="E44" s="103" t="s">
        <v>559</v>
      </c>
      <c r="F44" s="233">
        <v>1.02E-4</v>
      </c>
      <c r="G44" s="188">
        <v>3.4900000000000003E-4</v>
      </c>
      <c r="H44" s="224"/>
      <c r="I44" s="224"/>
    </row>
    <row r="45" spans="1:9" ht="23.25" customHeight="1">
      <c r="A45" s="180" t="s">
        <v>285</v>
      </c>
      <c r="B45" s="319" t="s">
        <v>560</v>
      </c>
      <c r="C45" s="320"/>
      <c r="D45" s="321"/>
      <c r="E45" s="103" t="s">
        <v>561</v>
      </c>
      <c r="F45" s="233">
        <v>0.78249999999999997</v>
      </c>
      <c r="G45" s="188">
        <v>0.76149999999999995</v>
      </c>
      <c r="H45" s="224"/>
      <c r="I45" s="224"/>
    </row>
    <row r="46" spans="1:9" ht="23.25" customHeight="1">
      <c r="A46" s="180" t="s">
        <v>287</v>
      </c>
      <c r="B46" s="319" t="s">
        <v>562</v>
      </c>
      <c r="C46" s="320"/>
      <c r="D46" s="321"/>
      <c r="E46" s="103" t="s">
        <v>563</v>
      </c>
      <c r="F46" s="233">
        <v>0.95169999999999999</v>
      </c>
      <c r="G46" s="188">
        <v>0.95789999999999997</v>
      </c>
      <c r="H46" s="224"/>
      <c r="I46" s="224"/>
    </row>
    <row r="47" spans="1:9" ht="21.95" customHeight="1">
      <c r="A47" s="180" t="s">
        <v>290</v>
      </c>
      <c r="B47" s="318" t="s">
        <v>564</v>
      </c>
      <c r="C47" s="318"/>
      <c r="D47" s="318"/>
      <c r="E47" s="103" t="s">
        <v>565</v>
      </c>
      <c r="F47" s="227">
        <v>25953.08</v>
      </c>
      <c r="G47" s="228">
        <v>24781.119999999999</v>
      </c>
      <c r="H47" s="224"/>
      <c r="I47" s="224"/>
    </row>
    <row r="48" spans="1:9" ht="21.95" customHeight="1">
      <c r="A48" s="180" t="s">
        <v>299</v>
      </c>
      <c r="B48" s="318" t="s">
        <v>566</v>
      </c>
      <c r="C48" s="318"/>
      <c r="D48" s="318"/>
      <c r="E48" s="103" t="s">
        <v>567</v>
      </c>
      <c r="F48" s="229">
        <v>26440</v>
      </c>
      <c r="G48" s="230">
        <v>24830</v>
      </c>
      <c r="H48" s="224"/>
      <c r="I48" s="224"/>
    </row>
    <row r="49" spans="1:9" ht="21.95" customHeight="1">
      <c r="A49" s="190" t="s">
        <v>312</v>
      </c>
      <c r="B49" s="322" t="s">
        <v>568</v>
      </c>
      <c r="C49" s="322"/>
      <c r="D49" s="322"/>
      <c r="E49" s="192" t="s">
        <v>569</v>
      </c>
      <c r="F49" s="234">
        <v>5246</v>
      </c>
      <c r="G49" s="231">
        <v>5269</v>
      </c>
      <c r="H49" s="224"/>
      <c r="I49" s="224"/>
    </row>
    <row r="50" spans="1:9" ht="7.5" customHeight="1">
      <c r="A50" s="88"/>
      <c r="B50" s="88"/>
      <c r="C50" s="88"/>
      <c r="D50" s="88"/>
      <c r="E50" s="88"/>
      <c r="F50" s="232"/>
      <c r="G50" s="232"/>
    </row>
    <row r="51" spans="1:9" ht="14.25" customHeight="1">
      <c r="A51" s="286" t="s">
        <v>570</v>
      </c>
      <c r="B51" s="286"/>
      <c r="C51" s="286"/>
      <c r="D51" s="286"/>
      <c r="E51" s="286"/>
      <c r="F51" s="286"/>
      <c r="G51" s="286"/>
    </row>
    <row r="52" spans="1:9" ht="282" customHeight="1">
      <c r="A52" s="281" t="s">
        <v>1069</v>
      </c>
      <c r="B52" s="281"/>
      <c r="C52" s="281"/>
      <c r="D52" s="281"/>
      <c r="E52" s="281"/>
      <c r="F52" s="281"/>
      <c r="G52" s="281"/>
    </row>
    <row r="53" spans="1:9" ht="48.75" customHeight="1">
      <c r="A53" s="281" t="s">
        <v>1070</v>
      </c>
      <c r="B53" s="281"/>
      <c r="C53" s="281"/>
      <c r="D53" s="281"/>
      <c r="E53" s="281"/>
      <c r="F53" s="281"/>
      <c r="G53" s="281"/>
    </row>
    <row r="54" spans="1:9" ht="7.5" customHeight="1">
      <c r="A54" s="88"/>
      <c r="B54" s="119"/>
      <c r="C54" s="88"/>
      <c r="D54" s="88"/>
      <c r="E54" s="88"/>
      <c r="F54" s="88"/>
      <c r="G54" s="88"/>
    </row>
    <row r="55" spans="1:9" ht="14.25" customHeight="1">
      <c r="A55" s="284" t="s">
        <v>571</v>
      </c>
      <c r="B55" s="284"/>
      <c r="C55" s="284"/>
      <c r="D55" s="284"/>
      <c r="E55" s="284" t="s">
        <v>222</v>
      </c>
      <c r="F55" s="284"/>
      <c r="G55" s="284"/>
    </row>
    <row r="56" spans="1:9" ht="12" customHeight="1">
      <c r="A56" s="273" t="s">
        <v>223</v>
      </c>
      <c r="B56" s="273"/>
      <c r="C56" s="273"/>
      <c r="D56" s="273"/>
      <c r="E56" s="273" t="s">
        <v>224</v>
      </c>
      <c r="F56" s="273"/>
      <c r="G56" s="273"/>
    </row>
    <row r="57" spans="1:9" ht="15" customHeight="1">
      <c r="A57" s="88"/>
      <c r="B57" s="88"/>
      <c r="C57" s="88"/>
      <c r="D57" s="88"/>
      <c r="E57" s="88"/>
      <c r="F57" s="88"/>
      <c r="G57" s="88"/>
    </row>
    <row r="58" spans="1:9" ht="15" customHeight="1">
      <c r="A58" s="88"/>
      <c r="B58" s="88"/>
      <c r="C58" s="88"/>
      <c r="D58" s="88"/>
      <c r="E58" s="88"/>
      <c r="F58" s="88"/>
      <c r="G58" s="88"/>
    </row>
    <row r="59" spans="1:9" ht="15.75" customHeight="1">
      <c r="A59" s="88"/>
      <c r="B59" s="88"/>
      <c r="C59" s="88"/>
      <c r="D59" s="88"/>
      <c r="E59" s="88"/>
      <c r="F59" s="88"/>
      <c r="G59" s="88"/>
    </row>
    <row r="60" spans="1:9" ht="15" customHeight="1">
      <c r="A60" s="88"/>
      <c r="B60" s="88"/>
      <c r="C60" s="88"/>
      <c r="D60" s="88"/>
      <c r="E60" s="88"/>
      <c r="F60" s="88"/>
      <c r="G60" s="88"/>
    </row>
    <row r="61" spans="1:9" ht="15.75" customHeight="1">
      <c r="A61" s="88"/>
      <c r="B61" s="88"/>
      <c r="C61" s="88"/>
      <c r="D61" s="88"/>
      <c r="E61" s="88"/>
      <c r="F61" s="88"/>
      <c r="G61" s="88"/>
    </row>
    <row r="62" spans="1:9" ht="15.75" customHeight="1">
      <c r="A62" s="88"/>
      <c r="B62" s="88"/>
      <c r="C62" s="88"/>
      <c r="D62" s="88"/>
      <c r="E62" s="88"/>
      <c r="F62" s="88"/>
      <c r="G62" s="88"/>
    </row>
    <row r="63" spans="1:9" ht="15.75" customHeight="1">
      <c r="A63" s="284" t="s">
        <v>225</v>
      </c>
      <c r="B63" s="284"/>
      <c r="C63" s="284"/>
      <c r="D63" s="284"/>
      <c r="E63" s="284" t="s">
        <v>226</v>
      </c>
      <c r="F63" s="284"/>
      <c r="G63" s="284"/>
    </row>
    <row r="64" spans="1:9" ht="15.75" customHeight="1">
      <c r="A64" s="284" t="s">
        <v>1071</v>
      </c>
      <c r="B64" s="284"/>
      <c r="C64" s="284"/>
      <c r="D64" s="284"/>
      <c r="E64" s="284" t="s">
        <v>227</v>
      </c>
      <c r="F64" s="284"/>
      <c r="G64" s="284"/>
    </row>
    <row r="65" spans="1:7" ht="15.75" customHeight="1">
      <c r="A65" s="284" t="s">
        <v>1072</v>
      </c>
      <c r="B65" s="284"/>
      <c r="C65" s="284"/>
      <c r="D65" s="284"/>
      <c r="E65" s="284" t="s">
        <v>228</v>
      </c>
      <c r="F65" s="284"/>
      <c r="G65" s="284"/>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8:D28"/>
    <mergeCell ref="B18:D18"/>
    <mergeCell ref="B19:D19"/>
    <mergeCell ref="B20:D20"/>
    <mergeCell ref="B21:D21"/>
    <mergeCell ref="B22:D22"/>
    <mergeCell ref="B23:D23"/>
    <mergeCell ref="B24:D24"/>
    <mergeCell ref="B25:D25"/>
    <mergeCell ref="B26:D26"/>
    <mergeCell ref="B27:D27"/>
    <mergeCell ref="B38:D38"/>
    <mergeCell ref="B29:D29"/>
    <mergeCell ref="B30:D30"/>
    <mergeCell ref="B31:D31"/>
    <mergeCell ref="B32:D32"/>
    <mergeCell ref="B33:D33"/>
    <mergeCell ref="B34:D34"/>
    <mergeCell ref="B35:D35"/>
    <mergeCell ref="B36:D36"/>
    <mergeCell ref="B37:D37"/>
    <mergeCell ref="A51:G51"/>
    <mergeCell ref="B39:D39"/>
    <mergeCell ref="B40:D40"/>
    <mergeCell ref="B41:D41"/>
    <mergeCell ref="B42:D42"/>
    <mergeCell ref="B43:D43"/>
    <mergeCell ref="B44:D44"/>
    <mergeCell ref="B45:D45"/>
    <mergeCell ref="B46:D46"/>
    <mergeCell ref="B47:D47"/>
    <mergeCell ref="B48:D48"/>
    <mergeCell ref="B49:D49"/>
    <mergeCell ref="A52:G52"/>
    <mergeCell ref="A53:G53"/>
    <mergeCell ref="A55:D55"/>
    <mergeCell ref="E55:G55"/>
    <mergeCell ref="A56:D56"/>
    <mergeCell ref="E56:G56"/>
    <mergeCell ref="A63:D63"/>
    <mergeCell ref="E63:G63"/>
    <mergeCell ref="A64:D64"/>
    <mergeCell ref="E64:G64"/>
    <mergeCell ref="A65:D65"/>
    <mergeCell ref="E65:G65"/>
  </mergeCells>
  <printOptions horizontalCentered="1"/>
  <pageMargins left="0" right="0" top="0.58999997377395597" bottom="0.4" header="0.5" footer="0.37"/>
  <pageSetup paperSize="9" scale="94"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topLeftCell="A82" zoomScaleNormal="100" workbookViewId="0">
      <selection activeCell="A87" sqref="A87"/>
    </sheetView>
  </sheetViews>
  <sheetFormatPr defaultColWidth="9.140625" defaultRowHeight="10.5"/>
  <cols>
    <col min="1" max="1" width="30.85546875" style="84" customWidth="1"/>
    <col min="2" max="2" width="5.5703125" style="118" customWidth="1"/>
    <col min="3" max="3" width="6.42578125" style="84" customWidth="1"/>
    <col min="4" max="7" width="18.7109375" style="84" customWidth="1"/>
    <col min="8" max="8" width="15.7109375" style="83" bestFit="1" customWidth="1"/>
    <col min="9" max="9" width="16.5703125" style="83" bestFit="1" customWidth="1"/>
    <col min="10" max="16384" width="9.140625" style="84"/>
  </cols>
  <sheetData>
    <row r="1" spans="1:9" ht="27" customHeight="1">
      <c r="A1" s="82"/>
      <c r="B1" s="275"/>
      <c r="C1" s="275"/>
      <c r="D1" s="274" t="s">
        <v>606</v>
      </c>
      <c r="E1" s="274"/>
      <c r="F1" s="274"/>
      <c r="G1" s="274"/>
    </row>
    <row r="2" spans="1:9" ht="23.25" customHeight="1">
      <c r="A2" s="336" t="s">
        <v>573</v>
      </c>
      <c r="B2" s="336"/>
      <c r="C2" s="336"/>
      <c r="D2" s="336"/>
      <c r="E2" s="336"/>
      <c r="F2" s="336"/>
      <c r="G2" s="336"/>
    </row>
    <row r="3" spans="1:9" ht="6" customHeight="1">
      <c r="A3" s="82"/>
      <c r="B3" s="275"/>
      <c r="C3" s="275"/>
      <c r="D3" s="275"/>
      <c r="E3" s="275"/>
      <c r="F3" s="275"/>
      <c r="G3" s="275"/>
    </row>
    <row r="4" spans="1:9" s="86" customFormat="1" ht="12.75" customHeight="1">
      <c r="A4" s="334" t="s">
        <v>607</v>
      </c>
      <c r="B4" s="334"/>
      <c r="C4" s="334"/>
      <c r="D4" s="334"/>
      <c r="E4" s="334"/>
      <c r="F4" s="334"/>
      <c r="G4" s="334"/>
      <c r="H4" s="85"/>
      <c r="I4" s="85"/>
    </row>
    <row r="5" spans="1:9" s="86" customFormat="1" ht="12.75" customHeight="1">
      <c r="A5" s="335" t="s">
        <v>608</v>
      </c>
      <c r="B5" s="335"/>
      <c r="C5" s="335"/>
      <c r="D5" s="335"/>
      <c r="E5" s="335"/>
      <c r="F5" s="335"/>
      <c r="G5" s="335"/>
      <c r="H5" s="85"/>
      <c r="I5" s="85"/>
    </row>
    <row r="6" spans="1:9" ht="12.75" customHeight="1">
      <c r="A6" s="273" t="s">
        <v>3</v>
      </c>
      <c r="B6" s="273"/>
      <c r="C6" s="273"/>
      <c r="D6" s="273"/>
      <c r="E6" s="273"/>
      <c r="F6" s="273"/>
      <c r="G6" s="273"/>
    </row>
    <row r="7" spans="1:9" ht="12.75" customHeight="1">
      <c r="A7" s="82"/>
      <c r="B7" s="275"/>
      <c r="C7" s="275"/>
      <c r="D7" s="275"/>
      <c r="E7" s="275"/>
      <c r="F7" s="275"/>
      <c r="G7" s="275"/>
    </row>
    <row r="8" spans="1:9" ht="12.75" customHeight="1">
      <c r="A8" s="87" t="s">
        <v>10</v>
      </c>
      <c r="B8" s="276" t="s">
        <v>11</v>
      </c>
      <c r="C8" s="276"/>
      <c r="D8" s="276"/>
      <c r="E8" s="276"/>
      <c r="F8" s="276"/>
      <c r="G8" s="276"/>
    </row>
    <row r="9" spans="1:9" ht="12.75" customHeight="1">
      <c r="A9" s="88" t="s">
        <v>12</v>
      </c>
      <c r="B9" s="275" t="s">
        <v>13</v>
      </c>
      <c r="C9" s="275"/>
      <c r="D9" s="275"/>
      <c r="E9" s="275"/>
      <c r="F9" s="275"/>
      <c r="G9" s="275"/>
    </row>
    <row r="10" spans="1:9" ht="12.75" customHeight="1">
      <c r="A10" s="87" t="s">
        <v>383</v>
      </c>
      <c r="B10" s="276" t="s">
        <v>16</v>
      </c>
      <c r="C10" s="276"/>
      <c r="D10" s="276"/>
      <c r="E10" s="276"/>
      <c r="F10" s="276"/>
      <c r="G10" s="276"/>
    </row>
    <row r="11" spans="1:9" ht="12.75" customHeight="1">
      <c r="A11" s="88" t="s">
        <v>17</v>
      </c>
      <c r="B11" s="275" t="s">
        <v>609</v>
      </c>
      <c r="C11" s="275"/>
      <c r="D11" s="275"/>
      <c r="E11" s="275"/>
      <c r="F11" s="275"/>
      <c r="G11" s="275"/>
    </row>
    <row r="12" spans="1:9" ht="12.75" customHeight="1">
      <c r="A12" s="87" t="s">
        <v>5</v>
      </c>
      <c r="B12" s="279" t="s">
        <v>610</v>
      </c>
      <c r="C12" s="279"/>
      <c r="D12" s="279"/>
      <c r="E12" s="279"/>
      <c r="F12" s="279"/>
      <c r="G12" s="279"/>
    </row>
    <row r="13" spans="1:9" ht="12.75" customHeight="1">
      <c r="A13" s="88" t="s">
        <v>7</v>
      </c>
      <c r="B13" s="275" t="s">
        <v>8</v>
      </c>
      <c r="C13" s="275"/>
      <c r="D13" s="275"/>
      <c r="E13" s="275"/>
      <c r="F13" s="275"/>
      <c r="G13" s="275"/>
    </row>
    <row r="14" spans="1:9" ht="12.75" customHeight="1">
      <c r="A14" s="87" t="s">
        <v>20</v>
      </c>
      <c r="B14" s="277">
        <v>45294</v>
      </c>
      <c r="C14" s="277"/>
      <c r="D14" s="277"/>
      <c r="E14" s="277"/>
      <c r="F14" s="277"/>
      <c r="G14" s="277"/>
    </row>
    <row r="15" spans="1:9" ht="12.75" customHeight="1">
      <c r="A15" s="88" t="s">
        <v>21</v>
      </c>
      <c r="B15" s="278">
        <v>45294</v>
      </c>
      <c r="C15" s="278"/>
      <c r="D15" s="278"/>
      <c r="E15" s="278"/>
      <c r="F15" s="278"/>
      <c r="G15" s="278"/>
    </row>
    <row r="16" spans="1:9" ht="12.75" customHeight="1">
      <c r="A16" s="89"/>
      <c r="B16" s="327"/>
      <c r="C16" s="327"/>
      <c r="D16" s="327"/>
      <c r="E16" s="327"/>
      <c r="F16" s="280" t="s">
        <v>24</v>
      </c>
      <c r="G16" s="280"/>
    </row>
    <row r="17" spans="1:9" s="91" customFormat="1" ht="27.75" customHeight="1">
      <c r="A17" s="329" t="s">
        <v>26</v>
      </c>
      <c r="B17" s="323" t="s">
        <v>611</v>
      </c>
      <c r="C17" s="323" t="s">
        <v>612</v>
      </c>
      <c r="D17" s="332" t="s">
        <v>613</v>
      </c>
      <c r="E17" s="332"/>
      <c r="F17" s="332" t="s">
        <v>614</v>
      </c>
      <c r="G17" s="333"/>
      <c r="H17" s="90"/>
      <c r="I17" s="90"/>
    </row>
    <row r="18" spans="1:9" s="91" customFormat="1" ht="33.75" customHeight="1">
      <c r="A18" s="330"/>
      <c r="B18" s="331"/>
      <c r="C18" s="331"/>
      <c r="D18" s="92" t="s">
        <v>232</v>
      </c>
      <c r="E18" s="92" t="s">
        <v>615</v>
      </c>
      <c r="F18" s="92" t="s">
        <v>616</v>
      </c>
      <c r="G18" s="93" t="s">
        <v>615</v>
      </c>
      <c r="H18" s="90"/>
      <c r="I18" s="90"/>
    </row>
    <row r="19" spans="1:9" s="100" customFormat="1" ht="31.5">
      <c r="A19" s="94" t="s">
        <v>617</v>
      </c>
      <c r="B19" s="95" t="s">
        <v>618</v>
      </c>
      <c r="C19" s="96"/>
      <c r="D19" s="97">
        <f>D20+D23+D26+D30+D31+D32+D33+D34</f>
        <v>821232798706</v>
      </c>
      <c r="E19" s="97">
        <f>E20+E23+E26+E30+E31+E32+E33+E34</f>
        <v>3050433372683</v>
      </c>
      <c r="F19" s="97">
        <f>F20+F23+F26+F30+F31+F32+F33+F34</f>
        <v>104501318150</v>
      </c>
      <c r="G19" s="98">
        <f>G20+G23+G26+G30+G31+G32+G33+G34</f>
        <v>-3404591493714</v>
      </c>
      <c r="H19" s="99"/>
      <c r="I19" s="99"/>
    </row>
    <row r="20" spans="1:9" s="100" customFormat="1" ht="21">
      <c r="A20" s="101" t="s">
        <v>619</v>
      </c>
      <c r="B20" s="102" t="s">
        <v>620</v>
      </c>
      <c r="C20" s="103"/>
      <c r="D20" s="104">
        <f>D21+D22</f>
        <v>0</v>
      </c>
      <c r="E20" s="104">
        <f>E21+E22</f>
        <v>447349855000</v>
      </c>
      <c r="F20" s="104">
        <f>F21+F22</f>
        <v>2218156400</v>
      </c>
      <c r="G20" s="105">
        <f>G21+G22</f>
        <v>154228431956</v>
      </c>
      <c r="H20" s="99"/>
      <c r="I20" s="99"/>
    </row>
    <row r="21" spans="1:9" s="100" customFormat="1" ht="21">
      <c r="A21" s="106" t="s">
        <v>621</v>
      </c>
      <c r="B21" s="107" t="s">
        <v>622</v>
      </c>
      <c r="C21" s="108"/>
      <c r="D21" s="109">
        <v>0</v>
      </c>
      <c r="E21" s="109">
        <v>447349855000</v>
      </c>
      <c r="F21" s="109">
        <v>2218156400</v>
      </c>
      <c r="G21" s="110">
        <v>154228431956</v>
      </c>
      <c r="H21" s="99"/>
      <c r="I21" s="99"/>
    </row>
    <row r="22" spans="1:9" s="100" customFormat="1" ht="21">
      <c r="A22" s="106" t="s">
        <v>623</v>
      </c>
      <c r="B22" s="107" t="s">
        <v>624</v>
      </c>
      <c r="C22" s="108"/>
      <c r="D22" s="109">
        <v>0</v>
      </c>
      <c r="E22" s="109">
        <v>0</v>
      </c>
      <c r="F22" s="109">
        <v>0</v>
      </c>
      <c r="G22" s="110">
        <v>0</v>
      </c>
      <c r="H22" s="99"/>
      <c r="I22" s="99"/>
    </row>
    <row r="23" spans="1:9" s="100" customFormat="1" ht="21">
      <c r="A23" s="101" t="s">
        <v>625</v>
      </c>
      <c r="B23" s="102" t="s">
        <v>626</v>
      </c>
      <c r="C23" s="103"/>
      <c r="D23" s="104">
        <f>D24+D25</f>
        <v>36799980</v>
      </c>
      <c r="E23" s="104">
        <f>E24+E25</f>
        <v>355897157</v>
      </c>
      <c r="F23" s="104">
        <f>F24+F25</f>
        <v>0</v>
      </c>
      <c r="G23" s="105">
        <f>G24+G25</f>
        <v>303449692</v>
      </c>
      <c r="H23" s="99"/>
      <c r="I23" s="99"/>
    </row>
    <row r="24" spans="1:9" s="100" customFormat="1" ht="21">
      <c r="A24" s="106" t="s">
        <v>627</v>
      </c>
      <c r="B24" s="107" t="s">
        <v>628</v>
      </c>
      <c r="C24" s="108"/>
      <c r="D24" s="109">
        <v>36799980</v>
      </c>
      <c r="E24" s="109">
        <v>355897157</v>
      </c>
      <c r="F24" s="109">
        <v>0</v>
      </c>
      <c r="G24" s="110">
        <v>303449692</v>
      </c>
      <c r="H24" s="99"/>
      <c r="I24" s="99"/>
    </row>
    <row r="25" spans="1:9" s="100" customFormat="1" ht="31.5">
      <c r="A25" s="106" t="s">
        <v>629</v>
      </c>
      <c r="B25" s="107" t="s">
        <v>630</v>
      </c>
      <c r="C25" s="108"/>
      <c r="D25" s="109">
        <v>0</v>
      </c>
      <c r="E25" s="109">
        <v>0</v>
      </c>
      <c r="F25" s="109">
        <v>0</v>
      </c>
      <c r="G25" s="110">
        <v>0</v>
      </c>
      <c r="H25" s="99"/>
      <c r="I25" s="99"/>
    </row>
    <row r="26" spans="1:9" s="100" customFormat="1" ht="42">
      <c r="A26" s="101" t="s">
        <v>631</v>
      </c>
      <c r="B26" s="102" t="s">
        <v>632</v>
      </c>
      <c r="C26" s="103"/>
      <c r="D26" s="104">
        <f>D27+D28+D29</f>
        <v>110775420803</v>
      </c>
      <c r="E26" s="104">
        <f>E27+E28+E29</f>
        <v>593948317281</v>
      </c>
      <c r="F26" s="104">
        <f>F27+F28+F29</f>
        <v>35177182119</v>
      </c>
      <c r="G26" s="105">
        <f>G27+G28+G29</f>
        <v>898223454690</v>
      </c>
      <c r="H26" s="99"/>
      <c r="I26" s="99"/>
    </row>
    <row r="27" spans="1:9" s="100" customFormat="1" ht="31.5">
      <c r="A27" s="106" t="s">
        <v>633</v>
      </c>
      <c r="B27" s="107" t="s">
        <v>634</v>
      </c>
      <c r="C27" s="108"/>
      <c r="D27" s="109">
        <v>22095724778</v>
      </c>
      <c r="E27" s="109">
        <v>214939749139</v>
      </c>
      <c r="F27" s="109">
        <v>18090291843</v>
      </c>
      <c r="G27" s="110">
        <v>296541804723</v>
      </c>
      <c r="H27" s="99"/>
      <c r="I27" s="99"/>
    </row>
    <row r="28" spans="1:9" s="100" customFormat="1" ht="42">
      <c r="A28" s="106" t="s">
        <v>635</v>
      </c>
      <c r="B28" s="107" t="s">
        <v>636</v>
      </c>
      <c r="C28" s="108"/>
      <c r="D28" s="109">
        <v>88679696025</v>
      </c>
      <c r="E28" s="109">
        <v>375561248542</v>
      </c>
      <c r="F28" s="109">
        <v>-276999724</v>
      </c>
      <c r="G28" s="110">
        <v>594215398422</v>
      </c>
      <c r="H28" s="99"/>
      <c r="I28" s="99"/>
    </row>
    <row r="29" spans="1:9" s="100" customFormat="1" ht="52.5">
      <c r="A29" s="106" t="s">
        <v>637</v>
      </c>
      <c r="B29" s="107" t="s">
        <v>638</v>
      </c>
      <c r="C29" s="108"/>
      <c r="D29" s="109">
        <v>0</v>
      </c>
      <c r="E29" s="109">
        <v>3447319600</v>
      </c>
      <c r="F29" s="109">
        <v>17363890000</v>
      </c>
      <c r="G29" s="110">
        <v>7466251545</v>
      </c>
      <c r="H29" s="99"/>
      <c r="I29" s="99"/>
    </row>
    <row r="30" spans="1:9" s="100" customFormat="1" ht="42">
      <c r="A30" s="101" t="s">
        <v>639</v>
      </c>
      <c r="B30" s="102" t="s">
        <v>640</v>
      </c>
      <c r="C30" s="103"/>
      <c r="D30" s="104">
        <v>710420577923</v>
      </c>
      <c r="E30" s="104">
        <v>2008779303245</v>
      </c>
      <c r="F30" s="104">
        <v>67105979631</v>
      </c>
      <c r="G30" s="105">
        <v>-4457346830052</v>
      </c>
      <c r="H30" s="99"/>
      <c r="I30" s="99"/>
    </row>
    <row r="31" spans="1:9" s="100" customFormat="1" ht="21">
      <c r="A31" s="101" t="s">
        <v>641</v>
      </c>
      <c r="B31" s="102" t="s">
        <v>642</v>
      </c>
      <c r="C31" s="103"/>
      <c r="D31" s="104">
        <v>0</v>
      </c>
      <c r="E31" s="104">
        <v>0</v>
      </c>
      <c r="F31" s="104">
        <v>0</v>
      </c>
      <c r="G31" s="105">
        <v>0</v>
      </c>
      <c r="H31" s="99"/>
      <c r="I31" s="99"/>
    </row>
    <row r="32" spans="1:9" s="100" customFormat="1" ht="42">
      <c r="A32" s="101" t="s">
        <v>643</v>
      </c>
      <c r="B32" s="102" t="s">
        <v>644</v>
      </c>
      <c r="C32" s="103"/>
      <c r="D32" s="104">
        <v>0</v>
      </c>
      <c r="E32" s="104">
        <v>0</v>
      </c>
      <c r="F32" s="104">
        <v>0</v>
      </c>
      <c r="G32" s="105">
        <v>0</v>
      </c>
      <c r="H32" s="99"/>
      <c r="I32" s="99"/>
    </row>
    <row r="33" spans="1:9" s="100" customFormat="1" ht="21">
      <c r="A33" s="101" t="s">
        <v>645</v>
      </c>
      <c r="B33" s="102" t="s">
        <v>646</v>
      </c>
      <c r="C33" s="103"/>
      <c r="D33" s="104">
        <v>0</v>
      </c>
      <c r="E33" s="104">
        <v>0</v>
      </c>
      <c r="F33" s="104">
        <v>0</v>
      </c>
      <c r="G33" s="105">
        <v>0</v>
      </c>
      <c r="H33" s="99"/>
      <c r="I33" s="99"/>
    </row>
    <row r="34" spans="1:9" s="100" customFormat="1" ht="63">
      <c r="A34" s="101" t="s">
        <v>647</v>
      </c>
      <c r="B34" s="102" t="s">
        <v>648</v>
      </c>
      <c r="C34" s="103"/>
      <c r="D34" s="104">
        <v>0</v>
      </c>
      <c r="E34" s="104">
        <v>0</v>
      </c>
      <c r="F34" s="104">
        <v>0</v>
      </c>
      <c r="G34" s="105">
        <v>0</v>
      </c>
      <c r="H34" s="99"/>
      <c r="I34" s="99"/>
    </row>
    <row r="35" spans="1:9" s="100" customFormat="1" ht="21">
      <c r="A35" s="94" t="s">
        <v>649</v>
      </c>
      <c r="B35" s="95" t="s">
        <v>319</v>
      </c>
      <c r="C35" s="96"/>
      <c r="D35" s="97">
        <v>1227912907</v>
      </c>
      <c r="E35" s="97">
        <v>14620374419</v>
      </c>
      <c r="F35" s="97">
        <f>F36+F39+F40+F41+F42</f>
        <v>498815437</v>
      </c>
      <c r="G35" s="98">
        <f>G36+G39+G40+G41+G42</f>
        <v>8391814240</v>
      </c>
      <c r="H35" s="99"/>
      <c r="I35" s="99"/>
    </row>
    <row r="36" spans="1:9" s="100" customFormat="1" ht="42">
      <c r="A36" s="101" t="s">
        <v>650</v>
      </c>
      <c r="B36" s="102" t="s">
        <v>415</v>
      </c>
      <c r="C36" s="103"/>
      <c r="D36" s="104">
        <v>1227912907</v>
      </c>
      <c r="E36" s="104">
        <v>14620374419</v>
      </c>
      <c r="F36" s="104">
        <f>F37+F38</f>
        <v>498815437</v>
      </c>
      <c r="G36" s="105">
        <f>G37+G38</f>
        <v>8391814240</v>
      </c>
      <c r="H36" s="99"/>
      <c r="I36" s="99"/>
    </row>
    <row r="37" spans="1:9" s="100" customFormat="1" ht="21">
      <c r="A37" s="106" t="s">
        <v>651</v>
      </c>
      <c r="B37" s="107" t="s">
        <v>652</v>
      </c>
      <c r="C37" s="108"/>
      <c r="D37" s="109">
        <v>1223504192</v>
      </c>
      <c r="E37" s="109">
        <v>14584539661</v>
      </c>
      <c r="F37" s="109">
        <v>498815437</v>
      </c>
      <c r="G37" s="110">
        <v>8391814240</v>
      </c>
      <c r="H37" s="99"/>
      <c r="I37" s="99"/>
    </row>
    <row r="38" spans="1:9" s="100" customFormat="1" ht="21">
      <c r="A38" s="106" t="s">
        <v>653</v>
      </c>
      <c r="B38" s="107" t="s">
        <v>654</v>
      </c>
      <c r="C38" s="108"/>
      <c r="D38" s="109">
        <v>4408715</v>
      </c>
      <c r="E38" s="109">
        <v>35834758</v>
      </c>
      <c r="F38" s="109">
        <v>0</v>
      </c>
      <c r="G38" s="110">
        <v>0</v>
      </c>
      <c r="H38" s="99"/>
      <c r="I38" s="99"/>
    </row>
    <row r="39" spans="1:9" s="100" customFormat="1" ht="31.5">
      <c r="A39" s="101" t="s">
        <v>655</v>
      </c>
      <c r="B39" s="102" t="s">
        <v>418</v>
      </c>
      <c r="C39" s="103"/>
      <c r="D39" s="104">
        <v>0</v>
      </c>
      <c r="E39" s="104">
        <v>0</v>
      </c>
      <c r="F39" s="104">
        <v>0</v>
      </c>
      <c r="G39" s="105">
        <v>0</v>
      </c>
      <c r="H39" s="99"/>
      <c r="I39" s="99"/>
    </row>
    <row r="40" spans="1:9" s="100" customFormat="1" ht="21">
      <c r="A40" s="101" t="s">
        <v>656</v>
      </c>
      <c r="B40" s="102" t="s">
        <v>421</v>
      </c>
      <c r="C40" s="103"/>
      <c r="D40" s="104">
        <v>0</v>
      </c>
      <c r="E40" s="104">
        <v>0</v>
      </c>
      <c r="F40" s="104">
        <v>0</v>
      </c>
      <c r="G40" s="105">
        <v>0</v>
      </c>
      <c r="H40" s="99"/>
      <c r="I40" s="99"/>
    </row>
    <row r="41" spans="1:9" s="100" customFormat="1" ht="63">
      <c r="A41" s="101" t="s">
        <v>657</v>
      </c>
      <c r="B41" s="102" t="s">
        <v>424</v>
      </c>
      <c r="C41" s="103"/>
      <c r="D41" s="104">
        <v>0</v>
      </c>
      <c r="E41" s="104">
        <v>0</v>
      </c>
      <c r="F41" s="104">
        <v>0</v>
      </c>
      <c r="G41" s="105">
        <v>0</v>
      </c>
      <c r="H41" s="99"/>
      <c r="I41" s="99"/>
    </row>
    <row r="42" spans="1:9" s="100" customFormat="1" ht="21">
      <c r="A42" s="101" t="s">
        <v>658</v>
      </c>
      <c r="B42" s="102" t="s">
        <v>427</v>
      </c>
      <c r="C42" s="103"/>
      <c r="D42" s="104">
        <v>0</v>
      </c>
      <c r="E42" s="104">
        <v>0</v>
      </c>
      <c r="F42" s="104">
        <v>0</v>
      </c>
      <c r="G42" s="105">
        <v>0</v>
      </c>
      <c r="H42" s="99"/>
      <c r="I42" s="99"/>
    </row>
    <row r="43" spans="1:9" s="100" customFormat="1" ht="21">
      <c r="A43" s="94" t="s">
        <v>659</v>
      </c>
      <c r="B43" s="95" t="s">
        <v>660</v>
      </c>
      <c r="C43" s="96"/>
      <c r="D43" s="97">
        <v>15418420402</v>
      </c>
      <c r="E43" s="97">
        <v>195702961665</v>
      </c>
      <c r="F43" s="97">
        <f>F44+F45+F50+F51+F52+F53+F57+F58+F59+F60</f>
        <v>16059311609</v>
      </c>
      <c r="G43" s="98">
        <f>G44+G45+G50+G51+G52+G53+G57+G58+G59+G60</f>
        <v>166391004558</v>
      </c>
      <c r="H43" s="99"/>
      <c r="I43" s="99"/>
    </row>
    <row r="44" spans="1:9" s="100" customFormat="1" ht="21">
      <c r="A44" s="101" t="s">
        <v>661</v>
      </c>
      <c r="B44" s="102" t="s">
        <v>662</v>
      </c>
      <c r="C44" s="103"/>
      <c r="D44" s="104">
        <v>11808763923</v>
      </c>
      <c r="E44" s="104">
        <v>150577829773</v>
      </c>
      <c r="F44" s="104">
        <v>12317376977</v>
      </c>
      <c r="G44" s="105">
        <v>128024481216</v>
      </c>
      <c r="H44" s="99"/>
      <c r="I44" s="99"/>
    </row>
    <row r="45" spans="1:9" s="100" customFormat="1" ht="21">
      <c r="A45" s="101" t="s">
        <v>663</v>
      </c>
      <c r="B45" s="102" t="s">
        <v>664</v>
      </c>
      <c r="C45" s="103"/>
      <c r="D45" s="104">
        <v>447978885</v>
      </c>
      <c r="E45" s="104">
        <v>5593170768</v>
      </c>
      <c r="F45" s="104">
        <f>F46+F47+F48+F49</f>
        <v>438482524</v>
      </c>
      <c r="G45" s="105">
        <f>G46+G47+G48+G49</f>
        <v>4316632864</v>
      </c>
      <c r="H45" s="99"/>
      <c r="I45" s="99"/>
    </row>
    <row r="46" spans="1:9" s="100" customFormat="1" ht="21">
      <c r="A46" s="106" t="s">
        <v>665</v>
      </c>
      <c r="B46" s="107" t="s">
        <v>666</v>
      </c>
      <c r="C46" s="108"/>
      <c r="D46" s="109">
        <v>295219100</v>
      </c>
      <c r="E46" s="109">
        <v>3764445747</v>
      </c>
      <c r="F46" s="109">
        <v>307934425</v>
      </c>
      <c r="G46" s="110">
        <v>3200612035</v>
      </c>
      <c r="H46" s="99"/>
      <c r="I46" s="99"/>
    </row>
    <row r="47" spans="1:9" s="100" customFormat="1" ht="31.5">
      <c r="A47" s="106" t="s">
        <v>667</v>
      </c>
      <c r="B47" s="107" t="s">
        <v>668</v>
      </c>
      <c r="C47" s="108"/>
      <c r="D47" s="109">
        <v>10400000</v>
      </c>
      <c r="E47" s="109">
        <v>60400000</v>
      </c>
      <c r="F47" s="109">
        <v>4300000</v>
      </c>
      <c r="G47" s="110">
        <v>42000000</v>
      </c>
      <c r="H47" s="99"/>
      <c r="I47" s="99"/>
    </row>
    <row r="48" spans="1:9" s="100" customFormat="1" ht="21">
      <c r="A48" s="106" t="s">
        <v>669</v>
      </c>
      <c r="B48" s="107" t="s">
        <v>670</v>
      </c>
      <c r="C48" s="108"/>
      <c r="D48" s="109">
        <v>142359785</v>
      </c>
      <c r="E48" s="109">
        <v>1768325021</v>
      </c>
      <c r="F48" s="109">
        <v>126248099</v>
      </c>
      <c r="G48" s="110">
        <v>1074020829</v>
      </c>
      <c r="H48" s="99"/>
      <c r="I48" s="99"/>
    </row>
    <row r="49" spans="1:9" s="100" customFormat="1" ht="63">
      <c r="A49" s="106" t="s">
        <v>671</v>
      </c>
      <c r="B49" s="107" t="s">
        <v>672</v>
      </c>
      <c r="C49" s="108"/>
      <c r="D49" s="109">
        <v>0</v>
      </c>
      <c r="E49" s="109">
        <v>0</v>
      </c>
      <c r="F49" s="109">
        <v>0</v>
      </c>
      <c r="G49" s="110">
        <v>0</v>
      </c>
      <c r="H49" s="99"/>
      <c r="I49" s="99"/>
    </row>
    <row r="50" spans="1:9" s="100" customFormat="1" ht="21">
      <c r="A50" s="101" t="s">
        <v>673</v>
      </c>
      <c r="B50" s="102" t="s">
        <v>674</v>
      </c>
      <c r="C50" s="103"/>
      <c r="D50" s="104">
        <v>649482016</v>
      </c>
      <c r="E50" s="104">
        <v>8281780632</v>
      </c>
      <c r="F50" s="104">
        <v>677455735</v>
      </c>
      <c r="G50" s="105">
        <v>7041346461</v>
      </c>
      <c r="H50" s="99"/>
      <c r="I50" s="99"/>
    </row>
    <row r="51" spans="1:9" s="100" customFormat="1" ht="21">
      <c r="A51" s="101" t="s">
        <v>675</v>
      </c>
      <c r="B51" s="102" t="s">
        <v>676</v>
      </c>
      <c r="C51" s="103"/>
      <c r="D51" s="104">
        <v>324741010</v>
      </c>
      <c r="E51" s="104">
        <v>4140890323</v>
      </c>
      <c r="F51" s="104">
        <v>338727868</v>
      </c>
      <c r="G51" s="105">
        <v>3520673237</v>
      </c>
      <c r="H51" s="99"/>
      <c r="I51" s="99"/>
    </row>
    <row r="52" spans="1:9" s="100" customFormat="1" ht="21">
      <c r="A52" s="101" t="s">
        <v>677</v>
      </c>
      <c r="B52" s="102" t="s">
        <v>678</v>
      </c>
      <c r="C52" s="103"/>
      <c r="D52" s="104">
        <v>5500000</v>
      </c>
      <c r="E52" s="104">
        <v>66000000</v>
      </c>
      <c r="F52" s="104">
        <v>5500000</v>
      </c>
      <c r="G52" s="105">
        <v>66000000</v>
      </c>
      <c r="H52" s="99"/>
      <c r="I52" s="99"/>
    </row>
    <row r="53" spans="1:9" s="100" customFormat="1" ht="31.5">
      <c r="A53" s="101" t="s">
        <v>679</v>
      </c>
      <c r="B53" s="102" t="s">
        <v>680</v>
      </c>
      <c r="C53" s="103"/>
      <c r="D53" s="104">
        <f>D54+D55+D56</f>
        <v>2140338461</v>
      </c>
      <c r="E53" s="104">
        <f>E54+E55+E56</f>
        <v>26376164716</v>
      </c>
      <c r="F53" s="104">
        <f>F54+F55+F56</f>
        <v>2232524578</v>
      </c>
      <c r="G53" s="105">
        <f>G54+G55+G56</f>
        <v>22798342619</v>
      </c>
      <c r="H53" s="99"/>
      <c r="I53" s="99"/>
    </row>
    <row r="54" spans="1:9" s="100" customFormat="1" ht="42">
      <c r="A54" s="106" t="s">
        <v>681</v>
      </c>
      <c r="B54" s="107" t="s">
        <v>682</v>
      </c>
      <c r="C54" s="108"/>
      <c r="D54" s="109">
        <v>738047744</v>
      </c>
      <c r="E54" s="109">
        <v>9411114358</v>
      </c>
      <c r="F54" s="109">
        <v>769836061</v>
      </c>
      <c r="G54" s="110">
        <v>8001530073</v>
      </c>
      <c r="H54" s="99"/>
      <c r="I54" s="99"/>
    </row>
    <row r="55" spans="1:9" s="100" customFormat="1" ht="42">
      <c r="A55" s="106" t="s">
        <v>683</v>
      </c>
      <c r="B55" s="107" t="s">
        <v>684</v>
      </c>
      <c r="C55" s="108"/>
      <c r="D55" s="109">
        <v>590438196</v>
      </c>
      <c r="E55" s="109">
        <v>7528891482</v>
      </c>
      <c r="F55" s="109">
        <v>615868850</v>
      </c>
      <c r="G55" s="110">
        <v>6401224055</v>
      </c>
      <c r="H55" s="99"/>
      <c r="I55" s="99"/>
    </row>
    <row r="56" spans="1:9" s="100" customFormat="1" ht="21">
      <c r="A56" s="106" t="s">
        <v>685</v>
      </c>
      <c r="B56" s="107" t="s">
        <v>686</v>
      </c>
      <c r="C56" s="108"/>
      <c r="D56" s="109">
        <v>811852521</v>
      </c>
      <c r="E56" s="109">
        <v>9436158876</v>
      </c>
      <c r="F56" s="109">
        <v>846819667</v>
      </c>
      <c r="G56" s="110">
        <v>8395588491</v>
      </c>
      <c r="H56" s="99"/>
      <c r="I56" s="99"/>
    </row>
    <row r="57" spans="1:9" s="100" customFormat="1" ht="31.5">
      <c r="A57" s="101" t="s">
        <v>687</v>
      </c>
      <c r="B57" s="102" t="s">
        <v>688</v>
      </c>
      <c r="C57" s="103"/>
      <c r="D57" s="104">
        <v>0</v>
      </c>
      <c r="E57" s="104">
        <v>42258500</v>
      </c>
      <c r="F57" s="104">
        <v>0</v>
      </c>
      <c r="G57" s="105">
        <v>26000000</v>
      </c>
      <c r="H57" s="99"/>
      <c r="I57" s="99"/>
    </row>
    <row r="58" spans="1:9" s="100" customFormat="1" ht="21">
      <c r="A58" s="101" t="s">
        <v>689</v>
      </c>
      <c r="B58" s="102" t="s">
        <v>690</v>
      </c>
      <c r="C58" s="103"/>
      <c r="D58" s="104">
        <v>26829300</v>
      </c>
      <c r="E58" s="104">
        <v>306540960</v>
      </c>
      <c r="F58" s="104">
        <v>30236004</v>
      </c>
      <c r="G58" s="105">
        <v>272800000</v>
      </c>
      <c r="H58" s="99"/>
      <c r="I58" s="99"/>
    </row>
    <row r="59" spans="1:9" s="100" customFormat="1" ht="21">
      <c r="A59" s="101" t="s">
        <v>691</v>
      </c>
      <c r="B59" s="102" t="s">
        <v>692</v>
      </c>
      <c r="C59" s="103"/>
      <c r="D59" s="104">
        <v>0</v>
      </c>
      <c r="E59" s="104">
        <v>0</v>
      </c>
      <c r="F59" s="104">
        <v>0</v>
      </c>
      <c r="G59" s="105">
        <v>0</v>
      </c>
      <c r="H59" s="99"/>
      <c r="I59" s="99"/>
    </row>
    <row r="60" spans="1:9" s="100" customFormat="1" ht="21">
      <c r="A60" s="101" t="s">
        <v>693</v>
      </c>
      <c r="B60" s="102" t="s">
        <v>694</v>
      </c>
      <c r="C60" s="103"/>
      <c r="D60" s="104">
        <f>D61+D62+D63+D64+D65+D66+D67+D68+D69+D70+D71+D72+D73+D74</f>
        <v>14786807</v>
      </c>
      <c r="E60" s="104">
        <f>E61+E62+E63+E64+E65+E66+E67+E68+E69+E70+E71+E72+E73+E74</f>
        <v>318325993</v>
      </c>
      <c r="F60" s="104">
        <f>F61+F62+F63+F64+F65+F66+F67+F68+F69+F70+F71+F72+F73+F74</f>
        <v>19007923</v>
      </c>
      <c r="G60" s="105">
        <f>G61+G62+G63+G64+G65+G66+G67+G68+G69+G70+G71+G72+G73+G74</f>
        <v>324728161</v>
      </c>
      <c r="H60" s="99"/>
      <c r="I60" s="99"/>
    </row>
    <row r="61" spans="1:9" s="100" customFormat="1" ht="31.5">
      <c r="A61" s="106" t="s">
        <v>695</v>
      </c>
      <c r="B61" s="107" t="s">
        <v>696</v>
      </c>
      <c r="C61" s="108"/>
      <c r="D61" s="109">
        <v>9764466</v>
      </c>
      <c r="E61" s="109">
        <v>117000000</v>
      </c>
      <c r="F61" s="109">
        <v>9637873</v>
      </c>
      <c r="G61" s="110">
        <v>116000000</v>
      </c>
      <c r="H61" s="99"/>
      <c r="I61" s="99"/>
    </row>
    <row r="62" spans="1:9" s="100" customFormat="1" ht="31.5">
      <c r="A62" s="106" t="s">
        <v>697</v>
      </c>
      <c r="B62" s="107" t="s">
        <v>698</v>
      </c>
      <c r="C62" s="108"/>
      <c r="D62" s="109">
        <v>0</v>
      </c>
      <c r="E62" s="109">
        <v>0</v>
      </c>
      <c r="F62" s="109">
        <v>0</v>
      </c>
      <c r="G62" s="110">
        <v>0</v>
      </c>
      <c r="H62" s="99"/>
      <c r="I62" s="99"/>
    </row>
    <row r="63" spans="1:9" s="100" customFormat="1" ht="21">
      <c r="A63" s="106" t="s">
        <v>699</v>
      </c>
      <c r="B63" s="107" t="s">
        <v>700</v>
      </c>
      <c r="C63" s="108"/>
      <c r="D63" s="109">
        <v>0</v>
      </c>
      <c r="E63" s="109">
        <v>0</v>
      </c>
      <c r="F63" s="109">
        <v>0</v>
      </c>
      <c r="G63" s="110">
        <v>0</v>
      </c>
      <c r="H63" s="99"/>
      <c r="I63" s="99"/>
    </row>
    <row r="64" spans="1:9" s="100" customFormat="1" ht="21">
      <c r="A64" s="106" t="s">
        <v>701</v>
      </c>
      <c r="B64" s="107" t="s">
        <v>702</v>
      </c>
      <c r="C64" s="108"/>
      <c r="D64" s="109">
        <v>0</v>
      </c>
      <c r="E64" s="109">
        <v>0</v>
      </c>
      <c r="F64" s="109">
        <v>0</v>
      </c>
      <c r="G64" s="110">
        <v>0</v>
      </c>
      <c r="H64" s="99"/>
      <c r="I64" s="99"/>
    </row>
    <row r="65" spans="1:9" s="100" customFormat="1" ht="21">
      <c r="A65" s="106" t="s">
        <v>703</v>
      </c>
      <c r="B65" s="107" t="s">
        <v>704</v>
      </c>
      <c r="C65" s="108"/>
      <c r="D65" s="109">
        <v>0</v>
      </c>
      <c r="E65" s="109">
        <v>0</v>
      </c>
      <c r="F65" s="109">
        <v>0</v>
      </c>
      <c r="G65" s="110">
        <v>0</v>
      </c>
      <c r="H65" s="99"/>
      <c r="I65" s="99"/>
    </row>
    <row r="66" spans="1:9" s="100" customFormat="1" ht="21">
      <c r="A66" s="106" t="s">
        <v>705</v>
      </c>
      <c r="B66" s="107" t="s">
        <v>706</v>
      </c>
      <c r="C66" s="108"/>
      <c r="D66" s="109">
        <v>0</v>
      </c>
      <c r="E66" s="109">
        <v>0</v>
      </c>
      <c r="F66" s="109">
        <v>0</v>
      </c>
      <c r="G66" s="110">
        <v>0</v>
      </c>
      <c r="H66" s="99"/>
      <c r="I66" s="99"/>
    </row>
    <row r="67" spans="1:9" s="100" customFormat="1" ht="21">
      <c r="A67" s="106" t="s">
        <v>707</v>
      </c>
      <c r="B67" s="107" t="s">
        <v>708</v>
      </c>
      <c r="C67" s="108"/>
      <c r="D67" s="109">
        <v>0</v>
      </c>
      <c r="E67" s="109">
        <v>17125995</v>
      </c>
      <c r="F67" s="109">
        <v>0</v>
      </c>
      <c r="G67" s="110">
        <v>0</v>
      </c>
      <c r="H67" s="99"/>
      <c r="I67" s="99"/>
    </row>
    <row r="68" spans="1:9" s="100" customFormat="1" ht="21">
      <c r="A68" s="106" t="s">
        <v>709</v>
      </c>
      <c r="B68" s="107" t="s">
        <v>710</v>
      </c>
      <c r="C68" s="108"/>
      <c r="D68" s="109">
        <v>522341</v>
      </c>
      <c r="E68" s="109">
        <v>10668782</v>
      </c>
      <c r="F68" s="109">
        <v>1370050</v>
      </c>
      <c r="G68" s="110">
        <v>38984171</v>
      </c>
      <c r="H68" s="99"/>
      <c r="I68" s="99"/>
    </row>
    <row r="69" spans="1:9" s="100" customFormat="1" ht="31.5">
      <c r="A69" s="106" t="s">
        <v>711</v>
      </c>
      <c r="B69" s="107" t="s">
        <v>712</v>
      </c>
      <c r="C69" s="108"/>
      <c r="D69" s="109">
        <v>0</v>
      </c>
      <c r="E69" s="109">
        <v>0</v>
      </c>
      <c r="F69" s="109">
        <v>0</v>
      </c>
      <c r="G69" s="110">
        <v>0</v>
      </c>
      <c r="H69" s="99"/>
      <c r="I69" s="99"/>
    </row>
    <row r="70" spans="1:9" s="100" customFormat="1" ht="21">
      <c r="A70" s="106" t="s">
        <v>713</v>
      </c>
      <c r="B70" s="107" t="s">
        <v>714</v>
      </c>
      <c r="C70" s="108"/>
      <c r="D70" s="109">
        <v>0</v>
      </c>
      <c r="E70" s="109">
        <v>45531216</v>
      </c>
      <c r="F70" s="109">
        <v>0</v>
      </c>
      <c r="G70" s="110">
        <v>34743990</v>
      </c>
      <c r="H70" s="99"/>
      <c r="I70" s="99"/>
    </row>
    <row r="71" spans="1:9" s="100" customFormat="1" ht="31.5">
      <c r="A71" s="106" t="s">
        <v>715</v>
      </c>
      <c r="B71" s="107" t="s">
        <v>716</v>
      </c>
      <c r="C71" s="108"/>
      <c r="D71" s="109">
        <v>0</v>
      </c>
      <c r="E71" s="109">
        <v>14000000</v>
      </c>
      <c r="F71" s="109">
        <v>0</v>
      </c>
      <c r="G71" s="110">
        <v>10500000</v>
      </c>
      <c r="H71" s="99"/>
      <c r="I71" s="99"/>
    </row>
    <row r="72" spans="1:9" s="100" customFormat="1" ht="21">
      <c r="A72" s="106" t="s">
        <v>717</v>
      </c>
      <c r="B72" s="107" t="s">
        <v>718</v>
      </c>
      <c r="C72" s="108"/>
      <c r="D72" s="109">
        <v>4500000</v>
      </c>
      <c r="E72" s="109">
        <v>84000000</v>
      </c>
      <c r="F72" s="109">
        <v>8000000</v>
      </c>
      <c r="G72" s="110">
        <v>94500000</v>
      </c>
      <c r="H72" s="99"/>
      <c r="I72" s="99"/>
    </row>
    <row r="73" spans="1:9" s="100" customFormat="1" ht="21">
      <c r="A73" s="106" t="s">
        <v>719</v>
      </c>
      <c r="B73" s="107" t="s">
        <v>720</v>
      </c>
      <c r="C73" s="108"/>
      <c r="D73" s="109">
        <v>0</v>
      </c>
      <c r="E73" s="109">
        <v>30000000</v>
      </c>
      <c r="F73" s="109">
        <v>0</v>
      </c>
      <c r="G73" s="110">
        <v>30000000</v>
      </c>
      <c r="H73" s="99"/>
      <c r="I73" s="99"/>
    </row>
    <row r="74" spans="1:9" s="100" customFormat="1" ht="21">
      <c r="A74" s="106" t="s">
        <v>721</v>
      </c>
      <c r="B74" s="107" t="s">
        <v>722</v>
      </c>
      <c r="C74" s="108"/>
      <c r="D74" s="109">
        <v>0</v>
      </c>
      <c r="E74" s="109">
        <v>0</v>
      </c>
      <c r="F74" s="109">
        <v>0</v>
      </c>
      <c r="G74" s="110">
        <v>0</v>
      </c>
      <c r="H74" s="99"/>
      <c r="I74" s="99"/>
    </row>
    <row r="75" spans="1:9" s="100" customFormat="1" ht="31.5">
      <c r="A75" s="94" t="s">
        <v>723</v>
      </c>
      <c r="B75" s="95" t="s">
        <v>724</v>
      </c>
      <c r="C75" s="96"/>
      <c r="D75" s="97">
        <f>D19-D35-D43</f>
        <v>804586465397</v>
      </c>
      <c r="E75" s="97">
        <f>E19-E35-E43</f>
        <v>2840110036599</v>
      </c>
      <c r="F75" s="97">
        <f>F19-F35-F43</f>
        <v>87943191104</v>
      </c>
      <c r="G75" s="98">
        <f>G19-G35-G43</f>
        <v>-3579374312512</v>
      </c>
      <c r="H75" s="99"/>
      <c r="I75" s="99"/>
    </row>
    <row r="76" spans="1:9" s="100" customFormat="1" ht="31.5">
      <c r="A76" s="94" t="s">
        <v>725</v>
      </c>
      <c r="B76" s="95" t="s">
        <v>726</v>
      </c>
      <c r="C76" s="96"/>
      <c r="D76" s="97">
        <f>D77-D78</f>
        <v>0</v>
      </c>
      <c r="E76" s="97">
        <f>E77-E78</f>
        <v>0</v>
      </c>
      <c r="F76" s="97">
        <f>F77-F78</f>
        <v>0</v>
      </c>
      <c r="G76" s="98">
        <f>G77-G78</f>
        <v>0</v>
      </c>
      <c r="H76" s="99"/>
      <c r="I76" s="99"/>
    </row>
    <row r="77" spans="1:9" s="100" customFormat="1" ht="21">
      <c r="A77" s="101" t="s">
        <v>727</v>
      </c>
      <c r="B77" s="102" t="s">
        <v>728</v>
      </c>
      <c r="C77" s="103"/>
      <c r="D77" s="104">
        <v>0</v>
      </c>
      <c r="E77" s="104">
        <v>0</v>
      </c>
      <c r="F77" s="104">
        <v>0</v>
      </c>
      <c r="G77" s="105">
        <v>0</v>
      </c>
      <c r="H77" s="99"/>
      <c r="I77" s="99"/>
    </row>
    <row r="78" spans="1:9" s="100" customFormat="1" ht="21">
      <c r="A78" s="101" t="s">
        <v>729</v>
      </c>
      <c r="B78" s="102" t="s">
        <v>730</v>
      </c>
      <c r="C78" s="103"/>
      <c r="D78" s="104">
        <v>0</v>
      </c>
      <c r="E78" s="104">
        <v>0</v>
      </c>
      <c r="F78" s="104">
        <v>0</v>
      </c>
      <c r="G78" s="105">
        <v>0</v>
      </c>
      <c r="H78" s="99"/>
      <c r="I78" s="99"/>
    </row>
    <row r="79" spans="1:9" s="100" customFormat="1" ht="42">
      <c r="A79" s="94" t="s">
        <v>731</v>
      </c>
      <c r="B79" s="95" t="s">
        <v>732</v>
      </c>
      <c r="C79" s="96"/>
      <c r="D79" s="97">
        <f>D75+D76</f>
        <v>804586465397</v>
      </c>
      <c r="E79" s="97">
        <f>E75+E76</f>
        <v>2840110036599</v>
      </c>
      <c r="F79" s="97">
        <f>F75+F76</f>
        <v>87943191104</v>
      </c>
      <c r="G79" s="98">
        <f>G75+G76</f>
        <v>-3579374312512</v>
      </c>
      <c r="H79" s="99"/>
      <c r="I79" s="99"/>
    </row>
    <row r="80" spans="1:9" s="100" customFormat="1" ht="21">
      <c r="A80" s="101" t="s">
        <v>733</v>
      </c>
      <c r="B80" s="102" t="s">
        <v>734</v>
      </c>
      <c r="C80" s="103"/>
      <c r="D80" s="104">
        <v>94165887474</v>
      </c>
      <c r="E80" s="104">
        <v>831330733354</v>
      </c>
      <c r="F80" s="104">
        <v>20837211473</v>
      </c>
      <c r="G80" s="105">
        <v>877972517540</v>
      </c>
      <c r="H80" s="99"/>
      <c r="I80" s="99"/>
    </row>
    <row r="81" spans="1:9" s="100" customFormat="1" ht="21">
      <c r="A81" s="101" t="s">
        <v>735</v>
      </c>
      <c r="B81" s="102" t="s">
        <v>736</v>
      </c>
      <c r="C81" s="103"/>
      <c r="D81" s="104">
        <v>710420577923</v>
      </c>
      <c r="E81" s="104">
        <v>2008779303245</v>
      </c>
      <c r="F81" s="104">
        <v>67105979631</v>
      </c>
      <c r="G81" s="105">
        <v>-4457346830052</v>
      </c>
      <c r="H81" s="99"/>
      <c r="I81" s="99"/>
    </row>
    <row r="82" spans="1:9" s="100" customFormat="1" ht="21">
      <c r="A82" s="94" t="s">
        <v>737</v>
      </c>
      <c r="B82" s="95" t="s">
        <v>738</v>
      </c>
      <c r="C82" s="96"/>
      <c r="D82" s="97">
        <v>0</v>
      </c>
      <c r="E82" s="97">
        <v>0</v>
      </c>
      <c r="F82" s="97">
        <v>0</v>
      </c>
      <c r="G82" s="98">
        <v>0</v>
      </c>
      <c r="H82" s="99"/>
      <c r="I82" s="99"/>
    </row>
    <row r="83" spans="1:9" s="100" customFormat="1" ht="42">
      <c r="A83" s="111" t="s">
        <v>739</v>
      </c>
      <c r="B83" s="112" t="s">
        <v>740</v>
      </c>
      <c r="C83" s="113"/>
      <c r="D83" s="114">
        <f>D79</f>
        <v>804586465397</v>
      </c>
      <c r="E83" s="114">
        <f>E79</f>
        <v>2840110036599</v>
      </c>
      <c r="F83" s="114">
        <f>F79</f>
        <v>87943191104</v>
      </c>
      <c r="G83" s="115">
        <f>G79</f>
        <v>-3579374312512</v>
      </c>
      <c r="H83" s="99"/>
      <c r="I83" s="99"/>
    </row>
    <row r="84" spans="1:9" ht="10.5" customHeight="1">
      <c r="A84" s="82"/>
      <c r="B84" s="275"/>
      <c r="C84" s="275"/>
      <c r="D84" s="275"/>
      <c r="E84" s="275"/>
      <c r="F84" s="275"/>
      <c r="G84" s="275"/>
    </row>
    <row r="85" spans="1:9">
      <c r="A85" s="116" t="s">
        <v>602</v>
      </c>
      <c r="B85" s="274" t="s">
        <v>1054</v>
      </c>
      <c r="C85" s="274"/>
      <c r="D85" s="274"/>
      <c r="E85" s="274"/>
      <c r="F85" s="328" t="s">
        <v>227</v>
      </c>
      <c r="G85" s="328"/>
    </row>
    <row r="86" spans="1:9" ht="15" customHeight="1">
      <c r="A86" s="117" t="s">
        <v>603</v>
      </c>
      <c r="B86" s="325" t="s">
        <v>603</v>
      </c>
      <c r="C86" s="325"/>
      <c r="D86" s="325"/>
      <c r="E86" s="325"/>
      <c r="F86" s="326" t="s">
        <v>604</v>
      </c>
      <c r="G86" s="326"/>
    </row>
    <row r="87" spans="1:9" ht="103.5" customHeight="1">
      <c r="A87" s="82"/>
      <c r="B87" s="275"/>
      <c r="C87" s="275"/>
      <c r="D87" s="275"/>
      <c r="E87" s="275"/>
      <c r="F87" s="275"/>
      <c r="G87" s="275"/>
    </row>
    <row r="88" spans="1:9" ht="15.75" customHeight="1">
      <c r="A88" s="116" t="s">
        <v>605</v>
      </c>
      <c r="B88" s="271" t="s">
        <v>1055</v>
      </c>
      <c r="C88" s="271"/>
      <c r="D88" s="271"/>
      <c r="E88" s="271"/>
      <c r="F88" s="271" t="s">
        <v>228</v>
      </c>
      <c r="G88" s="271"/>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 right="0" top="0.5899999737739563" bottom="0.5899999737739563" header="0.5" footer="0.5"/>
  <pageSetup paperSize="9" scale="8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9"/>
  <sheetViews>
    <sheetView showGridLines="0" showZeros="0" showOutlineSymbols="0" view="pageBreakPreview" topLeftCell="A55" zoomScaleNormal="100" zoomScaleSheetLayoutView="100" workbookViewId="0">
      <selection activeCell="D132" sqref="D132"/>
    </sheetView>
  </sheetViews>
  <sheetFormatPr defaultColWidth="9.140625" defaultRowHeight="10.5"/>
  <cols>
    <col min="1" max="1" width="6" style="84" customWidth="1"/>
    <col min="2" max="2" width="41.28515625" style="84" customWidth="1"/>
    <col min="3" max="4" width="10.140625" style="84" customWidth="1"/>
    <col min="5" max="6" width="20.85546875" style="84" bestFit="1" customWidth="1"/>
    <col min="7" max="16384" width="9.140625" style="84"/>
  </cols>
  <sheetData>
    <row r="1" spans="1:6" ht="24.75" customHeight="1">
      <c r="A1" s="275"/>
      <c r="B1" s="275"/>
      <c r="C1" s="274" t="s">
        <v>741</v>
      </c>
      <c r="D1" s="274"/>
      <c r="E1" s="274"/>
      <c r="F1" s="274"/>
    </row>
    <row r="2" spans="1:6" ht="27" customHeight="1">
      <c r="A2" s="282" t="s">
        <v>573</v>
      </c>
      <c r="B2" s="282"/>
      <c r="C2" s="282"/>
      <c r="D2" s="282"/>
      <c r="E2" s="282"/>
      <c r="F2" s="282"/>
    </row>
    <row r="3" spans="1:6" ht="3.75" customHeight="1">
      <c r="A3" s="82"/>
      <c r="B3" s="82"/>
      <c r="C3" s="82"/>
      <c r="D3" s="82"/>
      <c r="E3" s="82"/>
      <c r="F3" s="82"/>
    </row>
    <row r="4" spans="1:6" ht="30.75" customHeight="1">
      <c r="A4" s="283" t="s">
        <v>742</v>
      </c>
      <c r="B4" s="283"/>
      <c r="C4" s="283"/>
      <c r="D4" s="283"/>
      <c r="E4" s="283"/>
      <c r="F4" s="283"/>
    </row>
    <row r="5" spans="1:6" ht="11.25" customHeight="1">
      <c r="A5" s="273" t="s">
        <v>743</v>
      </c>
      <c r="B5" s="273"/>
      <c r="C5" s="273"/>
      <c r="D5" s="273"/>
      <c r="E5" s="273"/>
      <c r="F5" s="273"/>
    </row>
    <row r="6" spans="1:6" ht="5.25" customHeight="1">
      <c r="A6" s="82"/>
      <c r="B6" s="82"/>
      <c r="C6" s="121"/>
      <c r="D6" s="82"/>
      <c r="E6" s="82"/>
      <c r="F6" s="82"/>
    </row>
    <row r="7" spans="1:6" ht="4.5" customHeight="1">
      <c r="A7" s="82"/>
      <c r="B7" s="82"/>
      <c r="C7" s="82"/>
      <c r="D7" s="82"/>
      <c r="E7" s="82"/>
      <c r="F7" s="82"/>
    </row>
    <row r="8" spans="1:6" ht="12.75" customHeight="1">
      <c r="A8" s="276" t="s">
        <v>10</v>
      </c>
      <c r="B8" s="276"/>
      <c r="C8" s="276" t="s">
        <v>11</v>
      </c>
      <c r="D8" s="276"/>
      <c r="E8" s="276"/>
      <c r="F8" s="276"/>
    </row>
    <row r="9" spans="1:6" ht="12.75" customHeight="1">
      <c r="A9" s="275" t="s">
        <v>12</v>
      </c>
      <c r="B9" s="275"/>
      <c r="C9" s="275" t="s">
        <v>13</v>
      </c>
      <c r="D9" s="275"/>
      <c r="E9" s="275"/>
      <c r="F9" s="275"/>
    </row>
    <row r="10" spans="1:6" ht="12.75" customHeight="1">
      <c r="A10" s="276" t="s">
        <v>383</v>
      </c>
      <c r="B10" s="276"/>
      <c r="C10" s="276" t="s">
        <v>16</v>
      </c>
      <c r="D10" s="276"/>
      <c r="E10" s="276"/>
      <c r="F10" s="276"/>
    </row>
    <row r="11" spans="1:6" ht="12.75" customHeight="1">
      <c r="A11" s="275" t="s">
        <v>17</v>
      </c>
      <c r="B11" s="275"/>
      <c r="C11" s="275" t="s">
        <v>18</v>
      </c>
      <c r="D11" s="275"/>
      <c r="E11" s="275"/>
      <c r="F11" s="275"/>
    </row>
    <row r="12" spans="1:6" ht="12.75" customHeight="1">
      <c r="A12" s="276" t="s">
        <v>5</v>
      </c>
      <c r="B12" s="276"/>
      <c r="C12" s="276" t="s">
        <v>6</v>
      </c>
      <c r="D12" s="276"/>
      <c r="E12" s="276"/>
      <c r="F12" s="276"/>
    </row>
    <row r="13" spans="1:6" ht="12.75" customHeight="1">
      <c r="A13" s="275" t="s">
        <v>7</v>
      </c>
      <c r="B13" s="275"/>
      <c r="C13" s="275" t="s">
        <v>8</v>
      </c>
      <c r="D13" s="275"/>
      <c r="E13" s="275"/>
      <c r="F13" s="275"/>
    </row>
    <row r="14" spans="1:6" ht="12.75" customHeight="1">
      <c r="A14" s="276" t="s">
        <v>20</v>
      </c>
      <c r="B14" s="276"/>
      <c r="C14" s="277">
        <v>45294</v>
      </c>
      <c r="D14" s="277"/>
      <c r="E14" s="277"/>
      <c r="F14" s="277"/>
    </row>
    <row r="15" spans="1:6" ht="12.75" customHeight="1">
      <c r="A15" s="275" t="s">
        <v>21</v>
      </c>
      <c r="B15" s="275"/>
      <c r="C15" s="278">
        <v>45294</v>
      </c>
      <c r="D15" s="278"/>
      <c r="E15" s="278"/>
      <c r="F15" s="278"/>
    </row>
    <row r="16" spans="1:6" ht="12.75" customHeight="1">
      <c r="A16" s="89"/>
      <c r="B16" s="89"/>
      <c r="C16" s="89"/>
      <c r="D16" s="89"/>
      <c r="E16" s="89"/>
      <c r="F16" s="122" t="s">
        <v>24</v>
      </c>
    </row>
    <row r="17" spans="1:8" ht="39.75" customHeight="1">
      <c r="A17" s="123" t="s">
        <v>386</v>
      </c>
      <c r="B17" s="124" t="s">
        <v>744</v>
      </c>
      <c r="C17" s="124" t="s">
        <v>611</v>
      </c>
      <c r="D17" s="124" t="s">
        <v>745</v>
      </c>
      <c r="E17" s="125" t="s">
        <v>746</v>
      </c>
      <c r="F17" s="126" t="s">
        <v>747</v>
      </c>
    </row>
    <row r="18" spans="1:8" ht="21">
      <c r="A18" s="127" t="s">
        <v>31</v>
      </c>
      <c r="B18" s="128" t="s">
        <v>748</v>
      </c>
      <c r="C18" s="129" t="s">
        <v>31</v>
      </c>
      <c r="D18" s="129"/>
      <c r="E18" s="130">
        <v>0</v>
      </c>
      <c r="F18" s="131">
        <v>0</v>
      </c>
    </row>
    <row r="19" spans="1:8" ht="21">
      <c r="A19" s="127" t="s">
        <v>4</v>
      </c>
      <c r="B19" s="128" t="s">
        <v>749</v>
      </c>
      <c r="C19" s="129" t="s">
        <v>750</v>
      </c>
      <c r="D19" s="129"/>
      <c r="E19" s="132">
        <f>E20+E25+E26</f>
        <v>22225901806</v>
      </c>
      <c r="F19" s="133">
        <f>F20+F25+F26</f>
        <v>133433949762</v>
      </c>
      <c r="H19" s="134"/>
    </row>
    <row r="20" spans="1:8" ht="21">
      <c r="A20" s="135" t="s">
        <v>751</v>
      </c>
      <c r="B20" s="136" t="s">
        <v>752</v>
      </c>
      <c r="C20" s="137" t="s">
        <v>753</v>
      </c>
      <c r="D20" s="137"/>
      <c r="E20" s="138">
        <f>E21+E22+E23+E24</f>
        <v>22225901806</v>
      </c>
      <c r="F20" s="139">
        <f>F21+F22+F23+F24</f>
        <v>133433949762</v>
      </c>
      <c r="H20" s="134"/>
    </row>
    <row r="21" spans="1:8" ht="24" customHeight="1">
      <c r="A21" s="140"/>
      <c r="B21" s="141" t="s">
        <v>754</v>
      </c>
      <c r="C21" s="142" t="s">
        <v>755</v>
      </c>
      <c r="D21" s="142"/>
      <c r="E21" s="143">
        <v>0</v>
      </c>
      <c r="F21" s="144">
        <v>0</v>
      </c>
      <c r="H21" s="134"/>
    </row>
    <row r="22" spans="1:8" ht="24" customHeight="1">
      <c r="A22" s="140"/>
      <c r="B22" s="141" t="s">
        <v>756</v>
      </c>
      <c r="C22" s="142" t="s">
        <v>757</v>
      </c>
      <c r="D22" s="142"/>
      <c r="E22" s="143">
        <v>0</v>
      </c>
      <c r="F22" s="144">
        <v>0</v>
      </c>
      <c r="H22" s="134"/>
    </row>
    <row r="23" spans="1:8" ht="21">
      <c r="A23" s="140"/>
      <c r="B23" s="141" t="s">
        <v>486</v>
      </c>
      <c r="C23" s="142" t="s">
        <v>758</v>
      </c>
      <c r="D23" s="142"/>
      <c r="E23" s="143">
        <v>22225901806</v>
      </c>
      <c r="F23" s="144">
        <v>133433949762</v>
      </c>
      <c r="H23" s="134"/>
    </row>
    <row r="24" spans="1:8" ht="31.5">
      <c r="A24" s="140"/>
      <c r="B24" s="141" t="s">
        <v>759</v>
      </c>
      <c r="C24" s="142" t="s">
        <v>760</v>
      </c>
      <c r="D24" s="142"/>
      <c r="E24" s="143">
        <v>0</v>
      </c>
      <c r="F24" s="144">
        <v>0</v>
      </c>
      <c r="H24" s="134"/>
    </row>
    <row r="25" spans="1:8" ht="21">
      <c r="A25" s="135" t="s">
        <v>761</v>
      </c>
      <c r="B25" s="136" t="s">
        <v>762</v>
      </c>
      <c r="C25" s="137" t="s">
        <v>763</v>
      </c>
      <c r="D25" s="137"/>
      <c r="E25" s="138">
        <v>0</v>
      </c>
      <c r="F25" s="139">
        <v>0</v>
      </c>
      <c r="H25" s="134"/>
    </row>
    <row r="26" spans="1:8" ht="21">
      <c r="A26" s="135" t="s">
        <v>764</v>
      </c>
      <c r="B26" s="136" t="s">
        <v>765</v>
      </c>
      <c r="C26" s="137" t="s">
        <v>766</v>
      </c>
      <c r="D26" s="137"/>
      <c r="E26" s="138">
        <v>0</v>
      </c>
      <c r="F26" s="139">
        <v>0</v>
      </c>
      <c r="H26" s="134"/>
    </row>
    <row r="27" spans="1:8" ht="21">
      <c r="A27" s="127" t="s">
        <v>9</v>
      </c>
      <c r="B27" s="128" t="s">
        <v>767</v>
      </c>
      <c r="C27" s="129" t="s">
        <v>768</v>
      </c>
      <c r="D27" s="129"/>
      <c r="E27" s="132">
        <f>E28-E38</f>
        <v>17263333319150</v>
      </c>
      <c r="F27" s="133">
        <f>F28-F38</f>
        <v>17505212385400</v>
      </c>
      <c r="H27" s="134"/>
    </row>
    <row r="28" spans="1:8" ht="21">
      <c r="A28" s="135" t="s">
        <v>769</v>
      </c>
      <c r="B28" s="136" t="s">
        <v>770</v>
      </c>
      <c r="C28" s="137" t="s">
        <v>771</v>
      </c>
      <c r="D28" s="137"/>
      <c r="E28" s="138">
        <f>E29+E30+E31+E32+E33+E34+E35+E36+E37</f>
        <v>17263333319150</v>
      </c>
      <c r="F28" s="139">
        <f>F29+F30+F31+F32+F33+F34+F35+F36+F37</f>
        <v>17505212385400</v>
      </c>
      <c r="H28" s="134"/>
    </row>
    <row r="29" spans="1:8" ht="21">
      <c r="A29" s="140"/>
      <c r="B29" s="141" t="s">
        <v>772</v>
      </c>
      <c r="C29" s="142" t="s">
        <v>773</v>
      </c>
      <c r="D29" s="142"/>
      <c r="E29" s="143">
        <v>17263333319150</v>
      </c>
      <c r="F29" s="144">
        <v>17505212385400</v>
      </c>
      <c r="H29" s="134"/>
    </row>
    <row r="30" spans="1:8" ht="21">
      <c r="A30" s="140"/>
      <c r="B30" s="141" t="s">
        <v>774</v>
      </c>
      <c r="C30" s="142" t="s">
        <v>775</v>
      </c>
      <c r="D30" s="142"/>
      <c r="E30" s="143">
        <v>0</v>
      </c>
      <c r="F30" s="144">
        <v>0</v>
      </c>
      <c r="H30" s="134"/>
    </row>
    <row r="31" spans="1:8" ht="21">
      <c r="A31" s="140"/>
      <c r="B31" s="141" t="s">
        <v>776</v>
      </c>
      <c r="C31" s="142" t="s">
        <v>777</v>
      </c>
      <c r="D31" s="142"/>
      <c r="E31" s="143">
        <v>0</v>
      </c>
      <c r="F31" s="144">
        <v>0</v>
      </c>
      <c r="H31" s="134"/>
    </row>
    <row r="32" spans="1:8" ht="21">
      <c r="A32" s="140"/>
      <c r="B32" s="141" t="s">
        <v>778</v>
      </c>
      <c r="C32" s="142" t="s">
        <v>779</v>
      </c>
      <c r="D32" s="142"/>
      <c r="E32" s="143">
        <v>0</v>
      </c>
      <c r="F32" s="144">
        <v>0</v>
      </c>
      <c r="H32" s="134"/>
    </row>
    <row r="33" spans="1:8" ht="21">
      <c r="A33" s="140"/>
      <c r="B33" s="141" t="s">
        <v>780</v>
      </c>
      <c r="C33" s="142" t="s">
        <v>781</v>
      </c>
      <c r="D33" s="142"/>
      <c r="E33" s="143">
        <v>0</v>
      </c>
      <c r="F33" s="144">
        <v>0</v>
      </c>
      <c r="H33" s="134"/>
    </row>
    <row r="34" spans="1:8" ht="21">
      <c r="A34" s="140"/>
      <c r="B34" s="141" t="s">
        <v>782</v>
      </c>
      <c r="C34" s="142" t="s">
        <v>783</v>
      </c>
      <c r="D34" s="142"/>
      <c r="E34" s="143">
        <v>0</v>
      </c>
      <c r="F34" s="144">
        <v>0</v>
      </c>
      <c r="H34" s="134"/>
    </row>
    <row r="35" spans="1:8" ht="21">
      <c r="A35" s="140"/>
      <c r="B35" s="141" t="s">
        <v>451</v>
      </c>
      <c r="C35" s="142" t="s">
        <v>784</v>
      </c>
      <c r="D35" s="142"/>
      <c r="E35" s="143">
        <v>0</v>
      </c>
      <c r="F35" s="144">
        <v>0</v>
      </c>
      <c r="H35" s="134"/>
    </row>
    <row r="36" spans="1:8" ht="21">
      <c r="A36" s="140"/>
      <c r="B36" s="141" t="s">
        <v>785</v>
      </c>
      <c r="C36" s="142" t="s">
        <v>786</v>
      </c>
      <c r="D36" s="142"/>
      <c r="E36" s="143">
        <v>0</v>
      </c>
      <c r="F36" s="144">
        <v>0</v>
      </c>
      <c r="H36" s="134"/>
    </row>
    <row r="37" spans="1:8" ht="21">
      <c r="A37" s="140"/>
      <c r="B37" s="141" t="s">
        <v>70</v>
      </c>
      <c r="C37" s="142" t="s">
        <v>787</v>
      </c>
      <c r="D37" s="142"/>
      <c r="E37" s="143">
        <v>0</v>
      </c>
      <c r="F37" s="144">
        <v>0</v>
      </c>
      <c r="H37" s="134"/>
    </row>
    <row r="38" spans="1:8" ht="21">
      <c r="A38" s="135" t="s">
        <v>788</v>
      </c>
      <c r="B38" s="136" t="s">
        <v>789</v>
      </c>
      <c r="C38" s="137" t="s">
        <v>790</v>
      </c>
      <c r="D38" s="137"/>
      <c r="E38" s="138">
        <v>0</v>
      </c>
      <c r="F38" s="139">
        <v>0</v>
      </c>
      <c r="H38" s="134"/>
    </row>
    <row r="39" spans="1:8" ht="21">
      <c r="A39" s="127" t="s">
        <v>14</v>
      </c>
      <c r="B39" s="128" t="s">
        <v>791</v>
      </c>
      <c r="C39" s="129" t="s">
        <v>792</v>
      </c>
      <c r="D39" s="129"/>
      <c r="E39" s="132">
        <f>E40+E42+E56-E65</f>
        <v>13874703230</v>
      </c>
      <c r="F39" s="133">
        <f>F40+F42+F56-F65</f>
        <v>0</v>
      </c>
      <c r="H39" s="134"/>
    </row>
    <row r="40" spans="1:8" ht="22.5" customHeight="1">
      <c r="A40" s="135" t="s">
        <v>793</v>
      </c>
      <c r="B40" s="136" t="s">
        <v>794</v>
      </c>
      <c r="C40" s="137" t="s">
        <v>795</v>
      </c>
      <c r="D40" s="137"/>
      <c r="E40" s="138">
        <v>13837903250</v>
      </c>
      <c r="F40" s="139">
        <v>0</v>
      </c>
      <c r="H40" s="134"/>
    </row>
    <row r="41" spans="1:8" ht="22.5" customHeight="1">
      <c r="A41" s="135"/>
      <c r="B41" s="136" t="s">
        <v>796</v>
      </c>
      <c r="C41" s="137" t="s">
        <v>797</v>
      </c>
      <c r="D41" s="137"/>
      <c r="E41" s="138">
        <v>0</v>
      </c>
      <c r="F41" s="139">
        <v>0</v>
      </c>
      <c r="H41" s="134"/>
    </row>
    <row r="42" spans="1:8" ht="22.5" customHeight="1">
      <c r="A42" s="135" t="s">
        <v>798</v>
      </c>
      <c r="B42" s="136" t="s">
        <v>799</v>
      </c>
      <c r="C42" s="137" t="s">
        <v>800</v>
      </c>
      <c r="D42" s="137"/>
      <c r="E42" s="138">
        <f>E43+E49+E50</f>
        <v>0</v>
      </c>
      <c r="F42" s="139">
        <f>F43+F49+F50</f>
        <v>0</v>
      </c>
      <c r="H42" s="134"/>
    </row>
    <row r="43" spans="1:8" ht="22.5" customHeight="1">
      <c r="A43" s="135" t="s">
        <v>801</v>
      </c>
      <c r="B43" s="136" t="s">
        <v>802</v>
      </c>
      <c r="C43" s="137" t="s">
        <v>803</v>
      </c>
      <c r="D43" s="137"/>
      <c r="E43" s="138">
        <f>E44+E45+E46+E47+E48</f>
        <v>0</v>
      </c>
      <c r="F43" s="139">
        <f>F44+F45+F46+F47+F48</f>
        <v>0</v>
      </c>
      <c r="H43" s="134"/>
    </row>
    <row r="44" spans="1:8" ht="21">
      <c r="A44" s="140"/>
      <c r="B44" s="141" t="s">
        <v>804</v>
      </c>
      <c r="C44" s="142" t="s">
        <v>805</v>
      </c>
      <c r="D44" s="142"/>
      <c r="E44" s="143">
        <v>0</v>
      </c>
      <c r="F44" s="144">
        <v>0</v>
      </c>
      <c r="H44" s="134"/>
    </row>
    <row r="45" spans="1:8" ht="21">
      <c r="A45" s="140"/>
      <c r="B45" s="141" t="s">
        <v>806</v>
      </c>
      <c r="C45" s="142" t="s">
        <v>807</v>
      </c>
      <c r="D45" s="142"/>
      <c r="E45" s="143">
        <v>0</v>
      </c>
      <c r="F45" s="144">
        <v>0</v>
      </c>
      <c r="H45" s="134"/>
    </row>
    <row r="46" spans="1:8" ht="31.5">
      <c r="A46" s="140"/>
      <c r="B46" s="141" t="s">
        <v>808</v>
      </c>
      <c r="C46" s="142" t="s">
        <v>809</v>
      </c>
      <c r="D46" s="142"/>
      <c r="E46" s="143">
        <v>0</v>
      </c>
      <c r="F46" s="144">
        <v>0</v>
      </c>
      <c r="H46" s="134"/>
    </row>
    <row r="47" spans="1:8" ht="31.5">
      <c r="A47" s="140"/>
      <c r="B47" s="141" t="s">
        <v>810</v>
      </c>
      <c r="C47" s="142" t="s">
        <v>811</v>
      </c>
      <c r="D47" s="142"/>
      <c r="E47" s="143">
        <v>0</v>
      </c>
      <c r="F47" s="144">
        <v>0</v>
      </c>
      <c r="H47" s="134"/>
    </row>
    <row r="48" spans="1:8" ht="21">
      <c r="A48" s="140"/>
      <c r="B48" s="141" t="s">
        <v>812</v>
      </c>
      <c r="C48" s="142" t="s">
        <v>813</v>
      </c>
      <c r="D48" s="142"/>
      <c r="E48" s="143">
        <v>0</v>
      </c>
      <c r="F48" s="144">
        <v>0</v>
      </c>
      <c r="H48" s="134"/>
    </row>
    <row r="49" spans="1:8" ht="42">
      <c r="A49" s="135"/>
      <c r="B49" s="136" t="s">
        <v>814</v>
      </c>
      <c r="C49" s="137" t="s">
        <v>815</v>
      </c>
      <c r="D49" s="137"/>
      <c r="E49" s="138">
        <v>0</v>
      </c>
      <c r="F49" s="139">
        <v>0</v>
      </c>
      <c r="H49" s="134"/>
    </row>
    <row r="50" spans="1:8" ht="24" customHeight="1">
      <c r="A50" s="135" t="s">
        <v>816</v>
      </c>
      <c r="B50" s="136" t="s">
        <v>817</v>
      </c>
      <c r="C50" s="137" t="s">
        <v>818</v>
      </c>
      <c r="D50" s="137"/>
      <c r="E50" s="138">
        <f>E51+E52+E53+E54+E55</f>
        <v>0</v>
      </c>
      <c r="F50" s="139">
        <f>F51+F52+F53+F54+F55</f>
        <v>0</v>
      </c>
      <c r="H50" s="134"/>
    </row>
    <row r="51" spans="1:8" ht="21">
      <c r="A51" s="140"/>
      <c r="B51" s="141" t="s">
        <v>819</v>
      </c>
      <c r="C51" s="142" t="s">
        <v>820</v>
      </c>
      <c r="D51" s="142"/>
      <c r="E51" s="143">
        <v>0</v>
      </c>
      <c r="F51" s="144">
        <v>0</v>
      </c>
      <c r="H51" s="134"/>
    </row>
    <row r="52" spans="1:8" ht="21">
      <c r="A52" s="140"/>
      <c r="B52" s="141" t="s">
        <v>821</v>
      </c>
      <c r="C52" s="142" t="s">
        <v>822</v>
      </c>
      <c r="D52" s="142"/>
      <c r="E52" s="143">
        <v>0</v>
      </c>
      <c r="F52" s="144">
        <v>0</v>
      </c>
      <c r="H52" s="134"/>
    </row>
    <row r="53" spans="1:8" ht="31.5">
      <c r="A53" s="140"/>
      <c r="B53" s="141" t="s">
        <v>823</v>
      </c>
      <c r="C53" s="142" t="s">
        <v>824</v>
      </c>
      <c r="D53" s="142"/>
      <c r="E53" s="143">
        <v>0</v>
      </c>
      <c r="F53" s="144">
        <v>0</v>
      </c>
      <c r="H53" s="134"/>
    </row>
    <row r="54" spans="1:8" ht="31.5">
      <c r="A54" s="140"/>
      <c r="B54" s="141" t="s">
        <v>825</v>
      </c>
      <c r="C54" s="142" t="s">
        <v>826</v>
      </c>
      <c r="D54" s="142"/>
      <c r="E54" s="143">
        <v>0</v>
      </c>
      <c r="F54" s="144">
        <v>0</v>
      </c>
      <c r="H54" s="134"/>
    </row>
    <row r="55" spans="1:8" ht="21">
      <c r="A55" s="140"/>
      <c r="B55" s="141" t="s">
        <v>827</v>
      </c>
      <c r="C55" s="142" t="s">
        <v>828</v>
      </c>
      <c r="D55" s="142"/>
      <c r="E55" s="143">
        <v>0</v>
      </c>
      <c r="F55" s="144">
        <v>0</v>
      </c>
      <c r="H55" s="134"/>
    </row>
    <row r="56" spans="1:8" ht="21">
      <c r="A56" s="135" t="s">
        <v>829</v>
      </c>
      <c r="B56" s="136" t="s">
        <v>830</v>
      </c>
      <c r="C56" s="137" t="s">
        <v>831</v>
      </c>
      <c r="D56" s="137"/>
      <c r="E56" s="138">
        <f>E57+E58+E64</f>
        <v>36799980</v>
      </c>
      <c r="F56" s="139">
        <f>F57+F58+F64</f>
        <v>0</v>
      </c>
      <c r="H56" s="134"/>
    </row>
    <row r="57" spans="1:8" ht="42">
      <c r="A57" s="140"/>
      <c r="B57" s="141" t="s">
        <v>832</v>
      </c>
      <c r="C57" s="142" t="s">
        <v>833</v>
      </c>
      <c r="D57" s="142"/>
      <c r="E57" s="143">
        <v>0</v>
      </c>
      <c r="F57" s="144">
        <v>0</v>
      </c>
      <c r="H57" s="134"/>
    </row>
    <row r="58" spans="1:8" ht="21">
      <c r="A58" s="140"/>
      <c r="B58" s="141" t="s">
        <v>458</v>
      </c>
      <c r="C58" s="142" t="s">
        <v>834</v>
      </c>
      <c r="D58" s="142"/>
      <c r="E58" s="143">
        <f>E59+E60+E61+E62+E63</f>
        <v>0</v>
      </c>
      <c r="F58" s="144">
        <f>F59+F60+F61+F62+F63</f>
        <v>0</v>
      </c>
      <c r="H58" s="134"/>
    </row>
    <row r="59" spans="1:8" ht="21">
      <c r="A59" s="140"/>
      <c r="B59" s="141" t="s">
        <v>472</v>
      </c>
      <c r="C59" s="142" t="s">
        <v>835</v>
      </c>
      <c r="D59" s="142"/>
      <c r="E59" s="143">
        <v>0</v>
      </c>
      <c r="F59" s="144">
        <v>0</v>
      </c>
      <c r="H59" s="134"/>
    </row>
    <row r="60" spans="1:8" ht="21">
      <c r="A60" s="140"/>
      <c r="B60" s="141" t="s">
        <v>836</v>
      </c>
      <c r="C60" s="142" t="s">
        <v>837</v>
      </c>
      <c r="D60" s="142"/>
      <c r="E60" s="143">
        <v>0</v>
      </c>
      <c r="F60" s="144">
        <v>0</v>
      </c>
      <c r="H60" s="134"/>
    </row>
    <row r="61" spans="1:8" ht="21">
      <c r="A61" s="140"/>
      <c r="B61" s="141" t="s">
        <v>838</v>
      </c>
      <c r="C61" s="142" t="s">
        <v>839</v>
      </c>
      <c r="D61" s="142"/>
      <c r="E61" s="143">
        <v>0</v>
      </c>
      <c r="F61" s="144">
        <v>0</v>
      </c>
      <c r="H61" s="134"/>
    </row>
    <row r="62" spans="1:8" ht="31.5">
      <c r="A62" s="140"/>
      <c r="B62" s="141" t="s">
        <v>478</v>
      </c>
      <c r="C62" s="142" t="s">
        <v>840</v>
      </c>
      <c r="D62" s="142"/>
      <c r="E62" s="143">
        <v>0</v>
      </c>
      <c r="F62" s="144">
        <v>0</v>
      </c>
      <c r="H62" s="134"/>
    </row>
    <row r="63" spans="1:8" ht="21">
      <c r="A63" s="135"/>
      <c r="B63" s="136" t="s">
        <v>841</v>
      </c>
      <c r="C63" s="137" t="s">
        <v>842</v>
      </c>
      <c r="D63" s="137"/>
      <c r="E63" s="138">
        <v>0</v>
      </c>
      <c r="F63" s="139">
        <v>0</v>
      </c>
      <c r="H63" s="134"/>
    </row>
    <row r="64" spans="1:8" ht="21">
      <c r="A64" s="135"/>
      <c r="B64" s="136" t="s">
        <v>843</v>
      </c>
      <c r="C64" s="137" t="s">
        <v>844</v>
      </c>
      <c r="D64" s="137"/>
      <c r="E64" s="138">
        <v>36799980</v>
      </c>
      <c r="F64" s="139">
        <v>0</v>
      </c>
      <c r="H64" s="134"/>
    </row>
    <row r="65" spans="1:8" ht="21">
      <c r="A65" s="135" t="s">
        <v>845</v>
      </c>
      <c r="B65" s="136" t="s">
        <v>846</v>
      </c>
      <c r="C65" s="137" t="s">
        <v>847</v>
      </c>
      <c r="D65" s="137"/>
      <c r="E65" s="138">
        <v>0</v>
      </c>
      <c r="F65" s="139">
        <v>0</v>
      </c>
      <c r="H65" s="134"/>
    </row>
    <row r="66" spans="1:8" ht="21">
      <c r="A66" s="127"/>
      <c r="B66" s="128" t="s">
        <v>848</v>
      </c>
      <c r="C66" s="129" t="s">
        <v>849</v>
      </c>
      <c r="D66" s="129"/>
      <c r="E66" s="132">
        <f>E19+E27+E39</f>
        <v>17299433924186</v>
      </c>
      <c r="F66" s="133">
        <f>F19+F27+F39</f>
        <v>17638646335162</v>
      </c>
      <c r="H66" s="134"/>
    </row>
    <row r="67" spans="1:8" ht="21">
      <c r="A67" s="127" t="s">
        <v>121</v>
      </c>
      <c r="B67" s="128" t="s">
        <v>850</v>
      </c>
      <c r="C67" s="129" t="s">
        <v>121</v>
      </c>
      <c r="D67" s="129"/>
      <c r="E67" s="132">
        <v>0</v>
      </c>
      <c r="F67" s="133">
        <v>0</v>
      </c>
      <c r="H67" s="134"/>
    </row>
    <row r="68" spans="1:8" ht="21">
      <c r="A68" s="135" t="s">
        <v>4</v>
      </c>
      <c r="B68" s="136" t="s">
        <v>851</v>
      </c>
      <c r="C68" s="137" t="s">
        <v>852</v>
      </c>
      <c r="D68" s="137"/>
      <c r="E68" s="138">
        <v>0</v>
      </c>
      <c r="F68" s="139">
        <v>0</v>
      </c>
      <c r="H68" s="134"/>
    </row>
    <row r="69" spans="1:8" ht="21">
      <c r="A69" s="135"/>
      <c r="B69" s="136" t="s">
        <v>853</v>
      </c>
      <c r="C69" s="137" t="s">
        <v>854</v>
      </c>
      <c r="D69" s="137"/>
      <c r="E69" s="138">
        <v>0</v>
      </c>
      <c r="F69" s="139">
        <v>0</v>
      </c>
      <c r="H69" s="134"/>
    </row>
    <row r="70" spans="1:8" ht="21">
      <c r="A70" s="135"/>
      <c r="B70" s="136" t="s">
        <v>855</v>
      </c>
      <c r="C70" s="137" t="s">
        <v>856</v>
      </c>
      <c r="D70" s="137"/>
      <c r="E70" s="138">
        <v>0</v>
      </c>
      <c r="F70" s="139">
        <v>0</v>
      </c>
      <c r="H70" s="134"/>
    </row>
    <row r="71" spans="1:8" ht="21">
      <c r="A71" s="135" t="s">
        <v>9</v>
      </c>
      <c r="B71" s="136" t="s">
        <v>857</v>
      </c>
      <c r="C71" s="137" t="s">
        <v>858</v>
      </c>
      <c r="D71" s="137"/>
      <c r="E71" s="138">
        <v>0</v>
      </c>
      <c r="F71" s="139">
        <v>0</v>
      </c>
      <c r="H71" s="134"/>
    </row>
    <row r="72" spans="1:8" ht="42">
      <c r="A72" s="135" t="s">
        <v>14</v>
      </c>
      <c r="B72" s="136" t="s">
        <v>859</v>
      </c>
      <c r="C72" s="137" t="s">
        <v>860</v>
      </c>
      <c r="D72" s="137"/>
      <c r="E72" s="138">
        <f>E73+E74</f>
        <v>0</v>
      </c>
      <c r="F72" s="139">
        <f>F73+F74</f>
        <v>0</v>
      </c>
      <c r="H72" s="134"/>
    </row>
    <row r="73" spans="1:8" ht="21">
      <c r="A73" s="140"/>
      <c r="B73" s="141" t="s">
        <v>861</v>
      </c>
      <c r="C73" s="142" t="s">
        <v>862</v>
      </c>
      <c r="D73" s="142"/>
      <c r="E73" s="143">
        <v>0</v>
      </c>
      <c r="F73" s="144">
        <v>0</v>
      </c>
      <c r="H73" s="134"/>
    </row>
    <row r="74" spans="1:8" ht="33.75" customHeight="1">
      <c r="A74" s="140"/>
      <c r="B74" s="141" t="s">
        <v>863</v>
      </c>
      <c r="C74" s="142" t="s">
        <v>864</v>
      </c>
      <c r="D74" s="142"/>
      <c r="E74" s="143">
        <v>0</v>
      </c>
      <c r="F74" s="144">
        <v>0</v>
      </c>
      <c r="H74" s="134"/>
    </row>
    <row r="75" spans="1:8" ht="21">
      <c r="A75" s="135" t="s">
        <v>19</v>
      </c>
      <c r="B75" s="136" t="s">
        <v>865</v>
      </c>
      <c r="C75" s="137" t="s">
        <v>866</v>
      </c>
      <c r="D75" s="137"/>
      <c r="E75" s="138">
        <v>0</v>
      </c>
      <c r="F75" s="139">
        <v>0</v>
      </c>
      <c r="H75" s="134"/>
    </row>
    <row r="76" spans="1:8" ht="21">
      <c r="A76" s="135" t="s">
        <v>285</v>
      </c>
      <c r="B76" s="136" t="s">
        <v>867</v>
      </c>
      <c r="C76" s="137" t="s">
        <v>868</v>
      </c>
      <c r="D76" s="137"/>
      <c r="E76" s="138">
        <v>0</v>
      </c>
      <c r="F76" s="139">
        <v>0</v>
      </c>
      <c r="H76" s="134"/>
    </row>
    <row r="77" spans="1:8" ht="21">
      <c r="A77" s="135" t="s">
        <v>287</v>
      </c>
      <c r="B77" s="136" t="s">
        <v>869</v>
      </c>
      <c r="C77" s="137" t="s">
        <v>870</v>
      </c>
      <c r="D77" s="137"/>
      <c r="E77" s="138">
        <f>E78+E79+E80+E81+E82+E83+E84</f>
        <v>199500000</v>
      </c>
      <c r="F77" s="139">
        <f>F78+F79+F80+F81+F82+F83+F84</f>
        <v>171906234</v>
      </c>
      <c r="H77" s="134"/>
    </row>
    <row r="78" spans="1:8" ht="21">
      <c r="A78" s="140"/>
      <c r="B78" s="141" t="s">
        <v>871</v>
      </c>
      <c r="C78" s="142" t="s">
        <v>872</v>
      </c>
      <c r="D78" s="142"/>
      <c r="E78" s="143">
        <v>0</v>
      </c>
      <c r="F78" s="144">
        <v>0</v>
      </c>
      <c r="H78" s="134"/>
    </row>
    <row r="79" spans="1:8" ht="21">
      <c r="A79" s="140"/>
      <c r="B79" s="141" t="s">
        <v>873</v>
      </c>
      <c r="C79" s="142" t="s">
        <v>874</v>
      </c>
      <c r="D79" s="142"/>
      <c r="E79" s="143">
        <v>181500000</v>
      </c>
      <c r="F79" s="144">
        <v>154670700</v>
      </c>
      <c r="H79" s="134"/>
    </row>
    <row r="80" spans="1:8" ht="21">
      <c r="A80" s="140"/>
      <c r="B80" s="141" t="s">
        <v>875</v>
      </c>
      <c r="C80" s="142" t="s">
        <v>876</v>
      </c>
      <c r="D80" s="142"/>
      <c r="E80" s="143">
        <v>0</v>
      </c>
      <c r="F80" s="144">
        <v>0</v>
      </c>
      <c r="H80" s="134"/>
    </row>
    <row r="81" spans="1:8" ht="21">
      <c r="A81" s="140"/>
      <c r="B81" s="141" t="s">
        <v>877</v>
      </c>
      <c r="C81" s="142" t="s">
        <v>878</v>
      </c>
      <c r="D81" s="142"/>
      <c r="E81" s="143">
        <v>0</v>
      </c>
      <c r="F81" s="144">
        <v>0</v>
      </c>
      <c r="H81" s="134"/>
    </row>
    <row r="82" spans="1:8" ht="31.5">
      <c r="A82" s="140"/>
      <c r="B82" s="141" t="s">
        <v>879</v>
      </c>
      <c r="C82" s="142" t="s">
        <v>880</v>
      </c>
      <c r="D82" s="142"/>
      <c r="E82" s="143">
        <v>18000000</v>
      </c>
      <c r="F82" s="144">
        <v>17235534</v>
      </c>
      <c r="H82" s="134"/>
    </row>
    <row r="83" spans="1:8" ht="21">
      <c r="A83" s="140"/>
      <c r="B83" s="141" t="s">
        <v>881</v>
      </c>
      <c r="C83" s="142" t="s">
        <v>882</v>
      </c>
      <c r="D83" s="142"/>
      <c r="E83" s="143">
        <v>0</v>
      </c>
      <c r="F83" s="144">
        <v>0</v>
      </c>
      <c r="H83" s="134"/>
    </row>
    <row r="84" spans="1:8" ht="21">
      <c r="A84" s="140"/>
      <c r="B84" s="141" t="s">
        <v>883</v>
      </c>
      <c r="C84" s="142" t="s">
        <v>884</v>
      </c>
      <c r="D84" s="142"/>
      <c r="E84" s="143">
        <v>0</v>
      </c>
      <c r="F84" s="144">
        <v>0</v>
      </c>
      <c r="H84" s="134"/>
    </row>
    <row r="85" spans="1:8" ht="21">
      <c r="A85" s="135" t="s">
        <v>290</v>
      </c>
      <c r="B85" s="136" t="s">
        <v>885</v>
      </c>
      <c r="C85" s="137" t="s">
        <v>886</v>
      </c>
      <c r="D85" s="137"/>
      <c r="E85" s="138">
        <v>0</v>
      </c>
      <c r="F85" s="139">
        <v>0</v>
      </c>
      <c r="H85" s="134"/>
    </row>
    <row r="86" spans="1:8" ht="21">
      <c r="A86" s="135" t="s">
        <v>299</v>
      </c>
      <c r="B86" s="136" t="s">
        <v>887</v>
      </c>
      <c r="C86" s="137" t="s">
        <v>888</v>
      </c>
      <c r="D86" s="137"/>
      <c r="E86" s="138">
        <v>13836703250</v>
      </c>
      <c r="F86" s="139">
        <v>0</v>
      </c>
      <c r="H86" s="134"/>
    </row>
    <row r="87" spans="1:8" ht="21">
      <c r="A87" s="135" t="s">
        <v>312</v>
      </c>
      <c r="B87" s="136" t="s">
        <v>889</v>
      </c>
      <c r="C87" s="137" t="s">
        <v>890</v>
      </c>
      <c r="D87" s="137"/>
      <c r="E87" s="138">
        <f>E88+E89+E94+E95+E96+E97+E98+E99</f>
        <v>24002907799</v>
      </c>
      <c r="F87" s="139">
        <f>F88+F89+F94+F95+F96+F97+F98+F99</f>
        <v>21570987938</v>
      </c>
      <c r="H87" s="134"/>
    </row>
    <row r="88" spans="1:8" ht="21">
      <c r="A88" s="140" t="s">
        <v>891</v>
      </c>
      <c r="B88" s="141" t="s">
        <v>892</v>
      </c>
      <c r="C88" s="142" t="s">
        <v>893</v>
      </c>
      <c r="D88" s="142"/>
      <c r="E88" s="143">
        <v>11808763923</v>
      </c>
      <c r="F88" s="144">
        <v>11557855213</v>
      </c>
      <c r="H88" s="134"/>
    </row>
    <row r="89" spans="1:8" ht="21">
      <c r="A89" s="140" t="s">
        <v>894</v>
      </c>
      <c r="B89" s="141" t="s">
        <v>895</v>
      </c>
      <c r="C89" s="142" t="s">
        <v>896</v>
      </c>
      <c r="D89" s="142"/>
      <c r="E89" s="143">
        <f>E90+E91+E92</f>
        <v>309319100</v>
      </c>
      <c r="F89" s="144">
        <f>F90+F91+F92</f>
        <v>294846380</v>
      </c>
      <c r="H89" s="134"/>
    </row>
    <row r="90" spans="1:8" ht="21">
      <c r="A90" s="140"/>
      <c r="B90" s="141" t="s">
        <v>897</v>
      </c>
      <c r="C90" s="142" t="s">
        <v>898</v>
      </c>
      <c r="D90" s="142"/>
      <c r="E90" s="143">
        <v>295219100</v>
      </c>
      <c r="F90" s="144">
        <v>288946380</v>
      </c>
      <c r="H90" s="134"/>
    </row>
    <row r="91" spans="1:8" ht="21">
      <c r="A91" s="140"/>
      <c r="B91" s="141" t="s">
        <v>899</v>
      </c>
      <c r="C91" s="142" t="s">
        <v>900</v>
      </c>
      <c r="D91" s="142"/>
      <c r="E91" s="143">
        <v>14100000</v>
      </c>
      <c r="F91" s="144">
        <v>5900000</v>
      </c>
      <c r="H91" s="134"/>
    </row>
    <row r="92" spans="1:8" ht="21">
      <c r="A92" s="140"/>
      <c r="B92" s="141" t="s">
        <v>901</v>
      </c>
      <c r="C92" s="142" t="s">
        <v>902</v>
      </c>
      <c r="D92" s="142"/>
      <c r="E92" s="143">
        <v>0</v>
      </c>
      <c r="F92" s="144">
        <v>0</v>
      </c>
      <c r="H92" s="134"/>
    </row>
    <row r="93" spans="1:8" ht="42">
      <c r="A93" s="140"/>
      <c r="B93" s="141" t="s">
        <v>903</v>
      </c>
      <c r="C93" s="142" t="s">
        <v>904</v>
      </c>
      <c r="D93" s="142"/>
      <c r="E93" s="143">
        <v>0</v>
      </c>
      <c r="F93" s="144">
        <v>0</v>
      </c>
      <c r="H93" s="134"/>
    </row>
    <row r="94" spans="1:8" ht="21">
      <c r="A94" s="140" t="s">
        <v>905</v>
      </c>
      <c r="B94" s="141" t="s">
        <v>906</v>
      </c>
      <c r="C94" s="142" t="s">
        <v>907</v>
      </c>
      <c r="D94" s="142"/>
      <c r="E94" s="143">
        <v>324741010</v>
      </c>
      <c r="F94" s="144">
        <v>317841018</v>
      </c>
      <c r="H94" s="134"/>
    </row>
    <row r="95" spans="1:8" ht="21">
      <c r="A95" s="140" t="s">
        <v>908</v>
      </c>
      <c r="B95" s="141" t="s">
        <v>909</v>
      </c>
      <c r="C95" s="142" t="s">
        <v>910</v>
      </c>
      <c r="D95" s="142"/>
      <c r="E95" s="143">
        <v>649482016</v>
      </c>
      <c r="F95" s="144">
        <v>635682038</v>
      </c>
      <c r="H95" s="134"/>
    </row>
    <row r="96" spans="1:8" ht="21">
      <c r="A96" s="140" t="s">
        <v>911</v>
      </c>
      <c r="B96" s="141" t="s">
        <v>912</v>
      </c>
      <c r="C96" s="142" t="s">
        <v>913</v>
      </c>
      <c r="D96" s="142"/>
      <c r="E96" s="143">
        <v>16500000</v>
      </c>
      <c r="F96" s="144">
        <v>11000000</v>
      </c>
      <c r="H96" s="134"/>
    </row>
    <row r="97" spans="1:8" ht="21.75" customHeight="1">
      <c r="A97" s="140" t="s">
        <v>914</v>
      </c>
      <c r="B97" s="141" t="s">
        <v>915</v>
      </c>
      <c r="C97" s="142" t="s">
        <v>916</v>
      </c>
      <c r="D97" s="142"/>
      <c r="E97" s="143">
        <v>4784723002</v>
      </c>
      <c r="F97" s="144">
        <v>4046675258</v>
      </c>
      <c r="H97" s="134"/>
    </row>
    <row r="98" spans="1:8" ht="21.75" customHeight="1">
      <c r="A98" s="140" t="s">
        <v>917</v>
      </c>
      <c r="B98" s="141" t="s">
        <v>918</v>
      </c>
      <c r="C98" s="142" t="s">
        <v>919</v>
      </c>
      <c r="D98" s="142"/>
      <c r="E98" s="143">
        <v>3827778402</v>
      </c>
      <c r="F98" s="144">
        <v>3237340206</v>
      </c>
      <c r="H98" s="134"/>
    </row>
    <row r="99" spans="1:8" ht="21">
      <c r="A99" s="140" t="s">
        <v>917</v>
      </c>
      <c r="B99" s="141" t="s">
        <v>920</v>
      </c>
      <c r="C99" s="142" t="s">
        <v>921</v>
      </c>
      <c r="D99" s="142"/>
      <c r="E99" s="143">
        <v>2281600346</v>
      </c>
      <c r="F99" s="144">
        <v>1469747825</v>
      </c>
      <c r="H99" s="134"/>
    </row>
    <row r="100" spans="1:8" ht="21">
      <c r="A100" s="135" t="s">
        <v>319</v>
      </c>
      <c r="B100" s="136" t="s">
        <v>922</v>
      </c>
      <c r="C100" s="137" t="s">
        <v>923</v>
      </c>
      <c r="D100" s="137"/>
      <c r="E100" s="138">
        <f>E101+E102+E103</f>
        <v>0</v>
      </c>
      <c r="F100" s="139">
        <f>F101+F102+F103</f>
        <v>0</v>
      </c>
      <c r="H100" s="134"/>
    </row>
    <row r="101" spans="1:8" ht="21">
      <c r="A101" s="140" t="s">
        <v>924</v>
      </c>
      <c r="B101" s="141" t="s">
        <v>925</v>
      </c>
      <c r="C101" s="142" t="s">
        <v>926</v>
      </c>
      <c r="D101" s="142"/>
      <c r="E101" s="143">
        <v>0</v>
      </c>
      <c r="F101" s="144">
        <v>0</v>
      </c>
      <c r="H101" s="134"/>
    </row>
    <row r="102" spans="1:8" ht="31.5">
      <c r="A102" s="140" t="s">
        <v>927</v>
      </c>
      <c r="B102" s="141" t="s">
        <v>928</v>
      </c>
      <c r="C102" s="142" t="s">
        <v>929</v>
      </c>
      <c r="D102" s="142"/>
      <c r="E102" s="143">
        <v>0</v>
      </c>
      <c r="F102" s="144">
        <v>0</v>
      </c>
      <c r="H102" s="134"/>
    </row>
    <row r="103" spans="1:8" ht="21">
      <c r="A103" s="140" t="s">
        <v>930</v>
      </c>
      <c r="B103" s="141" t="s">
        <v>931</v>
      </c>
      <c r="C103" s="142" t="s">
        <v>932</v>
      </c>
      <c r="D103" s="142"/>
      <c r="E103" s="143">
        <f>E104+E105+E106+E107+E108</f>
        <v>0</v>
      </c>
      <c r="F103" s="144">
        <f>F104+F105+F106+F107+F108</f>
        <v>0</v>
      </c>
      <c r="H103" s="134"/>
    </row>
    <row r="104" spans="1:8" ht="31.5">
      <c r="A104" s="140"/>
      <c r="B104" s="141" t="s">
        <v>933</v>
      </c>
      <c r="C104" s="142" t="s">
        <v>934</v>
      </c>
      <c r="D104" s="142"/>
      <c r="E104" s="143">
        <v>0</v>
      </c>
      <c r="F104" s="144">
        <v>0</v>
      </c>
      <c r="H104" s="134"/>
    </row>
    <row r="105" spans="1:8" ht="21">
      <c r="A105" s="140"/>
      <c r="B105" s="141" t="s">
        <v>935</v>
      </c>
      <c r="C105" s="142" t="s">
        <v>936</v>
      </c>
      <c r="D105" s="142"/>
      <c r="E105" s="143">
        <v>0</v>
      </c>
      <c r="F105" s="144">
        <v>0</v>
      </c>
      <c r="H105" s="134"/>
    </row>
    <row r="106" spans="1:8" ht="21">
      <c r="A106" s="135"/>
      <c r="B106" s="136" t="s">
        <v>937</v>
      </c>
      <c r="C106" s="137" t="s">
        <v>938</v>
      </c>
      <c r="D106" s="137"/>
      <c r="E106" s="138">
        <v>0</v>
      </c>
      <c r="F106" s="139">
        <v>0</v>
      </c>
      <c r="H106" s="134"/>
    </row>
    <row r="107" spans="1:8" ht="21">
      <c r="A107" s="140"/>
      <c r="B107" s="141" t="s">
        <v>939</v>
      </c>
      <c r="C107" s="142" t="s">
        <v>940</v>
      </c>
      <c r="D107" s="142"/>
      <c r="E107" s="143">
        <v>0</v>
      </c>
      <c r="F107" s="144">
        <v>0</v>
      </c>
      <c r="H107" s="134"/>
    </row>
    <row r="108" spans="1:8" ht="21">
      <c r="A108" s="140"/>
      <c r="B108" s="141" t="s">
        <v>941</v>
      </c>
      <c r="C108" s="142" t="s">
        <v>942</v>
      </c>
      <c r="D108" s="142"/>
      <c r="E108" s="143">
        <v>0</v>
      </c>
      <c r="F108" s="144">
        <v>0</v>
      </c>
      <c r="H108" s="134"/>
    </row>
    <row r="109" spans="1:8" ht="21">
      <c r="A109" s="127"/>
      <c r="B109" s="128" t="s">
        <v>943</v>
      </c>
      <c r="C109" s="129" t="s">
        <v>944</v>
      </c>
      <c r="D109" s="129"/>
      <c r="E109" s="132">
        <f>E68+E71+E72+E75+E76+E77+E85+E86+E87+E100</f>
        <v>38039111049</v>
      </c>
      <c r="F109" s="133">
        <f>F68+F71+F72+F75+F76+F77+F85+F86+F87+F100</f>
        <v>21742894172</v>
      </c>
      <c r="H109" s="134"/>
    </row>
    <row r="110" spans="1:8" ht="42">
      <c r="A110" s="147" t="s">
        <v>338</v>
      </c>
      <c r="B110" s="148" t="s">
        <v>945</v>
      </c>
      <c r="C110" s="149" t="s">
        <v>946</v>
      </c>
      <c r="D110" s="149"/>
      <c r="E110" s="132">
        <f>E66-E109</f>
        <v>17261394813137</v>
      </c>
      <c r="F110" s="133">
        <f>F66-F109</f>
        <v>17616903440990</v>
      </c>
      <c r="H110" s="134"/>
    </row>
    <row r="111" spans="1:8" ht="21">
      <c r="A111" s="135" t="s">
        <v>4</v>
      </c>
      <c r="B111" s="136" t="s">
        <v>947</v>
      </c>
      <c r="C111" s="137" t="s">
        <v>948</v>
      </c>
      <c r="D111" s="137"/>
      <c r="E111" s="138">
        <f>E112+E113</f>
        <v>6651000000000</v>
      </c>
      <c r="F111" s="139">
        <f>F112+F113</f>
        <v>7109000000000</v>
      </c>
      <c r="H111" s="134"/>
    </row>
    <row r="112" spans="1:8" ht="21">
      <c r="A112" s="135" t="s">
        <v>751</v>
      </c>
      <c r="B112" s="136" t="s">
        <v>949</v>
      </c>
      <c r="C112" s="137" t="s">
        <v>950</v>
      </c>
      <c r="D112" s="137"/>
      <c r="E112" s="138">
        <v>11947000000000</v>
      </c>
      <c r="F112" s="139">
        <v>11883000000000</v>
      </c>
      <c r="H112" s="134"/>
    </row>
    <row r="113" spans="1:8" ht="21">
      <c r="A113" s="135" t="s">
        <v>761</v>
      </c>
      <c r="B113" s="136" t="s">
        <v>951</v>
      </c>
      <c r="C113" s="137" t="s">
        <v>952</v>
      </c>
      <c r="D113" s="137"/>
      <c r="E113" s="145">
        <v>-5296000000000</v>
      </c>
      <c r="F113" s="146">
        <v>-4774000000000</v>
      </c>
      <c r="H113" s="134"/>
    </row>
    <row r="114" spans="1:8" ht="21">
      <c r="A114" s="135" t="s">
        <v>9</v>
      </c>
      <c r="B114" s="136" t="s">
        <v>953</v>
      </c>
      <c r="C114" s="137" t="s">
        <v>954</v>
      </c>
      <c r="D114" s="137"/>
      <c r="E114" s="138">
        <v>4999716913977</v>
      </c>
      <c r="F114" s="139">
        <v>5701812007227</v>
      </c>
      <c r="H114" s="134"/>
    </row>
    <row r="115" spans="1:8" ht="21">
      <c r="A115" s="135" t="s">
        <v>14</v>
      </c>
      <c r="B115" s="136" t="s">
        <v>955</v>
      </c>
      <c r="C115" s="137" t="s">
        <v>956</v>
      </c>
      <c r="D115" s="137"/>
      <c r="E115" s="138">
        <f>E116+E117</f>
        <v>5610677899160</v>
      </c>
      <c r="F115" s="139">
        <f>F116+F117</f>
        <v>4806091433763</v>
      </c>
      <c r="H115" s="134"/>
    </row>
    <row r="116" spans="1:8" ht="21">
      <c r="A116" s="135" t="s">
        <v>793</v>
      </c>
      <c r="B116" s="136" t="s">
        <v>957</v>
      </c>
      <c r="C116" s="137" t="s">
        <v>958</v>
      </c>
      <c r="D116" s="137"/>
      <c r="E116" s="138">
        <v>4806091433763</v>
      </c>
      <c r="F116" s="139">
        <v>3636871604729</v>
      </c>
      <c r="H116" s="134"/>
    </row>
    <row r="117" spans="1:8" ht="21">
      <c r="A117" s="135" t="s">
        <v>798</v>
      </c>
      <c r="B117" s="136" t="s">
        <v>959</v>
      </c>
      <c r="C117" s="137" t="s">
        <v>960</v>
      </c>
      <c r="D117" s="137"/>
      <c r="E117" s="138">
        <v>804586465397</v>
      </c>
      <c r="F117" s="139">
        <v>1169219829034</v>
      </c>
      <c r="H117" s="134"/>
    </row>
    <row r="118" spans="1:8" ht="31.5">
      <c r="A118" s="147" t="s">
        <v>341</v>
      </c>
      <c r="B118" s="148" t="s">
        <v>961</v>
      </c>
      <c r="C118" s="149" t="s">
        <v>962</v>
      </c>
      <c r="D118" s="149"/>
      <c r="E118" s="150">
        <v>25953.08</v>
      </c>
      <c r="F118" s="151">
        <v>24781.119999999999</v>
      </c>
      <c r="H118" s="134"/>
    </row>
    <row r="119" spans="1:8" ht="21">
      <c r="A119" s="127" t="s">
        <v>354</v>
      </c>
      <c r="B119" s="128" t="s">
        <v>963</v>
      </c>
      <c r="C119" s="129" t="s">
        <v>964</v>
      </c>
      <c r="D119" s="129"/>
      <c r="E119" s="132">
        <f>E120+E121</f>
        <v>0</v>
      </c>
      <c r="F119" s="133">
        <f>F120+F121</f>
        <v>0</v>
      </c>
      <c r="H119" s="134"/>
    </row>
    <row r="120" spans="1:8" ht="31.5">
      <c r="A120" s="135" t="s">
        <v>4</v>
      </c>
      <c r="B120" s="136" t="s">
        <v>1059</v>
      </c>
      <c r="C120" s="137" t="s">
        <v>965</v>
      </c>
      <c r="D120" s="137"/>
      <c r="E120" s="138">
        <v>0</v>
      </c>
      <c r="F120" s="139">
        <v>0</v>
      </c>
      <c r="H120" s="134"/>
    </row>
    <row r="121" spans="1:8" ht="31.5">
      <c r="A121" s="135" t="s">
        <v>9</v>
      </c>
      <c r="B121" s="136" t="s">
        <v>1060</v>
      </c>
      <c r="C121" s="137" t="s">
        <v>966</v>
      </c>
      <c r="D121" s="137"/>
      <c r="E121" s="138">
        <v>0</v>
      </c>
      <c r="F121" s="139">
        <v>0</v>
      </c>
      <c r="H121" s="134"/>
    </row>
    <row r="122" spans="1:8" ht="31.5">
      <c r="A122" s="127" t="s">
        <v>357</v>
      </c>
      <c r="B122" s="128" t="s">
        <v>967</v>
      </c>
      <c r="C122" s="129" t="s">
        <v>357</v>
      </c>
      <c r="D122" s="129"/>
      <c r="E122" s="132">
        <v>0</v>
      </c>
      <c r="F122" s="133">
        <v>0</v>
      </c>
      <c r="H122" s="134"/>
    </row>
    <row r="123" spans="1:8" ht="21">
      <c r="A123" s="135" t="s">
        <v>4</v>
      </c>
      <c r="B123" s="136" t="s">
        <v>1061</v>
      </c>
      <c r="C123" s="137" t="s">
        <v>968</v>
      </c>
      <c r="D123" s="137"/>
      <c r="E123" s="138">
        <v>0</v>
      </c>
      <c r="F123" s="139">
        <v>0</v>
      </c>
      <c r="H123" s="134"/>
    </row>
    <row r="124" spans="1:8" ht="21">
      <c r="A124" s="135" t="s">
        <v>9</v>
      </c>
      <c r="B124" s="136" t="s">
        <v>1062</v>
      </c>
      <c r="C124" s="137" t="s">
        <v>969</v>
      </c>
      <c r="D124" s="137"/>
      <c r="E124" s="138">
        <v>0</v>
      </c>
      <c r="F124" s="139">
        <v>0</v>
      </c>
      <c r="H124" s="134"/>
    </row>
    <row r="125" spans="1:8" ht="21">
      <c r="A125" s="135" t="s">
        <v>14</v>
      </c>
      <c r="B125" s="136" t="s">
        <v>1063</v>
      </c>
      <c r="C125" s="137" t="s">
        <v>970</v>
      </c>
      <c r="D125" s="137"/>
      <c r="E125" s="138">
        <v>0</v>
      </c>
      <c r="F125" s="139">
        <v>0</v>
      </c>
      <c r="H125" s="134"/>
    </row>
    <row r="126" spans="1:8" ht="21">
      <c r="A126" s="135" t="s">
        <v>19</v>
      </c>
      <c r="B126" s="136" t="s">
        <v>1064</v>
      </c>
      <c r="C126" s="137" t="s">
        <v>971</v>
      </c>
      <c r="D126" s="137"/>
      <c r="E126" s="138">
        <v>665100000</v>
      </c>
      <c r="F126" s="139">
        <v>710900000</v>
      </c>
      <c r="H126" s="134"/>
    </row>
    <row r="127" spans="1:8" ht="42">
      <c r="A127" s="135">
        <v>5</v>
      </c>
      <c r="B127" s="136" t="s">
        <v>1056</v>
      </c>
      <c r="C127" s="137" t="s">
        <v>1057</v>
      </c>
      <c r="D127" s="137"/>
      <c r="E127" s="138"/>
      <c r="F127" s="139"/>
      <c r="H127" s="134"/>
    </row>
    <row r="128" spans="1:8" ht="16.5" customHeight="1">
      <c r="A128" s="135"/>
      <c r="B128" s="136" t="s">
        <v>395</v>
      </c>
      <c r="C128" s="137"/>
      <c r="D128" s="137"/>
      <c r="E128" s="138">
        <v>33000</v>
      </c>
      <c r="F128" s="139"/>
      <c r="H128" s="134"/>
    </row>
    <row r="129" spans="1:8" ht="16.5" customHeight="1">
      <c r="A129" s="135"/>
      <c r="B129" s="136" t="s">
        <v>399</v>
      </c>
      <c r="C129" s="137"/>
      <c r="D129" s="137"/>
      <c r="E129" s="138">
        <v>15717</v>
      </c>
      <c r="F129" s="139"/>
      <c r="H129" s="134"/>
    </row>
    <row r="130" spans="1:8" ht="16.5" customHeight="1">
      <c r="A130" s="135"/>
      <c r="B130" s="136" t="s">
        <v>407</v>
      </c>
      <c r="C130" s="137"/>
      <c r="D130" s="137"/>
      <c r="E130" s="138">
        <v>54300</v>
      </c>
      <c r="F130" s="139"/>
      <c r="H130" s="134"/>
    </row>
    <row r="131" spans="1:8" ht="16.5" customHeight="1">
      <c r="A131" s="135"/>
      <c r="B131" s="136" t="s">
        <v>419</v>
      </c>
      <c r="C131" s="137"/>
      <c r="D131" s="137"/>
      <c r="E131" s="138">
        <v>17767</v>
      </c>
      <c r="F131" s="139"/>
      <c r="H131" s="134"/>
    </row>
    <row r="132" spans="1:8" ht="16.5" customHeight="1">
      <c r="A132" s="135"/>
      <c r="B132" s="136" t="s">
        <v>425</v>
      </c>
      <c r="C132" s="137"/>
      <c r="D132" s="137"/>
      <c r="E132" s="138">
        <v>43200</v>
      </c>
      <c r="F132" s="139"/>
      <c r="H132" s="134"/>
    </row>
    <row r="133" spans="1:8" ht="16.5" customHeight="1">
      <c r="A133" s="152"/>
      <c r="B133" s="153" t="s">
        <v>431</v>
      </c>
      <c r="C133" s="154"/>
      <c r="D133" s="154"/>
      <c r="E133" s="155">
        <v>26400</v>
      </c>
      <c r="F133" s="156"/>
      <c r="H133" s="134"/>
    </row>
    <row r="134" spans="1:8">
      <c r="A134" s="157"/>
      <c r="B134" s="158"/>
      <c r="C134" s="159"/>
      <c r="D134" s="159"/>
      <c r="E134" s="160"/>
      <c r="F134" s="160"/>
    </row>
    <row r="135" spans="1:8" s="161" customFormat="1" ht="15" customHeight="1">
      <c r="A135" s="337" t="s">
        <v>602</v>
      </c>
      <c r="B135" s="337"/>
      <c r="C135" s="337" t="s">
        <v>1058</v>
      </c>
      <c r="D135" s="337"/>
      <c r="E135" s="337" t="s">
        <v>227</v>
      </c>
      <c r="F135" s="337"/>
    </row>
    <row r="136" spans="1:8" s="161" customFormat="1" ht="15" customHeight="1">
      <c r="A136" s="338" t="s">
        <v>603</v>
      </c>
      <c r="B136" s="338"/>
      <c r="C136" s="338" t="s">
        <v>603</v>
      </c>
      <c r="D136" s="338"/>
      <c r="E136" s="338" t="s">
        <v>604</v>
      </c>
      <c r="F136" s="338"/>
    </row>
    <row r="137" spans="1:8" ht="88.5" customHeight="1">
      <c r="A137" s="325"/>
      <c r="B137" s="325"/>
      <c r="C137" s="325"/>
      <c r="D137" s="325"/>
      <c r="E137" s="325"/>
      <c r="F137" s="325"/>
    </row>
    <row r="138" spans="1:8" s="161" customFormat="1" ht="15.75" customHeight="1">
      <c r="A138" s="337" t="s">
        <v>605</v>
      </c>
      <c r="B138" s="337"/>
      <c r="C138" s="337" t="s">
        <v>1055</v>
      </c>
      <c r="D138" s="337"/>
      <c r="E138" s="337" t="s">
        <v>228</v>
      </c>
      <c r="F138" s="337"/>
    </row>
    <row r="139" spans="1:8">
      <c r="A139" s="271"/>
      <c r="B139" s="271"/>
      <c r="C139" s="271"/>
      <c r="D139" s="271"/>
      <c r="E139" s="271"/>
      <c r="F139" s="271"/>
    </row>
  </sheetData>
  <mergeCells count="36">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7:B137"/>
    <mergeCell ref="C137:D137"/>
    <mergeCell ref="E137:F137"/>
    <mergeCell ref="A15:B15"/>
    <mergeCell ref="C15:F15"/>
    <mergeCell ref="A135:B135"/>
    <mergeCell ref="C135:D135"/>
    <mergeCell ref="E135:F135"/>
    <mergeCell ref="A136:B136"/>
    <mergeCell ref="C136:D136"/>
    <mergeCell ref="E136:F136"/>
    <mergeCell ref="A139:B139"/>
    <mergeCell ref="C139:D139"/>
    <mergeCell ref="E139:F139"/>
    <mergeCell ref="A138:B138"/>
    <mergeCell ref="C138:D138"/>
    <mergeCell ref="E138:F138"/>
  </mergeCells>
  <printOptions horizontalCentered="1"/>
  <pageMargins left="0" right="0" top="0.58999997377395597" bottom="0.38" header="0.5" footer="0.28999999999999998"/>
  <pageSetup paperSize="9" scale="96"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topLeftCell="A7" zoomScaleNormal="100" workbookViewId="0">
      <selection activeCell="F8" sqref="F8"/>
    </sheetView>
  </sheetViews>
  <sheetFormatPr defaultColWidth="9.140625" defaultRowHeight="10.5"/>
  <cols>
    <col min="1" max="1" width="5" style="84" customWidth="1"/>
    <col min="2" max="2" width="37" style="84" customWidth="1"/>
    <col min="3" max="3" width="7.42578125" style="84" bestFit="1" customWidth="1"/>
    <col min="4" max="5" width="28.7109375" style="84" customWidth="1"/>
    <col min="6" max="6" width="9.140625" style="84"/>
    <col min="7" max="7" width="15.7109375" style="84" bestFit="1" customWidth="1"/>
    <col min="8" max="16384" width="9.140625" style="84"/>
  </cols>
  <sheetData>
    <row r="1" spans="1:7" ht="34.5" customHeight="1">
      <c r="A1" s="82"/>
      <c r="B1" s="177" t="s">
        <v>572</v>
      </c>
      <c r="C1" s="340" t="s">
        <v>1065</v>
      </c>
      <c r="D1" s="340"/>
      <c r="E1" s="340"/>
    </row>
    <row r="2" spans="1:7" ht="22.5" customHeight="1">
      <c r="A2" s="341" t="s">
        <v>573</v>
      </c>
      <c r="B2" s="341"/>
      <c r="C2" s="341"/>
      <c r="D2" s="341"/>
      <c r="E2" s="341"/>
    </row>
    <row r="3" spans="1:7" ht="6" customHeight="1">
      <c r="A3" s="82"/>
      <c r="B3" s="82"/>
      <c r="C3" s="82"/>
      <c r="D3" s="275"/>
      <c r="E3" s="275"/>
    </row>
    <row r="4" spans="1:7" ht="31.5" customHeight="1">
      <c r="A4" s="283" t="s">
        <v>574</v>
      </c>
      <c r="B4" s="283"/>
      <c r="C4" s="283"/>
      <c r="D4" s="283"/>
      <c r="E4" s="283"/>
    </row>
    <row r="5" spans="1:7" ht="15.75" customHeight="1">
      <c r="A5" s="272" t="s">
        <v>3</v>
      </c>
      <c r="B5" s="272"/>
      <c r="C5" s="272"/>
      <c r="D5" s="272"/>
      <c r="E5" s="272"/>
    </row>
    <row r="6" spans="1:7" ht="3.75" customHeight="1">
      <c r="A6" s="82"/>
      <c r="B6" s="82"/>
      <c r="C6" s="82"/>
      <c r="D6" s="275"/>
      <c r="E6" s="275"/>
    </row>
    <row r="7" spans="1:7" ht="12.75" customHeight="1">
      <c r="A7" s="276" t="s">
        <v>575</v>
      </c>
      <c r="B7" s="276"/>
      <c r="C7" s="276" t="s">
        <v>11</v>
      </c>
      <c r="D7" s="276"/>
      <c r="E7" s="276"/>
    </row>
    <row r="8" spans="1:7" ht="12.75" customHeight="1">
      <c r="A8" s="275" t="s">
        <v>12</v>
      </c>
      <c r="B8" s="275"/>
      <c r="C8" s="275" t="s">
        <v>13</v>
      </c>
      <c r="D8" s="275"/>
      <c r="E8" s="275"/>
    </row>
    <row r="9" spans="1:7" ht="12.75" customHeight="1">
      <c r="A9" s="276" t="s">
        <v>15</v>
      </c>
      <c r="B9" s="276"/>
      <c r="C9" s="276" t="s">
        <v>16</v>
      </c>
      <c r="D9" s="276"/>
      <c r="E9" s="276"/>
    </row>
    <row r="10" spans="1:7" ht="12.75" customHeight="1">
      <c r="A10" s="275" t="s">
        <v>576</v>
      </c>
      <c r="B10" s="275"/>
      <c r="C10" s="275" t="s">
        <v>18</v>
      </c>
      <c r="D10" s="275"/>
      <c r="E10" s="275"/>
    </row>
    <row r="11" spans="1:7" ht="12.75" customHeight="1">
      <c r="A11" s="276" t="s">
        <v>577</v>
      </c>
      <c r="B11" s="276"/>
      <c r="C11" s="277">
        <v>45294</v>
      </c>
      <c r="D11" s="277"/>
      <c r="E11" s="277"/>
    </row>
    <row r="12" spans="1:7" ht="12.75" customHeight="1">
      <c r="A12" s="275" t="s">
        <v>578</v>
      </c>
      <c r="B12" s="275"/>
      <c r="C12" s="278">
        <v>45294</v>
      </c>
      <c r="D12" s="278"/>
      <c r="E12" s="278"/>
    </row>
    <row r="13" spans="1:7" ht="12.75" customHeight="1">
      <c r="A13" s="89"/>
      <c r="B13" s="89"/>
      <c r="C13" s="89"/>
      <c r="D13" s="280" t="s">
        <v>579</v>
      </c>
      <c r="E13" s="280"/>
    </row>
    <row r="14" spans="1:7" ht="42" customHeight="1">
      <c r="A14" s="123" t="s">
        <v>25</v>
      </c>
      <c r="B14" s="124" t="s">
        <v>580</v>
      </c>
      <c r="C14" s="124" t="s">
        <v>581</v>
      </c>
      <c r="D14" s="124" t="s">
        <v>232</v>
      </c>
      <c r="E14" s="126" t="s">
        <v>233</v>
      </c>
    </row>
    <row r="15" spans="1:7" ht="32.25" customHeight="1">
      <c r="A15" s="163" t="s">
        <v>31</v>
      </c>
      <c r="B15" s="164" t="s">
        <v>582</v>
      </c>
      <c r="C15" s="165" t="s">
        <v>583</v>
      </c>
      <c r="D15" s="132">
        <v>17616903440990</v>
      </c>
      <c r="E15" s="133">
        <v>16349043616804</v>
      </c>
      <c r="G15" s="134"/>
    </row>
    <row r="16" spans="1:7" ht="42">
      <c r="A16" s="163" t="s">
        <v>121</v>
      </c>
      <c r="B16" s="164" t="s">
        <v>584</v>
      </c>
      <c r="C16" s="165" t="s">
        <v>585</v>
      </c>
      <c r="D16" s="132">
        <v>804586465397</v>
      </c>
      <c r="E16" s="133">
        <v>1169219829034</v>
      </c>
      <c r="G16" s="134"/>
    </row>
    <row r="17" spans="1:7" ht="42">
      <c r="A17" s="166" t="s">
        <v>124</v>
      </c>
      <c r="B17" s="167" t="s">
        <v>586</v>
      </c>
      <c r="C17" s="168" t="s">
        <v>587</v>
      </c>
      <c r="D17" s="138">
        <v>804586465397</v>
      </c>
      <c r="E17" s="139">
        <v>1169219829034</v>
      </c>
      <c r="G17" s="134"/>
    </row>
    <row r="18" spans="1:7" ht="42">
      <c r="A18" s="166" t="s">
        <v>126</v>
      </c>
      <c r="B18" s="167" t="s">
        <v>588</v>
      </c>
      <c r="C18" s="168" t="s">
        <v>589</v>
      </c>
      <c r="D18" s="138">
        <v>0</v>
      </c>
      <c r="E18" s="139">
        <v>0</v>
      </c>
      <c r="G18" s="134"/>
    </row>
    <row r="19" spans="1:7" ht="44.25" customHeight="1">
      <c r="A19" s="163" t="s">
        <v>338</v>
      </c>
      <c r="B19" s="164" t="s">
        <v>590</v>
      </c>
      <c r="C19" s="165" t="s">
        <v>591</v>
      </c>
      <c r="D19" s="132">
        <v>-1160095093250</v>
      </c>
      <c r="E19" s="133">
        <v>98639995152</v>
      </c>
      <c r="G19" s="134"/>
    </row>
    <row r="20" spans="1:7" ht="32.25" customHeight="1">
      <c r="A20" s="166" t="s">
        <v>592</v>
      </c>
      <c r="B20" s="167" t="s">
        <v>593</v>
      </c>
      <c r="C20" s="168" t="s">
        <v>594</v>
      </c>
      <c r="D20" s="138">
        <v>159082514490</v>
      </c>
      <c r="E20" s="139">
        <v>244781169848</v>
      </c>
      <c r="G20" s="134"/>
    </row>
    <row r="21" spans="1:7" ht="32.25" customHeight="1">
      <c r="A21" s="166" t="s">
        <v>595</v>
      </c>
      <c r="B21" s="167" t="s">
        <v>596</v>
      </c>
      <c r="C21" s="168" t="s">
        <v>597</v>
      </c>
      <c r="D21" s="138">
        <v>-1319177607740</v>
      </c>
      <c r="E21" s="139">
        <v>-146141174696</v>
      </c>
      <c r="G21" s="134"/>
    </row>
    <row r="22" spans="1:7" ht="32.25" customHeight="1">
      <c r="A22" s="163" t="s">
        <v>341</v>
      </c>
      <c r="B22" s="164" t="s">
        <v>598</v>
      </c>
      <c r="C22" s="165" t="s">
        <v>599</v>
      </c>
      <c r="D22" s="132">
        <v>17261394813137</v>
      </c>
      <c r="E22" s="133">
        <v>17616903440990</v>
      </c>
      <c r="G22" s="134"/>
    </row>
    <row r="23" spans="1:7" ht="32.25" customHeight="1">
      <c r="A23" s="169" t="s">
        <v>354</v>
      </c>
      <c r="B23" s="170" t="s">
        <v>600</v>
      </c>
      <c r="C23" s="171" t="s">
        <v>601</v>
      </c>
      <c r="D23" s="172">
        <v>25953.08</v>
      </c>
      <c r="E23" s="173">
        <v>24781.119999999999</v>
      </c>
      <c r="F23" s="174"/>
      <c r="G23" s="134"/>
    </row>
    <row r="24" spans="1:7" ht="15.75" customHeight="1">
      <c r="A24" s="275"/>
      <c r="B24" s="275"/>
      <c r="C24" s="275"/>
      <c r="D24" s="275"/>
      <c r="E24" s="82"/>
    </row>
    <row r="25" spans="1:7" s="175" customFormat="1" ht="21" customHeight="1">
      <c r="A25" s="337" t="s">
        <v>602</v>
      </c>
      <c r="B25" s="337"/>
      <c r="C25" s="337" t="s">
        <v>1054</v>
      </c>
      <c r="D25" s="337"/>
      <c r="E25" s="162" t="s">
        <v>1066</v>
      </c>
    </row>
    <row r="26" spans="1:7" s="161" customFormat="1" ht="15.75" customHeight="1">
      <c r="A26" s="339" t="s">
        <v>603</v>
      </c>
      <c r="B26" s="339"/>
      <c r="C26" s="272" t="s">
        <v>603</v>
      </c>
      <c r="D26" s="272"/>
      <c r="E26" s="117" t="s">
        <v>604</v>
      </c>
    </row>
    <row r="27" spans="1:7" ht="87.75" customHeight="1">
      <c r="A27" s="275"/>
      <c r="B27" s="275"/>
      <c r="C27" s="275"/>
      <c r="D27" s="275"/>
      <c r="E27" s="176"/>
    </row>
    <row r="28" spans="1:7" ht="15.75" customHeight="1">
      <c r="A28" s="271" t="s">
        <v>605</v>
      </c>
      <c r="B28" s="271"/>
      <c r="C28" s="271" t="s">
        <v>1055</v>
      </c>
      <c r="D28" s="271"/>
      <c r="E28" s="116" t="s">
        <v>228</v>
      </c>
    </row>
  </sheetData>
  <mergeCells count="29">
    <mergeCell ref="D6:E6"/>
    <mergeCell ref="C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7:B27"/>
    <mergeCell ref="C27:D27"/>
    <mergeCell ref="A28:B28"/>
    <mergeCell ref="C28:D28"/>
    <mergeCell ref="D13:E13"/>
    <mergeCell ref="A24:B24"/>
    <mergeCell ref="C24:D24"/>
    <mergeCell ref="A25:B25"/>
    <mergeCell ref="C25:D25"/>
    <mergeCell ref="A26:B26"/>
    <mergeCell ref="C26:D26"/>
  </mergeCells>
  <printOptions horizontalCentered="1"/>
  <pageMargins left="0" right="0" top="0.5899999737739563" bottom="0.5899999737739563" header="0.5" footer="0.5"/>
  <pageSetup paperSize="9" scale="98"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SSduAH0sPVbB1suI8OVjOOrzjwE=</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zsnKKVVqvN3wqT57aDQ8DAZfJK4=</DigestValue>
    </Reference>
  </SignedInfo>
  <SignatureValue>gLMzYza7Rqz9EsiEuP+qAUhSbi/US077m+6DgsOzb5W+2Y4IkOahmu8TGKfIB32Xaad7TvWDLFLm
vKhF2BCHuQy/ZdjXV2Ef1MsRxMh2KVWh6f8c4ZZC7gkHGcuRFW7GmwflUS2Df9L835uPG8kA5qEL
BOX9eGhzPik16AH/toS+dwgY0N2+8c1JjY6g6kdWXLKH+4HX7X2Xs6lMd/bTxe/dUU905ETRXzuy
MNOGtNyHR1fREY/niBjFZZ/w8sPza9L3LTa9L/l61H2fDNgqxC7CBbKuTbQiruiGttiQRa4B7AoX
L7acM/AGIv/Ozod4J6M/9y8LKzEkPoSypHuM2A==</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a3rgpnuAp0ee6RAz9cfOS/NaX1U=</DigestValue>
      </Reference>
      <Reference URI="/xl/drawings/drawing3.xml?ContentType=application/vnd.openxmlformats-officedocument.drawing+xml">
        <DigestMethod Algorithm="http://www.w3.org/2000/09/xmldsig#sha1"/>
        <DigestValue>CdXzPiNeOwNPOsE270Nei6g/5jE=</DigestValue>
      </Reference>
      <Reference URI="/xl/drawings/drawing2.xml?ContentType=application/vnd.openxmlformats-officedocument.drawing+xml">
        <DigestMethod Algorithm="http://www.w3.org/2000/09/xmldsig#sha1"/>
        <DigestValue>uQsCqMRDqcdYiKn+4HK7pQMt0mQ=</DigestValue>
      </Reference>
      <Reference URI="/xl/media/image2.jpeg?ContentType=image/jpeg">
        <DigestMethod Algorithm="http://www.w3.org/2000/09/xmldsig#sha1"/>
        <DigestValue>jI9QCYc8okTfcYQEKVo8xGTazwE=</DigestValue>
      </Reference>
      <Reference URI="/xl/worksheets/sheet6.xml?ContentType=application/vnd.openxmlformats-officedocument.spreadsheetml.worksheet+xml">
        <DigestMethod Algorithm="http://www.w3.org/2000/09/xmldsig#sha1"/>
        <DigestValue>PxFOwI8ZePIXhmIVOhAfgFH9Z0Q=</DigestValue>
      </Reference>
      <Reference URI="/xl/worksheets/sheet7.xml?ContentType=application/vnd.openxmlformats-officedocument.spreadsheetml.worksheet+xml">
        <DigestMethod Algorithm="http://www.w3.org/2000/09/xmldsig#sha1"/>
        <DigestValue>hwQmlt1MwKh3LdywzVH7NBOYJ+s=</DigestValue>
      </Reference>
      <Reference URI="/xl/worksheets/sheet8.xml?ContentType=application/vnd.openxmlformats-officedocument.spreadsheetml.worksheet+xml">
        <DigestMethod Algorithm="http://www.w3.org/2000/09/xmldsig#sha1"/>
        <DigestValue>ScJRlEQcjwTGduFZP4pbzgd5osg=</DigestValue>
      </Reference>
      <Reference URI="/xl/calcChain.xml?ContentType=application/vnd.openxmlformats-officedocument.spreadsheetml.calcChain+xml">
        <DigestMethod Algorithm="http://www.w3.org/2000/09/xmldsig#sha1"/>
        <DigestValue>5PH+S3iBQ7DgXc07XHlB9SPGUZs=</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JS5hojjgnRJWPfP25HudT296Dls=</DigestValue>
      </Reference>
      <Reference URI="/xl/drawings/drawing5.xml?ContentType=application/vnd.openxmlformats-officedocument.drawing+xml">
        <DigestMethod Algorithm="http://www.w3.org/2000/09/xmldsig#sha1"/>
        <DigestValue>mfk/KVHho5CXeZVEkcv9pLv+o2g=</DigestValue>
      </Reference>
      <Reference URI="/xl/media/image3.jpeg?ContentType=image/jpeg">
        <DigestMethod Algorithm="http://www.w3.org/2000/09/xmldsig#sha1"/>
        <DigestValue>crcL9ZDzkeu+7rd01szBfLMmQK4=</DigestValue>
      </Reference>
      <Reference URI="/xl/drawings/drawing4.xml?ContentType=application/vnd.openxmlformats-officedocument.drawing+xml">
        <DigestMethod Algorithm="http://www.w3.org/2000/09/xmldsig#sha1"/>
        <DigestValue>XYp/CfijDAtwfItA4zHYPID7Puk=</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8.bin?ContentType=application/vnd.openxmlformats-officedocument.spreadsheetml.printerSettings">
        <DigestMethod Algorithm="http://www.w3.org/2000/09/xmldsig#sha1"/>
        <DigestValue>KHe0axIziFA0hv2Vp6XmrOX0bcE=</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KHe0axIziFA0hv2Vp6XmrOX0bcE=</DigestValue>
      </Reference>
      <Reference URI="/xl/drawings/drawing6.xml?ContentType=application/vnd.openxmlformats-officedocument.drawing+xml">
        <DigestMethod Algorithm="http://www.w3.org/2000/09/xmldsig#sha1"/>
        <DigestValue>gtjAOvsgqqLXimDUxkpq/dRhm84=</DigestValue>
      </Reference>
      <Reference URI="/xl/worksheets/sheet9.xml?ContentType=application/vnd.openxmlformats-officedocument.spreadsheetml.worksheet+xml">
        <DigestMethod Algorithm="http://www.w3.org/2000/09/xmldsig#sha1"/>
        <DigestValue>BE8xKlf646Cy+Q6MME1SsY37GDY=</DigestValue>
      </Reference>
      <Reference URI="/xl/workbook.xml?ContentType=application/vnd.openxmlformats-officedocument.spreadsheetml.sheet.main+xml">
        <DigestMethod Algorithm="http://www.w3.org/2000/09/xmldsig#sha1"/>
        <DigestValue>4ur5jaOODFgZjDJ1f63hr50ZB4M=</DigestValue>
      </Reference>
      <Reference URI="/xl/media/image4.jpeg?ContentType=image/jpeg">
        <DigestMethod Algorithm="http://www.w3.org/2000/09/xmldsig#sha1"/>
        <DigestValue>qTnYKFW/2tAz985EoMEzDAodeTg=</DigestValue>
      </Reference>
      <Reference URI="/xl/media/image1.jpeg?ContentType=image/jpeg">
        <DigestMethod Algorithm="http://www.w3.org/2000/09/xmldsig#sha1"/>
        <DigestValue>e6cZmKziv7AMnsvxd3uKoYdZ36E=</DigestValue>
      </Reference>
      <Reference URI="/xl/media/image5.jpeg?ContentType=image/jpeg">
        <DigestMethod Algorithm="http://www.w3.org/2000/09/xmldsig#sha1"/>
        <DigestValue>g49vaF6bvqSneOUVRM0whAl8v/8=</DigestValue>
      </Reference>
      <Reference URI="/xl/drawings/drawing8.xml?ContentType=application/vnd.openxmlformats-officedocument.drawing+xml">
        <DigestMethod Algorithm="http://www.w3.org/2000/09/xmldsig#sha1"/>
        <DigestValue>sPD6lcpGnsYgcghhGKJpH+3Jyu8=</DigestValue>
      </Reference>
      <Reference URI="/xl/worksheets/sheet3.xml?ContentType=application/vnd.openxmlformats-officedocument.spreadsheetml.worksheet+xml">
        <DigestMethod Algorithm="http://www.w3.org/2000/09/xmldsig#sha1"/>
        <DigestValue>ylggRcvFYDvdLx35Ek8Q0YoPudQ=</DigestValue>
      </Reference>
      <Reference URI="/xl/worksheets/sheet2.xml?ContentType=application/vnd.openxmlformats-officedocument.spreadsheetml.worksheet+xml">
        <DigestMethod Algorithm="http://www.w3.org/2000/09/xmldsig#sha1"/>
        <DigestValue>CeFAZvoHU5kMjqqARwURwJA+9yQ=</DigestValue>
      </Reference>
      <Reference URI="/xl/worksheets/sheet4.xml?ContentType=application/vnd.openxmlformats-officedocument.spreadsheetml.worksheet+xml">
        <DigestMethod Algorithm="http://www.w3.org/2000/09/xmldsig#sha1"/>
        <DigestValue>2sgbsTxR2b76+NbOMpRlmuA/Usk=</DigestValue>
      </Reference>
      <Reference URI="/xl/worksheets/sheet1.xml?ContentType=application/vnd.openxmlformats-officedocument.spreadsheetml.worksheet+xml">
        <DigestMethod Algorithm="http://www.w3.org/2000/09/xmldsig#sha1"/>
        <DigestValue>TgUZtvm6uo3lThWSmW/Wci0eIU4=</DigestValue>
      </Reference>
      <Reference URI="/xl/drawings/drawing7.xml?ContentType=application/vnd.openxmlformats-officedocument.drawing+xml">
        <DigestMethod Algorithm="http://www.w3.org/2000/09/xmldsig#sha1"/>
        <DigestValue>lg2JmiicAmxFo0Qafdzg0/LYVms=</DigestValue>
      </Reference>
      <Reference URI="/xl/drawings/drawing1.xml?ContentType=application/vnd.openxmlformats-officedocument.drawing+xml">
        <DigestMethod Algorithm="http://www.w3.org/2000/09/xmldsig#sha1"/>
        <DigestValue>kCVYwsBuQpdrui+slygeTrbF1S4=</DigestValue>
      </Reference>
      <Reference URI="/xl/worksheets/sheet5.xml?ContentType=application/vnd.openxmlformats-officedocument.spreadsheetml.worksheet+xml">
        <DigestMethod Algorithm="http://www.w3.org/2000/09/xmldsig#sha1"/>
        <DigestValue>dz1UdVqEATv97yfXWdgE3IwgyDs=</DigestValue>
      </Reference>
      <Reference URI="/xl/sharedStrings.xml?ContentType=application/vnd.openxmlformats-officedocument.spreadsheetml.sharedStrings+xml">
        <DigestMethod Algorithm="http://www.w3.org/2000/09/xmldsig#sha1"/>
        <DigestValue>YDBfJZLdCsC2I6Xcesn5DrJ5+p8=</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2024-01-08T01:55:53Z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2024-01-08T01:55:53Z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2024-01-08T01:55:46Z</dcterms:modified>
</cp:coreProperties>
</file>