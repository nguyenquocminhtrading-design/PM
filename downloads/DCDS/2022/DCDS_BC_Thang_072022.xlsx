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1.01 VFMVF1\2022 VF1\07.Jul\Monthly\KY SO\"/>
    </mc:Choice>
  </mc:AlternateContent>
  <xr:revisionPtr revIDLastSave="0" documentId="13_ncr:201_{79CB805C-8910-4CF1-9392-F6847821A205}" xr6:coauthVersionLast="47" xr6:coauthVersionMax="47" xr10:uidLastSave="{00000000-0000-0000-0000-000000000000}"/>
  <bookViews>
    <workbookView xWindow="-110" yWindow="-110" windowWidth="19420" windowHeight="1042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BCDanhMucDauTu_06029!$A$1:$G$117</definedName>
    <definedName name="_xlnm.Print_Area" localSheetId="6">BCHoatDongVay_06026!$A$1:$K$47</definedName>
    <definedName name="_xlnm.Print_Area" localSheetId="4">BCKetQuaHoatDong_06028!$A:$F</definedName>
    <definedName name="_xlnm.Print_Area" localSheetId="3">BCTaiSan_06027!$A$1:$F$108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TONGQUAN!$A$1:$K$48</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1" i="45" l="1"/>
  <c r="I46" i="45" l="1"/>
  <c r="I45" i="45"/>
  <c r="A46" i="45"/>
  <c r="A45" i="45"/>
  <c r="G14" i="45"/>
  <c r="G13" i="45"/>
  <c r="G12" i="45"/>
  <c r="G10" i="45"/>
  <c r="G9" i="45"/>
  <c r="G8" i="45"/>
  <c r="G7" i="45"/>
  <c r="A5" i="45"/>
  <c r="F16" i="42" l="1"/>
  <c r="E16" i="42"/>
  <c r="C14" i="42" l="1"/>
  <c r="C13" i="42"/>
  <c r="C12" i="42"/>
  <c r="C11" i="42"/>
  <c r="C10" i="42"/>
  <c r="C9" i="42"/>
  <c r="C8" i="42"/>
  <c r="C7" i="42"/>
  <c r="A5" i="42"/>
  <c r="D14" i="34" l="1"/>
  <c r="D12" i="34"/>
  <c r="D10" i="34"/>
  <c r="D13" i="34"/>
  <c r="D11" i="34"/>
  <c r="D9" i="34"/>
  <c r="D8" i="34"/>
  <c r="D7" i="34"/>
  <c r="A5" i="34"/>
  <c r="D17" i="34" l="1"/>
  <c r="F19" i="1" l="1"/>
  <c r="I44" i="45" s="1"/>
</calcChain>
</file>

<file path=xl/sharedStrings.xml><?xml version="1.0" encoding="utf-8"?>
<sst xmlns="http://schemas.openxmlformats.org/spreadsheetml/2006/main" count="1178" uniqueCount="872">
  <si>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</si>
  <si>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</si>
  <si>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</si>
  <si>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</si>
  <si>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</si>
  <si>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</si>
  <si>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</si>
  <si>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</si>
  <si>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</si>
  <si>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</si>
  <si>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</si>
  <si>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</si>
  <si>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</si>
  <si>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</si>
  <si>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</si>
  <si>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</si>
  <si>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</si>
  <si>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</si>
  <si>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</si>
  <si>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</si>
  <si>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</si>
  <si>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</si>
  <si>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</si>
  <si>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 xml:space="preserve">Báo cáo danh mục đầu tư của quỹ </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</si>
  <si>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</si>
  <si>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</si>
  <si>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</si>
  <si>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</si>
  <si>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</si>
  <si>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</si>
  <si>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</si>
  <si>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</si>
  <si>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</si>
  <si>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</si>
  <si>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</si>
  <si>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</si>
  <si>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</si>
  <si>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</si>
  <si>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</si>
  <si>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</si>
  <si>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</si>
  <si>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</si>
  <si>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</si>
  <si>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</si>
  <si>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</si>
  <si>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</si>
  <si>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</si>
  <si>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</si>
  <si>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</si>
  <si>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</si>
  <si>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</si>
  <si>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</si>
  <si>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</si>
  <si>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</si>
  <si>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</si>
  <si>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</si>
  <si>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</si>
  <si>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</si>
  <si>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</si>
  <si>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</si>
  <si>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</si>
  <si>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</si>
  <si>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</si>
  <si>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</si>
  <si>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</si>
  <si>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</si>
  <si>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</si>
  <si>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</si>
  <si>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</si>
  <si>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</si>
  <si>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</si>
  <si>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</si>
  <si>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</si>
  <si>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</si>
  <si>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</si>
  <si>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</si>
  <si>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</si>
  <si>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</si>
  <si>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</si>
  <si>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</si>
  <si>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</si>
  <si>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</si>
  <si>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</si>
  <si>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</si>
  <si>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</si>
  <si>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</si>
  <si>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</si>
  <si>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</si>
  <si>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</si>
  <si>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</si>
  <si>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</si>
  <si>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</si>
  <si>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</si>
  <si>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</si>
  <si>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</si>
  <si>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</si>
  <si>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</si>
  <si>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</si>
  <si>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</si>
  <si>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</si>
  <si>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</si>
  <si>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</si>
  <si>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</si>
  <si>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</si>
  <si>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</si>
  <si>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</si>
  <si>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</si>
  <si>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</si>
  <si>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</si>
  <si>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</si>
  <si>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</si>
  <si>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</si>
  <si>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</si>
  <si>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</si>
  <si>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</si>
  <si>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</si>
  <si>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</si>
  <si>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</si>
  <si>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</si>
  <si>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</si>
  <si>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</si>
  <si>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</si>
  <si>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</si>
  <si>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</si>
  <si>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</si>
  <si>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</si>
  <si>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</si>
  <si>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</si>
  <si>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</si>
  <si>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</si>
  <si>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</si>
  <si>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</si>
  <si>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</si>
  <si>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</si>
  <si>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</si>
  <si>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</si>
  <si>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</si>
  <si>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</si>
  <si>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</si>
  <si>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</si>
  <si>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</si>
  <si>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</si>
  <si>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</si>
  <si>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</si>
  <si>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</si>
  <si>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</si>
  <si>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</si>
  <si>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</si>
  <si>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</si>
  <si>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</si>
  <si>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</si>
  <si>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</si>
  <si>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</si>
  <si>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</si>
  <si>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</si>
  <si>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</si>
  <si>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</si>
  <si>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</si>
  <si>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</si>
  <si>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</si>
  <si>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</si>
  <si>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</si>
  <si>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</si>
  <si>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</si>
  <si>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</si>
  <si>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</si>
  <si>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</si>
  <si>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</si>
  <si>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</si>
  <si>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</si>
  <si>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</si>
  <si>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</si>
  <si>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</si>
  <si>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</si>
  <si>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</si>
  <si>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</si>
  <si>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</si>
  <si>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</si>
  <si>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</si>
  <si>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</si>
  <si>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</si>
  <si>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</si>
  <si>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</si>
  <si>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</si>
  <si>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</si>
  <si>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</si>
  <si>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</si>
  <si>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</si>
  <si>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</si>
  <si>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</si>
  <si>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</si>
  <si>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</si>
  <si>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</si>
  <si>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</si>
  <si>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</si>
  <si>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</si>
  <si>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</si>
  <si>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</si>
  <si>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</si>
  <si>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</si>
  <si>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</si>
  <si>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</si>
  <si>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</si>
  <si>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</si>
  <si>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</si>
  <si>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</si>
  <si>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</si>
  <si>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</si>
  <si>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</si>
  <si>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</si>
  <si>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</si>
  <si>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</si>
  <si>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</si>
  <si>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</si>
  <si>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</si>
  <si>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</si>
  <si>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</si>
  <si>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</si>
  <si>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</si>
  <si>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</si>
  <si>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</si>
  <si>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</si>
  <si>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</si>
  <si>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</si>
  <si>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</si>
  <si>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</si>
  <si>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</si>
  <si>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</si>
  <si>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</si>
  <si>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</si>
  <si>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</si>
  <si>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</si>
  <si>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</si>
  <si>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</si>
  <si>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</si>
  <si>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</si>
  <si>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</si>
  <si>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</si>
  <si>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</si>
  <si>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</si>
  <si>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</si>
  <si>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</si>
  <si>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</si>
  <si>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</si>
  <si>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</si>
  <si>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</si>
  <si>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</si>
  <si>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</si>
  <si>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</si>
  <si>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</si>
  <si>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</si>
  <si>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</si>
  <si>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</si>
  <si>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</si>
  <si>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</si>
  <si>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</si>
  <si>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</si>
  <si>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</si>
  <si>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</si>
  <si>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</si>
  <si>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</si>
  <si>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</si>
  <si>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</si>
  <si>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</si>
  <si>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</si>
  <si>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</si>
  <si>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</si>
  <si>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</si>
  <si>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</si>
  <si>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</si>
  <si>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</si>
  <si>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</si>
  <si>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</si>
  <si>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</si>
  <si>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</si>
  <si>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</si>
  <si>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</si>
  <si>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</si>
  <si>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</si>
  <si>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</si>
  <si>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</si>
  <si>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</si>
  <si>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</si>
  <si>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</si>
  <si>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</si>
  <si>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</si>
  <si>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</si>
  <si>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</si>
  <si>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</si>
  <si>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</si>
  <si>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</si>
  <si>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</si>
  <si>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</si>
  <si>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</si>
  <si>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</si>
  <si>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</si>
  <si>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</si>
  <si>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</si>
  <si>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</si>
  <si>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</si>
  <si>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</si>
  <si>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</si>
  <si>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</si>
  <si>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</si>
  <si>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</si>
  <si>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</si>
  <si>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</si>
  <si>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</si>
  <si>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</si>
  <si>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</si>
  <si>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</si>
  <si>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</si>
  <si>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</si>
  <si>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</si>
  <si>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</si>
  <si>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</si>
  <si>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</si>
  <si>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</si>
  <si>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</si>
  <si>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</si>
  <si>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</si>
  <si>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</si>
  <si>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</si>
  <si>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</si>
  <si>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</si>
  <si>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</si>
  <si>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</si>
  <si>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</si>
  <si>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</si>
  <si>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</si>
  <si>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</si>
  <si>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</si>
  <si>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</si>
  <si>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</si>
  <si>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</si>
  <si>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</si>
  <si>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</si>
  <si>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</si>
  <si>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</si>
  <si>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</si>
  <si>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</si>
  <si>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</si>
  <si>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</si>
  <si>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</si>
  <si>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</si>
  <si>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</si>
  <si>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</si>
  <si>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</si>
  <si>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</si>
  <si>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</si>
  <si>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</si>
  <si>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</si>
  <si>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</si>
  <si>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</si>
  <si>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</si>
  <si>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</si>
  <si>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</si>
  <si>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</si>
  <si>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</si>
  <si>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</si>
  <si>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</si>
  <si>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</si>
  <si>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</si>
  <si>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</si>
  <si>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</si>
  <si>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</si>
  <si>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</si>
  <si>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</si>
  <si>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</si>
  <si>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</si>
  <si>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</si>
  <si>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</si>
  <si>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</si>
  <si>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</si>
  <si>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</si>
  <si>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</si>
  <si>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</si>
  <si>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</si>
  <si>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</si>
  <si>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</si>
  <si>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</si>
  <si>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</si>
  <si>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</si>
  <si>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</si>
  <si>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</si>
  <si>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</si>
  <si>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</si>
  <si>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</si>
  <si>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</si>
  <si>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</si>
  <si>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</si>
  <si>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</si>
  <si>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</si>
  <si>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</si>
  <si>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</si>
  <si>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</si>
  <si>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</si>
  <si>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</si>
  <si>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</si>
  <si>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</si>
  <si>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</si>
  <si>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</si>
  <si>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</si>
  <si>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</si>
  <si>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</si>
  <si>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</si>
  <si>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</si>
  <si>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</si>
  <si>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</si>
  <si>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</si>
  <si>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</si>
  <si>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</si>
  <si>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</si>
  <si>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</si>
  <si>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</si>
  <si>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</si>
  <si>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</si>
  <si>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</si>
  <si>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</si>
  <si>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</si>
  <si>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</si>
  <si>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</si>
  <si>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</si>
  <si>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</si>
  <si>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</si>
  <si>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</si>
  <si>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</si>
  <si>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</si>
  <si>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</si>
  <si>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</si>
  <si>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</si>
  <si>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</si>
  <si>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</si>
  <si>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</si>
  <si>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</si>
  <si>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</si>
  <si>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</si>
  <si>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</si>
  <si>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</si>
  <si>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</si>
  <si>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</si>
  <si>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</si>
  <si>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</si>
  <si>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</si>
  <si>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</si>
  <si>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</si>
  <si>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</si>
  <si>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</si>
  <si>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</si>
  <si>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</si>
  <si>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</si>
  <si>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</si>
  <si>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</si>
  <si>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</si>
  <si>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</si>
  <si>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</si>
  <si>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</si>
  <si>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</si>
  <si>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</si>
  <si>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</si>
  <si>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</si>
  <si>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</si>
  <si>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</si>
  <si>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</si>
  <si>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</si>
  <si>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</si>
  <si>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</si>
  <si>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</si>
  <si>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</si>
  <si>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</si>
  <si>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</si>
  <si>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</si>
  <si>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</si>
  <si>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</si>
  <si>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</si>
  <si>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</si>
  <si>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</si>
  <si>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</si>
  <si>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</si>
  <si>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</si>
  <si>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</si>
  <si>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</si>
  <si>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</si>
  <si>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</si>
  <si>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</si>
  <si>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</si>
  <si>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</si>
  <si>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</si>
  <si>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</si>
  <si>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</si>
  <si>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</si>
  <si>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</si>
  <si>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</si>
  <si>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</si>
  <si>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</si>
  <si>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</si>
  <si>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</si>
  <si>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</si>
  <si>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</si>
  <si>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</si>
  <si>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</si>
  <si>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</si>
  <si>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</si>
  <si>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</si>
  <si>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</si>
  <si>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</si>
  <si>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</si>
  <si>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</si>
  <si>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</si>
  <si>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</si>
  <si>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</si>
  <si>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</si>
  <si>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</si>
  <si>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</si>
  <si>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</si>
  <si>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</si>
  <si>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</si>
  <si>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</si>
  <si>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</si>
  <si>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</si>
  <si>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</si>
  <si>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</si>
  <si>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</si>
  <si>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</si>
  <si>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</si>
  <si>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</si>
  <si>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</si>
  <si>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</si>
  <si>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</si>
  <si>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</si>
  <si>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</si>
  <si>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</si>
  <si>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</si>
  <si>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</si>
  <si>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</si>
  <si>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</si>
  <si>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</si>
  <si>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</si>
  <si>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</si>
  <si>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</si>
  <si>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</si>
  <si>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</si>
  <si>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</si>
  <si>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</si>
  <si>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</si>
  <si>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</si>
  <si>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</si>
  <si>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</si>
  <si>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</si>
  <si>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</si>
  <si>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</si>
  <si>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</si>
  <si>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</si>
  <si>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</si>
  <si>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</si>
  <si>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</si>
  <si>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</si>
  <si>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</si>
  <si>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</si>
  <si>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</si>
  <si>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</si>
  <si>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</si>
  <si>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</si>
  <si>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</si>
  <si>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</si>
  <si>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</si>
  <si>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</si>
  <si>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</si>
  <si>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</si>
  <si>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</si>
  <si>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</si>
  <si>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</si>
  <si>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</si>
  <si>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</si>
  <si>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</si>
  <si>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</si>
  <si>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</si>
  <si>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</si>
  <si>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</si>
  <si>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</si>
  <si>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</si>
  <si>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</si>
  <si>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</si>
  <si>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</si>
  <si>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</si>
  <si>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</si>
  <si>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</si>
  <si>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</si>
  <si>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</si>
  <si>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</si>
  <si>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</si>
  <si>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</si>
  <si>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</si>
  <si>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</si>
  <si>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</si>
  <si>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</si>
  <si>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</si>
  <si>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</si>
  <si>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</si>
  <si>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</si>
  <si>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</si>
  <si>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</si>
  <si>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</si>
  <si>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</si>
  <si>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</si>
  <si>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</si>
  <si>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</si>
  <si>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</si>
  <si>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</si>
  <si>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</si>
  <si>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</si>
  <si>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</si>
  <si>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</si>
  <si>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</si>
  <si>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</si>
  <si>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</si>
  <si>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</si>
  <si>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</si>
  <si>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</si>
  <si>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</si>
  <si>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</si>
  <si>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</si>
  <si>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</si>
  <si>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</si>
  <si>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</si>
  <si>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</si>
  <si>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</si>
  <si>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</si>
  <si>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</si>
  <si>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</si>
  <si>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</si>
  <si>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</si>
  <si>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</si>
  <si>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</si>
  <si>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</si>
  <si>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</si>
  <si>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</si>
  <si>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</si>
  <si>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</si>
  <si>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</si>
  <si>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</si>
  <si>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</si>
  <si>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</si>
  <si>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</si>
  <si>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</si>
  <si>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1</t>
  </si>
  <si>
    <t>ACB</t>
  </si>
  <si>
    <t>2</t>
  </si>
  <si>
    <t>BID</t>
  </si>
  <si>
    <t>3</t>
  </si>
  <si>
    <t>BWE</t>
  </si>
  <si>
    <t>4</t>
  </si>
  <si>
    <t>CTD</t>
  </si>
  <si>
    <t>5</t>
  </si>
  <si>
    <t>CTG</t>
  </si>
  <si>
    <t>6</t>
  </si>
  <si>
    <t>DGC</t>
  </si>
  <si>
    <t>7</t>
  </si>
  <si>
    <t>DGW</t>
  </si>
  <si>
    <t>8</t>
  </si>
  <si>
    <t>DPG</t>
  </si>
  <si>
    <t>9</t>
  </si>
  <si>
    <t>DXG</t>
  </si>
  <si>
    <t>10</t>
  </si>
  <si>
    <t>FPT</t>
  </si>
  <si>
    <t>11</t>
  </si>
  <si>
    <t>FRT</t>
  </si>
  <si>
    <t>12</t>
  </si>
  <si>
    <t>GAS</t>
  </si>
  <si>
    <t>13</t>
  </si>
  <si>
    <t>GIL</t>
  </si>
  <si>
    <t>14</t>
  </si>
  <si>
    <t>HAH</t>
  </si>
  <si>
    <t>15</t>
  </si>
  <si>
    <t>HDC</t>
  </si>
  <si>
    <t>16</t>
  </si>
  <si>
    <t>HDG</t>
  </si>
  <si>
    <t>17</t>
  </si>
  <si>
    <t>HPG</t>
  </si>
  <si>
    <t>18</t>
  </si>
  <si>
    <t>IDC</t>
  </si>
  <si>
    <t>19</t>
  </si>
  <si>
    <t>IDI</t>
  </si>
  <si>
    <t>20</t>
  </si>
  <si>
    <t>KBC</t>
  </si>
  <si>
    <t>21</t>
  </si>
  <si>
    <t>KDH</t>
  </si>
  <si>
    <t>22</t>
  </si>
  <si>
    <t>MBB</t>
  </si>
  <si>
    <t>23</t>
  </si>
  <si>
    <t>MIG</t>
  </si>
  <si>
    <t>24</t>
  </si>
  <si>
    <t>MSN</t>
  </si>
  <si>
    <t>25</t>
  </si>
  <si>
    <t>MWG</t>
  </si>
  <si>
    <t>26</t>
  </si>
  <si>
    <t>NT2</t>
  </si>
  <si>
    <t>27</t>
  </si>
  <si>
    <t>NTL</t>
  </si>
  <si>
    <t>28</t>
  </si>
  <si>
    <t>PNJ</t>
  </si>
  <si>
    <t>29</t>
  </si>
  <si>
    <t>PTB</t>
  </si>
  <si>
    <t>30</t>
  </si>
  <si>
    <t>PVT</t>
  </si>
  <si>
    <t>31</t>
  </si>
  <si>
    <t>REE</t>
  </si>
  <si>
    <t>32</t>
  </si>
  <si>
    <t>SAB</t>
  </si>
  <si>
    <t>33</t>
  </si>
  <si>
    <t>SHS</t>
  </si>
  <si>
    <t>34</t>
  </si>
  <si>
    <t>SSI</t>
  </si>
  <si>
    <t>35</t>
  </si>
  <si>
    <t>STB</t>
  </si>
  <si>
    <t>36</t>
  </si>
  <si>
    <t>TCB</t>
  </si>
  <si>
    <t>37</t>
  </si>
  <si>
    <t>TNG</t>
  </si>
  <si>
    <t>38</t>
  </si>
  <si>
    <t>VCB</t>
  </si>
  <si>
    <t>39</t>
  </si>
  <si>
    <t>VCI</t>
  </si>
  <si>
    <t>40</t>
  </si>
  <si>
    <t>VGC</t>
  </si>
  <si>
    <t>41</t>
  </si>
  <si>
    <t>VHC</t>
  </si>
  <si>
    <t>42</t>
  </si>
  <si>
    <t>VHM</t>
  </si>
  <si>
    <t>43</t>
  </si>
  <si>
    <t>VIB</t>
  </si>
  <si>
    <t>44</t>
  </si>
  <si>
    <t>VND</t>
  </si>
  <si>
    <t>45</t>
  </si>
  <si>
    <t>VPB</t>
  </si>
  <si>
    <t>46</t>
  </si>
  <si>
    <t>VSC</t>
  </si>
  <si>
    <t>47</t>
  </si>
  <si>
    <t>VSH</t>
  </si>
  <si>
    <t>TỔNG
	TOTAL</t>
  </si>
  <si>
    <t>TỔNG
	TOTAL</t>
  </si>
  <si>
    <t>TỔNG CÁC LOẠI CỔ PHIẾU
TOTAL SHARES</t>
  </si>
  <si>
    <t>TRÁI PHIẾU
	BONDS</t>
  </si>
  <si>
    <t>1</t>
  </si>
  <si>
    <t>Trái phiếu niêm yết
Listed bonds</t>
  </si>
  <si>
    <t>1.1</t>
  </si>
  <si>
    <t>CII121029</t>
  </si>
  <si>
    <t>2</t>
  </si>
  <si>
    <t>Trái phiếu chưa niêm yết
Unlisted Bonds</t>
  </si>
  <si>
    <t>2.1</t>
  </si>
  <si>
    <t>DAT XANH GROUP JSC 12% 18 Mar 2023</t>
  </si>
  <si>
    <t>2.2</t>
  </si>
  <si>
    <t>KDH TRADING &amp; INV JSC 12% 14/06/2025</t>
  </si>
  <si>
    <t>2.3</t>
  </si>
  <si>
    <t>PDR BOND 12 PCT 02 DEC 2023</t>
  </si>
  <si>
    <t>2.4</t>
  </si>
  <si>
    <t>PHAT DAT REAL ESTATE 13% 24/09/2023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</si>
  <si>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</si>
  <si>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</si>
  <si>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</si>
  <si>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</si>
  <si>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</si>
  <si>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</si>
  <si>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</si>
  <si>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</si>
  <si>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</si>
  <si>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</si>
  <si>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</si>
  <si>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</si>
  <si>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</si>
  <si>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</si>
  <si>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</si>
  <si>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</si>
  <si>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</si>
  <si>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</si>
  <si>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</si>
  <si>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</si>
  <si>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</si>
  <si>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</si>
  <si>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</si>
  <si>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</si>
  <si>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</si>
  <si>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</si>
  <si>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</si>
  <si>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</si>
  <si>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</si>
  <si>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</si>
  <si>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</si>
  <si>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</si>
  <si>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</si>
  <si>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31 tháng 07 năm 2022
/ As at 31 Jul 2022</t>
  </si>
  <si>
    <t>Tháng 07 năm 2022
/ Jul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</si>
  <si>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</si>
  <si>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</si>
  <si>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</si>
  <si>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</si>
  <si>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t>
  </si>
  <si>
    <t>DC Dynamic Securities Fund(VFMVF1)</t>
  </si>
  <si>
    <t>Ngày 01 tháng 08 năm 2022</t>
  </si>
  <si>
    <t>01 Aug 2022</t>
  </si>
  <si>
    <t>Trịnh Hoài Nam</t>
  </si>
  <si>
    <t>Nguyễn Minh Đăng Khánh</t>
  </si>
  <si>
    <t>Phó phòng Dịch vụ Quản trị và Giám sát Quỹ</t>
  </si>
  <si>
    <t>Giám đốc điều hành Nghiệp vụ hỗ trợ đầu tư</t>
  </si>
  <si>
    <t>Ngày 31 tháng 07 năm 2022
 As at 31 Jul 2022</t>
  </si>
  <si>
    <t>Ngày 30 tháng 06 năm 2022
 As at 30 Jun 2022</t>
  </si>
  <si>
    <t>Tháng 07 năm 2022
Jul 2022</t>
  </si>
  <si>
    <t>Tháng 06 năm 2022
Jun 2022</t>
  </si>
  <si>
    <t>Năm 2022
Year 2022</t>
  </si>
  <si>
    <t>Năm 2021
Year 2021</t>
  </si>
  <si>
    <t>Tháng 07 năm 2021
Jul 2021</t>
  </si>
  <si>
    <t>Nguyễn Thu Ngọc</t>
  </si>
  <si>
    <t>Phạm Thanh Dũng</t>
  </si>
  <si>
    <t>Kế toán Quỹ</t>
  </si>
  <si>
    <t>Kế toán Trưởng</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</si>
  <si>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</si>
  <si>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</si>
  <si>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</si>
  <si>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</si>
  <si>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</si>
  <si>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</si>
  <si>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</si>
  <si>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</si>
  <si>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</si>
  <si>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</si>
  <si>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</si>
  <si>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</si>
  <si>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</si>
  <si>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</si>
  <si>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</si>
  <si>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</si>
  <si>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</si>
  <si>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</si>
  <si>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</si>
  <si>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</si>
  <si>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</si>
  <si>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</si>
  <si>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</si>
  <si>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</si>
  <si>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</si>
  <si>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</si>
  <si>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</si>
  <si>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</si>
  <si>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</si>
  <si>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</si>
  <si>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</si>
  <si>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</si>
  <si>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</si>
  <si>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</si>
  <si>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</si>
  <si>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</si>
  <si>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</si>
  <si>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</si>
  <si>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</si>
  <si>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</si>
  <si>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</si>
  <si>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</si>
  <si>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</si>
  <si>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</si>
  <si>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</si>
  <si>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</si>
  <si>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Quy mô quỹ đầu kỳ (theo mệnh giá)
Fund scale at the beginning of the period (based on par value)</t>
  </si>
  <si>
    <t>Tổng giá trị chứng chỉ quỹ đang lưu hành đầu kỳ (theo mệnh giá)
Total value of outstanding Fund Certificate at the beginning of period (based on par value)</t>
  </si>
  <si>
    <t>Tổng số lượng chứng chỉ quỹ đang lưu hành đầu kỳ
Total number of outstanding Fund Certificate at the beginning of period</t>
  </si>
  <si>
    <t>Thay đổi quy mô quỹ trong kỳ (theo mệnh giá)
Change of Fund scale during the period (based on par value)</t>
  </si>
  <si>
    <t>Số lượng chứng chỉ quỹ phát hành thêm trong kỳ
Number of Fund Certificates subscribed during the period</t>
  </si>
  <si>
    <t>Số lượng chứng chỉ quỹ mua lại trong kỳ
Number of Fund Certificates redeemed during the period</t>
  </si>
  <si>
    <t>Quy mô quỹ cuối kỳ (theo mệnh giá)
Fund scale at the end of the period (based on par value)</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</si>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</sst>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b/>
      <sz val="11"/>
      <color theme="1"/>
      <name val="Calibri"/>
      <family val="2"/>
      <scheme val="minor"/>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6">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9" fontId="1" fillId="0" borderId="0" applyFont="0" applyFill="0" applyBorder="0" applyAlignment="0" applyProtection="0"/>
  </cellStyleXfs>
  <cellXfs count="295">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7" fillId="2" borderId="0" xfId="0" applyFont="1" applyFill="1" applyAlignment="1">
      <alignment horizontal="center" vertical="center"/>
    </xf>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0" fontId="33" fillId="3" borderId="0" xfId="0" applyFont="1" applyFill="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22" fillId="3" borderId="0" xfId="0" applyFont="1" applyFill="1" applyAlignment="1">
      <alignment vertical="center"/>
    </xf>
    <xf numFmtId="0" fontId="22" fillId="3" borderId="0" xfId="0" applyFont="1" applyFill="1" applyAlignment="1">
      <alignment horizontal="center" vertical="center"/>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0" fontId="47" fillId="13" borderId="26" xfId="0" applyNumberFormat="1" applyFont="1" applyFill="1" applyBorder="1" applyAlignment="1" applyProtection="1">
      <alignment horizontal="center" vertical="center" wrapText="1"/>
      <protection locked="0"/>
    </xf>
    <xf numFmtId="165" fontId="49" fillId="15" borderId="26" xfId="0" applyNumberFormat="1" applyFont="1" applyFill="1" applyBorder="1" applyAlignment="1" applyProtection="1">
      <alignment horizontal="right" vertical="center" wrapText="1"/>
      <protection locked="0"/>
    </xf>
    <xf numFmtId="10" fontId="48" fillId="14" borderId="26" xfId="0" applyNumberFormat="1" applyFont="1" applyFill="1" applyBorder="1" applyAlignment="1" applyProtection="1">
      <alignment horizontal="right" vertical="center" wrapText="1"/>
      <protection locked="0"/>
    </xf>
    <xf numFmtId="0" fontId="21" fillId="13" borderId="26" xfId="0" applyNumberFormat="1" applyFont="1" applyFill="1" applyBorder="1" applyAlignment="1" applyProtection="1">
      <alignment horizontal="center" vertical="center" wrapText="1"/>
      <protection locked="0"/>
    </xf>
    <xf numFmtId="0" fontId="21" fillId="12" borderId="26" xfId="0" applyNumberFormat="1" applyFont="1" applyFill="1" applyBorder="1" applyAlignment="1" applyProtection="1">
      <alignment horizontal="left" vertical="center" wrapText="1"/>
      <protection locked="0"/>
    </xf>
    <xf numFmtId="0" fontId="1" fillId="0" borderId="0" xfId="3" applyFont="1" applyFill="1" applyAlignment="1">
      <alignment vertical="center"/>
    </xf>
    <xf numFmtId="0" fontId="22" fillId="0" borderId="26" xfId="0" applyFont="1" applyFill="1" applyBorder="1" applyAlignment="1" applyProtection="1">
      <alignment horizontal="center" vertical="center" wrapText="1"/>
      <protection locked="0"/>
    </xf>
    <xf numFmtId="0" fontId="22" fillId="0" borderId="26" xfId="0" applyFont="1" applyFill="1" applyBorder="1" applyAlignment="1" applyProtection="1">
      <alignment horizontal="left" vertical="center" wrapText="1"/>
      <protection locked="0"/>
    </xf>
    <xf numFmtId="49" fontId="22" fillId="0" borderId="26" xfId="0" applyNumberFormat="1" applyFont="1" applyFill="1" applyBorder="1" applyAlignment="1" applyProtection="1">
      <alignment horizontal="center" vertical="center" wrapText="1"/>
      <protection locked="0"/>
    </xf>
    <xf numFmtId="165" fontId="22" fillId="0" borderId="26" xfId="0" applyNumberFormat="1" applyFont="1" applyFill="1" applyBorder="1" applyAlignment="1" applyProtection="1">
      <alignment horizontal="right" vertical="center" wrapText="1"/>
      <protection locked="0"/>
    </xf>
    <xf numFmtId="10" fontId="22" fillId="0" borderId="26" xfId="0" applyNumberFormat="1" applyFont="1" applyFill="1" applyBorder="1" applyAlignment="1" applyProtection="1">
      <alignment horizontal="right" vertical="center" wrapText="1"/>
      <protection locked="0"/>
    </xf>
    <xf numFmtId="10" fontId="45" fillId="11" borderId="19" xfId="15"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10" fontId="49" fillId="15" borderId="23" xfId="15" applyNumberFormat="1" applyFont="1" applyFill="1" applyBorder="1" applyAlignment="1" applyProtection="1">
      <alignment horizontal="right" vertical="center" wrapText="1"/>
      <protection locked="0"/>
    </xf>
    <xf numFmtId="0" fontId="33" fillId="3" borderId="0" xfId="12" applyFont="1" applyFill="1" applyAlignment="1">
      <alignment horizontal="left" vertical="top"/>
    </xf>
    <xf numFmtId="0" fontId="52" fillId="3" borderId="0" xfId="13" applyFont="1" applyFill="1"/>
    <xf numFmtId="37" fontId="22" fillId="3" borderId="0" xfId="12" applyNumberFormat="1" applyFont="1" applyFill="1" applyAlignment="1">
      <alignment horizontal="left"/>
    </xf>
    <xf numFmtId="0" fontId="33" fillId="3" borderId="0" xfId="12" applyFont="1" applyFill="1" applyAlignment="1">
      <alignment horizontal="center" vertical="top"/>
    </xf>
    <xf numFmtId="10" fontId="44" fillId="10" borderId="27" xfId="0" applyNumberFormat="1" applyFont="1" applyFill="1" applyBorder="1" applyAlignment="1" applyProtection="1">
      <alignment horizontal="right" vertical="center" wrapText="1"/>
      <protection locked="0"/>
    </xf>
    <xf numFmtId="10" fontId="44" fillId="10" borderId="9" xfId="0" applyNumberFormat="1" applyFont="1" applyFill="1" applyBorder="1" applyAlignment="1" applyProtection="1">
      <alignment horizontal="right"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cellXfs>
  <cellStyles count="16">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xfId="15" builtinId="5"/>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1231515</xdr:colOff>
      <xdr:row>1</xdr:row>
      <xdr:rowOff>138225</xdr:rowOff>
    </xdr:to>
    <xdr:pic>
      <xdr:nvPicPr>
        <xdr:cNvPr id="4" name="Picture 3">
          <a:extLst>
            <a:ext uri="{FF2B5EF4-FFF2-40B4-BE49-F238E27FC236}">
              <a16:creationId xmlns:a16="http://schemas.microsoft.com/office/drawing/2014/main" id="{EE4A6B53-A7AC-45B2-8C56-9286099544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31515" cy="4268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732586</xdr:colOff>
      <xdr:row>1</xdr:row>
      <xdr:rowOff>128800</xdr:rowOff>
    </xdr:to>
    <xdr:pic>
      <xdr:nvPicPr>
        <xdr:cNvPr id="4" name="Picture 3">
          <a:extLst>
            <a:ext uri="{FF2B5EF4-FFF2-40B4-BE49-F238E27FC236}">
              <a16:creationId xmlns:a16="http://schemas.microsoft.com/office/drawing/2014/main" id="{D9645782-D917-4717-AB23-E818185CE0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31515" cy="42686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622433</xdr:colOff>
      <xdr:row>1</xdr:row>
      <xdr:rowOff>141759</xdr:rowOff>
    </xdr:to>
    <xdr:pic>
      <xdr:nvPicPr>
        <xdr:cNvPr id="3" name="Picture 2">
          <a:extLst>
            <a:ext uri="{FF2B5EF4-FFF2-40B4-BE49-F238E27FC236}">
              <a16:creationId xmlns:a16="http://schemas.microsoft.com/office/drawing/2014/main" id="{19AF5C72-EE4D-4A82-BF60-C3EDCF84A2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31515" cy="42686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620253</xdr:colOff>
      <xdr:row>1</xdr:row>
      <xdr:rowOff>142001</xdr:rowOff>
    </xdr:to>
    <xdr:pic>
      <xdr:nvPicPr>
        <xdr:cNvPr id="3" name="Picture 2">
          <a:extLst>
            <a:ext uri="{FF2B5EF4-FFF2-40B4-BE49-F238E27FC236}">
              <a16:creationId xmlns:a16="http://schemas.microsoft.com/office/drawing/2014/main" id="{DE39AF3E-A167-4C29-AF1E-5BD1B91687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31515" cy="4268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603199</xdr:colOff>
      <xdr:row>1</xdr:row>
      <xdr:rowOff>106019</xdr:rowOff>
    </xdr:to>
    <xdr:pic>
      <xdr:nvPicPr>
        <xdr:cNvPr id="3" name="Picture 2">
          <a:extLst>
            <a:ext uri="{FF2B5EF4-FFF2-40B4-BE49-F238E27FC236}">
              <a16:creationId xmlns:a16="http://schemas.microsoft.com/office/drawing/2014/main" id="{54E527CF-FC7D-4592-BE81-4836666620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31515" cy="42686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52294</xdr:colOff>
      <xdr:row>0</xdr:row>
      <xdr:rowOff>67235</xdr:rowOff>
    </xdr:from>
    <xdr:to>
      <xdr:col>1</xdr:col>
      <xdr:colOff>947633</xdr:colOff>
      <xdr:row>1</xdr:row>
      <xdr:rowOff>165390</xdr:rowOff>
    </xdr:to>
    <xdr:pic>
      <xdr:nvPicPr>
        <xdr:cNvPr id="3" name="Picture 2">
          <a:extLst>
            <a:ext uri="{FF2B5EF4-FFF2-40B4-BE49-F238E27FC236}">
              <a16:creationId xmlns:a16="http://schemas.microsoft.com/office/drawing/2014/main" id="{E288AE8D-C7A3-45AA-AC37-356842C66E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294" y="67235"/>
          <a:ext cx="1231515" cy="42686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133685</xdr:colOff>
      <xdr:row>0</xdr:row>
      <xdr:rowOff>80210</xdr:rowOff>
    </xdr:from>
    <xdr:to>
      <xdr:col>1</xdr:col>
      <xdr:colOff>756937</xdr:colOff>
      <xdr:row>1</xdr:row>
      <xdr:rowOff>126071</xdr:rowOff>
    </xdr:to>
    <xdr:pic>
      <xdr:nvPicPr>
        <xdr:cNvPr id="4" name="Picture 3">
          <a:extLst>
            <a:ext uri="{FF2B5EF4-FFF2-40B4-BE49-F238E27FC236}">
              <a16:creationId xmlns:a16="http://schemas.microsoft.com/office/drawing/2014/main" id="{07068120-40E4-4760-87B6-78D94DB2D6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685" y="80210"/>
          <a:ext cx="1231515" cy="42686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view="pageBreakPreview" topLeftCell="A7" zoomScaleSheetLayoutView="100" workbookViewId="0">
      <selection activeCell="J8" sqref="J8"/>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46" t="s">
        <v>790</v>
      </c>
      <c r="D1" s="247"/>
    </row>
    <row r="2" spans="1:11">
      <c r="C2" s="4" t="s">
        <v>791</v>
      </c>
      <c r="D2" s="5"/>
    </row>
    <row r="3" spans="1:11">
      <c r="D3" s="6"/>
    </row>
    <row r="4" spans="1:11">
      <c r="A4" s="1" t="s">
        <v>1</v>
      </c>
      <c r="D4" s="6"/>
    </row>
    <row r="5" spans="1:11" ht="15" customHeight="1">
      <c r="C5" s="7" t="s">
        <v>2</v>
      </c>
      <c r="D5" s="249" t="s">
        <v>792</v>
      </c>
      <c r="E5" s="249"/>
      <c r="F5" s="249"/>
      <c r="G5" s="249"/>
      <c r="H5" s="249"/>
      <c r="I5" s="249"/>
    </row>
    <row r="6" spans="1:11" ht="31">
      <c r="C6" s="9" t="s">
        <v>41</v>
      </c>
      <c r="D6" s="248" t="s">
        <v>793</v>
      </c>
      <c r="E6" s="248"/>
      <c r="F6" s="248"/>
      <c r="G6" s="248"/>
      <c r="H6" s="248"/>
      <c r="I6" s="248"/>
    </row>
    <row r="7" spans="1:11">
      <c r="C7" s="10" t="s">
        <v>3</v>
      </c>
      <c r="D7" s="249" t="s">
        <v>794</v>
      </c>
      <c r="E7" s="249"/>
      <c r="F7" s="249"/>
      <c r="G7" s="249"/>
      <c r="H7" s="249"/>
      <c r="I7" s="249"/>
    </row>
    <row r="8" spans="1:11" ht="15" customHeight="1">
      <c r="C8" s="11" t="s">
        <v>4</v>
      </c>
      <c r="D8" s="248" t="s">
        <v>795</v>
      </c>
      <c r="E8" s="248"/>
      <c r="F8" s="248"/>
      <c r="G8" s="248"/>
      <c r="H8" s="248"/>
      <c r="I8" s="248"/>
    </row>
    <row r="9" spans="1:11" ht="15" customHeight="1">
      <c r="C9" s="10" t="s">
        <v>5</v>
      </c>
      <c r="D9" s="249" t="s">
        <v>796</v>
      </c>
      <c r="E9" s="249"/>
      <c r="F9" s="249"/>
      <c r="G9" s="249"/>
      <c r="H9" s="249"/>
      <c r="I9" s="249"/>
    </row>
    <row r="10" spans="1:11" ht="15" customHeight="1">
      <c r="C10" s="8" t="s">
        <v>6</v>
      </c>
      <c r="D10" s="248" t="s">
        <v>797</v>
      </c>
      <c r="E10" s="248"/>
      <c r="F10" s="248"/>
      <c r="G10" s="248"/>
      <c r="H10" s="248"/>
      <c r="I10" s="248"/>
    </row>
    <row r="11" spans="1:11">
      <c r="C11" s="12" t="s">
        <v>7</v>
      </c>
      <c r="D11" s="249" t="s">
        <v>798</v>
      </c>
      <c r="E11" s="249"/>
      <c r="F11" s="249"/>
      <c r="G11" s="249"/>
      <c r="H11" s="249"/>
      <c r="I11" s="249"/>
    </row>
    <row r="12" spans="1:11">
      <c r="C12" s="13" t="s">
        <v>8</v>
      </c>
      <c r="D12" s="248" t="s">
        <v>799</v>
      </c>
      <c r="E12" s="248"/>
      <c r="F12" s="248"/>
      <c r="G12" s="248"/>
      <c r="H12" s="248"/>
      <c r="I12" s="248"/>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tr">
        <f>D5</f>
        <v>Công ty Cổ phần Quản lý Quỹ Đầu tư Dragon Capital Việt Nam</v>
      </c>
      <c r="G19" s="19"/>
      <c r="H19" s="19"/>
      <c r="I19" s="19"/>
      <c r="J19" s="19"/>
      <c r="K19" s="20"/>
    </row>
    <row r="20" spans="3:11">
      <c r="C20" s="23" t="s">
        <v>800</v>
      </c>
      <c r="D20" s="18"/>
      <c r="F20" s="22" t="s">
        <v>801</v>
      </c>
      <c r="G20" s="19"/>
      <c r="H20" s="19"/>
      <c r="I20" s="19"/>
      <c r="J20" s="19"/>
      <c r="K20" s="20"/>
    </row>
    <row r="21" spans="3:11">
      <c r="C21" s="24" t="s">
        <v>802</v>
      </c>
      <c r="D21" s="5"/>
      <c r="F21" s="25" t="s">
        <v>803</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c r="B35" s="30">
        <v>1</v>
      </c>
      <c r="C35" s="31" t="s">
        <v>21</v>
      </c>
      <c r="D35" s="32" t="s">
        <v>26</v>
      </c>
    </row>
    <row r="36" spans="2:12" s="33" customFormat="1">
      <c r="B36" s="30">
        <v>2</v>
      </c>
      <c r="C36" s="31" t="s">
        <v>22</v>
      </c>
      <c r="D36" s="32" t="s">
        <v>27</v>
      </c>
    </row>
    <row r="37" spans="2:12" s="33" customFormat="1" ht="31">
      <c r="B37" s="30">
        <v>3</v>
      </c>
      <c r="C37" s="31" t="s">
        <v>23</v>
      </c>
      <c r="D37" s="32" t="s">
        <v>28</v>
      </c>
      <c r="J37" s="34"/>
      <c r="K37" s="35"/>
      <c r="L37" s="36"/>
    </row>
    <row r="38" spans="2:12">
      <c r="B38" s="30">
        <v>4</v>
      </c>
      <c r="C38" s="30" t="s">
        <v>24</v>
      </c>
      <c r="D38" s="32" t="s">
        <v>29</v>
      </c>
      <c r="J38" s="37"/>
      <c r="K38" s="38"/>
      <c r="L38" s="39"/>
    </row>
    <row r="39" spans="2:12" ht="46.5">
      <c r="B39" s="30">
        <v>5</v>
      </c>
      <c r="C39" s="31" t="s">
        <v>25</v>
      </c>
      <c r="D39" s="32" t="s">
        <v>30</v>
      </c>
    </row>
    <row r="40" spans="2:12">
      <c r="B40" s="30">
        <v>6</v>
      </c>
      <c r="C40" s="30" t="s">
        <v>18</v>
      </c>
      <c r="D40" s="32" t="s">
        <v>31</v>
      </c>
    </row>
    <row r="41" spans="2:12">
      <c r="B41" s="30">
        <v>7</v>
      </c>
      <c r="C41" s="30" t="s">
        <v>19</v>
      </c>
      <c r="D41" s="32" t="s">
        <v>32</v>
      </c>
    </row>
    <row r="42" spans="2:12" ht="46.5">
      <c r="B42" s="30">
        <v>8</v>
      </c>
      <c r="C42" s="31" t="s">
        <v>33</v>
      </c>
      <c r="D42" s="32" t="s">
        <v>34</v>
      </c>
    </row>
    <row r="43" spans="2:12">
      <c r="B43" s="30">
        <v>9</v>
      </c>
      <c r="C43" s="30" t="s">
        <v>35</v>
      </c>
      <c r="D43" s="32" t="s">
        <v>36</v>
      </c>
    </row>
    <row r="44" spans="2:12">
      <c r="B44" s="40">
        <v>10</v>
      </c>
      <c r="C44" s="41" t="s">
        <v>20</v>
      </c>
      <c r="D44" s="42" t="s">
        <v>37</v>
      </c>
    </row>
    <row r="45" spans="2:12">
      <c r="B45" s="30">
        <v>11</v>
      </c>
      <c r="C45" s="41" t="s">
        <v>38</v>
      </c>
      <c r="D45" s="42" t="s">
        <v>39</v>
      </c>
    </row>
    <row r="46" spans="2:12">
      <c r="B46" s="40">
        <v>12</v>
      </c>
      <c r="C46" s="41" t="s">
        <v>21</v>
      </c>
      <c r="D46" s="42" t="s">
        <v>40</v>
      </c>
    </row>
    <row r="47" spans="2:12">
      <c r="B47" s="30"/>
      <c r="C47" s="41"/>
      <c r="D47" s="42"/>
    </row>
    <row r="48" spans="2:12">
      <c r="D48" s="43"/>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00000000-0004-0000-0000-000000000000}"/>
    <hyperlink ref="D36" location="BCTinhHinhTaiChinh_06105!A1" display="BCTinhHinhTaiChinh_06105" xr:uid="{00000000-0004-0000-0000-000001000000}"/>
    <hyperlink ref="D37" location="BCLCGT_06262!A1" display="BCLCGT_06262" xr:uid="{00000000-0004-0000-0000-000002000000}"/>
  </hyperlink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99" zoomScaleNormal="100" zoomScaleSheetLayoutView="86" workbookViewId="0">
      <selection activeCell="D19" sqref="D19"/>
    </sheetView>
  </sheetViews>
  <sheetFormatPr defaultColWidth="8.7265625" defaultRowHeight="12.5"/>
  <cols>
    <col min="1" max="1" width="53.1796875" style="60" customWidth="1"/>
    <col min="2" max="3" width="8.7265625" style="60"/>
    <col min="4" max="4" width="20.26953125" style="60" customWidth="1"/>
    <col min="5" max="5" width="20.7265625" style="60" customWidth="1"/>
    <col min="6" max="6" width="21.1796875" style="60" customWidth="1"/>
    <col min="7" max="7" width="21.26953125" style="60" customWidth="1"/>
    <col min="8" max="16384" width="8.7265625" style="104"/>
  </cols>
  <sheetData>
    <row r="1" spans="1:7" ht="22.5" customHeight="1">
      <c r="A1" s="263" t="s">
        <v>95</v>
      </c>
      <c r="B1" s="263"/>
      <c r="C1" s="263"/>
      <c r="D1" s="263"/>
      <c r="E1" s="263"/>
      <c r="F1" s="263"/>
      <c r="G1" s="263"/>
    </row>
    <row r="2" spans="1:7" ht="22.5" customHeight="1">
      <c r="A2" s="264" t="s">
        <v>96</v>
      </c>
      <c r="B2" s="264"/>
      <c r="C2" s="264"/>
      <c r="D2" s="264"/>
      <c r="E2" s="264"/>
      <c r="F2" s="264"/>
      <c r="G2" s="264"/>
    </row>
    <row r="3" spans="1:7" ht="43.9" customHeight="1">
      <c r="A3" s="265" t="s">
        <v>97</v>
      </c>
      <c r="B3" s="265"/>
      <c r="C3" s="265"/>
      <c r="D3" s="265"/>
      <c r="E3" s="265"/>
      <c r="F3" s="265"/>
      <c r="G3" s="265"/>
    </row>
    <row r="4" spans="1:7" ht="9.4" customHeight="1"/>
    <row r="5" spans="1:7">
      <c r="A5" s="266" t="str">
        <f>TONGQUAN!C2</f>
        <v>Tháng 07 năm 2022
/ Jul 2022</v>
      </c>
      <c r="B5" s="266"/>
      <c r="C5" s="266"/>
      <c r="D5" s="266"/>
      <c r="E5" s="266"/>
      <c r="F5" s="266"/>
      <c r="G5" s="266"/>
    </row>
    <row r="7" spans="1:7" ht="16.899999999999999" customHeight="1">
      <c r="A7" s="61" t="s">
        <v>2</v>
      </c>
      <c r="D7" s="261" t="str">
        <f>TONGQUAN!D5</f>
        <v>Công ty Cổ phần Quản lý Quỹ Đầu tư Dragon Capital Việt Nam</v>
      </c>
      <c r="E7" s="261"/>
      <c r="F7" s="261"/>
      <c r="G7" s="261"/>
    </row>
    <row r="8" spans="1:7" ht="16.899999999999999" customHeight="1">
      <c r="A8" s="127" t="s">
        <v>41</v>
      </c>
      <c r="D8" s="262" t="str">
        <f>TONGQUAN!D6</f>
        <v>Dragon Capital Vietfund Management Joint Stock Company</v>
      </c>
      <c r="E8" s="262"/>
      <c r="F8" s="262"/>
      <c r="G8" s="262"/>
    </row>
    <row r="9" spans="1:7" ht="16.899999999999999" customHeight="1">
      <c r="A9" s="61" t="s">
        <v>3</v>
      </c>
      <c r="D9" s="261" t="str">
        <f>TONGQUAN!D7</f>
        <v>Ngân hàng TNHH Một thành viên Standard Chartered (Việt Nam)</v>
      </c>
      <c r="E9" s="261"/>
      <c r="F9" s="261"/>
      <c r="G9" s="261"/>
    </row>
    <row r="10" spans="1:7" ht="16.899999999999999" customHeight="1">
      <c r="A10" s="127" t="s">
        <v>4</v>
      </c>
      <c r="D10" s="262" t="str">
        <f>TONGQUAN!D8</f>
        <v>Standard Chartered Bank (Vietnam) Limited</v>
      </c>
      <c r="E10" s="262"/>
      <c r="F10" s="262"/>
      <c r="G10" s="262"/>
    </row>
    <row r="11" spans="1:7" ht="16.899999999999999" customHeight="1">
      <c r="A11" s="61" t="s">
        <v>5</v>
      </c>
      <c r="D11" s="261" t="str">
        <f>TONGQUAN!D9</f>
        <v>Quỹ Đầu tư Chứng khoán Năng động DC</v>
      </c>
      <c r="E11" s="261"/>
      <c r="F11" s="261"/>
      <c r="G11" s="261"/>
    </row>
    <row r="12" spans="1:7" ht="16.899999999999999" customHeight="1">
      <c r="A12" s="127" t="s">
        <v>6</v>
      </c>
      <c r="D12" s="262" t="str">
        <f>TONGQUAN!D10</f>
        <v>DC Dynamic Securities Fund(VFMVF1)</v>
      </c>
      <c r="E12" s="262"/>
      <c r="F12" s="262"/>
      <c r="G12" s="262"/>
    </row>
    <row r="13" spans="1:7" ht="16.899999999999999" customHeight="1">
      <c r="A13" s="61" t="s">
        <v>7</v>
      </c>
      <c r="D13" s="261" t="str">
        <f>TONGQUAN!D11</f>
        <v>Ngày 01 tháng 08 năm 2022</v>
      </c>
      <c r="E13" s="261"/>
      <c r="F13" s="261"/>
      <c r="G13" s="261"/>
    </row>
    <row r="14" spans="1:7" ht="16.899999999999999" customHeight="1">
      <c r="A14" s="127" t="s">
        <v>8</v>
      </c>
      <c r="D14" s="262" t="str">
        <f>TONGQUAN!D12</f>
        <v>01 Aug 2022</v>
      </c>
      <c r="E14" s="262"/>
      <c r="F14" s="262"/>
      <c r="G14" s="262"/>
    </row>
    <row r="16" spans="1:7" ht="39" customHeight="1">
      <c r="A16" s="253" t="s">
        <v>98</v>
      </c>
      <c r="B16" s="255" t="s">
        <v>99</v>
      </c>
      <c r="C16" s="255" t="s">
        <v>100</v>
      </c>
      <c r="D16" s="258" t="s">
        <v>808</v>
      </c>
      <c r="E16" s="259"/>
      <c r="F16" s="258" t="s">
        <v>809</v>
      </c>
      <c r="G16" s="259"/>
    </row>
    <row r="17" spans="1:10" ht="39" customHeight="1">
      <c r="A17" s="254"/>
      <c r="B17" s="256"/>
      <c r="C17" s="257"/>
      <c r="D17" s="128" t="str">
        <f>BCKetQuaHoatDong_06028!D18</f>
        <v>Tháng 07 năm 2022
Jul 2022</v>
      </c>
      <c r="E17" s="129" t="s">
        <v>101</v>
      </c>
      <c r="F17" s="55" t="s">
        <v>810</v>
      </c>
      <c r="G17" s="129" t="s">
        <v>101</v>
      </c>
    </row>
    <row r="18" spans="1:10" s="118" customFormat="1" ht="39" customHeight="1">
      <c r="A18" s="130" t="s">
        <v>244</v>
      </c>
      <c r="B18" s="131" t="s">
        <v>102</v>
      </c>
      <c r="C18" s="132"/>
      <c r="D18" s="81">
        <v>-14939385873</v>
      </c>
      <c r="E18" s="81">
        <v>-429717885070</v>
      </c>
      <c r="F18" s="81">
        <v>-13099594865</v>
      </c>
      <c r="G18" s="81">
        <v>200773185202</v>
      </c>
    </row>
    <row r="19" spans="1:10" ht="39" customHeight="1">
      <c r="A19" s="133" t="s">
        <v>245</v>
      </c>
      <c r="B19" s="134" t="s">
        <v>103</v>
      </c>
      <c r="C19" s="135"/>
      <c r="D19" s="86">
        <v>2937160000</v>
      </c>
      <c r="E19" s="86">
        <v>9928292500</v>
      </c>
      <c r="F19" s="86">
        <v>735280000</v>
      </c>
      <c r="G19" s="86">
        <v>4241863418</v>
      </c>
      <c r="J19" s="118"/>
    </row>
    <row r="20" spans="1:10" ht="39" customHeight="1">
      <c r="A20" s="133" t="s">
        <v>246</v>
      </c>
      <c r="B20" s="134" t="s">
        <v>104</v>
      </c>
      <c r="C20" s="136"/>
      <c r="D20" s="86">
        <v>1590327272</v>
      </c>
      <c r="E20" s="86">
        <v>10206130379</v>
      </c>
      <c r="F20" s="86">
        <v>660869085</v>
      </c>
      <c r="G20" s="86">
        <v>3572725912</v>
      </c>
      <c r="J20" s="118"/>
    </row>
    <row r="21" spans="1:10" ht="39" customHeight="1">
      <c r="A21" s="133" t="s">
        <v>191</v>
      </c>
      <c r="B21" s="134" t="s">
        <v>105</v>
      </c>
      <c r="C21" s="136"/>
      <c r="D21" s="86">
        <v>22224578</v>
      </c>
      <c r="E21" s="86">
        <v>1028198843</v>
      </c>
      <c r="F21" s="86">
        <v>12204701</v>
      </c>
      <c r="G21" s="86">
        <v>52890297</v>
      </c>
      <c r="J21" s="118"/>
    </row>
    <row r="22" spans="1:10" ht="39" customHeight="1">
      <c r="A22" s="133" t="s">
        <v>199</v>
      </c>
      <c r="B22" s="134" t="s">
        <v>106</v>
      </c>
      <c r="C22" s="136"/>
      <c r="D22" s="86">
        <v>66458904</v>
      </c>
      <c r="E22" s="86">
        <v>706698630</v>
      </c>
      <c r="F22" s="86">
        <v>139075343</v>
      </c>
      <c r="G22" s="86">
        <v>2158739724</v>
      </c>
      <c r="J22" s="118"/>
    </row>
    <row r="23" spans="1:10" ht="39" customHeight="1">
      <c r="A23" s="133" t="s">
        <v>247</v>
      </c>
      <c r="B23" s="134" t="s">
        <v>187</v>
      </c>
      <c r="C23" s="136"/>
      <c r="D23" s="86">
        <v>1501643790</v>
      </c>
      <c r="E23" s="86">
        <v>8471232906</v>
      </c>
      <c r="F23" s="86">
        <v>509589041</v>
      </c>
      <c r="G23" s="86">
        <v>1361095891</v>
      </c>
      <c r="J23" s="118"/>
    </row>
    <row r="24" spans="1:10" ht="39" customHeight="1">
      <c r="A24" s="133" t="s">
        <v>190</v>
      </c>
      <c r="B24" s="134" t="s">
        <v>189</v>
      </c>
      <c r="C24" s="136"/>
      <c r="D24" s="86">
        <v>0</v>
      </c>
      <c r="E24" s="86">
        <v>0</v>
      </c>
      <c r="F24" s="86">
        <v>0</v>
      </c>
      <c r="G24" s="86">
        <v>0</v>
      </c>
      <c r="J24" s="118"/>
    </row>
    <row r="25" spans="1:10" ht="39" customHeight="1">
      <c r="A25" s="133" t="s">
        <v>192</v>
      </c>
      <c r="B25" s="137" t="s">
        <v>107</v>
      </c>
      <c r="C25" s="136"/>
      <c r="D25" s="86">
        <v>-56005984946</v>
      </c>
      <c r="E25" s="86">
        <v>-223721190383</v>
      </c>
      <c r="F25" s="86">
        <v>39446220636</v>
      </c>
      <c r="G25" s="86">
        <v>119193067591</v>
      </c>
      <c r="J25" s="118"/>
    </row>
    <row r="26" spans="1:10" ht="46.15" customHeight="1">
      <c r="A26" s="133" t="s">
        <v>193</v>
      </c>
      <c r="B26" s="137" t="s">
        <v>108</v>
      </c>
      <c r="C26" s="136"/>
      <c r="D26" s="86">
        <v>36539111801</v>
      </c>
      <c r="E26" s="86">
        <v>-226131117566</v>
      </c>
      <c r="F26" s="86">
        <v>-53941964586</v>
      </c>
      <c r="G26" s="86">
        <v>73765528281</v>
      </c>
      <c r="J26" s="118"/>
    </row>
    <row r="27" spans="1:10" ht="39" customHeight="1">
      <c r="A27" s="133" t="s">
        <v>248</v>
      </c>
      <c r="B27" s="137" t="s">
        <v>109</v>
      </c>
      <c r="C27" s="136"/>
      <c r="D27" s="86">
        <v>0</v>
      </c>
      <c r="E27" s="86">
        <v>0</v>
      </c>
      <c r="F27" s="86">
        <v>0</v>
      </c>
      <c r="G27" s="86">
        <v>0</v>
      </c>
      <c r="J27" s="118"/>
    </row>
    <row r="28" spans="1:10" ht="49.15" customHeight="1">
      <c r="A28" s="133" t="s">
        <v>194</v>
      </c>
      <c r="B28" s="137" t="s">
        <v>110</v>
      </c>
      <c r="C28" s="136"/>
      <c r="D28" s="86">
        <v>0</v>
      </c>
      <c r="E28" s="86">
        <v>0</v>
      </c>
      <c r="F28" s="86">
        <v>0</v>
      </c>
      <c r="G28" s="86">
        <v>0</v>
      </c>
      <c r="J28" s="118"/>
    </row>
    <row r="29" spans="1:10" ht="39" customHeight="1">
      <c r="A29" s="133" t="s">
        <v>249</v>
      </c>
      <c r="B29" s="137" t="s">
        <v>111</v>
      </c>
      <c r="C29" s="136"/>
      <c r="D29" s="86">
        <v>0</v>
      </c>
      <c r="E29" s="86">
        <v>0</v>
      </c>
      <c r="F29" s="86">
        <v>0</v>
      </c>
      <c r="G29" s="86">
        <v>0</v>
      </c>
      <c r="J29" s="118"/>
    </row>
    <row r="30" spans="1:10" ht="76.900000000000006" customHeight="1">
      <c r="A30" s="133" t="s">
        <v>250</v>
      </c>
      <c r="B30" s="137" t="s">
        <v>112</v>
      </c>
      <c r="C30" s="136"/>
      <c r="D30" s="86">
        <v>0</v>
      </c>
      <c r="E30" s="86">
        <v>0</v>
      </c>
      <c r="F30" s="86">
        <v>0</v>
      </c>
      <c r="G30" s="86">
        <v>0</v>
      </c>
      <c r="J30" s="118"/>
    </row>
    <row r="31" spans="1:10" s="118" customFormat="1" ht="39" customHeight="1">
      <c r="A31" s="130" t="s">
        <v>214</v>
      </c>
      <c r="B31" s="131" t="s">
        <v>113</v>
      </c>
      <c r="C31" s="132"/>
      <c r="D31" s="81">
        <v>1878264800</v>
      </c>
      <c r="E31" s="81">
        <v>7627115232</v>
      </c>
      <c r="F31" s="81">
        <v>335957117</v>
      </c>
      <c r="G31" s="81">
        <v>1409782637</v>
      </c>
    </row>
    <row r="32" spans="1:10" ht="39" customHeight="1">
      <c r="A32" s="133" t="s">
        <v>114</v>
      </c>
      <c r="B32" s="137" t="s">
        <v>115</v>
      </c>
      <c r="C32" s="136"/>
      <c r="D32" s="86">
        <v>1878264800</v>
      </c>
      <c r="E32" s="86">
        <v>7627115232</v>
      </c>
      <c r="F32" s="86">
        <v>335957117</v>
      </c>
      <c r="G32" s="86">
        <v>1409782637</v>
      </c>
      <c r="J32" s="118"/>
    </row>
    <row r="33" spans="1:10" ht="39" customHeight="1">
      <c r="A33" s="138" t="s">
        <v>116</v>
      </c>
      <c r="B33" s="134" t="s">
        <v>117</v>
      </c>
      <c r="C33" s="135"/>
      <c r="D33" s="86">
        <v>1872123750</v>
      </c>
      <c r="E33" s="86">
        <v>7613216232</v>
      </c>
      <c r="F33" s="86">
        <v>335550946</v>
      </c>
      <c r="G33" s="86">
        <v>1407685577</v>
      </c>
      <c r="J33" s="118"/>
    </row>
    <row r="34" spans="1:10" ht="39" customHeight="1">
      <c r="A34" s="138" t="s">
        <v>70</v>
      </c>
      <c r="B34" s="134" t="s">
        <v>118</v>
      </c>
      <c r="C34" s="135"/>
      <c r="D34" s="86">
        <v>6141050</v>
      </c>
      <c r="E34" s="86">
        <v>13899000</v>
      </c>
      <c r="F34" s="86">
        <v>406171</v>
      </c>
      <c r="G34" s="86">
        <v>2097060</v>
      </c>
      <c r="J34" s="118"/>
    </row>
    <row r="35" spans="1:10" ht="42" customHeight="1">
      <c r="A35" s="138" t="s">
        <v>119</v>
      </c>
      <c r="B35" s="134" t="s">
        <v>120</v>
      </c>
      <c r="C35" s="136"/>
      <c r="D35" s="86">
        <v>0</v>
      </c>
      <c r="E35" s="86">
        <v>0</v>
      </c>
      <c r="F35" s="86">
        <v>0</v>
      </c>
      <c r="G35" s="86">
        <v>0</v>
      </c>
      <c r="J35" s="118"/>
    </row>
    <row r="36" spans="1:10" ht="39" customHeight="1">
      <c r="A36" s="138" t="s">
        <v>121</v>
      </c>
      <c r="B36" s="134" t="s">
        <v>122</v>
      </c>
      <c r="C36" s="136"/>
      <c r="D36" s="86">
        <v>0</v>
      </c>
      <c r="E36" s="86">
        <v>0</v>
      </c>
      <c r="F36" s="86">
        <v>0</v>
      </c>
      <c r="G36" s="86">
        <v>0</v>
      </c>
      <c r="J36" s="118"/>
    </row>
    <row r="37" spans="1:10" ht="70.900000000000006" customHeight="1">
      <c r="A37" s="138" t="s">
        <v>123</v>
      </c>
      <c r="B37" s="134" t="s">
        <v>124</v>
      </c>
      <c r="C37" s="136"/>
      <c r="D37" s="86">
        <v>0</v>
      </c>
      <c r="E37" s="86">
        <v>0</v>
      </c>
      <c r="F37" s="86">
        <v>0</v>
      </c>
      <c r="G37" s="86">
        <v>0</v>
      </c>
      <c r="J37" s="118"/>
    </row>
    <row r="38" spans="1:10" ht="39" customHeight="1">
      <c r="A38" s="138" t="s">
        <v>215</v>
      </c>
      <c r="B38" s="134" t="s">
        <v>125</v>
      </c>
      <c r="C38" s="136"/>
      <c r="D38" s="86">
        <v>0</v>
      </c>
      <c r="E38" s="86">
        <v>0</v>
      </c>
      <c r="F38" s="86">
        <v>0</v>
      </c>
      <c r="G38" s="86">
        <v>0</v>
      </c>
      <c r="J38" s="118"/>
    </row>
    <row r="39" spans="1:10" s="118" customFormat="1" ht="39" customHeight="1">
      <c r="A39" s="130" t="s">
        <v>216</v>
      </c>
      <c r="B39" s="131" t="s">
        <v>126</v>
      </c>
      <c r="C39" s="132"/>
      <c r="D39" s="81">
        <v>2791073784</v>
      </c>
      <c r="E39" s="81">
        <v>20706190515</v>
      </c>
      <c r="F39" s="81">
        <v>1543023991</v>
      </c>
      <c r="G39" s="81">
        <v>8688587420</v>
      </c>
    </row>
    <row r="40" spans="1:10" ht="39" customHeight="1">
      <c r="A40" s="138" t="s">
        <v>251</v>
      </c>
      <c r="B40" s="134" t="s">
        <v>127</v>
      </c>
      <c r="C40" s="136"/>
      <c r="D40" s="86">
        <v>2510663947</v>
      </c>
      <c r="E40" s="86">
        <v>18994474631</v>
      </c>
      <c r="F40" s="86">
        <v>1398077887</v>
      </c>
      <c r="G40" s="86">
        <v>7756605898</v>
      </c>
      <c r="J40" s="118"/>
    </row>
    <row r="41" spans="1:10" ht="39" customHeight="1">
      <c r="A41" s="138" t="s">
        <v>128</v>
      </c>
      <c r="B41" s="134" t="s">
        <v>129</v>
      </c>
      <c r="C41" s="135"/>
      <c r="D41" s="86">
        <v>94487175</v>
      </c>
      <c r="E41" s="86">
        <v>549645809</v>
      </c>
      <c r="F41" s="86">
        <v>48089778</v>
      </c>
      <c r="G41" s="86">
        <v>265575015</v>
      </c>
      <c r="J41" s="118"/>
    </row>
    <row r="42" spans="1:10" ht="39" customHeight="1">
      <c r="A42" s="66" t="s">
        <v>51</v>
      </c>
      <c r="B42" s="139" t="s">
        <v>130</v>
      </c>
      <c r="C42" s="135"/>
      <c r="D42" s="86">
        <v>51500798</v>
      </c>
      <c r="E42" s="86">
        <v>389630247</v>
      </c>
      <c r="F42" s="86">
        <v>35848153</v>
      </c>
      <c r="G42" s="86">
        <v>207997040</v>
      </c>
      <c r="J42" s="118"/>
    </row>
    <row r="43" spans="1:10" ht="39" customHeight="1">
      <c r="A43" s="66" t="s">
        <v>52</v>
      </c>
      <c r="B43" s="139" t="s">
        <v>131</v>
      </c>
      <c r="C43" s="135"/>
      <c r="D43" s="86">
        <v>33200000</v>
      </c>
      <c r="E43" s="86">
        <v>104600000</v>
      </c>
      <c r="F43" s="86">
        <v>9000000</v>
      </c>
      <c r="G43" s="86">
        <v>36800000</v>
      </c>
      <c r="J43" s="118"/>
    </row>
    <row r="44" spans="1:10" ht="60" customHeight="1">
      <c r="A44" s="66" t="s">
        <v>226</v>
      </c>
      <c r="B44" s="139" t="s">
        <v>132</v>
      </c>
      <c r="C44" s="135"/>
      <c r="D44" s="86">
        <v>9786377</v>
      </c>
      <c r="E44" s="86">
        <v>55415562</v>
      </c>
      <c r="F44" s="86">
        <v>3241625</v>
      </c>
      <c r="G44" s="86">
        <v>20777975</v>
      </c>
      <c r="J44" s="118"/>
    </row>
    <row r="45" spans="1:10" ht="39" customHeight="1">
      <c r="A45" s="138" t="s">
        <v>133</v>
      </c>
      <c r="B45" s="134" t="s">
        <v>134</v>
      </c>
      <c r="C45" s="135"/>
      <c r="D45" s="86">
        <v>56650878</v>
      </c>
      <c r="E45" s="86">
        <v>428593274</v>
      </c>
      <c r="F45" s="86">
        <v>31546373</v>
      </c>
      <c r="G45" s="86">
        <v>190192795</v>
      </c>
      <c r="J45" s="118"/>
    </row>
    <row r="46" spans="1:10" ht="39" customHeight="1">
      <c r="A46" s="138" t="s">
        <v>135</v>
      </c>
      <c r="B46" s="134" t="s">
        <v>136</v>
      </c>
      <c r="C46" s="135"/>
      <c r="D46" s="86">
        <v>35406798</v>
      </c>
      <c r="E46" s="86">
        <v>267870794</v>
      </c>
      <c r="F46" s="86">
        <v>19716481</v>
      </c>
      <c r="G46" s="86">
        <v>109388025</v>
      </c>
      <c r="J46" s="118"/>
    </row>
    <row r="47" spans="1:10" ht="39" customHeight="1">
      <c r="A47" s="138" t="s">
        <v>137</v>
      </c>
      <c r="B47" s="134" t="s">
        <v>138</v>
      </c>
      <c r="C47" s="135"/>
      <c r="D47" s="86">
        <v>13200000</v>
      </c>
      <c r="E47" s="86">
        <v>79200000</v>
      </c>
      <c r="F47" s="86">
        <v>11000000</v>
      </c>
      <c r="G47" s="86">
        <v>77000000</v>
      </c>
      <c r="J47" s="118"/>
    </row>
    <row r="48" spans="1:10" ht="39" customHeight="1">
      <c r="A48" s="138" t="s">
        <v>139</v>
      </c>
      <c r="B48" s="134" t="s">
        <v>140</v>
      </c>
      <c r="C48" s="135"/>
      <c r="D48" s="86">
        <v>0</v>
      </c>
      <c r="E48" s="86">
        <v>0</v>
      </c>
      <c r="F48" s="86">
        <v>0</v>
      </c>
      <c r="G48" s="86">
        <v>0</v>
      </c>
      <c r="J48" s="118"/>
    </row>
    <row r="49" spans="1:10" ht="43.9" customHeight="1">
      <c r="A49" s="67" t="s">
        <v>252</v>
      </c>
      <c r="B49" s="139" t="s">
        <v>141</v>
      </c>
      <c r="C49" s="135"/>
      <c r="D49" s="86">
        <v>0</v>
      </c>
      <c r="E49" s="86">
        <v>0</v>
      </c>
      <c r="F49" s="86">
        <v>0</v>
      </c>
      <c r="G49" s="86">
        <v>0</v>
      </c>
      <c r="J49" s="118"/>
    </row>
    <row r="50" spans="1:10" ht="39" customHeight="1">
      <c r="A50" s="67" t="s">
        <v>253</v>
      </c>
      <c r="B50" s="139" t="s">
        <v>142</v>
      </c>
      <c r="C50" s="135"/>
      <c r="D50" s="86">
        <v>0</v>
      </c>
      <c r="E50" s="86">
        <v>0</v>
      </c>
      <c r="F50" s="86">
        <v>0</v>
      </c>
      <c r="G50" s="86">
        <v>0</v>
      </c>
      <c r="J50" s="118"/>
    </row>
    <row r="51" spans="1:10" ht="39" customHeight="1">
      <c r="A51" s="138" t="s">
        <v>143</v>
      </c>
      <c r="B51" s="134" t="s">
        <v>144</v>
      </c>
      <c r="C51" s="135"/>
      <c r="D51" s="86">
        <v>0</v>
      </c>
      <c r="E51" s="86">
        <v>35094216</v>
      </c>
      <c r="F51" s="86">
        <v>0</v>
      </c>
      <c r="G51" s="86">
        <v>1353506</v>
      </c>
      <c r="J51" s="118"/>
    </row>
    <row r="52" spans="1:10" ht="39" customHeight="1">
      <c r="A52" s="138" t="s">
        <v>217</v>
      </c>
      <c r="B52" s="134" t="s">
        <v>145</v>
      </c>
      <c r="C52" s="135"/>
      <c r="D52" s="86">
        <v>16501517</v>
      </c>
      <c r="E52" s="86">
        <v>108499028</v>
      </c>
      <c r="F52" s="86">
        <v>15415068</v>
      </c>
      <c r="G52" s="86">
        <v>108008001</v>
      </c>
      <c r="J52" s="118"/>
    </row>
    <row r="53" spans="1:10" ht="39" customHeight="1">
      <c r="A53" s="138" t="s">
        <v>146</v>
      </c>
      <c r="B53" s="134" t="s">
        <v>147</v>
      </c>
      <c r="C53" s="135"/>
      <c r="D53" s="86">
        <v>0</v>
      </c>
      <c r="E53" s="86">
        <v>0</v>
      </c>
      <c r="F53" s="86">
        <v>0</v>
      </c>
      <c r="G53" s="86">
        <v>0</v>
      </c>
      <c r="J53" s="118"/>
    </row>
    <row r="54" spans="1:10" ht="39" customHeight="1">
      <c r="A54" s="138" t="s">
        <v>218</v>
      </c>
      <c r="B54" s="140" t="s">
        <v>148</v>
      </c>
      <c r="C54" s="135"/>
      <c r="D54" s="86">
        <v>64163469</v>
      </c>
      <c r="E54" s="86">
        <v>242812763</v>
      </c>
      <c r="F54" s="86">
        <v>19178404</v>
      </c>
      <c r="G54" s="86">
        <v>180464180</v>
      </c>
      <c r="J54" s="118"/>
    </row>
    <row r="55" spans="1:10" ht="39" customHeight="1">
      <c r="A55" s="67" t="s">
        <v>66</v>
      </c>
      <c r="B55" s="141" t="s">
        <v>149</v>
      </c>
      <c r="C55" s="135"/>
      <c r="D55" s="86">
        <v>12719536</v>
      </c>
      <c r="E55" s="86">
        <v>117448739</v>
      </c>
      <c r="F55" s="86">
        <v>18443836</v>
      </c>
      <c r="G55" s="86">
        <v>128873973</v>
      </c>
      <c r="J55" s="118"/>
    </row>
    <row r="56" spans="1:10" ht="39" customHeight="1">
      <c r="A56" s="67" t="s">
        <v>150</v>
      </c>
      <c r="B56" s="141" t="s">
        <v>151</v>
      </c>
      <c r="C56" s="135"/>
      <c r="D56" s="86">
        <v>0</v>
      </c>
      <c r="E56" s="86">
        <v>0</v>
      </c>
      <c r="F56" s="86">
        <v>0</v>
      </c>
      <c r="G56" s="86">
        <v>0</v>
      </c>
      <c r="J56" s="118"/>
    </row>
    <row r="57" spans="1:10" ht="39" customHeight="1">
      <c r="A57" s="67" t="s">
        <v>152</v>
      </c>
      <c r="B57" s="141" t="s">
        <v>153</v>
      </c>
      <c r="C57" s="136"/>
      <c r="D57" s="86">
        <v>0</v>
      </c>
      <c r="E57" s="86">
        <v>0</v>
      </c>
      <c r="F57" s="86">
        <v>0</v>
      </c>
      <c r="G57" s="86">
        <v>0</v>
      </c>
      <c r="J57" s="118"/>
    </row>
    <row r="58" spans="1:10" ht="39" customHeight="1">
      <c r="A58" s="67" t="s">
        <v>219</v>
      </c>
      <c r="B58" s="141" t="s">
        <v>154</v>
      </c>
      <c r="C58" s="135"/>
      <c r="D58" s="86">
        <v>45233333</v>
      </c>
      <c r="E58" s="86">
        <v>74199999</v>
      </c>
      <c r="F58" s="86">
        <v>0</v>
      </c>
      <c r="G58" s="86">
        <v>42700000</v>
      </c>
      <c r="J58" s="118"/>
    </row>
    <row r="59" spans="1:10" ht="39" customHeight="1">
      <c r="A59" s="67" t="s">
        <v>67</v>
      </c>
      <c r="B59" s="141" t="s">
        <v>155</v>
      </c>
      <c r="C59" s="136"/>
      <c r="D59" s="86">
        <v>0</v>
      </c>
      <c r="E59" s="86">
        <v>0</v>
      </c>
      <c r="F59" s="86">
        <v>0</v>
      </c>
      <c r="G59" s="86">
        <v>0</v>
      </c>
      <c r="J59" s="118"/>
    </row>
    <row r="60" spans="1:10" ht="39" customHeight="1">
      <c r="A60" s="67" t="s">
        <v>220</v>
      </c>
      <c r="B60" s="141" t="s">
        <v>156</v>
      </c>
      <c r="C60" s="136"/>
      <c r="D60" s="86">
        <v>0</v>
      </c>
      <c r="E60" s="86">
        <v>0</v>
      </c>
      <c r="F60" s="86">
        <v>0</v>
      </c>
      <c r="G60" s="86">
        <v>0</v>
      </c>
      <c r="J60" s="118"/>
    </row>
    <row r="61" spans="1:10" ht="39" customHeight="1">
      <c r="A61" s="67" t="s">
        <v>221</v>
      </c>
      <c r="B61" s="141" t="s">
        <v>157</v>
      </c>
      <c r="C61" s="136"/>
      <c r="D61" s="86">
        <v>0</v>
      </c>
      <c r="E61" s="86">
        <v>0</v>
      </c>
      <c r="F61" s="86">
        <v>0</v>
      </c>
      <c r="G61" s="86">
        <v>0</v>
      </c>
      <c r="J61" s="118"/>
    </row>
    <row r="62" spans="1:10" ht="39" customHeight="1">
      <c r="A62" s="67" t="s">
        <v>74</v>
      </c>
      <c r="B62" s="141" t="s">
        <v>158</v>
      </c>
      <c r="C62" s="136"/>
      <c r="D62" s="86">
        <v>6210600</v>
      </c>
      <c r="E62" s="86">
        <v>50064025</v>
      </c>
      <c r="F62" s="86">
        <v>734568</v>
      </c>
      <c r="G62" s="86">
        <v>7790207</v>
      </c>
      <c r="J62" s="118"/>
    </row>
    <row r="63" spans="1:10" ht="39" customHeight="1">
      <c r="A63" s="67" t="s">
        <v>68</v>
      </c>
      <c r="B63" s="141" t="s">
        <v>159</v>
      </c>
      <c r="C63" s="136"/>
      <c r="D63" s="86">
        <v>0</v>
      </c>
      <c r="E63" s="86">
        <v>0</v>
      </c>
      <c r="F63" s="86">
        <v>0</v>
      </c>
      <c r="G63" s="86">
        <v>0</v>
      </c>
      <c r="J63" s="118"/>
    </row>
    <row r="64" spans="1:10" ht="39" customHeight="1">
      <c r="A64" s="67" t="s">
        <v>207</v>
      </c>
      <c r="B64" s="141" t="s">
        <v>160</v>
      </c>
      <c r="C64" s="135"/>
      <c r="D64" s="86">
        <v>0</v>
      </c>
      <c r="E64" s="86">
        <v>0</v>
      </c>
      <c r="F64" s="86">
        <v>0</v>
      </c>
      <c r="G64" s="86">
        <v>0</v>
      </c>
      <c r="J64" s="118"/>
    </row>
    <row r="65" spans="1:10" ht="39" customHeight="1">
      <c r="A65" s="67" t="s">
        <v>235</v>
      </c>
      <c r="B65" s="141" t="s">
        <v>161</v>
      </c>
      <c r="C65" s="135"/>
      <c r="D65" s="86">
        <v>0</v>
      </c>
      <c r="E65" s="86">
        <v>1100000</v>
      </c>
      <c r="F65" s="86">
        <v>0</v>
      </c>
      <c r="G65" s="86">
        <v>1100000</v>
      </c>
      <c r="J65" s="118"/>
    </row>
    <row r="66" spans="1:10" ht="39" customHeight="1">
      <c r="A66" s="67" t="s">
        <v>222</v>
      </c>
      <c r="B66" s="141" t="s">
        <v>162</v>
      </c>
      <c r="C66" s="135"/>
      <c r="D66" s="86">
        <v>0</v>
      </c>
      <c r="E66" s="86">
        <v>0</v>
      </c>
      <c r="F66" s="86">
        <v>0</v>
      </c>
      <c r="G66" s="86">
        <v>0</v>
      </c>
      <c r="J66" s="118"/>
    </row>
    <row r="67" spans="1:10" ht="39" customHeight="1">
      <c r="A67" s="67" t="s">
        <v>223</v>
      </c>
      <c r="B67" s="141" t="s">
        <v>163</v>
      </c>
      <c r="C67" s="135"/>
      <c r="D67" s="86">
        <v>0</v>
      </c>
      <c r="E67" s="86">
        <v>0</v>
      </c>
      <c r="F67" s="86">
        <v>0</v>
      </c>
      <c r="G67" s="86">
        <v>0</v>
      </c>
      <c r="J67" s="118"/>
    </row>
    <row r="68" spans="1:10" ht="39" customHeight="1">
      <c r="A68" s="67" t="s">
        <v>164</v>
      </c>
      <c r="B68" s="141" t="s">
        <v>165</v>
      </c>
      <c r="C68" s="135"/>
      <c r="D68" s="86">
        <v>0</v>
      </c>
      <c r="E68" s="86">
        <v>0</v>
      </c>
      <c r="F68" s="86">
        <v>0</v>
      </c>
      <c r="G68" s="86">
        <v>0</v>
      </c>
      <c r="J68" s="118"/>
    </row>
    <row r="69" spans="1:10" s="118" customFormat="1" ht="45" customHeight="1">
      <c r="A69" s="130" t="s">
        <v>166</v>
      </c>
      <c r="B69" s="131" t="s">
        <v>167</v>
      </c>
      <c r="C69" s="132"/>
      <c r="D69" s="81">
        <v>-19608724457</v>
      </c>
      <c r="E69" s="81">
        <v>-458051190817</v>
      </c>
      <c r="F69" s="81">
        <v>-14978575973</v>
      </c>
      <c r="G69" s="81">
        <v>190674815145</v>
      </c>
    </row>
    <row r="70" spans="1:10" s="118" customFormat="1" ht="39" customHeight="1">
      <c r="A70" s="130" t="s">
        <v>168</v>
      </c>
      <c r="B70" s="131" t="s">
        <v>169</v>
      </c>
      <c r="C70" s="132"/>
      <c r="D70" s="81">
        <v>0</v>
      </c>
      <c r="E70" s="81">
        <v>0</v>
      </c>
      <c r="F70" s="81">
        <v>0</v>
      </c>
      <c r="G70" s="81">
        <v>0</v>
      </c>
    </row>
    <row r="71" spans="1:10" ht="39" customHeight="1">
      <c r="A71" s="133" t="s">
        <v>254</v>
      </c>
      <c r="B71" s="137" t="s">
        <v>170</v>
      </c>
      <c r="C71" s="136"/>
      <c r="D71" s="86">
        <v>0</v>
      </c>
      <c r="E71" s="86">
        <v>0</v>
      </c>
      <c r="F71" s="86">
        <v>0</v>
      </c>
      <c r="G71" s="86">
        <v>0</v>
      </c>
      <c r="J71" s="118"/>
    </row>
    <row r="72" spans="1:10" ht="39" customHeight="1">
      <c r="A72" s="133" t="s">
        <v>224</v>
      </c>
      <c r="B72" s="137" t="s">
        <v>171</v>
      </c>
      <c r="C72" s="136"/>
      <c r="D72" s="86">
        <v>0</v>
      </c>
      <c r="E72" s="86">
        <v>0</v>
      </c>
      <c r="F72" s="86">
        <v>0</v>
      </c>
      <c r="G72" s="86">
        <v>0</v>
      </c>
      <c r="J72" s="118"/>
    </row>
    <row r="73" spans="1:10" s="118" customFormat="1" ht="48" customHeight="1">
      <c r="A73" s="130" t="s">
        <v>172</v>
      </c>
      <c r="B73" s="131" t="s">
        <v>173</v>
      </c>
      <c r="C73" s="132"/>
      <c r="D73" s="81">
        <v>-19608724457</v>
      </c>
      <c r="E73" s="81">
        <v>-458051190817</v>
      </c>
      <c r="F73" s="81">
        <v>-14978575973</v>
      </c>
      <c r="G73" s="81">
        <v>190674815145</v>
      </c>
    </row>
    <row r="74" spans="1:10" ht="39" customHeight="1">
      <c r="A74" s="138" t="s">
        <v>174</v>
      </c>
      <c r="B74" s="134" t="s">
        <v>175</v>
      </c>
      <c r="C74" s="136"/>
      <c r="D74" s="86">
        <v>-56147836258</v>
      </c>
      <c r="E74" s="86">
        <v>-231920073251</v>
      </c>
      <c r="F74" s="86">
        <v>38963388613</v>
      </c>
      <c r="G74" s="86">
        <v>116909286864</v>
      </c>
      <c r="J74" s="118"/>
    </row>
    <row r="75" spans="1:10" ht="39" customHeight="1">
      <c r="A75" s="138" t="s">
        <v>176</v>
      </c>
      <c r="B75" s="134" t="s">
        <v>177</v>
      </c>
      <c r="C75" s="136"/>
      <c r="D75" s="86">
        <v>36539111801</v>
      </c>
      <c r="E75" s="86">
        <v>-226131117566</v>
      </c>
      <c r="F75" s="86">
        <v>-53941964586</v>
      </c>
      <c r="G75" s="86">
        <v>73765528281</v>
      </c>
      <c r="J75" s="118"/>
    </row>
    <row r="76" spans="1:10" s="118" customFormat="1" ht="39" customHeight="1">
      <c r="A76" s="130" t="s">
        <v>178</v>
      </c>
      <c r="B76" s="131" t="s">
        <v>179</v>
      </c>
      <c r="C76" s="132"/>
      <c r="D76" s="81">
        <v>0</v>
      </c>
      <c r="E76" s="81">
        <v>0</v>
      </c>
      <c r="F76" s="81">
        <v>0</v>
      </c>
      <c r="G76" s="81">
        <v>0</v>
      </c>
    </row>
    <row r="77" spans="1:10" s="118" customFormat="1" ht="43.5" customHeight="1">
      <c r="A77" s="130" t="s">
        <v>180</v>
      </c>
      <c r="B77" s="131" t="s">
        <v>181</v>
      </c>
      <c r="C77" s="132"/>
      <c r="D77" s="81">
        <v>-19608724457</v>
      </c>
      <c r="E77" s="81">
        <v>-458051190817</v>
      </c>
      <c r="F77" s="81">
        <v>-14978575973</v>
      </c>
      <c r="G77" s="81">
        <v>190674815145</v>
      </c>
    </row>
    <row r="80" spans="1:10" s="118" customFormat="1" ht="16.899999999999999" customHeight="1">
      <c r="A80" s="126" t="s">
        <v>182</v>
      </c>
      <c r="B80" s="260" t="s">
        <v>183</v>
      </c>
      <c r="C80" s="260"/>
      <c r="D80" s="260"/>
      <c r="E80" s="260"/>
      <c r="F80" s="260"/>
      <c r="G80" s="260"/>
    </row>
    <row r="93" spans="1:7">
      <c r="A93" s="107" t="s">
        <v>489</v>
      </c>
      <c r="B93" s="250" t="s">
        <v>490</v>
      </c>
      <c r="C93" s="250"/>
      <c r="D93" s="250"/>
      <c r="E93" s="250"/>
      <c r="F93" s="250" t="s">
        <v>491</v>
      </c>
      <c r="G93" s="250"/>
    </row>
    <row r="94" spans="1:7" ht="16.899999999999999" customHeight="1">
      <c r="A94" s="201" t="s">
        <v>811</v>
      </c>
      <c r="B94" s="251" t="s">
        <v>812</v>
      </c>
      <c r="C94" s="251"/>
      <c r="D94" s="251"/>
      <c r="E94" s="251"/>
      <c r="F94" s="251" t="s">
        <v>801</v>
      </c>
      <c r="G94" s="251"/>
    </row>
    <row r="95" spans="1:7" ht="16.899999999999999" customHeight="1">
      <c r="A95" s="142" t="s">
        <v>813</v>
      </c>
      <c r="B95" s="252" t="s">
        <v>814</v>
      </c>
      <c r="C95" s="252"/>
      <c r="D95" s="252"/>
      <c r="E95" s="252"/>
      <c r="F95" s="252" t="s">
        <v>803</v>
      </c>
      <c r="G95" s="252"/>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activeCell="H11" sqref="H11"/>
    </sheetView>
  </sheetViews>
  <sheetFormatPr defaultColWidth="8.7265625" defaultRowHeight="12.5"/>
  <cols>
    <col min="1" max="1" width="7.1796875" style="60" customWidth="1"/>
    <col min="2" max="2" width="45.453125" style="60" customWidth="1"/>
    <col min="3" max="3" width="10.54296875" style="60" customWidth="1"/>
    <col min="4" max="4" width="8.7265625" style="60"/>
    <col min="5" max="6" width="22.26953125" style="60" customWidth="1"/>
    <col min="7" max="7" width="8.7265625" style="44"/>
    <col min="8" max="16384" width="8.7265625" style="104"/>
  </cols>
  <sheetData>
    <row r="1" spans="1:6" ht="23.65" customHeight="1">
      <c r="A1" s="263" t="s">
        <v>184</v>
      </c>
      <c r="B1" s="263"/>
      <c r="C1" s="263"/>
      <c r="D1" s="263"/>
      <c r="E1" s="263"/>
      <c r="F1" s="263"/>
    </row>
    <row r="2" spans="1:6" ht="32.65" customHeight="1">
      <c r="A2" s="264" t="s">
        <v>96</v>
      </c>
      <c r="B2" s="264"/>
      <c r="C2" s="264"/>
      <c r="D2" s="264"/>
      <c r="E2" s="264"/>
      <c r="F2" s="264"/>
    </row>
    <row r="3" spans="1:6" ht="31.15" customHeight="1">
      <c r="A3" s="265" t="s">
        <v>185</v>
      </c>
      <c r="B3" s="265"/>
      <c r="C3" s="265"/>
      <c r="D3" s="265"/>
      <c r="E3" s="265"/>
      <c r="F3" s="265"/>
    </row>
    <row r="4" spans="1:6" ht="6" customHeight="1"/>
    <row r="5" spans="1:6" ht="16.899999999999999" customHeight="1">
      <c r="A5" s="266" t="str">
        <f>TONGQUAN!C1</f>
        <v>Tại ngày 31 tháng 07 năm 2022
/ As at 31 Jul 2022</v>
      </c>
      <c r="B5" s="266"/>
      <c r="C5" s="266"/>
      <c r="D5" s="266"/>
      <c r="E5" s="266"/>
      <c r="F5" s="266"/>
    </row>
    <row r="6" spans="1:6" ht="16.899999999999999" customHeight="1"/>
    <row r="7" spans="1:6" ht="16.899999999999999" customHeight="1">
      <c r="A7" s="143" t="s">
        <v>2</v>
      </c>
      <c r="C7" s="261" t="str">
        <f>TONGQUAN!D5</f>
        <v>Công ty Cổ phần Quản lý Quỹ Đầu tư Dragon Capital Việt Nam</v>
      </c>
      <c r="D7" s="261"/>
      <c r="E7" s="261"/>
      <c r="F7" s="261"/>
    </row>
    <row r="8" spans="1:6" ht="16.899999999999999" customHeight="1">
      <c r="A8" s="60" t="s">
        <v>41</v>
      </c>
      <c r="C8" s="262" t="str">
        <f>TONGQUAN!D6</f>
        <v>Dragon Capital Vietfund Management Joint Stock Company</v>
      </c>
      <c r="D8" s="262"/>
      <c r="E8" s="262"/>
      <c r="F8" s="262"/>
    </row>
    <row r="9" spans="1:6" ht="16.899999999999999" customHeight="1">
      <c r="A9" s="143" t="s">
        <v>3</v>
      </c>
      <c r="C9" s="261" t="str">
        <f>TONGQUAN!D7</f>
        <v>Ngân hàng TNHH Một thành viên Standard Chartered (Việt Nam)</v>
      </c>
      <c r="D9" s="261"/>
      <c r="E9" s="261"/>
      <c r="F9" s="261"/>
    </row>
    <row r="10" spans="1:6" ht="16.899999999999999" customHeight="1">
      <c r="A10" s="60" t="s">
        <v>4</v>
      </c>
      <c r="C10" s="262" t="str">
        <f>TONGQUAN!D8</f>
        <v>Standard Chartered Bank (Vietnam) Limited</v>
      </c>
      <c r="D10" s="262"/>
      <c r="E10" s="262"/>
      <c r="F10" s="262"/>
    </row>
    <row r="11" spans="1:6" ht="16.899999999999999" customHeight="1">
      <c r="A11" s="143" t="s">
        <v>5</v>
      </c>
      <c r="C11" s="261" t="str">
        <f>TONGQUAN!D9</f>
        <v>Quỹ Đầu tư Chứng khoán Năng động DC</v>
      </c>
      <c r="D11" s="261"/>
      <c r="E11" s="261"/>
      <c r="F11" s="261"/>
    </row>
    <row r="12" spans="1:6" ht="16.899999999999999" customHeight="1">
      <c r="A12" s="60" t="s">
        <v>6</v>
      </c>
      <c r="C12" s="262" t="str">
        <f>TONGQUAN!D10</f>
        <v>DC Dynamic Securities Fund(VFMVF1)</v>
      </c>
      <c r="D12" s="262"/>
      <c r="E12" s="262"/>
      <c r="F12" s="262"/>
    </row>
    <row r="13" spans="1:6" ht="16.899999999999999" customHeight="1">
      <c r="A13" s="143" t="s">
        <v>7</v>
      </c>
      <c r="C13" s="261" t="str">
        <f>TONGQUAN!D11</f>
        <v>Ngày 01 tháng 08 năm 2022</v>
      </c>
      <c r="D13" s="261"/>
      <c r="E13" s="261"/>
      <c r="F13" s="261"/>
    </row>
    <row r="14" spans="1:6" ht="16.899999999999999" customHeight="1">
      <c r="A14" s="60" t="s">
        <v>8</v>
      </c>
      <c r="C14" s="262" t="str">
        <f>TONGQUAN!D12</f>
        <v>01 Aug 2022</v>
      </c>
      <c r="D14" s="262"/>
      <c r="E14" s="262"/>
      <c r="F14" s="262"/>
    </row>
    <row r="15" spans="1:6" ht="16.899999999999999" customHeight="1"/>
    <row r="16" spans="1:6" ht="46.9" customHeight="1">
      <c r="A16" s="105" t="s">
        <v>186</v>
      </c>
      <c r="B16" s="105" t="s">
        <v>98</v>
      </c>
      <c r="C16" s="105" t="s">
        <v>99</v>
      </c>
      <c r="D16" s="105" t="s">
        <v>100</v>
      </c>
      <c r="E16" s="105" t="str">
        <f>BCTaiSan_06027!D18</f>
        <v>Ngày 31 tháng 07 năm 2022
 As at 31 Jul 2022</v>
      </c>
      <c r="F16" s="105" t="str">
        <f>BCTaiSan_06027!E18</f>
        <v>Ngày 30 tháng 06 năm 2022
 As at 30 Jun 2022</v>
      </c>
    </row>
    <row r="17" spans="1:7" ht="39" customHeight="1">
      <c r="A17" s="62" t="s">
        <v>42</v>
      </c>
      <c r="B17" s="144" t="s">
        <v>268</v>
      </c>
      <c r="C17" s="54" t="s">
        <v>42</v>
      </c>
      <c r="D17" s="81"/>
      <c r="E17" s="81"/>
      <c r="F17" s="81"/>
    </row>
    <row r="18" spans="1:7" ht="39" customHeight="1">
      <c r="A18" s="146" t="s">
        <v>269</v>
      </c>
      <c r="B18" s="147" t="s">
        <v>270</v>
      </c>
      <c r="C18" s="148" t="s">
        <v>271</v>
      </c>
      <c r="D18" s="146"/>
      <c r="E18" s="145">
        <v>189101074987</v>
      </c>
      <c r="F18" s="145">
        <v>118659866954</v>
      </c>
    </row>
    <row r="19" spans="1:7" ht="39" customHeight="1">
      <c r="A19" s="146" t="s">
        <v>272</v>
      </c>
      <c r="B19" s="147" t="s">
        <v>273</v>
      </c>
      <c r="C19" s="148" t="s">
        <v>274</v>
      </c>
      <c r="D19" s="146"/>
      <c r="E19" s="145">
        <v>189101074987</v>
      </c>
      <c r="F19" s="145">
        <v>118659866954</v>
      </c>
    </row>
    <row r="20" spans="1:7" s="152" customFormat="1" ht="49.15" customHeight="1">
      <c r="A20" s="146" t="s">
        <v>275</v>
      </c>
      <c r="B20" s="149" t="s">
        <v>276</v>
      </c>
      <c r="C20" s="150" t="s">
        <v>277</v>
      </c>
      <c r="D20" s="146"/>
      <c r="E20" s="145">
        <v>0</v>
      </c>
      <c r="F20" s="145">
        <v>0</v>
      </c>
      <c r="G20" s="151"/>
    </row>
    <row r="21" spans="1:7" s="152" customFormat="1" ht="46.5" customHeight="1">
      <c r="A21" s="146" t="s">
        <v>275</v>
      </c>
      <c r="B21" s="149" t="s">
        <v>278</v>
      </c>
      <c r="C21" s="150" t="s">
        <v>279</v>
      </c>
      <c r="D21" s="146"/>
      <c r="E21" s="145">
        <v>719033789</v>
      </c>
      <c r="F21" s="145">
        <v>1118154682</v>
      </c>
      <c r="G21" s="151"/>
    </row>
    <row r="22" spans="1:7" s="152" customFormat="1" ht="39" customHeight="1">
      <c r="A22" s="146" t="s">
        <v>275</v>
      </c>
      <c r="B22" s="149" t="s">
        <v>280</v>
      </c>
      <c r="C22" s="150" t="s">
        <v>281</v>
      </c>
      <c r="D22" s="146"/>
      <c r="E22" s="145">
        <v>188382041198</v>
      </c>
      <c r="F22" s="145">
        <v>117541712272</v>
      </c>
      <c r="G22" s="151"/>
    </row>
    <row r="23" spans="1:7" ht="47.65" customHeight="1">
      <c r="A23" s="146" t="s">
        <v>275</v>
      </c>
      <c r="B23" s="149" t="s">
        <v>47</v>
      </c>
      <c r="C23" s="150" t="s">
        <v>282</v>
      </c>
      <c r="D23" s="146"/>
      <c r="E23" s="145">
        <v>0</v>
      </c>
      <c r="F23" s="145">
        <v>0</v>
      </c>
    </row>
    <row r="24" spans="1:7" ht="39" customHeight="1">
      <c r="A24" s="146" t="s">
        <v>283</v>
      </c>
      <c r="B24" s="147" t="s">
        <v>284</v>
      </c>
      <c r="C24" s="148" t="s">
        <v>285</v>
      </c>
      <c r="D24" s="146"/>
      <c r="E24" s="145">
        <v>0</v>
      </c>
      <c r="F24" s="145">
        <v>0</v>
      </c>
    </row>
    <row r="25" spans="1:7" ht="39" customHeight="1">
      <c r="A25" s="146" t="s">
        <v>286</v>
      </c>
      <c r="B25" s="147" t="s">
        <v>287</v>
      </c>
      <c r="C25" s="148" t="s">
        <v>288</v>
      </c>
      <c r="D25" s="146"/>
      <c r="E25" s="145">
        <v>1401393395550</v>
      </c>
      <c r="F25" s="145">
        <v>1470911463400</v>
      </c>
    </row>
    <row r="26" spans="1:7" ht="39" customHeight="1">
      <c r="A26" s="146" t="s">
        <v>289</v>
      </c>
      <c r="B26" s="147" t="s">
        <v>290</v>
      </c>
      <c r="C26" s="148" t="s">
        <v>291</v>
      </c>
      <c r="D26" s="146"/>
      <c r="E26" s="145">
        <v>1401393395550</v>
      </c>
      <c r="F26" s="145">
        <v>1470911463400</v>
      </c>
    </row>
    <row r="27" spans="1:7" ht="39" customHeight="1">
      <c r="A27" s="146" t="s">
        <v>275</v>
      </c>
      <c r="B27" s="149" t="s">
        <v>292</v>
      </c>
      <c r="C27" s="150" t="s">
        <v>293</v>
      </c>
      <c r="D27" s="146"/>
      <c r="E27" s="145">
        <v>1271337570950</v>
      </c>
      <c r="F27" s="145">
        <v>1291055638800</v>
      </c>
    </row>
    <row r="28" spans="1:7" ht="39" customHeight="1">
      <c r="A28" s="146" t="s">
        <v>275</v>
      </c>
      <c r="B28" s="149" t="s">
        <v>294</v>
      </c>
      <c r="C28" s="150" t="s">
        <v>295</v>
      </c>
      <c r="D28" s="146"/>
      <c r="E28" s="145">
        <v>0</v>
      </c>
      <c r="F28" s="145">
        <v>0</v>
      </c>
    </row>
    <row r="29" spans="1:7" ht="39" customHeight="1">
      <c r="A29" s="146" t="s">
        <v>275</v>
      </c>
      <c r="B29" s="149" t="s">
        <v>296</v>
      </c>
      <c r="C29" s="150" t="s">
        <v>297</v>
      </c>
      <c r="D29" s="146"/>
      <c r="E29" s="145">
        <v>30062400000</v>
      </c>
      <c r="F29" s="145">
        <v>79862400000</v>
      </c>
    </row>
    <row r="30" spans="1:7" ht="39" customHeight="1">
      <c r="A30" s="146" t="s">
        <v>275</v>
      </c>
      <c r="B30" s="149" t="s">
        <v>298</v>
      </c>
      <c r="C30" s="150" t="s">
        <v>299</v>
      </c>
      <c r="D30" s="146"/>
      <c r="E30" s="145">
        <v>89993424600</v>
      </c>
      <c r="F30" s="145">
        <v>89993424600</v>
      </c>
    </row>
    <row r="31" spans="1:7" ht="39" customHeight="1">
      <c r="A31" s="146" t="s">
        <v>275</v>
      </c>
      <c r="B31" s="149" t="s">
        <v>300</v>
      </c>
      <c r="C31" s="150" t="s">
        <v>301</v>
      </c>
      <c r="D31" s="146"/>
      <c r="E31" s="145">
        <v>10000000000</v>
      </c>
      <c r="F31" s="145">
        <v>10000000000</v>
      </c>
    </row>
    <row r="32" spans="1:7" ht="39" customHeight="1">
      <c r="A32" s="146" t="s">
        <v>275</v>
      </c>
      <c r="B32" s="149" t="s">
        <v>255</v>
      </c>
      <c r="C32" s="150" t="s">
        <v>302</v>
      </c>
      <c r="D32" s="146"/>
      <c r="E32" s="145">
        <v>0</v>
      </c>
      <c r="F32" s="145">
        <v>0</v>
      </c>
    </row>
    <row r="33" spans="1:6" ht="39" customHeight="1">
      <c r="A33" s="146" t="s">
        <v>275</v>
      </c>
      <c r="B33" s="149" t="s">
        <v>256</v>
      </c>
      <c r="C33" s="150" t="s">
        <v>303</v>
      </c>
      <c r="D33" s="146"/>
      <c r="E33" s="145">
        <v>0</v>
      </c>
      <c r="F33" s="145">
        <v>0</v>
      </c>
    </row>
    <row r="34" spans="1:6" ht="39" customHeight="1">
      <c r="A34" s="146" t="s">
        <v>275</v>
      </c>
      <c r="B34" s="149" t="s">
        <v>257</v>
      </c>
      <c r="C34" s="150" t="s">
        <v>304</v>
      </c>
      <c r="D34" s="146"/>
      <c r="E34" s="145">
        <v>0</v>
      </c>
      <c r="F34" s="145">
        <v>0</v>
      </c>
    </row>
    <row r="35" spans="1:6" ht="39" customHeight="1">
      <c r="A35" s="146" t="s">
        <v>275</v>
      </c>
      <c r="B35" s="149" t="s">
        <v>305</v>
      </c>
      <c r="C35" s="150" t="s">
        <v>306</v>
      </c>
      <c r="D35" s="146"/>
      <c r="E35" s="145">
        <v>0</v>
      </c>
      <c r="F35" s="145">
        <v>0</v>
      </c>
    </row>
    <row r="36" spans="1:6" ht="39" customHeight="1">
      <c r="A36" s="146" t="s">
        <v>275</v>
      </c>
      <c r="B36" s="149" t="s">
        <v>258</v>
      </c>
      <c r="C36" s="150" t="s">
        <v>307</v>
      </c>
      <c r="D36" s="146"/>
      <c r="E36" s="145">
        <v>0</v>
      </c>
      <c r="F36" s="145">
        <v>0</v>
      </c>
    </row>
    <row r="37" spans="1:6" ht="39" customHeight="1">
      <c r="A37" s="146" t="s">
        <v>308</v>
      </c>
      <c r="B37" s="147" t="s">
        <v>309</v>
      </c>
      <c r="C37" s="148" t="s">
        <v>310</v>
      </c>
      <c r="D37" s="146"/>
      <c r="E37" s="145">
        <v>0</v>
      </c>
      <c r="F37" s="145">
        <v>0</v>
      </c>
    </row>
    <row r="38" spans="1:6" ht="39" customHeight="1">
      <c r="A38" s="146" t="s">
        <v>311</v>
      </c>
      <c r="B38" s="147" t="s">
        <v>312</v>
      </c>
      <c r="C38" s="148" t="s">
        <v>313</v>
      </c>
      <c r="D38" s="146"/>
      <c r="E38" s="145">
        <v>88255697740</v>
      </c>
      <c r="F38" s="145">
        <v>47664359841</v>
      </c>
    </row>
    <row r="39" spans="1:6" ht="39" customHeight="1">
      <c r="A39" s="146" t="s">
        <v>314</v>
      </c>
      <c r="B39" s="147" t="s">
        <v>315</v>
      </c>
      <c r="C39" s="148" t="s">
        <v>316</v>
      </c>
      <c r="D39" s="146"/>
      <c r="E39" s="145">
        <v>83396335000</v>
      </c>
      <c r="F39" s="145">
        <v>41850102600</v>
      </c>
    </row>
    <row r="40" spans="1:6" ht="43.15" customHeight="1">
      <c r="A40" s="146" t="s">
        <v>275</v>
      </c>
      <c r="B40" s="149" t="s">
        <v>317</v>
      </c>
      <c r="C40" s="150" t="s">
        <v>318</v>
      </c>
      <c r="D40" s="146"/>
      <c r="E40" s="145">
        <v>0</v>
      </c>
      <c r="F40" s="145">
        <v>0</v>
      </c>
    </row>
    <row r="41" spans="1:6" ht="46.9" customHeight="1">
      <c r="A41" s="146" t="s">
        <v>319</v>
      </c>
      <c r="B41" s="147" t="s">
        <v>320</v>
      </c>
      <c r="C41" s="148" t="s">
        <v>321</v>
      </c>
      <c r="D41" s="146"/>
      <c r="E41" s="145">
        <v>5725762740</v>
      </c>
      <c r="F41" s="145">
        <v>6680657241</v>
      </c>
    </row>
    <row r="42" spans="1:6" ht="43.9" customHeight="1">
      <c r="A42" s="146" t="s">
        <v>322</v>
      </c>
      <c r="B42" s="147" t="s">
        <v>323</v>
      </c>
      <c r="C42" s="148" t="s">
        <v>324</v>
      </c>
      <c r="D42" s="146"/>
      <c r="E42" s="145">
        <v>866400000</v>
      </c>
      <c r="F42" s="145">
        <v>866400000</v>
      </c>
    </row>
    <row r="43" spans="1:6" ht="39" customHeight="1">
      <c r="A43" s="146" t="s">
        <v>275</v>
      </c>
      <c r="B43" s="149" t="s">
        <v>259</v>
      </c>
      <c r="C43" s="150" t="s">
        <v>325</v>
      </c>
      <c r="D43" s="146"/>
      <c r="E43" s="145">
        <v>866400000</v>
      </c>
      <c r="F43" s="145">
        <v>866400000</v>
      </c>
    </row>
    <row r="44" spans="1:6" ht="39" customHeight="1">
      <c r="A44" s="146" t="s">
        <v>275</v>
      </c>
      <c r="B44" s="149" t="s">
        <v>260</v>
      </c>
      <c r="C44" s="150" t="s">
        <v>326</v>
      </c>
      <c r="D44" s="146"/>
      <c r="E44" s="145">
        <v>0</v>
      </c>
      <c r="F44" s="145">
        <v>0</v>
      </c>
    </row>
    <row r="45" spans="1:6" ht="46.15" customHeight="1">
      <c r="A45" s="146" t="s">
        <v>275</v>
      </c>
      <c r="B45" s="149" t="s">
        <v>327</v>
      </c>
      <c r="C45" s="150" t="s">
        <v>328</v>
      </c>
      <c r="D45" s="146"/>
      <c r="E45" s="145">
        <v>0</v>
      </c>
      <c r="F45" s="145">
        <v>0</v>
      </c>
    </row>
    <row r="46" spans="1:6" ht="44.65" customHeight="1">
      <c r="A46" s="146" t="s">
        <v>275</v>
      </c>
      <c r="B46" s="149" t="s">
        <v>329</v>
      </c>
      <c r="C46" s="150" t="s">
        <v>330</v>
      </c>
      <c r="D46" s="146"/>
      <c r="E46" s="145">
        <v>0</v>
      </c>
      <c r="F46" s="145">
        <v>0</v>
      </c>
    </row>
    <row r="47" spans="1:6" ht="39" customHeight="1">
      <c r="A47" s="146" t="s">
        <v>275</v>
      </c>
      <c r="B47" s="149" t="s">
        <v>331</v>
      </c>
      <c r="C47" s="150" t="s">
        <v>332</v>
      </c>
      <c r="D47" s="146"/>
      <c r="E47" s="145">
        <v>0</v>
      </c>
      <c r="F47" s="145">
        <v>0</v>
      </c>
    </row>
    <row r="48" spans="1:6" ht="55.9" customHeight="1">
      <c r="A48" s="146" t="s">
        <v>275</v>
      </c>
      <c r="B48" s="147" t="s">
        <v>333</v>
      </c>
      <c r="C48" s="148" t="s">
        <v>334</v>
      </c>
      <c r="D48" s="146"/>
      <c r="E48" s="145">
        <v>866400000</v>
      </c>
      <c r="F48" s="145">
        <v>866400000</v>
      </c>
    </row>
    <row r="49" spans="1:7" ht="39" customHeight="1">
      <c r="A49" s="146" t="s">
        <v>335</v>
      </c>
      <c r="B49" s="147" t="s">
        <v>336</v>
      </c>
      <c r="C49" s="148" t="s">
        <v>337</v>
      </c>
      <c r="D49" s="146"/>
      <c r="E49" s="145">
        <v>4859362740</v>
      </c>
      <c r="F49" s="145">
        <v>5814257241</v>
      </c>
    </row>
    <row r="50" spans="1:7" ht="39" customHeight="1">
      <c r="A50" s="146" t="s">
        <v>275</v>
      </c>
      <c r="B50" s="149" t="s">
        <v>338</v>
      </c>
      <c r="C50" s="150" t="s">
        <v>339</v>
      </c>
      <c r="D50" s="146"/>
      <c r="E50" s="145">
        <v>2474760000</v>
      </c>
      <c r="F50" s="145">
        <v>2335154500</v>
      </c>
    </row>
    <row r="51" spans="1:7" ht="39" customHeight="1">
      <c r="A51" s="146" t="s">
        <v>275</v>
      </c>
      <c r="B51" s="149" t="s">
        <v>340</v>
      </c>
      <c r="C51" s="150" t="s">
        <v>341</v>
      </c>
      <c r="D51" s="146"/>
      <c r="E51" s="145">
        <v>2118767124</v>
      </c>
      <c r="F51" s="145">
        <v>3279726029</v>
      </c>
    </row>
    <row r="52" spans="1:7" ht="46.15" customHeight="1">
      <c r="A52" s="146" t="s">
        <v>275</v>
      </c>
      <c r="B52" s="149" t="s">
        <v>342</v>
      </c>
      <c r="C52" s="150" t="s">
        <v>343</v>
      </c>
      <c r="D52" s="146"/>
      <c r="E52" s="145">
        <v>0</v>
      </c>
      <c r="F52" s="145">
        <v>0</v>
      </c>
    </row>
    <row r="53" spans="1:7" ht="42" customHeight="1">
      <c r="A53" s="146" t="s">
        <v>275</v>
      </c>
      <c r="B53" s="149" t="s">
        <v>344</v>
      </c>
      <c r="C53" s="150" t="s">
        <v>345</v>
      </c>
      <c r="D53" s="146"/>
      <c r="E53" s="145">
        <v>0</v>
      </c>
      <c r="F53" s="145">
        <v>0</v>
      </c>
    </row>
    <row r="54" spans="1:7" ht="39" customHeight="1">
      <c r="A54" s="146" t="s">
        <v>275</v>
      </c>
      <c r="B54" s="149" t="s">
        <v>346</v>
      </c>
      <c r="C54" s="150" t="s">
        <v>347</v>
      </c>
      <c r="D54" s="146"/>
      <c r="E54" s="145">
        <v>265835616</v>
      </c>
      <c r="F54" s="145">
        <v>199376712</v>
      </c>
    </row>
    <row r="55" spans="1:7" ht="39" customHeight="1">
      <c r="A55" s="146" t="s">
        <v>275</v>
      </c>
      <c r="B55" s="149" t="s">
        <v>348</v>
      </c>
      <c r="C55" s="150" t="s">
        <v>349</v>
      </c>
      <c r="D55" s="146"/>
      <c r="E55" s="145">
        <v>0</v>
      </c>
      <c r="F55" s="145">
        <v>0</v>
      </c>
    </row>
    <row r="56" spans="1:7" ht="39" customHeight="1">
      <c r="A56" s="146" t="s">
        <v>350</v>
      </c>
      <c r="B56" s="147" t="s">
        <v>351</v>
      </c>
      <c r="C56" s="148" t="s">
        <v>352</v>
      </c>
      <c r="D56" s="146"/>
      <c r="E56" s="145">
        <v>0</v>
      </c>
      <c r="F56" s="145">
        <v>0</v>
      </c>
    </row>
    <row r="57" spans="1:7" s="152" customFormat="1" ht="46.9" customHeight="1">
      <c r="A57" s="146" t="s">
        <v>275</v>
      </c>
      <c r="B57" s="149" t="s">
        <v>353</v>
      </c>
      <c r="C57" s="150" t="s">
        <v>354</v>
      </c>
      <c r="D57" s="146"/>
      <c r="E57" s="145">
        <v>0</v>
      </c>
      <c r="F57" s="145">
        <v>0</v>
      </c>
      <c r="G57" s="151"/>
    </row>
    <row r="58" spans="1:7" ht="39" customHeight="1">
      <c r="A58" s="146" t="s">
        <v>275</v>
      </c>
      <c r="B58" s="149" t="s">
        <v>355</v>
      </c>
      <c r="C58" s="150" t="s">
        <v>356</v>
      </c>
      <c r="D58" s="146"/>
      <c r="E58" s="145">
        <v>0</v>
      </c>
      <c r="F58" s="145">
        <v>0</v>
      </c>
    </row>
    <row r="59" spans="1:7" ht="39" customHeight="1">
      <c r="A59" s="146" t="s">
        <v>275</v>
      </c>
      <c r="B59" s="149" t="s">
        <v>357</v>
      </c>
      <c r="C59" s="150" t="s">
        <v>358</v>
      </c>
      <c r="D59" s="146"/>
      <c r="E59" s="145">
        <v>0</v>
      </c>
      <c r="F59" s="145">
        <v>0</v>
      </c>
    </row>
    <row r="60" spans="1:7" ht="39" customHeight="1">
      <c r="A60" s="146" t="s">
        <v>359</v>
      </c>
      <c r="B60" s="147" t="s">
        <v>360</v>
      </c>
      <c r="C60" s="148" t="s">
        <v>361</v>
      </c>
      <c r="D60" s="146"/>
      <c r="E60" s="145">
        <v>-866400000</v>
      </c>
      <c r="F60" s="145">
        <v>-866400000</v>
      </c>
    </row>
    <row r="61" spans="1:7" ht="39" customHeight="1">
      <c r="A61" s="62" t="s">
        <v>275</v>
      </c>
      <c r="B61" s="144" t="s">
        <v>261</v>
      </c>
      <c r="C61" s="54" t="s">
        <v>362</v>
      </c>
      <c r="D61" s="81"/>
      <c r="E61" s="81">
        <v>1678750168277</v>
      </c>
      <c r="F61" s="81">
        <v>1637235690195</v>
      </c>
    </row>
    <row r="62" spans="1:7" ht="39" customHeight="1">
      <c r="A62" s="62" t="s">
        <v>48</v>
      </c>
      <c r="B62" s="144" t="s">
        <v>363</v>
      </c>
      <c r="C62" s="54" t="s">
        <v>48</v>
      </c>
      <c r="D62" s="81"/>
      <c r="E62" s="81"/>
      <c r="F62" s="81"/>
    </row>
    <row r="63" spans="1:7" ht="39" customHeight="1">
      <c r="A63" s="146" t="s">
        <v>269</v>
      </c>
      <c r="B63" s="147" t="s">
        <v>364</v>
      </c>
      <c r="C63" s="148" t="s">
        <v>365</v>
      </c>
      <c r="D63" s="146"/>
      <c r="E63" s="145">
        <v>0</v>
      </c>
      <c r="F63" s="145">
        <v>0</v>
      </c>
    </row>
    <row r="64" spans="1:7" ht="39" customHeight="1">
      <c r="A64" s="146" t="s">
        <v>275</v>
      </c>
      <c r="B64" s="149" t="s">
        <v>366</v>
      </c>
      <c r="C64" s="150" t="s">
        <v>367</v>
      </c>
      <c r="D64" s="146"/>
      <c r="E64" s="145">
        <v>0</v>
      </c>
      <c r="F64" s="145">
        <v>0</v>
      </c>
    </row>
    <row r="65" spans="1:6" ht="39" customHeight="1">
      <c r="A65" s="146" t="s">
        <v>275</v>
      </c>
      <c r="B65" s="149" t="s">
        <v>368</v>
      </c>
      <c r="C65" s="150" t="s">
        <v>369</v>
      </c>
      <c r="D65" s="146"/>
      <c r="E65" s="145">
        <v>0</v>
      </c>
      <c r="F65" s="145">
        <v>0</v>
      </c>
    </row>
    <row r="66" spans="1:6" ht="39" customHeight="1">
      <c r="A66" s="146" t="s">
        <v>286</v>
      </c>
      <c r="B66" s="147" t="s">
        <v>370</v>
      </c>
      <c r="C66" s="148" t="s">
        <v>371</v>
      </c>
      <c r="D66" s="146"/>
      <c r="E66" s="145">
        <v>129590415000</v>
      </c>
      <c r="F66" s="145">
        <v>67553225000</v>
      </c>
    </row>
    <row r="67" spans="1:6" ht="60" customHeight="1">
      <c r="A67" s="146" t="s">
        <v>311</v>
      </c>
      <c r="B67" s="147" t="s">
        <v>372</v>
      </c>
      <c r="C67" s="148" t="s">
        <v>373</v>
      </c>
      <c r="D67" s="146"/>
      <c r="E67" s="145">
        <v>498829721</v>
      </c>
      <c r="F67" s="145">
        <v>364202705</v>
      </c>
    </row>
    <row r="68" spans="1:6" ht="57.4" customHeight="1">
      <c r="A68" s="146" t="s">
        <v>275</v>
      </c>
      <c r="B68" s="149" t="s">
        <v>374</v>
      </c>
      <c r="C68" s="150" t="s">
        <v>375</v>
      </c>
      <c r="D68" s="146"/>
      <c r="E68" s="145">
        <v>6835448</v>
      </c>
      <c r="F68" s="145">
        <v>6835448</v>
      </c>
    </row>
    <row r="69" spans="1:6" ht="60" customHeight="1">
      <c r="A69" s="146" t="s">
        <v>275</v>
      </c>
      <c r="B69" s="149" t="s">
        <v>376</v>
      </c>
      <c r="C69" s="150" t="s">
        <v>377</v>
      </c>
      <c r="D69" s="146"/>
      <c r="E69" s="145">
        <v>491994273</v>
      </c>
      <c r="F69" s="145">
        <v>357367257</v>
      </c>
    </row>
    <row r="70" spans="1:6" ht="39" customHeight="1">
      <c r="A70" s="146" t="s">
        <v>378</v>
      </c>
      <c r="B70" s="147" t="s">
        <v>379</v>
      </c>
      <c r="C70" s="148" t="s">
        <v>380</v>
      </c>
      <c r="D70" s="146"/>
      <c r="E70" s="145">
        <v>17156187</v>
      </c>
      <c r="F70" s="145">
        <v>13315654</v>
      </c>
    </row>
    <row r="71" spans="1:6" ht="39" customHeight="1">
      <c r="A71" s="146" t="s">
        <v>381</v>
      </c>
      <c r="B71" s="147" t="s">
        <v>382</v>
      </c>
      <c r="C71" s="148" t="s">
        <v>383</v>
      </c>
      <c r="D71" s="146"/>
      <c r="E71" s="145">
        <v>39925000</v>
      </c>
      <c r="F71" s="145">
        <v>39925000</v>
      </c>
    </row>
    <row r="72" spans="1:6" ht="39" customHeight="1">
      <c r="A72" s="146" t="s">
        <v>384</v>
      </c>
      <c r="B72" s="147" t="s">
        <v>385</v>
      </c>
      <c r="C72" s="148" t="s">
        <v>386</v>
      </c>
      <c r="D72" s="146"/>
      <c r="E72" s="145">
        <v>395744036</v>
      </c>
      <c r="F72" s="145">
        <v>300024871</v>
      </c>
    </row>
    <row r="73" spans="1:6" ht="39" customHeight="1">
      <c r="A73" s="146" t="s">
        <v>275</v>
      </c>
      <c r="B73" s="149" t="s">
        <v>264</v>
      </c>
      <c r="C73" s="150" t="s">
        <v>387</v>
      </c>
      <c r="D73" s="146"/>
      <c r="E73" s="145">
        <v>267738269</v>
      </c>
      <c r="F73" s="145">
        <v>189240157</v>
      </c>
    </row>
    <row r="74" spans="1:6" ht="39" customHeight="1">
      <c r="A74" s="146" t="s">
        <v>275</v>
      </c>
      <c r="B74" s="149" t="s">
        <v>388</v>
      </c>
      <c r="C74" s="150" t="s">
        <v>389</v>
      </c>
      <c r="D74" s="146"/>
      <c r="E74" s="145">
        <v>267738269</v>
      </c>
      <c r="F74" s="145">
        <v>189240157</v>
      </c>
    </row>
    <row r="75" spans="1:6" ht="39" customHeight="1">
      <c r="A75" s="146" t="s">
        <v>275</v>
      </c>
      <c r="B75" s="149" t="s">
        <v>390</v>
      </c>
      <c r="C75" s="150" t="s">
        <v>391</v>
      </c>
      <c r="D75" s="146"/>
      <c r="E75" s="145">
        <v>0</v>
      </c>
      <c r="F75" s="145">
        <v>0</v>
      </c>
    </row>
    <row r="76" spans="1:6" ht="39" customHeight="1">
      <c r="A76" s="146" t="s">
        <v>275</v>
      </c>
      <c r="B76" s="149" t="s">
        <v>392</v>
      </c>
      <c r="C76" s="150" t="s">
        <v>393</v>
      </c>
      <c r="D76" s="146"/>
      <c r="E76" s="145">
        <v>107557028</v>
      </c>
      <c r="F76" s="145">
        <v>91055511</v>
      </c>
    </row>
    <row r="77" spans="1:6" ht="39" customHeight="1">
      <c r="A77" s="146" t="s">
        <v>275</v>
      </c>
      <c r="B77" s="149" t="s">
        <v>394</v>
      </c>
      <c r="C77" s="150" t="s">
        <v>395</v>
      </c>
      <c r="D77" s="146"/>
      <c r="E77" s="145">
        <v>0</v>
      </c>
      <c r="F77" s="145">
        <v>0</v>
      </c>
    </row>
    <row r="78" spans="1:6" ht="39" customHeight="1">
      <c r="A78" s="146" t="s">
        <v>275</v>
      </c>
      <c r="B78" s="149" t="s">
        <v>396</v>
      </c>
      <c r="C78" s="150" t="s">
        <v>397</v>
      </c>
      <c r="D78" s="146"/>
      <c r="E78" s="145">
        <v>0</v>
      </c>
      <c r="F78" s="145">
        <v>0</v>
      </c>
    </row>
    <row r="79" spans="1:6" ht="45.4" customHeight="1">
      <c r="A79" s="146" t="s">
        <v>275</v>
      </c>
      <c r="B79" s="149" t="s">
        <v>398</v>
      </c>
      <c r="C79" s="150" t="s">
        <v>399</v>
      </c>
      <c r="D79" s="146"/>
      <c r="E79" s="145">
        <v>20448739</v>
      </c>
      <c r="F79" s="145">
        <v>19729203</v>
      </c>
    </row>
    <row r="80" spans="1:6" ht="48.4" customHeight="1">
      <c r="A80" s="146" t="s">
        <v>275</v>
      </c>
      <c r="B80" s="149" t="s">
        <v>400</v>
      </c>
      <c r="C80" s="150" t="s">
        <v>401</v>
      </c>
      <c r="D80" s="146"/>
      <c r="E80" s="145">
        <v>0</v>
      </c>
      <c r="F80" s="145">
        <v>0</v>
      </c>
    </row>
    <row r="81" spans="1:6" ht="56.65" customHeight="1">
      <c r="A81" s="146" t="s">
        <v>275</v>
      </c>
      <c r="B81" s="149" t="s">
        <v>402</v>
      </c>
      <c r="C81" s="150" t="s">
        <v>403</v>
      </c>
      <c r="D81" s="146"/>
      <c r="E81" s="145">
        <v>0</v>
      </c>
      <c r="F81" s="145">
        <v>0</v>
      </c>
    </row>
    <row r="82" spans="1:6" ht="39" customHeight="1">
      <c r="A82" s="146" t="s">
        <v>404</v>
      </c>
      <c r="B82" s="147" t="s">
        <v>405</v>
      </c>
      <c r="C82" s="148" t="s">
        <v>406</v>
      </c>
      <c r="D82" s="146"/>
      <c r="E82" s="145">
        <v>1158156289</v>
      </c>
      <c r="F82" s="145">
        <v>2944693215</v>
      </c>
    </row>
    <row r="83" spans="1:6" ht="39" customHeight="1">
      <c r="A83" s="146" t="s">
        <v>275</v>
      </c>
      <c r="B83" s="149" t="s">
        <v>262</v>
      </c>
      <c r="C83" s="150" t="s">
        <v>407</v>
      </c>
      <c r="D83" s="146"/>
      <c r="E83" s="145">
        <v>1158156289</v>
      </c>
      <c r="F83" s="145">
        <v>2944693215</v>
      </c>
    </row>
    <row r="84" spans="1:6" ht="45" customHeight="1">
      <c r="A84" s="146" t="s">
        <v>275</v>
      </c>
      <c r="B84" s="149" t="s">
        <v>263</v>
      </c>
      <c r="C84" s="150" t="s">
        <v>408</v>
      </c>
      <c r="D84" s="146"/>
      <c r="E84" s="145">
        <v>0</v>
      </c>
      <c r="F84" s="145">
        <v>0</v>
      </c>
    </row>
    <row r="85" spans="1:6" ht="39" customHeight="1">
      <c r="A85" s="146" t="s">
        <v>409</v>
      </c>
      <c r="B85" s="147" t="s">
        <v>410</v>
      </c>
      <c r="C85" s="148" t="s">
        <v>411</v>
      </c>
      <c r="D85" s="146"/>
      <c r="E85" s="145">
        <v>15170468046</v>
      </c>
      <c r="F85" s="145">
        <v>1408685339</v>
      </c>
    </row>
    <row r="86" spans="1:6" ht="39" customHeight="1">
      <c r="A86" s="146" t="s">
        <v>412</v>
      </c>
      <c r="B86" s="147" t="s">
        <v>413</v>
      </c>
      <c r="C86" s="148" t="s">
        <v>414</v>
      </c>
      <c r="D86" s="146"/>
      <c r="E86" s="145">
        <v>2703222421</v>
      </c>
      <c r="F86" s="145">
        <v>2756275170</v>
      </c>
    </row>
    <row r="87" spans="1:6" ht="39" customHeight="1">
      <c r="A87" s="146" t="s">
        <v>275</v>
      </c>
      <c r="B87" s="149" t="s">
        <v>415</v>
      </c>
      <c r="C87" s="150" t="s">
        <v>416</v>
      </c>
      <c r="D87" s="146"/>
      <c r="E87" s="145">
        <v>2510663947</v>
      </c>
      <c r="F87" s="145">
        <v>2562833656</v>
      </c>
    </row>
    <row r="88" spans="1:6" ht="39" customHeight="1">
      <c r="A88" s="146" t="s">
        <v>275</v>
      </c>
      <c r="B88" s="149" t="s">
        <v>417</v>
      </c>
      <c r="C88" s="150" t="s">
        <v>418</v>
      </c>
      <c r="D88" s="146"/>
      <c r="E88" s="145">
        <v>87300798</v>
      </c>
      <c r="F88" s="145">
        <v>88470948</v>
      </c>
    </row>
    <row r="89" spans="1:6" ht="39" customHeight="1">
      <c r="A89" s="146" t="s">
        <v>275</v>
      </c>
      <c r="B89" s="149" t="s">
        <v>51</v>
      </c>
      <c r="C89" s="150" t="s">
        <v>419</v>
      </c>
      <c r="D89" s="146"/>
      <c r="E89" s="145">
        <v>51500798</v>
      </c>
      <c r="F89" s="145">
        <v>52570948</v>
      </c>
    </row>
    <row r="90" spans="1:6" ht="39" customHeight="1">
      <c r="A90" s="146" t="s">
        <v>275</v>
      </c>
      <c r="B90" s="149" t="s">
        <v>63</v>
      </c>
      <c r="C90" s="150" t="s">
        <v>420</v>
      </c>
      <c r="D90" s="146"/>
      <c r="E90" s="145">
        <v>35800000</v>
      </c>
      <c r="F90" s="145">
        <v>35900000</v>
      </c>
    </row>
    <row r="91" spans="1:6" ht="57" customHeight="1">
      <c r="A91" s="146" t="s">
        <v>275</v>
      </c>
      <c r="B91" s="149" t="s">
        <v>226</v>
      </c>
      <c r="C91" s="150" t="s">
        <v>421</v>
      </c>
      <c r="D91" s="146"/>
      <c r="E91" s="145">
        <v>0</v>
      </c>
      <c r="F91" s="145">
        <v>0</v>
      </c>
    </row>
    <row r="92" spans="1:6" ht="39" customHeight="1">
      <c r="A92" s="146" t="s">
        <v>275</v>
      </c>
      <c r="B92" s="149" t="s">
        <v>422</v>
      </c>
      <c r="C92" s="150" t="s">
        <v>423</v>
      </c>
      <c r="D92" s="146"/>
      <c r="E92" s="145">
        <v>35406798</v>
      </c>
      <c r="F92" s="145">
        <v>36142524</v>
      </c>
    </row>
    <row r="93" spans="1:6" ht="39" customHeight="1">
      <c r="A93" s="146" t="s">
        <v>275</v>
      </c>
      <c r="B93" s="149" t="s">
        <v>424</v>
      </c>
      <c r="C93" s="150" t="s">
        <v>425</v>
      </c>
      <c r="D93" s="146"/>
      <c r="E93" s="145">
        <v>56650878</v>
      </c>
      <c r="F93" s="145">
        <v>57828042</v>
      </c>
    </row>
    <row r="94" spans="1:6" ht="39" customHeight="1">
      <c r="A94" s="146" t="s">
        <v>275</v>
      </c>
      <c r="B94" s="149" t="s">
        <v>426</v>
      </c>
      <c r="C94" s="150" t="s">
        <v>427</v>
      </c>
      <c r="D94" s="146"/>
      <c r="E94" s="145">
        <v>13200000</v>
      </c>
      <c r="F94" s="145">
        <v>11000000</v>
      </c>
    </row>
    <row r="95" spans="1:6" ht="57.4" customHeight="1">
      <c r="A95" s="146" t="s">
        <v>275</v>
      </c>
      <c r="B95" s="149" t="s">
        <v>428</v>
      </c>
      <c r="C95" s="150" t="s">
        <v>429</v>
      </c>
      <c r="D95" s="146"/>
      <c r="E95" s="145">
        <v>0</v>
      </c>
      <c r="F95" s="145">
        <v>0</v>
      </c>
    </row>
    <row r="96" spans="1:6" ht="47.65" customHeight="1">
      <c r="A96" s="146" t="s">
        <v>275</v>
      </c>
      <c r="B96" s="149" t="s">
        <v>430</v>
      </c>
      <c r="C96" s="150" t="s">
        <v>431</v>
      </c>
      <c r="D96" s="146"/>
      <c r="E96" s="145">
        <v>0</v>
      </c>
      <c r="F96" s="145">
        <v>0</v>
      </c>
    </row>
    <row r="97" spans="1:6" ht="39" customHeight="1">
      <c r="A97" s="146" t="s">
        <v>113</v>
      </c>
      <c r="B97" s="147" t="s">
        <v>432</v>
      </c>
      <c r="C97" s="148" t="s">
        <v>433</v>
      </c>
      <c r="D97" s="146"/>
      <c r="E97" s="145">
        <v>176482966</v>
      </c>
      <c r="F97" s="145">
        <v>176482966</v>
      </c>
    </row>
    <row r="98" spans="1:6" ht="39" customHeight="1">
      <c r="A98" s="146" t="s">
        <v>275</v>
      </c>
      <c r="B98" s="149" t="s">
        <v>266</v>
      </c>
      <c r="C98" s="150" t="s">
        <v>434</v>
      </c>
      <c r="D98" s="146"/>
      <c r="E98" s="145">
        <v>0</v>
      </c>
      <c r="F98" s="145">
        <v>0</v>
      </c>
    </row>
    <row r="99" spans="1:6" ht="45.4" customHeight="1">
      <c r="A99" s="146" t="s">
        <v>275</v>
      </c>
      <c r="B99" s="149" t="s">
        <v>267</v>
      </c>
      <c r="C99" s="150" t="s">
        <v>435</v>
      </c>
      <c r="D99" s="146"/>
      <c r="E99" s="145">
        <v>0</v>
      </c>
      <c r="F99" s="145">
        <v>0</v>
      </c>
    </row>
    <row r="100" spans="1:6" ht="39" customHeight="1">
      <c r="A100" s="146" t="s">
        <v>275</v>
      </c>
      <c r="B100" s="149" t="s">
        <v>436</v>
      </c>
      <c r="C100" s="150" t="s">
        <v>437</v>
      </c>
      <c r="D100" s="146"/>
      <c r="E100" s="145">
        <v>0</v>
      </c>
      <c r="F100" s="145">
        <v>0</v>
      </c>
    </row>
    <row r="101" spans="1:6" ht="39" customHeight="1">
      <c r="A101" s="146" t="s">
        <v>275</v>
      </c>
      <c r="B101" s="149" t="s">
        <v>438</v>
      </c>
      <c r="C101" s="150" t="s">
        <v>439</v>
      </c>
      <c r="D101" s="146"/>
      <c r="E101" s="145">
        <v>0</v>
      </c>
      <c r="F101" s="145">
        <v>0</v>
      </c>
    </row>
    <row r="102" spans="1:6" ht="39" customHeight="1">
      <c r="A102" s="146" t="s">
        <v>275</v>
      </c>
      <c r="B102" s="149" t="s">
        <v>265</v>
      </c>
      <c r="C102" s="150" t="s">
        <v>440</v>
      </c>
      <c r="D102" s="146"/>
      <c r="E102" s="145">
        <v>176482966</v>
      </c>
      <c r="F102" s="145">
        <v>176482966</v>
      </c>
    </row>
    <row r="103" spans="1:6" ht="39" customHeight="1">
      <c r="A103" s="62" t="s">
        <v>275</v>
      </c>
      <c r="B103" s="144" t="s">
        <v>441</v>
      </c>
      <c r="C103" s="54" t="s">
        <v>442</v>
      </c>
      <c r="D103" s="81"/>
      <c r="E103" s="81">
        <v>149750399666</v>
      </c>
      <c r="F103" s="81">
        <v>75556829920</v>
      </c>
    </row>
    <row r="104" spans="1:6" ht="59.65" customHeight="1">
      <c r="A104" s="62" t="s">
        <v>54</v>
      </c>
      <c r="B104" s="144" t="s">
        <v>443</v>
      </c>
      <c r="C104" s="54" t="s">
        <v>444</v>
      </c>
      <c r="D104" s="81"/>
      <c r="E104" s="81">
        <v>1528999768611</v>
      </c>
      <c r="F104" s="81">
        <v>1561678860275</v>
      </c>
    </row>
    <row r="105" spans="1:6" ht="39" customHeight="1">
      <c r="A105" s="146" t="s">
        <v>269</v>
      </c>
      <c r="B105" s="147" t="s">
        <v>445</v>
      </c>
      <c r="C105" s="148" t="s">
        <v>446</v>
      </c>
      <c r="D105" s="146"/>
      <c r="E105" s="145">
        <v>255626654400</v>
      </c>
      <c r="F105" s="145">
        <v>257852775500</v>
      </c>
    </row>
    <row r="106" spans="1:6" ht="39" customHeight="1">
      <c r="A106" s="146" t="s">
        <v>272</v>
      </c>
      <c r="B106" s="147" t="s">
        <v>447</v>
      </c>
      <c r="C106" s="148" t="s">
        <v>448</v>
      </c>
      <c r="D106" s="146"/>
      <c r="E106" s="145">
        <v>1871767344600</v>
      </c>
      <c r="F106" s="145">
        <v>1867609375900</v>
      </c>
    </row>
    <row r="107" spans="1:6" ht="39" customHeight="1">
      <c r="A107" s="146" t="s">
        <v>283</v>
      </c>
      <c r="B107" s="147" t="s">
        <v>449</v>
      </c>
      <c r="C107" s="148" t="s">
        <v>450</v>
      </c>
      <c r="D107" s="146"/>
      <c r="E107" s="145">
        <v>-1616140690200</v>
      </c>
      <c r="F107" s="145">
        <v>-1609756600400</v>
      </c>
    </row>
    <row r="108" spans="1:6" ht="39" customHeight="1">
      <c r="A108" s="146" t="s">
        <v>286</v>
      </c>
      <c r="B108" s="147" t="s">
        <v>451</v>
      </c>
      <c r="C108" s="148" t="s">
        <v>452</v>
      </c>
      <c r="D108" s="146"/>
      <c r="E108" s="145">
        <v>1042227165414</v>
      </c>
      <c r="F108" s="145">
        <v>1053071411521</v>
      </c>
    </row>
    <row r="109" spans="1:6" ht="39" customHeight="1">
      <c r="A109" s="146" t="s">
        <v>311</v>
      </c>
      <c r="B109" s="147" t="s">
        <v>453</v>
      </c>
      <c r="C109" s="148" t="s">
        <v>454</v>
      </c>
      <c r="D109" s="146"/>
      <c r="E109" s="145">
        <v>231145948797</v>
      </c>
      <c r="F109" s="145">
        <v>250754673254</v>
      </c>
    </row>
    <row r="110" spans="1:6" ht="39" customHeight="1">
      <c r="A110" s="146" t="s">
        <v>314</v>
      </c>
      <c r="B110" s="147" t="s">
        <v>455</v>
      </c>
      <c r="C110" s="148" t="s">
        <v>456</v>
      </c>
      <c r="D110" s="146"/>
      <c r="E110" s="145">
        <v>250754673254</v>
      </c>
      <c r="F110" s="145">
        <v>342127534671</v>
      </c>
    </row>
    <row r="111" spans="1:6" ht="39" customHeight="1">
      <c r="A111" s="146" t="s">
        <v>319</v>
      </c>
      <c r="B111" s="147" t="s">
        <v>457</v>
      </c>
      <c r="C111" s="148" t="s">
        <v>458</v>
      </c>
      <c r="D111" s="146"/>
      <c r="E111" s="145">
        <v>-19608724457</v>
      </c>
      <c r="F111" s="145">
        <v>-91372861417</v>
      </c>
    </row>
    <row r="112" spans="1:6" ht="47.65" customHeight="1">
      <c r="A112" s="62" t="s">
        <v>55</v>
      </c>
      <c r="B112" s="144" t="s">
        <v>459</v>
      </c>
      <c r="C112" s="54" t="s">
        <v>460</v>
      </c>
      <c r="D112" s="81"/>
      <c r="E112" s="156">
        <v>59813.78</v>
      </c>
      <c r="F112" s="156">
        <v>60564.74</v>
      </c>
    </row>
    <row r="113" spans="1:7" ht="45.4" customHeight="1">
      <c r="A113" s="62" t="s">
        <v>56</v>
      </c>
      <c r="B113" s="144" t="s">
        <v>461</v>
      </c>
      <c r="C113" s="54" t="s">
        <v>462</v>
      </c>
      <c r="D113" s="81"/>
      <c r="E113" s="81">
        <v>0</v>
      </c>
      <c r="F113" s="81">
        <v>0</v>
      </c>
    </row>
    <row r="114" spans="1:7" ht="54" customHeight="1">
      <c r="A114" s="146" t="s">
        <v>269</v>
      </c>
      <c r="B114" s="147" t="s">
        <v>463</v>
      </c>
      <c r="C114" s="148" t="s">
        <v>464</v>
      </c>
      <c r="D114" s="146"/>
      <c r="E114" s="145">
        <v>0</v>
      </c>
      <c r="F114" s="145">
        <v>0</v>
      </c>
    </row>
    <row r="115" spans="1:7" ht="51.65" customHeight="1">
      <c r="A115" s="146" t="s">
        <v>286</v>
      </c>
      <c r="B115" s="147" t="s">
        <v>465</v>
      </c>
      <c r="C115" s="148" t="s">
        <v>466</v>
      </c>
      <c r="D115" s="146"/>
      <c r="E115" s="145">
        <v>0</v>
      </c>
      <c r="F115" s="145">
        <v>0</v>
      </c>
    </row>
    <row r="116" spans="1:7" ht="46.5" customHeight="1">
      <c r="A116" s="62" t="s">
        <v>57</v>
      </c>
      <c r="B116" s="144" t="s">
        <v>467</v>
      </c>
      <c r="C116" s="54" t="s">
        <v>57</v>
      </c>
      <c r="D116" s="81"/>
      <c r="E116" s="81"/>
      <c r="F116" s="81"/>
    </row>
    <row r="117" spans="1:7" ht="39" customHeight="1">
      <c r="A117" s="146" t="s">
        <v>269</v>
      </c>
      <c r="B117" s="147" t="s">
        <v>468</v>
      </c>
      <c r="C117" s="148" t="s">
        <v>469</v>
      </c>
      <c r="D117" s="146"/>
      <c r="E117" s="145">
        <v>0</v>
      </c>
      <c r="F117" s="145">
        <v>0</v>
      </c>
    </row>
    <row r="118" spans="1:7" ht="39" customHeight="1">
      <c r="A118" s="146" t="s">
        <v>286</v>
      </c>
      <c r="B118" s="147" t="s">
        <v>470</v>
      </c>
      <c r="C118" s="148" t="s">
        <v>471</v>
      </c>
      <c r="D118" s="146"/>
      <c r="E118" s="145">
        <v>0</v>
      </c>
      <c r="F118" s="145">
        <v>0</v>
      </c>
    </row>
    <row r="119" spans="1:7" ht="39" customHeight="1">
      <c r="A119" s="146" t="s">
        <v>311</v>
      </c>
      <c r="B119" s="147" t="s">
        <v>472</v>
      </c>
      <c r="C119" s="148" t="s">
        <v>473</v>
      </c>
      <c r="D119" s="146"/>
      <c r="E119" s="145">
        <v>0</v>
      </c>
      <c r="F119" s="145">
        <v>0</v>
      </c>
    </row>
    <row r="120" spans="1:7" ht="39" customHeight="1">
      <c r="A120" s="153" t="s">
        <v>378</v>
      </c>
      <c r="B120" s="154" t="s">
        <v>474</v>
      </c>
      <c r="C120" s="148" t="s">
        <v>475</v>
      </c>
      <c r="D120" s="153"/>
      <c r="E120" s="155">
        <v>25562665.440000001</v>
      </c>
      <c r="F120" s="155">
        <v>25785277.550000001</v>
      </c>
    </row>
    <row r="121" spans="1:7" s="118" customFormat="1" ht="13">
      <c r="A121" s="60"/>
      <c r="B121" s="60"/>
      <c r="C121" s="60"/>
      <c r="D121" s="60"/>
      <c r="E121" s="60"/>
      <c r="F121" s="60"/>
      <c r="G121" s="45"/>
    </row>
    <row r="123" spans="1:7" ht="16.899999999999999" customHeight="1">
      <c r="A123" s="260" t="s">
        <v>182</v>
      </c>
      <c r="B123" s="260"/>
      <c r="C123" s="260" t="s">
        <v>183</v>
      </c>
      <c r="D123" s="260"/>
      <c r="E123" s="260"/>
      <c r="F123" s="260"/>
    </row>
    <row r="136" spans="1:6">
      <c r="A136" s="252" t="s">
        <v>491</v>
      </c>
      <c r="B136" s="252"/>
      <c r="C136" s="252" t="s">
        <v>492</v>
      </c>
      <c r="D136" s="252"/>
      <c r="E136" s="252"/>
      <c r="F136" s="60" t="s">
        <v>493</v>
      </c>
    </row>
    <row r="137" spans="1:6" ht="16.899999999999999" customHeight="1">
      <c r="A137" s="251" t="s">
        <v>811</v>
      </c>
      <c r="B137" s="251"/>
      <c r="C137" s="251" t="s">
        <v>812</v>
      </c>
      <c r="D137" s="251"/>
      <c r="E137" s="251"/>
      <c r="F137" s="201" t="s">
        <v>801</v>
      </c>
    </row>
    <row r="138" spans="1:6" ht="16.899999999999999" customHeight="1">
      <c r="A138" s="252" t="s">
        <v>813</v>
      </c>
      <c r="B138" s="252"/>
      <c r="C138" s="252" t="s">
        <v>814</v>
      </c>
      <c r="D138" s="252"/>
      <c r="E138" s="252"/>
      <c r="F138" s="158" t="s">
        <v>803</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zoomScale="98" zoomScaleNormal="100" zoomScaleSheetLayoutView="98" workbookViewId="0">
      <selection activeCell="Q17" sqref="Q17"/>
    </sheetView>
  </sheetViews>
  <sheetFormatPr defaultColWidth="8.7265625" defaultRowHeight="12.5"/>
  <cols>
    <col min="1" max="1" width="8.7265625" style="47"/>
    <col min="2" max="2" width="44.26953125" style="47" customWidth="1"/>
    <col min="3" max="3" width="10.26953125" style="47" customWidth="1"/>
    <col min="4" max="4" width="23.26953125" style="47" customWidth="1"/>
    <col min="5" max="5" width="26.1796875" style="47" customWidth="1"/>
    <col min="6" max="6" width="22.7265625" style="47" customWidth="1"/>
    <col min="7" max="14" width="8.7265625" style="47" hidden="1" customWidth="1"/>
    <col min="15" max="16384" width="8.7265625" style="47"/>
  </cols>
  <sheetData>
    <row r="1" spans="1:6" s="48" customFormat="1" ht="22.9" customHeight="1">
      <c r="A1" s="267" t="s">
        <v>815</v>
      </c>
      <c r="B1" s="267"/>
      <c r="C1" s="267"/>
      <c r="D1" s="267"/>
      <c r="E1" s="267"/>
      <c r="F1" s="267"/>
    </row>
    <row r="2" spans="1:6" s="48" customFormat="1" ht="50.5" customHeight="1">
      <c r="A2" s="268" t="s">
        <v>816</v>
      </c>
      <c r="B2" s="268"/>
      <c r="C2" s="268"/>
      <c r="D2" s="268"/>
      <c r="E2" s="268"/>
      <c r="F2" s="268"/>
    </row>
    <row r="3" spans="1:6" s="48" customFormat="1">
      <c r="A3" s="269" t="s">
        <v>817</v>
      </c>
      <c r="B3" s="269"/>
      <c r="C3" s="269"/>
      <c r="D3" s="269"/>
      <c r="E3" s="269"/>
      <c r="F3" s="269"/>
    </row>
    <row r="4" spans="1:6" s="48" customFormat="1" ht="32.65" customHeight="1">
      <c r="A4" s="269"/>
      <c r="B4" s="269"/>
      <c r="C4" s="269"/>
      <c r="D4" s="269"/>
      <c r="E4" s="269"/>
      <c r="F4" s="269"/>
    </row>
    <row r="5" spans="1:6" s="48" customFormat="1" ht="16.899999999999999" customHeight="1">
      <c r="A5" s="270" t="s">
        <v>790</v>
      </c>
      <c r="B5" s="270"/>
      <c r="C5" s="270"/>
      <c r="D5" s="270"/>
      <c r="E5" s="270"/>
      <c r="F5" s="270"/>
    </row>
    <row r="6" spans="1:6">
      <c r="A6" s="60"/>
      <c r="B6" s="60"/>
      <c r="C6" s="60"/>
      <c r="D6" s="60"/>
      <c r="E6" s="60"/>
      <c r="F6" s="60"/>
    </row>
    <row r="7" spans="1:6" ht="16.899999999999999" customHeight="1">
      <c r="A7" s="261" t="s">
        <v>2</v>
      </c>
      <c r="B7" s="261"/>
      <c r="C7" s="261" t="s">
        <v>792</v>
      </c>
      <c r="D7" s="261"/>
      <c r="E7" s="261"/>
      <c r="F7" s="261"/>
    </row>
    <row r="8" spans="1:6" s="48" customFormat="1" ht="16.899999999999999" customHeight="1">
      <c r="A8" s="271" t="s">
        <v>41</v>
      </c>
      <c r="B8" s="271"/>
      <c r="C8" s="271" t="s">
        <v>793</v>
      </c>
      <c r="D8" s="271"/>
      <c r="E8" s="271"/>
      <c r="F8" s="271"/>
    </row>
    <row r="9" spans="1:6" ht="16.899999999999999" customHeight="1">
      <c r="A9" s="261" t="s">
        <v>3</v>
      </c>
      <c r="B9" s="261"/>
      <c r="C9" s="261" t="s">
        <v>794</v>
      </c>
      <c r="D9" s="261"/>
      <c r="E9" s="261"/>
      <c r="F9" s="261"/>
    </row>
    <row r="10" spans="1:6" s="48" customFormat="1" ht="16.899999999999999" customHeight="1">
      <c r="A10" s="271" t="s">
        <v>4</v>
      </c>
      <c r="B10" s="271"/>
      <c r="C10" s="271" t="s">
        <v>795</v>
      </c>
      <c r="D10" s="271"/>
      <c r="E10" s="271"/>
      <c r="F10" s="271"/>
    </row>
    <row r="11" spans="1:6" ht="16.899999999999999" customHeight="1">
      <c r="A11" s="261" t="s">
        <v>5</v>
      </c>
      <c r="B11" s="261"/>
      <c r="C11" s="261" t="s">
        <v>796</v>
      </c>
      <c r="D11" s="261"/>
      <c r="E11" s="261"/>
      <c r="F11" s="261"/>
    </row>
    <row r="12" spans="1:6" s="48" customFormat="1" ht="16.899999999999999" customHeight="1">
      <c r="A12" s="271" t="s">
        <v>6</v>
      </c>
      <c r="B12" s="271"/>
      <c r="C12" s="271" t="s">
        <v>797</v>
      </c>
      <c r="D12" s="271"/>
      <c r="E12" s="271"/>
      <c r="F12" s="271"/>
    </row>
    <row r="13" spans="1:6" ht="16.899999999999999" customHeight="1">
      <c r="A13" s="261" t="s">
        <v>7</v>
      </c>
      <c r="B13" s="261"/>
      <c r="C13" s="261" t="s">
        <v>798</v>
      </c>
      <c r="D13" s="261"/>
      <c r="E13" s="261"/>
      <c r="F13" s="261"/>
    </row>
    <row r="14" spans="1:6" s="48" customFormat="1" ht="16.899999999999999" customHeight="1">
      <c r="A14" s="271" t="s">
        <v>8</v>
      </c>
      <c r="B14" s="271"/>
      <c r="C14" s="271" t="s">
        <v>799</v>
      </c>
      <c r="D14" s="271"/>
      <c r="E14" s="271"/>
      <c r="F14" s="271"/>
    </row>
    <row r="15" spans="1:6" s="48" customFormat="1" ht="7.5" customHeight="1">
      <c r="A15" s="57"/>
      <c r="B15" s="57"/>
      <c r="C15" s="57"/>
      <c r="D15" s="57"/>
      <c r="E15" s="57"/>
      <c r="F15" s="57"/>
    </row>
    <row r="16" spans="1:6" s="48" customFormat="1" ht="16.899999999999999" customHeight="1">
      <c r="A16" s="221" t="s">
        <v>818</v>
      </c>
      <c r="B16" s="220" t="s">
        <v>819</v>
      </c>
      <c r="C16" s="220"/>
      <c r="D16" s="220"/>
      <c r="E16" s="220"/>
      <c r="F16" s="57"/>
    </row>
    <row r="17" spans="1:6" s="48" customFormat="1" ht="16.899999999999999" customHeight="1">
      <c r="A17" s="59" t="s">
        <v>42</v>
      </c>
      <c r="B17" s="58" t="s">
        <v>494</v>
      </c>
      <c r="C17" s="57"/>
      <c r="D17" s="57"/>
      <c r="E17" s="57"/>
      <c r="F17" s="57"/>
    </row>
    <row r="18" spans="1:6" s="48" customFormat="1" ht="50.65" customHeight="1">
      <c r="A18" s="56" t="s">
        <v>43</v>
      </c>
      <c r="B18" s="54" t="s">
        <v>44</v>
      </c>
      <c r="C18" s="56" t="s">
        <v>45</v>
      </c>
      <c r="D18" s="55" t="s">
        <v>804</v>
      </c>
      <c r="E18" s="55" t="s">
        <v>805</v>
      </c>
      <c r="F18" s="159" t="s">
        <v>46</v>
      </c>
    </row>
    <row r="19" spans="1:6" ht="39" customHeight="1">
      <c r="A19" s="215" t="s">
        <v>506</v>
      </c>
      <c r="B19" s="214" t="s">
        <v>507</v>
      </c>
      <c r="C19" s="215"/>
      <c r="D19" s="217"/>
      <c r="E19" s="217"/>
      <c r="F19" s="216"/>
    </row>
    <row r="20" spans="1:6" ht="39" customHeight="1">
      <c r="A20" s="210" t="s">
        <v>508</v>
      </c>
      <c r="B20" s="209" t="s">
        <v>509</v>
      </c>
      <c r="C20" s="210"/>
      <c r="D20" s="213">
        <v>189101074987</v>
      </c>
      <c r="E20" s="213">
        <v>118659866954</v>
      </c>
      <c r="F20" s="212">
        <v>3.0340987820540599</v>
      </c>
    </row>
    <row r="21" spans="1:6" ht="39" customHeight="1">
      <c r="A21" s="210" t="s">
        <v>510</v>
      </c>
      <c r="B21" s="209" t="s">
        <v>511</v>
      </c>
      <c r="C21" s="210"/>
      <c r="D21" s="213">
        <v>189101074987</v>
      </c>
      <c r="E21" s="213">
        <v>118659866954</v>
      </c>
      <c r="F21" s="212">
        <v>3.0340987820540599</v>
      </c>
    </row>
    <row r="22" spans="1:6" ht="48" customHeight="1">
      <c r="A22" s="210" t="s">
        <v>512</v>
      </c>
      <c r="B22" s="209" t="s">
        <v>513</v>
      </c>
      <c r="C22" s="210"/>
      <c r="D22" s="213">
        <v>0</v>
      </c>
      <c r="E22" s="213">
        <v>0</v>
      </c>
      <c r="F22" s="212"/>
    </row>
    <row r="23" spans="1:6" ht="45" customHeight="1">
      <c r="A23" s="210" t="s">
        <v>514</v>
      </c>
      <c r="B23" s="209" t="s">
        <v>515</v>
      </c>
      <c r="C23" s="210"/>
      <c r="D23" s="213">
        <v>719033789</v>
      </c>
      <c r="E23" s="213">
        <v>1118154682</v>
      </c>
      <c r="F23" s="212">
        <v>4.5588939060571896</v>
      </c>
    </row>
    <row r="24" spans="1:6" ht="42" customHeight="1">
      <c r="A24" s="210" t="s">
        <v>516</v>
      </c>
      <c r="B24" s="209" t="s">
        <v>517</v>
      </c>
      <c r="C24" s="210"/>
      <c r="D24" s="213">
        <v>188382041198</v>
      </c>
      <c r="E24" s="213">
        <v>117541712272</v>
      </c>
      <c r="F24" s="212">
        <v>3.0302303279338001</v>
      </c>
    </row>
    <row r="25" spans="1:6" ht="48" customHeight="1">
      <c r="A25" s="210" t="s">
        <v>518</v>
      </c>
      <c r="B25" s="209" t="s">
        <v>519</v>
      </c>
      <c r="C25" s="210"/>
      <c r="D25" s="213">
        <v>0</v>
      </c>
      <c r="E25" s="213">
        <v>0</v>
      </c>
      <c r="F25" s="212"/>
    </row>
    <row r="26" spans="1:6" ht="39" customHeight="1">
      <c r="A26" s="210" t="s">
        <v>520</v>
      </c>
      <c r="B26" s="209" t="s">
        <v>820</v>
      </c>
      <c r="C26" s="210"/>
      <c r="D26" s="213">
        <v>0</v>
      </c>
      <c r="E26" s="213">
        <v>0</v>
      </c>
      <c r="F26" s="212"/>
    </row>
    <row r="27" spans="1:6" ht="39" customHeight="1">
      <c r="A27" s="210" t="s">
        <v>521</v>
      </c>
      <c r="B27" s="209" t="s">
        <v>522</v>
      </c>
      <c r="C27" s="210"/>
      <c r="D27" s="213">
        <v>1401393395550</v>
      </c>
      <c r="E27" s="213">
        <v>1470911463400</v>
      </c>
      <c r="F27" s="212">
        <v>1.7481487917073899</v>
      </c>
    </row>
    <row r="28" spans="1:6" ht="39" customHeight="1">
      <c r="A28" s="210" t="s">
        <v>523</v>
      </c>
      <c r="B28" s="209" t="s">
        <v>524</v>
      </c>
      <c r="C28" s="210"/>
      <c r="D28" s="213">
        <v>1271337570950</v>
      </c>
      <c r="E28" s="213">
        <v>1291055638800</v>
      </c>
      <c r="F28" s="212">
        <v>1.73762887717959</v>
      </c>
    </row>
    <row r="29" spans="1:6" ht="39" customHeight="1">
      <c r="A29" s="210" t="s">
        <v>525</v>
      </c>
      <c r="B29" s="209" t="s">
        <v>526</v>
      </c>
      <c r="C29" s="210"/>
      <c r="D29" s="213">
        <v>0</v>
      </c>
      <c r="E29" s="213">
        <v>0</v>
      </c>
      <c r="F29" s="212"/>
    </row>
    <row r="30" spans="1:6" ht="39" customHeight="1">
      <c r="A30" s="210" t="s">
        <v>527</v>
      </c>
      <c r="B30" s="209" t="s">
        <v>528</v>
      </c>
      <c r="C30" s="210"/>
      <c r="D30" s="213">
        <v>120055824600</v>
      </c>
      <c r="E30" s="213">
        <v>169855824600</v>
      </c>
      <c r="F30" s="212">
        <v>2.40143229955885</v>
      </c>
    </row>
    <row r="31" spans="1:6" ht="39" customHeight="1">
      <c r="A31" s="210" t="s">
        <v>529</v>
      </c>
      <c r="B31" s="209" t="s">
        <v>530</v>
      </c>
      <c r="C31" s="210"/>
      <c r="D31" s="213">
        <v>10000000000</v>
      </c>
      <c r="E31" s="213">
        <v>10000000000</v>
      </c>
      <c r="F31" s="212">
        <v>0.5</v>
      </c>
    </row>
    <row r="32" spans="1:6" ht="39" customHeight="1">
      <c r="A32" s="210" t="s">
        <v>531</v>
      </c>
      <c r="B32" s="209" t="s">
        <v>532</v>
      </c>
      <c r="C32" s="210"/>
      <c r="D32" s="213">
        <v>0</v>
      </c>
      <c r="E32" s="213">
        <v>0</v>
      </c>
      <c r="F32" s="212"/>
    </row>
    <row r="33" spans="1:6" ht="39" customHeight="1">
      <c r="A33" s="210" t="s">
        <v>533</v>
      </c>
      <c r="B33" s="209" t="s">
        <v>534</v>
      </c>
      <c r="C33" s="210"/>
      <c r="D33" s="213">
        <v>0</v>
      </c>
      <c r="E33" s="213">
        <v>0</v>
      </c>
      <c r="F33" s="212"/>
    </row>
    <row r="34" spans="1:6" ht="39" customHeight="1">
      <c r="A34" s="210" t="s">
        <v>535</v>
      </c>
      <c r="B34" s="209" t="s">
        <v>536</v>
      </c>
      <c r="C34" s="210"/>
      <c r="D34" s="213">
        <v>0</v>
      </c>
      <c r="E34" s="213">
        <v>0</v>
      </c>
      <c r="F34" s="212"/>
    </row>
    <row r="35" spans="1:6" ht="39" customHeight="1">
      <c r="A35" s="210" t="s">
        <v>537</v>
      </c>
      <c r="B35" s="209" t="s">
        <v>538</v>
      </c>
      <c r="C35" s="210"/>
      <c r="D35" s="213">
        <v>0</v>
      </c>
      <c r="E35" s="213">
        <v>0</v>
      </c>
      <c r="F35" s="212"/>
    </row>
    <row r="36" spans="1:6" ht="39" customHeight="1">
      <c r="A36" s="210" t="s">
        <v>539</v>
      </c>
      <c r="B36" s="209" t="s">
        <v>540</v>
      </c>
      <c r="C36" s="210"/>
      <c r="D36" s="213">
        <v>0</v>
      </c>
      <c r="E36" s="213">
        <v>0</v>
      </c>
      <c r="F36" s="212"/>
    </row>
    <row r="37" spans="1:6" ht="52.5" customHeight="1">
      <c r="A37" s="222" t="s">
        <v>541</v>
      </c>
      <c r="B37" s="223" t="s">
        <v>821</v>
      </c>
      <c r="C37" s="222"/>
      <c r="D37" s="224"/>
      <c r="E37" s="224"/>
      <c r="F37" s="225"/>
    </row>
    <row r="38" spans="1:6" ht="39" customHeight="1">
      <c r="A38" s="210" t="s">
        <v>546</v>
      </c>
      <c r="B38" s="209" t="s">
        <v>822</v>
      </c>
      <c r="C38" s="210"/>
      <c r="D38" s="213">
        <v>5459927124</v>
      </c>
      <c r="E38" s="213">
        <v>6481280529</v>
      </c>
      <c r="F38" s="212">
        <v>2.2065337757281398</v>
      </c>
    </row>
    <row r="39" spans="1:6" ht="39" customHeight="1">
      <c r="A39" s="210" t="s">
        <v>542</v>
      </c>
      <c r="B39" s="209" t="s">
        <v>543</v>
      </c>
      <c r="C39" s="210"/>
      <c r="D39" s="213">
        <v>3341160000</v>
      </c>
      <c r="E39" s="213">
        <v>3201554500</v>
      </c>
      <c r="F39" s="212">
        <v>3.01885224053887</v>
      </c>
    </row>
    <row r="40" spans="1:6" ht="39" customHeight="1">
      <c r="A40" s="210" t="s">
        <v>544</v>
      </c>
      <c r="B40" s="209" t="s">
        <v>545</v>
      </c>
      <c r="C40" s="210"/>
      <c r="D40" s="213">
        <v>2118767124</v>
      </c>
      <c r="E40" s="213">
        <v>3279726029</v>
      </c>
      <c r="F40" s="212">
        <v>1.5491786862786201</v>
      </c>
    </row>
    <row r="41" spans="1:6" ht="39" customHeight="1">
      <c r="A41" s="210" t="s">
        <v>554</v>
      </c>
      <c r="B41" s="209" t="s">
        <v>547</v>
      </c>
      <c r="C41" s="210"/>
      <c r="D41" s="213">
        <v>265835616</v>
      </c>
      <c r="E41" s="213">
        <v>199376712</v>
      </c>
      <c r="F41" s="212">
        <v>0.53774107580917896</v>
      </c>
    </row>
    <row r="42" spans="1:6" ht="39" customHeight="1">
      <c r="A42" s="210" t="s">
        <v>548</v>
      </c>
      <c r="B42" s="209" t="s">
        <v>549</v>
      </c>
      <c r="C42" s="210"/>
      <c r="D42" s="213">
        <v>0</v>
      </c>
      <c r="E42" s="213">
        <v>0</v>
      </c>
      <c r="F42" s="212"/>
    </row>
    <row r="43" spans="1:6" ht="39" customHeight="1">
      <c r="A43" s="210" t="s">
        <v>550</v>
      </c>
      <c r="B43" s="209" t="s">
        <v>551</v>
      </c>
      <c r="C43" s="210"/>
      <c r="D43" s="213">
        <v>265835616</v>
      </c>
      <c r="E43" s="213">
        <v>199376712</v>
      </c>
      <c r="F43" s="212">
        <v>0.53774107580917896</v>
      </c>
    </row>
    <row r="44" spans="1:6" ht="39" customHeight="1">
      <c r="A44" s="210" t="s">
        <v>552</v>
      </c>
      <c r="B44" s="209" t="s">
        <v>553</v>
      </c>
      <c r="C44" s="210"/>
      <c r="D44" s="213">
        <v>0</v>
      </c>
      <c r="E44" s="213">
        <v>0</v>
      </c>
      <c r="F44" s="212"/>
    </row>
    <row r="45" spans="1:6" ht="39" customHeight="1">
      <c r="A45" s="222" t="s">
        <v>556</v>
      </c>
      <c r="B45" s="223" t="s">
        <v>823</v>
      </c>
      <c r="C45" s="222"/>
      <c r="D45" s="224"/>
      <c r="E45" s="224"/>
      <c r="F45" s="225"/>
    </row>
    <row r="46" spans="1:6" ht="39" customHeight="1">
      <c r="A46" s="210" t="s">
        <v>564</v>
      </c>
      <c r="B46" s="209" t="s">
        <v>555</v>
      </c>
      <c r="C46" s="210"/>
      <c r="D46" s="213">
        <v>83396335000</v>
      </c>
      <c r="E46" s="213">
        <v>41850102600</v>
      </c>
      <c r="F46" s="212"/>
    </row>
    <row r="47" spans="1:6" ht="39" customHeight="1">
      <c r="A47" s="210" t="s">
        <v>566</v>
      </c>
      <c r="B47" s="209" t="s">
        <v>557</v>
      </c>
      <c r="C47" s="210"/>
      <c r="D47" s="213">
        <v>-866400000</v>
      </c>
      <c r="E47" s="213">
        <v>-866400000</v>
      </c>
      <c r="F47" s="212">
        <v>1</v>
      </c>
    </row>
    <row r="48" spans="1:6" ht="39" customHeight="1">
      <c r="A48" s="210" t="s">
        <v>558</v>
      </c>
      <c r="B48" s="209" t="s">
        <v>559</v>
      </c>
      <c r="C48" s="210"/>
      <c r="D48" s="213">
        <v>0</v>
      </c>
      <c r="E48" s="213">
        <v>0</v>
      </c>
      <c r="F48" s="212"/>
    </row>
    <row r="49" spans="1:6" ht="39" customHeight="1">
      <c r="A49" s="210" t="s">
        <v>560</v>
      </c>
      <c r="B49" s="209" t="s">
        <v>561</v>
      </c>
      <c r="C49" s="210"/>
      <c r="D49" s="213">
        <v>-866400000</v>
      </c>
      <c r="E49" s="213">
        <v>-866400000</v>
      </c>
      <c r="F49" s="212">
        <v>1</v>
      </c>
    </row>
    <row r="50" spans="1:6" ht="39" customHeight="1">
      <c r="A50" s="210" t="s">
        <v>562</v>
      </c>
      <c r="B50" s="209" t="s">
        <v>563</v>
      </c>
      <c r="C50" s="210"/>
      <c r="D50" s="213">
        <v>0</v>
      </c>
      <c r="E50" s="213">
        <v>0</v>
      </c>
      <c r="F50" s="212"/>
    </row>
    <row r="51" spans="1:6" ht="39" customHeight="1">
      <c r="A51" s="210" t="s">
        <v>824</v>
      </c>
      <c r="B51" s="209" t="s">
        <v>565</v>
      </c>
      <c r="C51" s="210"/>
      <c r="D51" s="213">
        <v>0</v>
      </c>
      <c r="E51" s="213">
        <v>0</v>
      </c>
      <c r="F51" s="212"/>
    </row>
    <row r="52" spans="1:6" ht="39" customHeight="1">
      <c r="A52" s="215" t="s">
        <v>825</v>
      </c>
      <c r="B52" s="214" t="s">
        <v>567</v>
      </c>
      <c r="C52" s="215"/>
      <c r="D52" s="217">
        <v>1678750168277</v>
      </c>
      <c r="E52" s="217">
        <v>1637235690195</v>
      </c>
      <c r="F52" s="216">
        <v>1.9383496309153001</v>
      </c>
    </row>
    <row r="53" spans="1:6" ht="39" customHeight="1">
      <c r="A53" s="215" t="s">
        <v>568</v>
      </c>
      <c r="B53" s="214" t="s">
        <v>569</v>
      </c>
      <c r="C53" s="215"/>
      <c r="D53" s="217"/>
      <c r="E53" s="217"/>
      <c r="F53" s="216"/>
    </row>
    <row r="54" spans="1:6" ht="39" customHeight="1">
      <c r="A54" s="229" t="s">
        <v>49</v>
      </c>
      <c r="B54" s="230" t="s">
        <v>826</v>
      </c>
      <c r="C54" s="226"/>
      <c r="D54" s="227"/>
      <c r="E54" s="227"/>
      <c r="F54" s="228"/>
    </row>
    <row r="55" spans="1:6" ht="39" customHeight="1">
      <c r="A55" s="210" t="s">
        <v>50</v>
      </c>
      <c r="B55" s="209" t="s">
        <v>570</v>
      </c>
      <c r="C55" s="210"/>
      <c r="D55" s="213">
        <v>129590415000</v>
      </c>
      <c r="E55" s="213">
        <v>67553225000</v>
      </c>
      <c r="F55" s="212">
        <v>45.1534547038328</v>
      </c>
    </row>
    <row r="56" spans="1:6" ht="39" customHeight="1">
      <c r="A56" s="210" t="s">
        <v>640</v>
      </c>
      <c r="B56" s="209" t="s">
        <v>571</v>
      </c>
      <c r="C56" s="210"/>
      <c r="D56" s="213">
        <v>20159984666</v>
      </c>
      <c r="E56" s="213">
        <v>8003604920</v>
      </c>
      <c r="F56" s="212">
        <v>2.97485005430282</v>
      </c>
    </row>
    <row r="57" spans="1:6" ht="39" customHeight="1">
      <c r="A57" s="210" t="s">
        <v>572</v>
      </c>
      <c r="B57" s="209" t="s">
        <v>573</v>
      </c>
      <c r="C57" s="210"/>
      <c r="D57" s="213">
        <v>16328624335</v>
      </c>
      <c r="E57" s="213">
        <v>4353378554</v>
      </c>
      <c r="F57" s="212">
        <v>3.6844567148267799</v>
      </c>
    </row>
    <row r="58" spans="1:6" ht="39" customHeight="1">
      <c r="A58" s="210" t="s">
        <v>574</v>
      </c>
      <c r="B58" s="209" t="s">
        <v>575</v>
      </c>
      <c r="C58" s="210"/>
      <c r="D58" s="213">
        <v>1158156289</v>
      </c>
      <c r="E58" s="213">
        <v>2944693215</v>
      </c>
      <c r="F58" s="212">
        <v>0.300240236485186</v>
      </c>
    </row>
    <row r="59" spans="1:6" ht="48" customHeight="1">
      <c r="A59" s="210" t="s">
        <v>576</v>
      </c>
      <c r="B59" s="209" t="s">
        <v>577</v>
      </c>
      <c r="C59" s="210"/>
      <c r="D59" s="213">
        <v>0</v>
      </c>
      <c r="E59" s="213">
        <v>0</v>
      </c>
      <c r="F59" s="212"/>
    </row>
    <row r="60" spans="1:6" ht="39" customHeight="1">
      <c r="A60" s="210" t="s">
        <v>578</v>
      </c>
      <c r="B60" s="209" t="s">
        <v>579</v>
      </c>
      <c r="C60" s="210"/>
      <c r="D60" s="213">
        <v>0</v>
      </c>
      <c r="E60" s="213">
        <v>0</v>
      </c>
      <c r="F60" s="212"/>
    </row>
    <row r="61" spans="1:6" ht="39" customHeight="1">
      <c r="A61" s="210" t="s">
        <v>580</v>
      </c>
      <c r="B61" s="209" t="s">
        <v>581</v>
      </c>
      <c r="C61" s="210"/>
      <c r="D61" s="213">
        <v>15170468046</v>
      </c>
      <c r="E61" s="213">
        <v>1408685339</v>
      </c>
      <c r="F61" s="212">
        <v>26.414336282237301</v>
      </c>
    </row>
    <row r="62" spans="1:6" ht="39" customHeight="1">
      <c r="A62" s="210" t="s">
        <v>582</v>
      </c>
      <c r="B62" s="209" t="s">
        <v>583</v>
      </c>
      <c r="C62" s="210"/>
      <c r="D62" s="213">
        <v>17156187</v>
      </c>
      <c r="E62" s="213">
        <v>13315654</v>
      </c>
      <c r="F62" s="212">
        <v>0.18786677683771599</v>
      </c>
    </row>
    <row r="63" spans="1:6" ht="61" customHeight="1">
      <c r="A63" s="210" t="s">
        <v>584</v>
      </c>
      <c r="B63" s="209" t="s">
        <v>585</v>
      </c>
      <c r="C63" s="210"/>
      <c r="D63" s="213">
        <v>498829721</v>
      </c>
      <c r="E63" s="213">
        <v>364202705</v>
      </c>
      <c r="F63" s="212">
        <v>1.3449300512902</v>
      </c>
    </row>
    <row r="64" spans="1:6" ht="39" customHeight="1">
      <c r="A64" s="210" t="s">
        <v>586</v>
      </c>
      <c r="B64" s="209" t="s">
        <v>587</v>
      </c>
      <c r="C64" s="210"/>
      <c r="D64" s="213">
        <v>39925000</v>
      </c>
      <c r="E64" s="213">
        <v>39925000</v>
      </c>
      <c r="F64" s="212">
        <v>1</v>
      </c>
    </row>
    <row r="65" spans="1:6" ht="39" customHeight="1">
      <c r="A65" s="210" t="s">
        <v>588</v>
      </c>
      <c r="B65" s="209" t="s">
        <v>589</v>
      </c>
      <c r="C65" s="210"/>
      <c r="D65" s="213">
        <v>20448739</v>
      </c>
      <c r="E65" s="213">
        <v>19729203</v>
      </c>
      <c r="F65" s="212">
        <v>0.76091238909855297</v>
      </c>
    </row>
    <row r="66" spans="1:6" ht="39" customHeight="1">
      <c r="A66" s="210" t="s">
        <v>590</v>
      </c>
      <c r="B66" s="209" t="s">
        <v>591</v>
      </c>
      <c r="C66" s="210"/>
      <c r="D66" s="213">
        <v>2510663947</v>
      </c>
      <c r="E66" s="213">
        <v>2562833656</v>
      </c>
      <c r="F66" s="212">
        <v>1.79579690827339</v>
      </c>
    </row>
    <row r="67" spans="1:6" ht="39" customHeight="1">
      <c r="A67" s="210" t="s">
        <v>592</v>
      </c>
      <c r="B67" s="209" t="s">
        <v>593</v>
      </c>
      <c r="C67" s="210"/>
      <c r="D67" s="213">
        <v>35406798</v>
      </c>
      <c r="E67" s="213">
        <v>36142524</v>
      </c>
      <c r="F67" s="212">
        <v>1.79579702889172</v>
      </c>
    </row>
    <row r="68" spans="1:6" ht="39" customHeight="1">
      <c r="A68" s="210" t="s">
        <v>594</v>
      </c>
      <c r="B68" s="209" t="s">
        <v>595</v>
      </c>
      <c r="C68" s="210"/>
      <c r="D68" s="213">
        <v>56650878</v>
      </c>
      <c r="E68" s="213">
        <v>57828042</v>
      </c>
      <c r="F68" s="212">
        <v>1.7957968733838301</v>
      </c>
    </row>
    <row r="69" spans="1:6" ht="39" customHeight="1">
      <c r="A69" s="210" t="s">
        <v>596</v>
      </c>
      <c r="B69" s="209" t="s">
        <v>597</v>
      </c>
      <c r="C69" s="210"/>
      <c r="D69" s="213">
        <v>267738269</v>
      </c>
      <c r="E69" s="213">
        <v>189240157</v>
      </c>
      <c r="F69" s="212">
        <v>9.0942099188465395</v>
      </c>
    </row>
    <row r="70" spans="1:6" ht="39" customHeight="1">
      <c r="A70" s="210" t="s">
        <v>598</v>
      </c>
      <c r="B70" s="209" t="s">
        <v>599</v>
      </c>
      <c r="C70" s="210"/>
      <c r="D70" s="213">
        <v>267738269</v>
      </c>
      <c r="E70" s="213">
        <v>189240157</v>
      </c>
      <c r="F70" s="212">
        <v>9.0942099188465395</v>
      </c>
    </row>
    <row r="71" spans="1:6" ht="46" customHeight="1">
      <c r="A71" s="210" t="s">
        <v>600</v>
      </c>
      <c r="B71" s="209" t="s">
        <v>601</v>
      </c>
      <c r="C71" s="210"/>
      <c r="D71" s="213">
        <v>0</v>
      </c>
      <c r="E71" s="213">
        <v>0</v>
      </c>
      <c r="F71" s="212"/>
    </row>
    <row r="72" spans="1:6" ht="39" customHeight="1">
      <c r="A72" s="210" t="s">
        <v>602</v>
      </c>
      <c r="B72" s="209" t="s">
        <v>603</v>
      </c>
      <c r="C72" s="210"/>
      <c r="D72" s="213">
        <v>87300798</v>
      </c>
      <c r="E72" s="213">
        <v>88470948</v>
      </c>
      <c r="F72" s="212">
        <v>1.96853289470702</v>
      </c>
    </row>
    <row r="73" spans="1:6" ht="39" customHeight="1">
      <c r="A73" s="210" t="s">
        <v>604</v>
      </c>
      <c r="B73" s="209" t="s">
        <v>605</v>
      </c>
      <c r="C73" s="210"/>
      <c r="D73" s="213">
        <v>51500798</v>
      </c>
      <c r="E73" s="213">
        <v>52570948</v>
      </c>
      <c r="F73" s="212">
        <v>1.4366374189487501</v>
      </c>
    </row>
    <row r="74" spans="1:6" ht="39" customHeight="1">
      <c r="A74" s="210" t="s">
        <v>606</v>
      </c>
      <c r="B74" s="209" t="s">
        <v>607</v>
      </c>
      <c r="C74" s="210"/>
      <c r="D74" s="213">
        <v>35800000</v>
      </c>
      <c r="E74" s="213">
        <v>35900000</v>
      </c>
      <c r="F74" s="212">
        <v>4.2117647058823504</v>
      </c>
    </row>
    <row r="75" spans="1:6" ht="60" customHeight="1">
      <c r="A75" s="210" t="s">
        <v>608</v>
      </c>
      <c r="B75" s="209" t="s">
        <v>609</v>
      </c>
      <c r="C75" s="210"/>
      <c r="D75" s="213">
        <v>0</v>
      </c>
      <c r="E75" s="213">
        <v>0</v>
      </c>
      <c r="F75" s="212"/>
    </row>
    <row r="76" spans="1:6" ht="39" customHeight="1">
      <c r="A76" s="210" t="s">
        <v>610</v>
      </c>
      <c r="B76" s="209" t="s">
        <v>611</v>
      </c>
      <c r="C76" s="210"/>
      <c r="D76" s="213">
        <v>107557028</v>
      </c>
      <c r="E76" s="213">
        <v>91055511</v>
      </c>
      <c r="F76" s="212">
        <v>1.02027951688259</v>
      </c>
    </row>
    <row r="77" spans="1:6" ht="39" customHeight="1">
      <c r="A77" s="210" t="s">
        <v>612</v>
      </c>
      <c r="B77" s="209" t="s">
        <v>613</v>
      </c>
      <c r="C77" s="210"/>
      <c r="D77" s="213">
        <v>0</v>
      </c>
      <c r="E77" s="213">
        <v>0</v>
      </c>
      <c r="F77" s="212"/>
    </row>
    <row r="78" spans="1:6" ht="39" customHeight="1">
      <c r="A78" s="210" t="s">
        <v>614</v>
      </c>
      <c r="B78" s="209" t="s">
        <v>615</v>
      </c>
      <c r="C78" s="210"/>
      <c r="D78" s="213">
        <v>0</v>
      </c>
      <c r="E78" s="213">
        <v>0</v>
      </c>
      <c r="F78" s="212"/>
    </row>
    <row r="79" spans="1:6" ht="39" customHeight="1">
      <c r="A79" s="210" t="s">
        <v>616</v>
      </c>
      <c r="B79" s="209" t="s">
        <v>617</v>
      </c>
      <c r="C79" s="210"/>
      <c r="D79" s="213">
        <v>13200000</v>
      </c>
      <c r="E79" s="213">
        <v>11000000</v>
      </c>
      <c r="F79" s="212">
        <v>1.2</v>
      </c>
    </row>
    <row r="80" spans="1:6" ht="48" customHeight="1">
      <c r="A80" s="210" t="s">
        <v>618</v>
      </c>
      <c r="B80" s="209" t="s">
        <v>619</v>
      </c>
      <c r="C80" s="210"/>
      <c r="D80" s="213">
        <v>0</v>
      </c>
      <c r="E80" s="213">
        <v>0</v>
      </c>
      <c r="F80" s="212"/>
    </row>
    <row r="81" spans="1:6" ht="39" customHeight="1">
      <c r="A81" s="210" t="s">
        <v>620</v>
      </c>
      <c r="B81" s="209" t="s">
        <v>621</v>
      </c>
      <c r="C81" s="210"/>
      <c r="D81" s="213">
        <v>0</v>
      </c>
      <c r="E81" s="213">
        <v>0</v>
      </c>
      <c r="F81" s="212"/>
    </row>
    <row r="82" spans="1:6" ht="39" customHeight="1">
      <c r="A82" s="210" t="s">
        <v>622</v>
      </c>
      <c r="B82" s="209" t="s">
        <v>623</v>
      </c>
      <c r="C82" s="210"/>
      <c r="D82" s="213">
        <v>176482966</v>
      </c>
      <c r="E82" s="213">
        <v>176482966</v>
      </c>
      <c r="F82" s="212">
        <v>1</v>
      </c>
    </row>
    <row r="83" spans="1:6" ht="39" customHeight="1">
      <c r="A83" s="210" t="s">
        <v>624</v>
      </c>
      <c r="B83" s="209" t="s">
        <v>625</v>
      </c>
      <c r="C83" s="210"/>
      <c r="D83" s="213">
        <v>0</v>
      </c>
      <c r="E83" s="213">
        <v>0</v>
      </c>
      <c r="F83" s="212"/>
    </row>
    <row r="84" spans="1:6" ht="48" customHeight="1">
      <c r="A84" s="210" t="s">
        <v>626</v>
      </c>
      <c r="B84" s="209" t="s">
        <v>627</v>
      </c>
      <c r="C84" s="210"/>
      <c r="D84" s="213">
        <v>0</v>
      </c>
      <c r="E84" s="213">
        <v>0</v>
      </c>
      <c r="F84" s="212"/>
    </row>
    <row r="85" spans="1:6" ht="45" customHeight="1">
      <c r="A85" s="210" t="s">
        <v>628</v>
      </c>
      <c r="B85" s="209" t="s">
        <v>629</v>
      </c>
      <c r="C85" s="210"/>
      <c r="D85" s="213">
        <v>0</v>
      </c>
      <c r="E85" s="213">
        <v>0</v>
      </c>
      <c r="F85" s="212"/>
    </row>
    <row r="86" spans="1:6" ht="39" customHeight="1">
      <c r="A86" s="210" t="s">
        <v>630</v>
      </c>
      <c r="B86" s="209" t="s">
        <v>631</v>
      </c>
      <c r="C86" s="210"/>
      <c r="D86" s="213">
        <v>176482966</v>
      </c>
      <c r="E86" s="213">
        <v>176482966</v>
      </c>
      <c r="F86" s="212">
        <v>1</v>
      </c>
    </row>
    <row r="87" spans="1:6" ht="39" customHeight="1">
      <c r="A87" s="210" t="s">
        <v>632</v>
      </c>
      <c r="B87" s="209" t="s">
        <v>633</v>
      </c>
      <c r="C87" s="210"/>
      <c r="D87" s="213">
        <v>0</v>
      </c>
      <c r="E87" s="213">
        <v>0</v>
      </c>
      <c r="F87" s="212"/>
    </row>
    <row r="88" spans="1:6" ht="39" customHeight="1">
      <c r="A88" s="210" t="s">
        <v>634</v>
      </c>
      <c r="B88" s="209" t="s">
        <v>635</v>
      </c>
      <c r="C88" s="210"/>
      <c r="D88" s="213">
        <v>0</v>
      </c>
      <c r="E88" s="213">
        <v>0</v>
      </c>
      <c r="F88" s="212"/>
    </row>
    <row r="89" spans="1:6" ht="39" customHeight="1">
      <c r="A89" s="210" t="s">
        <v>636</v>
      </c>
      <c r="B89" s="209" t="s">
        <v>637</v>
      </c>
      <c r="C89" s="210"/>
      <c r="D89" s="213">
        <v>0</v>
      </c>
      <c r="E89" s="213">
        <v>0</v>
      </c>
      <c r="F89" s="212"/>
    </row>
    <row r="90" spans="1:6" ht="39" customHeight="1">
      <c r="A90" s="210" t="s">
        <v>638</v>
      </c>
      <c r="B90" s="209" t="s">
        <v>639</v>
      </c>
      <c r="C90" s="210"/>
      <c r="D90" s="213">
        <v>0</v>
      </c>
      <c r="E90" s="213">
        <v>0</v>
      </c>
      <c r="F90" s="212"/>
    </row>
    <row r="91" spans="1:6" ht="39" customHeight="1">
      <c r="A91" s="215" t="s">
        <v>827</v>
      </c>
      <c r="B91" s="214" t="s">
        <v>641</v>
      </c>
      <c r="C91" s="215"/>
      <c r="D91" s="217">
        <v>149750399666</v>
      </c>
      <c r="E91" s="217">
        <v>75556829920</v>
      </c>
      <c r="F91" s="216">
        <v>15.5233125009183</v>
      </c>
    </row>
    <row r="92" spans="1:6" ht="39" customHeight="1">
      <c r="A92" s="210" t="s">
        <v>642</v>
      </c>
      <c r="B92" s="209" t="s">
        <v>828</v>
      </c>
      <c r="C92" s="210"/>
      <c r="D92" s="213">
        <v>1528999768611</v>
      </c>
      <c r="E92" s="213">
        <v>1561678860275</v>
      </c>
      <c r="F92" s="212">
        <v>1.78532805981795</v>
      </c>
    </row>
    <row r="93" spans="1:6" ht="39" customHeight="1">
      <c r="A93" s="210" t="s">
        <v>643</v>
      </c>
      <c r="B93" s="209" t="s">
        <v>829</v>
      </c>
      <c r="C93" s="210"/>
      <c r="D93" s="218">
        <v>25562665.440000001</v>
      </c>
      <c r="E93" s="218">
        <v>25785277.550000001</v>
      </c>
      <c r="F93" s="212">
        <v>2.0255659418782099</v>
      </c>
    </row>
    <row r="94" spans="1:6" ht="39" customHeight="1">
      <c r="A94" s="210" t="s">
        <v>644</v>
      </c>
      <c r="B94" s="209" t="s">
        <v>830</v>
      </c>
      <c r="C94" s="210"/>
      <c r="D94" s="218">
        <v>59813.78</v>
      </c>
      <c r="E94" s="218">
        <v>60564.74</v>
      </c>
      <c r="F94" s="212">
        <v>0.88139716715250205</v>
      </c>
    </row>
    <row r="95" spans="1:6" s="48" customFormat="1" ht="16.899999999999999" customHeight="1"/>
    <row r="96" spans="1:6" s="48" customFormat="1" ht="16.899999999999999" customHeight="1">
      <c r="A96" s="70" t="s">
        <v>10</v>
      </c>
      <c r="B96" s="49"/>
      <c r="C96" s="49"/>
      <c r="E96" s="70" t="s">
        <v>11</v>
      </c>
      <c r="F96" s="49"/>
    </row>
    <row r="97" spans="1:6" s="52" customFormat="1" ht="16.899999999999999" customHeight="1">
      <c r="A97" s="71" t="s">
        <v>12</v>
      </c>
      <c r="B97" s="53"/>
      <c r="C97" s="53"/>
      <c r="E97" s="71" t="s">
        <v>13</v>
      </c>
      <c r="F97" s="53"/>
    </row>
    <row r="98" spans="1:6" s="48" customFormat="1" ht="16.899999999999999" customHeight="1">
      <c r="A98" s="49"/>
      <c r="B98" s="49"/>
      <c r="C98" s="49"/>
      <c r="D98" s="49"/>
      <c r="E98" s="49"/>
      <c r="F98" s="49"/>
    </row>
    <row r="99" spans="1:6" s="48" customFormat="1" ht="16.899999999999999" customHeight="1">
      <c r="A99" s="49"/>
      <c r="B99" s="49"/>
      <c r="C99" s="49"/>
      <c r="D99" s="49"/>
      <c r="E99" s="49"/>
      <c r="F99" s="49"/>
    </row>
    <row r="100" spans="1:6" s="48" customFormat="1" ht="16.899999999999999" customHeight="1">
      <c r="A100" s="49"/>
      <c r="B100" s="49"/>
      <c r="C100" s="49"/>
      <c r="D100" s="49"/>
      <c r="E100" s="49"/>
      <c r="F100" s="49"/>
    </row>
    <row r="101" spans="1:6" s="48" customFormat="1" ht="16.899999999999999" customHeight="1">
      <c r="A101" s="49"/>
      <c r="B101" s="49"/>
      <c r="C101" s="49"/>
      <c r="D101" s="49"/>
      <c r="E101" s="49"/>
      <c r="F101" s="49"/>
    </row>
    <row r="102" spans="1:6" s="48" customFormat="1" ht="16.899999999999999" customHeight="1">
      <c r="A102" s="49"/>
      <c r="B102" s="49"/>
      <c r="C102" s="49"/>
      <c r="D102" s="49"/>
      <c r="E102" s="49"/>
      <c r="F102" s="49"/>
    </row>
    <row r="103" spans="1:6" s="48" customFormat="1" ht="16.899999999999999" customHeight="1">
      <c r="A103" s="49"/>
      <c r="B103" s="49"/>
      <c r="C103" s="49"/>
      <c r="D103" s="49"/>
      <c r="E103" s="49"/>
      <c r="F103" s="49"/>
    </row>
    <row r="104" spans="1:6" s="48" customFormat="1" ht="16.899999999999999" customHeight="1">
      <c r="A104" s="202"/>
      <c r="B104" s="202"/>
      <c r="C104" s="49"/>
      <c r="D104" s="51"/>
      <c r="E104" s="202"/>
      <c r="F104" s="202"/>
    </row>
    <row r="105" spans="1:6" s="48" customFormat="1" ht="16.899999999999999" customHeight="1">
      <c r="A105" s="69" t="s">
        <v>14</v>
      </c>
      <c r="B105" s="200"/>
      <c r="C105" s="49"/>
      <c r="D105" s="50"/>
      <c r="E105" s="69" t="s">
        <v>792</v>
      </c>
      <c r="F105" s="200"/>
    </row>
    <row r="106" spans="1:6" s="48" customFormat="1" ht="16.899999999999999" customHeight="1">
      <c r="A106" s="199" t="s">
        <v>800</v>
      </c>
      <c r="B106" s="51"/>
      <c r="C106" s="49"/>
      <c r="E106" s="199" t="s">
        <v>801</v>
      </c>
      <c r="F106" s="51"/>
    </row>
    <row r="107" spans="1:6" s="48" customFormat="1" ht="16.899999999999999" customHeight="1">
      <c r="A107" s="49" t="s">
        <v>802</v>
      </c>
      <c r="B107" s="49"/>
      <c r="C107" s="49"/>
      <c r="E107" s="49" t="s">
        <v>803</v>
      </c>
      <c r="F107" s="49"/>
    </row>
    <row r="108"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topLeftCell="A4" zoomScale="107" zoomScaleNormal="100" zoomScaleSheetLayoutView="95" workbookViewId="0">
      <selection activeCell="I18" sqref="I18"/>
    </sheetView>
  </sheetViews>
  <sheetFormatPr defaultColWidth="8.7265625" defaultRowHeight="12.5"/>
  <cols>
    <col min="1" max="1" width="8.7265625" style="60"/>
    <col min="2" max="2" width="46.26953125" style="60" customWidth="1"/>
    <col min="3" max="3" width="10.7265625" style="60" bestFit="1" customWidth="1"/>
    <col min="4" max="4" width="21.26953125" style="60" customWidth="1"/>
    <col min="5" max="5" width="21" style="60" customWidth="1"/>
    <col min="6" max="6" width="22" style="60" customWidth="1"/>
    <col min="7" max="7" width="8.7265625" style="60"/>
    <col min="8" max="16384" width="8.7265625" style="76"/>
  </cols>
  <sheetData>
    <row r="1" spans="1:6" ht="22.9" customHeight="1">
      <c r="A1" s="263" t="s">
        <v>815</v>
      </c>
      <c r="B1" s="263"/>
      <c r="C1" s="263"/>
      <c r="D1" s="263"/>
      <c r="E1" s="263"/>
      <c r="F1" s="263"/>
    </row>
    <row r="2" spans="1:6" ht="45" customHeight="1">
      <c r="A2" s="264" t="s">
        <v>816</v>
      </c>
      <c r="B2" s="264"/>
      <c r="C2" s="264"/>
      <c r="D2" s="264"/>
      <c r="E2" s="264"/>
      <c r="F2" s="264"/>
    </row>
    <row r="3" spans="1:6" ht="22.5" customHeight="1">
      <c r="A3" s="265" t="s">
        <v>817</v>
      </c>
      <c r="B3" s="265"/>
      <c r="C3" s="265"/>
      <c r="D3" s="265"/>
      <c r="E3" s="265"/>
      <c r="F3" s="265"/>
    </row>
    <row r="4" spans="1:6" ht="21" customHeight="1">
      <c r="A4" s="265"/>
      <c r="B4" s="265"/>
      <c r="C4" s="265"/>
      <c r="D4" s="265"/>
      <c r="E4" s="265"/>
      <c r="F4" s="265"/>
    </row>
    <row r="5" spans="1:6" ht="16.149999999999999" customHeight="1">
      <c r="A5" s="266" t="s">
        <v>791</v>
      </c>
      <c r="B5" s="266"/>
      <c r="C5" s="266"/>
      <c r="D5" s="266"/>
      <c r="E5" s="266"/>
      <c r="F5" s="266"/>
    </row>
    <row r="7" spans="1:6" ht="16.899999999999999" customHeight="1">
      <c r="A7" s="72" t="s">
        <v>2</v>
      </c>
      <c r="C7" s="273" t="s">
        <v>792</v>
      </c>
      <c r="D7" s="273"/>
      <c r="E7" s="273"/>
      <c r="F7" s="273"/>
    </row>
    <row r="8" spans="1:6" ht="16.899999999999999" customHeight="1">
      <c r="A8" s="60" t="s">
        <v>41</v>
      </c>
      <c r="C8" s="272" t="s">
        <v>793</v>
      </c>
      <c r="D8" s="272"/>
      <c r="E8" s="272"/>
      <c r="F8" s="272"/>
    </row>
    <row r="9" spans="1:6" ht="16.899999999999999" customHeight="1">
      <c r="A9" s="72" t="s">
        <v>3</v>
      </c>
      <c r="C9" s="273" t="s">
        <v>794</v>
      </c>
      <c r="D9" s="273"/>
      <c r="E9" s="273"/>
      <c r="F9" s="273"/>
    </row>
    <row r="10" spans="1:6" ht="16.899999999999999" customHeight="1">
      <c r="A10" s="60" t="s">
        <v>4</v>
      </c>
      <c r="C10" s="272" t="s">
        <v>795</v>
      </c>
      <c r="D10" s="272"/>
      <c r="E10" s="272"/>
      <c r="F10" s="272"/>
    </row>
    <row r="11" spans="1:6" ht="16.899999999999999" customHeight="1">
      <c r="A11" s="72" t="s">
        <v>5</v>
      </c>
      <c r="C11" s="273" t="s">
        <v>796</v>
      </c>
      <c r="D11" s="273"/>
      <c r="E11" s="273"/>
      <c r="F11" s="273"/>
    </row>
    <row r="12" spans="1:6" ht="16.899999999999999" customHeight="1">
      <c r="A12" s="60" t="s">
        <v>6</v>
      </c>
      <c r="C12" s="272" t="s">
        <v>797</v>
      </c>
      <c r="D12" s="272"/>
      <c r="E12" s="272"/>
      <c r="F12" s="272"/>
    </row>
    <row r="13" spans="1:6" ht="16.899999999999999" customHeight="1">
      <c r="A13" s="72" t="s">
        <v>7</v>
      </c>
      <c r="C13" s="273" t="s">
        <v>798</v>
      </c>
      <c r="D13" s="273"/>
      <c r="E13" s="273"/>
      <c r="F13" s="273"/>
    </row>
    <row r="14" spans="1:6" ht="16.899999999999999" customHeight="1">
      <c r="A14" s="60" t="s">
        <v>8</v>
      </c>
      <c r="C14" s="272" t="s">
        <v>799</v>
      </c>
      <c r="D14" s="272"/>
      <c r="E14" s="272"/>
      <c r="F14" s="272"/>
    </row>
    <row r="15" spans="1:6" ht="16.899999999999999" customHeight="1"/>
    <row r="16" spans="1:6" ht="16.899999999999999" customHeight="1">
      <c r="A16" s="207" t="s">
        <v>818</v>
      </c>
      <c r="B16" s="99" t="s">
        <v>819</v>
      </c>
      <c r="C16" s="99"/>
      <c r="D16" s="99"/>
      <c r="E16" s="99"/>
      <c r="F16" s="99"/>
    </row>
    <row r="17" spans="1:7" ht="16.899999999999999" customHeight="1">
      <c r="A17" s="74" t="s">
        <v>48</v>
      </c>
      <c r="B17" s="75" t="s">
        <v>53</v>
      </c>
    </row>
    <row r="18" spans="1:7" ht="44.65" customHeight="1">
      <c r="A18" s="56" t="s">
        <v>43</v>
      </c>
      <c r="B18" s="54" t="s">
        <v>44</v>
      </c>
      <c r="C18" s="54" t="s">
        <v>45</v>
      </c>
      <c r="D18" s="55" t="s">
        <v>806</v>
      </c>
      <c r="E18" s="55" t="s">
        <v>807</v>
      </c>
      <c r="F18" s="77" t="s">
        <v>188</v>
      </c>
      <c r="G18" s="78"/>
    </row>
    <row r="19" spans="1:7" s="83" customFormat="1" ht="39" customHeight="1">
      <c r="A19" s="62" t="s">
        <v>42</v>
      </c>
      <c r="B19" s="79" t="s">
        <v>61</v>
      </c>
      <c r="C19" s="80"/>
      <c r="D19" s="81">
        <v>4527487272</v>
      </c>
      <c r="E19" s="81">
        <v>5778917619</v>
      </c>
      <c r="F19" s="81">
        <v>20134422879</v>
      </c>
      <c r="G19" s="82"/>
    </row>
    <row r="20" spans="1:7" ht="39" customHeight="1">
      <c r="A20" s="63">
        <v>1</v>
      </c>
      <c r="B20" s="84" t="s">
        <v>831</v>
      </c>
      <c r="C20" s="85"/>
      <c r="D20" s="95"/>
      <c r="E20" s="95"/>
      <c r="F20" s="95"/>
      <c r="G20" s="231"/>
    </row>
    <row r="21" spans="1:7" ht="39" customHeight="1">
      <c r="A21" s="65">
        <v>2</v>
      </c>
      <c r="B21" s="84" t="s">
        <v>195</v>
      </c>
      <c r="C21" s="85"/>
      <c r="D21" s="86">
        <v>4438803790</v>
      </c>
      <c r="E21" s="86">
        <v>5691951625</v>
      </c>
      <c r="F21" s="86">
        <v>18399525406</v>
      </c>
      <c r="G21" s="78"/>
    </row>
    <row r="22" spans="1:7" ht="39" customHeight="1">
      <c r="A22" s="87"/>
      <c r="B22" s="88" t="s">
        <v>196</v>
      </c>
      <c r="C22" s="89"/>
      <c r="D22" s="86">
        <v>2937160000</v>
      </c>
      <c r="E22" s="86">
        <v>4163184500</v>
      </c>
      <c r="F22" s="86">
        <v>9928292500</v>
      </c>
      <c r="G22" s="78"/>
    </row>
    <row r="23" spans="1:7" ht="39" customHeight="1">
      <c r="A23" s="87"/>
      <c r="B23" s="88" t="s">
        <v>197</v>
      </c>
      <c r="C23" s="89"/>
      <c r="D23" s="86">
        <v>1501643790</v>
      </c>
      <c r="E23" s="86">
        <v>1528767125</v>
      </c>
      <c r="F23" s="86">
        <v>8471232906</v>
      </c>
      <c r="G23" s="78"/>
    </row>
    <row r="24" spans="1:7" ht="39" customHeight="1">
      <c r="A24" s="65">
        <v>3</v>
      </c>
      <c r="B24" s="84" t="s">
        <v>198</v>
      </c>
      <c r="C24" s="85"/>
      <c r="D24" s="86">
        <v>88683482</v>
      </c>
      <c r="E24" s="86">
        <v>86965994</v>
      </c>
      <c r="F24" s="86">
        <v>1734897473</v>
      </c>
      <c r="G24" s="78"/>
    </row>
    <row r="25" spans="1:7" ht="39" customHeight="1">
      <c r="A25" s="87"/>
      <c r="B25" s="88" t="s">
        <v>191</v>
      </c>
      <c r="C25" s="89"/>
      <c r="D25" s="86">
        <v>22224578</v>
      </c>
      <c r="E25" s="86">
        <v>22650926</v>
      </c>
      <c r="F25" s="86">
        <v>1028198843</v>
      </c>
      <c r="G25" s="78"/>
    </row>
    <row r="26" spans="1:7" ht="39" customHeight="1">
      <c r="A26" s="87"/>
      <c r="B26" s="88" t="s">
        <v>199</v>
      </c>
      <c r="C26" s="89"/>
      <c r="D26" s="86">
        <v>66458904</v>
      </c>
      <c r="E26" s="86">
        <v>64315068</v>
      </c>
      <c r="F26" s="86">
        <v>706698630</v>
      </c>
      <c r="G26" s="78"/>
    </row>
    <row r="27" spans="1:7" ht="39" customHeight="1">
      <c r="A27" s="87"/>
      <c r="B27" s="88" t="s">
        <v>225</v>
      </c>
      <c r="C27" s="89"/>
      <c r="D27" s="86">
        <v>0</v>
      </c>
      <c r="E27" s="86">
        <v>0</v>
      </c>
      <c r="F27" s="86">
        <v>0</v>
      </c>
      <c r="G27" s="78"/>
    </row>
    <row r="28" spans="1:7" ht="39" customHeight="1">
      <c r="A28" s="65">
        <v>4</v>
      </c>
      <c r="B28" s="84" t="s">
        <v>200</v>
      </c>
      <c r="C28" s="85"/>
      <c r="D28" s="86">
        <v>0</v>
      </c>
      <c r="E28" s="86">
        <v>0</v>
      </c>
      <c r="F28" s="86">
        <v>0</v>
      </c>
      <c r="G28" s="78"/>
    </row>
    <row r="29" spans="1:7" ht="39" customHeight="1">
      <c r="A29" s="90"/>
      <c r="B29" s="91" t="s">
        <v>201</v>
      </c>
      <c r="C29" s="92"/>
      <c r="D29" s="93">
        <v>0</v>
      </c>
      <c r="E29" s="93">
        <v>0</v>
      </c>
      <c r="F29" s="86">
        <v>0</v>
      </c>
      <c r="G29" s="94"/>
    </row>
    <row r="30" spans="1:7" ht="39" customHeight="1">
      <c r="A30" s="90"/>
      <c r="B30" s="91" t="s">
        <v>202</v>
      </c>
      <c r="C30" s="92"/>
      <c r="D30" s="93">
        <v>0</v>
      </c>
      <c r="E30" s="93">
        <v>0</v>
      </c>
      <c r="F30" s="86">
        <v>0</v>
      </c>
      <c r="G30" s="94"/>
    </row>
    <row r="31" spans="1:7" ht="77.650000000000006" customHeight="1">
      <c r="A31" s="90"/>
      <c r="B31" s="91" t="s">
        <v>62</v>
      </c>
      <c r="C31" s="92"/>
      <c r="D31" s="93">
        <v>0</v>
      </c>
      <c r="E31" s="93">
        <v>0</v>
      </c>
      <c r="F31" s="86">
        <v>0</v>
      </c>
      <c r="G31" s="94"/>
    </row>
    <row r="32" spans="1:7" s="83" customFormat="1" ht="39" customHeight="1">
      <c r="A32" s="62" t="s">
        <v>48</v>
      </c>
      <c r="B32" s="79" t="s">
        <v>203</v>
      </c>
      <c r="C32" s="80"/>
      <c r="D32" s="81">
        <v>4669338584</v>
      </c>
      <c r="E32" s="81">
        <v>5216351986</v>
      </c>
      <c r="F32" s="81">
        <v>28333305747</v>
      </c>
      <c r="G32" s="82"/>
    </row>
    <row r="33" spans="1:7" ht="39" customHeight="1">
      <c r="A33" s="65">
        <v>1</v>
      </c>
      <c r="B33" s="84" t="s">
        <v>832</v>
      </c>
      <c r="C33" s="85"/>
      <c r="D33" s="86">
        <v>2510663947</v>
      </c>
      <c r="E33" s="86">
        <v>2562833656</v>
      </c>
      <c r="F33" s="86">
        <v>18994474631</v>
      </c>
      <c r="G33" s="78"/>
    </row>
    <row r="34" spans="1:7" ht="44.65" customHeight="1">
      <c r="A34" s="65">
        <v>2</v>
      </c>
      <c r="B34" s="84" t="s">
        <v>833</v>
      </c>
      <c r="C34" s="85"/>
      <c r="D34" s="95">
        <v>151138053</v>
      </c>
      <c r="E34" s="95">
        <v>153352081</v>
      </c>
      <c r="F34" s="86">
        <v>978239083</v>
      </c>
      <c r="G34" s="78"/>
    </row>
    <row r="35" spans="1:7" ht="39" customHeight="1">
      <c r="A35" s="68"/>
      <c r="B35" s="88" t="s">
        <v>834</v>
      </c>
      <c r="C35" s="89"/>
      <c r="D35" s="95">
        <v>51500798</v>
      </c>
      <c r="E35" s="95">
        <v>52570948</v>
      </c>
      <c r="F35" s="86">
        <v>389630247</v>
      </c>
      <c r="G35" s="78"/>
    </row>
    <row r="36" spans="1:7" ht="39" customHeight="1">
      <c r="A36" s="68"/>
      <c r="B36" s="88" t="s">
        <v>835</v>
      </c>
      <c r="C36" s="89"/>
      <c r="D36" s="95">
        <v>33200000</v>
      </c>
      <c r="E36" s="95">
        <v>33700000</v>
      </c>
      <c r="F36" s="86">
        <v>104600000</v>
      </c>
      <c r="G36" s="78"/>
    </row>
    <row r="37" spans="1:7" ht="57" customHeight="1">
      <c r="A37" s="68"/>
      <c r="B37" s="88" t="s">
        <v>836</v>
      </c>
      <c r="C37" s="89"/>
      <c r="D37" s="95">
        <v>9786377</v>
      </c>
      <c r="E37" s="95">
        <v>9253091</v>
      </c>
      <c r="F37" s="95">
        <v>55415562</v>
      </c>
      <c r="G37" s="78"/>
    </row>
    <row r="38" spans="1:7" ht="39" customHeight="1">
      <c r="A38" s="68"/>
      <c r="B38" s="88" t="s">
        <v>837</v>
      </c>
      <c r="C38" s="89"/>
      <c r="D38" s="86">
        <v>56650878</v>
      </c>
      <c r="E38" s="86">
        <v>57828042</v>
      </c>
      <c r="F38" s="86">
        <v>428593274</v>
      </c>
      <c r="G38" s="78"/>
    </row>
    <row r="39" spans="1:7" ht="73.5" customHeight="1">
      <c r="A39" s="65">
        <v>3</v>
      </c>
      <c r="B39" s="64" t="s">
        <v>838</v>
      </c>
      <c r="C39" s="85"/>
      <c r="D39" s="86">
        <v>48606798</v>
      </c>
      <c r="E39" s="86">
        <v>47142524</v>
      </c>
      <c r="F39" s="86">
        <v>347070794</v>
      </c>
      <c r="G39" s="78"/>
    </row>
    <row r="40" spans="1:7" ht="39" customHeight="1">
      <c r="A40" s="68"/>
      <c r="B40" s="66" t="s">
        <v>227</v>
      </c>
      <c r="C40" s="89"/>
      <c r="D40" s="86">
        <v>35406798</v>
      </c>
      <c r="E40" s="86">
        <v>36142524</v>
      </c>
      <c r="F40" s="86">
        <v>267870794</v>
      </c>
      <c r="G40" s="78"/>
    </row>
    <row r="41" spans="1:7" ht="39" customHeight="1">
      <c r="A41" s="68"/>
      <c r="B41" s="66" t="s">
        <v>64</v>
      </c>
      <c r="C41" s="89"/>
      <c r="D41" s="95">
        <v>13200000</v>
      </c>
      <c r="E41" s="95">
        <v>11000000</v>
      </c>
      <c r="F41" s="95">
        <v>79200000</v>
      </c>
      <c r="G41" s="78"/>
    </row>
    <row r="42" spans="1:7" ht="39" customHeight="1">
      <c r="A42" s="68">
        <v>4</v>
      </c>
      <c r="B42" s="66" t="s">
        <v>839</v>
      </c>
      <c r="C42" s="89"/>
      <c r="D42" s="95"/>
      <c r="E42" s="95"/>
      <c r="F42" s="95"/>
      <c r="G42" s="78"/>
    </row>
    <row r="43" spans="1:7" ht="39" customHeight="1">
      <c r="A43" s="68">
        <v>5</v>
      </c>
      <c r="B43" s="66" t="s">
        <v>840</v>
      </c>
      <c r="C43" s="89"/>
      <c r="D43" s="95"/>
      <c r="E43" s="95"/>
      <c r="F43" s="95"/>
      <c r="G43" s="78"/>
    </row>
    <row r="44" spans="1:7" ht="39" customHeight="1">
      <c r="A44" s="65">
        <v>6</v>
      </c>
      <c r="B44" s="84" t="s">
        <v>65</v>
      </c>
      <c r="C44" s="85"/>
      <c r="D44" s="86">
        <v>16501517</v>
      </c>
      <c r="E44" s="86">
        <v>15969210</v>
      </c>
      <c r="F44" s="86">
        <v>108499028</v>
      </c>
      <c r="G44" s="78"/>
    </row>
    <row r="45" spans="1:7" ht="77.650000000000006" customHeight="1">
      <c r="A45" s="65">
        <v>7</v>
      </c>
      <c r="B45" s="84" t="s">
        <v>228</v>
      </c>
      <c r="C45" s="85"/>
      <c r="D45" s="86">
        <v>57952869</v>
      </c>
      <c r="E45" s="86">
        <v>12696326</v>
      </c>
      <c r="F45" s="86">
        <v>191648738</v>
      </c>
      <c r="G45" s="78"/>
    </row>
    <row r="46" spans="1:7" ht="39" customHeight="1">
      <c r="A46" s="68"/>
      <c r="B46" s="67" t="s">
        <v>229</v>
      </c>
      <c r="C46" s="89"/>
      <c r="D46" s="86">
        <v>12719536</v>
      </c>
      <c r="E46" s="86">
        <v>12696326</v>
      </c>
      <c r="F46" s="86">
        <v>117448739</v>
      </c>
      <c r="G46" s="78"/>
    </row>
    <row r="47" spans="1:7" ht="39" customHeight="1">
      <c r="A47" s="68"/>
      <c r="B47" s="67" t="s">
        <v>204</v>
      </c>
      <c r="C47" s="89"/>
      <c r="D47" s="86">
        <v>45233333</v>
      </c>
      <c r="E47" s="86">
        <v>0</v>
      </c>
      <c r="F47" s="86">
        <v>74199999</v>
      </c>
      <c r="G47" s="78"/>
    </row>
    <row r="48" spans="1:7" ht="39" customHeight="1">
      <c r="A48" s="68"/>
      <c r="B48" s="67" t="s">
        <v>67</v>
      </c>
      <c r="C48" s="89"/>
      <c r="D48" s="95">
        <v>0</v>
      </c>
      <c r="E48" s="95">
        <v>0</v>
      </c>
      <c r="F48" s="86">
        <v>0</v>
      </c>
      <c r="G48" s="78"/>
    </row>
    <row r="49" spans="1:7" ht="148.9" customHeight="1">
      <c r="A49" s="65">
        <v>8</v>
      </c>
      <c r="B49" s="64" t="s">
        <v>230</v>
      </c>
      <c r="C49" s="85"/>
      <c r="D49" s="86">
        <v>0</v>
      </c>
      <c r="E49" s="86">
        <v>2326968</v>
      </c>
      <c r="F49" s="86">
        <v>35094216</v>
      </c>
      <c r="G49" s="78"/>
    </row>
    <row r="50" spans="1:7" ht="39" customHeight="1">
      <c r="A50" s="68"/>
      <c r="B50" s="66" t="s">
        <v>205</v>
      </c>
      <c r="C50" s="89"/>
      <c r="D50" s="86">
        <v>0</v>
      </c>
      <c r="E50" s="86">
        <v>2326968</v>
      </c>
      <c r="F50" s="86">
        <v>35094216</v>
      </c>
      <c r="G50" s="78"/>
    </row>
    <row r="51" spans="1:7" ht="39" customHeight="1">
      <c r="A51" s="68"/>
      <c r="B51" s="66" t="s">
        <v>152</v>
      </c>
      <c r="C51" s="89"/>
      <c r="D51" s="86">
        <v>0</v>
      </c>
      <c r="E51" s="86">
        <v>0</v>
      </c>
      <c r="F51" s="86">
        <v>0</v>
      </c>
      <c r="G51" s="78"/>
    </row>
    <row r="52" spans="1:7" ht="39" customHeight="1">
      <c r="A52" s="68"/>
      <c r="B52" s="66" t="s">
        <v>231</v>
      </c>
      <c r="C52" s="89"/>
      <c r="D52" s="86">
        <v>0</v>
      </c>
      <c r="E52" s="86">
        <v>0</v>
      </c>
      <c r="F52" s="86">
        <v>0</v>
      </c>
      <c r="G52" s="78"/>
    </row>
    <row r="53" spans="1:7" ht="39" customHeight="1">
      <c r="A53" s="68"/>
      <c r="B53" s="67" t="s">
        <v>206</v>
      </c>
      <c r="C53" s="89"/>
      <c r="D53" s="86">
        <v>0</v>
      </c>
      <c r="E53" s="86">
        <v>0</v>
      </c>
      <c r="F53" s="86">
        <v>0</v>
      </c>
      <c r="G53" s="78"/>
    </row>
    <row r="54" spans="1:7" ht="39" customHeight="1">
      <c r="A54" s="68"/>
      <c r="B54" s="67" t="s">
        <v>841</v>
      </c>
      <c r="C54" s="89"/>
      <c r="D54" s="86">
        <v>0</v>
      </c>
      <c r="E54" s="86">
        <v>0</v>
      </c>
      <c r="F54" s="86">
        <v>0</v>
      </c>
      <c r="G54" s="78"/>
    </row>
    <row r="55" spans="1:7" ht="66" customHeight="1">
      <c r="A55" s="65">
        <v>9</v>
      </c>
      <c r="B55" s="84" t="s">
        <v>232</v>
      </c>
      <c r="C55" s="85"/>
      <c r="D55" s="95">
        <v>1878264800</v>
      </c>
      <c r="E55" s="95">
        <v>2411028471</v>
      </c>
      <c r="F55" s="95">
        <v>7627115232</v>
      </c>
      <c r="G55" s="78"/>
    </row>
    <row r="56" spans="1:7" ht="39" customHeight="1">
      <c r="A56" s="68"/>
      <c r="B56" s="88" t="s">
        <v>69</v>
      </c>
      <c r="C56" s="89"/>
      <c r="D56" s="95">
        <v>1872123750</v>
      </c>
      <c r="E56" s="95">
        <v>2408972041</v>
      </c>
      <c r="F56" s="86">
        <v>7613216232</v>
      </c>
      <c r="G56" s="78"/>
    </row>
    <row r="57" spans="1:7" ht="39" customHeight="1">
      <c r="A57" s="68"/>
      <c r="B57" s="88" t="s">
        <v>70</v>
      </c>
      <c r="C57" s="89"/>
      <c r="D57" s="95">
        <v>6141050</v>
      </c>
      <c r="E57" s="95">
        <v>2056430</v>
      </c>
      <c r="F57" s="86">
        <v>13899000</v>
      </c>
      <c r="G57" s="78"/>
    </row>
    <row r="58" spans="1:7" ht="39" customHeight="1">
      <c r="A58" s="68"/>
      <c r="B58" s="88" t="s">
        <v>71</v>
      </c>
      <c r="C58" s="89"/>
      <c r="D58" s="95">
        <v>0</v>
      </c>
      <c r="E58" s="95">
        <v>0</v>
      </c>
      <c r="F58" s="86">
        <v>0</v>
      </c>
      <c r="G58" s="78"/>
    </row>
    <row r="59" spans="1:7" ht="39" customHeight="1">
      <c r="A59" s="65">
        <v>10</v>
      </c>
      <c r="B59" s="84" t="s">
        <v>842</v>
      </c>
      <c r="C59" s="85"/>
      <c r="D59" s="95">
        <v>6210600</v>
      </c>
      <c r="E59" s="95">
        <v>11002750</v>
      </c>
      <c r="F59" s="95">
        <v>51164025</v>
      </c>
      <c r="G59" s="78"/>
    </row>
    <row r="60" spans="1:7" ht="39" customHeight="1">
      <c r="A60" s="65"/>
      <c r="B60" s="88" t="s">
        <v>72</v>
      </c>
      <c r="C60" s="89"/>
      <c r="D60" s="95">
        <v>0</v>
      </c>
      <c r="E60" s="95">
        <v>0</v>
      </c>
      <c r="F60" s="95">
        <v>0</v>
      </c>
      <c r="G60" s="96"/>
    </row>
    <row r="61" spans="1:7" ht="39" customHeight="1">
      <c r="A61" s="65"/>
      <c r="B61" s="88" t="s">
        <v>233</v>
      </c>
      <c r="C61" s="89"/>
      <c r="D61" s="95">
        <v>0</v>
      </c>
      <c r="E61" s="95">
        <v>0</v>
      </c>
      <c r="F61" s="95">
        <v>0</v>
      </c>
      <c r="G61" s="96"/>
    </row>
    <row r="62" spans="1:7" ht="39" customHeight="1">
      <c r="A62" s="65"/>
      <c r="B62" s="88" t="s">
        <v>73</v>
      </c>
      <c r="C62" s="89"/>
      <c r="D62" s="95">
        <v>0</v>
      </c>
      <c r="E62" s="95">
        <v>0</v>
      </c>
      <c r="F62" s="95">
        <v>0</v>
      </c>
      <c r="G62" s="96"/>
    </row>
    <row r="63" spans="1:7" ht="39" customHeight="1">
      <c r="A63" s="65"/>
      <c r="B63" s="88" t="s">
        <v>74</v>
      </c>
      <c r="C63" s="89"/>
      <c r="D63" s="95">
        <v>6210600</v>
      </c>
      <c r="E63" s="95">
        <v>11002750</v>
      </c>
      <c r="F63" s="95">
        <v>50064025</v>
      </c>
      <c r="G63" s="96"/>
    </row>
    <row r="64" spans="1:7" ht="39" customHeight="1">
      <c r="A64" s="65"/>
      <c r="B64" s="88" t="s">
        <v>234</v>
      </c>
      <c r="C64" s="89"/>
      <c r="D64" s="95">
        <v>0</v>
      </c>
      <c r="E64" s="95">
        <v>0</v>
      </c>
      <c r="F64" s="95">
        <v>0</v>
      </c>
      <c r="G64" s="96"/>
    </row>
    <row r="65" spans="1:7" ht="39" customHeight="1">
      <c r="A65" s="65"/>
      <c r="B65" s="88" t="s">
        <v>71</v>
      </c>
      <c r="C65" s="89"/>
      <c r="D65" s="95">
        <v>0</v>
      </c>
      <c r="E65" s="95">
        <v>0</v>
      </c>
      <c r="F65" s="95">
        <v>0</v>
      </c>
      <c r="G65" s="96"/>
    </row>
    <row r="66" spans="1:7" ht="39" customHeight="1">
      <c r="A66" s="65"/>
      <c r="B66" s="88" t="s">
        <v>235</v>
      </c>
      <c r="C66" s="89"/>
      <c r="D66" s="95">
        <v>0</v>
      </c>
      <c r="E66" s="95">
        <v>0</v>
      </c>
      <c r="F66" s="95">
        <v>1100000</v>
      </c>
      <c r="G66" s="96"/>
    </row>
    <row r="67" spans="1:7" s="83" customFormat="1" ht="45.75" customHeight="1">
      <c r="A67" s="97" t="s">
        <v>54</v>
      </c>
      <c r="B67" s="79" t="s">
        <v>236</v>
      </c>
      <c r="C67" s="80"/>
      <c r="D67" s="81">
        <v>-141851312</v>
      </c>
      <c r="E67" s="81">
        <v>562565633</v>
      </c>
      <c r="F67" s="81">
        <v>-8198882868</v>
      </c>
      <c r="G67" s="82"/>
    </row>
    <row r="68" spans="1:7" s="83" customFormat="1" ht="39" customHeight="1">
      <c r="A68" s="97" t="s">
        <v>55</v>
      </c>
      <c r="B68" s="79" t="s">
        <v>208</v>
      </c>
      <c r="C68" s="80"/>
      <c r="D68" s="81">
        <v>-19466873145</v>
      </c>
      <c r="E68" s="81">
        <v>-91935427050</v>
      </c>
      <c r="F68" s="81">
        <v>-449852307949</v>
      </c>
      <c r="G68" s="82"/>
    </row>
    <row r="69" spans="1:7" ht="53.15" customHeight="1">
      <c r="A69" s="65">
        <v>1</v>
      </c>
      <c r="B69" s="84" t="s">
        <v>843</v>
      </c>
      <c r="C69" s="85"/>
      <c r="D69" s="86">
        <v>-56005984946</v>
      </c>
      <c r="E69" s="86">
        <v>-85220772842</v>
      </c>
      <c r="F69" s="86">
        <v>-223721190383</v>
      </c>
      <c r="G69" s="78"/>
    </row>
    <row r="70" spans="1:7" ht="39" customHeight="1">
      <c r="A70" s="65">
        <v>2</v>
      </c>
      <c r="B70" s="84" t="s">
        <v>75</v>
      </c>
      <c r="C70" s="85"/>
      <c r="D70" s="86">
        <v>36539111801</v>
      </c>
      <c r="E70" s="86">
        <v>-6714654208</v>
      </c>
      <c r="F70" s="86">
        <v>-226131117566</v>
      </c>
      <c r="G70" s="78"/>
    </row>
    <row r="71" spans="1:7" s="83" customFormat="1" ht="75" customHeight="1">
      <c r="A71" s="97" t="s">
        <v>56</v>
      </c>
      <c r="B71" s="79" t="s">
        <v>237</v>
      </c>
      <c r="C71" s="80"/>
      <c r="D71" s="81">
        <v>-19608724457</v>
      </c>
      <c r="E71" s="81">
        <v>-91372861417</v>
      </c>
      <c r="F71" s="81">
        <v>-458051190817</v>
      </c>
      <c r="G71" s="82"/>
    </row>
    <row r="72" spans="1:7" s="83" customFormat="1" ht="39" customHeight="1">
      <c r="A72" s="97" t="s">
        <v>57</v>
      </c>
      <c r="B72" s="79" t="s">
        <v>76</v>
      </c>
      <c r="C72" s="80"/>
      <c r="D72" s="81">
        <v>1561678860275</v>
      </c>
      <c r="E72" s="81">
        <v>1620610632855</v>
      </c>
      <c r="F72" s="81">
        <v>1641867480749</v>
      </c>
      <c r="G72" s="82"/>
    </row>
    <row r="73" spans="1:7" s="83" customFormat="1" ht="46.5" customHeight="1">
      <c r="A73" s="97" t="s">
        <v>58</v>
      </c>
      <c r="B73" s="79" t="s">
        <v>77</v>
      </c>
      <c r="C73" s="80"/>
      <c r="D73" s="81">
        <v>-32679091664</v>
      </c>
      <c r="E73" s="81">
        <v>-58931772580</v>
      </c>
      <c r="F73" s="81">
        <v>-112867712138</v>
      </c>
      <c r="G73" s="82"/>
    </row>
    <row r="74" spans="1:7" ht="39" customHeight="1">
      <c r="A74" s="65"/>
      <c r="B74" s="84" t="s">
        <v>78</v>
      </c>
      <c r="C74" s="85"/>
      <c r="D74" s="86"/>
      <c r="E74" s="86"/>
      <c r="F74" s="86"/>
      <c r="G74" s="78"/>
    </row>
    <row r="75" spans="1:7" ht="58.5" customHeight="1">
      <c r="A75" s="65">
        <v>1</v>
      </c>
      <c r="B75" s="84" t="s">
        <v>844</v>
      </c>
      <c r="C75" s="85"/>
      <c r="D75" s="86">
        <v>-19608724457</v>
      </c>
      <c r="E75" s="86">
        <v>-91372861417</v>
      </c>
      <c r="F75" s="95">
        <v>-458051190817</v>
      </c>
      <c r="G75" s="78"/>
    </row>
    <row r="76" spans="1:7" ht="58.5" customHeight="1">
      <c r="A76" s="65">
        <v>2</v>
      </c>
      <c r="B76" s="84" t="s">
        <v>845</v>
      </c>
      <c r="C76" s="85"/>
      <c r="D76" s="86">
        <v>0</v>
      </c>
      <c r="E76" s="86">
        <v>0</v>
      </c>
      <c r="F76" s="95">
        <v>0</v>
      </c>
      <c r="G76" s="78"/>
    </row>
    <row r="77" spans="1:7" ht="58.5" customHeight="1">
      <c r="A77" s="65">
        <v>3</v>
      </c>
      <c r="B77" s="84" t="s">
        <v>846</v>
      </c>
      <c r="C77" s="85"/>
      <c r="D77" s="86">
        <v>-13070367207</v>
      </c>
      <c r="E77" s="86">
        <v>32441088837</v>
      </c>
      <c r="F77" s="86">
        <v>345183478679</v>
      </c>
      <c r="G77" s="78"/>
    </row>
    <row r="78" spans="1:7" ht="62.65" customHeight="1">
      <c r="A78" s="65"/>
      <c r="B78" s="84" t="s">
        <v>238</v>
      </c>
      <c r="C78" s="85"/>
      <c r="D78" s="95">
        <v>24361788681</v>
      </c>
      <c r="E78" s="95">
        <v>51855917042</v>
      </c>
      <c r="F78" s="95">
        <v>623977676265</v>
      </c>
      <c r="G78" s="78"/>
    </row>
    <row r="79" spans="1:7" ht="46.9" customHeight="1">
      <c r="A79" s="65"/>
      <c r="B79" s="84" t="s">
        <v>239</v>
      </c>
      <c r="C79" s="85"/>
      <c r="D79" s="95">
        <v>-37432155888</v>
      </c>
      <c r="E79" s="95">
        <v>-19414828205</v>
      </c>
      <c r="F79" s="86">
        <v>-278794197586</v>
      </c>
      <c r="G79" s="78"/>
    </row>
    <row r="80" spans="1:7" s="83" customFormat="1" ht="37.9" customHeight="1">
      <c r="A80" s="62" t="s">
        <v>59</v>
      </c>
      <c r="B80" s="79" t="s">
        <v>79</v>
      </c>
      <c r="C80" s="80"/>
      <c r="D80" s="81">
        <v>1528999768611</v>
      </c>
      <c r="E80" s="81">
        <v>1561678860275</v>
      </c>
      <c r="F80" s="81">
        <v>1528999768611</v>
      </c>
      <c r="G80" s="82"/>
    </row>
    <row r="81" spans="1:7" s="83" customFormat="1" ht="57.4" customHeight="1">
      <c r="A81" s="62" t="s">
        <v>60</v>
      </c>
      <c r="B81" s="79" t="s">
        <v>209</v>
      </c>
      <c r="C81" s="80"/>
      <c r="D81" s="81">
        <v>0</v>
      </c>
      <c r="E81" s="81">
        <v>0</v>
      </c>
      <c r="F81" s="81">
        <v>0</v>
      </c>
      <c r="G81" s="98"/>
    </row>
    <row r="82" spans="1:7" ht="57" customHeight="1">
      <c r="A82" s="63"/>
      <c r="B82" s="84" t="s">
        <v>210</v>
      </c>
      <c r="C82" s="85"/>
      <c r="D82" s="106">
        <v>0</v>
      </c>
      <c r="E82" s="106">
        <v>0</v>
      </c>
      <c r="F82" s="106">
        <v>0</v>
      </c>
      <c r="G82" s="98"/>
    </row>
    <row r="85" spans="1:7" ht="16.899999999999999" customHeight="1">
      <c r="A85" s="99" t="s">
        <v>10</v>
      </c>
      <c r="D85" s="99" t="s">
        <v>11</v>
      </c>
    </row>
    <row r="86" spans="1:7" s="101" customFormat="1" ht="16.899999999999999" customHeight="1">
      <c r="A86" s="100" t="s">
        <v>12</v>
      </c>
      <c r="B86" s="100"/>
      <c r="C86" s="100"/>
      <c r="D86" s="100" t="s">
        <v>13</v>
      </c>
      <c r="E86" s="100"/>
      <c r="F86" s="100"/>
      <c r="G86" s="100"/>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102" t="s">
        <v>14</v>
      </c>
      <c r="B94" s="103"/>
      <c r="D94" s="102" t="s">
        <v>792</v>
      </c>
      <c r="E94" s="103"/>
      <c r="F94" s="103"/>
    </row>
    <row r="95" spans="1:7" ht="16.899999999999999" customHeight="1">
      <c r="A95" s="99" t="s">
        <v>800</v>
      </c>
      <c r="D95" s="99" t="s">
        <v>801</v>
      </c>
    </row>
    <row r="96" spans="1:7" ht="16.899999999999999" customHeight="1">
      <c r="A96" s="60" t="s">
        <v>802</v>
      </c>
      <c r="D96" s="60" t="s">
        <v>803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7"/>
  <sheetViews>
    <sheetView view="pageBreakPreview" zoomScaleNormal="100" zoomScaleSheetLayoutView="100" workbookViewId="0">
      <selection activeCell="I19" sqref="I19"/>
    </sheetView>
  </sheetViews>
  <sheetFormatPr defaultColWidth="8.7265625" defaultRowHeight="12.5"/>
  <cols>
    <col min="1" max="1" width="9" style="60" customWidth="1"/>
    <col min="2" max="2" width="39.81640625" style="60" customWidth="1"/>
    <col min="3" max="3" width="9.26953125" style="60" customWidth="1"/>
    <col min="4" max="4" width="17.81640625" style="60" customWidth="1"/>
    <col min="5" max="5" width="18.26953125" style="60" customWidth="1"/>
    <col min="6" max="6" width="21.26953125" style="60" customWidth="1"/>
    <col min="7" max="7" width="15.453125" style="60" customWidth="1"/>
    <col min="8" max="16384" width="8.7265625" style="104"/>
  </cols>
  <sheetData>
    <row r="1" spans="1:7" ht="25.9" customHeight="1">
      <c r="A1" s="263" t="s">
        <v>815</v>
      </c>
      <c r="B1" s="263"/>
      <c r="C1" s="263"/>
      <c r="D1" s="263"/>
      <c r="E1" s="263"/>
      <c r="F1" s="263"/>
      <c r="G1" s="263"/>
    </row>
    <row r="2" spans="1:7" ht="44.5" customHeight="1">
      <c r="A2" s="264" t="s">
        <v>847</v>
      </c>
      <c r="B2" s="264"/>
      <c r="C2" s="264"/>
      <c r="D2" s="264"/>
      <c r="E2" s="264"/>
      <c r="F2" s="264"/>
      <c r="G2" s="264"/>
    </row>
    <row r="3" spans="1:7" ht="15" customHeight="1">
      <c r="A3" s="265" t="s">
        <v>817</v>
      </c>
      <c r="B3" s="265"/>
      <c r="C3" s="265"/>
      <c r="D3" s="265"/>
      <c r="E3" s="265"/>
      <c r="F3" s="265"/>
      <c r="G3" s="265"/>
    </row>
    <row r="4" spans="1:7" ht="27.4" customHeight="1">
      <c r="A4" s="265"/>
      <c r="B4" s="265"/>
      <c r="C4" s="265"/>
      <c r="D4" s="265"/>
      <c r="E4" s="265"/>
      <c r="F4" s="265"/>
      <c r="G4" s="265"/>
    </row>
    <row r="5" spans="1:7" ht="16.899999999999999" customHeight="1">
      <c r="A5" s="266" t="s">
        <v>790</v>
      </c>
      <c r="B5" s="266"/>
      <c r="C5" s="266"/>
      <c r="D5" s="266"/>
      <c r="E5" s="266"/>
      <c r="F5" s="266"/>
      <c r="G5" s="266"/>
    </row>
    <row r="6" spans="1:7" ht="16.899999999999999" customHeight="1"/>
    <row r="7" spans="1:7" ht="16.899999999999999" customHeight="1">
      <c r="A7" s="157" t="s">
        <v>2</v>
      </c>
      <c r="C7" s="273" t="s">
        <v>792</v>
      </c>
      <c r="D7" s="273"/>
      <c r="E7" s="273"/>
      <c r="F7" s="273"/>
      <c r="G7" s="273"/>
    </row>
    <row r="8" spans="1:7" ht="16.899999999999999" customHeight="1">
      <c r="A8" s="60" t="s">
        <v>41</v>
      </c>
      <c r="C8" s="272" t="s">
        <v>793</v>
      </c>
      <c r="D8" s="272"/>
      <c r="E8" s="272"/>
      <c r="F8" s="272"/>
      <c r="G8" s="272"/>
    </row>
    <row r="9" spans="1:7" ht="16.899999999999999" customHeight="1">
      <c r="A9" s="157" t="s">
        <v>3</v>
      </c>
      <c r="C9" s="273" t="s">
        <v>794</v>
      </c>
      <c r="D9" s="273"/>
      <c r="E9" s="273"/>
      <c r="F9" s="273"/>
      <c r="G9" s="273"/>
    </row>
    <row r="10" spans="1:7" ht="16.899999999999999" customHeight="1">
      <c r="A10" s="60" t="s">
        <v>4</v>
      </c>
      <c r="C10" s="272" t="s">
        <v>795</v>
      </c>
      <c r="D10" s="272"/>
      <c r="E10" s="272"/>
      <c r="F10" s="272"/>
      <c r="G10" s="272"/>
    </row>
    <row r="11" spans="1:7" ht="16.899999999999999" customHeight="1">
      <c r="A11" s="161" t="s">
        <v>5</v>
      </c>
      <c r="C11" s="273" t="s">
        <v>796</v>
      </c>
      <c r="D11" s="273"/>
      <c r="E11" s="273"/>
      <c r="F11" s="273"/>
      <c r="G11" s="273"/>
    </row>
    <row r="12" spans="1:7" ht="16.899999999999999" customHeight="1">
      <c r="A12" s="60" t="s">
        <v>6</v>
      </c>
      <c r="C12" s="272" t="s">
        <v>797</v>
      </c>
      <c r="D12" s="272"/>
      <c r="E12" s="272"/>
      <c r="F12" s="272"/>
      <c r="G12" s="272"/>
    </row>
    <row r="13" spans="1:7" ht="16.899999999999999" customHeight="1">
      <c r="A13" s="157" t="s">
        <v>7</v>
      </c>
      <c r="C13" s="273" t="s">
        <v>798</v>
      </c>
      <c r="D13" s="273"/>
      <c r="E13" s="273"/>
      <c r="F13" s="273"/>
      <c r="G13" s="273"/>
    </row>
    <row r="14" spans="1:7" ht="16.899999999999999" customHeight="1">
      <c r="A14" s="60" t="s">
        <v>8</v>
      </c>
      <c r="C14" s="272" t="s">
        <v>799</v>
      </c>
      <c r="D14" s="272"/>
      <c r="E14" s="272"/>
      <c r="F14" s="272"/>
      <c r="G14" s="272"/>
    </row>
    <row r="15" spans="1:7" ht="18" hidden="1" customHeight="1"/>
    <row r="16" spans="1:7" ht="16.899999999999999" customHeight="1">
      <c r="A16" s="207" t="s">
        <v>818</v>
      </c>
      <c r="B16" s="99" t="s">
        <v>819</v>
      </c>
      <c r="C16" s="99"/>
      <c r="D16" s="99"/>
      <c r="E16" s="99"/>
      <c r="F16" s="99"/>
      <c r="G16" s="99"/>
    </row>
    <row r="17" spans="1:7" ht="16.899999999999999" customHeight="1">
      <c r="A17" s="74" t="s">
        <v>54</v>
      </c>
      <c r="B17" s="75" t="s">
        <v>495</v>
      </c>
    </row>
    <row r="18" spans="1:7" ht="75.400000000000006" customHeight="1">
      <c r="A18" s="105" t="s">
        <v>186</v>
      </c>
      <c r="B18" s="105" t="s">
        <v>80</v>
      </c>
      <c r="C18" s="105" t="s">
        <v>45</v>
      </c>
      <c r="D18" s="105" t="s">
        <v>81</v>
      </c>
      <c r="E18" s="105" t="s">
        <v>82</v>
      </c>
      <c r="F18" s="105" t="s">
        <v>83</v>
      </c>
      <c r="G18" s="105" t="s">
        <v>84</v>
      </c>
    </row>
    <row r="19" spans="1:7" ht="75.400000000000006" customHeight="1">
      <c r="A19" s="232" t="s">
        <v>42</v>
      </c>
      <c r="B19" s="233" t="s">
        <v>848</v>
      </c>
      <c r="C19" s="234"/>
      <c r="D19" s="235"/>
      <c r="E19" s="235"/>
      <c r="F19" s="235"/>
      <c r="G19" s="236"/>
    </row>
    <row r="20" spans="1:7" ht="68.5" customHeight="1">
      <c r="A20" s="215" t="s">
        <v>48</v>
      </c>
      <c r="B20" s="214" t="s">
        <v>849</v>
      </c>
      <c r="C20" s="215"/>
      <c r="D20" s="217"/>
      <c r="E20" s="217"/>
      <c r="F20" s="217"/>
      <c r="G20" s="216"/>
    </row>
    <row r="21" spans="1:7" ht="34" customHeight="1">
      <c r="A21" s="210" t="s">
        <v>645</v>
      </c>
      <c r="B21" s="209" t="s">
        <v>646</v>
      </c>
      <c r="C21" s="211"/>
      <c r="D21" s="213">
        <v>662677</v>
      </c>
      <c r="E21" s="219">
        <v>24600</v>
      </c>
      <c r="F21" s="213">
        <v>16301854200</v>
      </c>
      <c r="G21" s="212">
        <v>9.7107089000214707E-3</v>
      </c>
    </row>
    <row r="22" spans="1:7" ht="34" customHeight="1">
      <c r="A22" s="210" t="s">
        <v>647</v>
      </c>
      <c r="B22" s="209" t="s">
        <v>648</v>
      </c>
      <c r="C22" s="211"/>
      <c r="D22" s="213">
        <v>526800</v>
      </c>
      <c r="E22" s="219">
        <v>37300</v>
      </c>
      <c r="F22" s="213">
        <v>19649640000</v>
      </c>
      <c r="G22" s="212">
        <v>1.17049221327362E-2</v>
      </c>
    </row>
    <row r="23" spans="1:7" ht="34" customHeight="1">
      <c r="A23" s="210" t="s">
        <v>649</v>
      </c>
      <c r="B23" s="209" t="s">
        <v>650</v>
      </c>
      <c r="C23" s="211"/>
      <c r="D23" s="213">
        <v>150000</v>
      </c>
      <c r="E23" s="219">
        <v>47700</v>
      </c>
      <c r="F23" s="213">
        <v>7155000000</v>
      </c>
      <c r="G23" s="212">
        <v>4.2620993493889502E-3</v>
      </c>
    </row>
    <row r="24" spans="1:7" ht="34" customHeight="1">
      <c r="A24" s="210" t="s">
        <v>651</v>
      </c>
      <c r="B24" s="209" t="s">
        <v>652</v>
      </c>
      <c r="C24" s="211"/>
      <c r="D24" s="213">
        <v>196800</v>
      </c>
      <c r="E24" s="219">
        <v>60300</v>
      </c>
      <c r="F24" s="213">
        <v>11867040000</v>
      </c>
      <c r="G24" s="212">
        <v>7.06897323035258E-3</v>
      </c>
    </row>
    <row r="25" spans="1:7" ht="34" customHeight="1">
      <c r="A25" s="210" t="s">
        <v>653</v>
      </c>
      <c r="B25" s="209" t="s">
        <v>654</v>
      </c>
      <c r="C25" s="211"/>
      <c r="D25" s="213">
        <v>396800</v>
      </c>
      <c r="E25" s="219">
        <v>27200</v>
      </c>
      <c r="F25" s="213">
        <v>10792960000</v>
      </c>
      <c r="G25" s="212">
        <v>6.4291639125060801E-3</v>
      </c>
    </row>
    <row r="26" spans="1:7" ht="34" customHeight="1">
      <c r="A26" s="210" t="s">
        <v>655</v>
      </c>
      <c r="B26" s="209" t="s">
        <v>656</v>
      </c>
      <c r="C26" s="211"/>
      <c r="D26" s="213">
        <v>212900</v>
      </c>
      <c r="E26" s="219">
        <v>89300</v>
      </c>
      <c r="F26" s="213">
        <v>19011970000</v>
      </c>
      <c r="G26" s="212">
        <v>1.1325074069546101E-2</v>
      </c>
    </row>
    <row r="27" spans="1:7" ht="34" customHeight="1">
      <c r="A27" s="210" t="s">
        <v>657</v>
      </c>
      <c r="B27" s="209" t="s">
        <v>658</v>
      </c>
      <c r="C27" s="211"/>
      <c r="D27" s="213">
        <v>257200</v>
      </c>
      <c r="E27" s="219">
        <v>58600</v>
      </c>
      <c r="F27" s="213">
        <v>15071920000</v>
      </c>
      <c r="G27" s="212">
        <v>8.9780601573783893E-3</v>
      </c>
    </row>
    <row r="28" spans="1:7" ht="34" customHeight="1">
      <c r="A28" s="210" t="s">
        <v>659</v>
      </c>
      <c r="B28" s="209" t="s">
        <v>660</v>
      </c>
      <c r="C28" s="211"/>
      <c r="D28" s="213">
        <v>400000</v>
      </c>
      <c r="E28" s="219">
        <v>44250</v>
      </c>
      <c r="F28" s="213">
        <v>17700000000</v>
      </c>
      <c r="G28" s="212">
        <v>1.05435581389496E-2</v>
      </c>
    </row>
    <row r="29" spans="1:7" ht="34" customHeight="1">
      <c r="A29" s="210" t="s">
        <v>661</v>
      </c>
      <c r="B29" s="209" t="s">
        <v>662</v>
      </c>
      <c r="C29" s="211"/>
      <c r="D29" s="213">
        <v>1101500</v>
      </c>
      <c r="E29" s="219">
        <v>24800</v>
      </c>
      <c r="F29" s="213">
        <v>27317200000</v>
      </c>
      <c r="G29" s="212">
        <v>1.62723438640291E-2</v>
      </c>
    </row>
    <row r="30" spans="1:7" ht="34" customHeight="1">
      <c r="A30" s="210" t="s">
        <v>663</v>
      </c>
      <c r="B30" s="209" t="s">
        <v>664</v>
      </c>
      <c r="C30" s="211"/>
      <c r="D30" s="213">
        <v>615700</v>
      </c>
      <c r="E30" s="219">
        <v>83500</v>
      </c>
      <c r="F30" s="213">
        <v>51410950000</v>
      </c>
      <c r="G30" s="212">
        <v>3.06245390002052E-2</v>
      </c>
    </row>
    <row r="31" spans="1:7" ht="34" customHeight="1">
      <c r="A31" s="210" t="s">
        <v>665</v>
      </c>
      <c r="B31" s="209" t="s">
        <v>666</v>
      </c>
      <c r="C31" s="211"/>
      <c r="D31" s="213">
        <v>226000</v>
      </c>
      <c r="E31" s="219">
        <v>72000</v>
      </c>
      <c r="F31" s="213">
        <v>16272000000</v>
      </c>
      <c r="G31" s="212">
        <v>9.69292531282419E-3</v>
      </c>
    </row>
    <row r="32" spans="1:7" ht="34" customHeight="1">
      <c r="A32" s="210" t="s">
        <v>667</v>
      </c>
      <c r="B32" s="209" t="s">
        <v>668</v>
      </c>
      <c r="C32" s="211"/>
      <c r="D32" s="213">
        <v>566800</v>
      </c>
      <c r="E32" s="219">
        <v>107500</v>
      </c>
      <c r="F32" s="213">
        <v>60931000000</v>
      </c>
      <c r="G32" s="212">
        <v>3.6295454291770599E-2</v>
      </c>
    </row>
    <row r="33" spans="1:7" ht="34" customHeight="1">
      <c r="A33" s="210" t="s">
        <v>669</v>
      </c>
      <c r="B33" s="209" t="s">
        <v>670</v>
      </c>
      <c r="C33" s="211"/>
      <c r="D33" s="213">
        <v>547800</v>
      </c>
      <c r="E33" s="219">
        <v>54000</v>
      </c>
      <c r="F33" s="213">
        <v>29581200000</v>
      </c>
      <c r="G33" s="212">
        <v>1.76209662158134E-2</v>
      </c>
    </row>
    <row r="34" spans="1:7" ht="34" customHeight="1">
      <c r="A34" s="210" t="s">
        <v>671</v>
      </c>
      <c r="B34" s="209" t="s">
        <v>672</v>
      </c>
      <c r="C34" s="211"/>
      <c r="D34" s="213">
        <v>158000</v>
      </c>
      <c r="E34" s="219">
        <v>66000</v>
      </c>
      <c r="F34" s="213">
        <v>10428000000</v>
      </c>
      <c r="G34" s="212">
        <v>6.2117640832184502E-3</v>
      </c>
    </row>
    <row r="35" spans="1:7" ht="34" customHeight="1">
      <c r="A35" s="210" t="s">
        <v>673</v>
      </c>
      <c r="B35" s="209" t="s">
        <v>674</v>
      </c>
      <c r="C35" s="211"/>
      <c r="D35" s="213">
        <v>679200</v>
      </c>
      <c r="E35" s="219">
        <v>46500</v>
      </c>
      <c r="F35" s="213">
        <v>31582800000</v>
      </c>
      <c r="G35" s="212">
        <v>1.8813281807390801E-2</v>
      </c>
    </row>
    <row r="36" spans="1:7" ht="34" customHeight="1">
      <c r="A36" s="210" t="s">
        <v>675</v>
      </c>
      <c r="B36" s="209" t="s">
        <v>676</v>
      </c>
      <c r="C36" s="211"/>
      <c r="D36" s="213">
        <v>826600</v>
      </c>
      <c r="E36" s="219">
        <v>52900</v>
      </c>
      <c r="F36" s="213">
        <v>43727140000</v>
      </c>
      <c r="G36" s="212">
        <v>2.6047437448587001E-2</v>
      </c>
    </row>
    <row r="37" spans="1:7" ht="34" customHeight="1">
      <c r="A37" s="210" t="s">
        <v>677</v>
      </c>
      <c r="B37" s="209" t="s">
        <v>678</v>
      </c>
      <c r="C37" s="211"/>
      <c r="D37" s="213">
        <v>1250437</v>
      </c>
      <c r="E37" s="219">
        <v>21500</v>
      </c>
      <c r="F37" s="213">
        <v>26884395500</v>
      </c>
      <c r="G37" s="212">
        <v>1.60145303381223E-2</v>
      </c>
    </row>
    <row r="38" spans="1:7" ht="34" customHeight="1">
      <c r="A38" s="210" t="s">
        <v>679</v>
      </c>
      <c r="B38" s="209" t="s">
        <v>680</v>
      </c>
      <c r="C38" s="211"/>
      <c r="D38" s="213">
        <v>316800</v>
      </c>
      <c r="E38" s="219">
        <v>61700</v>
      </c>
      <c r="F38" s="213">
        <v>19546560000</v>
      </c>
      <c r="G38" s="212">
        <v>1.1643519309404901E-2</v>
      </c>
    </row>
    <row r="39" spans="1:7" ht="34" customHeight="1">
      <c r="A39" s="210" t="s">
        <v>681</v>
      </c>
      <c r="B39" s="209" t="s">
        <v>682</v>
      </c>
      <c r="C39" s="211"/>
      <c r="D39" s="213">
        <v>468000</v>
      </c>
      <c r="E39" s="219">
        <v>18850</v>
      </c>
      <c r="F39" s="213">
        <v>8821800000</v>
      </c>
      <c r="G39" s="212">
        <v>5.2549808582025804E-3</v>
      </c>
    </row>
    <row r="40" spans="1:7" ht="34" customHeight="1">
      <c r="A40" s="210" t="s">
        <v>683</v>
      </c>
      <c r="B40" s="209" t="s">
        <v>684</v>
      </c>
      <c r="C40" s="211"/>
      <c r="D40" s="213">
        <v>570400</v>
      </c>
      <c r="E40" s="219">
        <v>37700</v>
      </c>
      <c r="F40" s="213">
        <v>21504080000</v>
      </c>
      <c r="G40" s="212">
        <v>1.28095772714477E-2</v>
      </c>
    </row>
    <row r="41" spans="1:7" ht="34" customHeight="1">
      <c r="A41" s="210" t="s">
        <v>685</v>
      </c>
      <c r="B41" s="209" t="s">
        <v>686</v>
      </c>
      <c r="C41" s="211"/>
      <c r="D41" s="213">
        <v>873122</v>
      </c>
      <c r="E41" s="219">
        <v>37500</v>
      </c>
      <c r="F41" s="213">
        <v>32742075000</v>
      </c>
      <c r="G41" s="212">
        <v>1.95038401893982E-2</v>
      </c>
    </row>
    <row r="42" spans="1:7" ht="34" customHeight="1">
      <c r="A42" s="210" t="s">
        <v>687</v>
      </c>
      <c r="B42" s="209" t="s">
        <v>688</v>
      </c>
      <c r="C42" s="211"/>
      <c r="D42" s="213">
        <v>3590919</v>
      </c>
      <c r="E42" s="219">
        <v>25650</v>
      </c>
      <c r="F42" s="213">
        <v>92107072350</v>
      </c>
      <c r="G42" s="212">
        <v>5.4866456063879299E-2</v>
      </c>
    </row>
    <row r="43" spans="1:7" ht="34" customHeight="1">
      <c r="A43" s="210" t="s">
        <v>689</v>
      </c>
      <c r="B43" s="209" t="s">
        <v>690</v>
      </c>
      <c r="C43" s="211"/>
      <c r="D43" s="213">
        <v>350900</v>
      </c>
      <c r="E43" s="219">
        <v>23300</v>
      </c>
      <c r="F43" s="213">
        <v>8175970000</v>
      </c>
      <c r="G43" s="212">
        <v>4.8702720360060897E-3</v>
      </c>
    </row>
    <row r="44" spans="1:7" ht="34" customHeight="1">
      <c r="A44" s="210" t="s">
        <v>691</v>
      </c>
      <c r="B44" s="209" t="s">
        <v>692</v>
      </c>
      <c r="C44" s="211"/>
      <c r="D44" s="213">
        <v>140900</v>
      </c>
      <c r="E44" s="219">
        <v>106100</v>
      </c>
      <c r="F44" s="213">
        <v>14949490000</v>
      </c>
      <c r="G44" s="212">
        <v>8.9051309018444002E-3</v>
      </c>
    </row>
    <row r="45" spans="1:7" ht="34" customHeight="1">
      <c r="A45" s="210" t="s">
        <v>693</v>
      </c>
      <c r="B45" s="209" t="s">
        <v>694</v>
      </c>
      <c r="C45" s="211"/>
      <c r="D45" s="213">
        <v>1207260</v>
      </c>
      <c r="E45" s="219">
        <v>61000</v>
      </c>
      <c r="F45" s="213">
        <v>73642860000</v>
      </c>
      <c r="G45" s="212">
        <v>4.3867670956414001E-2</v>
      </c>
    </row>
    <row r="46" spans="1:7" ht="34" customHeight="1">
      <c r="A46" s="210" t="s">
        <v>695</v>
      </c>
      <c r="B46" s="209" t="s">
        <v>696</v>
      </c>
      <c r="C46" s="211"/>
      <c r="D46" s="213">
        <v>364700</v>
      </c>
      <c r="E46" s="219">
        <v>26000</v>
      </c>
      <c r="F46" s="213">
        <v>9482200000</v>
      </c>
      <c r="G46" s="212">
        <v>5.6483687562230503E-3</v>
      </c>
    </row>
    <row r="47" spans="1:7" ht="34" customHeight="1">
      <c r="A47" s="210" t="s">
        <v>697</v>
      </c>
      <c r="B47" s="209" t="s">
        <v>698</v>
      </c>
      <c r="C47" s="211"/>
      <c r="D47" s="213">
        <v>710000</v>
      </c>
      <c r="E47" s="219">
        <v>28000</v>
      </c>
      <c r="F47" s="213">
        <v>19880000000</v>
      </c>
      <c r="G47" s="212">
        <v>1.1842143265667701E-2</v>
      </c>
    </row>
    <row r="48" spans="1:7" ht="34" customHeight="1">
      <c r="A48" s="210" t="s">
        <v>699</v>
      </c>
      <c r="B48" s="209" t="s">
        <v>700</v>
      </c>
      <c r="C48" s="211"/>
      <c r="D48" s="213">
        <v>923000</v>
      </c>
      <c r="E48" s="219">
        <v>114000</v>
      </c>
      <c r="F48" s="213">
        <v>105222000000</v>
      </c>
      <c r="G48" s="212">
        <v>6.2678772570426894E-2</v>
      </c>
    </row>
    <row r="49" spans="1:7" ht="34" customHeight="1">
      <c r="A49" s="210" t="s">
        <v>701</v>
      </c>
      <c r="B49" s="209" t="s">
        <v>702</v>
      </c>
      <c r="C49" s="211"/>
      <c r="D49" s="213">
        <v>70000</v>
      </c>
      <c r="E49" s="219">
        <v>60500</v>
      </c>
      <c r="F49" s="213">
        <v>4235000000</v>
      </c>
      <c r="G49" s="212">
        <v>2.52271009708766E-3</v>
      </c>
    </row>
    <row r="50" spans="1:7" ht="34" customHeight="1">
      <c r="A50" s="210" t="s">
        <v>703</v>
      </c>
      <c r="B50" s="209" t="s">
        <v>704</v>
      </c>
      <c r="C50" s="211"/>
      <c r="D50" s="213">
        <v>367100</v>
      </c>
      <c r="E50" s="219">
        <v>18900</v>
      </c>
      <c r="F50" s="213">
        <v>6938190000</v>
      </c>
      <c r="G50" s="212">
        <v>4.1329496974055798E-3</v>
      </c>
    </row>
    <row r="51" spans="1:7" ht="34" customHeight="1">
      <c r="A51" s="210" t="s">
        <v>705</v>
      </c>
      <c r="B51" s="209" t="s">
        <v>706</v>
      </c>
      <c r="C51" s="211"/>
      <c r="D51" s="213">
        <v>172000</v>
      </c>
      <c r="E51" s="219">
        <v>75200</v>
      </c>
      <c r="F51" s="213">
        <v>12934400000</v>
      </c>
      <c r="G51" s="212">
        <v>7.7047795701937804E-3</v>
      </c>
    </row>
    <row r="52" spans="1:7" ht="34" customHeight="1">
      <c r="A52" s="210" t="s">
        <v>707</v>
      </c>
      <c r="B52" s="209" t="s">
        <v>708</v>
      </c>
      <c r="C52" s="211"/>
      <c r="D52" s="213">
        <v>151800</v>
      </c>
      <c r="E52" s="219">
        <v>180000</v>
      </c>
      <c r="F52" s="213">
        <v>27324000000</v>
      </c>
      <c r="G52" s="212">
        <v>1.62763944965344E-2</v>
      </c>
    </row>
    <row r="53" spans="1:7" ht="34" customHeight="1">
      <c r="A53" s="210" t="s">
        <v>709</v>
      </c>
      <c r="B53" s="209" t="s">
        <v>710</v>
      </c>
      <c r="C53" s="211"/>
      <c r="D53" s="213">
        <v>566800</v>
      </c>
      <c r="E53" s="219">
        <v>13100</v>
      </c>
      <c r="F53" s="213">
        <v>7425080000</v>
      </c>
      <c r="G53" s="212">
        <v>4.4229809416018104E-3</v>
      </c>
    </row>
    <row r="54" spans="1:7" ht="34" customHeight="1">
      <c r="A54" s="210" t="s">
        <v>711</v>
      </c>
      <c r="B54" s="209" t="s">
        <v>712</v>
      </c>
      <c r="C54" s="211"/>
      <c r="D54" s="213">
        <v>1775800</v>
      </c>
      <c r="E54" s="219">
        <v>21350</v>
      </c>
      <c r="F54" s="213">
        <v>37913330000</v>
      </c>
      <c r="G54" s="212">
        <v>2.2584259835942502E-2</v>
      </c>
    </row>
    <row r="55" spans="1:7" ht="34" customHeight="1">
      <c r="A55" s="210" t="s">
        <v>713</v>
      </c>
      <c r="B55" s="209" t="s">
        <v>714</v>
      </c>
      <c r="C55" s="211"/>
      <c r="D55" s="213">
        <v>1830000</v>
      </c>
      <c r="E55" s="219">
        <v>24700</v>
      </c>
      <c r="F55" s="213">
        <v>45201000000</v>
      </c>
      <c r="G55" s="212">
        <v>2.69253882168735E-2</v>
      </c>
    </row>
    <row r="56" spans="1:7" ht="34" customHeight="1">
      <c r="A56" s="210" t="s">
        <v>715</v>
      </c>
      <c r="B56" s="209" t="s">
        <v>716</v>
      </c>
      <c r="C56" s="211"/>
      <c r="D56" s="213">
        <v>2416820</v>
      </c>
      <c r="E56" s="219">
        <v>37900</v>
      </c>
      <c r="F56" s="213">
        <v>91597478000</v>
      </c>
      <c r="G56" s="212">
        <v>5.4562900264076702E-2</v>
      </c>
    </row>
    <row r="57" spans="1:7" ht="34" customHeight="1">
      <c r="A57" s="210" t="s">
        <v>717</v>
      </c>
      <c r="B57" s="209" t="s">
        <v>718</v>
      </c>
      <c r="C57" s="211"/>
      <c r="D57" s="213">
        <v>80000</v>
      </c>
      <c r="E57" s="219">
        <v>27300</v>
      </c>
      <c r="F57" s="213">
        <v>2184000000</v>
      </c>
      <c r="G57" s="212">
        <v>1.3009678517212401E-3</v>
      </c>
    </row>
    <row r="58" spans="1:7" ht="34" customHeight="1">
      <c r="A58" s="210" t="s">
        <v>719</v>
      </c>
      <c r="B58" s="209" t="s">
        <v>720</v>
      </c>
      <c r="C58" s="211"/>
      <c r="D58" s="213">
        <v>819357</v>
      </c>
      <c r="E58" s="219">
        <v>74700</v>
      </c>
      <c r="F58" s="213">
        <v>61205967900</v>
      </c>
      <c r="G58" s="212">
        <v>3.6459247514369103E-2</v>
      </c>
    </row>
    <row r="59" spans="1:7" ht="34" customHeight="1">
      <c r="A59" s="210" t="s">
        <v>721</v>
      </c>
      <c r="B59" s="209" t="s">
        <v>722</v>
      </c>
      <c r="C59" s="211"/>
      <c r="D59" s="213">
        <v>568000</v>
      </c>
      <c r="E59" s="219">
        <v>40500</v>
      </c>
      <c r="F59" s="213">
        <v>23004000000</v>
      </c>
      <c r="G59" s="212">
        <v>1.37030514931298E-2</v>
      </c>
    </row>
    <row r="60" spans="1:7" ht="34" customHeight="1">
      <c r="A60" s="210" t="s">
        <v>723</v>
      </c>
      <c r="B60" s="209" t="s">
        <v>724</v>
      </c>
      <c r="C60" s="211"/>
      <c r="D60" s="213">
        <v>618000</v>
      </c>
      <c r="E60" s="219">
        <v>61200</v>
      </c>
      <c r="F60" s="213">
        <v>37821600000</v>
      </c>
      <c r="G60" s="212">
        <v>2.25296179948077E-2</v>
      </c>
    </row>
    <row r="61" spans="1:7" ht="34" customHeight="1">
      <c r="A61" s="210" t="s">
        <v>725</v>
      </c>
      <c r="B61" s="209" t="s">
        <v>726</v>
      </c>
      <c r="C61" s="211"/>
      <c r="D61" s="213">
        <v>582600</v>
      </c>
      <c r="E61" s="219">
        <v>82400</v>
      </c>
      <c r="F61" s="213">
        <v>48006240000</v>
      </c>
      <c r="G61" s="212">
        <v>2.8596417088834401E-2</v>
      </c>
    </row>
    <row r="62" spans="1:7" ht="34" customHeight="1">
      <c r="A62" s="210" t="s">
        <v>727</v>
      </c>
      <c r="B62" s="209" t="s">
        <v>728</v>
      </c>
      <c r="C62" s="211"/>
      <c r="D62" s="213">
        <v>59500</v>
      </c>
      <c r="E62" s="219">
        <v>59900</v>
      </c>
      <c r="F62" s="213">
        <v>3564050000</v>
      </c>
      <c r="G62" s="212">
        <v>2.1230377618713801E-3</v>
      </c>
    </row>
    <row r="63" spans="1:7" ht="34" customHeight="1">
      <c r="A63" s="210" t="s">
        <v>729</v>
      </c>
      <c r="B63" s="209" t="s">
        <v>730</v>
      </c>
      <c r="C63" s="211"/>
      <c r="D63" s="213">
        <v>80000</v>
      </c>
      <c r="E63" s="219">
        <v>26600</v>
      </c>
      <c r="F63" s="213">
        <v>2128000000</v>
      </c>
      <c r="G63" s="212">
        <v>1.2676097016771099E-3</v>
      </c>
    </row>
    <row r="64" spans="1:7" ht="34" customHeight="1">
      <c r="A64" s="210" t="s">
        <v>731</v>
      </c>
      <c r="B64" s="209" t="s">
        <v>732</v>
      </c>
      <c r="C64" s="211"/>
      <c r="D64" s="213">
        <v>466800</v>
      </c>
      <c r="E64" s="219">
        <v>19100</v>
      </c>
      <c r="F64" s="213">
        <v>8915880000</v>
      </c>
      <c r="G64" s="212">
        <v>5.3110225502767299E-3</v>
      </c>
    </row>
    <row r="65" spans="1:7" ht="34" customHeight="1">
      <c r="A65" s="210" t="s">
        <v>733</v>
      </c>
      <c r="B65" s="209" t="s">
        <v>734</v>
      </c>
      <c r="C65" s="211"/>
      <c r="D65" s="213">
        <v>450225</v>
      </c>
      <c r="E65" s="219">
        <v>28700</v>
      </c>
      <c r="F65" s="213">
        <v>12921457500</v>
      </c>
      <c r="G65" s="212">
        <v>7.6970699656054497E-3</v>
      </c>
    </row>
    <row r="66" spans="1:7" ht="34" customHeight="1">
      <c r="A66" s="210" t="s">
        <v>735</v>
      </c>
      <c r="B66" s="209" t="s">
        <v>736</v>
      </c>
      <c r="C66" s="211"/>
      <c r="D66" s="213">
        <v>14490</v>
      </c>
      <c r="E66" s="219">
        <v>37450</v>
      </c>
      <c r="F66" s="213">
        <v>542650500</v>
      </c>
      <c r="G66" s="212">
        <v>3.2324672858079499E-4</v>
      </c>
    </row>
    <row r="67" spans="1:7" ht="34" customHeight="1">
      <c r="A67" s="210" t="s">
        <v>737</v>
      </c>
      <c r="B67" s="209" t="s">
        <v>738</v>
      </c>
      <c r="C67" s="211"/>
      <c r="D67" s="213">
        <v>399900</v>
      </c>
      <c r="E67" s="219">
        <v>39300</v>
      </c>
      <c r="F67" s="213">
        <v>15716070000</v>
      </c>
      <c r="G67" s="212">
        <v>9.3617682350735504E-3</v>
      </c>
    </row>
    <row r="68" spans="1:7" ht="39" customHeight="1">
      <c r="A68" s="215"/>
      <c r="B68" s="214" t="s">
        <v>739</v>
      </c>
      <c r="C68" s="215"/>
      <c r="D68" s="217"/>
      <c r="E68" s="217"/>
      <c r="F68" s="217">
        <v>1271337570950</v>
      </c>
      <c r="G68" s="216">
        <v>0.75731195443741905</v>
      </c>
    </row>
    <row r="69" spans="1:7" ht="61" customHeight="1">
      <c r="A69" s="215" t="s">
        <v>54</v>
      </c>
      <c r="B69" s="214" t="s">
        <v>850</v>
      </c>
      <c r="C69" s="215"/>
      <c r="D69" s="217"/>
      <c r="E69" s="217"/>
      <c r="F69" s="217"/>
      <c r="G69" s="216"/>
    </row>
    <row r="70" spans="1:7" ht="39" customHeight="1">
      <c r="A70" s="215"/>
      <c r="B70" s="214" t="s">
        <v>740</v>
      </c>
      <c r="C70" s="215"/>
      <c r="D70" s="217">
        <v>0</v>
      </c>
      <c r="E70" s="217"/>
      <c r="F70" s="217">
        <v>0</v>
      </c>
      <c r="G70" s="216">
        <v>0</v>
      </c>
    </row>
    <row r="71" spans="1:7" ht="39" customHeight="1">
      <c r="A71" s="215"/>
      <c r="B71" s="214" t="s">
        <v>741</v>
      </c>
      <c r="C71" s="215"/>
      <c r="D71" s="217"/>
      <c r="E71" s="217"/>
      <c r="F71" s="217">
        <v>1271337570950</v>
      </c>
      <c r="G71" s="216">
        <v>0.75731195443741905</v>
      </c>
    </row>
    <row r="72" spans="1:7" ht="39" customHeight="1">
      <c r="A72" s="215" t="s">
        <v>55</v>
      </c>
      <c r="B72" s="214" t="s">
        <v>742</v>
      </c>
      <c r="C72" s="215"/>
      <c r="D72" s="217"/>
      <c r="E72" s="217"/>
      <c r="F72" s="217"/>
      <c r="G72" s="216"/>
    </row>
    <row r="73" spans="1:7" ht="39" customHeight="1">
      <c r="A73" s="210" t="s">
        <v>743</v>
      </c>
      <c r="B73" s="209" t="s">
        <v>744</v>
      </c>
      <c r="C73" s="211"/>
      <c r="D73" s="213"/>
      <c r="E73" s="219"/>
      <c r="F73" s="213">
        <v>30062400000</v>
      </c>
      <c r="G73" s="212">
        <v>1.7907608033692599E-2</v>
      </c>
    </row>
    <row r="74" spans="1:7" ht="34" customHeight="1">
      <c r="A74" s="210" t="s">
        <v>745</v>
      </c>
      <c r="B74" s="209" t="s">
        <v>746</v>
      </c>
      <c r="C74" s="211"/>
      <c r="D74" s="213">
        <v>300000</v>
      </c>
      <c r="E74" s="219">
        <v>100208</v>
      </c>
      <c r="F74" s="213">
        <v>30062400000</v>
      </c>
      <c r="G74" s="212">
        <v>1.7907608033692599E-2</v>
      </c>
    </row>
    <row r="75" spans="1:7" ht="39" customHeight="1">
      <c r="A75" s="210" t="s">
        <v>747</v>
      </c>
      <c r="B75" s="209" t="s">
        <v>748</v>
      </c>
      <c r="C75" s="211"/>
      <c r="D75" s="213"/>
      <c r="E75" s="219"/>
      <c r="F75" s="213">
        <v>89993424600</v>
      </c>
      <c r="G75" s="212">
        <v>5.3607395728433802E-2</v>
      </c>
    </row>
    <row r="76" spans="1:7" ht="34" customHeight="1">
      <c r="A76" s="210" t="s">
        <v>749</v>
      </c>
      <c r="B76" s="209" t="s">
        <v>750</v>
      </c>
      <c r="C76" s="211"/>
      <c r="D76" s="213">
        <v>200</v>
      </c>
      <c r="E76" s="219">
        <v>99967123</v>
      </c>
      <c r="F76" s="213">
        <v>19993424600</v>
      </c>
      <c r="G76" s="212">
        <v>1.1909708173265801E-2</v>
      </c>
    </row>
    <row r="77" spans="1:7" ht="34" customHeight="1">
      <c r="A77" s="210" t="s">
        <v>751</v>
      </c>
      <c r="B77" s="209" t="s">
        <v>752</v>
      </c>
      <c r="C77" s="211"/>
      <c r="D77" s="213">
        <v>30</v>
      </c>
      <c r="E77" s="219">
        <v>1000000000</v>
      </c>
      <c r="F77" s="213">
        <v>30000000000</v>
      </c>
      <c r="G77" s="212">
        <v>1.7870437523643399E-2</v>
      </c>
    </row>
    <row r="78" spans="1:7" ht="34" customHeight="1">
      <c r="A78" s="210" t="s">
        <v>753</v>
      </c>
      <c r="B78" s="209" t="s">
        <v>754</v>
      </c>
      <c r="C78" s="211"/>
      <c r="D78" s="213">
        <v>200</v>
      </c>
      <c r="E78" s="219">
        <v>100000000</v>
      </c>
      <c r="F78" s="213">
        <v>20000000000</v>
      </c>
      <c r="G78" s="212">
        <v>1.19136250157623E-2</v>
      </c>
    </row>
    <row r="79" spans="1:7" ht="34" customHeight="1">
      <c r="A79" s="210" t="s">
        <v>755</v>
      </c>
      <c r="B79" s="209" t="s">
        <v>756</v>
      </c>
      <c r="C79" s="211"/>
      <c r="D79" s="213">
        <v>200</v>
      </c>
      <c r="E79" s="219">
        <v>100000000</v>
      </c>
      <c r="F79" s="213">
        <v>20000000000</v>
      </c>
      <c r="G79" s="212">
        <v>1.19136250157623E-2</v>
      </c>
    </row>
    <row r="80" spans="1:7" ht="39" customHeight="1">
      <c r="A80" s="215"/>
      <c r="B80" s="214" t="s">
        <v>757</v>
      </c>
      <c r="C80" s="215"/>
      <c r="D80" s="217"/>
      <c r="E80" s="217"/>
      <c r="F80" s="217">
        <v>120055824600</v>
      </c>
      <c r="G80" s="216">
        <v>7.1515003762126397E-2</v>
      </c>
    </row>
    <row r="81" spans="1:7" ht="39" customHeight="1">
      <c r="A81" s="215" t="s">
        <v>56</v>
      </c>
      <c r="B81" s="214" t="s">
        <v>758</v>
      </c>
      <c r="C81" s="215"/>
      <c r="D81" s="217"/>
      <c r="E81" s="217"/>
      <c r="F81" s="217"/>
      <c r="G81" s="216"/>
    </row>
    <row r="82" spans="1:7" ht="39" customHeight="1">
      <c r="A82" s="210" t="s">
        <v>759</v>
      </c>
      <c r="B82" s="209" t="s">
        <v>760</v>
      </c>
      <c r="C82" s="211"/>
      <c r="D82" s="213">
        <v>0</v>
      </c>
      <c r="E82" s="219"/>
      <c r="F82" s="213">
        <v>0</v>
      </c>
      <c r="G82" s="212">
        <v>0</v>
      </c>
    </row>
    <row r="83" spans="1:7" ht="39" customHeight="1">
      <c r="A83" s="210" t="s">
        <v>761</v>
      </c>
      <c r="B83" s="209" t="s">
        <v>762</v>
      </c>
      <c r="C83" s="211"/>
      <c r="D83" s="213">
        <v>0</v>
      </c>
      <c r="E83" s="219"/>
      <c r="F83" s="213">
        <v>0</v>
      </c>
      <c r="G83" s="212">
        <v>0</v>
      </c>
    </row>
    <row r="84" spans="1:7" ht="34" customHeight="1">
      <c r="A84" s="215"/>
      <c r="B84" s="214" t="s">
        <v>763</v>
      </c>
      <c r="C84" s="215"/>
      <c r="D84" s="217"/>
      <c r="E84" s="217"/>
      <c r="F84" s="217">
        <v>0</v>
      </c>
      <c r="G84" s="216">
        <v>0</v>
      </c>
    </row>
    <row r="85" spans="1:7" ht="39" customHeight="1">
      <c r="A85" s="215"/>
      <c r="B85" s="214" t="s">
        <v>764</v>
      </c>
      <c r="C85" s="215"/>
      <c r="D85" s="217"/>
      <c r="E85" s="217"/>
      <c r="F85" s="217">
        <v>1391393395550</v>
      </c>
      <c r="G85" s="216">
        <v>0.82882695819954499</v>
      </c>
    </row>
    <row r="86" spans="1:7" ht="39" customHeight="1">
      <c r="A86" s="215" t="s">
        <v>57</v>
      </c>
      <c r="B86" s="214" t="s">
        <v>765</v>
      </c>
      <c r="C86" s="215"/>
      <c r="D86" s="217"/>
      <c r="E86" s="217"/>
      <c r="F86" s="217"/>
      <c r="G86" s="216"/>
    </row>
    <row r="87" spans="1:7" ht="39" customHeight="1">
      <c r="A87" s="210" t="s">
        <v>766</v>
      </c>
      <c r="B87" s="209" t="s">
        <v>767</v>
      </c>
      <c r="C87" s="211"/>
      <c r="D87" s="213"/>
      <c r="E87" s="219"/>
      <c r="F87" s="213">
        <v>3341160000</v>
      </c>
      <c r="G87" s="212">
        <v>1.9902663678832101E-3</v>
      </c>
    </row>
    <row r="88" spans="1:7" ht="39" customHeight="1">
      <c r="A88" s="210" t="s">
        <v>768</v>
      </c>
      <c r="B88" s="209" t="s">
        <v>769</v>
      </c>
      <c r="C88" s="211"/>
      <c r="D88" s="213"/>
      <c r="E88" s="219"/>
      <c r="F88" s="213">
        <v>2118767124</v>
      </c>
      <c r="G88" s="212">
        <v>1.2621098505530501E-3</v>
      </c>
    </row>
    <row r="89" spans="1:7" ht="47.15" customHeight="1">
      <c r="A89" s="210" t="s">
        <v>770</v>
      </c>
      <c r="B89" s="209" t="s">
        <v>771</v>
      </c>
      <c r="C89" s="211"/>
      <c r="D89" s="213"/>
      <c r="E89" s="219"/>
      <c r="F89" s="213">
        <v>265835616</v>
      </c>
      <c r="G89" s="212">
        <v>1.5835329224290901E-4</v>
      </c>
    </row>
    <row r="90" spans="1:7" ht="45" customHeight="1">
      <c r="A90" s="210" t="s">
        <v>772</v>
      </c>
      <c r="B90" s="209" t="s">
        <v>773</v>
      </c>
      <c r="C90" s="211"/>
      <c r="D90" s="213"/>
      <c r="E90" s="219"/>
      <c r="F90" s="213">
        <v>83396335000</v>
      </c>
      <c r="G90" s="212">
        <v>4.9677633143944598E-2</v>
      </c>
    </row>
    <row r="91" spans="1:7" ht="57" customHeight="1">
      <c r="A91" s="210" t="s">
        <v>774</v>
      </c>
      <c r="B91" s="209" t="s">
        <v>775</v>
      </c>
      <c r="C91" s="211"/>
      <c r="D91" s="213"/>
      <c r="E91" s="219"/>
      <c r="F91" s="213">
        <v>0</v>
      </c>
      <c r="G91" s="212">
        <v>0</v>
      </c>
    </row>
    <row r="92" spans="1:7" ht="39" customHeight="1">
      <c r="A92" s="210" t="s">
        <v>776</v>
      </c>
      <c r="B92" s="209" t="s">
        <v>777</v>
      </c>
      <c r="C92" s="211"/>
      <c r="D92" s="213"/>
      <c r="E92" s="219"/>
      <c r="F92" s="213">
        <v>-866400000</v>
      </c>
      <c r="G92" s="212">
        <v>-5.1609823568282199E-4</v>
      </c>
    </row>
    <row r="93" spans="1:7" ht="39" customHeight="1">
      <c r="A93" s="210" t="s">
        <v>778</v>
      </c>
      <c r="B93" s="209" t="s">
        <v>779</v>
      </c>
      <c r="C93" s="211"/>
      <c r="D93" s="213"/>
      <c r="E93" s="219"/>
      <c r="F93" s="213">
        <v>0</v>
      </c>
      <c r="G93" s="212">
        <v>0</v>
      </c>
    </row>
    <row r="94" spans="1:7" ht="39" customHeight="1">
      <c r="A94" s="215"/>
      <c r="B94" s="214" t="s">
        <v>780</v>
      </c>
      <c r="C94" s="215"/>
      <c r="D94" s="217"/>
      <c r="E94" s="217"/>
      <c r="F94" s="217">
        <v>88255697740</v>
      </c>
      <c r="G94" s="216">
        <v>5.2572264418940903E-2</v>
      </c>
    </row>
    <row r="95" spans="1:7" ht="39" customHeight="1">
      <c r="A95" s="215" t="s">
        <v>58</v>
      </c>
      <c r="B95" s="214" t="s">
        <v>781</v>
      </c>
      <c r="C95" s="215"/>
      <c r="D95" s="217"/>
      <c r="E95" s="217"/>
      <c r="F95" s="217"/>
      <c r="G95" s="216"/>
    </row>
    <row r="96" spans="1:7" ht="39" customHeight="1">
      <c r="A96" s="210" t="s">
        <v>269</v>
      </c>
      <c r="B96" s="209" t="s">
        <v>851</v>
      </c>
      <c r="C96" s="211"/>
      <c r="D96" s="213"/>
      <c r="E96" s="219"/>
      <c r="F96" s="213">
        <v>189101074987</v>
      </c>
      <c r="G96" s="237">
        <v>0.112643964873633</v>
      </c>
    </row>
    <row r="97" spans="1:7" ht="39" customHeight="1">
      <c r="A97" s="210" t="s">
        <v>782</v>
      </c>
      <c r="B97" s="209" t="s">
        <v>783</v>
      </c>
      <c r="C97" s="211"/>
      <c r="D97" s="213"/>
      <c r="E97" s="219"/>
      <c r="F97" s="213">
        <v>189101074987</v>
      </c>
      <c r="G97" s="212">
        <v>0.112643964873633</v>
      </c>
    </row>
    <row r="98" spans="1:7" ht="39" customHeight="1">
      <c r="A98" s="210" t="s">
        <v>784</v>
      </c>
      <c r="B98" s="209" t="s">
        <v>785</v>
      </c>
      <c r="C98" s="211"/>
      <c r="D98" s="213"/>
      <c r="E98" s="219"/>
      <c r="F98" s="213">
        <v>0</v>
      </c>
      <c r="G98" s="212">
        <v>0</v>
      </c>
    </row>
    <row r="99" spans="1:7" ht="39" customHeight="1">
      <c r="A99" s="238">
        <v>2</v>
      </c>
      <c r="B99" s="209" t="s">
        <v>852</v>
      </c>
      <c r="C99" s="211"/>
      <c r="D99" s="213"/>
      <c r="E99" s="219"/>
      <c r="F99" s="213">
        <v>0</v>
      </c>
      <c r="G99" s="212">
        <v>0</v>
      </c>
    </row>
    <row r="100" spans="1:7" ht="39" customHeight="1">
      <c r="A100" s="238">
        <v>3</v>
      </c>
      <c r="B100" s="209" t="s">
        <v>786</v>
      </c>
      <c r="C100" s="211"/>
      <c r="D100" s="213"/>
      <c r="E100" s="219"/>
      <c r="F100" s="213">
        <v>10000000000</v>
      </c>
      <c r="G100" s="212">
        <v>5.9568125078811396E-3</v>
      </c>
    </row>
    <row r="101" spans="1:7" ht="39" customHeight="1">
      <c r="A101" s="238">
        <v>4</v>
      </c>
      <c r="B101" s="209" t="s">
        <v>787</v>
      </c>
      <c r="C101" s="211"/>
      <c r="D101" s="213"/>
      <c r="E101" s="219"/>
      <c r="F101" s="213">
        <v>0</v>
      </c>
      <c r="G101" s="212">
        <v>0</v>
      </c>
    </row>
    <row r="102" spans="1:7" ht="39" customHeight="1">
      <c r="A102" s="215"/>
      <c r="B102" s="214" t="s">
        <v>788</v>
      </c>
      <c r="C102" s="215"/>
      <c r="D102" s="217"/>
      <c r="E102" s="217"/>
      <c r="F102" s="217">
        <v>199101074987</v>
      </c>
      <c r="G102" s="239">
        <v>0.11860077738151414</v>
      </c>
    </row>
    <row r="103" spans="1:7" ht="39" customHeight="1">
      <c r="A103" s="215" t="s">
        <v>59</v>
      </c>
      <c r="B103" s="214" t="s">
        <v>789</v>
      </c>
      <c r="C103" s="215"/>
      <c r="D103" s="217"/>
      <c r="E103" s="217"/>
      <c r="F103" s="217">
        <v>1678750168277</v>
      </c>
      <c r="G103" s="216">
        <v>1</v>
      </c>
    </row>
    <row r="104" spans="1:7" ht="16.899999999999999" customHeight="1">
      <c r="A104" s="160"/>
      <c r="B104" s="107"/>
      <c r="C104" s="107"/>
      <c r="D104" s="107"/>
      <c r="E104" s="70"/>
      <c r="F104" s="107"/>
    </row>
    <row r="105" spans="1:7" ht="16.899999999999999" customHeight="1">
      <c r="A105" s="70" t="s">
        <v>10</v>
      </c>
      <c r="B105" s="107"/>
      <c r="C105" s="107"/>
      <c r="D105" s="107"/>
      <c r="E105" s="70" t="s">
        <v>11</v>
      </c>
      <c r="F105" s="107"/>
    </row>
    <row r="106" spans="1:7" ht="16.899999999999999" customHeight="1">
      <c r="A106" s="71" t="s">
        <v>12</v>
      </c>
      <c r="B106" s="107"/>
      <c r="C106" s="107"/>
      <c r="D106" s="107"/>
      <c r="E106" s="71" t="s">
        <v>13</v>
      </c>
      <c r="F106" s="107"/>
    </row>
    <row r="107" spans="1:7" ht="16.899999999999999" customHeight="1"/>
    <row r="108" spans="1:7" ht="16.899999999999999" customHeight="1">
      <c r="A108" s="99"/>
      <c r="E108" s="99"/>
    </row>
    <row r="109" spans="1:7" ht="16.899999999999999" customHeight="1"/>
    <row r="110" spans="1:7" ht="16.899999999999999" customHeight="1"/>
    <row r="111" spans="1:7" ht="16.899999999999999" customHeight="1"/>
    <row r="112" spans="1:7" ht="16.899999999999999" customHeight="1"/>
    <row r="113" spans="1:7" ht="16.899999999999999" customHeight="1"/>
    <row r="114" spans="1:7" ht="16.899999999999999" customHeight="1"/>
    <row r="115" spans="1:7" ht="16.899999999999999" customHeight="1">
      <c r="A115" s="108" t="s">
        <v>14</v>
      </c>
      <c r="B115" s="103"/>
      <c r="C115" s="103"/>
      <c r="E115" s="108" t="s">
        <v>792</v>
      </c>
      <c r="F115" s="103"/>
      <c r="G115" s="103"/>
    </row>
    <row r="116" spans="1:7" ht="16.899999999999999" customHeight="1">
      <c r="A116" s="109" t="s">
        <v>800</v>
      </c>
      <c r="E116" s="109" t="s">
        <v>801</v>
      </c>
    </row>
    <row r="117" spans="1:7" ht="16.899999999999999" customHeight="1">
      <c r="A117" s="110" t="s">
        <v>802</v>
      </c>
      <c r="E117" s="111" t="s">
        <v>803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activeCell="A5" sqref="A5:K5"/>
    </sheetView>
  </sheetViews>
  <sheetFormatPr defaultColWidth="9.1796875" defaultRowHeight="14.5"/>
  <cols>
    <col min="1" max="1" width="4.81640625" style="198" customWidth="1"/>
    <col min="2" max="2" width="34.453125" style="163" customWidth="1"/>
    <col min="3" max="4" width="9.1796875" style="163"/>
    <col min="5" max="5" width="12.26953125" style="163" customWidth="1"/>
    <col min="6" max="6" width="9.1796875" style="163"/>
    <col min="7" max="7" width="15.26953125" style="163" customWidth="1"/>
    <col min="8" max="11" width="19" style="163" customWidth="1"/>
    <col min="12" max="16384" width="9.1796875" style="163"/>
  </cols>
  <sheetData>
    <row r="1" spans="1:11" s="162" customFormat="1" ht="26.25" customHeight="1">
      <c r="A1" s="288" t="s">
        <v>815</v>
      </c>
      <c r="B1" s="288"/>
      <c r="C1" s="288"/>
      <c r="D1" s="288"/>
      <c r="E1" s="288"/>
      <c r="F1" s="288"/>
      <c r="G1" s="288"/>
      <c r="H1" s="288"/>
      <c r="I1" s="288"/>
      <c r="J1" s="288"/>
      <c r="K1" s="288"/>
    </row>
    <row r="2" spans="1:11" ht="49" customHeight="1">
      <c r="A2" s="289" t="s">
        <v>816</v>
      </c>
      <c r="B2" s="289"/>
      <c r="C2" s="289"/>
      <c r="D2" s="289"/>
      <c r="E2" s="289"/>
      <c r="F2" s="289"/>
      <c r="G2" s="289"/>
      <c r="H2" s="289"/>
      <c r="I2" s="289"/>
      <c r="J2" s="289"/>
      <c r="K2" s="289"/>
    </row>
    <row r="3" spans="1:11" ht="19.149999999999999" customHeight="1">
      <c r="A3" s="290" t="s">
        <v>817</v>
      </c>
      <c r="B3" s="290"/>
      <c r="C3" s="290"/>
      <c r="D3" s="290"/>
      <c r="E3" s="290"/>
      <c r="F3" s="290"/>
      <c r="G3" s="290"/>
      <c r="H3" s="290"/>
      <c r="I3" s="290"/>
      <c r="J3" s="290"/>
      <c r="K3" s="290"/>
    </row>
    <row r="4" spans="1:11" ht="21.65" customHeight="1">
      <c r="A4" s="290"/>
      <c r="B4" s="290"/>
      <c r="C4" s="290"/>
      <c r="D4" s="290"/>
      <c r="E4" s="290"/>
      <c r="F4" s="290"/>
      <c r="G4" s="290"/>
      <c r="H4" s="290"/>
      <c r="I4" s="290"/>
      <c r="J4" s="290"/>
      <c r="K4" s="290"/>
    </row>
    <row r="5" spans="1:11">
      <c r="A5" s="291" t="str">
        <f>TONGQUAN!C2</f>
        <v>Tháng 07 năm 2022
/ Jul 2022</v>
      </c>
      <c r="B5" s="291"/>
      <c r="C5" s="291"/>
      <c r="D5" s="291"/>
      <c r="E5" s="291"/>
      <c r="F5" s="291"/>
      <c r="G5" s="291"/>
      <c r="H5" s="291"/>
      <c r="I5" s="291"/>
      <c r="J5" s="291"/>
      <c r="K5" s="291"/>
    </row>
    <row r="6" spans="1:11">
      <c r="A6" s="164"/>
      <c r="B6" s="164"/>
      <c r="C6" s="164"/>
      <c r="D6" s="164"/>
      <c r="E6" s="164"/>
      <c r="F6" s="165"/>
      <c r="G6" s="166"/>
      <c r="H6" s="166"/>
      <c r="I6" s="166"/>
      <c r="J6" s="166"/>
      <c r="K6" s="166"/>
    </row>
    <row r="7" spans="1:11">
      <c r="A7" s="292" t="s">
        <v>2</v>
      </c>
      <c r="B7" s="293"/>
      <c r="C7" s="167"/>
      <c r="D7" s="167"/>
      <c r="E7" s="167"/>
      <c r="F7" s="167"/>
      <c r="G7" s="280" t="str">
        <f>TONGQUAN!D5</f>
        <v>Công ty Cổ phần Quản lý Quỹ Đầu tư Dragon Capital Việt Nam</v>
      </c>
      <c r="H7" s="280"/>
      <c r="I7" s="280"/>
      <c r="J7" s="280"/>
      <c r="K7" s="166"/>
    </row>
    <row r="8" spans="1:11" ht="15" customHeight="1">
      <c r="A8" s="285" t="s">
        <v>41</v>
      </c>
      <c r="B8" s="285"/>
      <c r="C8" s="167"/>
      <c r="D8" s="167"/>
      <c r="E8" s="167"/>
      <c r="F8" s="167"/>
      <c r="G8" s="281" t="str">
        <f>TONGQUAN!D6</f>
        <v>Dragon Capital Vietfund Management Joint Stock Company</v>
      </c>
      <c r="H8" s="281"/>
      <c r="I8" s="281"/>
      <c r="J8" s="281"/>
      <c r="K8" s="166"/>
    </row>
    <row r="9" spans="1:11">
      <c r="A9" s="278" t="s">
        <v>3</v>
      </c>
      <c r="B9" s="286"/>
      <c r="C9" s="167"/>
      <c r="D9" s="167"/>
      <c r="E9" s="167"/>
      <c r="F9" s="167"/>
      <c r="G9" s="287" t="str">
        <f>TONGQUAN!D7</f>
        <v>Ngân hàng TNHH Một thành viên Standard Chartered (Việt Nam)</v>
      </c>
      <c r="H9" s="287"/>
      <c r="I9" s="287"/>
      <c r="J9" s="287"/>
      <c r="K9" s="166"/>
    </row>
    <row r="10" spans="1:11" ht="15" customHeight="1">
      <c r="A10" s="286" t="s">
        <v>4</v>
      </c>
      <c r="B10" s="286"/>
      <c r="C10" s="167"/>
      <c r="D10" s="167"/>
      <c r="E10" s="167"/>
      <c r="F10" s="167"/>
      <c r="G10" s="281" t="str">
        <f>TONGQUAN!D8</f>
        <v>Standard Chartered Bank (Vietnam) Limited</v>
      </c>
      <c r="H10" s="281"/>
      <c r="I10" s="281"/>
      <c r="J10" s="281"/>
      <c r="K10" s="166"/>
    </row>
    <row r="11" spans="1:11" ht="15" customHeight="1">
      <c r="A11" s="278" t="s">
        <v>5</v>
      </c>
      <c r="B11" s="279"/>
      <c r="C11" s="167"/>
      <c r="D11" s="167"/>
      <c r="E11" s="167"/>
      <c r="F11" s="167"/>
      <c r="G11" s="280" t="str">
        <f>TONGQUAN!D9</f>
        <v>Quỹ Đầu tư Chứng khoán Năng động DC</v>
      </c>
      <c r="H11" s="280"/>
      <c r="I11" s="280"/>
      <c r="J11" s="280"/>
      <c r="K11" s="166"/>
    </row>
    <row r="12" spans="1:11" ht="15" customHeight="1">
      <c r="A12" s="168" t="s">
        <v>476</v>
      </c>
      <c r="B12" s="169"/>
      <c r="C12" s="167"/>
      <c r="D12" s="167"/>
      <c r="E12" s="167"/>
      <c r="F12" s="167"/>
      <c r="G12" s="281" t="str">
        <f>TONGQUAN!D10</f>
        <v>DC Dynamic Securities Fund(VFMVF1)</v>
      </c>
      <c r="H12" s="281"/>
      <c r="I12" s="281"/>
      <c r="J12" s="281"/>
      <c r="K12" s="166"/>
    </row>
    <row r="13" spans="1:11" ht="15" customHeight="1">
      <c r="A13" s="170" t="s">
        <v>7</v>
      </c>
      <c r="B13" s="171"/>
      <c r="C13" s="167"/>
      <c r="D13" s="167"/>
      <c r="E13" s="167"/>
      <c r="F13" s="167"/>
      <c r="G13" s="280" t="str">
        <f>TONGQUAN!D11</f>
        <v>Ngày 01 tháng 08 năm 2022</v>
      </c>
      <c r="H13" s="280"/>
      <c r="I13" s="280"/>
      <c r="J13" s="280"/>
      <c r="K13" s="166"/>
    </row>
    <row r="14" spans="1:11">
      <c r="A14" s="172" t="s">
        <v>8</v>
      </c>
      <c r="B14" s="172"/>
      <c r="C14" s="167"/>
      <c r="D14" s="167"/>
      <c r="E14" s="167"/>
      <c r="F14" s="167"/>
      <c r="G14" s="282" t="str">
        <f>TONGQUAN!D12</f>
        <v>01 Aug 2022</v>
      </c>
      <c r="H14" s="282"/>
      <c r="I14" s="282"/>
      <c r="J14" s="282"/>
      <c r="K14" s="166"/>
    </row>
    <row r="15" spans="1:11">
      <c r="A15" s="243" t="s">
        <v>818</v>
      </c>
      <c r="B15" s="240" t="s">
        <v>819</v>
      </c>
      <c r="C15" s="241"/>
      <c r="D15" s="241"/>
      <c r="E15" s="241"/>
      <c r="F15" s="241"/>
      <c r="G15" s="242"/>
      <c r="H15" s="242"/>
      <c r="I15" s="242"/>
      <c r="J15" s="208"/>
      <c r="K15" s="166"/>
    </row>
    <row r="16" spans="1:11">
      <c r="A16" s="203" t="s">
        <v>55</v>
      </c>
      <c r="B16" s="204" t="s">
        <v>496</v>
      </c>
      <c r="C16" s="166"/>
      <c r="D16" s="166"/>
      <c r="E16" s="166"/>
      <c r="F16" s="166"/>
      <c r="G16" s="166"/>
      <c r="H16" s="166"/>
      <c r="I16" s="166"/>
      <c r="J16" s="166"/>
      <c r="K16" s="166"/>
    </row>
    <row r="17" spans="1:11" s="174" customFormat="1" ht="37.5" customHeight="1">
      <c r="A17" s="274" t="s">
        <v>186</v>
      </c>
      <c r="B17" s="274" t="s">
        <v>477</v>
      </c>
      <c r="C17" s="283" t="s">
        <v>45</v>
      </c>
      <c r="D17" s="274" t="s">
        <v>478</v>
      </c>
      <c r="E17" s="274" t="s">
        <v>479</v>
      </c>
      <c r="F17" s="274" t="s">
        <v>480</v>
      </c>
      <c r="G17" s="274" t="s">
        <v>481</v>
      </c>
      <c r="H17" s="276" t="s">
        <v>482</v>
      </c>
      <c r="I17" s="277"/>
      <c r="J17" s="276" t="s">
        <v>483</v>
      </c>
      <c r="K17" s="277"/>
    </row>
    <row r="18" spans="1:11" s="174" customFormat="1" ht="73.5" customHeight="1">
      <c r="A18" s="275"/>
      <c r="B18" s="275"/>
      <c r="C18" s="284"/>
      <c r="D18" s="275"/>
      <c r="E18" s="275"/>
      <c r="F18" s="275"/>
      <c r="G18" s="275"/>
      <c r="H18" s="175" t="s">
        <v>484</v>
      </c>
      <c r="I18" s="175" t="s">
        <v>485</v>
      </c>
      <c r="J18" s="175" t="s">
        <v>486</v>
      </c>
      <c r="K18" s="175" t="s">
        <v>485</v>
      </c>
    </row>
    <row r="19" spans="1:11" s="174" customFormat="1" ht="47.25" customHeight="1">
      <c r="A19" s="176" t="s">
        <v>269</v>
      </c>
      <c r="B19" s="177" t="s">
        <v>497</v>
      </c>
      <c r="C19" s="176"/>
      <c r="D19" s="178"/>
      <c r="E19" s="178"/>
      <c r="F19" s="179"/>
      <c r="G19" s="180"/>
      <c r="H19" s="177"/>
      <c r="I19" s="181"/>
      <c r="J19" s="182"/>
      <c r="K19" s="183"/>
    </row>
    <row r="20" spans="1:11" s="174" customFormat="1" ht="45.75" customHeight="1">
      <c r="A20" s="176" t="s">
        <v>42</v>
      </c>
      <c r="B20" s="177" t="s">
        <v>498</v>
      </c>
      <c r="C20" s="176"/>
      <c r="D20" s="179"/>
      <c r="E20" s="179"/>
      <c r="F20" s="179"/>
      <c r="G20" s="180"/>
      <c r="H20" s="177"/>
      <c r="I20" s="181"/>
      <c r="J20" s="177"/>
      <c r="K20" s="181"/>
    </row>
    <row r="21" spans="1:11" s="174" customFormat="1" ht="45.75" customHeight="1">
      <c r="A21" s="176" t="s">
        <v>286</v>
      </c>
      <c r="B21" s="177" t="s">
        <v>499</v>
      </c>
      <c r="C21" s="176"/>
      <c r="D21" s="179"/>
      <c r="E21" s="179"/>
      <c r="F21" s="179"/>
      <c r="G21" s="178"/>
      <c r="H21" s="177"/>
      <c r="I21" s="184"/>
      <c r="J21" s="177"/>
      <c r="K21" s="184"/>
    </row>
    <row r="22" spans="1:11" s="174" customFormat="1" ht="44.25" customHeight="1">
      <c r="A22" s="176" t="s">
        <v>48</v>
      </c>
      <c r="B22" s="177" t="s">
        <v>500</v>
      </c>
      <c r="C22" s="176"/>
      <c r="D22" s="179"/>
      <c r="E22" s="179"/>
      <c r="F22" s="179"/>
      <c r="G22" s="180"/>
      <c r="H22" s="177"/>
      <c r="I22" s="181"/>
      <c r="J22" s="177"/>
      <c r="K22" s="181"/>
    </row>
    <row r="23" spans="1:11" s="174" customFormat="1" ht="44.25" customHeight="1">
      <c r="A23" s="176" t="s">
        <v>487</v>
      </c>
      <c r="B23" s="177" t="s">
        <v>501</v>
      </c>
      <c r="C23" s="176"/>
      <c r="D23" s="179"/>
      <c r="E23" s="179"/>
      <c r="F23" s="179"/>
      <c r="G23" s="180"/>
      <c r="H23" s="177"/>
      <c r="I23" s="181"/>
      <c r="J23" s="177"/>
      <c r="K23" s="181"/>
    </row>
    <row r="24" spans="1:11" s="174" customFormat="1" ht="57.75" customHeight="1">
      <c r="A24" s="176" t="s">
        <v>311</v>
      </c>
      <c r="B24" s="205" t="s">
        <v>502</v>
      </c>
      <c r="C24" s="176"/>
      <c r="D24" s="179"/>
      <c r="E24" s="179"/>
      <c r="F24" s="179"/>
      <c r="G24" s="180"/>
      <c r="H24" s="177"/>
      <c r="I24" s="181"/>
      <c r="J24" s="177"/>
      <c r="K24" s="181"/>
    </row>
    <row r="25" spans="1:11" s="174" customFormat="1" ht="44.25" customHeight="1">
      <c r="A25" s="176" t="s">
        <v>54</v>
      </c>
      <c r="B25" s="177" t="s">
        <v>503</v>
      </c>
      <c r="C25" s="176"/>
      <c r="D25" s="179"/>
      <c r="E25" s="179"/>
      <c r="F25" s="179"/>
      <c r="G25" s="180"/>
      <c r="H25" s="177"/>
      <c r="I25" s="181"/>
      <c r="J25" s="177"/>
      <c r="K25" s="181"/>
    </row>
    <row r="26" spans="1:11" s="174" customFormat="1" ht="51" customHeight="1">
      <c r="A26" s="176" t="s">
        <v>378</v>
      </c>
      <c r="B26" s="177" t="s">
        <v>504</v>
      </c>
      <c r="C26" s="176"/>
      <c r="D26" s="179"/>
      <c r="E26" s="179"/>
      <c r="F26" s="179"/>
      <c r="G26" s="180"/>
      <c r="H26" s="177"/>
      <c r="I26" s="181"/>
      <c r="J26" s="177"/>
      <c r="K26" s="181"/>
    </row>
    <row r="27" spans="1:11" s="174" customFormat="1" ht="44.25" customHeight="1">
      <c r="A27" s="176" t="s">
        <v>55</v>
      </c>
      <c r="B27" s="177" t="s">
        <v>503</v>
      </c>
      <c r="C27" s="176"/>
      <c r="D27" s="179"/>
      <c r="E27" s="179"/>
      <c r="F27" s="179"/>
      <c r="G27" s="180"/>
      <c r="H27" s="177"/>
      <c r="I27" s="181"/>
      <c r="J27" s="177"/>
      <c r="K27" s="181"/>
    </row>
    <row r="28" spans="1:11" s="174" customFormat="1" ht="44.25" customHeight="1">
      <c r="A28" s="176" t="s">
        <v>488</v>
      </c>
      <c r="B28" s="177" t="s">
        <v>505</v>
      </c>
      <c r="C28" s="176"/>
      <c r="D28" s="179"/>
      <c r="E28" s="179"/>
      <c r="F28" s="179"/>
      <c r="G28" s="180"/>
      <c r="H28" s="177"/>
      <c r="I28" s="181"/>
      <c r="J28" s="177"/>
      <c r="K28" s="181"/>
    </row>
    <row r="29" spans="1:11" s="174" customFormat="1" ht="12.5">
      <c r="A29" s="185"/>
      <c r="B29" s="186"/>
      <c r="C29" s="186"/>
      <c r="D29" s="179"/>
      <c r="E29" s="179"/>
      <c r="F29" s="179"/>
      <c r="G29" s="180"/>
      <c r="H29" s="177"/>
      <c r="I29" s="181"/>
      <c r="J29" s="182"/>
      <c r="K29" s="183"/>
    </row>
    <row r="30" spans="1:11" s="174" customFormat="1" ht="12.5">
      <c r="A30" s="187"/>
      <c r="B30" s="188"/>
      <c r="C30" s="188"/>
      <c r="D30" s="188"/>
      <c r="E30" s="188"/>
      <c r="F30" s="188"/>
      <c r="G30" s="188"/>
      <c r="H30" s="188"/>
      <c r="I30" s="188"/>
      <c r="J30" s="188"/>
      <c r="K30" s="188"/>
    </row>
    <row r="31" spans="1:11" s="174" customFormat="1" ht="12.5">
      <c r="A31" s="187"/>
      <c r="B31" s="188"/>
      <c r="C31" s="188"/>
      <c r="D31" s="188"/>
      <c r="E31" s="188"/>
      <c r="F31" s="188"/>
      <c r="G31" s="188"/>
      <c r="H31" s="188"/>
      <c r="I31" s="188"/>
      <c r="J31" s="188"/>
      <c r="K31" s="188"/>
    </row>
    <row r="32" spans="1:11" s="174" customFormat="1" ht="12.5">
      <c r="A32" s="187"/>
      <c r="B32" s="188"/>
      <c r="C32" s="188"/>
      <c r="D32" s="188"/>
      <c r="E32" s="188"/>
      <c r="F32" s="188"/>
      <c r="G32" s="188"/>
      <c r="H32" s="188"/>
      <c r="I32" s="188"/>
      <c r="J32" s="188"/>
      <c r="K32" s="188"/>
    </row>
    <row r="33" spans="1:11" s="174" customFormat="1" ht="12.5">
      <c r="A33" s="189" t="s">
        <v>10</v>
      </c>
      <c r="B33" s="190"/>
      <c r="C33" s="191"/>
      <c r="D33" s="188"/>
      <c r="E33" s="188"/>
      <c r="F33" s="188"/>
      <c r="G33" s="188"/>
      <c r="H33" s="188"/>
      <c r="I33" s="192" t="s">
        <v>11</v>
      </c>
      <c r="J33" s="188"/>
      <c r="K33" s="188"/>
    </row>
    <row r="34" spans="1:11" s="174" customFormat="1" ht="12.5">
      <c r="A34" s="193" t="s">
        <v>12</v>
      </c>
      <c r="B34" s="190"/>
      <c r="C34" s="191"/>
      <c r="D34" s="188"/>
      <c r="E34" s="188"/>
      <c r="F34" s="188"/>
      <c r="G34" s="188"/>
      <c r="H34" s="188"/>
      <c r="I34" s="194" t="s">
        <v>13</v>
      </c>
      <c r="J34" s="188"/>
      <c r="K34" s="188"/>
    </row>
    <row r="35" spans="1:11">
      <c r="A35" s="190"/>
      <c r="B35" s="190"/>
      <c r="C35" s="191"/>
      <c r="D35" s="166"/>
      <c r="E35" s="166"/>
      <c r="F35" s="166"/>
      <c r="G35" s="166"/>
      <c r="H35" s="166"/>
      <c r="I35" s="191"/>
      <c r="J35" s="166"/>
      <c r="K35" s="166"/>
    </row>
    <row r="36" spans="1:11">
      <c r="A36" s="190"/>
      <c r="B36" s="190"/>
      <c r="C36" s="191"/>
      <c r="D36" s="166"/>
      <c r="E36" s="166"/>
      <c r="F36" s="166"/>
      <c r="G36" s="166"/>
      <c r="H36" s="166"/>
      <c r="I36" s="191"/>
      <c r="J36" s="166"/>
      <c r="K36" s="166"/>
    </row>
    <row r="37" spans="1:11">
      <c r="A37" s="190"/>
      <c r="B37" s="190"/>
      <c r="C37" s="191"/>
      <c r="D37" s="166"/>
      <c r="E37" s="166"/>
      <c r="F37" s="166"/>
      <c r="G37" s="166"/>
      <c r="H37" s="166"/>
      <c r="I37" s="191"/>
      <c r="J37" s="166"/>
      <c r="K37" s="166"/>
    </row>
    <row r="38" spans="1:11">
      <c r="A38" s="190"/>
      <c r="B38" s="190"/>
      <c r="C38" s="191"/>
      <c r="D38" s="166"/>
      <c r="E38" s="166"/>
      <c r="F38" s="166"/>
      <c r="G38" s="166"/>
      <c r="H38" s="166"/>
      <c r="I38" s="191"/>
      <c r="J38" s="166"/>
      <c r="K38" s="166"/>
    </row>
    <row r="39" spans="1:11">
      <c r="A39" s="190"/>
      <c r="B39" s="190"/>
      <c r="C39" s="191"/>
      <c r="D39" s="166"/>
      <c r="E39" s="166"/>
      <c r="F39" s="166"/>
      <c r="G39" s="166"/>
      <c r="H39" s="166"/>
      <c r="I39" s="191"/>
      <c r="J39" s="166"/>
      <c r="K39" s="166"/>
    </row>
    <row r="40" spans="1:11">
      <c r="A40" s="190"/>
      <c r="B40" s="190"/>
      <c r="C40" s="191"/>
      <c r="D40" s="166"/>
      <c r="E40" s="166"/>
      <c r="F40" s="166"/>
      <c r="G40" s="166"/>
      <c r="H40" s="166"/>
      <c r="I40" s="191"/>
      <c r="J40" s="166"/>
      <c r="K40" s="166"/>
    </row>
    <row r="41" spans="1:11">
      <c r="A41" s="190"/>
      <c r="B41" s="190"/>
      <c r="C41" s="191"/>
      <c r="D41" s="166"/>
      <c r="E41" s="166"/>
      <c r="F41" s="166"/>
      <c r="G41" s="166"/>
      <c r="H41" s="166"/>
      <c r="I41" s="191"/>
      <c r="J41" s="166"/>
      <c r="K41" s="166"/>
    </row>
    <row r="42" spans="1:11">
      <c r="A42" s="190"/>
      <c r="B42" s="190"/>
      <c r="C42" s="191"/>
      <c r="D42" s="166"/>
      <c r="E42" s="166"/>
      <c r="F42" s="166"/>
      <c r="G42" s="166"/>
      <c r="H42" s="166"/>
      <c r="I42" s="191"/>
      <c r="J42" s="166"/>
      <c r="K42" s="166"/>
    </row>
    <row r="43" spans="1:11">
      <c r="A43" s="195"/>
      <c r="B43" s="195"/>
      <c r="C43" s="196"/>
      <c r="D43" s="197"/>
      <c r="E43" s="166"/>
      <c r="F43" s="166"/>
      <c r="G43" s="166"/>
      <c r="H43" s="166"/>
      <c r="I43" s="196"/>
      <c r="J43" s="197"/>
      <c r="K43" s="197"/>
    </row>
    <row r="44" spans="1:11">
      <c r="A44" s="189" t="s">
        <v>14</v>
      </c>
      <c r="B44" s="190"/>
      <c r="C44" s="191"/>
      <c r="D44" s="166"/>
      <c r="E44" s="166"/>
      <c r="F44" s="166"/>
      <c r="G44" s="166"/>
      <c r="H44" s="166"/>
      <c r="I44" s="192" t="str">
        <f>TONGQUAN!F19</f>
        <v>Công ty Cổ phần Quản lý Quỹ Đầu tư Dragon Capital Việt Nam</v>
      </c>
      <c r="J44" s="166"/>
      <c r="K44" s="166"/>
    </row>
    <row r="45" spans="1:11">
      <c r="A45" s="189" t="str">
        <f>TONGQUAN!C20</f>
        <v>Trịnh Hoài Nam</v>
      </c>
      <c r="B45" s="190"/>
      <c r="C45" s="191"/>
      <c r="D45" s="166"/>
      <c r="E45" s="166"/>
      <c r="F45" s="166"/>
      <c r="G45" s="166"/>
      <c r="H45" s="166"/>
      <c r="I45" s="192" t="str">
        <f>TONGQUAN!F20</f>
        <v>Nguyễn Minh Đăng Khánh</v>
      </c>
      <c r="J45" s="166"/>
      <c r="K45" s="166"/>
    </row>
    <row r="46" spans="1:11">
      <c r="A46" s="190" t="str">
        <f>TONGQUAN!C21</f>
        <v>Phó phòng Dịch vụ Quản trị và Giám sát Quỹ</v>
      </c>
      <c r="B46" s="190"/>
      <c r="C46" s="191"/>
      <c r="D46" s="166"/>
      <c r="E46" s="166"/>
      <c r="F46" s="166"/>
      <c r="G46" s="166"/>
      <c r="H46" s="166"/>
      <c r="I46" s="191" t="str">
        <f>TONGQUAN!F21</f>
        <v>Giám đốc điều hành Nghiệp vụ hỗ trợ đầu tư</v>
      </c>
      <c r="J46" s="166"/>
      <c r="K46" s="166"/>
    </row>
    <row r="47" spans="1:11">
      <c r="A47" s="173"/>
      <c r="B47" s="166"/>
      <c r="C47" s="166"/>
      <c r="D47" s="166"/>
      <c r="E47" s="166"/>
      <c r="F47" s="166"/>
      <c r="G47" s="166"/>
      <c r="H47" s="166"/>
      <c r="I47" s="166"/>
      <c r="J47" s="166"/>
      <c r="K47" s="166"/>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2"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view="pageBreakPreview" zoomScale="95" zoomScaleNormal="100" zoomScaleSheetLayoutView="95" workbookViewId="0">
      <selection activeCell="B14" sqref="B14"/>
    </sheetView>
  </sheetViews>
  <sheetFormatPr defaultColWidth="8.7265625" defaultRowHeight="12.5"/>
  <cols>
    <col min="1" max="1" width="8.7265625" style="60"/>
    <col min="2" max="2" width="56.81640625" style="60" customWidth="1"/>
    <col min="3" max="3" width="10.7265625" style="60" bestFit="1" customWidth="1"/>
    <col min="4" max="4" width="25.81640625" style="60" customWidth="1"/>
    <col min="5" max="5" width="25.453125" style="60" customWidth="1"/>
    <col min="6" max="6" width="8.453125" style="104" customWidth="1"/>
    <col min="7" max="16384" width="8.7265625" style="104"/>
  </cols>
  <sheetData>
    <row r="1" spans="1:6" ht="30" customHeight="1">
      <c r="A1" s="263" t="s">
        <v>815</v>
      </c>
      <c r="B1" s="263"/>
      <c r="C1" s="263"/>
      <c r="D1" s="263"/>
      <c r="E1" s="263"/>
      <c r="F1" s="112"/>
    </row>
    <row r="2" spans="1:6" ht="50.15" customHeight="1">
      <c r="A2" s="264" t="s">
        <v>847</v>
      </c>
      <c r="B2" s="264"/>
      <c r="C2" s="264"/>
      <c r="D2" s="264"/>
      <c r="E2" s="264"/>
      <c r="F2" s="113"/>
    </row>
    <row r="3" spans="1:6" ht="13">
      <c r="A3" s="265" t="s">
        <v>817</v>
      </c>
      <c r="B3" s="265"/>
      <c r="C3" s="265"/>
      <c r="D3" s="265"/>
      <c r="E3" s="265"/>
      <c r="F3" s="112"/>
    </row>
    <row r="4" spans="1:6" ht="20.65" customHeight="1">
      <c r="A4" s="265"/>
      <c r="B4" s="265"/>
      <c r="C4" s="265"/>
      <c r="D4" s="265"/>
      <c r="E4" s="265"/>
      <c r="F4" s="112"/>
    </row>
    <row r="5" spans="1:6" ht="16.899999999999999" customHeight="1">
      <c r="A5" s="266" t="s">
        <v>791</v>
      </c>
      <c r="B5" s="266"/>
      <c r="C5" s="266"/>
      <c r="D5" s="266"/>
      <c r="E5" s="266"/>
      <c r="F5" s="114"/>
    </row>
    <row r="7" spans="1:6" ht="16.899999999999999" customHeight="1">
      <c r="A7" s="73" t="s">
        <v>2</v>
      </c>
      <c r="C7" s="273" t="s">
        <v>792</v>
      </c>
      <c r="D7" s="273"/>
      <c r="E7" s="273"/>
    </row>
    <row r="8" spans="1:6" ht="16.899999999999999" customHeight="1">
      <c r="A8" s="60" t="s">
        <v>41</v>
      </c>
      <c r="C8" s="272" t="s">
        <v>793</v>
      </c>
      <c r="D8" s="272"/>
      <c r="E8" s="272"/>
    </row>
    <row r="9" spans="1:6" ht="16.899999999999999" customHeight="1">
      <c r="A9" s="73" t="s">
        <v>3</v>
      </c>
      <c r="C9" s="273" t="s">
        <v>794</v>
      </c>
      <c r="D9" s="273"/>
      <c r="E9" s="273"/>
    </row>
    <row r="10" spans="1:6" ht="16.899999999999999" customHeight="1">
      <c r="A10" s="60" t="s">
        <v>4</v>
      </c>
      <c r="C10" s="272" t="s">
        <v>795</v>
      </c>
      <c r="D10" s="272"/>
      <c r="E10" s="272"/>
    </row>
    <row r="11" spans="1:6" ht="16.899999999999999" customHeight="1">
      <c r="A11" s="73" t="s">
        <v>5</v>
      </c>
      <c r="C11" s="273" t="s">
        <v>796</v>
      </c>
      <c r="D11" s="273"/>
      <c r="E11" s="273"/>
    </row>
    <row r="12" spans="1:6" ht="16.899999999999999" customHeight="1">
      <c r="A12" s="60" t="s">
        <v>6</v>
      </c>
      <c r="C12" s="272" t="s">
        <v>797</v>
      </c>
      <c r="D12" s="272"/>
      <c r="E12" s="272"/>
    </row>
    <row r="13" spans="1:6" ht="16.899999999999999" customHeight="1">
      <c r="A13" s="73" t="s">
        <v>7</v>
      </c>
      <c r="C13" s="273" t="s">
        <v>798</v>
      </c>
      <c r="D13" s="273"/>
      <c r="E13" s="273"/>
    </row>
    <row r="14" spans="1:6" ht="16.899999999999999" customHeight="1">
      <c r="A14" s="60" t="s">
        <v>8</v>
      </c>
      <c r="C14" s="272" t="s">
        <v>799</v>
      </c>
      <c r="D14" s="272"/>
      <c r="E14" s="272"/>
    </row>
    <row r="16" spans="1:6" ht="16.899999999999999" customHeight="1">
      <c r="A16" s="207" t="s">
        <v>818</v>
      </c>
      <c r="B16" s="99" t="s">
        <v>819</v>
      </c>
      <c r="C16" s="99"/>
      <c r="D16" s="99"/>
      <c r="E16" s="99"/>
    </row>
    <row r="17" spans="1:5" ht="16.899999999999999" customHeight="1">
      <c r="A17" s="74" t="s">
        <v>56</v>
      </c>
      <c r="B17" s="75" t="s">
        <v>240</v>
      </c>
    </row>
    <row r="18" spans="1:5" ht="42" customHeight="1">
      <c r="A18" s="105" t="s">
        <v>43</v>
      </c>
      <c r="B18" s="105" t="s">
        <v>241</v>
      </c>
      <c r="C18" s="105" t="s">
        <v>45</v>
      </c>
      <c r="D18" s="105" t="s">
        <v>806</v>
      </c>
      <c r="E18" s="105" t="s">
        <v>807</v>
      </c>
    </row>
    <row r="19" spans="1:5" s="118" customFormat="1" ht="39" customHeight="1">
      <c r="A19" s="115" t="s">
        <v>42</v>
      </c>
      <c r="B19" s="116" t="s">
        <v>85</v>
      </c>
      <c r="C19" s="117"/>
      <c r="D19" s="212"/>
      <c r="E19" s="212"/>
    </row>
    <row r="20" spans="1:5" ht="58.5" customHeight="1">
      <c r="A20" s="119">
        <v>1</v>
      </c>
      <c r="B20" s="46" t="s">
        <v>853</v>
      </c>
      <c r="C20" s="120"/>
      <c r="D20" s="212">
        <v>1.9876187155928201E-2</v>
      </c>
      <c r="E20" s="212">
        <v>1.9234836659463201E-2</v>
      </c>
    </row>
    <row r="21" spans="1:5" ht="55.5" customHeight="1">
      <c r="A21" s="119">
        <v>2</v>
      </c>
      <c r="B21" s="46" t="s">
        <v>854</v>
      </c>
      <c r="C21" s="120"/>
      <c r="D21" s="212">
        <v>1.1190395952183233E-3</v>
      </c>
      <c r="E21" s="212">
        <v>1.0815062183043317E-3</v>
      </c>
    </row>
    <row r="22" spans="1:5" ht="97.5" customHeight="1">
      <c r="A22" s="119">
        <v>3</v>
      </c>
      <c r="B22" s="46" t="s">
        <v>855</v>
      </c>
      <c r="C22" s="120"/>
      <c r="D22" s="212">
        <v>4.6228157150052262E-4</v>
      </c>
      <c r="E22" s="212">
        <v>4.2326603612972611E-4</v>
      </c>
    </row>
    <row r="23" spans="1:5" ht="50">
      <c r="A23" s="119">
        <v>4</v>
      </c>
      <c r="B23" s="46" t="s">
        <v>242</v>
      </c>
      <c r="C23" s="120"/>
      <c r="D23" s="212">
        <v>1.30637650905309E-4</v>
      </c>
      <c r="E23" s="212">
        <v>1.19853719421682E-4</v>
      </c>
    </row>
    <row r="24" spans="1:5" ht="50">
      <c r="A24" s="206">
        <v>5</v>
      </c>
      <c r="B24" s="46" t="s">
        <v>856</v>
      </c>
      <c r="C24" s="120"/>
      <c r="D24" s="225"/>
      <c r="E24" s="225"/>
    </row>
    <row r="25" spans="1:5" ht="75">
      <c r="A25" s="206">
        <v>6</v>
      </c>
      <c r="B25" s="46" t="s">
        <v>857</v>
      </c>
      <c r="C25" s="120"/>
      <c r="D25" s="225"/>
      <c r="E25" s="225"/>
    </row>
    <row r="26" spans="1:5" ht="79.5" customHeight="1">
      <c r="A26" s="119">
        <v>7</v>
      </c>
      <c r="B26" s="46" t="s">
        <v>243</v>
      </c>
      <c r="C26" s="120"/>
      <c r="D26" s="212">
        <v>4.5879579855494999E-4</v>
      </c>
      <c r="E26" s="212">
        <v>9.5289741577085101E-5</v>
      </c>
    </row>
    <row r="27" spans="1:5" ht="39" customHeight="1">
      <c r="A27" s="119">
        <v>8</v>
      </c>
      <c r="B27" s="46" t="s">
        <v>858</v>
      </c>
      <c r="C27" s="120"/>
      <c r="D27" s="212">
        <v>3.6965778594494E-2</v>
      </c>
      <c r="E27" s="212">
        <v>3.91502890459062E-2</v>
      </c>
    </row>
    <row r="28" spans="1:5" ht="82.5" customHeight="1">
      <c r="A28" s="119">
        <v>9</v>
      </c>
      <c r="B28" s="46" t="s">
        <v>859</v>
      </c>
      <c r="C28" s="120"/>
      <c r="D28" s="244">
        <v>6.0501777512036998</v>
      </c>
      <c r="E28" s="244">
        <v>6.4666664205587097</v>
      </c>
    </row>
    <row r="29" spans="1:5" ht="82.5" customHeight="1">
      <c r="A29" s="206">
        <v>10</v>
      </c>
      <c r="B29" s="46" t="s">
        <v>860</v>
      </c>
      <c r="C29" s="120"/>
      <c r="D29" s="245"/>
      <c r="E29" s="245"/>
    </row>
    <row r="30" spans="1:5" ht="39" customHeight="1">
      <c r="A30" s="115" t="s">
        <v>48</v>
      </c>
      <c r="B30" s="116" t="s">
        <v>86</v>
      </c>
      <c r="C30" s="117"/>
      <c r="D30" s="121"/>
      <c r="E30" s="121"/>
    </row>
    <row r="31" spans="1:5" ht="40.9" customHeight="1">
      <c r="A31" s="294">
        <v>1</v>
      </c>
      <c r="B31" s="46" t="s">
        <v>861</v>
      </c>
      <c r="C31" s="120"/>
      <c r="D31" s="121">
        <v>257852775500</v>
      </c>
      <c r="E31" s="121">
        <v>252649777600</v>
      </c>
    </row>
    <row r="32" spans="1:5" ht="42.4" customHeight="1">
      <c r="A32" s="294"/>
      <c r="B32" s="46" t="s">
        <v>862</v>
      </c>
      <c r="C32" s="120"/>
      <c r="D32" s="121">
        <v>257852775500</v>
      </c>
      <c r="E32" s="121">
        <v>252649777600</v>
      </c>
    </row>
    <row r="33" spans="1:5" s="118" customFormat="1" ht="44.65" customHeight="1">
      <c r="A33" s="294"/>
      <c r="B33" s="46" t="s">
        <v>863</v>
      </c>
      <c r="C33" s="120"/>
      <c r="D33" s="123">
        <v>25785277.550000001</v>
      </c>
      <c r="E33" s="123">
        <v>25264977.760000002</v>
      </c>
    </row>
    <row r="34" spans="1:5" ht="43.5" customHeight="1">
      <c r="A34" s="294">
        <v>2</v>
      </c>
      <c r="B34" s="46" t="s">
        <v>864</v>
      </c>
      <c r="C34" s="120"/>
      <c r="D34" s="121">
        <v>-2226121100</v>
      </c>
      <c r="E34" s="121">
        <v>5202997900</v>
      </c>
    </row>
    <row r="35" spans="1:5" ht="39" customHeight="1">
      <c r="A35" s="294"/>
      <c r="B35" s="46" t="s">
        <v>87</v>
      </c>
      <c r="C35" s="120"/>
      <c r="D35" s="123">
        <v>-222612.11</v>
      </c>
      <c r="E35" s="123">
        <v>520299.79</v>
      </c>
    </row>
    <row r="36" spans="1:5" ht="39" customHeight="1">
      <c r="A36" s="294"/>
      <c r="B36" s="46" t="s">
        <v>88</v>
      </c>
      <c r="C36" s="120"/>
      <c r="D36" s="121">
        <v>-2226121100</v>
      </c>
      <c r="E36" s="121">
        <v>5202997900</v>
      </c>
    </row>
    <row r="37" spans="1:5" ht="39" customHeight="1">
      <c r="A37" s="294"/>
      <c r="B37" s="46" t="s">
        <v>865</v>
      </c>
      <c r="C37" s="120"/>
      <c r="D37" s="122">
        <v>415796.87</v>
      </c>
      <c r="E37" s="122">
        <v>827815.92</v>
      </c>
    </row>
    <row r="38" spans="1:5" ht="39" customHeight="1">
      <c r="A38" s="294"/>
      <c r="B38" s="46" t="s">
        <v>211</v>
      </c>
      <c r="C38" s="120"/>
      <c r="D38" s="121">
        <v>4157968700</v>
      </c>
      <c r="E38" s="121">
        <v>8278159200</v>
      </c>
    </row>
    <row r="39" spans="1:5" ht="39" customHeight="1">
      <c r="A39" s="294"/>
      <c r="B39" s="46" t="s">
        <v>866</v>
      </c>
      <c r="C39" s="120"/>
      <c r="D39" s="123">
        <v>-638408.98</v>
      </c>
      <c r="E39" s="123">
        <v>-307516.13</v>
      </c>
    </row>
    <row r="40" spans="1:5" ht="44.65" customHeight="1">
      <c r="A40" s="294"/>
      <c r="B40" s="46" t="s">
        <v>212</v>
      </c>
      <c r="C40" s="120"/>
      <c r="D40" s="121">
        <v>-6384089800</v>
      </c>
      <c r="E40" s="121">
        <v>-3075161300</v>
      </c>
    </row>
    <row r="41" spans="1:5" ht="39" customHeight="1">
      <c r="A41" s="294">
        <v>3</v>
      </c>
      <c r="B41" s="46" t="s">
        <v>867</v>
      </c>
      <c r="C41" s="120"/>
      <c r="D41" s="121">
        <v>255626654400</v>
      </c>
      <c r="E41" s="121">
        <v>257852775500</v>
      </c>
    </row>
    <row r="42" spans="1:5" ht="55" customHeight="1">
      <c r="A42" s="294"/>
      <c r="B42" s="46" t="s">
        <v>868</v>
      </c>
      <c r="C42" s="120"/>
      <c r="D42" s="121">
        <v>255626654400</v>
      </c>
      <c r="E42" s="121">
        <v>257852775500</v>
      </c>
    </row>
    <row r="43" spans="1:5" ht="39" customHeight="1">
      <c r="A43" s="294"/>
      <c r="B43" s="46" t="s">
        <v>869</v>
      </c>
      <c r="C43" s="120"/>
      <c r="D43" s="123">
        <v>25562665.440000001</v>
      </c>
      <c r="E43" s="123">
        <v>25785277.550000001</v>
      </c>
    </row>
    <row r="44" spans="1:5" ht="60" customHeight="1">
      <c r="A44" s="119">
        <v>4</v>
      </c>
      <c r="B44" s="46" t="s">
        <v>89</v>
      </c>
      <c r="C44" s="120"/>
      <c r="D44" s="212">
        <v>1.35242039141596E-3</v>
      </c>
      <c r="E44" s="212">
        <v>1.3064846765630401E-3</v>
      </c>
    </row>
    <row r="45" spans="1:5" ht="39" customHeight="1">
      <c r="A45" s="119">
        <v>5</v>
      </c>
      <c r="B45" s="46" t="s">
        <v>90</v>
      </c>
      <c r="C45" s="120"/>
      <c r="D45" s="212">
        <v>0.28560000000000002</v>
      </c>
      <c r="E45" s="212">
        <v>0.29210000000000003</v>
      </c>
    </row>
    <row r="46" spans="1:5" ht="39" customHeight="1">
      <c r="A46" s="119">
        <v>6</v>
      </c>
      <c r="B46" s="46" t="s">
        <v>91</v>
      </c>
      <c r="C46" s="120"/>
      <c r="D46" s="212">
        <v>0.1172</v>
      </c>
      <c r="E46" s="212">
        <v>0.1169</v>
      </c>
    </row>
    <row r="47" spans="1:5" ht="39" customHeight="1">
      <c r="A47" s="119">
        <v>7</v>
      </c>
      <c r="B47" s="46" t="s">
        <v>213</v>
      </c>
      <c r="C47" s="120"/>
      <c r="D47" s="123">
        <v>59813.78</v>
      </c>
      <c r="E47" s="123">
        <v>60564.74</v>
      </c>
    </row>
    <row r="48" spans="1:5" ht="63.65" customHeight="1">
      <c r="A48" s="206">
        <v>8</v>
      </c>
      <c r="B48" s="46" t="s">
        <v>870</v>
      </c>
      <c r="C48" s="120"/>
      <c r="D48" s="121"/>
      <c r="E48" s="121"/>
    </row>
    <row r="49" spans="1:5" ht="39" customHeight="1">
      <c r="A49" s="119">
        <v>9</v>
      </c>
      <c r="B49" s="46" t="s">
        <v>92</v>
      </c>
      <c r="C49" s="120"/>
      <c r="D49" s="121">
        <v>18796</v>
      </c>
      <c r="E49" s="121">
        <v>18153</v>
      </c>
    </row>
    <row r="50" spans="1:5" ht="16.899999999999999" customHeight="1">
      <c r="A50" s="99" t="s">
        <v>93</v>
      </c>
    </row>
    <row r="51" spans="1:5" ht="60.4" customHeight="1">
      <c r="A51" s="262" t="s">
        <v>871</v>
      </c>
      <c r="B51" s="262"/>
      <c r="C51" s="262"/>
      <c r="D51" s="262"/>
      <c r="E51" s="262"/>
    </row>
    <row r="52" spans="1:5" ht="28.5" customHeight="1">
      <c r="A52" s="262" t="s">
        <v>94</v>
      </c>
      <c r="B52" s="272"/>
      <c r="C52" s="272"/>
      <c r="D52" s="272"/>
      <c r="E52" s="272"/>
    </row>
    <row r="54" spans="1:5" ht="16.899999999999999" customHeight="1">
      <c r="A54" s="99" t="s">
        <v>10</v>
      </c>
      <c r="D54" s="99" t="s">
        <v>11</v>
      </c>
    </row>
    <row r="55" spans="1:5" s="124" customFormat="1" ht="16.899999999999999" customHeight="1">
      <c r="A55" s="100" t="s">
        <v>12</v>
      </c>
      <c r="B55" s="100"/>
      <c r="C55" s="100"/>
      <c r="D55" s="100" t="s">
        <v>13</v>
      </c>
      <c r="E55" s="100"/>
    </row>
    <row r="56" spans="1:5" ht="16.899999999999999" customHeight="1"/>
    <row r="57" spans="1:5" ht="16.899999999999999" customHeight="1"/>
    <row r="64" spans="1:5">
      <c r="A64" s="125"/>
      <c r="B64" s="125"/>
      <c r="D64" s="125"/>
      <c r="E64" s="125"/>
    </row>
    <row r="65" spans="1:4" ht="16.899999999999999" customHeight="1">
      <c r="A65" s="99" t="s">
        <v>14</v>
      </c>
      <c r="D65" s="99" t="s">
        <v>792</v>
      </c>
    </row>
    <row r="66" spans="1:4" ht="16.899999999999999" customHeight="1">
      <c r="A66" s="99" t="s">
        <v>800</v>
      </c>
      <c r="D66" s="99" t="s">
        <v>801</v>
      </c>
    </row>
    <row r="67" spans="1:4" ht="16.899999999999999" customHeight="1">
      <c r="A67" s="60" t="s">
        <v>802</v>
      </c>
      <c r="D67" s="60" t="s">
        <v>803</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GEj8bgLZuZhqQ9v6Vs85imEOAMk=</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QS9ojq/Aiota+BxTOVQw39M6hkE=</DigestValue>
    </Reference>
  </SignedInfo>
  <SignatureValue>X8Uu6jtHHPBBOf+XsLM0kPLnhBS3eHSUMZpW214xFkc/+jRx7amIsbf8xFXj4bSC6V4emv/gMVDw
U9Fw5HhXHIIorqRCAPsHCuuZb2OwJ6rTnuTpRzjUNOKz0NiL3p/Fo3lUSYTtDv9POEgHwoNpQ+R3
sQya3xqYKUh2dD3Rc8A=</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NAEbpS8oxZomQ38Ygl/dpzsV+ec=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yNBAvTDE/RD+tZt1GMo+fylzGgc=</DigestValue>
      </Reference>
      <Reference URI="/xl/drawings/drawing2.xml?ContentType=application/vnd.openxmlformats-officedocument.drawing+xml">
        <DigestMethod Algorithm="http://www.w3.org/2000/09/xmldsig#sha1"/>
        <DigestValue>Y/GzsT3CQLNsITuKYNJPebPm9hQ=</DigestValue>
      </Reference>
      <Reference URI="/xl/drawings/drawing3.xml?ContentType=application/vnd.openxmlformats-officedocument.drawing+xml">
        <DigestMethod Algorithm="http://www.w3.org/2000/09/xmldsig#sha1"/>
        <DigestValue>SRaaNwK9CiMfmvfIVI/o9qv+nCw=</DigestValue>
      </Reference>
      <Reference URI="/xl/drawings/drawing4.xml?ContentType=application/vnd.openxmlformats-officedocument.drawing+xml">
        <DigestMethod Algorithm="http://www.w3.org/2000/09/xmldsig#sha1"/>
        <DigestValue>fU8J+lqUIDVd7ZIrtWhZFP4++eA=</DigestValue>
      </Reference>
      <Reference URI="/xl/drawings/drawing5.xml?ContentType=application/vnd.openxmlformats-officedocument.drawing+xml">
        <DigestMethod Algorithm="http://www.w3.org/2000/09/xmldsig#sha1"/>
        <DigestValue>bhql3VtzyTwyuSPcQIvtUY3Ntm0=</DigestValue>
      </Reference>
      <Reference URI="/xl/drawings/drawing6.xml?ContentType=application/vnd.openxmlformats-officedocument.drawing+xml">
        <DigestMethod Algorithm="http://www.w3.org/2000/09/xmldsig#sha1"/>
        <DigestValue>RfL+8UgjfcwYIZs1OXkb5M8trl8=</DigestValue>
      </Reference>
      <Reference URI="/xl/drawings/drawing7.xml?ContentType=application/vnd.openxmlformats-officedocument.drawing+xml">
        <DigestMethod Algorithm="http://www.w3.org/2000/09/xmldsig#sha1"/>
        <DigestValue>mXyzcRHRMxwkUsMCPBcD6moCfJw=</DigestValue>
      </Reference>
      <Reference URI="/xl/media/image1.jpeg?ContentType=image/jpeg">
        <DigestMethod Algorithm="http://www.w3.org/2000/09/xmldsig#sha1"/>
        <DigestValue>LcOkGzmVM5+bKjNlT1bLqBKVQkA=</DigestValue>
      </Reference>
      <Reference URI="/xl/media/image2.jpeg?ContentType=image/jpeg">
        <DigestMethod Algorithm="http://www.w3.org/2000/09/xmldsig#sha1"/>
        <DigestValue>0Gbzqswhd6haokEyQWUYBi+nhjg=</DigestValue>
      </Reference>
      <Reference URI="/xl/printerSettings/printerSettings1.bin?ContentType=application/vnd.openxmlformats-officedocument.spreadsheetml.printerSettings">
        <DigestMethod Algorithm="http://www.w3.org/2000/09/xmldsig#sha1"/>
        <DigestValue>FcYCXz/R1ynTqqS/LgOMe1ZUWzY=</DigestValue>
      </Reference>
      <Reference URI="/xl/printerSettings/printerSettings2.bin?ContentType=application/vnd.openxmlformats-officedocument.spreadsheetml.printerSettings">
        <DigestMethod Algorithm="http://www.w3.org/2000/09/xmldsig#sha1"/>
        <DigestValue>XtzC1cpuXEgy1pnfXskYd7ues10=</DigestValue>
      </Reference>
      <Reference URI="/xl/printerSettings/printerSettings3.bin?ContentType=application/vnd.openxmlformats-officedocument.spreadsheetml.printerSettings">
        <DigestMethod Algorithm="http://www.w3.org/2000/09/xmldsig#sha1"/>
        <DigestValue>XtzC1cpuXEgy1pnfXskYd7ues10=</DigestValue>
      </Reference>
      <Reference URI="/xl/printerSettings/printerSettings4.bin?ContentType=application/vnd.openxmlformats-officedocument.spreadsheetml.printerSettings">
        <DigestMethod Algorithm="http://www.w3.org/2000/09/xmldsig#sha1"/>
        <DigestValue>XtzC1cpuXEgy1pnfXskYd7ues10=</DigestValue>
      </Reference>
      <Reference URI="/xl/printerSettings/printerSettings5.bin?ContentType=application/vnd.openxmlformats-officedocument.spreadsheetml.printerSettings">
        <DigestMethod Algorithm="http://www.w3.org/2000/09/xmldsig#sha1"/>
        <DigestValue>XtzC1cpuXEgy1pnfXskYd7ues10=</DigestValue>
      </Reference>
      <Reference URI="/xl/printerSettings/printerSettings6.bin?ContentType=application/vnd.openxmlformats-officedocument.spreadsheetml.printerSettings">
        <DigestMethod Algorithm="http://www.w3.org/2000/09/xmldsig#sha1"/>
        <DigestValue>XtzC1cpuXEgy1pnfXskYd7ues10=</DigestValue>
      </Reference>
      <Reference URI="/xl/printerSettings/printerSettings7.bin?ContentType=application/vnd.openxmlformats-officedocument.spreadsheetml.printerSettings">
        <DigestMethod Algorithm="http://www.w3.org/2000/09/xmldsig#sha1"/>
        <DigestValue>XWGKwGPRRpyXAJn4/lYpeuQp/+M=</DigestValue>
      </Reference>
      <Reference URI="/xl/printerSettings/printerSettings8.bin?ContentType=application/vnd.openxmlformats-officedocument.spreadsheetml.printerSettings">
        <DigestMethod Algorithm="http://www.w3.org/2000/09/xmldsig#sha1"/>
        <DigestValue>XtzC1cpuXEgy1pnfXskYd7ues10=</DigestValue>
      </Reference>
      <Reference URI="/xl/sharedStrings.xml?ContentType=application/vnd.openxmlformats-officedocument.spreadsheetml.sharedStrings+xml">
        <DigestMethod Algorithm="http://www.w3.org/2000/09/xmldsig#sha1"/>
        <DigestValue>UMXZ+i9YHeNBT8v930BwIjAQ5SY=</DigestValue>
      </Reference>
      <Reference URI="/xl/styles.xml?ContentType=application/vnd.openxmlformats-officedocument.spreadsheetml.styles+xml">
        <DigestMethod Algorithm="http://www.w3.org/2000/09/xmldsig#sha1"/>
        <DigestValue>zueq/+5b9Fv7UY9RcBV40+chS/c=</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C81yfifyHrA9uLmpLbVTQZY9/oM=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qszfAYLKi/0fLaSvIE/cU0AEwqI=</DigestValue>
      </Reference>
      <Reference URI="/xl/worksheets/sheet2.xml?ContentType=application/vnd.openxmlformats-officedocument.spreadsheetml.worksheet+xml">
        <DigestMethod Algorithm="http://www.w3.org/2000/09/xmldsig#sha1"/>
        <DigestValue>1bjxHJ9Fiavm6fPfRfaH45xQBZk=</DigestValue>
      </Reference>
      <Reference URI="/xl/worksheets/sheet3.xml?ContentType=application/vnd.openxmlformats-officedocument.spreadsheetml.worksheet+xml">
        <DigestMethod Algorithm="http://www.w3.org/2000/09/xmldsig#sha1"/>
        <DigestValue>UAk/XdEULtajiMLQ24SdMMpAjNU=</DigestValue>
      </Reference>
      <Reference URI="/xl/worksheets/sheet4.xml?ContentType=application/vnd.openxmlformats-officedocument.spreadsheetml.worksheet+xml">
        <DigestMethod Algorithm="http://www.w3.org/2000/09/xmldsig#sha1"/>
        <DigestValue>A+oGogwL+sdujO8CyURShEyupqU=</DigestValue>
      </Reference>
      <Reference URI="/xl/worksheets/sheet5.xml?ContentType=application/vnd.openxmlformats-officedocument.spreadsheetml.worksheet+xml">
        <DigestMethod Algorithm="http://www.w3.org/2000/09/xmldsig#sha1"/>
        <DigestValue>qEh5zl6xe8/etjkdo29HJwwII0s=</DigestValue>
      </Reference>
      <Reference URI="/xl/worksheets/sheet6.xml?ContentType=application/vnd.openxmlformats-officedocument.spreadsheetml.worksheet+xml">
        <DigestMethod Algorithm="http://www.w3.org/2000/09/xmldsig#sha1"/>
        <DigestValue>9ueKsIOuaRSDE2fBQPUnz56RoNY=</DigestValue>
      </Reference>
      <Reference URI="/xl/worksheets/sheet7.xml?ContentType=application/vnd.openxmlformats-officedocument.spreadsheetml.worksheet+xml">
        <DigestMethod Algorithm="http://www.w3.org/2000/09/xmldsig#sha1"/>
        <DigestValue>AjgUnDd/vuGVNoX5pBCRpkyPqCc=</DigestValue>
      </Reference>
      <Reference URI="/xl/worksheets/sheet8.xml?ContentType=application/vnd.openxmlformats-officedocument.spreadsheetml.worksheet+xml">
        <DigestMethod Algorithm="http://www.w3.org/2000/09/xmldsig#sha1"/>
        <DigestValue>ZzAX01z40DFQMG+F+rnQkB1GxLE=</DigestValue>
      </Reference>
    </Manifest>
    <SignatureProperties>
      <SignatureProperty Id="idSignatureTime" Target="#idPackageSignature">
        <mdssi:SignatureTime xmlns:mdssi="http://schemas.openxmlformats.org/package/2006/digital-signature">
          <mdssi:Format>YYYY-MM-DDThh:mm:ssTZD</mdssi:Format>
          <mdssi:Value>2022-08-04T03:51:50Z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2022-08-04T03:51:50Z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Vu Dang Mai, Huong</cp:lastModifiedBy>
  <cp:lastPrinted>2020-01-10T08:38:16Z</cp:lastPrinted>
  <dcterms:created xsi:type="dcterms:W3CDTF">2019-03-13T13:30:00Z</dcterms:created>
  <dcterms:modified xsi:type="dcterms:W3CDTF">2022-08-03T10:14:45Z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2022-08-03T10:14:44Z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85d4ffb1-5eec-49ee-bac8-6a22b2b2c27b</vt:lpwstr>
  </property>
  <property fmtid="{D5CDD505-2E9C-101B-9397-08002B2CF9AE}" pid="8" name="MSIP_Label_ebbfc019-7f88-4fb6-96d6-94ffadd4b772_ContentBits">
    <vt:lpwstr>1</vt:lpwstr>
  </property>
</Properties>
</file>