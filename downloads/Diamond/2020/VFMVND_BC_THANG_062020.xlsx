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heme/theme1.xml" ContentType="application/vnd.openxmlformats-officedocument.theme+xml"/>
  <Override PartName="/xl/worksheets/sheet10.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activeTab="1"/>
  </bookViews>
  <sheets>
    <sheet name="TONGQUAN" sheetId="8" r:id="rId1"/>
    <sheet name="BCTaiSan_06134" sheetId="10" r:id="rId2"/>
    <sheet name="BCKetQuaHoatDong_06135" sheetId="11" r:id="rId3"/>
    <sheet name="BCDanhMucDauTu_06136" sheetId="12" r:id="rId4"/>
    <sheet name="Khac_06137" sheetId="13" r:id="rId5"/>
    <sheet name="BCGiaodichTaiSan_06141" sheetId="9" r:id="rId6"/>
    <sheet name="BCThuNhap_06203" sheetId="21" r:id="rId7"/>
    <sheet name="BCTinhHinhTaiChinh_06105" sheetId="16" r:id="rId8"/>
    <sheet name="GTTSRong_06107" sheetId="17" r:id="rId9"/>
    <sheet name="BCThayDoiNAV_PL15.229" sheetId="18" r:id="rId10"/>
  </sheets>
  <definedNames>
    <definedName name="_xlnm.Print_Area" localSheetId="3">BCDanhMucDauTu_06136!$A$1:$G$80</definedName>
    <definedName name="_xlnm.Print_Area" localSheetId="5">BCGiaodichTaiSan_06141!$A$1:$K$37</definedName>
    <definedName name="_xlnm.Print_Area" localSheetId="2">BCKetQuaHoatDong_06135!$A$1:$F$94</definedName>
    <definedName name="_xlnm.Print_Area" localSheetId="1">BCTaiSan_06134!$A$1:$F$112</definedName>
    <definedName name="_xlnm.Print_Area" localSheetId="9">BCThayDoiNAV_PL15.229!$A$1:$E$53</definedName>
    <definedName name="_xlnm.Print_Area" localSheetId="6">BCThuNhap_06203!$A$1:$G$90</definedName>
    <definedName name="_xlnm.Print_Area" localSheetId="8">GTTSRong_06107!$A$1:$E$29</definedName>
    <definedName name="_xlnm.Print_Area" localSheetId="4">Khac_06137!$A$1:$E$60</definedName>
    <definedName name="_xlnm.Print_Area" localSheetId="0">TONGQUAN!$A$1:$I$48</definedName>
  </definedNames>
  <calcPr calcId="145621" calcOnSave="0"/>
</workbook>
</file>

<file path=xl/calcChain.xml><?xml version="1.0" encoding="utf-8"?>
<calcChain xmlns="http://schemas.openxmlformats.org/spreadsheetml/2006/main">
  <c r="F117" i="16" l="1"/>
  <c r="E117" i="16"/>
  <c r="F113" i="16"/>
  <c r="E113" i="16"/>
  <c r="F109" i="16"/>
  <c r="E109" i="16"/>
  <c r="F101" i="16"/>
  <c r="F98" i="16" s="1"/>
  <c r="E101" i="16"/>
  <c r="E98" i="16"/>
  <c r="F88" i="16"/>
  <c r="E88" i="16"/>
  <c r="E86" i="16" s="1"/>
  <c r="F86" i="16"/>
  <c r="F76" i="16"/>
  <c r="E76" i="16"/>
  <c r="F71" i="16"/>
  <c r="F107" i="16" s="1"/>
  <c r="E71" i="16"/>
  <c r="F58" i="16"/>
  <c r="E58" i="16"/>
  <c r="E56" i="16" s="1"/>
  <c r="F56" i="16"/>
  <c r="F50" i="16"/>
  <c r="E50" i="16"/>
  <c r="F43" i="16"/>
  <c r="F42" i="16" s="1"/>
  <c r="F39" i="16" s="1"/>
  <c r="E43" i="16"/>
  <c r="E42" i="16" s="1"/>
  <c r="E39" i="16" s="1"/>
  <c r="F28" i="16"/>
  <c r="F27" i="16" s="1"/>
  <c r="E28" i="16"/>
  <c r="E27" i="16" s="1"/>
  <c r="F20" i="16"/>
  <c r="F19" i="16" s="1"/>
  <c r="E20" i="16"/>
  <c r="E19" i="16"/>
  <c r="G75" i="21"/>
  <c r="F75" i="21"/>
  <c r="E75" i="21"/>
  <c r="D75" i="21"/>
  <c r="G59" i="21"/>
  <c r="F59" i="21"/>
  <c r="E59" i="21"/>
  <c r="D59" i="21"/>
  <c r="G53" i="21"/>
  <c r="F53" i="21"/>
  <c r="F43" i="21" s="1"/>
  <c r="E53" i="21"/>
  <c r="D53" i="21"/>
  <c r="G45" i="21"/>
  <c r="F45" i="21"/>
  <c r="E45" i="21"/>
  <c r="E43" i="21" s="1"/>
  <c r="D45" i="21"/>
  <c r="D43" i="21" s="1"/>
  <c r="G43" i="21"/>
  <c r="G36" i="21"/>
  <c r="G35" i="21" s="1"/>
  <c r="F36" i="21"/>
  <c r="F35" i="21" s="1"/>
  <c r="E36" i="21"/>
  <c r="E35" i="21" s="1"/>
  <c r="D36" i="21"/>
  <c r="D35" i="21"/>
  <c r="G26" i="21"/>
  <c r="F26" i="21"/>
  <c r="E26" i="21"/>
  <c r="D26" i="21"/>
  <c r="G23" i="21"/>
  <c r="F23" i="21"/>
  <c r="F19" i="21" s="1"/>
  <c r="F74" i="21" s="1"/>
  <c r="F78" i="21" s="1"/>
  <c r="F82" i="21" s="1"/>
  <c r="E23" i="21"/>
  <c r="D23" i="21"/>
  <c r="G20" i="21"/>
  <c r="F20" i="21"/>
  <c r="E20" i="21"/>
  <c r="E19" i="21" s="1"/>
  <c r="E74" i="21" s="1"/>
  <c r="E78" i="21" s="1"/>
  <c r="E82" i="21" s="1"/>
  <c r="D20" i="21"/>
  <c r="D19" i="21" s="1"/>
  <c r="D74" i="21" s="1"/>
  <c r="D78" i="21" s="1"/>
  <c r="D82" i="21" s="1"/>
  <c r="G19" i="21"/>
  <c r="G74" i="21" s="1"/>
  <c r="G78" i="21" s="1"/>
  <c r="G82" i="21" s="1"/>
  <c r="E65" i="16" l="1"/>
  <c r="E107" i="16"/>
  <c r="F65" i="16"/>
  <c r="F108" i="16" s="1"/>
  <c r="E108" i="16" l="1"/>
</calcChain>
</file>

<file path=xl/sharedStrings.xml><?xml version="1.0" encoding="utf-8"?>
<sst xmlns="http://schemas.openxmlformats.org/spreadsheetml/2006/main" count="1469" uniqueCount="1101">
  <si>
    <t>Kỳ báo cáo:</t>
  </si>
  <si>
    <t>Thông tin chung:</t>
  </si>
  <si>
    <t>Tên Công ty quản lý quỹ:</t>
  </si>
  <si>
    <t>Công ty Cổ phần Quản lý Quỹ Đầu tư Việt Nam</t>
  </si>
  <si>
    <t>Fund Management Company:</t>
  </si>
  <si>
    <t>Vietnam Investment Fund Management Joint Stock Company</t>
  </si>
  <si>
    <t>Tên ngân hàng giám sát:</t>
  </si>
  <si>
    <t>Ngân hàng TMCP Ngoại thương Việt Nam - CN TP.HCM</t>
  </si>
  <si>
    <t xml:space="preserve">Supervising bank: </t>
  </si>
  <si>
    <t>Joint Stock Commercial Bank for Foreign Trade of Vietnam - HCMC Branch</t>
  </si>
  <si>
    <t>Tên Quỹ:</t>
  </si>
  <si>
    <t>Quỹ ETF VFMVN Diamond (FUEVFVND)</t>
  </si>
  <si>
    <t xml:space="preserve">Fund name: </t>
  </si>
  <si>
    <t>VFMVN Diamond ETF (FUEVFVND)</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</si>
  <si>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</si>
  <si>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</si>
  <si>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</si>
  <si>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</si>
  <si>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</si>
  <si>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</si>
  <si>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</si>
  <si>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STT</t>
  </si>
  <si>
    <t>Nội dung</t>
  </si>
  <si>
    <t>Tên sheet</t>
  </si>
  <si>
    <t>A</t>
  </si>
  <si>
    <t xml:space="preserve">BÁO CÁO CHUNG VỀ HOẠT ĐỘNG ĐẦU TƯ CỦA QUỸ </t>
  </si>
  <si>
    <t>Báo cáo về tài sản</t>
  </si>
  <si>
    <t>06134</t>
  </si>
  <si>
    <t>Báo cáo kết quả hoạt động</t>
  </si>
  <si>
    <t>06135</t>
  </si>
  <si>
    <t>Báo cáo danh mục đầu tư</t>
  </si>
  <si>
    <t>06136</t>
  </si>
  <si>
    <t>Báo cáo về giao dịch tài sản</t>
  </si>
  <si>
    <t>06141</t>
  </si>
  <si>
    <t>Một số chỉ tiêu khác</t>
  </si>
  <si>
    <t>06137</t>
  </si>
  <si>
    <t>Báo cáo thu nhập giữa niên độ</t>
  </si>
  <si>
    <t>06203</t>
  </si>
  <si>
    <t>Báo cáo tình hình tài chính giữa niên độ</t>
  </si>
  <si>
    <t>06105</t>
  </si>
  <si>
    <t>Báo cáo thay đổi giá trị tài sản ròng, giao dịch chứng chỉ quỹ</t>
  </si>
  <si>
    <t>06107</t>
  </si>
  <si>
    <t>Báo cáo thay đổi giá trị tài sản ròng, giao dịch chứng chỉ quỹ giữa niên độ</t>
  </si>
  <si>
    <t>06182</t>
  </si>
  <si>
    <t>B</t>
  </si>
  <si>
    <t xml:space="preserve">BÁO CÁO TÌNH HÌNH TỰ DOANH ĐẦU TƯ GIÁN TIẾP RA NƯỚC NGOÀI CỦA QUỸ </t>
  </si>
  <si>
    <t>Không có</t>
  </si>
  <si>
    <t>Phụ lục số 07. Mẫu báo cáo hoạt động đầu tư của quỹ ETF
Appendix 07. Report on Exchange traded Fund's Investment Activities</t>
  </si>
  <si>
    <t>BÁO CÁO HOẠT ĐỘNG ĐẦU TƯ CỦA QUỸ ETF
REPORT ON EXCHANGE TRADED FUND'S INVESTMENT ACTIVITIES</t>
  </si>
  <si>
    <t>VFMVN Diamond ETF Fund (FUEVFVND)</t>
  </si>
  <si>
    <t>BÁO CÁO CHUNG VỀ HOẠT ĐỘNG ĐẦU TƯ CỦA QUỸ/GENERAL INFORMATION ON FUND'S INVESTMENT ACTIVITIES</t>
  </si>
  <si>
    <t>IV</t>
  </si>
  <si>
    <t>BÁO CÁO VỀ GIAO DỊCH TÀI SẢN / REPORT OF ASSET TRANSACTIONS</t>
  </si>
  <si>
    <t>STT
No.</t>
  </si>
  <si>
    <t>Nội dung hoạt động 
(nêu chi tiết theo mục tiêu và đối tác)
Description</t>
  </si>
  <si>
    <t>Mã chỉ tiêu
Code</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</si>
  <si>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</si>
  <si>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</si>
  <si>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</si>
  <si>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</si>
  <si>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</si>
  <si>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</si>
  <si>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</si>
  <si>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</si>
  <si>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</si>
  <si>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</si>
  <si>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</si>
  <si>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</si>
  <si>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I</t>
  </si>
  <si>
    <t>Tổng giá trị các khoản vay tiền/giá trị tài sản ròng
Borrowings/NAV</t>
  </si>
  <si>
    <t>2288</t>
  </si>
  <si>
    <t>Hợp đồng Repo (nêu chi tiết từng hợp đồng)
Repo contract (detail by each contract)</t>
  </si>
  <si>
    <t>2289</t>
  </si>
  <si>
    <t>II</t>
  </si>
  <si>
    <t>Tổng giá trị các hợp đồng Repo/giá trị tài sản ròng
Total value of Repo contracts/NAV</t>
  </si>
  <si>
    <t>2290</t>
  </si>
  <si>
    <t>Tổng giá trị các khoản vay/giá trị tài sản ròng (=I+II)
Total Borrowings, Repo/NAV (=I+II)</t>
  </si>
  <si>
    <t>2291</t>
  </si>
  <si>
    <t>3</t>
  </si>
  <si>
    <t>Cho vay chứng khoán (nêu chi tiết từng hợp đồng)
Securities lending (detail by each contract)</t>
  </si>
  <si>
    <t>2292</t>
  </si>
  <si>
    <t>III</t>
  </si>
  <si>
    <t>Tổng giá trị các hợp đồng/giá trị tài sản ròng
Total contract value/NAV</t>
  </si>
  <si>
    <t>2294</t>
  </si>
  <si>
    <t>4</t>
  </si>
  <si>
    <t>Hợp đồng Reverse Repo (nêu chi tiết từng hợp đồng)
Reverse Repo contract (Detail by each contract)</t>
  </si>
  <si>
    <t>2295</t>
  </si>
  <si>
    <t>2296</t>
  </si>
  <si>
    <t>Tổng giá trị các khoản cho vay/giá trị tài sản ròng  (=III + IV)
Total Loans/NAV (=III+IV)</t>
  </si>
  <si>
    <t>2297</t>
  </si>
  <si>
    <t>Đại diện có thẩm quyền của Công ty quản lý quỹ</t>
  </si>
  <si>
    <t>NGÂN HÀNG TMCP NGOẠI THƯƠNG VIỆT NAM - CN TP.HCM</t>
  </si>
  <si>
    <t>BÁO CÁO HOẠT ĐỘNG ĐẦU TƯ CỦA QUỸ ETF_x000D_
REPORT ON ETF FUND'S INVESTMENT ACTIVITIES</t>
  </si>
  <si>
    <t>Tại ngày 31 tháng 05  năm 2020 _x000D_
As at 31 May 2020</t>
  </si>
  <si>
    <t>1</t>
  </si>
  <si>
    <t>Tên Công ty quản lý quỹ:_x000D_</t>
  </si>
  <si>
    <t>Công ty cổ phần Quản lý Quỹ Đầu Tư Việt Nam</t>
  </si>
  <si>
    <t>2</t>
  </si>
  <si>
    <t xml:space="preserve">Ngân hàng giám sát: </t>
  </si>
  <si>
    <t>Ngân hàng TMCP Ngoại Thương Việt Nam-CN TP.HCM</t>
  </si>
  <si>
    <t>Joint Stock Commercial Bank for Foreign Trade of Vietnam-HCMC Branch</t>
  </si>
  <si>
    <t>QUỸ ETF VFMVN DIAMOND</t>
  </si>
  <si>
    <t>VFMVN DIAMOND ETF</t>
  </si>
  <si>
    <t>A. BÁO CÁO CHUNG VỀ HOẠT ĐỘNG ĐẦU TƯ CỦA QUỸ ETF/GENERAL INFOMATION ON ETF FUND'S INVESTMENT ACTIVITIES</t>
  </si>
  <si>
    <t>I. BÁO CÁO VỀ TÀI SẢN CỦA QUỸ/ ASSET REPORT</t>
  </si>
  <si>
    <t>Đơn vị tính/Currency: VND</t>
  </si>
  <si>
    <t>TT_x000D_
NO</t>
  </si>
  <si>
    <t>Chỉ tiêu_x000D_
Indicators</t>
  </si>
  <si>
    <t>Mã chỉ tiêu_x000D_
Code</t>
  </si>
  <si>
    <t>%/cùng kỳ năm trước_x000D_
%/against last year (*)</t>
  </si>
  <si>
    <t>Tài sản_x000D_
Assets</t>
  </si>
  <si>
    <t>2200</t>
  </si>
  <si>
    <t>I.1</t>
  </si>
  <si>
    <t>Tiền gửi ngân hàng và các khoản tương đương tiền_x000D_
Cash at bank and cash equivalent</t>
  </si>
  <si>
    <t>2201</t>
  </si>
  <si>
    <t>Tiền_x000D_
Cash</t>
  </si>
  <si>
    <t>2202</t>
  </si>
  <si>
    <t>Tiền gửi ngân hàng_x000D_
Cash at Bank</t>
  </si>
  <si>
    <t>2203</t>
  </si>
  <si>
    <t>2203.1</t>
  </si>
  <si>
    <t>2203.2</t>
  </si>
  <si>
    <t>Tiền gửi ngân hàng cho hoạt động của Quỹ_x000D_
Cash at bank for Fund's operation</t>
  </si>
  <si>
    <t>2203.3</t>
  </si>
  <si>
    <t>Tiền gửi ký quỹ cho hoạt động đầu tư chứng khoán phái sinh_x000D_
Margin account for trading derivativ</t>
  </si>
  <si>
    <t>2203.4</t>
  </si>
  <si>
    <t>Tài khoản phong tỏa_x000D_
Escrow account</t>
  </si>
  <si>
    <t>2203.5</t>
  </si>
  <si>
    <t>Các khoản tương đương tiền_x000D_
Cash Equivalents</t>
  </si>
  <si>
    <t>2204</t>
  </si>
  <si>
    <t>I.2</t>
  </si>
  <si>
    <t>Các khoản đầu tư (kê chi tiết)_x000D_
Investments</t>
  </si>
  <si>
    <t>2205</t>
  </si>
  <si>
    <t>Cổ phiếu niêm yết_x000D_
Listed shares</t>
  </si>
  <si>
    <t>2205.1</t>
  </si>
  <si>
    <t>Cổ phiếu chưa niêm yết_x000D_
Unlisted shares</t>
  </si>
  <si>
    <t>2205.2</t>
  </si>
  <si>
    <t>Trái phiếu_x000D_
Bonds</t>
  </si>
  <si>
    <t>2205.3</t>
  </si>
  <si>
    <t>Chứng chỉ tiền gửi _x000D_
Certificates of Deposit</t>
  </si>
  <si>
    <t>2205.4</t>
  </si>
  <si>
    <t>Hợp đồng tiền gửi có kỳ hạn trên ba (03) tháng_x000D_
Deposit with term over three (03) months</t>
  </si>
  <si>
    <t>2205.5</t>
  </si>
  <si>
    <t>Quyền mua chứng khoán_x000D_
Investment - Rights</t>
  </si>
  <si>
    <t>2205.6</t>
  </si>
  <si>
    <t>Hợp đồng tương lai chỉ số_x000D_
Index future contracts</t>
  </si>
  <si>
    <t>2205.7</t>
  </si>
  <si>
    <t>Đầu tư khác/ Other Investments</t>
  </si>
  <si>
    <t>2205.8</t>
  </si>
  <si>
    <t>I.3</t>
  </si>
  <si>
    <t>Cổ tức, trái tức được nhận_x000D_
Dividend, Coupon Receivables</t>
  </si>
  <si>
    <t>2206</t>
  </si>
  <si>
    <t>Phải thu cổ tức_x000D_
Dividend receivables</t>
  </si>
  <si>
    <t>2206.1</t>
  </si>
  <si>
    <t>Phải thu trái tức_x000D_
Coupon receivables</t>
  </si>
  <si>
    <t>2206.2</t>
  </si>
  <si>
    <t>I.4</t>
  </si>
  <si>
    <t>Lãi được nhận_x000D_
Interest receivables</t>
  </si>
  <si>
    <t>2207</t>
  </si>
  <si>
    <t>Phải thu lãi tiền gửi có kỳ hạn dưới 3 tháng_x000D_
Interest receivable from deposit with term less than three (03) months</t>
  </si>
  <si>
    <t>2207.1</t>
  </si>
  <si>
    <t>Phải thu lãi tiền gửi có kỳ hạn trên 3 tháng_x000D_
Interest receivables from deposit with term more than three (03) months</t>
  </si>
  <si>
    <t>2207.2</t>
  </si>
  <si>
    <t>Phải thu lãi chứng chỉ tiền gửi _x000D_
Interest receivable from Certificates of Deposits</t>
  </si>
  <si>
    <t>2207.3</t>
  </si>
  <si>
    <t>I.5</t>
  </si>
  <si>
    <t>Tiền bán chứng khoán chờ thu_x000D_
Securities Trading Receivables</t>
  </si>
  <si>
    <t>2208</t>
  </si>
  <si>
    <t>I.6</t>
  </si>
  <si>
    <t>Các khoản phải thu khác_x000D_
Other receivables</t>
  </si>
  <si>
    <t>2210</t>
  </si>
  <si>
    <t>Dự phòng giảm giá tài sản nhận thế chấp_x000D_
Impairment of devaluation of assets as pledge</t>
  </si>
  <si>
    <t>2210.1</t>
  </si>
  <si>
    <t>Dự phòng nợ phải thu khó đòi_x000D_
Provision for doubtful debt</t>
  </si>
  <si>
    <t>2210.2</t>
  </si>
  <si>
    <t>Các khoản khác_x000D_
Others</t>
  </si>
  <si>
    <t>2210.3</t>
  </si>
  <si>
    <t>I.7</t>
  </si>
  <si>
    <t>Các tài sản khác_x000D_
Other assets</t>
  </si>
  <si>
    <t>2211</t>
  </si>
  <si>
    <t>Phải thu cho khoản cổ phiếu hạn chế chờ mua_x000D_
Receivable from AP/Investors on securities on hold</t>
  </si>
  <si>
    <t>2211.1</t>
  </si>
  <si>
    <t>Trả trước phí đăng ký chứng khoán tại VSD_x000D_
Prepaid expense for security registration at VSD</t>
  </si>
  <si>
    <t>2211.2</t>
  </si>
  <si>
    <t>Trả trước giá dịch vụ đăng ký niêm yết gửi HOSE_x000D_
Prepaid expense for listed registration at HOSE</t>
  </si>
  <si>
    <t>2211.3</t>
  </si>
  <si>
    <t>Trả trước giá dịch vụ quản lý niêm yết gửi HOSE_x000D_
Prepaid expense for listed management at HOSE</t>
  </si>
  <si>
    <t>2211.4</t>
  </si>
  <si>
    <t>Trả trước lệ phí cấp giấy chứng nhận hoạt động Quỹ ETF_x000D_
Prepaid expense for Prepaid expense for Register fee for ETF operation to SSC</t>
  </si>
  <si>
    <t>2211.5</t>
  </si>
  <si>
    <t>I.8</t>
  </si>
  <si>
    <t>2212</t>
  </si>
  <si>
    <t>Nợ_x000D_
Liabilities</t>
  </si>
  <si>
    <t>2213</t>
  </si>
  <si>
    <t>II.1</t>
  </si>
  <si>
    <t>Tiền phải thanh toán mua chứng khoán_x000D_
Securities Trading Payables</t>
  </si>
  <si>
    <t>2214</t>
  </si>
  <si>
    <t>II.2</t>
  </si>
  <si>
    <t>Các khoản phải trả khác_x000D_
Other payables</t>
  </si>
  <si>
    <t>2215</t>
  </si>
  <si>
    <t>Phải trả nhà đầu tư_x000D_
Payables to investors</t>
  </si>
  <si>
    <t>2215.1</t>
  </si>
  <si>
    <t>Phải trả cho nhà đầu tư về mua chứng chỉ quỹ_x000D_
Payables to investors for subscription</t>
  </si>
  <si>
    <t>2215.1.1</t>
  </si>
  <si>
    <t>Phải trả nhà đầu tư trên cổ tức đã thu_x000D_
Payables to investors for collected dividend</t>
  </si>
  <si>
    <t>2215.1.2</t>
  </si>
  <si>
    <t>Phải trả cho Nhà đầu tư về mua lại Chứng chỉ quỹ_x000D_
Redemption payable to investors</t>
  </si>
  <si>
    <t>2215.1.3</t>
  </si>
  <si>
    <t>Thuế và các khoản phải nộp Nhà nước_x000D_
Taxes Payables and obligations to the State Budget</t>
  </si>
  <si>
    <t>2215.2</t>
  </si>
  <si>
    <t>Phải trả phí phát hành, mua lại chứng chỉ quỹ cho Đại lý phân phối và Công ty quản lý quỹ_x000D_
Subscription and Redemption fee payable to distributors and Fund Management Company</t>
  </si>
  <si>
    <t>2215.3</t>
  </si>
  <si>
    <t>2215.3.1</t>
  </si>
  <si>
    <t>2215.3.2</t>
  </si>
  <si>
    <t>Phải trả thu nhập cho nhà đầu tư_x000D_
Profit distribution payables</t>
  </si>
  <si>
    <t>2215.4</t>
  </si>
  <si>
    <t>Phải trả thù lao ban đại diện quỹ_x000D_
Remuneration Payable to Fund's Board of Representatives</t>
  </si>
  <si>
    <t>2215.5</t>
  </si>
  <si>
    <t>Phải trả phí quản lý cho công ty quản lý quỹ_x000D_
Management fee payable</t>
  </si>
  <si>
    <t>2215.6</t>
  </si>
  <si>
    <t>Phải trả phí quản trị quỹ_x000D_
Fund Administration fee payable</t>
  </si>
  <si>
    <t>2215.7</t>
  </si>
  <si>
    <t>Phải trả phí giám sát_x000D_
Supervisory service fee payable</t>
  </si>
  <si>
    <t>2215.8</t>
  </si>
  <si>
    <t>Phí giao dịch_x000D_
Transaction fee</t>
  </si>
  <si>
    <t>2215.9</t>
  </si>
  <si>
    <t>Phải trả phí môi giới_x000D_
Broker fee payable</t>
  </si>
  <si>
    <t>2215.9.1</t>
  </si>
  <si>
    <t>Phải trả phí thanh toán bù trừ chứng khoán_x000D_
Clearing settlement fee payables</t>
  </si>
  <si>
    <t>2215.9.2</t>
  </si>
  <si>
    <t>2215.10</t>
  </si>
  <si>
    <t>Phí dịch vụ lưu ký - bảo quản tài sản_x000D_
Custodian service - Safe Custody Fee</t>
  </si>
  <si>
    <t>2215.10.1</t>
  </si>
  <si>
    <t>Phí dịch vụ lưu ký - giao dịch chứng khoán_x000D_
Custodian service - Transaction fee</t>
  </si>
  <si>
    <t>2215.10.2</t>
  </si>
  <si>
    <t>Phí dịch vụ lưu ký - phí VSD_x000D_
Custodian service -  VSD fee</t>
  </si>
  <si>
    <t>2215.10.3</t>
  </si>
  <si>
    <t>Phí dịch vụ lưu ký - phí VSD về quản lý vị thế và tài sản ký quỹ cho các hợp đồng phái sinh_x000D_
Custodian service -  VSD fee for position and margin management of index future contracts</t>
  </si>
  <si>
    <t>2215.10.4</t>
  </si>
  <si>
    <t>Phải trả phí kiểm toán_x000D_
Audit fee payable</t>
  </si>
  <si>
    <t>2215.11</t>
  </si>
  <si>
    <t>Phải trả phí họp đại hội thường niên_x000D_
General meeting expense payable</t>
  </si>
  <si>
    <t>2215.12</t>
  </si>
  <si>
    <t>Phải trả phí báo cáo thường niên_x000D_
Annual report expense payable</t>
  </si>
  <si>
    <t>2215.13</t>
  </si>
  <si>
    <t>Phải trả phí dịch vụ đại lý chuyển nhượng_x000D_
Transfer Agency fee payable</t>
  </si>
  <si>
    <t>2215.14</t>
  </si>
  <si>
    <t>Dự chi phí cung cấp dịch vụ tính giá trị tài sản ròng tham chiếu (iNAV) cho HOSE_x000D_
Accrued expense for payable to HOSE for iNAV calculation</t>
  </si>
  <si>
    <t>2215.15</t>
  </si>
  <si>
    <t>Dự chi phí cấp quyền sử dụng chỉ số cho HOSE_x000D_
Accrued expense for payable to HOSE for Index usage</t>
  </si>
  <si>
    <t>2215.16</t>
  </si>
  <si>
    <t>Phải trả khác_x000D_
Other payable</t>
  </si>
  <si>
    <t>2215.17</t>
  </si>
  <si>
    <t>Phải trả phí báo giá_x000D_
Price feed fee payable</t>
  </si>
  <si>
    <t>2215.17.1</t>
  </si>
  <si>
    <t>Trích trước phí công tác, họp của Ban đại diện_x000D_
Accrued expenses for Fund's Board of Representatives travelling, meeting</t>
  </si>
  <si>
    <t>2215.17.2</t>
  </si>
  <si>
    <t>Trích trước phí quản lý thường niên trả UBCKNN_x000D_
Accrued expenses for annual fee pay to SSC</t>
  </si>
  <si>
    <t>2215.17.3</t>
  </si>
  <si>
    <t>Trích trước phí đăng ký chứng khoán tại VSD_x000D_
Accrued expense for security registration at VSD</t>
  </si>
  <si>
    <t>2215.17.4</t>
  </si>
  <si>
    <t>Lệ phí cấp giấy chứng nhận hoạt động quỹ ETF trả UBCKNN_x000D_
Register fee for ETF operation payable to SSC</t>
  </si>
  <si>
    <t>2215.17.5</t>
  </si>
  <si>
    <t>Phí dịch vụ đăng ký chứng khoán trả VSD_x000D_
Security register fee payable to VSD</t>
  </si>
  <si>
    <t>2215.17.6</t>
  </si>
  <si>
    <t>Phải trả, phải nộp khác_x000D_
Other payables</t>
  </si>
  <si>
    <t>2215.17.7</t>
  </si>
  <si>
    <t>Chi phí phải trả khác của công ty QLQ_x000D_
Other expenses</t>
  </si>
  <si>
    <t>2215.17.8</t>
  </si>
  <si>
    <t>Vay ngắn hạn _x000D_
Short-term loans</t>
  </si>
  <si>
    <t>2215.18</t>
  </si>
  <si>
    <t>Gốc khoản vay ngắn hạn _x000D_
Short-term loans Principal</t>
  </si>
  <si>
    <t>2215.18.1</t>
  </si>
  <si>
    <t>Trich trước lãi vay ngắn hạn_x000D_
Accrued Interest Expense</t>
  </si>
  <si>
    <t>2215.18.2</t>
  </si>
  <si>
    <t>II.3</t>
  </si>
  <si>
    <t>TỔNG NỢ_x000D_
TOTAL LIABILITIES</t>
  </si>
  <si>
    <t>2216</t>
  </si>
  <si>
    <t>Tài sản ròng của Quỹ ( = I.8 - II.3)_x000D_
Net Asset Value ( = I.8 - II.3)</t>
  </si>
  <si>
    <t>2217</t>
  </si>
  <si>
    <t>Tổng số chứng chỉ quỹ đang lưu hành_x000D_
Total Outstanding Fund Certificates</t>
  </si>
  <si>
    <t>2218</t>
  </si>
  <si>
    <t>Giá trị tài sản ròng trên một chứng chỉ quỹ (III/V)_x000D_
Net asset value per Fund certificate (III/V)</t>
  </si>
  <si>
    <t>2219</t>
  </si>
  <si>
    <t xml:space="preserve"> Đại diện có thẩm quyền của Công ty quản lý quỹ</t>
  </si>
  <si>
    <t>NGÂN HÀNG TMCP NGOẠI THƯƠNG VIỆT NAM-CN TP.HCM</t>
  </si>
  <si>
    <t>CÔNG TY CỔ PHẦN QUẢN LÝ QUỸ ĐẦU TƯ VIỆT NAM</t>
  </si>
  <si>
    <t>Phụ lục 07. Mẫu báo cáo hoạt động đầu tư của quỹ ETF_x000D_
Appendix 07. Report on Fund's Investment Activities</t>
  </si>
  <si>
    <t>(Ban hành kèm theo Thông tư số 91/2019/TT-BTC ngày 31 tháng 12  năm 2019 của Bộ trưởng Bộ Tài chính sửa đổi, bổ sung một số Thông tư quy định về cế độ báo cáo và thủ tục hành chính áp dụng với công ty quản lý quỹ, quỹ đầu tư chứng khoán và công ty đầu tư chứng khoán)_x000D_
(Issued in association with Circular 91/2012/TT-BTC dated 31 Dec 2019 amending and supplementing a number of Circulars guiding on reporting  and administration of Fund Management Companies, Securities Investment Funds and  Securities Investment Companies)</t>
  </si>
  <si>
    <t>Ngân hàng giám sát:</t>
  </si>
  <si>
    <t>Supervising bank:</t>
  </si>
  <si>
    <t>Fund name:</t>
  </si>
  <si>
    <t>II. BÁO CÁO KẾT QUẢ HOẠT ĐỘNG / PROFIT AND LOSS REPORT</t>
  </si>
  <si>
    <t>Lũy kế từ đầu năm_x000D_
Accumulated figure from the beginning of the year</t>
  </si>
  <si>
    <t>Thu nhập từ hoạt động đầu tư
Income from Investment Activities</t>
  </si>
  <si>
    <t>2220</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</si>
  <si>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</si>
  <si>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</si>
  <si>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</si>
  <si>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</si>
  <si>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</si>
  <si>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</si>
  <si>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</si>
  <si>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</si>
  <si>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</si>
  <si>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</si>
  <si>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</si>
  <si>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</si>
  <si>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</si>
  <si>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</si>
  <si>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</si>
  <si>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</si>
  <si>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</si>
  <si>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</si>
  <si>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</si>
  <si>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</si>
  <si>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</si>
  <si>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</si>
  <si>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Phí quản lý trả cho công ty quản lý quỹ
Management Fee paid to Fund Management Company</t>
  </si>
  <si>
    <t>2225</t>
  </si>
  <si>
    <t>Phí lưu ký, giám sát trả cho Ngân hàng Giám sát/ VSD
Custody, Supervising Fees paid to Supervising Bank/VSD</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</si>
  <si>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</si>
  <si>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</si>
  <si>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</si>
  <si>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</si>
  <si>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</si>
  <si>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</si>
  <si>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</si>
  <si>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</si>
  <si>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</si>
  <si>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</si>
  <si>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</si>
  <si>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</si>
  <si>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</si>
  <si>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</si>
  <si>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</si>
  <si>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</si>
  <si>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</si>
  <si>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</si>
  <si>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</si>
  <si>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Chi phí kiểm toán trả cho tổ chức kiểm toán
Audit fee</t>
  </si>
  <si>
    <t>2228</t>
  </si>
  <si>
    <t>5</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</si>
  <si>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</si>
  <si>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</si>
  <si>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</si>
  <si>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</si>
  <si>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</si>
  <si>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</si>
  <si>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</si>
  <si>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</si>
  <si>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6</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</si>
  <si>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quỹ;_x000D_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</si>
  <si>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</si>
  <si>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</si>
  <si>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</si>
  <si>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</si>
  <si>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</si>
  <si>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</si>
  <si>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</si>
  <si>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</si>
  <si>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</si>
  <si>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</si>
  <si>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</si>
  <si>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7</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</si>
  <si>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</si>
  <si>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</si>
  <si>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</si>
  <si>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</si>
  <si>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</si>
  <si>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</si>
  <si>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8</t>
  </si>
  <si>
    <t>Các loại phí, chi phí khác
Other fees,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</si>
  <si>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</si>
  <si>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</si>
  <si>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</si>
  <si>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</si>
  <si>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</si>
  <si>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</si>
  <si>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</si>
  <si>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</si>
  <si>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</si>
  <si>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</si>
  <si>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</si>
  <si>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</si>
  <si>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</si>
  <si>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</si>
  <si>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</si>
  <si>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</si>
  <si>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</si>
  <si>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</si>
  <si>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</si>
  <si>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</si>
  <si>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</si>
  <si>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Realised Gain / (Loss) from disposal of investment</t>
  </si>
  <si>
    <t>2235</t>
  </si>
  <si>
    <t>Lãi (lỗ) bán các khoản đầu tư_x000D_
Realized gain (losses) from sales investments</t>
  </si>
  <si>
    <t>2235.1</t>
  </si>
  <si>
    <t>Lãi (lỗ) trong giao dịch hoán đổi chứng chỉ quỹ_x000D_
Realized gain (losses) from exchange trade fund certificate</t>
  </si>
  <si>
    <t>2235.2</t>
  </si>
  <si>
    <t>Lãi (lỗ) giao dịch chứng khoán hạn chế trong giao dịch hoán đổi chứng chỉ quỹ_x000D_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</si>
  <si>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</si>
  <si>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</si>
  <si>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</si>
  <si>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</si>
  <si>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</si>
  <si>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</si>
  <si>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</si>
  <si>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</si>
  <si>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</si>
  <si>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</si>
  <si>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</si>
  <si>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</si>
  <si>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</si>
  <si>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</si>
  <si>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liên quan đến đầu tư của Quỹ trong kỳ
Change of Net Asset Value due to investment related activities during the period</t>
  </si>
  <si>
    <t>2241</t>
  </si>
  <si>
    <t xml:space="preserve">Thay đổi giá trị tài sản ròng của Quỹ liên quan tới nhà đầu tư trong kỳ
Change of Net Asset Value related to investors during the period </t>
  </si>
  <si>
    <t>2242</t>
  </si>
  <si>
    <t xml:space="preserve">Thay đổi giá trị tài sản ròng của Quỹ do việc phân phối thu nhập của Quỹ cho các nhà đầu tư trong kỳ
Change of Net Asset Value due to profit distribution to investors during the period </t>
  </si>
  <si>
    <t>2242.1</t>
  </si>
  <si>
    <t>2242.2</t>
  </si>
  <si>
    <t>Thay đổi GTTSR do mua lại Chứng chỉ Quỹ
Change of Net Asset Value due to redemption during the period</t>
  </si>
  <si>
    <t>2242.3</t>
  </si>
  <si>
    <t>VIII</t>
  </si>
  <si>
    <t>Giá trị tài sản ròng cuối kỳ
Net Asset Value at the end of period</t>
  </si>
  <si>
    <t>2243</t>
  </si>
  <si>
    <t>IX</t>
  </si>
  <si>
    <t>Lợi nhuận bình quân năm (chỉ áp dụng đối với báo cáo năm)_x000D_
Average annual profit (only applicable to annual report)</t>
  </si>
  <si>
    <t>2244</t>
  </si>
  <si>
    <t>Tỷ suất lợi nhuận bình quân năm (chí áp dụng đối với báo cáo năm)_x000D_
Average annual rate of return (only applicable to annual report)</t>
  </si>
  <si>
    <t>2245</t>
  </si>
  <si>
    <t>REPORT ON ETF FUND'S INVESTMENT ACTIVITIES</t>
  </si>
  <si>
    <t>BÁO CÁO HOẠT ĐỘNG ĐẦU TƯ CỦA QUỸ ETF</t>
  </si>
  <si>
    <t>A. BÁO CÁO CHUNG VỀ HOẠT ĐỘNG ĐẦU TƯ CỦA QUỸ ETF / GENERAL INFOMATION ON ETF FUND'S INVESTMENT ACTIVITIES</t>
  </si>
  <si>
    <t>III. BÁO CÁO DANH MỤC ĐẦU TƯ CỦA QUỸ/ INVESTMENT PORFOLIO REPORT</t>
  </si>
  <si>
    <t>STT_x000D_
No.</t>
  </si>
  <si>
    <t>Loại tài sản (nêu chi tiết)_x000D_
Asset types</t>
  </si>
  <si>
    <t>Số lượng_x000D_
Quantity</t>
  </si>
  <si>
    <t>Giá thị trường hoặc giá trị hợp lý tại ngày báo cáo_x000D_
Market price</t>
  </si>
  <si>
    <t>Tổng giá trị_x000D_
Total value</t>
  </si>
  <si>
    <t>Tỷ lệ %/Tổng giá trị tài sản của quỹ_x000D_
%/Total asset value of the Fund</t>
  </si>
  <si>
    <t>2246</t>
  </si>
  <si>
    <t>CTD</t>
  </si>
  <si>
    <t>2246.1</t>
  </si>
  <si>
    <t>CTG</t>
  </si>
  <si>
    <t>2246.2</t>
  </si>
  <si>
    <t>DXG</t>
  </si>
  <si>
    <t>2246.3</t>
  </si>
  <si>
    <t>FPT</t>
  </si>
  <si>
    <t>2246.4</t>
  </si>
  <si>
    <t>GMD</t>
  </si>
  <si>
    <t>2246.5</t>
  </si>
  <si>
    <t>KDH</t>
  </si>
  <si>
    <t>2246.6</t>
  </si>
  <si>
    <t>MBB</t>
  </si>
  <si>
    <t>2246.7</t>
  </si>
  <si>
    <t>MWG</t>
  </si>
  <si>
    <t>2246.8</t>
  </si>
  <si>
    <t>9</t>
  </si>
  <si>
    <t>NLG</t>
  </si>
  <si>
    <t>2246.9</t>
  </si>
  <si>
    <t>10</t>
  </si>
  <si>
    <t>PNJ</t>
  </si>
  <si>
    <t>2246.10</t>
  </si>
  <si>
    <t>11</t>
  </si>
  <si>
    <t>REE</t>
  </si>
  <si>
    <t>2246.11</t>
  </si>
  <si>
    <t>12</t>
  </si>
  <si>
    <t>TCB</t>
  </si>
  <si>
    <t>2246.12</t>
  </si>
  <si>
    <t>13</t>
  </si>
  <si>
    <t>TPB</t>
  </si>
  <si>
    <t>2246.13</t>
  </si>
  <si>
    <t>14</t>
  </si>
  <si>
    <t>VPB</t>
  </si>
  <si>
    <t>2246.14</t>
  </si>
  <si>
    <t>Tổng</t>
  </si>
  <si>
    <t>2247</t>
  </si>
  <si>
    <t>Cổ phiếu không niêm yết_x000D_
Unlisted shares</t>
  </si>
  <si>
    <t>2248</t>
  </si>
  <si>
    <t>Tổng_x000D_
Total</t>
  </si>
  <si>
    <t>2249</t>
  </si>
  <si>
    <t>Tổng các loại cổ phiếu_x000D_
Total shares</t>
  </si>
  <si>
    <t>2250</t>
  </si>
  <si>
    <t>2251</t>
  </si>
  <si>
    <t>2252</t>
  </si>
  <si>
    <t>Các loại chứng khoán khác_x000D_
Other sercurities</t>
  </si>
  <si>
    <t>2253</t>
  </si>
  <si>
    <t>Quyền mua chứng khoán_x000D_
Investments - Rights</t>
  </si>
  <si>
    <t>2253.1</t>
  </si>
  <si>
    <t>Chi tiết loại hợp đồng phái sinh(*)_x000D_
Index future contracts</t>
  </si>
  <si>
    <t>2253.2</t>
  </si>
  <si>
    <t>2254</t>
  </si>
  <si>
    <t>Tổng các loại chứng khoán_x000D_
Total investment</t>
  </si>
  <si>
    <t>2255</t>
  </si>
  <si>
    <t>Các tài sản khác _x000D_
Other assets</t>
  </si>
  <si>
    <t>2256</t>
  </si>
  <si>
    <t>Cổ tức được nhận_x000D_
Dividend receivables</t>
  </si>
  <si>
    <t>2256.1</t>
  </si>
  <si>
    <t>Lãi trái phiếu được nhận_x000D_
Bond coupon receivables</t>
  </si>
  <si>
    <t>2256.2</t>
  </si>
  <si>
    <t>Lãi tiền gửi được nhận_x000D_
Interest receivables from deposits</t>
  </si>
  <si>
    <t>2256.3</t>
  </si>
  <si>
    <t>Tiền bán chứng khoán chờ thu (kê chi tiết)_x000D_
Receivables from investments sold but not yet settled (in details)</t>
  </si>
  <si>
    <t>2256.4</t>
  </si>
  <si>
    <t>Phải thu cho khoản cổ phiếu hạn chế chờ mua_x000D_
Receivable from AP/Investors on bought investments</t>
  </si>
  <si>
    <t>2256.5</t>
  </si>
  <si>
    <t>Phải thu khác_x000D_
Other receivables</t>
  </si>
  <si>
    <t>2256.6</t>
  </si>
  <si>
    <t>2256.7</t>
  </si>
  <si>
    <t>Trả trước phí đăng ký niêm yết cho HOSE_x000D_
Prepaid expense for listed registration at HOSE</t>
  </si>
  <si>
    <t>2256.8</t>
  </si>
  <si>
    <t>Trả trước giá dịch quản lý niêm yết cho HOSE_x000D_
Prepaid expense for listed management at HOSE</t>
  </si>
  <si>
    <t>2256.9</t>
  </si>
  <si>
    <t>2257</t>
  </si>
  <si>
    <t>2258</t>
  </si>
  <si>
    <t>Tiền gửi Ngân Hàng_x000D_
Cash at Bank</t>
  </si>
  <si>
    <t>2259</t>
  </si>
  <si>
    <t>2259.1</t>
  </si>
  <si>
    <t>2259.2</t>
  </si>
  <si>
    <t>Tiền gửi có kỳ hạn trên 3 tháng_x000D_
Term deposit greater than 3 months</t>
  </si>
  <si>
    <t>2259.3</t>
  </si>
  <si>
    <t>Chứng chỉ tiền gửi _x000D_
Certificates of deposit</t>
  </si>
  <si>
    <t>2260</t>
  </si>
  <si>
    <t>Công cụ chuyển nhượng…_x000D_
Transferable instruments…</t>
  </si>
  <si>
    <t>2261</t>
  </si>
  <si>
    <t>2262</t>
  </si>
  <si>
    <t>Tổng giá trị danh mục _x000D_
Total value of portfolio</t>
  </si>
  <si>
    <t>2263</t>
  </si>
  <si>
    <t>Mã</t>
  </si>
  <si>
    <t>Số lượng</t>
  </si>
  <si>
    <t>Giá trị thị trường/ 1 hợp đồng (100,000 VND)</t>
  </si>
  <si>
    <t>Tổng giá trị thị trường</t>
  </si>
  <si>
    <t>Tổng giá trị cam kết</t>
  </si>
  <si>
    <t>Chênh lệch giữa giá trị cam kết và giá trị thị trường</t>
  </si>
  <si>
    <t>Phụ lục 07. Mẫu báo cáo về hoạt động đầu tư của quỹ ETF_x000D_
Appendix 07. Report on Fund's Investment Activities</t>
  </si>
  <si>
    <t>BÁO CÁO HOẠT ĐỘNG ĐẦU TƯ CỦA QUỸ ETF_x000D_
REPORT ON FUND'S INVESTMENT ACTIVITIES</t>
  </si>
  <si>
    <t>V. MỘT SỐ CHỈ TIÊU KHÁC / OTHER INDICATORS</t>
  </si>
  <si>
    <t>TT_x000D_
No.</t>
  </si>
  <si>
    <t>Các chỉ tiêu về hiệu quả hoạt động_x000D_
Investment performance indicators (*)</t>
  </si>
  <si>
    <t>2264</t>
  </si>
  <si>
    <t>Tỷ lệ phí quản lý trả cho công ty quản lý quỹ/Giá trị tài sản ròng trung bình trong kỳ (%)_x000D_
Management expense over average NAV ratio (%)</t>
  </si>
  <si>
    <t>2265</t>
  </si>
  <si>
    <t>Tỷ lệ phí lưu ký, giám sát trả cho NHGS/Giá trị tài sản ròng trung bình trong kỳ (%)_x000D_
Custodian and supervising fee expense over average NAV ratio (%)</t>
  </si>
  <si>
    <t>2266</t>
  </si>
  <si>
    <t>Tỷ lệ chi phí dịch vụ quản trị quỹ,chi phí dịch vụ đại lý chuyển nhượng và các chi phí khác mà công ty quản lý quỹ trả cho tổ chức cung cấp dịch vụ có liên quan/Giá trị tài sản ròng của quỹ trung bình trong kỳ (%)_x000D_
Outsourcing service expenses over average NAV ratio (%)</t>
  </si>
  <si>
    <t>22661</t>
  </si>
  <si>
    <t>Chi phí kiểm toán trả cho tổ chức kiểm toán (nếu phát sinh)/Giá trị tài sản ròng trung bình trong kỳ  (%)_x000D_
Audit fee expense over average NAV ratio (%)</t>
  </si>
  <si>
    <t>2267</t>
  </si>
  <si>
    <t>Chi phí dịch vụ tư vấn pháp lý, dịch vụ báo giá và các dịch vụ hợp lý khác, thù lao trả cho ban đại diện quỹ/Giá trị tài sản ròng trung bình trong kỳ  (%)_x000D_
Legal consultancy, OTC price quotation and other valid service fees; Board of Representatives' remuneration expense over average NAV ratio (%)</t>
  </si>
  <si>
    <t>2268</t>
  </si>
  <si>
    <t>Tỷ lệ chi phí hoạt động/Giá trị tài sản ròng trung bình trong kỳ  (%)_x000D_
Operating expense over average NAV ratio (%)</t>
  </si>
  <si>
    <t>2269</t>
  </si>
  <si>
    <t>Tốc độ vòng quay danh mục trong kỳ (%) = (Tổng giá trị danh mục mua vào + tổng giá trị danh mục bán ra)/ 2 /Giá trị tài sản ròng trung bình trong kỳ_x000D_
Portfolio turnover rate (%) = (total value of buy-in portfolio + total proceeds of sale-out portfolio) / 2 / Average NAV (**)</t>
  </si>
  <si>
    <t>2270</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</si>
  <si>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</si>
  <si>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</si>
  <si>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</si>
  <si>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</si>
  <si>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</si>
  <si>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</si>
  <si>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</si>
  <si>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</si>
  <si>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</si>
  <si>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</si>
  <si>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</si>
  <si>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</si>
  <si>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</si>
  <si>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</si>
  <si>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</si>
  <si>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</si>
  <si>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huy động thêm trong kỳ (theo mệnh giá)_x000D_
Net subscription amount in period (based on par value)</t>
  </si>
  <si>
    <t>2278.1</t>
  </si>
  <si>
    <t>Số lượng đơn vị quỹ mua lại trong kỳ
Number of Fund Certificates redeemed during the period</t>
  </si>
  <si>
    <t>2277.2</t>
  </si>
  <si>
    <t>Giá trị vốn phải thanh toán trong kỳ khi đáp ứng lệnh của nhà đầu tư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</si>
  <si>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</si>
  <si>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</si>
  <si>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</si>
  <si>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</si>
  <si>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</si>
  <si>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</si>
  <si>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</si>
  <si>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</si>
  <si>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</si>
  <si>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</si>
  <si>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</si>
  <si>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</si>
  <si>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</si>
  <si>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danh_x000D_
Number of investors of the Fund at the end of the period</t>
  </si>
  <si>
    <t>2284.1</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</si>
  <si>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</si>
  <si>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</si>
  <si>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</si>
  <si>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</si>
  <si>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Ghi chú / Notes:</t>
  </si>
  <si>
    <t xml:space="preserve">(*)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năm)._x000D_
All Indicator starting from number 1 to 7 of "Investment performance indicators" are annualized to reflect a rate that is based on a full year operation by multiplying these indicators with 12 (monthly report) or 4 (quarterly report) or 2 (semi-annual report) or 1 (annual report). </t>
  </si>
  <si>
    <t>(**) Không tính đến giá trị cam kết của các hợp đồng tương lai chỉ số._x000D_
Excluding the committed value of the Index Futures contracts.</t>
  </si>
  <si>
    <t>Đại diện có thẩm quyền của ngân hàng giám sát</t>
  </si>
  <si>
    <t>Mã số_x000D_
Code</t>
  </si>
  <si>
    <t>Thuyết minh_x000D_
Note</t>
  </si>
  <si>
    <t>NĂM 2020_x000D_
YEAR 2020</t>
  </si>
  <si>
    <t>NĂM 2019_x000D_
YEAR 2019</t>
  </si>
  <si>
    <t>Số lũy kế_x000D_
Year-to-date</t>
  </si>
  <si>
    <t>I. THU NHẬP, DOANH THU HOẠT ĐỘNG ĐẦU TƯ_x000D_
INVESTMENT INCOME</t>
  </si>
  <si>
    <t>01</t>
  </si>
  <si>
    <t>1.1. Cổ tức, trái tức được chia_x000D_
Dividend, coupon income</t>
  </si>
  <si>
    <t>02</t>
  </si>
  <si>
    <t>Cổ tức được chia_x000D_
Dividend income</t>
  </si>
  <si>
    <t>02.1</t>
  </si>
  <si>
    <t>Trái tức được chia_x000D_
Coupon income</t>
  </si>
  <si>
    <t>02.2</t>
  </si>
  <si>
    <t>1.2. Tiền lãi được nhận_x000D_
Interest income</t>
  </si>
  <si>
    <t>03</t>
  </si>
  <si>
    <t>Lãi tiền gửi ngân hàng_x000D_
Interest income from bank deposits</t>
  </si>
  <si>
    <t>03.1</t>
  </si>
  <si>
    <t>Lãi chứng chỉ tiền gửi_x000D_
Interest income from Certificates of Deposit</t>
  </si>
  <si>
    <t>03.2</t>
  </si>
  <si>
    <t>1.3. Lãi (lỗ) thực tế phát sinh từ hoạt động đầu tư_x000D_
Realized gain (losses) from disposal investments</t>
  </si>
  <si>
    <t>04</t>
  </si>
  <si>
    <t>1.3.1. Lãi (lỗ) bán các khoản đầu tư_x000D_
Realized gain (losses) from sales investments</t>
  </si>
  <si>
    <t>04.1</t>
  </si>
  <si>
    <t>1.3.2. Lãi (lỗ) trong giao dịch hoán đổi chứng chỉ quỹ_x000D_
Realized gain (losses) from exchange trade fund certificate</t>
  </si>
  <si>
    <t>04.2</t>
  </si>
  <si>
    <t>1.3.3. Lãi (lỗ) giao dịch chứng khoán hạn chế trong giao dịch hoán đổi chứng chỉ quỹ_x000D_
Realized gain (losses) from restricted securities transaction</t>
  </si>
  <si>
    <t>04.3</t>
  </si>
  <si>
    <t>1.4. Chênh lệch tăng, giảm đánh giá lại các khoản đầu tư chưa thực hiện_x000D_
Unrealized gain (losses) from investment revaluation</t>
  </si>
  <si>
    <t>05</t>
  </si>
  <si>
    <t>1.5. Doanh thu khác_x000D_
Other income</t>
  </si>
  <si>
    <t>06</t>
  </si>
  <si>
    <t>1.6. Chênh lệch lãi, lỗ tỷ giá hối đoái đã và chưa thực hiện_x000D_
Realized and unrealized gain (losses) from foreign exchange</t>
  </si>
  <si>
    <t>07</t>
  </si>
  <si>
    <t>1.7. Doanh thu khác về đầu tư _x000D_
Other investment income</t>
  </si>
  <si>
    <t>08</t>
  </si>
  <si>
    <t>1.8. Dự phòng nợ phải thu và dự thu khó đòi về cổ tức, tiền lãi và xử lý tổn thất nợ phải thu khó đòi về cổ tức, tiền lãi_x000D_
Provision expense for bad debts from dividends, interest income and written off bad debts from dividends, interest income</t>
  </si>
  <si>
    <t>09</t>
  </si>
  <si>
    <t>II. CHI PHÍ ĐẦU TƯ_x000D_
INVESTMENT EXPENSE</t>
  </si>
  <si>
    <t>2.1. Chi phí giao dịch mua, bán các khoản đầu tư_x000D_
Expense for purchasing and selling investments</t>
  </si>
  <si>
    <t>2.1.1 Phí môi giới_x000D_
Brokerage fee</t>
  </si>
  <si>
    <t>11.1</t>
  </si>
  <si>
    <t>2.1.2 Chi phí thanh toán bù trừ_x000D_
Clearing settlement fee</t>
  </si>
  <si>
    <t>11.2</t>
  </si>
  <si>
    <t>2.2. Chi phí dự phòng nợ phải thu khó đòi và xử lý tổn thất phải thu khó đòi_x000D_
Provision expense</t>
  </si>
  <si>
    <t>2.3. Chi phí lãi vay _x000D_
Borrowing interest expense</t>
  </si>
  <si>
    <t>2.4. Chi phí dự phòng giảm giá tài sản nhận thế chấp và xử lý tổn thất các khoản đầu tư cho vay có tài sản nhận thế chấp_x000D_
Impairment expense for devaluation of assets received as pledge</t>
  </si>
  <si>
    <t>2.5. Chi phí đầu tư khác_x000D_
Other investments expense</t>
  </si>
  <si>
    <t>15</t>
  </si>
  <si>
    <t>III. CHI PHÍ HOẠT ĐỘNG CỦA QUỸ_x000D_
OPERATING EXPENSE</t>
  </si>
  <si>
    <t>20</t>
  </si>
  <si>
    <t>3.1. Phí quản lý Quỹ ETF_x000D_
Management fee</t>
  </si>
  <si>
    <t>20.1</t>
  </si>
  <si>
    <t>3.2. Phí dịch vụ lưu ký tài sản Quỹ ETF_x000D_
Custodian fee</t>
  </si>
  <si>
    <t>20.2</t>
  </si>
  <si>
    <t>3.2.1 Phí dịch vụ lưu ký - bảo quản tài sản_x000D_
Custodian service - Safe Custody Fee</t>
  </si>
  <si>
    <t>20.2.1</t>
  </si>
  <si>
    <t>3.2.2 Phí dịch vụ lưu ký - giao dịch chứng khoán_x000D_
Custodian service - Transaction fee</t>
  </si>
  <si>
    <t>20.2.2</t>
  </si>
  <si>
    <t>3.2.3 Phí dịch vụ lưu ký - phí VSD_x000D_
Custodian service -  VSD fee</t>
  </si>
  <si>
    <t>20.2.3</t>
  </si>
  <si>
    <t>3.2.4 Phí dịch vụ lưu ký - phí VSD về quản lý vị thế và tài sản ký quỹ cho các hợp đồng phái sinh_x000D_
Custodian service -  VSD fee for position and margin management of index future contracts</t>
  </si>
  <si>
    <t>20.2.4</t>
  </si>
  <si>
    <t>3.3. Phí dịch vụ giám sát_x000D_
Supervising fee</t>
  </si>
  <si>
    <t>20.3</t>
  </si>
  <si>
    <t>3.4. Phí dịch vụ quản trị Quỹ ETF_x000D_
Fund administrative fee</t>
  </si>
  <si>
    <t>20.4</t>
  </si>
  <si>
    <t>3.5. Phí dịch vụ Đại lý chuyển nhượng_x000D_
Transfer agent fee</t>
  </si>
  <si>
    <t>20.5</t>
  </si>
  <si>
    <t>3.6. Phí dịch vụ khác của Nhà cung cấp dịch vụ cho Quỹ ETF_x000D_
Other service fees</t>
  </si>
  <si>
    <t>20.6</t>
  </si>
  <si>
    <t>3.6.1. Phí cung cấp dịch vụ tính giá trị tài sản ròng tham chiếu (iNAV) trả cho HOSE_x000D_
Accrual expenses payable to HOSE for iNAV calculation</t>
  </si>
  <si>
    <t>20.6.1</t>
  </si>
  <si>
    <t>3.6.2. Phí  cấp quyền sử dụng chỉ số trả cho HOSE_x000D_
Accrual expenses payable to HOSE for Index usage</t>
  </si>
  <si>
    <t>20.6.2</t>
  </si>
  <si>
    <t>3.7. Chi phí họp, Đại hội Nhà đầu tư Quỹ ETF_x000D_
Meeting and General Meeting expense</t>
  </si>
  <si>
    <t>20.7</t>
  </si>
  <si>
    <t>3.8. Chi phí kiểm toán_x000D_
Audit expense</t>
  </si>
  <si>
    <t>20.8</t>
  </si>
  <si>
    <t>3.9. Chi phí thanh lý tài sản Quỹ ETF_x000D_
Asset disposal expense</t>
  </si>
  <si>
    <t>20.9</t>
  </si>
  <si>
    <t>3.10. Chi phí hoạt động khác_x000D_
Other operating expense</t>
  </si>
  <si>
    <t>20.10</t>
  </si>
  <si>
    <t>Thù lao ban đại diện Quỹ_x000D_
Remuneration of Fund's Board of Representatives</t>
  </si>
  <si>
    <t>20.10.01</t>
  </si>
  <si>
    <t>Chi phí công tác, họp của ban đại diện_x000D_
Fund's Board of Representatives travelling, meeting expense</t>
  </si>
  <si>
    <t>20.10.02</t>
  </si>
  <si>
    <t>Chi phí báo cáo thường niên_x000D_
Annual report expense</t>
  </si>
  <si>
    <t>20.10.03</t>
  </si>
  <si>
    <t>Chi phí cung cấp báo giá chứng khoán_x000D_
Price feed fee Expenses</t>
  </si>
  <si>
    <t>20.10.04</t>
  </si>
  <si>
    <t>Chi phí dịch vụ tư vấn pháp lý_x000D_
Legal consultancy expenses</t>
  </si>
  <si>
    <t>20.10.05</t>
  </si>
  <si>
    <t>Chi phí thiết lập Quỹ_x000D_
Setup Expenses</t>
  </si>
  <si>
    <t>20.10.06</t>
  </si>
  <si>
    <t>Phí quản lý thường niên trả UBCKNN_x000D_
Accrued fee payable to SSC</t>
  </si>
  <si>
    <t>20.10.07</t>
  </si>
  <si>
    <t>Phí ngân hàng_x000D_
Bank charges</t>
  </si>
  <si>
    <t>20.10.08</t>
  </si>
  <si>
    <t>Chi phí công bố thông tin của Quỹ_x000D_
Expenses for information disclosure of the Fund</t>
  </si>
  <si>
    <t>20.10.09</t>
  </si>
  <si>
    <t>Phí thiết kế, in ấn, gửi thư…_x000D_
Designing, printing, posting... Expense</t>
  </si>
  <si>
    <t>20.10.10</t>
  </si>
  <si>
    <t>Phí thực hiện quyền trả cho VSD_x000D_
Fee paid to VSD for getting the list of investors</t>
  </si>
  <si>
    <t>20.10.11</t>
  </si>
  <si>
    <t>Phí đăng ký niêm yết bổ sung trả VSD_x000D_
Additional registration fee pay for VSD</t>
  </si>
  <si>
    <t>20.10.12</t>
  </si>
  <si>
    <t>Phí niêm yết_x000D_
Listing fee expenses</t>
  </si>
  <si>
    <t>20.10.13</t>
  </si>
  <si>
    <t>Chi phí khác_x000D_
Other expenses</t>
  </si>
  <si>
    <t>20.10.14</t>
  </si>
  <si>
    <t>IV. KẾT QUẢ HOẠT ĐỘNG ĐẦU TƯ _x000D_
GAIN (LOSSES) FROM INVESTMENT _x000D_
(23 = 01-10-20)</t>
  </si>
  <si>
    <t>23</t>
  </si>
  <si>
    <t>V. KẾT QUẢ THU NHẬP VÀ CHI PHÍ KHÁC_x000D_
OTHER INCOME AND EXPENSE</t>
  </si>
  <si>
    <t>24</t>
  </si>
  <si>
    <t>5.1. Thu nhập khác_x000D_
Other income</t>
  </si>
  <si>
    <t>24.1</t>
  </si>
  <si>
    <t>5.2. Chi phí khác_x000D_
Other expense</t>
  </si>
  <si>
    <t>24.2</t>
  </si>
  <si>
    <t>VI. TỔNG LỢI NHUẬN KẾ TOÁN TRƯỚC THUẾ _x000D_
PROFIT BEFORE TAX_x000D_
(30=23+24)</t>
  </si>
  <si>
    <t>30</t>
  </si>
  <si>
    <t>6.1. Lợi nhuận/(lỗ) đã thực hiện_x000D_
Realized profit (losses)</t>
  </si>
  <si>
    <t>31</t>
  </si>
  <si>
    <t>6.2. Lợi nhận/(lỗ) chưa thực hiện_x000D_
Unrealized profit (losses)</t>
  </si>
  <si>
    <t>32</t>
  </si>
  <si>
    <t>VII. CHI PHÍ THUẾ TNDN_x000D_
CORPORATE INCOME TAX</t>
  </si>
  <si>
    <t>40</t>
  </si>
  <si>
    <t>VIII. LỢI NHUẬN KẾ TOÁN SAU THUẾ TNDN _x000D_
PROFIT AFTER TAX_x000D_
(41=30-40)</t>
  </si>
  <si>
    <t>41</t>
  </si>
  <si>
    <t>(Ban hành kèm theo Thông tư số 181/2015/TT-BTC ngày 13 tháng 11 năm 2015 của Bộ Tài chính hướng dẫn thành lập và quản lý quỹ hoán đổi danh mục)_x000D_
(Issued in association with Circular 181/2015/TT-BTC dated 13 Nov 2015 guiding establishment and management of Exchange Traded Fund)</t>
  </si>
  <si>
    <t>BÁO CÁO THU NHẬP</t>
  </si>
  <si>
    <t>STATEMENT OF COMPREHENSIVE INCOME</t>
  </si>
  <si>
    <t>Người lập biểu</t>
  </si>
  <si>
    <t>Kế toán trưởng</t>
  </si>
  <si>
    <t>Tổng giám đốc</t>
  </si>
  <si>
    <t>(Ký, họ tên)</t>
  </si>
  <si>
    <t>(Ký, họ tên, đóng dấu)</t>
  </si>
  <si>
    <t>Mẫu số B02 - ETF. Báo cáo tình hình tài chính_x000D_
Template B02 - ETF. Statement of Financial Position</t>
  </si>
  <si>
    <t>BÁO CÁO TÌNH HÌNH TÀI CHÍNH_x000D_
STATEMENT OF FINANCIAL POSITION</t>
  </si>
  <si>
    <t>CHỈ TIÊU_x000D_
Indicators</t>
  </si>
  <si>
    <t>Thuyết minh_x000D_
Notes</t>
  </si>
  <si>
    <t>I.TÀI SẢN_x000D_
ASSETS</t>
  </si>
  <si>
    <t>1.Tiền gửi ngân hàng và tương đương tiền_x000D_
Cash at bank and cash equivalent</t>
  </si>
  <si>
    <t>110</t>
  </si>
  <si>
    <t>1.1</t>
  </si>
  <si>
    <t>1.1. Tiền gửi ngân hàng_x000D_
Cash at bank</t>
  </si>
  <si>
    <t>111</t>
  </si>
  <si>
    <t>Tiền gửi của nhà đầu tư cho hoạt động mua chứng chỉ quỹ_x000D_
Cash at bank for Fund's subscription</t>
  </si>
  <si>
    <t>111.1</t>
  </si>
  <si>
    <t>111.2</t>
  </si>
  <si>
    <t>111.3</t>
  </si>
  <si>
    <t>Tiền gửi ký quỹ cho hoạt động đầu tư chứng khoán phái sinh_x000D_
Margin account for trading derivatives</t>
  </si>
  <si>
    <t>111.4</t>
  </si>
  <si>
    <t>1.2</t>
  </si>
  <si>
    <t>1.2. Tiền gửi có kỳ hạn dưới 3 tháng_x000D_
Deposit with term less than 3 months</t>
  </si>
  <si>
    <t>112</t>
  </si>
  <si>
    <t>1.3</t>
  </si>
  <si>
    <t>1.3. Tài khoản phong tỏa_x000D_
Escrow account</t>
  </si>
  <si>
    <t>113</t>
  </si>
  <si>
    <t>2. Các khoản đầu tư thuần_x000D_
Investment</t>
  </si>
  <si>
    <t>120</t>
  </si>
  <si>
    <t>2.1</t>
  </si>
  <si>
    <t>2.1. Các khoản đầu tư_x000D_
Investment</t>
  </si>
  <si>
    <t>121</t>
  </si>
  <si>
    <t>Cổ phiếu niêm yết_x000D_
Listed Shares</t>
  </si>
  <si>
    <t>121.1</t>
  </si>
  <si>
    <t>Cổ phiếu chưa niêm yết_x000D_
Unlisted Shares</t>
  </si>
  <si>
    <t>121.2</t>
  </si>
  <si>
    <t>Trái phiếu niêm yết_x000D_
Listed Bonds</t>
  </si>
  <si>
    <t>121.3</t>
  </si>
  <si>
    <t>Trái phiếu chưa niêm yết_x000D_
Unlisted Bonds</t>
  </si>
  <si>
    <t>121.4</t>
  </si>
  <si>
    <t>Chứng chỉ tiền gửi_x000D_
Certificates of Deposit</t>
  </si>
  <si>
    <t>121.5</t>
  </si>
  <si>
    <t>121.6</t>
  </si>
  <si>
    <t>Quyền mua chứng khoán
Investments - Rights</t>
  </si>
  <si>
    <t>121.7</t>
  </si>
  <si>
    <t>121.8</t>
  </si>
  <si>
    <t>Đầu tư khác_x000D_
Other Investments</t>
  </si>
  <si>
    <t>121.9</t>
  </si>
  <si>
    <t>2.2</t>
  </si>
  <si>
    <t>2.2. Dự phòng giảm giá tài sản nhận thế chấp_x000D_
Impairment of devaluation of assets as pledge</t>
  </si>
  <si>
    <t>122</t>
  </si>
  <si>
    <t>3. Các khoản phải thu_x000D_
Receivables</t>
  </si>
  <si>
    <t>130</t>
  </si>
  <si>
    <t>3.1</t>
  </si>
  <si>
    <t>3.1 Phải thu về bán các khoản đầu tư_x000D_
Receivables from investments sold but not yet settled</t>
  </si>
  <si>
    <t>131</t>
  </si>
  <si>
    <t>Trong đó: Phải thu khó đòi về bán các khoản đầu tư_x000D_
In which: Overdue receivables from selling investments</t>
  </si>
  <si>
    <t>132</t>
  </si>
  <si>
    <t>3.2</t>
  </si>
  <si>
    <t>3.2. Phải thu và dự thu cổ tức, tiền lãi các khoản đầu tư_x000D_
Dividend and interest receivables</t>
  </si>
  <si>
    <t>133</t>
  </si>
  <si>
    <t>3.2.1</t>
  </si>
  <si>
    <t>3.2.1. Phải thu cổ tức, tiền lãi đến ngày nhận_x000D_
Dividend and interest receivables on or after payment date</t>
  </si>
  <si>
    <t>134</t>
  </si>
  <si>
    <t>Phải thu cổ tức_x000D_
Dividend receivable</t>
  </si>
  <si>
    <t>134.1</t>
  </si>
  <si>
    <t>134.2</t>
  </si>
  <si>
    <t>Phải thu lãi tiền gửi có kỳ hạn dưới 3 tháng_x000D_
Interest receivables from deposit with term less than three (03) months</t>
  </si>
  <si>
    <t>134.3</t>
  </si>
  <si>
    <t>134.4</t>
  </si>
  <si>
    <t>Phải thu lãi chứng chỉ tiền gửi_x000D_
Interest receivables from Certificates of Deposit</t>
  </si>
  <si>
    <t>134.5</t>
  </si>
  <si>
    <t>Trong đó: Phải thu khó đòi về cổ tức, tiền lãi đến ngày nhận nhưng chưa nhận được_x000D_
In which: Overdue receivables from dividend, interest income</t>
  </si>
  <si>
    <t>135</t>
  </si>
  <si>
    <t>3.2.2</t>
  </si>
  <si>
    <t>3.2.2. Dự thu cổ tức, tiền lãi chưa đến ngày nhận _x000D_
Dividend and interest receivables before payment date</t>
  </si>
  <si>
    <t>136</t>
  </si>
  <si>
    <t>Dự thu cổ tức_x000D_
Dividend receivables</t>
  </si>
  <si>
    <t>136.1</t>
  </si>
  <si>
    <t>Dự thu lãi trái phiếu_x000D_
Bond coupon receivables</t>
  </si>
  <si>
    <t>136.2</t>
  </si>
  <si>
    <t>Dự thu lãi tiền gửi có kỳ hạn dưới 3 tháng_x000D_
Interest acrrual from deposit with term less than three (03) months</t>
  </si>
  <si>
    <t>136.3</t>
  </si>
  <si>
    <t>Dự thu lãi tiền gửi có kỳ hạn trên 3 tháng_x000D_
Interest accrual from deposit with term more than three (03) months</t>
  </si>
  <si>
    <t>136.4</t>
  </si>
  <si>
    <t>Dự thu lãi chứng chỉ tiền gửi_x000D_
Interest accrual from Certificates of Deposit</t>
  </si>
  <si>
    <t>136.5</t>
  </si>
  <si>
    <t>3.3</t>
  </si>
  <si>
    <t>3.3. Các khoản phải thu khác_x000D_
Other receivables</t>
  </si>
  <si>
    <t>137</t>
  </si>
  <si>
    <t>Phải thu cho khoản cổ phiếu hạn chế chờ mua_x000D_
Receivable from AP/Investors on securities on hold of buying</t>
  </si>
  <si>
    <t>137.1</t>
  </si>
  <si>
    <t>137.2</t>
  </si>
  <si>
    <t>137.2.1</t>
  </si>
  <si>
    <t>Trả trước giá dịch vụ đăng ký niêm yết cho HOSE_x000D_
Prepaid expense for listed registration at HOSE</t>
  </si>
  <si>
    <t>137.2.2</t>
  </si>
  <si>
    <t>137.2.3</t>
  </si>
  <si>
    <t>Trả trước lệ phí cấp giấy chứng nhận hoạt động Quỹ ETF_x000D_
Prepaid expense for Register fee for ETF operation payable to SSC</t>
  </si>
  <si>
    <t>137.2.4</t>
  </si>
  <si>
    <t>137.3</t>
  </si>
  <si>
    <t>3.4</t>
  </si>
  <si>
    <t>3.4. Dự phòng nợ phải thu khó đòi_x000D_
Provision for doubtful debt</t>
  </si>
  <si>
    <t>138</t>
  </si>
  <si>
    <t>TỔNG TÀI SẢN_x000D_
TOTAL ASSETS</t>
  </si>
  <si>
    <t>100</t>
  </si>
  <si>
    <t>II. NỢ PHẢI TRẢ_x000D_
TOTAL LIABILITIES</t>
  </si>
  <si>
    <t>1. Vay ngắn hạn_x000D_
Short-term borrowings</t>
  </si>
  <si>
    <t>311</t>
  </si>
  <si>
    <t>Gốc khoản vay ngắn hạn_x000D_
Short-term loans Principal</t>
  </si>
  <si>
    <t>311.1</t>
  </si>
  <si>
    <t>Trích trước lãi vay ngắn hạn_x000D_
Accrued Interest Expense</t>
  </si>
  <si>
    <t>311.2</t>
  </si>
  <si>
    <t>2. Phải trả về mua các khoản đầu tư_x000D_
Payables for securities purchased but not yet settled</t>
  </si>
  <si>
    <t>312</t>
  </si>
  <si>
    <t>3. Phải trả phí cho các Đại lý phân phối, Công ty quản lý Quỹ về mua bán CCQ_x000D_
Subscription and Redemption fee payable to distributors and fund management company</t>
  </si>
  <si>
    <t>313</t>
  </si>
  <si>
    <t>Phải trả phí cho các đại lý phân phối về mua bán CCQ_x000D_
Subscription and Redemption fee payable to distributors</t>
  </si>
  <si>
    <t>313.1</t>
  </si>
  <si>
    <t>Phải trả phí cho Công ty Quản lý Quỹ về mua bán CCQ_x000D_
Subscription and Redemption fee payable to fund management company</t>
  </si>
  <si>
    <t>313.2</t>
  </si>
  <si>
    <t>4. Thuế và các khoản phải nộp Nhà nước_x000D_
Tax payables and obligations to the State Budget</t>
  </si>
  <si>
    <t>314</t>
  </si>
  <si>
    <t>5.Phải trả thu nhập cho Nhà đầu tư_x000D_
Profit distribution payables</t>
  </si>
  <si>
    <t>315</t>
  </si>
  <si>
    <t>6. Chi phí phải trả _x000D_
Accual Expenses</t>
  </si>
  <si>
    <t>316</t>
  </si>
  <si>
    <t>Phí môi giới_x000D_
Brokerage fee payable</t>
  </si>
  <si>
    <t>316.1</t>
  </si>
  <si>
    <t>Trích trước phí kiểm toán_x000D_
Accrued expense for audit fee</t>
  </si>
  <si>
    <t>316.2</t>
  </si>
  <si>
    <t>Trích trước phí họp đại hội thường niên_x000D_
Accrued expense for Annual General meeting</t>
  </si>
  <si>
    <t>316.3</t>
  </si>
  <si>
    <t>Trích trước phí báo cáo thường niên_x000D_
Accrued expense for Annual report</t>
  </si>
  <si>
    <t>316.4</t>
  </si>
  <si>
    <t>Trích trước thù lao ban đại diện quỹ_x000D_
Accrued expense for Remuneration Payable to Fund's Board of Representatives</t>
  </si>
  <si>
    <t>316.5</t>
  </si>
  <si>
    <t>Trích trước phí quản lý niêm yết hàng năm tại SGDCK _x000D_
Accrued expense for listing fee at HOSE</t>
  </si>
  <si>
    <t>316.6</t>
  </si>
  <si>
    <t>Trích trước phí quản lý thường niên trả cho UBCKNN_x000D_
Accrued expense for Annual Fee pay to SSC</t>
  </si>
  <si>
    <t>316.7</t>
  </si>
  <si>
    <t>7. Phải trả cho Nhà đầu tư về mua Chứng chỉ quỹ_x000D_
Subcription payable to investors</t>
  </si>
  <si>
    <t>317</t>
  </si>
  <si>
    <t>8. Phải trả cho Nhà đầu tư về mua lại Chứng chỉ quỹ_x000D_
Redemption payable to investors</t>
  </si>
  <si>
    <t>318</t>
  </si>
  <si>
    <t>9. Phải trả dịch vụ quản lý Quỹ ETF_x000D_
Fund management related service expense payable</t>
  </si>
  <si>
    <t>319</t>
  </si>
  <si>
    <t>9.1</t>
  </si>
  <si>
    <t>9.1 Trích trước phải trả phí quản lý_x000D_
Expense accruals for Management fee</t>
  </si>
  <si>
    <t>319.1</t>
  </si>
  <si>
    <t>9.2</t>
  </si>
  <si>
    <t>9.2 Trích trước phí lưu ký tài sản Quỹ mở_x000D_
Accrued expense for Custodian fee</t>
  </si>
  <si>
    <t>319.2</t>
  </si>
  <si>
    <t>9.2.1 Phí dịch vụ lưu ký - bảo quản tài sản_x000D_
Custodian service - Safe Custody Fee</t>
  </si>
  <si>
    <t>319.2.1</t>
  </si>
  <si>
    <t>9.2.2 Phí dịch vụ lưu ký - giao dịch chứng khoán_x000D_
Custodian service - Transaction fee</t>
  </si>
  <si>
    <t>319.2.2</t>
  </si>
  <si>
    <t>9.2.3 Phí dịch vụ lưu ký - phí VSD_x000D_
Custodian service -  VSD fee</t>
  </si>
  <si>
    <t>319.2.3</t>
  </si>
  <si>
    <t>9.2.4 Phí dịch vụ lưu ký - phí VSD về quản lý vị thế và tài sản ký quỹ cho các hợp đồng phái sinh_x000D_
Custodian service -  VSD fee for position and margin management of index future contracts</t>
  </si>
  <si>
    <t>319.2.4</t>
  </si>
  <si>
    <t>9.3</t>
  </si>
  <si>
    <t>9.3 Trích trước phí quản trị quỹ_x000D_
Accrued expense for Fund administration fee</t>
  </si>
  <si>
    <t>319.3</t>
  </si>
  <si>
    <t>9.4</t>
  </si>
  <si>
    <t>9.4 Trích trước phí giám sát_x000D_
Accrued expense for Supervising fee</t>
  </si>
  <si>
    <t>319.4</t>
  </si>
  <si>
    <t>9.5</t>
  </si>
  <si>
    <t>9.5 Trích trước phí dịch vụ đại lý chuyển nhượng_x000D_
Accrued expense for Tranfer agency fee</t>
  </si>
  <si>
    <t>319.5</t>
  </si>
  <si>
    <t>9.6</t>
  </si>
  <si>
    <t>9.6 Dự chi phí cung cấp dịch vụ tính giá trị tài sản ròng tham chiếu (iNAV) cho HOSE_x000D_
Accrued expense for payable to HOSE for iNAV calculation</t>
  </si>
  <si>
    <t>319.6</t>
  </si>
  <si>
    <t>9.7</t>
  </si>
  <si>
    <t>9.7 Dự chi phí cấp quyền sử dụng chỉ số cho HOSE_x000D_
Accrued expense for payable to HOSE for Index usage</t>
  </si>
  <si>
    <t>319.7</t>
  </si>
  <si>
    <t>10. Phải trả, phải nộp khác_x000D_
Other payables</t>
  </si>
  <si>
    <t>320</t>
  </si>
  <si>
    <t>10.1</t>
  </si>
  <si>
    <t>10.1 Phải trả phí báo giá_x000D_
Price feed fee payable</t>
  </si>
  <si>
    <t>320.1</t>
  </si>
  <si>
    <t>10.2</t>
  </si>
  <si>
    <t>10.2 Trích trước phí công tác, họp của ban đại diện_x000D_
Accrued expense for Fund's Board of Representatives travelling, meeting</t>
  </si>
  <si>
    <t>320.2</t>
  </si>
  <si>
    <t>10.3</t>
  </si>
  <si>
    <t>10.3 Phải trả khác_x000D_
Other payables</t>
  </si>
  <si>
    <t>320.3</t>
  </si>
  <si>
    <t>320.3.1</t>
  </si>
  <si>
    <t>320.3.2</t>
  </si>
  <si>
    <t>Phí đăng ký niêm yết trả HOSE_x000D_
Listed register fee payable to HOSE</t>
  </si>
  <si>
    <t>320.3.3</t>
  </si>
  <si>
    <t>320.3.4</t>
  </si>
  <si>
    <t>Chi phí phải trả khác của Quỹ_x000D_
Other expenses</t>
  </si>
  <si>
    <t>320.3.5</t>
  </si>
  <si>
    <t>TỔNG NỢ PHẢI TRẢ_x000D_
TOTAL LIABILITIES</t>
  </si>
  <si>
    <t>300</t>
  </si>
  <si>
    <t>III. GIÁ TRỊ TÀI SẢN RÒNG CÓ THỂ PHÂN PHỐI CHO NHÀ ĐẦU TƯ NẮM GIỮ CHỨNG CHỈ QUỸ MỞ (I-II)_x000D_
DISTRIBUTABLE NET ASSET VALUE (I-II)</t>
  </si>
  <si>
    <t>400</t>
  </si>
  <si>
    <t>1. Vốn góp của Nhà đầu tư_x000D_
Paid up capital</t>
  </si>
  <si>
    <t>411</t>
  </si>
  <si>
    <t>1.1 Vốn góp phát hành_x000D_
Capital from subscription</t>
  </si>
  <si>
    <t>412</t>
  </si>
  <si>
    <t>1.2 Vốn góp mua lại_x000D_
Capital from redemption</t>
  </si>
  <si>
    <t>413</t>
  </si>
  <si>
    <t>2. Thặng dư vốn góp của Nhà đầu tư_x000D_
Share premium</t>
  </si>
  <si>
    <t>414</t>
  </si>
  <si>
    <t>3. Lợi nhuận chưa phân phối _x000D_
Undistributed earnings</t>
  </si>
  <si>
    <t>420</t>
  </si>
  <si>
    <t>3.1 Lợi nhuận chưa phân phối đầu kỳ_x000D_
Retained earning at the beginning of the period</t>
  </si>
  <si>
    <t>420.1</t>
  </si>
  <si>
    <t>3.2 Lợi nhuận chưa phân phối trong kỳ_x000D_
Retained earning during the period</t>
  </si>
  <si>
    <t>420.2</t>
  </si>
  <si>
    <t>IV. GIÁ TRỊ TÀI SẢN RÒNG QUỸ MỞ TRÊN 1 ĐƠN VỊ CHỨNG CHỈ QUỸ (IV=(I-II)/III)_x000D_
NET ASSET VALUE  PER FUND CERTIFICATE</t>
  </si>
  <si>
    <t>430</t>
  </si>
  <si>
    <t>V. LỢI NHUẬN ĐÃ PHÂN PHỐI CHO NHÀ ĐẦU TƯ_x000D_
DISTRIBUTED EARNINGS</t>
  </si>
  <si>
    <t>440</t>
  </si>
  <si>
    <t>441</t>
  </si>
  <si>
    <t>442</t>
  </si>
  <si>
    <t>VI. CÁC CHỈ TIÊU NGOÀI BÁO CÁO TÌNH HÌNH TÀI CHÍNH_x000D_
OFF BALANCE SHEET ITEMS</t>
  </si>
  <si>
    <t>1. Tài sản nhận thế chấp_x000D_
Assets received as pledge</t>
  </si>
  <si>
    <t>001</t>
  </si>
  <si>
    <t>2. Nợ khó đòi đã xử lý_x000D_
Written off bad debts</t>
  </si>
  <si>
    <t>002</t>
  </si>
  <si>
    <t>3. Ngoại tệ các loại_x000D_
Foreign currencies</t>
  </si>
  <si>
    <t>003</t>
  </si>
  <si>
    <t>4. Số lượng Chứng chỉ quỹ đang lưu hành_x000D_
Number of outstanding fund certificates</t>
  </si>
  <si>
    <t>004</t>
  </si>
  <si>
    <t>Mẫu số B03 - ETF: Mẫu báo cáo thay đổi giá trị tài sản ròng, giao dịch chứng chỉ quỹ_x000D_
Template B03 - ETF: Report on change of Net Asset Value, trading of Fund Certificate</t>
  </si>
  <si>
    <t>BÁO CÁO THAY ĐỔI GIÁ TRỊ TÀI SẢN RÒNG, GIAO DỊCH CHỨNG CHỈ QŨY_x000D_
REPORT ON CHANGE OF NET ASSET VALUE, TRADING OF FUND CERTIFICATE</t>
  </si>
  <si>
    <t>Công ty quản lý quỹ:</t>
  </si>
  <si>
    <t>Supervising Bank</t>
  </si>
  <si>
    <t>Kỳ báo cáo:</t>
  </si>
  <si>
    <t>Reporting date:</t>
  </si>
  <si>
    <t>Đơn vị tính/Curency: VND</t>
  </si>
  <si>
    <t>STT_x000D_
No</t>
  </si>
  <si>
    <t>Nội dung_x000D_
Description</t>
  </si>
  <si>
    <t>Mã số_x000D_
Item No</t>
  </si>
  <si>
    <t>Giá trị tài sản ròng của Quỹ ETF (NAV) đầu kỳ _x000D_
Net Asset Value (NAV) at the beginning of period</t>
  </si>
  <si>
    <t>4060</t>
  </si>
  <si>
    <t>Thay đổi NAV so với kỳ trước (= II.1 + II.2), trong đó:_x000D_
Change of NAV during the period (= II.1 + II.2), of which:</t>
  </si>
  <si>
    <t>4061</t>
  </si>
  <si>
    <t>Trong đó:</t>
  </si>
  <si>
    <t>Thay đổi NAV do biến động thị trường và hoạt động giao dịch của Quỹ ETF trong kỳ_x000D_
Changes of NAV due to market fluctuation and the fund's investment during the period</t>
  </si>
  <si>
    <t>4062</t>
  </si>
  <si>
    <t>Thay đổi NAV do phân chia Lợi nhuận/Tài sản của Quỹ ETF cho Nhà đầu tư trong kỳ_x000D_
Change of NAV due to profit distribution to investors during the period</t>
  </si>
  <si>
    <t>4063</t>
  </si>
  <si>
    <t>Thay đổi NAV do hoán đổi lại, phát hành thêm Chứng chỉ Quỹ ETF (= III.1 + III.2)_x000D_
Change of NAV due to redemption, subscription of Fund Certificate (= III.1 + III.2)</t>
  </si>
  <si>
    <t>4064</t>
  </si>
  <si>
    <t>III.1</t>
  </si>
  <si>
    <t>Khoản thu từ việc phát hành bổ sung Chứng chỉ Quỹ ETF _x000D_
Increase from Subscription of Fund Certificate</t>
  </si>
  <si>
    <t>4065</t>
  </si>
  <si>
    <t>III.2</t>
  </si>
  <si>
    <t>Khoản thanh toán từ việc hoán đổi lại Chứng chỉ Quỹ ETF_x000D_
Decrease from Redemption of Fund Certificate</t>
  </si>
  <si>
    <t>4066</t>
  </si>
  <si>
    <t>Giá trị tài sản ròng của Quỹ ETF cuối kỳ ( = I + II + III)_x000D_
NAV at the end of period (= I + II + III)</t>
  </si>
  <si>
    <t>4067</t>
  </si>
  <si>
    <t>Giá trị tài sản ròng trên một đơn vị quỹ tại ngày định giá_x000D_
NAV per unit at valuation date</t>
  </si>
  <si>
    <t>4067.1</t>
  </si>
  <si>
    <t>Người lập</t>
  </si>
  <si>
    <t>Tổng Giám đốc</t>
  </si>
  <si>
    <t>BÁO CÁO VỀ THAY ĐỔI GIÁ TRỊ TÀI SẢN RÒNG_x000D_
REPORT ON CHANGE OF NET ASSET VALUE CERTIFICATE</t>
  </si>
  <si>
    <t>Fund Management Company:_x000D_</t>
  </si>
  <si>
    <t>Supervising bank: _x000D_</t>
  </si>
  <si>
    <t>Tên Quỹ:_x000D_</t>
  </si>
  <si>
    <t>STT_x000D_
NO</t>
  </si>
  <si>
    <t>CHỈ TIÊU_x000D_
CRITERIA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</si>
  <si>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</si>
  <si>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</si>
  <si>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</si>
  <si>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</si>
  <si>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</si>
  <si>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</si>
  <si>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</si>
  <si>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</si>
  <si>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</si>
  <si>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</si>
  <si>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</si>
  <si>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</si>
  <si>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</si>
  <si>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</si>
  <si>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</si>
  <si>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</si>
  <si>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</si>
  <si>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</si>
  <si>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đó_x000D_
Change of net asset value per certificate during the period, in which</t>
  </si>
  <si>
    <t>2107</t>
  </si>
  <si>
    <t>Thay đổi do các hoạt động liên quan đến đầu tư của quỹ trong kỳ_x000D_
Change due to investment activities</t>
  </si>
  <si>
    <t>2108</t>
  </si>
  <si>
    <t>Thay đổi Giá trị tài sản ròng của Quỹ liên quan tới nhà đầu tư trong kỳ_x000D_
Change of net asset value related to investors during the period</t>
  </si>
  <si>
    <t>2109</t>
  </si>
  <si>
    <t>Thay đổi giá trị tài sản ròng của Quỹ do việc phân phối thu nhập của Quỹ cho các nhà đầu tư trong kỳ_x000D_
Change of Net Asset Value due to profit distribution to investors during the period</t>
  </si>
  <si>
    <t>2109.1</t>
  </si>
  <si>
    <t>Thay đổi GTTSR do mua lại, phát hành thêm Chứng chỉ Quỹ_x000D_
Change of NAV due to subscription, redemption during the period</t>
  </si>
  <si>
    <t>2109.2</t>
  </si>
  <si>
    <t>A.4</t>
  </si>
  <si>
    <t>Giá trị tài sản ròng cao nhất/thấp nhất trong vòng 52 tuần gần nhất_x000D_
Highest/ lowest Net asset value for 52 weeks</t>
  </si>
  <si>
    <t>2110</t>
  </si>
  <si>
    <t>Giá trị cao nhất/highest value (VND)</t>
  </si>
  <si>
    <t>2111</t>
  </si>
  <si>
    <t>Giá trị thấp nhất/lowest value (VND)</t>
  </si>
  <si>
    <t>2112</t>
  </si>
  <si>
    <t>Giá trị thị trường (giá đóng cửa cuối phiên giao dịch trong ngày báo cáo) của một chứng chỉ quỹ_x000D_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</si>
  <si>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</si>
  <si>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</si>
  <si>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</si>
  <si>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</si>
  <si>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</si>
  <si>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</si>
  <si>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</si>
  <si>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trước_x000D_
Change of market price from this period to last period</t>
  </si>
  <si>
    <t>2117</t>
  </si>
  <si>
    <t>B.4</t>
  </si>
  <si>
    <t>Chênh lệch giữa giá thị trường của một chứng chỉ quỹ và giá trị tài sản ròng trên một chứng chỉ quỹ_x000D_
Variance between Market price and Net asset value of one Fund Certificate</t>
  </si>
  <si>
    <t>2118</t>
  </si>
  <si>
    <t>Chênh lệch tuyệt đối/ Absolute variance (VND)</t>
  </si>
  <si>
    <t>2119</t>
  </si>
  <si>
    <t>Chênh lệch tương đối (mức độ chiết khấu (-)/thặng dư (+))_x000D_
Relative variance (discount (-)/surplus (+))</t>
  </si>
  <si>
    <t>2120</t>
  </si>
  <si>
    <t>B.5</t>
  </si>
  <si>
    <t>Giá trị thị trường cao nhất/thấp nhất trong vòng 52 tuần gần nhất_x000D_
Highest/lowest market value within the nearest 52 weeks</t>
  </si>
  <si>
    <t>2121</t>
  </si>
  <si>
    <t>Giá trị cao nhất/Highest value (VND)</t>
  </si>
  <si>
    <t>2122</t>
  </si>
  <si>
    <t>Giá trị thấp nhất/Lowest value (VND)</t>
  </si>
  <si>
    <t>2123</t>
  </si>
  <si>
    <t>Phó Trưởng Phòng DVKHTC2</t>
  </si>
  <si>
    <t>NGÔ THÙY DƯƠNG</t>
  </si>
  <si>
    <t>TRẦN THANH TÂN</t>
  </si>
  <si>
    <t>Tháng 05 năm 2020_x000D_
May 2020</t>
  </si>
  <si>
    <t>Mẫu số B01 - ETF. Báo cáo thu nhập_x000D_
Template B01 - ETF. Statement of Comprehensive Income</t>
  </si>
  <si>
    <t>QUỸ ETF VFMVN DIAMOND_x000D_</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</si>
  <si>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</si>
  <si>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Tại ngày 30 tháng 06 năm 2020/ As at 30 June 2020</t>
  </si>
  <si>
    <t>Tháng 06 năm 2020/ June 2020</t>
  </si>
  <si>
    <t>Tại ngày 30 tháng 06  năm 2020 
As at 30 Jun 2020</t>
  </si>
  <si>
    <t>Tại ngày 30 tháng 06  năm 2020 _x000D_
As at 30 Jun 2020</t>
  </si>
  <si>
    <t>Trích trước phí lưu ký tài sản Quỹ ETF_x000D_
Accrued expenses for Custion services</t>
  </si>
  <si>
    <r>
      <t xml:space="preserve">(*) Quỹ được cấp phép thành lập ngày 22/04/2020 nên không có số liệu tại năm 2019._x000D_
</t>
    </r>
    <r>
      <rPr>
        <i/>
        <sz val="8"/>
        <color indexed="8"/>
        <rFont val="Tahoma"/>
        <family val="2"/>
      </rPr>
      <t>Fund Registration Certificate was granted on 22/04/2020, so data for 2019 is left blank.</t>
    </r>
  </si>
  <si>
    <t>Tổng Giám Đốc</t>
  </si>
  <si>
    <t>Ngô Thùy Dương</t>
  </si>
  <si>
    <t>Trần Thanh Tân</t>
  </si>
  <si>
    <t>Tháng 06 năm 2020 / June 2020</t>
  </si>
  <si>
    <t>Tháng 06 năm 2020_x000D_
Jun 2020</t>
  </si>
  <si>
    <t>2256.10</t>
  </si>
  <si>
    <t>Tháng 06 năm 2019_x000D_
Jun 2019</t>
  </si>
  <si>
    <t>Tại ngày: 30 tháng 06 năm 2020 / As at 30 Jun 2020</t>
  </si>
  <si>
    <t>Vương Thị Trâm Anh</t>
  </si>
  <si>
    <t>Phụ lục số 15: Báo cáo về thay đổi giá trị tài sản ròng_x000D_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</si>
  <si>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</si>
  <si>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</si>
  <si>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Mã chứng khoán:</t>
  </si>
  <si>
    <t>FUEVFVND</t>
  </si>
  <si>
    <t xml:space="preserve">Code: </t>
  </si>
  <si>
    <t>01/07/2020</t>
  </si>
  <si>
    <t>01 Jul 2020</t>
  </si>
  <si>
    <t xml:space="preserve">Đơn vị tính/ Currency: VND   </t>
  </si>
  <si>
    <t>MÃ SỐ_x000D_
Item No</t>
  </si>
  <si>
    <t>KỲ BÁO CÁO_x000D_
THIS PERIOD_x000D_
30/06/2020</t>
  </si>
  <si>
    <t>KỲ TRƯỚC_x000D_
LAST PERIOD_x000D_
 31/05/2020</t>
  </si>
  <si>
    <t>Đại diện có thẩm quyền của Ngân Hàng Giám Sát</t>
  </si>
  <si>
    <t>Đại diện có thẩm quyền của Công ty Quản lý Quỹ</t>
  </si>
  <si>
    <t>Tại ngày 30 tháng 06 năm 2020 / As at 30 June 2020</t>
  </si>
  <si>
    <t>Phạm Thanh Dũng</t>
  </si>
  <si>
    <t>Tiền gửi của nhà đầu tư cho hoạt động mua chứng chỉ quỹ 
Cash at bank for Fund's subscription</t>
  </si>
  <si>
    <t>Tiền phải trả nhà đầu tư về mua lại chứng chỉ Quỹ
Cash at bank for Fund's redemption</t>
  </si>
  <si>
    <t>Phải trả phí cho các Đại lý phân phối về mua bán chứng chỉ Quỹ
Subcription and Redemption fee payable for distributors</t>
  </si>
  <si>
    <t>Phải trả phí cho các Công ty quản lý quỹ về mua bán chứng chỉ Quỹ
Subcription and Redemption fee payable for Fund management company</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</si>
  <si>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 2019 amending and supplementing a number of Circulars guiding on reporting  and administration of Fund Management Companies, Securities Investment Funds and  Securities Investment Companies)</t>
  </si>
  <si>
    <t>Phụ lục số 07. Mẫu Báo cáo hoạt động đầu tư của quỹ ETF
Appendix 07. Report on Fund's Investment Activities</t>
  </si>
  <si>
    <t>Lợi nhuận đã phân phối cho Nhà đầu tư lũy kế từ khi thành lập Quỹ mở đến kỳ lập báo cáo này_x000D_
Accumulated distributed profit/ assets</t>
  </si>
  <si>
    <t>Lợi nhuận/Tài sản đã phân phối cho Nhà đầu tư trong năm_x000D_
Distributed earnings assets in the period</t>
  </si>
  <si>
    <t>TỔNG TÀI SẢN
TOTAL ASSETS</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</si>
</sst>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_-* #,##0.00\ _₫_-;\-* #,##0.00\ _₫_-;_-* &quot;-&quot;??\ _₫_-;_-@_-"/>
    <numFmt numFmtId="165" formatCode="dd/mmm/yyyy"/>
    <numFmt numFmtId="166" formatCode="_(* #,##0_);_(* \(#,##0\);_(* &quot;-&quot;??_);_(@_)"/>
    <numFmt numFmtId="167" formatCode="[$-1010000]d/m/yyyy;@"/>
    <numFmt numFmtId="168" formatCode="#,##0.00%"/>
    <numFmt numFmtId="169" formatCode="#,##0;\(#,##0\);"/>
    <numFmt numFmtId="170" formatCode="&quot;&quot;#,##0"/>
    <numFmt numFmtId="171" formatCode="#,##0;\(#,##0\);\ "/>
    <numFmt numFmtId="172" formatCode="#,##0.00;\(#,##0.00\);\ "/>
    <numFmt numFmtId="173" formatCode="#0.00%;\(#0.00\)%;\ "/>
    <numFmt numFmtId="174" formatCode="[$-409]d\-mmm\-yyyy;@"/>
  </numFmts>
  <fonts count="45" x14ac:knownFonts="1">
    <font>
      <sz val="11"/>
      <color theme="1"/>
      <name val="Calibri"/>
      <family val="2"/>
      <scheme val="minor"/>
    </font>
    <font>
      <sz val="10"/>
      <color theme="1"/>
      <name val="Calibri"/>
      <family val="2"/>
      <scheme val="minor"/>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2"/>
      <color theme="1"/>
      <name val="Times New Roman"/>
      <family val="1"/>
    </font>
    <font>
      <sz val="10"/>
      <name val="Arial"/>
      <family val="2"/>
    </font>
    <font>
      <sz val="11"/>
      <name val="Times New Roman"/>
      <family val="1"/>
    </font>
    <font>
      <sz val="10"/>
      <color theme="1"/>
      <name val="Arial"/>
      <family val="2"/>
    </font>
    <font>
      <sz val="10"/>
      <color indexed="8"/>
      <name val="Calibri"/>
      <family val="2"/>
      <scheme val="minor"/>
    </font>
    <font>
      <sz val="9.75"/>
      <color indexed="8"/>
      <name val="Times New Roman"/>
      <family val="2"/>
    </font>
    <font>
      <b/>
      <sz val="8"/>
      <color indexed="8"/>
      <name val="Tahoma"/>
      <family val="2"/>
    </font>
    <font>
      <i/>
      <sz val="7.5"/>
      <color indexed="8"/>
      <name val="Tahoma"/>
      <family val="2"/>
    </font>
    <font>
      <b/>
      <sz val="10"/>
      <color indexed="8"/>
      <name val="Tahoma"/>
      <family val="2"/>
    </font>
    <font>
      <i/>
      <sz val="8"/>
      <color indexed="8"/>
      <name val="Tahoma"/>
      <family val="2"/>
    </font>
    <font>
      <sz val="8"/>
      <color indexed="8"/>
      <name val="Tahoma"/>
      <family val="2"/>
    </font>
    <font>
      <i/>
      <sz val="9.75"/>
      <color indexed="8"/>
      <name val="Tahoma"/>
      <family val="2"/>
    </font>
    <font>
      <i/>
      <sz val="7"/>
      <color indexed="8"/>
      <name val="Tahoma"/>
      <family val="2"/>
    </font>
    <font>
      <i/>
      <sz val="9.75"/>
      <color indexed="8"/>
      <name val="Times New Roman"/>
      <family val="2"/>
    </font>
    <font>
      <b/>
      <sz val="9"/>
      <color indexed="8"/>
      <name val="Tahoma"/>
      <family val="2"/>
    </font>
    <font>
      <sz val="9.75"/>
      <color indexed="8"/>
      <name val="Tahoma"/>
      <family val="2"/>
    </font>
    <font>
      <sz val="7.9"/>
      <color indexed="8"/>
      <name val="Tahoma"/>
      <family val="2"/>
    </font>
    <font>
      <u/>
      <sz val="11"/>
      <color theme="10"/>
      <name val="Times New Roman"/>
      <family val="1"/>
    </font>
    <font>
      <sz val="12"/>
      <color indexed="8"/>
      <name val="Times New Roman"/>
      <family val="1"/>
    </font>
    <font>
      <b/>
      <i/>
      <sz val="8"/>
      <color indexed="8"/>
      <name val="Tahoma"/>
      <family val="2"/>
    </font>
    <font>
      <sz val="8"/>
      <color theme="1"/>
      <name val="Tahoma"/>
      <family val="2"/>
    </font>
    <font>
      <sz val="8"/>
      <color rgb="FF000000"/>
      <name val="Tahoma"/>
      <family val="2"/>
    </font>
    <font>
      <b/>
      <sz val="8"/>
      <color theme="1"/>
      <name val="Tahoma"/>
      <family val="2"/>
    </font>
    <font>
      <sz val="8"/>
      <name val="Tahoma"/>
      <family val="2"/>
    </font>
    <font>
      <b/>
      <sz val="8"/>
      <name val="Tahoma"/>
      <family val="2"/>
    </font>
    <font>
      <sz val="8"/>
      <color indexed="8"/>
      <name val="Times New Roman"/>
      <family val="2"/>
    </font>
    <font>
      <b/>
      <sz val="9.75"/>
      <color indexed="8"/>
      <name val="Times New Roman"/>
      <family val="2"/>
    </font>
    <font>
      <i/>
      <sz val="6.5"/>
      <color indexed="8"/>
      <name val="Times New Roman"/>
      <family val="2"/>
    </font>
    <font>
      <b/>
      <sz val="10"/>
      <color theme="1"/>
      <name val="Times New Roman"/>
      <family val="1"/>
    </font>
    <font>
      <b/>
      <sz val="9.75"/>
      <color indexed="8"/>
      <name val="Tahoma"/>
      <family val="2"/>
    </font>
    <font>
      <sz val="11"/>
      <color theme="1"/>
      <name val="Tahoma"/>
      <family val="2"/>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
      <patternFill patternType="solid">
        <fgColor indexed="9"/>
        <bgColor indexed="64"/>
      </patternFill>
    </fill>
    <fill>
      <patternFill patternType="solid">
        <fgColor rgb="FFFFC080"/>
        <bgColor indexed="64"/>
      </patternFill>
    </fill>
  </fills>
  <borders count="3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right style="thin">
        <color rgb="FFE3E3E3"/>
      </right>
      <top/>
      <bottom/>
      <diagonal/>
    </border>
  </borders>
  <cellStyleXfs count="18">
    <xf numFmtId="0" fontId="0" fillId="0" borderId="0"/>
    <xf numFmtId="0" fontId="1" fillId="0" borderId="0"/>
    <xf numFmtId="0" fontId="9" fillId="0" borderId="0"/>
    <xf numFmtId="0" fontId="13" fillId="0" borderId="0" applyNumberFormat="0" applyFill="0" applyBorder="0" applyAlignment="0" applyProtection="0"/>
    <xf numFmtId="164" fontId="15" fillId="0" borderId="0" quotePrefix="1" applyFont="0" applyFill="0" applyBorder="0" applyAlignment="0">
      <protection locked="0"/>
    </xf>
    <xf numFmtId="164"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2" fillId="0" borderId="0"/>
    <xf numFmtId="0" fontId="17" fillId="0" borderId="0"/>
    <xf numFmtId="0" fontId="17" fillId="0" borderId="0"/>
    <xf numFmtId="0" fontId="2" fillId="0" borderId="0"/>
    <xf numFmtId="0" fontId="2" fillId="0" borderId="0"/>
    <xf numFmtId="0" fontId="1" fillId="0" borderId="0"/>
    <xf numFmtId="0" fontId="18" fillId="0" borderId="0">
      <alignment vertical="center"/>
    </xf>
    <xf numFmtId="0" fontId="9" fillId="0" borderId="0"/>
    <xf numFmtId="4" fontId="2" fillId="0" borderId="0" applyFont="0" applyFill="0" applyBorder="0" applyAlignment="0" applyProtection="0"/>
  </cellStyleXfs>
  <cellXfs count="349">
    <xf numFmtId="0" fontId="0" fillId="0" borderId="0" xfId="0"/>
    <xf numFmtId="0" fontId="4" fillId="2" borderId="0" xfId="0" applyFont="1" applyFill="1"/>
    <xf numFmtId="0" fontId="5" fillId="2" borderId="0" xfId="0" applyFont="1" applyFill="1" applyAlignment="1">
      <alignment horizontal="left"/>
    </xf>
    <xf numFmtId="0" fontId="4" fillId="2" borderId="0" xfId="0" applyFont="1" applyFill="1" applyAlignment="1">
      <alignment horizontal="left"/>
    </xf>
    <xf numFmtId="0" fontId="5" fillId="2" borderId="0" xfId="0" applyFont="1" applyFill="1"/>
    <xf numFmtId="0" fontId="3" fillId="3" borderId="2" xfId="0" applyFont="1" applyFill="1" applyBorder="1" applyAlignment="1">
      <alignment vertical="center"/>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5" fillId="3" borderId="0" xfId="0" applyFont="1" applyFill="1" applyBorder="1" applyAlignment="1">
      <alignment vertical="center"/>
    </xf>
    <xf numFmtId="0" fontId="5" fillId="3" borderId="0" xfId="0" applyFont="1" applyFill="1" applyBorder="1" applyAlignment="1">
      <alignment vertical="center" wrapText="1"/>
    </xf>
    <xf numFmtId="0" fontId="5" fillId="3" borderId="8" xfId="0" applyFont="1" applyFill="1" applyBorder="1" applyAlignment="1">
      <alignment vertical="center" wrapText="1"/>
    </xf>
    <xf numFmtId="0" fontId="6" fillId="2" borderId="0" xfId="0" applyFont="1" applyFill="1" applyBorder="1"/>
    <xf numFmtId="0" fontId="3" fillId="3" borderId="0" xfId="0" applyFont="1" applyFill="1" applyBorder="1" applyAlignment="1">
      <alignment vertical="center"/>
    </xf>
    <xf numFmtId="0" fontId="3" fillId="3" borderId="0" xfId="0" applyFont="1" applyFill="1" applyBorder="1" applyAlignment="1">
      <alignment vertical="center" wrapText="1"/>
    </xf>
    <xf numFmtId="0" fontId="3" fillId="3" borderId="8" xfId="0" applyFont="1" applyFill="1" applyBorder="1" applyAlignment="1">
      <alignment vertical="center" wrapText="1"/>
    </xf>
    <xf numFmtId="14" fontId="3" fillId="3" borderId="0" xfId="0" applyNumberFormat="1" applyFont="1" applyFill="1" applyBorder="1" applyAlignment="1">
      <alignment horizontal="left" vertical="center"/>
    </xf>
    <xf numFmtId="165" fontId="5" fillId="3" borderId="6" xfId="0" applyNumberFormat="1" applyFont="1" applyFill="1" applyBorder="1" applyAlignment="1"/>
    <xf numFmtId="0" fontId="7" fillId="2" borderId="0" xfId="0" applyFont="1" applyFill="1"/>
    <xf numFmtId="0" fontId="12" fillId="2" borderId="0" xfId="2" applyFont="1" applyFill="1" applyBorder="1" applyAlignment="1">
      <alignment horizontal="center" vertical="center"/>
    </xf>
    <xf numFmtId="0" fontId="11" fillId="2" borderId="0" xfId="2" applyFont="1" applyFill="1" applyBorder="1" applyAlignment="1">
      <alignment horizontal="center" vertical="center"/>
    </xf>
    <xf numFmtId="0" fontId="3" fillId="2" borderId="9" xfId="0" applyFont="1" applyFill="1" applyBorder="1" applyAlignment="1">
      <alignment horizontal="center" vertical="center"/>
    </xf>
    <xf numFmtId="0" fontId="3" fillId="2" borderId="9" xfId="0" applyFont="1" applyFill="1" applyBorder="1" applyAlignment="1">
      <alignment horizontal="left" vertical="center"/>
    </xf>
    <xf numFmtId="0" fontId="5" fillId="2" borderId="9" xfId="0" applyFont="1" applyFill="1" applyBorder="1" applyAlignment="1">
      <alignment horizontal="center" vertical="center"/>
    </xf>
    <xf numFmtId="0" fontId="11" fillId="2" borderId="9" xfId="2" applyFont="1" applyFill="1" applyBorder="1" applyAlignment="1">
      <alignment horizontal="center" vertical="center"/>
    </xf>
    <xf numFmtId="0" fontId="14" fillId="2" borderId="0" xfId="0" applyFont="1" applyFill="1" applyBorder="1"/>
    <xf numFmtId="0" fontId="7" fillId="2" borderId="0" xfId="0" applyFont="1" applyFill="1" applyBorder="1" applyAlignment="1">
      <alignment vertical="center"/>
    </xf>
    <xf numFmtId="0" fontId="31" fillId="2" borderId="9" xfId="3" applyFont="1" applyFill="1" applyBorder="1" applyAlignment="1">
      <alignment horizontal="center" vertical="center"/>
    </xf>
    <xf numFmtId="0" fontId="34" fillId="3" borderId="0" xfId="12" applyFont="1" applyFill="1"/>
    <xf numFmtId="0" fontId="23" fillId="3" borderId="0" xfId="12" applyFont="1" applyFill="1" applyAlignment="1">
      <alignment horizontal="center"/>
    </xf>
    <xf numFmtId="0" fontId="20" fillId="3" borderId="0" xfId="12" applyFont="1" applyFill="1" applyAlignment="1">
      <alignment horizontal="center"/>
    </xf>
    <xf numFmtId="166" fontId="20" fillId="3" borderId="0" xfId="6" applyNumberFormat="1" applyFont="1" applyFill="1" applyAlignment="1">
      <alignment horizontal="center"/>
    </xf>
    <xf numFmtId="0" fontId="20" fillId="3" borderId="0" xfId="12" applyFont="1" applyFill="1" applyAlignment="1">
      <alignment horizontal="center" vertical="center" wrapText="1"/>
    </xf>
    <xf numFmtId="0" fontId="20" fillId="3" borderId="0" xfId="12" applyFont="1" applyFill="1" applyAlignment="1">
      <alignment horizontal="left" vertical="center"/>
    </xf>
    <xf numFmtId="0" fontId="24" fillId="3" borderId="0" xfId="12" applyFont="1" applyFill="1" applyAlignment="1">
      <alignment horizontal="left" vertical="center"/>
    </xf>
    <xf numFmtId="166" fontId="24" fillId="3" borderId="0" xfId="6" applyNumberFormat="1" applyFont="1" applyFill="1" applyAlignment="1">
      <alignment horizontal="center"/>
    </xf>
    <xf numFmtId="0" fontId="24" fillId="3" borderId="0" xfId="12" applyFont="1" applyFill="1" applyAlignment="1">
      <alignment horizontal="center"/>
    </xf>
    <xf numFmtId="0" fontId="20" fillId="3" borderId="0" xfId="12" applyFont="1" applyFill="1" applyAlignment="1">
      <alignment horizontal="center" vertical="center"/>
    </xf>
    <xf numFmtId="0" fontId="20" fillId="3" borderId="0" xfId="12" applyFont="1" applyFill="1" applyAlignment="1">
      <alignment horizontal="left" wrapText="1"/>
    </xf>
    <xf numFmtId="0" fontId="20" fillId="3" borderId="0" xfId="12" applyFont="1" applyFill="1" applyAlignment="1">
      <alignment vertical="center"/>
    </xf>
    <xf numFmtId="48" fontId="24" fillId="3" borderId="0" xfId="12" applyNumberFormat="1" applyFont="1" applyFill="1" applyAlignment="1" applyProtection="1">
      <alignment horizontal="left" vertical="center" wrapText="1"/>
      <protection locked="0"/>
    </xf>
    <xf numFmtId="0" fontId="24" fillId="3" borderId="0" xfId="12" applyFont="1" applyFill="1" applyAlignment="1">
      <alignment horizontal="left" wrapText="1"/>
    </xf>
    <xf numFmtId="0" fontId="35" fillId="4" borderId="0" xfId="14" applyNumberFormat="1" applyFont="1" applyFill="1" applyBorder="1" applyAlignment="1" applyProtection="1">
      <alignment vertical="top"/>
    </xf>
    <xf numFmtId="0" fontId="24" fillId="3" borderId="0" xfId="12" applyFont="1" applyFill="1" applyAlignment="1">
      <alignment vertical="center"/>
    </xf>
    <xf numFmtId="3" fontId="24" fillId="3" borderId="0" xfId="12" applyNumberFormat="1" applyFont="1" applyFill="1" applyAlignment="1">
      <alignment horizontal="left" vertical="center" wrapText="1"/>
    </xf>
    <xf numFmtId="14" fontId="20" fillId="3" borderId="0" xfId="12" applyNumberFormat="1" applyFont="1" applyFill="1" applyAlignment="1">
      <alignment horizontal="left" vertical="center"/>
    </xf>
    <xf numFmtId="48" fontId="20" fillId="3" borderId="0" xfId="12" applyNumberFormat="1" applyFont="1" applyFill="1" applyAlignment="1" applyProtection="1">
      <alignment horizontal="left" vertical="center" wrapText="1"/>
      <protection locked="0"/>
    </xf>
    <xf numFmtId="48" fontId="24" fillId="3" borderId="0" xfId="12" applyNumberFormat="1" applyFont="1" applyFill="1" applyAlignment="1" applyProtection="1">
      <alignment vertical="center" wrapText="1"/>
      <protection locked="0"/>
    </xf>
    <xf numFmtId="0" fontId="36" fillId="3" borderId="0" xfId="0" applyFont="1" applyFill="1" applyAlignment="1">
      <alignment vertical="center"/>
    </xf>
    <xf numFmtId="164" fontId="24" fillId="3" borderId="0" xfId="12" applyNumberFormat="1" applyFont="1" applyFill="1" applyAlignment="1">
      <alignment horizontal="left" vertical="center" wrapText="1"/>
    </xf>
    <xf numFmtId="0" fontId="24" fillId="3" borderId="0" xfId="12" applyFont="1" applyFill="1" applyAlignment="1">
      <alignment horizontal="left" vertical="center" wrapText="1"/>
    </xf>
    <xf numFmtId="0" fontId="34" fillId="3" borderId="0" xfId="12" applyFont="1" applyFill="1" applyAlignment="1">
      <alignment horizontal="left"/>
    </xf>
    <xf numFmtId="3" fontId="24" fillId="3" borderId="0" xfId="12" applyNumberFormat="1" applyFont="1" applyFill="1" applyAlignment="1">
      <alignment wrapText="1"/>
    </xf>
    <xf numFmtId="3" fontId="20" fillId="3" borderId="0" xfId="12" applyNumberFormat="1" applyFont="1" applyFill="1" applyAlignment="1">
      <alignment wrapText="1"/>
    </xf>
    <xf numFmtId="0" fontId="37" fillId="3" borderId="0" xfId="12" applyFont="1" applyFill="1"/>
    <xf numFmtId="0" fontId="36" fillId="5" borderId="9" xfId="12" applyFont="1" applyFill="1" applyBorder="1" applyAlignment="1">
      <alignment horizontal="center" vertical="center" wrapText="1"/>
    </xf>
    <xf numFmtId="0" fontId="34" fillId="0" borderId="9" xfId="12" applyFont="1" applyFill="1" applyBorder="1" applyAlignment="1">
      <alignment horizontal="center" vertical="center"/>
    </xf>
    <xf numFmtId="49" fontId="34" fillId="0" borderId="9" xfId="12" applyNumberFormat="1" applyFont="1" applyFill="1" applyBorder="1" applyAlignment="1" applyProtection="1">
      <alignment horizontal="left" vertical="center" wrapText="1"/>
    </xf>
    <xf numFmtId="49" fontId="37" fillId="0" borderId="9" xfId="12" applyNumberFormat="1" applyFont="1" applyFill="1" applyBorder="1" applyAlignment="1" applyProtection="1">
      <alignment horizontal="center" vertical="center" wrapText="1"/>
    </xf>
    <xf numFmtId="49" fontId="37" fillId="0" borderId="9" xfId="12" applyNumberFormat="1" applyFont="1" applyFill="1" applyBorder="1" applyAlignment="1" applyProtection="1">
      <alignment horizontal="left" vertical="center" wrapText="1"/>
    </xf>
    <xf numFmtId="49" fontId="34" fillId="0" borderId="9" xfId="12" applyNumberFormat="1" applyFont="1" applyFill="1" applyBorder="1" applyAlignment="1" applyProtection="1">
      <alignment horizontal="center" vertical="center" wrapText="1"/>
    </xf>
    <xf numFmtId="0" fontId="23" fillId="3" borderId="0" xfId="12" applyFont="1" applyFill="1"/>
    <xf numFmtId="167" fontId="38" fillId="3" borderId="0" xfId="16" applyNumberFormat="1" applyFont="1" applyFill="1" applyAlignment="1">
      <alignment vertical="center" wrapText="1"/>
    </xf>
    <xf numFmtId="0" fontId="37" fillId="3" borderId="0" xfId="16" applyFont="1" applyFill="1" applyBorder="1" applyAlignment="1">
      <alignment vertical="center"/>
    </xf>
    <xf numFmtId="166" fontId="38" fillId="3" borderId="0" xfId="6" applyNumberFormat="1" applyFont="1" applyFill="1" applyBorder="1" applyAlignment="1">
      <alignment vertical="center" wrapText="1"/>
    </xf>
    <xf numFmtId="0" fontId="38" fillId="3" borderId="0" xfId="16" applyFont="1" applyFill="1" applyBorder="1" applyAlignment="1">
      <alignment vertical="center"/>
    </xf>
    <xf numFmtId="0" fontId="38" fillId="3" borderId="0" xfId="16" applyFont="1" applyFill="1" applyBorder="1" applyAlignment="1">
      <alignment vertical="center" wrapText="1"/>
    </xf>
    <xf numFmtId="166" fontId="38" fillId="3" borderId="0" xfId="6" applyNumberFormat="1" applyFont="1" applyFill="1" applyBorder="1" applyAlignment="1">
      <alignment horizontal="right" vertical="center" wrapText="1"/>
    </xf>
    <xf numFmtId="166" fontId="38" fillId="3" borderId="0" xfId="6" applyNumberFormat="1" applyFont="1" applyFill="1" applyBorder="1" applyAlignment="1">
      <alignment horizontal="left" vertical="center"/>
    </xf>
    <xf numFmtId="2" fontId="37" fillId="3" borderId="0" xfId="16" applyNumberFormat="1" applyFont="1" applyFill="1" applyAlignment="1">
      <alignment vertical="center"/>
    </xf>
    <xf numFmtId="166" fontId="38" fillId="3" borderId="0" xfId="6" applyNumberFormat="1" applyFont="1" applyFill="1" applyBorder="1" applyAlignment="1">
      <alignment horizontal="right" vertical="center"/>
    </xf>
    <xf numFmtId="166" fontId="38" fillId="3" borderId="0" xfId="6" applyNumberFormat="1" applyFont="1" applyFill="1" applyAlignment="1">
      <alignment horizontal="right" vertical="center"/>
    </xf>
    <xf numFmtId="2" fontId="37" fillId="3" borderId="0" xfId="16" applyNumberFormat="1" applyFont="1" applyFill="1" applyAlignment="1">
      <alignment horizontal="right" vertical="center"/>
    </xf>
    <xf numFmtId="166" fontId="37" fillId="3" borderId="0" xfId="6" applyNumberFormat="1" applyFont="1" applyFill="1" applyAlignment="1">
      <alignment horizontal="right" vertical="center"/>
    </xf>
    <xf numFmtId="2" fontId="38" fillId="3" borderId="0" xfId="16" applyNumberFormat="1" applyFont="1" applyFill="1" applyAlignment="1">
      <alignment vertical="center"/>
    </xf>
    <xf numFmtId="2" fontId="37" fillId="3" borderId="5" xfId="16" applyNumberFormat="1" applyFont="1" applyFill="1" applyBorder="1" applyAlignment="1">
      <alignment vertical="center"/>
    </xf>
    <xf numFmtId="166" fontId="37" fillId="3" borderId="5" xfId="6" applyNumberFormat="1" applyFont="1" applyFill="1" applyBorder="1" applyAlignment="1">
      <alignment horizontal="right" vertical="center"/>
    </xf>
    <xf numFmtId="2" fontId="37" fillId="3" borderId="0" xfId="16" applyNumberFormat="1" applyFont="1" applyFill="1" applyBorder="1" applyAlignment="1">
      <alignment horizontal="right" vertical="center"/>
    </xf>
    <xf numFmtId="0" fontId="34" fillId="3" borderId="0" xfId="12" applyFont="1" applyFill="1" applyBorder="1"/>
    <xf numFmtId="2" fontId="37" fillId="3" borderId="0" xfId="16" applyNumberFormat="1" applyFont="1" applyFill="1" applyBorder="1" applyAlignment="1">
      <alignment vertical="center"/>
    </xf>
    <xf numFmtId="0" fontId="34" fillId="3" borderId="0" xfId="12" applyFont="1" applyFill="1" applyAlignment="1">
      <alignment vertical="center"/>
    </xf>
    <xf numFmtId="2" fontId="34" fillId="3" borderId="0" xfId="16" applyNumberFormat="1" applyFont="1" applyFill="1" applyAlignment="1">
      <alignment vertical="center"/>
    </xf>
    <xf numFmtId="0" fontId="38" fillId="0" borderId="0" xfId="12" applyFont="1" applyFill="1" applyAlignment="1">
      <alignment vertical="center"/>
    </xf>
    <xf numFmtId="0" fontId="38" fillId="3" borderId="0" xfId="12" applyFont="1" applyFill="1" applyAlignment="1">
      <alignment vertical="center"/>
    </xf>
    <xf numFmtId="0" fontId="33" fillId="3" borderId="0" xfId="12" applyFont="1" applyFill="1" applyAlignment="1">
      <alignment wrapText="1"/>
    </xf>
    <xf numFmtId="0" fontId="13" fillId="2" borderId="9" xfId="3" applyFill="1" applyBorder="1" applyAlignment="1">
      <alignment horizontal="center" vertical="center"/>
    </xf>
    <xf numFmtId="0" fontId="0" fillId="0" borderId="0" xfId="0" applyFont="1" applyAlignment="1">
      <alignment vertical="center"/>
    </xf>
    <xf numFmtId="0" fontId="19" fillId="6" borderId="0" xfId="0" applyNumberFormat="1" applyFont="1" applyFill="1" applyBorder="1" applyAlignment="1" applyProtection="1">
      <alignment horizontal="left" vertical="top"/>
    </xf>
    <xf numFmtId="0" fontId="20" fillId="6" borderId="0" xfId="0" applyNumberFormat="1" applyFont="1" applyFill="1" applyBorder="1" applyAlignment="1" applyProtection="1">
      <alignment horizontal="center" vertical="center" wrapText="1"/>
    </xf>
    <xf numFmtId="0" fontId="20" fillId="6" borderId="0" xfId="0" applyNumberFormat="1" applyFont="1" applyFill="1" applyBorder="1" applyAlignment="1" applyProtection="1">
      <alignment horizontal="left" vertical="center" wrapText="1"/>
    </xf>
    <xf numFmtId="0" fontId="20" fillId="6" borderId="0" xfId="0" applyNumberFormat="1" applyFont="1" applyFill="1" applyBorder="1" applyAlignment="1" applyProtection="1">
      <alignment horizontal="left" vertical="center" wrapText="1"/>
    </xf>
    <xf numFmtId="0" fontId="24" fillId="6" borderId="0" xfId="0" applyNumberFormat="1" applyFont="1" applyFill="1" applyBorder="1" applyAlignment="1" applyProtection="1">
      <alignment horizontal="left" vertical="center"/>
    </xf>
    <xf numFmtId="0" fontId="24" fillId="6" borderId="0" xfId="0" applyNumberFormat="1" applyFont="1" applyFill="1" applyBorder="1" applyAlignment="1" applyProtection="1">
      <alignment horizontal="left" vertical="center"/>
    </xf>
    <xf numFmtId="0" fontId="24" fillId="6" borderId="0" xfId="0" applyNumberFormat="1" applyFont="1" applyFill="1" applyBorder="1" applyAlignment="1" applyProtection="1">
      <alignment horizontal="left" vertical="center" wrapText="1"/>
    </xf>
    <xf numFmtId="0" fontId="39" fillId="6" borderId="0" xfId="0" applyNumberFormat="1" applyFont="1" applyFill="1" applyBorder="1" applyAlignment="1" applyProtection="1">
      <alignment horizontal="left" vertical="top"/>
    </xf>
    <xf numFmtId="0" fontId="20" fillId="6" borderId="0" xfId="0" applyNumberFormat="1" applyFont="1" applyFill="1" applyBorder="1" applyAlignment="1" applyProtection="1">
      <alignment horizontal="left" vertical="top"/>
    </xf>
    <xf numFmtId="0" fontId="24" fillId="6" borderId="14" xfId="0" applyNumberFormat="1" applyFont="1" applyFill="1" applyBorder="1" applyAlignment="1" applyProtection="1">
      <alignment horizontal="right" vertical="top"/>
    </xf>
    <xf numFmtId="0" fontId="19" fillId="6" borderId="14" xfId="0" applyNumberFormat="1" applyFont="1" applyFill="1" applyBorder="1" applyAlignment="1" applyProtection="1">
      <alignment horizontal="left" vertical="top"/>
    </xf>
    <xf numFmtId="0" fontId="19" fillId="6" borderId="14" xfId="0" applyNumberFormat="1" applyFont="1" applyFill="1" applyBorder="1" applyAlignment="1" applyProtection="1">
      <alignment horizontal="left" vertical="top"/>
    </xf>
    <xf numFmtId="0" fontId="20" fillId="7" borderId="15" xfId="0" applyNumberFormat="1" applyFont="1" applyFill="1" applyBorder="1" applyAlignment="1" applyProtection="1">
      <alignment horizontal="center" vertical="center" wrapText="1"/>
    </xf>
    <xf numFmtId="0" fontId="20" fillId="7" borderId="16" xfId="0" applyNumberFormat="1" applyFont="1" applyFill="1" applyBorder="1" applyAlignment="1" applyProtection="1">
      <alignment horizontal="center" vertical="center" wrapText="1"/>
    </xf>
    <xf numFmtId="0" fontId="20" fillId="7" borderId="17" xfId="0" applyNumberFormat="1" applyFont="1" applyFill="1" applyBorder="1" applyAlignment="1" applyProtection="1">
      <alignment horizontal="center" vertical="center" wrapText="1"/>
    </xf>
    <xf numFmtId="0" fontId="20" fillId="6" borderId="0" xfId="0" applyNumberFormat="1" applyFont="1" applyFill="1" applyBorder="1" applyAlignment="1" applyProtection="1">
      <alignment horizontal="center" vertical="top"/>
    </xf>
    <xf numFmtId="0" fontId="20" fillId="6" borderId="0" xfId="0" applyNumberFormat="1" applyFont="1" applyFill="1" applyBorder="1" applyAlignment="1" applyProtection="1">
      <alignment horizontal="left" vertical="top" wrapText="1"/>
    </xf>
    <xf numFmtId="0" fontId="20" fillId="6" borderId="0" xfId="0" applyNumberFormat="1" applyFont="1" applyFill="1" applyBorder="1" applyAlignment="1" applyProtection="1">
      <alignment horizontal="left" vertical="top" wrapText="1"/>
    </xf>
    <xf numFmtId="0" fontId="24" fillId="6" borderId="0" xfId="0" applyNumberFormat="1" applyFont="1" applyFill="1" applyBorder="1" applyAlignment="1" applyProtection="1">
      <alignment horizontal="center" vertical="top"/>
    </xf>
    <xf numFmtId="0" fontId="24" fillId="6" borderId="0" xfId="0" applyNumberFormat="1" applyFont="1" applyFill="1" applyBorder="1" applyAlignment="1" applyProtection="1">
      <alignment horizontal="left" vertical="top"/>
    </xf>
    <xf numFmtId="0" fontId="24" fillId="6" borderId="0" xfId="0" applyNumberFormat="1" applyFont="1" applyFill="1" applyBorder="1" applyAlignment="1" applyProtection="1">
      <alignment horizontal="left" vertical="top"/>
    </xf>
    <xf numFmtId="0" fontId="24" fillId="6" borderId="14" xfId="0" applyNumberFormat="1" applyFont="1" applyFill="1" applyBorder="1" applyAlignment="1" applyProtection="1">
      <alignment horizontal="right" vertical="top"/>
    </xf>
    <xf numFmtId="0" fontId="23" fillId="6" borderId="0" xfId="0" applyNumberFormat="1" applyFont="1" applyFill="1" applyBorder="1" applyAlignment="1" applyProtection="1">
      <alignment horizontal="left" vertical="top"/>
    </xf>
    <xf numFmtId="0" fontId="23" fillId="6" borderId="0" xfId="0" applyNumberFormat="1" applyFont="1" applyFill="1" applyBorder="1" applyAlignment="1" applyProtection="1">
      <alignment horizontal="left" vertical="top" wrapText="1"/>
    </xf>
    <xf numFmtId="0" fontId="20" fillId="7" borderId="24" xfId="0" applyNumberFormat="1" applyFont="1" applyFill="1" applyBorder="1" applyAlignment="1" applyProtection="1">
      <alignment horizontal="center" vertical="center" wrapText="1"/>
    </xf>
    <xf numFmtId="0" fontId="20" fillId="7" borderId="25" xfId="0" applyNumberFormat="1" applyFont="1" applyFill="1" applyBorder="1" applyAlignment="1" applyProtection="1">
      <alignment horizontal="center" vertical="center" wrapText="1"/>
    </xf>
    <xf numFmtId="0" fontId="20" fillId="7" borderId="26" xfId="0" applyNumberFormat="1" applyFont="1" applyFill="1" applyBorder="1" applyAlignment="1" applyProtection="1">
      <alignment horizontal="center" vertical="center" wrapText="1"/>
    </xf>
    <xf numFmtId="0" fontId="19" fillId="6" borderId="0" xfId="0" applyNumberFormat="1" applyFont="1" applyFill="1" applyBorder="1" applyAlignment="1" applyProtection="1">
      <alignment horizontal="left" vertical="center"/>
    </xf>
    <xf numFmtId="0" fontId="20" fillId="6" borderId="0" xfId="0" applyNumberFormat="1" applyFont="1" applyFill="1" applyBorder="1" applyAlignment="1" applyProtection="1">
      <alignment horizontal="left" vertical="center"/>
    </xf>
    <xf numFmtId="0" fontId="20" fillId="7" borderId="28" xfId="0" applyNumberFormat="1" applyFont="1" applyFill="1" applyBorder="1" applyAlignment="1" applyProtection="1">
      <alignment horizontal="center" vertical="center" wrapText="1"/>
    </xf>
    <xf numFmtId="0" fontId="20" fillId="7" borderId="29" xfId="0" applyNumberFormat="1" applyFont="1" applyFill="1" applyBorder="1" applyAlignment="1" applyProtection="1">
      <alignment horizontal="center" vertical="center" wrapText="1"/>
    </xf>
    <xf numFmtId="0" fontId="20" fillId="6" borderId="19" xfId="0" applyNumberFormat="1" applyFont="1" applyFill="1" applyBorder="1" applyAlignment="1" applyProtection="1">
      <alignment horizontal="center" vertical="center"/>
    </xf>
    <xf numFmtId="0" fontId="24" fillId="6" borderId="19" xfId="0" applyNumberFormat="1" applyFont="1" applyFill="1" applyBorder="1" applyAlignment="1" applyProtection="1">
      <alignment horizontal="center" vertical="center"/>
    </xf>
    <xf numFmtId="0" fontId="23" fillId="6" borderId="19" xfId="0" applyNumberFormat="1" applyFont="1" applyFill="1" applyBorder="1" applyAlignment="1" applyProtection="1">
      <alignment horizontal="center" vertical="center"/>
    </xf>
    <xf numFmtId="0" fontId="20" fillId="6" borderId="22" xfId="0" applyNumberFormat="1" applyFont="1" applyFill="1" applyBorder="1" applyAlignment="1" applyProtection="1">
      <alignment horizontal="center" vertical="center"/>
    </xf>
    <xf numFmtId="0" fontId="23" fillId="6" borderId="0" xfId="0" applyNumberFormat="1" applyFont="1" applyFill="1" applyBorder="1" applyAlignment="1" applyProtection="1">
      <alignment horizontal="center" vertical="top"/>
    </xf>
    <xf numFmtId="0" fontId="25" fillId="6" borderId="0" xfId="0" applyNumberFormat="1" applyFont="1" applyFill="1" applyBorder="1" applyAlignment="1" applyProtection="1">
      <alignment horizontal="right" vertical="top"/>
    </xf>
    <xf numFmtId="0" fontId="29" fillId="6" borderId="14" xfId="0" applyNumberFormat="1" applyFont="1" applyFill="1" applyBorder="1" applyAlignment="1" applyProtection="1">
      <alignment horizontal="left" vertical="top"/>
    </xf>
    <xf numFmtId="14" fontId="20" fillId="7" borderId="16" xfId="0" applyNumberFormat="1" applyFont="1" applyFill="1" applyBorder="1" applyAlignment="1" applyProtection="1">
      <alignment horizontal="center" vertical="center" wrapText="1"/>
    </xf>
    <xf numFmtId="0" fontId="20" fillId="6" borderId="0" xfId="0" applyNumberFormat="1" applyFont="1" applyFill="1" applyBorder="1" applyAlignment="1" applyProtection="1">
      <alignment horizontal="center" vertical="center"/>
    </xf>
    <xf numFmtId="0" fontId="23" fillId="6" borderId="0" xfId="0" applyNumberFormat="1" applyFont="1" applyFill="1" applyBorder="1" applyAlignment="1" applyProtection="1">
      <alignment horizontal="center" vertical="center"/>
    </xf>
    <xf numFmtId="0" fontId="20" fillId="6" borderId="18" xfId="0" applyNumberFormat="1" applyFont="1" applyFill="1" applyBorder="1" applyAlignment="1" applyProtection="1">
      <alignment horizontal="center" vertical="center"/>
    </xf>
    <xf numFmtId="0" fontId="20" fillId="6" borderId="19" xfId="0" applyNumberFormat="1" applyFont="1" applyFill="1" applyBorder="1" applyAlignment="1" applyProtection="1">
      <alignment horizontal="left" vertical="center" wrapText="1"/>
    </xf>
    <xf numFmtId="171" fontId="20" fillId="6" borderId="19" xfId="0" applyNumberFormat="1" applyFont="1" applyFill="1" applyBorder="1" applyAlignment="1" applyProtection="1">
      <alignment horizontal="right" vertical="center"/>
    </xf>
    <xf numFmtId="171" fontId="20" fillId="6" borderId="20" xfId="0" applyNumberFormat="1" applyFont="1" applyFill="1" applyBorder="1" applyAlignment="1" applyProtection="1">
      <alignment horizontal="right" vertical="center"/>
    </xf>
    <xf numFmtId="0" fontId="24" fillId="6" borderId="18" xfId="0" applyNumberFormat="1" applyFont="1" applyFill="1" applyBorder="1" applyAlignment="1" applyProtection="1">
      <alignment horizontal="center" vertical="center"/>
    </xf>
    <xf numFmtId="0" fontId="24" fillId="6" borderId="19" xfId="0" applyNumberFormat="1" applyFont="1" applyFill="1" applyBorder="1" applyAlignment="1" applyProtection="1">
      <alignment horizontal="left" vertical="center" wrapText="1"/>
    </xf>
    <xf numFmtId="171" fontId="24" fillId="6" borderId="19" xfId="0" applyNumberFormat="1" applyFont="1" applyFill="1" applyBorder="1" applyAlignment="1" applyProtection="1">
      <alignment horizontal="right" vertical="center"/>
    </xf>
    <xf numFmtId="171" fontId="24" fillId="6" borderId="20" xfId="0" applyNumberFormat="1" applyFont="1" applyFill="1" applyBorder="1" applyAlignment="1" applyProtection="1">
      <alignment horizontal="right" vertical="center"/>
    </xf>
    <xf numFmtId="172" fontId="24" fillId="6" borderId="19" xfId="0" applyNumberFormat="1" applyFont="1" applyFill="1" applyBorder="1" applyAlignment="1" applyProtection="1">
      <alignment horizontal="right" vertical="center"/>
    </xf>
    <xf numFmtId="172" fontId="24" fillId="6" borderId="20" xfId="0" applyNumberFormat="1" applyFont="1" applyFill="1" applyBorder="1" applyAlignment="1" applyProtection="1">
      <alignment horizontal="right" vertical="center"/>
    </xf>
    <xf numFmtId="0" fontId="23" fillId="6" borderId="18" xfId="0" applyNumberFormat="1" applyFont="1" applyFill="1" applyBorder="1" applyAlignment="1" applyProtection="1">
      <alignment horizontal="center" vertical="center"/>
    </xf>
    <xf numFmtId="0" fontId="23" fillId="6" borderId="19" xfId="0" applyNumberFormat="1" applyFont="1" applyFill="1" applyBorder="1" applyAlignment="1" applyProtection="1">
      <alignment horizontal="left" vertical="center" wrapText="1"/>
    </xf>
    <xf numFmtId="171" fontId="23" fillId="6" borderId="19" xfId="0" applyNumberFormat="1" applyFont="1" applyFill="1" applyBorder="1" applyAlignment="1" applyProtection="1">
      <alignment horizontal="right" vertical="center"/>
    </xf>
    <xf numFmtId="171" fontId="23" fillId="6" borderId="20" xfId="0" applyNumberFormat="1" applyFont="1" applyFill="1" applyBorder="1" applyAlignment="1" applyProtection="1">
      <alignment horizontal="right" vertical="center"/>
    </xf>
    <xf numFmtId="172" fontId="23" fillId="6" borderId="19" xfId="0" applyNumberFormat="1" applyFont="1" applyFill="1" applyBorder="1" applyAlignment="1" applyProtection="1">
      <alignment horizontal="right" vertical="center"/>
    </xf>
    <xf numFmtId="172" fontId="23" fillId="6" borderId="20" xfId="0" applyNumberFormat="1" applyFont="1" applyFill="1" applyBorder="1" applyAlignment="1" applyProtection="1">
      <alignment horizontal="right" vertical="center"/>
    </xf>
    <xf numFmtId="173" fontId="23" fillId="6" borderId="19" xfId="0" applyNumberFormat="1" applyFont="1" applyFill="1" applyBorder="1" applyAlignment="1" applyProtection="1">
      <alignment horizontal="right" vertical="center"/>
    </xf>
    <xf numFmtId="173" fontId="23" fillId="6" borderId="20" xfId="0" applyNumberFormat="1" applyFont="1" applyFill="1" applyBorder="1" applyAlignment="1" applyProtection="1">
      <alignment horizontal="right" vertical="center"/>
    </xf>
    <xf numFmtId="0" fontId="23" fillId="6" borderId="21" xfId="0" applyNumberFormat="1" applyFont="1" applyFill="1" applyBorder="1" applyAlignment="1" applyProtection="1">
      <alignment horizontal="center" vertical="center"/>
    </xf>
    <xf numFmtId="0" fontId="23" fillId="6" borderId="22" xfId="0" applyNumberFormat="1" applyFont="1" applyFill="1" applyBorder="1" applyAlignment="1" applyProtection="1">
      <alignment horizontal="left" vertical="center" wrapText="1"/>
    </xf>
    <xf numFmtId="0" fontId="23" fillId="6" borderId="22" xfId="0" applyNumberFormat="1" applyFont="1" applyFill="1" applyBorder="1" applyAlignment="1" applyProtection="1">
      <alignment horizontal="center" vertical="center"/>
    </xf>
    <xf numFmtId="172" fontId="23" fillId="6" borderId="22" xfId="0" applyNumberFormat="1" applyFont="1" applyFill="1" applyBorder="1" applyAlignment="1" applyProtection="1">
      <alignment horizontal="right" vertical="center"/>
    </xf>
    <xf numFmtId="172" fontId="23" fillId="6" borderId="23" xfId="0" applyNumberFormat="1" applyFont="1" applyFill="1" applyBorder="1" applyAlignment="1" applyProtection="1">
      <alignment horizontal="right" vertical="center"/>
    </xf>
    <xf numFmtId="0" fontId="40" fillId="6" borderId="0" xfId="0" applyNumberFormat="1" applyFont="1" applyFill="1" applyBorder="1" applyAlignment="1" applyProtection="1">
      <alignment horizontal="center" vertical="center"/>
    </xf>
    <xf numFmtId="0" fontId="24" fillId="6" borderId="0" xfId="0" applyNumberFormat="1" applyFont="1" applyFill="1" applyBorder="1" applyAlignment="1" applyProtection="1">
      <alignment horizontal="center" vertical="center"/>
    </xf>
    <xf numFmtId="0" fontId="20" fillId="6" borderId="0" xfId="0" applyNumberFormat="1" applyFont="1" applyFill="1" applyBorder="1" applyAlignment="1" applyProtection="1">
      <alignment horizontal="center" vertical="center"/>
    </xf>
    <xf numFmtId="3" fontId="20" fillId="6" borderId="19" xfId="0" applyNumberFormat="1" applyFont="1" applyFill="1" applyBorder="1" applyAlignment="1" applyProtection="1">
      <alignment horizontal="right" vertical="center"/>
    </xf>
    <xf numFmtId="168" fontId="20" fillId="6" borderId="20" xfId="0" applyNumberFormat="1" applyFont="1" applyFill="1" applyBorder="1" applyAlignment="1" applyProtection="1">
      <alignment horizontal="right" vertical="center"/>
    </xf>
    <xf numFmtId="3" fontId="24" fillId="6" borderId="19" xfId="0" applyNumberFormat="1" applyFont="1" applyFill="1" applyBorder="1" applyAlignment="1" applyProtection="1">
      <alignment horizontal="right" vertical="center"/>
    </xf>
    <xf numFmtId="168" fontId="24" fillId="6" borderId="20" xfId="0" applyNumberFormat="1" applyFont="1" applyFill="1" applyBorder="1" applyAlignment="1" applyProtection="1">
      <alignment horizontal="right" vertical="center"/>
    </xf>
    <xf numFmtId="3" fontId="23" fillId="6" borderId="19" xfId="0" applyNumberFormat="1" applyFont="1" applyFill="1" applyBorder="1" applyAlignment="1" applyProtection="1">
      <alignment horizontal="right" vertical="center"/>
    </xf>
    <xf numFmtId="168" fontId="23" fillId="6" borderId="20" xfId="0" applyNumberFormat="1" applyFont="1" applyFill="1" applyBorder="1" applyAlignment="1" applyProtection="1">
      <alignment horizontal="right" vertical="center"/>
    </xf>
    <xf numFmtId="0" fontId="20" fillId="6" borderId="21" xfId="0" applyNumberFormat="1" applyFont="1" applyFill="1" applyBorder="1" applyAlignment="1" applyProtection="1">
      <alignment horizontal="center" vertical="center"/>
    </xf>
    <xf numFmtId="0" fontId="20" fillId="6" borderId="22" xfId="0" applyNumberFormat="1" applyFont="1" applyFill="1" applyBorder="1" applyAlignment="1" applyProtection="1">
      <alignment horizontal="left" vertical="center" wrapText="1"/>
    </xf>
    <xf numFmtId="4" fontId="20" fillId="6" borderId="22" xfId="0" applyNumberFormat="1" applyFont="1" applyFill="1" applyBorder="1" applyAlignment="1" applyProtection="1">
      <alignment horizontal="right" vertical="center"/>
    </xf>
    <xf numFmtId="168" fontId="20" fillId="6" borderId="23" xfId="0" applyNumberFormat="1" applyFont="1" applyFill="1" applyBorder="1" applyAlignment="1" applyProtection="1">
      <alignment horizontal="right" vertical="center"/>
    </xf>
    <xf numFmtId="169" fontId="20" fillId="6" borderId="18" xfId="0" applyNumberFormat="1" applyFont="1" applyFill="1" applyBorder="1" applyAlignment="1" applyProtection="1">
      <alignment horizontal="center" vertical="center"/>
    </xf>
    <xf numFmtId="169" fontId="20" fillId="6" borderId="19" xfId="0" applyNumberFormat="1" applyFont="1" applyFill="1" applyBorder="1" applyAlignment="1" applyProtection="1">
      <alignment horizontal="left" vertical="center" wrapText="1"/>
    </xf>
    <xf numFmtId="169" fontId="20" fillId="6" borderId="19" xfId="0" applyNumberFormat="1" applyFont="1" applyFill="1" applyBorder="1" applyAlignment="1" applyProtection="1">
      <alignment horizontal="center" vertical="center"/>
    </xf>
    <xf numFmtId="169" fontId="20" fillId="6" borderId="19" xfId="0" applyNumberFormat="1" applyFont="1" applyFill="1" applyBorder="1" applyAlignment="1" applyProtection="1">
      <alignment horizontal="right" vertical="center"/>
    </xf>
    <xf numFmtId="169" fontId="20" fillId="6" borderId="20" xfId="0" applyNumberFormat="1" applyFont="1" applyFill="1" applyBorder="1" applyAlignment="1" applyProtection="1">
      <alignment horizontal="right" vertical="center"/>
    </xf>
    <xf numFmtId="169" fontId="24" fillId="6" borderId="18" xfId="0" applyNumberFormat="1" applyFont="1" applyFill="1" applyBorder="1" applyAlignment="1" applyProtection="1">
      <alignment horizontal="center" vertical="center"/>
    </xf>
    <xf numFmtId="169" fontId="24" fillId="6" borderId="19" xfId="0" applyNumberFormat="1" applyFont="1" applyFill="1" applyBorder="1" applyAlignment="1" applyProtection="1">
      <alignment horizontal="left" vertical="center" wrapText="1"/>
    </xf>
    <xf numFmtId="169" fontId="24" fillId="6" borderId="19" xfId="0" applyNumberFormat="1" applyFont="1" applyFill="1" applyBorder="1" applyAlignment="1" applyProtection="1">
      <alignment horizontal="center" vertical="center"/>
    </xf>
    <xf numFmtId="169" fontId="24" fillId="6" borderId="19" xfId="0" applyNumberFormat="1" applyFont="1" applyFill="1" applyBorder="1" applyAlignment="1" applyProtection="1">
      <alignment horizontal="right" vertical="center"/>
    </xf>
    <xf numFmtId="169" fontId="24" fillId="6" borderId="20" xfId="0" applyNumberFormat="1" applyFont="1" applyFill="1" applyBorder="1" applyAlignment="1" applyProtection="1">
      <alignment horizontal="right" vertical="center"/>
    </xf>
    <xf numFmtId="169" fontId="23" fillId="6" borderId="18" xfId="0" applyNumberFormat="1" applyFont="1" applyFill="1" applyBorder="1" applyAlignment="1" applyProtection="1">
      <alignment horizontal="center" vertical="center"/>
    </xf>
    <xf numFmtId="169" fontId="23" fillId="6" borderId="19" xfId="0" applyNumberFormat="1" applyFont="1" applyFill="1" applyBorder="1" applyAlignment="1" applyProtection="1">
      <alignment horizontal="left" vertical="center" wrapText="1"/>
    </xf>
    <xf numFmtId="169" fontId="23" fillId="6" borderId="19" xfId="0" applyNumberFormat="1" applyFont="1" applyFill="1" applyBorder="1" applyAlignment="1" applyProtection="1">
      <alignment horizontal="center" vertical="center"/>
    </xf>
    <xf numFmtId="169" fontId="23" fillId="6" borderId="19" xfId="0" applyNumberFormat="1" applyFont="1" applyFill="1" applyBorder="1" applyAlignment="1" applyProtection="1">
      <alignment horizontal="right" vertical="center"/>
    </xf>
    <xf numFmtId="169" fontId="23" fillId="6" borderId="20" xfId="0" applyNumberFormat="1" applyFont="1" applyFill="1" applyBorder="1" applyAlignment="1" applyProtection="1">
      <alignment horizontal="right" vertical="center"/>
    </xf>
    <xf numFmtId="169" fontId="24" fillId="6" borderId="21" xfId="0" applyNumberFormat="1" applyFont="1" applyFill="1" applyBorder="1" applyAlignment="1" applyProtection="1">
      <alignment horizontal="center" vertical="center"/>
    </xf>
    <xf numFmtId="169" fontId="24" fillId="6" borderId="22" xfId="0" applyNumberFormat="1" applyFont="1" applyFill="1" applyBorder="1" applyAlignment="1" applyProtection="1">
      <alignment horizontal="left" vertical="center" wrapText="1"/>
    </xf>
    <xf numFmtId="169" fontId="24" fillId="6" borderId="22" xfId="0" applyNumberFormat="1" applyFont="1" applyFill="1" applyBorder="1" applyAlignment="1" applyProtection="1">
      <alignment horizontal="center" vertical="center"/>
    </xf>
    <xf numFmtId="169" fontId="24" fillId="6" borderId="22" xfId="0" applyNumberFormat="1" applyFont="1" applyFill="1" applyBorder="1" applyAlignment="1" applyProtection="1">
      <alignment horizontal="right" vertical="center"/>
    </xf>
    <xf numFmtId="169" fontId="24" fillId="6" borderId="23" xfId="0" applyNumberFormat="1" applyFont="1" applyFill="1" applyBorder="1" applyAlignment="1" applyProtection="1">
      <alignment horizontal="right" vertical="center"/>
    </xf>
    <xf numFmtId="4" fontId="20" fillId="6" borderId="19" xfId="0" applyNumberFormat="1" applyFont="1" applyFill="1" applyBorder="1" applyAlignment="1" applyProtection="1">
      <alignment horizontal="right" vertical="center"/>
    </xf>
    <xf numFmtId="4" fontId="24" fillId="6" borderId="19" xfId="0" applyNumberFormat="1" applyFont="1" applyFill="1" applyBorder="1" applyAlignment="1" applyProtection="1">
      <alignment horizontal="right" vertical="center"/>
    </xf>
    <xf numFmtId="169" fontId="20" fillId="6" borderId="22" xfId="0" applyNumberFormat="1" applyFont="1" applyFill="1" applyBorder="1" applyAlignment="1" applyProtection="1">
      <alignment horizontal="right" vertical="center"/>
    </xf>
    <xf numFmtId="0" fontId="43" fillId="6" borderId="0" xfId="0" applyNumberFormat="1" applyFont="1" applyFill="1" applyBorder="1" applyAlignment="1" applyProtection="1">
      <alignment horizontal="center" vertical="top"/>
    </xf>
    <xf numFmtId="0" fontId="44" fillId="0" borderId="0" xfId="0" applyFont="1" applyAlignment="1">
      <alignment vertical="center"/>
    </xf>
    <xf numFmtId="0" fontId="34" fillId="0" borderId="0" xfId="0" applyFont="1" applyAlignment="1">
      <alignment vertical="center"/>
    </xf>
    <xf numFmtId="3" fontId="20" fillId="6" borderId="20" xfId="0" applyNumberFormat="1" applyFont="1" applyFill="1" applyBorder="1" applyAlignment="1" applyProtection="1">
      <alignment horizontal="right" vertical="center"/>
    </xf>
    <xf numFmtId="168" fontId="24" fillId="6" borderId="19" xfId="0" applyNumberFormat="1" applyFont="1" applyFill="1" applyBorder="1" applyAlignment="1" applyProtection="1">
      <alignment horizontal="right" vertical="center"/>
    </xf>
    <xf numFmtId="3" fontId="24" fillId="6" borderId="20" xfId="0" applyNumberFormat="1" applyFont="1" applyFill="1" applyBorder="1" applyAlignment="1" applyProtection="1">
      <alignment horizontal="right" vertical="center"/>
    </xf>
    <xf numFmtId="168" fontId="24" fillId="0" borderId="19" xfId="0" applyNumberFormat="1" applyFont="1" applyFill="1" applyBorder="1" applyAlignment="1" applyProtection="1">
      <alignment horizontal="right" vertical="center"/>
    </xf>
    <xf numFmtId="3" fontId="24" fillId="0" borderId="19" xfId="0" applyNumberFormat="1" applyFont="1" applyFill="1" applyBorder="1" applyAlignment="1" applyProtection="1">
      <alignment horizontal="right" vertical="center"/>
    </xf>
    <xf numFmtId="4" fontId="24" fillId="6" borderId="20" xfId="0" applyNumberFormat="1" applyFont="1" applyFill="1" applyBorder="1" applyAlignment="1" applyProtection="1">
      <alignment horizontal="right" vertical="center"/>
    </xf>
    <xf numFmtId="0" fontId="24" fillId="6" borderId="21" xfId="0" applyNumberFormat="1" applyFont="1" applyFill="1" applyBorder="1" applyAlignment="1" applyProtection="1">
      <alignment horizontal="center" vertical="center"/>
    </xf>
    <xf numFmtId="0" fontId="24" fillId="6" borderId="22" xfId="0" applyNumberFormat="1" applyFont="1" applyFill="1" applyBorder="1" applyAlignment="1" applyProtection="1">
      <alignment horizontal="left" vertical="center" wrapText="1"/>
    </xf>
    <xf numFmtId="0" fontId="24" fillId="6" borderId="22" xfId="0" applyNumberFormat="1" applyFont="1" applyFill="1" applyBorder="1" applyAlignment="1" applyProtection="1">
      <alignment horizontal="center" vertical="center"/>
    </xf>
    <xf numFmtId="3" fontId="24" fillId="6" borderId="22" xfId="0" applyNumberFormat="1" applyFont="1" applyFill="1" applyBorder="1" applyAlignment="1" applyProtection="1">
      <alignment horizontal="right" vertical="center"/>
    </xf>
    <xf numFmtId="3" fontId="24" fillId="6" borderId="23" xfId="0" applyNumberFormat="1" applyFont="1" applyFill="1" applyBorder="1" applyAlignment="1" applyProtection="1">
      <alignment horizontal="right" vertical="center"/>
    </xf>
    <xf numFmtId="0" fontId="20" fillId="6" borderId="18" xfId="0" applyNumberFormat="1" applyFont="1" applyFill="1" applyBorder="1" applyAlignment="1" applyProtection="1">
      <alignment horizontal="left" vertical="center" wrapText="1"/>
    </xf>
    <xf numFmtId="0" fontId="24" fillId="6" borderId="18" xfId="0" applyNumberFormat="1" applyFont="1" applyFill="1" applyBorder="1" applyAlignment="1" applyProtection="1">
      <alignment horizontal="left" vertical="center" wrapText="1"/>
    </xf>
    <xf numFmtId="0" fontId="23" fillId="6" borderId="18" xfId="0" applyNumberFormat="1" applyFont="1" applyFill="1" applyBorder="1" applyAlignment="1" applyProtection="1">
      <alignment horizontal="left" vertical="center" wrapText="1"/>
    </xf>
    <xf numFmtId="0" fontId="20" fillId="6" borderId="21" xfId="0" applyNumberFormat="1" applyFont="1" applyFill="1" applyBorder="1" applyAlignment="1" applyProtection="1">
      <alignment horizontal="left" vertical="center" wrapText="1"/>
    </xf>
    <xf numFmtId="169" fontId="20" fillId="6" borderId="23" xfId="0" applyNumberFormat="1" applyFont="1" applyFill="1" applyBorder="1" applyAlignment="1" applyProtection="1">
      <alignment horizontal="right" vertical="center"/>
    </xf>
    <xf numFmtId="170" fontId="20" fillId="6" borderId="18" xfId="0" applyNumberFormat="1" applyFont="1" applyFill="1" applyBorder="1" applyAlignment="1" applyProtection="1">
      <alignment horizontal="center" vertical="center"/>
    </xf>
    <xf numFmtId="170" fontId="20" fillId="6" borderId="19" xfId="0" applyNumberFormat="1" applyFont="1" applyFill="1" applyBorder="1" applyAlignment="1" applyProtection="1">
      <alignment horizontal="left" vertical="center" wrapText="1"/>
    </xf>
    <xf numFmtId="170" fontId="20" fillId="6" borderId="19" xfId="0" applyNumberFormat="1" applyFont="1" applyFill="1" applyBorder="1" applyAlignment="1" applyProtection="1">
      <alignment horizontal="center" vertical="center"/>
    </xf>
    <xf numFmtId="170" fontId="20" fillId="6" borderId="19" xfId="0" applyNumberFormat="1" applyFont="1" applyFill="1" applyBorder="1" applyAlignment="1" applyProtection="1">
      <alignment horizontal="right" vertical="center"/>
    </xf>
    <xf numFmtId="170" fontId="20" fillId="6" borderId="20" xfId="0" applyNumberFormat="1" applyFont="1" applyFill="1" applyBorder="1" applyAlignment="1" applyProtection="1">
      <alignment horizontal="right" vertical="center"/>
    </xf>
    <xf numFmtId="170" fontId="24" fillId="6" borderId="18" xfId="0" applyNumberFormat="1" applyFont="1" applyFill="1" applyBorder="1" applyAlignment="1" applyProtection="1">
      <alignment horizontal="center" vertical="center"/>
    </xf>
    <xf numFmtId="170" fontId="24" fillId="6" borderId="19" xfId="0" applyNumberFormat="1" applyFont="1" applyFill="1" applyBorder="1" applyAlignment="1" applyProtection="1">
      <alignment horizontal="left" vertical="center" wrapText="1"/>
    </xf>
    <xf numFmtId="170" fontId="24" fillId="6" borderId="19" xfId="0" applyNumberFormat="1" applyFont="1" applyFill="1" applyBorder="1" applyAlignment="1" applyProtection="1">
      <alignment horizontal="center" vertical="center"/>
    </xf>
    <xf numFmtId="170" fontId="24" fillId="6" borderId="19" xfId="0" applyNumberFormat="1" applyFont="1" applyFill="1" applyBorder="1" applyAlignment="1" applyProtection="1">
      <alignment horizontal="right" vertical="center"/>
    </xf>
    <xf numFmtId="170" fontId="24" fillId="6" borderId="20" xfId="0" applyNumberFormat="1" applyFont="1" applyFill="1" applyBorder="1" applyAlignment="1" applyProtection="1">
      <alignment horizontal="right" vertical="center"/>
    </xf>
    <xf numFmtId="170" fontId="23" fillId="6" borderId="18" xfId="0" applyNumberFormat="1" applyFont="1" applyFill="1" applyBorder="1" applyAlignment="1" applyProtection="1">
      <alignment horizontal="center" vertical="center"/>
    </xf>
    <xf numFmtId="170" fontId="23" fillId="6" borderId="19" xfId="0" applyNumberFormat="1" applyFont="1" applyFill="1" applyBorder="1" applyAlignment="1" applyProtection="1">
      <alignment horizontal="left" vertical="center" wrapText="1"/>
    </xf>
    <xf numFmtId="170" fontId="23" fillId="6" borderId="19" xfId="0" applyNumberFormat="1" applyFont="1" applyFill="1" applyBorder="1" applyAlignment="1" applyProtection="1">
      <alignment horizontal="center" vertical="center"/>
    </xf>
    <xf numFmtId="170" fontId="23" fillId="6" borderId="19" xfId="0" applyNumberFormat="1" applyFont="1" applyFill="1" applyBorder="1" applyAlignment="1" applyProtection="1">
      <alignment horizontal="right" vertical="center"/>
    </xf>
    <xf numFmtId="170" fontId="23" fillId="6" borderId="20" xfId="0" applyNumberFormat="1" applyFont="1" applyFill="1" applyBorder="1" applyAlignment="1" applyProtection="1">
      <alignment horizontal="right" vertical="center"/>
    </xf>
    <xf numFmtId="4" fontId="20" fillId="6" borderId="18" xfId="0" applyNumberFormat="1" applyFont="1" applyFill="1" applyBorder="1" applyAlignment="1" applyProtection="1">
      <alignment horizontal="center" vertical="center"/>
    </xf>
    <xf numFmtId="4" fontId="20" fillId="6" borderId="19" xfId="0" applyNumberFormat="1" applyFont="1" applyFill="1" applyBorder="1" applyAlignment="1" applyProtection="1">
      <alignment horizontal="left" vertical="center" wrapText="1"/>
    </xf>
    <xf numFmtId="4" fontId="20" fillId="6" borderId="19" xfId="0" applyNumberFormat="1" applyFont="1" applyFill="1" applyBorder="1" applyAlignment="1" applyProtection="1">
      <alignment horizontal="center" vertical="center"/>
    </xf>
    <xf numFmtId="4" fontId="20" fillId="6" borderId="20" xfId="0" applyNumberFormat="1" applyFont="1" applyFill="1" applyBorder="1" applyAlignment="1" applyProtection="1">
      <alignment horizontal="right" vertical="center"/>
    </xf>
    <xf numFmtId="170" fontId="24" fillId="6" borderId="21" xfId="0" applyNumberFormat="1" applyFont="1" applyFill="1" applyBorder="1" applyAlignment="1" applyProtection="1">
      <alignment horizontal="center" vertical="center"/>
    </xf>
    <xf numFmtId="170" fontId="24" fillId="6" borderId="22" xfId="0" applyNumberFormat="1" applyFont="1" applyFill="1" applyBorder="1" applyAlignment="1" applyProtection="1">
      <alignment horizontal="left" vertical="center" wrapText="1"/>
    </xf>
    <xf numFmtId="170" fontId="24" fillId="6" borderId="22" xfId="0" applyNumberFormat="1" applyFont="1" applyFill="1" applyBorder="1" applyAlignment="1" applyProtection="1">
      <alignment horizontal="center" vertical="center"/>
    </xf>
    <xf numFmtId="170" fontId="24" fillId="6" borderId="22" xfId="0" applyNumberFormat="1" applyFont="1" applyFill="1" applyBorder="1" applyAlignment="1" applyProtection="1">
      <alignment horizontal="right" vertical="center"/>
    </xf>
    <xf numFmtId="170" fontId="24" fillId="6" borderId="23" xfId="0" applyNumberFormat="1" applyFont="1" applyFill="1" applyBorder="1" applyAlignment="1" applyProtection="1">
      <alignment horizontal="right" vertical="center"/>
    </xf>
    <xf numFmtId="4" fontId="20" fillId="6" borderId="21" xfId="0" applyNumberFormat="1" applyFont="1" applyFill="1" applyBorder="1" applyAlignment="1" applyProtection="1">
      <alignment horizontal="center" vertical="center"/>
    </xf>
    <xf numFmtId="4" fontId="20" fillId="6" borderId="22" xfId="0" applyNumberFormat="1" applyFont="1" applyFill="1" applyBorder="1" applyAlignment="1" applyProtection="1">
      <alignment horizontal="left" vertical="center" wrapText="1"/>
    </xf>
    <xf numFmtId="4" fontId="20" fillId="6" borderId="22" xfId="0" applyNumberFormat="1" applyFont="1" applyFill="1" applyBorder="1" applyAlignment="1" applyProtection="1">
      <alignment horizontal="center" vertical="center"/>
    </xf>
    <xf numFmtId="4" fontId="20" fillId="6" borderId="23" xfId="0" applyNumberFormat="1" applyFont="1" applyFill="1" applyBorder="1" applyAlignment="1" applyProtection="1">
      <alignment horizontal="right" vertical="center"/>
    </xf>
    <xf numFmtId="0" fontId="20" fillId="6" borderId="0" xfId="0" applyNumberFormat="1" applyFont="1" applyFill="1" applyBorder="1" applyAlignment="1" applyProtection="1">
      <alignment vertical="top"/>
    </xf>
    <xf numFmtId="0" fontId="3" fillId="2" borderId="9" xfId="0" applyFont="1" applyFill="1" applyBorder="1" applyAlignment="1">
      <alignment horizontal="left" wrapText="1"/>
    </xf>
    <xf numFmtId="0" fontId="3" fillId="2" borderId="9" xfId="0" applyFont="1" applyFill="1" applyBorder="1" applyAlignment="1">
      <alignment horizontal="left" vertical="center"/>
    </xf>
    <xf numFmtId="0" fontId="5" fillId="2" borderId="9" xfId="0" applyFont="1" applyFill="1" applyBorder="1" applyAlignment="1">
      <alignment horizontal="left" vertical="center"/>
    </xf>
    <xf numFmtId="0" fontId="12" fillId="3" borderId="7" xfId="2" applyFont="1" applyFill="1" applyBorder="1" applyAlignment="1">
      <alignment horizontal="center" vertical="center"/>
    </xf>
    <xf numFmtId="0" fontId="12" fillId="3" borderId="0" xfId="2" applyFont="1" applyFill="1" applyBorder="1" applyAlignment="1">
      <alignment horizontal="center" vertical="center"/>
    </xf>
    <xf numFmtId="0" fontId="12" fillId="3" borderId="8" xfId="2" applyFont="1" applyFill="1" applyBorder="1" applyAlignment="1">
      <alignment horizontal="center" vertical="center"/>
    </xf>
    <xf numFmtId="0" fontId="12" fillId="3" borderId="4" xfId="2" applyFont="1" applyFill="1" applyBorder="1" applyAlignment="1">
      <alignment horizontal="center" vertical="center"/>
    </xf>
    <xf numFmtId="0" fontId="12" fillId="3" borderId="5" xfId="2" applyFont="1" applyFill="1" applyBorder="1" applyAlignment="1">
      <alignment horizontal="center" vertical="center"/>
    </xf>
    <xf numFmtId="0" fontId="12" fillId="3" borderId="6" xfId="2" applyFont="1" applyFill="1" applyBorder="1" applyAlignment="1">
      <alignment horizontal="center" vertical="center"/>
    </xf>
    <xf numFmtId="0" fontId="3" fillId="2" borderId="0" xfId="0" applyFont="1" applyFill="1" applyAlignment="1">
      <alignment horizontal="left"/>
    </xf>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10" fillId="3" borderId="7" xfId="2" applyFont="1" applyFill="1" applyBorder="1" applyAlignment="1">
      <alignment horizontal="center" vertical="center"/>
    </xf>
    <xf numFmtId="0" fontId="10" fillId="3" borderId="0" xfId="2" applyFont="1" applyFill="1" applyBorder="1" applyAlignment="1">
      <alignment horizontal="center" vertical="center"/>
    </xf>
    <xf numFmtId="0" fontId="10" fillId="3" borderId="8" xfId="2" applyFont="1" applyFill="1" applyBorder="1" applyAlignment="1">
      <alignment horizontal="center" vertical="center"/>
    </xf>
    <xf numFmtId="0" fontId="11" fillId="3" borderId="7" xfId="2" applyFont="1" applyFill="1" applyBorder="1" applyAlignment="1">
      <alignment horizontal="center" vertical="center"/>
    </xf>
    <xf numFmtId="0" fontId="11" fillId="3" borderId="0" xfId="2" applyFont="1" applyFill="1" applyBorder="1" applyAlignment="1">
      <alignment horizontal="center" vertical="center"/>
    </xf>
    <xf numFmtId="0" fontId="11" fillId="3" borderId="8" xfId="2" applyFont="1" applyFill="1" applyBorder="1" applyAlignment="1">
      <alignment horizontal="center" vertical="center"/>
    </xf>
    <xf numFmtId="0" fontId="3" fillId="3" borderId="7" xfId="0" applyFont="1" applyFill="1" applyBorder="1" applyAlignment="1">
      <alignment horizontal="left" vertical="center" wrapText="1"/>
    </xf>
    <xf numFmtId="0" fontId="3" fillId="3" borderId="0" xfId="0" applyFont="1" applyFill="1" applyBorder="1" applyAlignment="1">
      <alignment horizontal="left" vertical="center" wrapText="1"/>
    </xf>
    <xf numFmtId="0" fontId="5" fillId="3" borderId="7" xfId="0" applyFont="1" applyFill="1" applyBorder="1" applyAlignment="1">
      <alignment horizontal="left" vertical="center" wrapText="1"/>
    </xf>
    <xf numFmtId="0" fontId="5" fillId="3" borderId="0" xfId="0" applyFont="1" applyFill="1" applyBorder="1" applyAlignment="1">
      <alignment horizontal="left" vertical="center" wrapText="1"/>
    </xf>
    <xf numFmtId="0" fontId="5" fillId="3" borderId="4" xfId="0" applyFont="1" applyFill="1" applyBorder="1" applyAlignment="1">
      <alignment horizontal="left"/>
    </xf>
    <xf numFmtId="0" fontId="5" fillId="3" borderId="5" xfId="0" applyFont="1" applyFill="1" applyBorder="1" applyAlignment="1">
      <alignment horizontal="left"/>
    </xf>
    <xf numFmtId="174" fontId="32" fillId="6" borderId="5" xfId="15" applyNumberFormat="1" applyFont="1" applyFill="1" applyBorder="1" applyAlignment="1" applyProtection="1">
      <alignment horizontal="left" vertical="top"/>
    </xf>
    <xf numFmtId="0" fontId="3" fillId="2" borderId="0" xfId="0" applyFont="1" applyFill="1" applyBorder="1" applyAlignment="1">
      <alignment horizontal="left"/>
    </xf>
    <xf numFmtId="0" fontId="5" fillId="3" borderId="1" xfId="0" applyFont="1" applyFill="1" applyBorder="1" applyAlignment="1">
      <alignment horizontal="left" wrapText="1"/>
    </xf>
    <xf numFmtId="0" fontId="5" fillId="3" borderId="2" xfId="0" applyFont="1" applyFill="1" applyBorder="1" applyAlignment="1">
      <alignment horizontal="left"/>
    </xf>
    <xf numFmtId="0" fontId="5" fillId="3" borderId="3" xfId="0" applyFont="1" applyFill="1" applyBorder="1" applyAlignment="1">
      <alignment horizontal="left"/>
    </xf>
    <xf numFmtId="0" fontId="5" fillId="3" borderId="4" xfId="0" applyFont="1" applyFill="1" applyBorder="1" applyAlignment="1">
      <alignment horizontal="left" wrapText="1"/>
    </xf>
    <xf numFmtId="0" fontId="5" fillId="3" borderId="6" xfId="0" applyFont="1" applyFill="1" applyBorder="1" applyAlignment="1">
      <alignment horizontal="left"/>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20" fillId="6" borderId="0" xfId="0" applyNumberFormat="1" applyFont="1" applyFill="1" applyBorder="1" applyAlignment="1" applyProtection="1">
      <alignment horizontal="center" vertical="top"/>
    </xf>
    <xf numFmtId="0" fontId="25" fillId="6" borderId="0" xfId="0" applyNumberFormat="1" applyFont="1" applyFill="1" applyBorder="1" applyAlignment="1" applyProtection="1">
      <alignment horizontal="center" vertical="top"/>
    </xf>
    <xf numFmtId="0" fontId="19" fillId="6" borderId="0" xfId="0" applyNumberFormat="1" applyFont="1" applyFill="1" applyBorder="1" applyAlignment="1" applyProtection="1">
      <alignment horizontal="left" vertical="top"/>
    </xf>
    <xf numFmtId="0" fontId="24" fillId="6" borderId="0" xfId="0" applyNumberFormat="1" applyFont="1" applyFill="1" applyBorder="1" applyAlignment="1" applyProtection="1">
      <alignment horizontal="center" vertical="top"/>
    </xf>
    <xf numFmtId="0" fontId="24" fillId="6" borderId="0" xfId="0" applyNumberFormat="1" applyFont="1" applyFill="1" applyBorder="1" applyAlignment="1" applyProtection="1">
      <alignment horizontal="center" vertical="top" wrapText="1"/>
    </xf>
    <xf numFmtId="174" fontId="24" fillId="6" borderId="0" xfId="0" applyNumberFormat="1" applyFont="1" applyFill="1" applyBorder="1" applyAlignment="1" applyProtection="1">
      <alignment horizontal="left" vertical="center"/>
    </xf>
    <xf numFmtId="0" fontId="23" fillId="6" borderId="0" xfId="0" applyNumberFormat="1" applyFont="1" applyFill="1" applyBorder="1" applyAlignment="1" applyProtection="1">
      <alignment horizontal="center" vertical="top" wrapText="1"/>
    </xf>
    <xf numFmtId="0" fontId="20" fillId="6" borderId="0" xfId="0" applyNumberFormat="1" applyFont="1" applyFill="1" applyBorder="1" applyAlignment="1" applyProtection="1">
      <alignment horizontal="left" vertical="top"/>
    </xf>
    <xf numFmtId="0" fontId="19" fillId="6" borderId="14" xfId="0" applyNumberFormat="1" applyFont="1" applyFill="1" applyBorder="1" applyAlignment="1" applyProtection="1">
      <alignment horizontal="left" vertical="top"/>
    </xf>
    <xf numFmtId="0" fontId="24" fillId="6" borderId="0" xfId="0" applyNumberFormat="1" applyFont="1" applyFill="1" applyBorder="1" applyAlignment="1" applyProtection="1">
      <alignment horizontal="left" vertical="top" wrapText="1"/>
    </xf>
    <xf numFmtId="14" fontId="20" fillId="6" borderId="0" xfId="0" applyNumberFormat="1" applyFont="1" applyFill="1" applyBorder="1" applyAlignment="1" applyProtection="1">
      <alignment horizontal="left" vertical="center" wrapText="1"/>
    </xf>
    <xf numFmtId="0" fontId="20" fillId="6" borderId="0" xfId="0" applyNumberFormat="1" applyFont="1" applyFill="1" applyBorder="1" applyAlignment="1" applyProtection="1">
      <alignment horizontal="center" vertical="center" wrapText="1"/>
    </xf>
    <xf numFmtId="0" fontId="21" fillId="6" borderId="0" xfId="0" applyNumberFormat="1" applyFont="1" applyFill="1" applyBorder="1" applyAlignment="1" applyProtection="1">
      <alignment horizontal="center" vertical="center" wrapText="1"/>
    </xf>
    <xf numFmtId="0" fontId="22" fillId="6" borderId="0" xfId="0" applyNumberFormat="1" applyFont="1" applyFill="1" applyBorder="1" applyAlignment="1" applyProtection="1">
      <alignment horizontal="center" vertical="center" wrapText="1"/>
    </xf>
    <xf numFmtId="0" fontId="23" fillId="6" borderId="0" xfId="0" applyNumberFormat="1" applyFont="1" applyFill="1" applyBorder="1" applyAlignment="1" applyProtection="1">
      <alignment horizontal="center" vertical="center" wrapText="1"/>
    </xf>
    <xf numFmtId="0" fontId="20" fillId="6" borderId="0" xfId="0" applyNumberFormat="1" applyFont="1" applyFill="1" applyBorder="1" applyAlignment="1" applyProtection="1">
      <alignment horizontal="left" vertical="center" wrapText="1"/>
    </xf>
    <xf numFmtId="0" fontId="24" fillId="6" borderId="0" xfId="0" applyNumberFormat="1" applyFont="1" applyFill="1" applyBorder="1" applyAlignment="1" applyProtection="1">
      <alignment horizontal="left" vertical="center"/>
    </xf>
    <xf numFmtId="0" fontId="24" fillId="6" borderId="0" xfId="0" applyNumberFormat="1" applyFont="1" applyFill="1" applyBorder="1" applyAlignment="1" applyProtection="1">
      <alignment horizontal="left" vertical="center" wrapText="1"/>
    </xf>
    <xf numFmtId="0" fontId="23" fillId="6" borderId="0" xfId="0" applyNumberFormat="1" applyFont="1" applyFill="1" applyBorder="1" applyAlignment="1" applyProtection="1">
      <alignment horizontal="center"/>
    </xf>
    <xf numFmtId="0" fontId="24" fillId="6" borderId="0" xfId="0" applyNumberFormat="1" applyFont="1" applyFill="1" applyBorder="1" applyAlignment="1" applyProtection="1">
      <alignment horizontal="left" vertical="top"/>
    </xf>
    <xf numFmtId="0" fontId="20" fillId="6" borderId="0" xfId="0" applyNumberFormat="1" applyFont="1" applyFill="1" applyBorder="1" applyAlignment="1" applyProtection="1">
      <alignment horizontal="left" vertical="top" wrapText="1"/>
    </xf>
    <xf numFmtId="14" fontId="20" fillId="6" borderId="0" xfId="0" applyNumberFormat="1" applyFont="1" applyFill="1" applyBorder="1" applyAlignment="1" applyProtection="1">
      <alignment horizontal="left" vertical="top" wrapText="1"/>
    </xf>
    <xf numFmtId="0" fontId="23" fillId="6" borderId="0" xfId="0" applyNumberFormat="1" applyFont="1" applyFill="1" applyBorder="1" applyAlignment="1" applyProtection="1">
      <alignment horizontal="right" vertical="top"/>
    </xf>
    <xf numFmtId="0" fontId="24" fillId="6" borderId="14" xfId="0" applyNumberFormat="1" applyFont="1" applyFill="1" applyBorder="1" applyAlignment="1" applyProtection="1">
      <alignment horizontal="right" vertical="top"/>
    </xf>
    <xf numFmtId="174" fontId="24" fillId="6" borderId="0" xfId="0" applyNumberFormat="1" applyFont="1" applyFill="1" applyBorder="1" applyAlignment="1" applyProtection="1">
      <alignment horizontal="left" vertical="top"/>
    </xf>
    <xf numFmtId="0" fontId="26" fillId="6" borderId="0" xfId="0" applyNumberFormat="1" applyFont="1" applyFill="1" applyBorder="1" applyAlignment="1" applyProtection="1">
      <alignment horizontal="center" vertical="center" wrapText="1"/>
    </xf>
    <xf numFmtId="0" fontId="22" fillId="6" borderId="0" xfId="0" applyNumberFormat="1" applyFont="1" applyFill="1" applyBorder="1" applyAlignment="1" applyProtection="1">
      <alignment horizontal="center" vertical="top"/>
    </xf>
    <xf numFmtId="0" fontId="24" fillId="6" borderId="0" xfId="0" applyNumberFormat="1" applyFont="1" applyFill="1" applyBorder="1" applyAlignment="1" applyProtection="1">
      <alignment horizontal="center" vertical="center"/>
    </xf>
    <xf numFmtId="0" fontId="27" fillId="6" borderId="0" xfId="0" applyNumberFormat="1" applyFont="1" applyFill="1" applyBorder="1" applyAlignment="1" applyProtection="1">
      <alignment horizontal="center"/>
    </xf>
    <xf numFmtId="0" fontId="38" fillId="3" borderId="0" xfId="16" applyFont="1" applyFill="1" applyBorder="1" applyAlignment="1">
      <alignment horizontal="center" vertical="center"/>
    </xf>
    <xf numFmtId="0" fontId="38" fillId="0" borderId="0" xfId="12" applyFont="1" applyFill="1" applyAlignment="1">
      <alignment horizontal="center" vertical="center"/>
    </xf>
    <xf numFmtId="0" fontId="33" fillId="3" borderId="0" xfId="12" applyFont="1" applyFill="1" applyAlignment="1">
      <alignment horizontal="center" wrapText="1"/>
    </xf>
    <xf numFmtId="166" fontId="38" fillId="3" borderId="0" xfId="6" applyNumberFormat="1" applyFont="1" applyFill="1" applyBorder="1" applyAlignment="1">
      <alignment horizontal="center" vertical="center"/>
    </xf>
    <xf numFmtId="2" fontId="38" fillId="3" borderId="0" xfId="16" applyNumberFormat="1" applyFont="1" applyFill="1" applyAlignment="1">
      <alignment horizontal="right" vertical="center" wrapText="1"/>
    </xf>
    <xf numFmtId="0" fontId="38" fillId="3" borderId="2" xfId="16" applyFont="1" applyFill="1" applyBorder="1" applyAlignment="1">
      <alignment horizontal="center" vertical="center"/>
    </xf>
    <xf numFmtId="0" fontId="36" fillId="5" borderId="10" xfId="12" applyFont="1" applyFill="1" applyBorder="1" applyAlignment="1">
      <alignment horizontal="center" vertical="center" wrapText="1"/>
    </xf>
    <xf numFmtId="0" fontId="36" fillId="5" borderId="13" xfId="12" applyFont="1" applyFill="1" applyBorder="1" applyAlignment="1">
      <alignment horizontal="center" vertical="center" wrapText="1"/>
    </xf>
    <xf numFmtId="0" fontId="36" fillId="5" borderId="11" xfId="12" applyFont="1" applyFill="1" applyBorder="1" applyAlignment="1">
      <alignment horizontal="center" vertical="center" wrapText="1"/>
    </xf>
    <xf numFmtId="0" fontId="36" fillId="5" borderId="12" xfId="12" applyFont="1" applyFill="1" applyBorder="1" applyAlignment="1">
      <alignment horizontal="center" vertical="center" wrapText="1"/>
    </xf>
    <xf numFmtId="0" fontId="34" fillId="0" borderId="1" xfId="12" applyFont="1" applyBorder="1" applyAlignment="1">
      <alignment horizontal="center" vertical="center" wrapText="1"/>
    </xf>
    <xf numFmtId="0" fontId="34" fillId="0" borderId="2" xfId="12" applyFont="1" applyBorder="1" applyAlignment="1">
      <alignment horizontal="center" vertical="center" wrapText="1"/>
    </xf>
    <xf numFmtId="0" fontId="34" fillId="0" borderId="3" xfId="12" applyFont="1" applyBorder="1" applyAlignment="1">
      <alignment horizontal="center" vertical="center" wrapText="1"/>
    </xf>
    <xf numFmtId="0" fontId="34" fillId="0" borderId="7" xfId="12" applyFont="1" applyBorder="1" applyAlignment="1">
      <alignment horizontal="center" vertical="center" wrapText="1"/>
    </xf>
    <xf numFmtId="0" fontId="34" fillId="0" borderId="0" xfId="12" applyFont="1" applyBorder="1" applyAlignment="1">
      <alignment horizontal="center" vertical="center" wrapText="1"/>
    </xf>
    <xf numFmtId="0" fontId="34" fillId="0" borderId="8" xfId="12" applyFont="1" applyBorder="1" applyAlignment="1">
      <alignment horizontal="center" vertical="center" wrapText="1"/>
    </xf>
    <xf numFmtId="0" fontId="34" fillId="0" borderId="4" xfId="12" applyFont="1" applyBorder="1" applyAlignment="1">
      <alignment horizontal="center" vertical="center" wrapText="1"/>
    </xf>
    <xf numFmtId="0" fontId="34" fillId="0" borderId="5" xfId="12" applyFont="1" applyBorder="1" applyAlignment="1">
      <alignment horizontal="center" vertical="center" wrapText="1"/>
    </xf>
    <xf numFmtId="0" fontId="34" fillId="0" borderId="6" xfId="12" applyFont="1" applyBorder="1" applyAlignment="1">
      <alignment horizontal="center" vertical="center" wrapText="1"/>
    </xf>
    <xf numFmtId="0" fontId="38" fillId="3" borderId="0" xfId="16" applyFont="1" applyFill="1" applyAlignment="1">
      <alignment horizontal="center" vertical="center"/>
    </xf>
    <xf numFmtId="167" fontId="38" fillId="3" borderId="0" xfId="16" applyNumberFormat="1" applyFont="1" applyFill="1" applyAlignment="1">
      <alignment horizontal="center" vertical="center"/>
    </xf>
    <xf numFmtId="0" fontId="26" fillId="3" borderId="0" xfId="12" applyFont="1" applyFill="1" applyAlignment="1">
      <alignment horizontal="center" vertical="center" wrapText="1"/>
    </xf>
    <xf numFmtId="0" fontId="20" fillId="3" borderId="0" xfId="12" applyFont="1" applyFill="1" applyAlignment="1">
      <alignment horizontal="center" vertical="center" wrapText="1"/>
    </xf>
    <xf numFmtId="3" fontId="33" fillId="3" borderId="0" xfId="12" applyNumberFormat="1" applyFont="1" applyFill="1" applyAlignment="1">
      <alignment horizontal="center" vertical="center" wrapText="1"/>
    </xf>
    <xf numFmtId="0" fontId="33" fillId="3" borderId="0" xfId="12" applyFont="1" applyFill="1" applyAlignment="1">
      <alignment horizontal="center" vertical="center"/>
    </xf>
    <xf numFmtId="174" fontId="24" fillId="6" borderId="0" xfId="15" applyNumberFormat="1" applyFont="1" applyFill="1" applyBorder="1" applyAlignment="1" applyProtection="1">
      <alignment horizontal="left" vertical="top"/>
    </xf>
    <xf numFmtId="0" fontId="34" fillId="3" borderId="0" xfId="12" applyFont="1" applyFill="1" applyAlignment="1">
      <alignment horizontal="left"/>
    </xf>
    <xf numFmtId="0" fontId="36" fillId="5" borderId="9" xfId="12" applyFont="1" applyFill="1" applyBorder="1" applyAlignment="1">
      <alignment horizontal="center" vertical="center" wrapText="1"/>
    </xf>
    <xf numFmtId="0" fontId="38" fillId="5" borderId="10" xfId="12" applyFont="1" applyFill="1" applyBorder="1" applyAlignment="1" applyProtection="1">
      <alignment horizontal="center" vertical="center" wrapText="1"/>
    </xf>
    <xf numFmtId="0" fontId="38" fillId="5" borderId="13" xfId="12" applyFont="1" applyFill="1" applyBorder="1" applyAlignment="1" applyProtection="1">
      <alignment horizontal="center" vertical="center" wrapText="1"/>
    </xf>
    <xf numFmtId="0" fontId="40" fillId="6" borderId="0" xfId="0" applyNumberFormat="1" applyFont="1" applyFill="1" applyBorder="1" applyAlignment="1" applyProtection="1">
      <alignment horizontal="center" vertical="top"/>
    </xf>
    <xf numFmtId="0" fontId="42" fillId="0" borderId="0" xfId="0" applyFont="1" applyAlignment="1">
      <alignment horizontal="center" vertical="center"/>
    </xf>
    <xf numFmtId="0" fontId="20" fillId="6" borderId="0" xfId="0" applyNumberFormat="1" applyFont="1" applyFill="1" applyBorder="1" applyAlignment="1" applyProtection="1">
      <alignment horizontal="center"/>
    </xf>
    <xf numFmtId="0" fontId="23" fillId="6" borderId="0" xfId="0" applyNumberFormat="1" applyFont="1" applyFill="1" applyBorder="1" applyAlignment="1" applyProtection="1">
      <alignment horizontal="center" vertical="center"/>
    </xf>
    <xf numFmtId="0" fontId="20" fillId="7" borderId="15" xfId="0" applyNumberFormat="1" applyFont="1" applyFill="1" applyBorder="1" applyAlignment="1" applyProtection="1">
      <alignment horizontal="center" vertical="center" wrapText="1"/>
    </xf>
    <xf numFmtId="0" fontId="20" fillId="7" borderId="27" xfId="0" applyNumberFormat="1" applyFont="1" applyFill="1" applyBorder="1" applyAlignment="1" applyProtection="1">
      <alignment horizontal="center" vertical="center" wrapText="1"/>
    </xf>
    <xf numFmtId="0" fontId="20" fillId="7" borderId="16" xfId="0" applyNumberFormat="1" applyFont="1" applyFill="1" applyBorder="1" applyAlignment="1" applyProtection="1">
      <alignment horizontal="center" vertical="center" wrapText="1"/>
    </xf>
    <xf numFmtId="0" fontId="20" fillId="7" borderId="28" xfId="0" applyNumberFormat="1" applyFont="1" applyFill="1" applyBorder="1" applyAlignment="1" applyProtection="1">
      <alignment horizontal="center" vertical="center" wrapText="1"/>
    </xf>
    <xf numFmtId="0" fontId="20" fillId="7" borderId="17" xfId="0" applyNumberFormat="1" applyFont="1" applyFill="1" applyBorder="1" applyAlignment="1" applyProtection="1">
      <alignment horizontal="center" vertical="center" wrapText="1"/>
    </xf>
    <xf numFmtId="0" fontId="22" fillId="6" borderId="0" xfId="0" applyNumberFormat="1" applyFont="1" applyFill="1" applyBorder="1" applyAlignment="1" applyProtection="1">
      <alignment horizontal="center" vertical="center"/>
    </xf>
    <xf numFmtId="0" fontId="21" fillId="6" borderId="0" xfId="0" applyNumberFormat="1" applyFont="1" applyFill="1" applyBorder="1" applyAlignment="1" applyProtection="1">
      <alignment horizontal="center" vertical="top" wrapText="1"/>
    </xf>
    <xf numFmtId="0" fontId="20" fillId="6" borderId="0" xfId="0" applyNumberFormat="1" applyFont="1" applyFill="1" applyBorder="1" applyAlignment="1" applyProtection="1">
      <alignment horizontal="center" vertical="center"/>
    </xf>
    <xf numFmtId="14" fontId="20" fillId="6" borderId="0" xfId="0" applyNumberFormat="1" applyFont="1" applyFill="1" applyBorder="1" applyAlignment="1" applyProtection="1">
      <alignment horizontal="left" vertical="top"/>
    </xf>
    <xf numFmtId="0" fontId="30" fillId="6" borderId="0" xfId="0" applyNumberFormat="1" applyFont="1" applyFill="1" applyBorder="1" applyAlignment="1" applyProtection="1">
      <alignment horizontal="left" vertical="top"/>
    </xf>
    <xf numFmtId="0" fontId="20" fillId="6" borderId="0" xfId="0" applyNumberFormat="1" applyFont="1" applyFill="1" applyBorder="1" applyAlignment="1" applyProtection="1">
      <alignment horizontal="right" vertical="center" wrapText="1"/>
    </xf>
    <xf numFmtId="0" fontId="28" fillId="6" borderId="0" xfId="0" applyNumberFormat="1" applyFont="1" applyFill="1" applyBorder="1" applyAlignment="1" applyProtection="1">
      <alignment horizontal="center" vertical="center" wrapText="1"/>
    </xf>
    <xf numFmtId="0" fontId="19" fillId="6" borderId="0" xfId="0" applyNumberFormat="1" applyFont="1" applyFill="1" applyBorder="1" applyAlignment="1" applyProtection="1">
      <alignment horizontal="left" vertical="center"/>
    </xf>
    <xf numFmtId="0" fontId="23" fillId="6" borderId="14" xfId="0" applyNumberFormat="1" applyFont="1" applyFill="1" applyBorder="1" applyAlignment="1" applyProtection="1">
      <alignment horizontal="right" vertical="center"/>
    </xf>
    <xf numFmtId="0" fontId="24" fillId="6" borderId="0" xfId="0" applyNumberFormat="1" applyFont="1" applyFill="1" applyBorder="1" applyAlignment="1" applyProtection="1">
      <alignment horizontal="center" vertical="center" wrapText="1"/>
    </xf>
    <xf numFmtId="0" fontId="41" fillId="6" borderId="0" xfId="0" applyNumberFormat="1" applyFont="1" applyFill="1" applyBorder="1" applyAlignment="1" applyProtection="1">
      <alignment horizontal="center" vertical="top"/>
    </xf>
    <xf numFmtId="0" fontId="20" fillId="6" borderId="0" xfId="0" applyNumberFormat="1" applyFont="1" applyFill="1" applyBorder="1" applyAlignment="1" applyProtection="1">
      <alignment horizontal="left" vertical="center"/>
    </xf>
    <xf numFmtId="0" fontId="24" fillId="6" borderId="30" xfId="0" applyNumberFormat="1" applyFont="1" applyFill="1" applyBorder="1" applyAlignment="1" applyProtection="1">
      <alignment horizontal="left" vertical="center" wrapText="1"/>
    </xf>
  </cellXfs>
  <cellStyles count="18">
    <cellStyle name="Comma 13" xfId="4"/>
    <cellStyle name="Comma 2" xfId="5"/>
    <cellStyle name="Comma 4" xfId="6"/>
    <cellStyle name="Currency [0] 2" xfId="7"/>
    <cellStyle name="Hyperlink" xfId="3" builtinId="8"/>
    <cellStyle name="Normal" xfId="0" builtinId="0"/>
    <cellStyle name="Normal 2" xfId="1"/>
    <cellStyle name="Normal 2 2" xfId="8"/>
    <cellStyle name="Normal 3" xfId="9"/>
    <cellStyle name="Normal 3 2" xfId="10"/>
    <cellStyle name="Normal 3 2 2" xfId="11"/>
    <cellStyle name="Normal 3 2 3" xfId="12"/>
    <cellStyle name="Normal 4" xfId="13"/>
    <cellStyle name="Normal 5" xfId="14"/>
    <cellStyle name="Normal 6" xfId="15"/>
    <cellStyle name="Normal_Bao cao tai chinh 280405" xfId="2"/>
    <cellStyle name="Normal_Bao cao tai chinh 280405 2" xfId="16"/>
    <cellStyle name="Percent 2" xfId="1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200024</xdr:colOff>
      <xdr:row>0</xdr:row>
      <xdr:rowOff>9524</xdr:rowOff>
    </xdr:from>
    <xdr:to>
      <xdr:col>1</xdr:col>
      <xdr:colOff>1314449</xdr:colOff>
      <xdr:row>1</xdr:row>
      <xdr:rowOff>57636</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4" y="9524"/>
          <a:ext cx="1114425" cy="6481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47625</xdr:rowOff>
    </xdr:from>
    <xdr:to>
      <xdr:col>1</xdr:col>
      <xdr:colOff>1057275</xdr:colOff>
      <xdr:row>1</xdr:row>
      <xdr:rowOff>54769</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5" y="47625"/>
          <a:ext cx="1047750" cy="6072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314325</xdr:colOff>
      <xdr:row>0</xdr:row>
      <xdr:rowOff>0</xdr:rowOff>
    </xdr:from>
    <xdr:to>
      <xdr:col>1</xdr:col>
      <xdr:colOff>1371600</xdr:colOff>
      <xdr:row>1</xdr:row>
      <xdr:rowOff>2507</xdr:rowOff>
    </xdr:to>
    <xdr:pic>
      <xdr:nvPicPr>
        <xdr:cNvPr id="1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425" y="0"/>
          <a:ext cx="1057275" cy="6121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67</xdr:row>
      <xdr:rowOff>9525</xdr:rowOff>
    </xdr:from>
    <xdr:to>
      <xdr:col>6</xdr:col>
      <xdr:colOff>428625</xdr:colOff>
      <xdr:row>68</xdr:row>
      <xdr:rowOff>190500</xdr:rowOff>
    </xdr:to>
    <xdr:sp macro="" textlink="" fLocksText="0">
      <xdr:nvSpPr>
        <xdr:cNvPr id="17" name="Text Box 2"/>
        <xdr:cNvSpPr txBox="1">
          <a:spLocks noChangeArrowheads="1"/>
        </xdr:cNvSpPr>
      </xdr:nvSpPr>
      <xdr:spPr bwMode="auto">
        <a:xfrm>
          <a:off x="9525" y="17183100"/>
          <a:ext cx="716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Ghi chú:</a:t>
          </a:r>
        </a:p>
      </xdr:txBody>
    </xdr:sp>
    <xdr:clientData/>
  </xdr:twoCellAnchor>
  <xdr:twoCellAnchor editAs="oneCell">
    <xdr:from>
      <xdr:col>0</xdr:col>
      <xdr:colOff>9525</xdr:colOff>
      <xdr:row>68</xdr:row>
      <xdr:rowOff>9525</xdr:rowOff>
    </xdr:from>
    <xdr:to>
      <xdr:col>6</xdr:col>
      <xdr:colOff>428625</xdr:colOff>
      <xdr:row>69</xdr:row>
      <xdr:rowOff>28575</xdr:rowOff>
    </xdr:to>
    <xdr:sp macro="" textlink="" fLocksText="0">
      <xdr:nvSpPr>
        <xdr:cNvPr id="18" name="Text Box 3"/>
        <xdr:cNvSpPr txBox="1">
          <a:spLocks noChangeArrowheads="1"/>
        </xdr:cNvSpPr>
      </xdr:nvSpPr>
      <xdr:spPr bwMode="auto">
        <a:xfrm>
          <a:off x="9525" y="17135475"/>
          <a:ext cx="7162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 Tổng giá trị thị trường của hợp đồng phái sinh được trình bày ở trên là giá trị chênh lệch giữa giá trị cam kết và giá trị thị trường. Chi tiết chênh lệch giữa giá trị cam kết và giá trị thị trường như sau:</a:t>
          </a:r>
        </a:p>
      </xdr:txBody>
    </xdr:sp>
    <xdr:clientData/>
  </xdr:twoCellAnchor>
  <xdr:twoCellAnchor editAs="oneCell">
    <xdr:from>
      <xdr:col>0</xdr:col>
      <xdr:colOff>9525</xdr:colOff>
      <xdr:row>72</xdr:row>
      <xdr:rowOff>9525</xdr:rowOff>
    </xdr:from>
    <xdr:to>
      <xdr:col>2</xdr:col>
      <xdr:colOff>676275</xdr:colOff>
      <xdr:row>74</xdr:row>
      <xdr:rowOff>38100</xdr:rowOff>
    </xdr:to>
    <xdr:sp macro="" textlink="" fLocksText="0">
      <xdr:nvSpPr>
        <xdr:cNvPr id="19" name="Text Box 4"/>
        <xdr:cNvSpPr txBox="1">
          <a:spLocks noChangeArrowheads="1"/>
        </xdr:cNvSpPr>
      </xdr:nvSpPr>
      <xdr:spPr bwMode="auto">
        <a:xfrm>
          <a:off x="9525" y="18535650"/>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Đại diện có thẩm quyền của Ngân hàng giám sát</a:t>
          </a:r>
        </a:p>
      </xdr:txBody>
    </xdr:sp>
    <xdr:clientData/>
  </xdr:twoCellAnchor>
  <xdr:twoCellAnchor editAs="oneCell">
    <xdr:from>
      <xdr:col>3</xdr:col>
      <xdr:colOff>9525</xdr:colOff>
      <xdr:row>72</xdr:row>
      <xdr:rowOff>9525</xdr:rowOff>
    </xdr:from>
    <xdr:to>
      <xdr:col>6</xdr:col>
      <xdr:colOff>523875</xdr:colOff>
      <xdr:row>74</xdr:row>
      <xdr:rowOff>38100</xdr:rowOff>
    </xdr:to>
    <xdr:sp macro="" textlink="" fLocksText="0">
      <xdr:nvSpPr>
        <xdr:cNvPr id="20" name="Text Box 5"/>
        <xdr:cNvSpPr txBox="1">
          <a:spLocks noChangeArrowheads="1"/>
        </xdr:cNvSpPr>
      </xdr:nvSpPr>
      <xdr:spPr bwMode="auto">
        <a:xfrm>
          <a:off x="3362325" y="18535650"/>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Đại diện có thẩm quyền của Công ty quản lý quỹ</a:t>
          </a:r>
        </a:p>
      </xdr:txBody>
    </xdr:sp>
    <xdr:clientData/>
  </xdr:twoCellAnchor>
  <xdr:twoCellAnchor editAs="oneCell">
    <xdr:from>
      <xdr:col>0</xdr:col>
      <xdr:colOff>9525</xdr:colOff>
      <xdr:row>73</xdr:row>
      <xdr:rowOff>9525</xdr:rowOff>
    </xdr:from>
    <xdr:to>
      <xdr:col>2</xdr:col>
      <xdr:colOff>676275</xdr:colOff>
      <xdr:row>74</xdr:row>
      <xdr:rowOff>19050</xdr:rowOff>
    </xdr:to>
    <xdr:sp macro="" textlink="" fLocksText="0">
      <xdr:nvSpPr>
        <xdr:cNvPr id="21" name="Text Box 6"/>
        <xdr:cNvSpPr txBox="1">
          <a:spLocks noChangeArrowheads="1"/>
        </xdr:cNvSpPr>
      </xdr:nvSpPr>
      <xdr:spPr bwMode="auto">
        <a:xfrm>
          <a:off x="9525" y="18697575"/>
          <a:ext cx="335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Authorised Representative of Supervisory Bank</a:t>
          </a:r>
        </a:p>
      </xdr:txBody>
    </xdr:sp>
    <xdr:clientData/>
  </xdr:twoCellAnchor>
  <xdr:twoCellAnchor editAs="oneCell">
    <xdr:from>
      <xdr:col>3</xdr:col>
      <xdr:colOff>9525</xdr:colOff>
      <xdr:row>73</xdr:row>
      <xdr:rowOff>9525</xdr:rowOff>
    </xdr:from>
    <xdr:to>
      <xdr:col>6</xdr:col>
      <xdr:colOff>523875</xdr:colOff>
      <xdr:row>74</xdr:row>
      <xdr:rowOff>19050</xdr:rowOff>
    </xdr:to>
    <xdr:sp macro="" textlink="" fLocksText="0">
      <xdr:nvSpPr>
        <xdr:cNvPr id="22" name="Text Box 7"/>
        <xdr:cNvSpPr txBox="1">
          <a:spLocks noChangeArrowheads="1"/>
        </xdr:cNvSpPr>
      </xdr:nvSpPr>
      <xdr:spPr bwMode="auto">
        <a:xfrm>
          <a:off x="3362325" y="18697575"/>
          <a:ext cx="38100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Authorised Representative of Fund Management Company</a:t>
          </a:r>
        </a:p>
      </xdr:txBody>
    </xdr:sp>
    <xdr:clientData/>
  </xdr:twoCellAnchor>
  <xdr:twoCellAnchor editAs="oneCell">
    <xdr:from>
      <xdr:col>0</xdr:col>
      <xdr:colOff>9525</xdr:colOff>
      <xdr:row>77</xdr:row>
      <xdr:rowOff>9525</xdr:rowOff>
    </xdr:from>
    <xdr:to>
      <xdr:col>2</xdr:col>
      <xdr:colOff>676275</xdr:colOff>
      <xdr:row>78</xdr:row>
      <xdr:rowOff>9525</xdr:rowOff>
    </xdr:to>
    <xdr:sp macro="" textlink="" fLocksText="0">
      <xdr:nvSpPr>
        <xdr:cNvPr id="23" name="Text Box 8"/>
        <xdr:cNvSpPr txBox="1">
          <a:spLocks noChangeArrowheads="1"/>
        </xdr:cNvSpPr>
      </xdr:nvSpPr>
      <xdr:spPr bwMode="auto">
        <a:xfrm>
          <a:off x="9525" y="19497675"/>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NGÂN HÀNG TMCP NGOẠI THƯƠNG VIỆT NAM-CN TP.HCM</a:t>
          </a:r>
        </a:p>
      </xdr:txBody>
    </xdr:sp>
    <xdr:clientData/>
  </xdr:twoCellAnchor>
  <xdr:twoCellAnchor editAs="oneCell">
    <xdr:from>
      <xdr:col>3</xdr:col>
      <xdr:colOff>9525</xdr:colOff>
      <xdr:row>77</xdr:row>
      <xdr:rowOff>9525</xdr:rowOff>
    </xdr:from>
    <xdr:to>
      <xdr:col>6</xdr:col>
      <xdr:colOff>523875</xdr:colOff>
      <xdr:row>78</xdr:row>
      <xdr:rowOff>9525</xdr:rowOff>
    </xdr:to>
    <xdr:sp macro="" textlink="" fLocksText="0">
      <xdr:nvSpPr>
        <xdr:cNvPr id="24" name="Text Box 9"/>
        <xdr:cNvSpPr txBox="1">
          <a:spLocks noChangeArrowheads="1"/>
        </xdr:cNvSpPr>
      </xdr:nvSpPr>
      <xdr:spPr bwMode="auto">
        <a:xfrm>
          <a:off x="3362325" y="19497675"/>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CÔNG TY CỔ PHẦN QUẢN LÝ QUỸ ĐẦU TƯ VIỆT NAM</a:t>
          </a:r>
        </a:p>
      </xdr:txBody>
    </xdr:sp>
    <xdr:clientData/>
  </xdr:twoCellAnchor>
  <xdr:twoCellAnchor editAs="oneCell">
    <xdr:from>
      <xdr:col>0</xdr:col>
      <xdr:colOff>9525</xdr:colOff>
      <xdr:row>78</xdr:row>
      <xdr:rowOff>9525</xdr:rowOff>
    </xdr:from>
    <xdr:to>
      <xdr:col>2</xdr:col>
      <xdr:colOff>676275</xdr:colOff>
      <xdr:row>79</xdr:row>
      <xdr:rowOff>19050</xdr:rowOff>
    </xdr:to>
    <xdr:sp macro="" textlink="" fLocksText="0">
      <xdr:nvSpPr>
        <xdr:cNvPr id="25" name="Text Box 10"/>
        <xdr:cNvSpPr txBox="1">
          <a:spLocks noChangeArrowheads="1"/>
        </xdr:cNvSpPr>
      </xdr:nvSpPr>
      <xdr:spPr bwMode="auto">
        <a:xfrm>
          <a:off x="9525" y="19659600"/>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Phó Trưởng Phòng DVKHTC2</a:t>
          </a:r>
        </a:p>
      </xdr:txBody>
    </xdr:sp>
    <xdr:clientData/>
  </xdr:twoCellAnchor>
  <xdr:twoCellAnchor editAs="oneCell">
    <xdr:from>
      <xdr:col>3</xdr:col>
      <xdr:colOff>9525</xdr:colOff>
      <xdr:row>78</xdr:row>
      <xdr:rowOff>9525</xdr:rowOff>
    </xdr:from>
    <xdr:to>
      <xdr:col>6</xdr:col>
      <xdr:colOff>523875</xdr:colOff>
      <xdr:row>79</xdr:row>
      <xdr:rowOff>19050</xdr:rowOff>
    </xdr:to>
    <xdr:sp macro="" textlink="" fLocksText="0">
      <xdr:nvSpPr>
        <xdr:cNvPr id="26" name="Text Box 11"/>
        <xdr:cNvSpPr txBox="1">
          <a:spLocks noChangeArrowheads="1"/>
        </xdr:cNvSpPr>
      </xdr:nvSpPr>
      <xdr:spPr bwMode="auto">
        <a:xfrm>
          <a:off x="3362325" y="19659600"/>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Tổng Giám Đốc</a:t>
          </a:r>
        </a:p>
      </xdr:txBody>
    </xdr:sp>
    <xdr:clientData/>
  </xdr:twoCellAnchor>
  <xdr:twoCellAnchor editAs="oneCell">
    <xdr:from>
      <xdr:col>0</xdr:col>
      <xdr:colOff>9525</xdr:colOff>
      <xdr:row>79</xdr:row>
      <xdr:rowOff>9525</xdr:rowOff>
    </xdr:from>
    <xdr:to>
      <xdr:col>2</xdr:col>
      <xdr:colOff>676275</xdr:colOff>
      <xdr:row>80</xdr:row>
      <xdr:rowOff>19050</xdr:rowOff>
    </xdr:to>
    <xdr:sp macro="" textlink="" fLocksText="0">
      <xdr:nvSpPr>
        <xdr:cNvPr id="27" name="Text Box 12"/>
        <xdr:cNvSpPr txBox="1">
          <a:spLocks noChangeArrowheads="1"/>
        </xdr:cNvSpPr>
      </xdr:nvSpPr>
      <xdr:spPr bwMode="auto">
        <a:xfrm>
          <a:off x="9525" y="19821525"/>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Ngô Thùy Dương</a:t>
          </a:r>
        </a:p>
      </xdr:txBody>
    </xdr:sp>
    <xdr:clientData/>
  </xdr:twoCellAnchor>
  <xdr:twoCellAnchor editAs="oneCell">
    <xdr:from>
      <xdr:col>3</xdr:col>
      <xdr:colOff>9525</xdr:colOff>
      <xdr:row>79</xdr:row>
      <xdr:rowOff>9525</xdr:rowOff>
    </xdr:from>
    <xdr:to>
      <xdr:col>6</xdr:col>
      <xdr:colOff>523875</xdr:colOff>
      <xdr:row>80</xdr:row>
      <xdr:rowOff>19050</xdr:rowOff>
    </xdr:to>
    <xdr:sp macro="" textlink="" fLocksText="0">
      <xdr:nvSpPr>
        <xdr:cNvPr id="28" name="Text Box 13"/>
        <xdr:cNvSpPr txBox="1">
          <a:spLocks noChangeArrowheads="1"/>
        </xdr:cNvSpPr>
      </xdr:nvSpPr>
      <xdr:spPr bwMode="auto">
        <a:xfrm>
          <a:off x="3362325" y="19821525"/>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Trần Thanh Tân</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342900</xdr:colOff>
      <xdr:row>0</xdr:row>
      <xdr:rowOff>47625</xdr:rowOff>
    </xdr:from>
    <xdr:to>
      <xdr:col>1</xdr:col>
      <xdr:colOff>1324155</xdr:colOff>
      <xdr:row>1</xdr:row>
      <xdr:rowOff>38100</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47625"/>
          <a:ext cx="98125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3" name="Straight Connector 2"/>
        <xdr:cNvCxnSpPr/>
      </xdr:nvCxnSpPr>
      <xdr:spPr>
        <a:xfrm>
          <a:off x="4660106" y="3876675"/>
          <a:ext cx="8270081" cy="30408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714375</xdr:colOff>
      <xdr:row>0</xdr:row>
      <xdr:rowOff>0</xdr:rowOff>
    </xdr:from>
    <xdr:to>
      <xdr:col>1</xdr:col>
      <xdr:colOff>1743075</xdr:colOff>
      <xdr:row>1</xdr:row>
      <xdr:rowOff>114300</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6325" y="0"/>
          <a:ext cx="10287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676275</xdr:colOff>
      <xdr:row>0</xdr:row>
      <xdr:rowOff>0</xdr:rowOff>
    </xdr:from>
    <xdr:to>
      <xdr:col>0</xdr:col>
      <xdr:colOff>1704975</xdr:colOff>
      <xdr:row>1</xdr:row>
      <xdr:rowOff>0</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6275" y="0"/>
          <a:ext cx="10287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446615</xdr:colOff>
      <xdr:row>0</xdr:row>
      <xdr:rowOff>0</xdr:rowOff>
    </xdr:from>
    <xdr:to>
      <xdr:col>1</xdr:col>
      <xdr:colOff>1629832</xdr:colOff>
      <xdr:row>1</xdr:row>
      <xdr:rowOff>23460</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5715" y="0"/>
          <a:ext cx="1183217" cy="690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359834</xdr:colOff>
      <xdr:row>0</xdr:row>
      <xdr:rowOff>7407</xdr:rowOff>
    </xdr:from>
    <xdr:to>
      <xdr:col>1</xdr:col>
      <xdr:colOff>1016000</xdr:colOff>
      <xdr:row>0</xdr:row>
      <xdr:rowOff>537056</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9834" y="7407"/>
          <a:ext cx="1079499" cy="52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180976</xdr:colOff>
      <xdr:row>0</xdr:row>
      <xdr:rowOff>0</xdr:rowOff>
    </xdr:from>
    <xdr:to>
      <xdr:col>1</xdr:col>
      <xdr:colOff>1381126</xdr:colOff>
      <xdr:row>1</xdr:row>
      <xdr:rowOff>0</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6" y="0"/>
          <a:ext cx="12001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9"/>
  <sheetViews>
    <sheetView view="pageBreakPreview" zoomScale="80" zoomScaleNormal="50" zoomScaleSheetLayoutView="80" workbookViewId="0">
      <selection activeCell="A34" sqref="A34"/>
    </sheetView>
  </sheetViews>
  <sheetFormatPr defaultRowHeight="15" x14ac:dyDescent="0.2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16384" width="9.140625" style="1"/>
  </cols>
  <sheetData>
    <row r="1" spans="1:10" ht="15.75" x14ac:dyDescent="0.25">
      <c r="A1" s="260" t="s">
        <v>0</v>
      </c>
      <c r="B1" s="260"/>
    </row>
    <row r="2" spans="1:10" ht="15.75" x14ac:dyDescent="0.25">
      <c r="C2" s="261" t="s">
        <v>1061</v>
      </c>
      <c r="D2" s="262"/>
      <c r="E2" s="263"/>
    </row>
    <row r="3" spans="1:10" ht="15.75" x14ac:dyDescent="0.25">
      <c r="A3" s="2"/>
      <c r="B3" s="2"/>
      <c r="C3" s="264" t="s">
        <v>1062</v>
      </c>
      <c r="D3" s="258"/>
      <c r="E3" s="265"/>
    </row>
    <row r="4" spans="1:10" x14ac:dyDescent="0.25">
      <c r="A4" s="3"/>
      <c r="B4" s="3"/>
    </row>
    <row r="5" spans="1:10" ht="15.75" x14ac:dyDescent="0.25">
      <c r="A5" s="243" t="s">
        <v>1</v>
      </c>
      <c r="B5" s="243"/>
      <c r="E5" s="4"/>
      <c r="F5" s="4"/>
      <c r="G5" s="4"/>
      <c r="H5" s="4"/>
      <c r="I5" s="4"/>
    </row>
    <row r="6" spans="1:10" ht="15.75" x14ac:dyDescent="0.25">
      <c r="A6" s="2"/>
      <c r="B6" s="2"/>
      <c r="C6" s="266" t="s">
        <v>2</v>
      </c>
      <c r="D6" s="267"/>
      <c r="E6" s="5" t="s">
        <v>3</v>
      </c>
      <c r="F6" s="6"/>
      <c r="G6" s="6"/>
      <c r="H6" s="6"/>
      <c r="I6" s="7"/>
    </row>
    <row r="7" spans="1:10" ht="15.75" x14ac:dyDescent="0.25">
      <c r="A7" s="2"/>
      <c r="B7" s="2"/>
      <c r="C7" s="255" t="s">
        <v>4</v>
      </c>
      <c r="D7" s="256"/>
      <c r="E7" s="8" t="s">
        <v>5</v>
      </c>
      <c r="F7" s="9"/>
      <c r="G7" s="9"/>
      <c r="H7" s="9"/>
      <c r="I7" s="10"/>
      <c r="J7" s="11"/>
    </row>
    <row r="8" spans="1:10" ht="15.75" x14ac:dyDescent="0.25">
      <c r="A8" s="2"/>
      <c r="B8" s="2"/>
      <c r="C8" s="253" t="s">
        <v>6</v>
      </c>
      <c r="D8" s="254"/>
      <c r="E8" s="12" t="s">
        <v>7</v>
      </c>
      <c r="F8" s="13"/>
      <c r="G8" s="13"/>
      <c r="H8" s="13"/>
      <c r="I8" s="14"/>
      <c r="J8" s="11"/>
    </row>
    <row r="9" spans="1:10" ht="15.75" x14ac:dyDescent="0.25">
      <c r="A9" s="2"/>
      <c r="B9" s="2"/>
      <c r="C9" s="255" t="s">
        <v>8</v>
      </c>
      <c r="D9" s="256"/>
      <c r="E9" s="8" t="s">
        <v>9</v>
      </c>
      <c r="F9" s="9"/>
      <c r="G9" s="9"/>
      <c r="H9" s="9"/>
      <c r="I9" s="10"/>
      <c r="J9" s="11"/>
    </row>
    <row r="10" spans="1:10" ht="15.75" x14ac:dyDescent="0.25">
      <c r="A10" s="2"/>
      <c r="B10" s="2"/>
      <c r="C10" s="253" t="s">
        <v>10</v>
      </c>
      <c r="D10" s="254"/>
      <c r="E10" s="12" t="s">
        <v>11</v>
      </c>
      <c r="F10" s="13"/>
      <c r="G10" s="13"/>
      <c r="H10" s="13"/>
      <c r="I10" s="14"/>
      <c r="J10" s="11"/>
    </row>
    <row r="11" spans="1:10" ht="15.75" x14ac:dyDescent="0.25">
      <c r="A11" s="2"/>
      <c r="B11" s="2"/>
      <c r="C11" s="255" t="s">
        <v>12</v>
      </c>
      <c r="D11" s="256"/>
      <c r="E11" s="8" t="s">
        <v>13</v>
      </c>
      <c r="F11" s="9"/>
      <c r="G11" s="9"/>
      <c r="H11" s="9"/>
      <c r="I11" s="10"/>
      <c r="J11" s="11"/>
    </row>
    <row r="12" spans="1:10" ht="15.75" x14ac:dyDescent="0.25">
      <c r="A12" s="2"/>
      <c r="B12" s="2"/>
      <c r="C12" s="253" t="s">
        <v>14</v>
      </c>
      <c r="D12" s="254"/>
      <c r="E12" s="15">
        <v>44013</v>
      </c>
      <c r="F12" s="13"/>
      <c r="G12" s="13"/>
      <c r="H12" s="13"/>
      <c r="I12" s="14"/>
      <c r="J12" s="11"/>
    </row>
    <row r="13" spans="1:10" ht="15.75" x14ac:dyDescent="0.25">
      <c r="A13" s="2"/>
      <c r="B13" s="2"/>
      <c r="C13" s="257" t="s">
        <v>15</v>
      </c>
      <c r="D13" s="258"/>
      <c r="E13" s="259">
        <v>44013</v>
      </c>
      <c r="F13" s="259"/>
      <c r="G13" s="259"/>
      <c r="H13" s="259"/>
      <c r="I13" s="16"/>
      <c r="J13" s="11"/>
    </row>
    <row r="14" spans="1:10" ht="15.75" x14ac:dyDescent="0.25">
      <c r="C14" s="4"/>
      <c r="D14" s="17"/>
      <c r="E14" s="4"/>
      <c r="F14" s="4"/>
      <c r="G14" s="4"/>
      <c r="H14" s="4"/>
      <c r="I14" s="4"/>
      <c r="J14" s="4"/>
    </row>
    <row r="15" spans="1:10" ht="15.75" x14ac:dyDescent="0.25">
      <c r="A15" s="243" t="s">
        <v>16</v>
      </c>
      <c r="B15" s="243"/>
      <c r="E15" s="4"/>
      <c r="F15" s="4"/>
      <c r="G15" s="4"/>
      <c r="H15" s="4"/>
      <c r="I15" s="4"/>
      <c r="J15" s="4"/>
    </row>
    <row r="16" spans="1:10" ht="15.75" x14ac:dyDescent="0.25">
      <c r="C16" s="244" t="s">
        <v>17</v>
      </c>
      <c r="D16" s="245"/>
      <c r="E16" s="246"/>
      <c r="G16" s="244" t="s">
        <v>18</v>
      </c>
      <c r="H16" s="245"/>
      <c r="I16" s="246"/>
    </row>
    <row r="17" spans="1:9" ht="15.75" x14ac:dyDescent="0.25">
      <c r="A17" s="4"/>
      <c r="B17" s="4"/>
      <c r="C17" s="247" t="s">
        <v>19</v>
      </c>
      <c r="D17" s="248"/>
      <c r="E17" s="249"/>
      <c r="G17" s="247" t="s">
        <v>20</v>
      </c>
      <c r="H17" s="248"/>
      <c r="I17" s="249"/>
    </row>
    <row r="18" spans="1:9" ht="15.75" x14ac:dyDescent="0.25">
      <c r="A18" s="4"/>
      <c r="B18" s="4"/>
      <c r="C18" s="247"/>
      <c r="D18" s="248"/>
      <c r="E18" s="249"/>
      <c r="G18" s="250"/>
      <c r="H18" s="251"/>
      <c r="I18" s="252"/>
    </row>
    <row r="19" spans="1:9" ht="27" customHeight="1" x14ac:dyDescent="0.25">
      <c r="A19" s="4"/>
      <c r="B19" s="4"/>
      <c r="C19" s="247"/>
      <c r="D19" s="248"/>
      <c r="E19" s="249"/>
      <c r="G19" s="250"/>
      <c r="H19" s="251"/>
      <c r="I19" s="252"/>
    </row>
    <row r="20" spans="1:9" ht="15.75" x14ac:dyDescent="0.25">
      <c r="A20" s="4"/>
      <c r="B20" s="4"/>
      <c r="C20" s="247"/>
      <c r="D20" s="248"/>
      <c r="E20" s="249"/>
      <c r="G20" s="250"/>
      <c r="H20" s="251"/>
      <c r="I20" s="252"/>
    </row>
    <row r="21" spans="1:9" ht="15.75" x14ac:dyDescent="0.25">
      <c r="A21" s="4"/>
      <c r="B21" s="4"/>
      <c r="C21" s="247"/>
      <c r="D21" s="248"/>
      <c r="E21" s="249"/>
      <c r="G21" s="250"/>
      <c r="H21" s="251"/>
      <c r="I21" s="252"/>
    </row>
    <row r="22" spans="1:9" ht="15.75" x14ac:dyDescent="0.25">
      <c r="A22" s="4"/>
      <c r="B22" s="4"/>
      <c r="C22" s="247"/>
      <c r="D22" s="248"/>
      <c r="E22" s="249"/>
      <c r="G22" s="250"/>
      <c r="H22" s="251"/>
      <c r="I22" s="252"/>
    </row>
    <row r="23" spans="1:9" ht="15.75" x14ac:dyDescent="0.25">
      <c r="A23" s="4"/>
      <c r="B23" s="4"/>
      <c r="C23" s="247"/>
      <c r="D23" s="248"/>
      <c r="E23" s="249"/>
      <c r="G23" s="250"/>
      <c r="H23" s="251"/>
      <c r="I23" s="252"/>
    </row>
    <row r="24" spans="1:9" ht="15.75" x14ac:dyDescent="0.25">
      <c r="A24" s="4"/>
      <c r="B24" s="4"/>
      <c r="C24" s="237" t="s">
        <v>7</v>
      </c>
      <c r="D24" s="238"/>
      <c r="E24" s="239"/>
      <c r="G24" s="237" t="s">
        <v>3</v>
      </c>
      <c r="H24" s="238"/>
      <c r="I24" s="239"/>
    </row>
    <row r="25" spans="1:9" ht="15.75" x14ac:dyDescent="0.25">
      <c r="A25" s="4"/>
      <c r="B25" s="4"/>
      <c r="C25" s="237" t="s">
        <v>1054</v>
      </c>
      <c r="D25" s="238"/>
      <c r="E25" s="239"/>
      <c r="G25" s="237" t="s">
        <v>988</v>
      </c>
      <c r="H25" s="238"/>
      <c r="I25" s="239"/>
    </row>
    <row r="26" spans="1:9" ht="15.75" x14ac:dyDescent="0.25">
      <c r="A26" s="4"/>
      <c r="B26" s="4"/>
      <c r="C26" s="240" t="s">
        <v>1055</v>
      </c>
      <c r="D26" s="241"/>
      <c r="E26" s="242"/>
      <c r="G26" s="240" t="s">
        <v>1056</v>
      </c>
      <c r="H26" s="241"/>
      <c r="I26" s="242"/>
    </row>
    <row r="27" spans="1:9" ht="15.75" x14ac:dyDescent="0.25">
      <c r="A27" s="4"/>
      <c r="B27" s="4"/>
      <c r="C27" s="18"/>
      <c r="D27" s="18"/>
      <c r="E27" s="18"/>
      <c r="G27" s="19"/>
      <c r="H27" s="19"/>
      <c r="I27" s="19"/>
    </row>
    <row r="28" spans="1:9" ht="15.75" x14ac:dyDescent="0.25">
      <c r="A28" s="4"/>
      <c r="B28" s="4"/>
      <c r="C28" s="18"/>
      <c r="D28" s="18"/>
      <c r="E28" s="18"/>
      <c r="G28" s="19"/>
      <c r="H28" s="19"/>
      <c r="I28" s="19"/>
    </row>
    <row r="29" spans="1:9" ht="15.75" x14ac:dyDescent="0.25">
      <c r="A29" s="4"/>
      <c r="B29" s="4"/>
      <c r="C29" s="20" t="s">
        <v>21</v>
      </c>
      <c r="D29" s="235" t="s">
        <v>22</v>
      </c>
      <c r="E29" s="235"/>
      <c r="F29" s="235"/>
      <c r="G29" s="235"/>
      <c r="H29" s="21" t="s">
        <v>23</v>
      </c>
      <c r="I29" s="19"/>
    </row>
    <row r="30" spans="1:9" ht="15.75" x14ac:dyDescent="0.25">
      <c r="A30" s="4"/>
      <c r="B30" s="4"/>
      <c r="C30" s="20" t="s">
        <v>24</v>
      </c>
      <c r="D30" s="235" t="s">
        <v>25</v>
      </c>
      <c r="E30" s="235"/>
      <c r="F30" s="235"/>
      <c r="G30" s="235"/>
      <c r="H30" s="21"/>
      <c r="I30" s="19"/>
    </row>
    <row r="31" spans="1:9" ht="15.75" x14ac:dyDescent="0.25">
      <c r="A31" s="4"/>
      <c r="B31" s="4"/>
      <c r="C31" s="22">
        <v>1</v>
      </c>
      <c r="D31" s="236" t="s">
        <v>26</v>
      </c>
      <c r="E31" s="236"/>
      <c r="F31" s="236"/>
      <c r="G31" s="236"/>
      <c r="H31" s="26" t="s">
        <v>27</v>
      </c>
      <c r="I31" s="19"/>
    </row>
    <row r="32" spans="1:9" ht="15.75" x14ac:dyDescent="0.25">
      <c r="A32" s="4"/>
      <c r="B32" s="4"/>
      <c r="C32" s="22">
        <v>2</v>
      </c>
      <c r="D32" s="236" t="s">
        <v>28</v>
      </c>
      <c r="E32" s="236"/>
      <c r="F32" s="236"/>
      <c r="G32" s="236"/>
      <c r="H32" s="26" t="s">
        <v>29</v>
      </c>
      <c r="I32" s="19"/>
    </row>
    <row r="33" spans="1:9" ht="15.75" x14ac:dyDescent="0.25">
      <c r="A33" s="4"/>
      <c r="B33" s="4"/>
      <c r="C33" s="22">
        <v>3</v>
      </c>
      <c r="D33" s="236" t="s">
        <v>30</v>
      </c>
      <c r="E33" s="236"/>
      <c r="F33" s="236"/>
      <c r="G33" s="236"/>
      <c r="H33" s="26" t="s">
        <v>31</v>
      </c>
      <c r="I33" s="19"/>
    </row>
    <row r="34" spans="1:9" ht="15.75" x14ac:dyDescent="0.25">
      <c r="A34" s="4"/>
      <c r="B34" s="4"/>
      <c r="C34" s="22">
        <v>4</v>
      </c>
      <c r="D34" s="236" t="s">
        <v>32</v>
      </c>
      <c r="E34" s="236"/>
      <c r="F34" s="236"/>
      <c r="G34" s="236"/>
      <c r="H34" s="26" t="s">
        <v>33</v>
      </c>
      <c r="I34" s="19"/>
    </row>
    <row r="35" spans="1:9" ht="15.75" x14ac:dyDescent="0.25">
      <c r="A35" s="4"/>
      <c r="B35" s="4"/>
      <c r="C35" s="22">
        <v>5</v>
      </c>
      <c r="D35" s="236" t="s">
        <v>34</v>
      </c>
      <c r="E35" s="236"/>
      <c r="F35" s="236"/>
      <c r="G35" s="236"/>
      <c r="H35" s="26" t="s">
        <v>35</v>
      </c>
      <c r="I35" s="19"/>
    </row>
    <row r="36" spans="1:9" ht="15.75" x14ac:dyDescent="0.25">
      <c r="A36" s="4"/>
      <c r="B36" s="4"/>
      <c r="C36" s="22">
        <v>6</v>
      </c>
      <c r="D36" s="236" t="s">
        <v>36</v>
      </c>
      <c r="E36" s="236"/>
      <c r="F36" s="236"/>
      <c r="G36" s="236"/>
      <c r="H36" s="26" t="s">
        <v>37</v>
      </c>
      <c r="I36" s="19"/>
    </row>
    <row r="37" spans="1:9" ht="15.75" x14ac:dyDescent="0.25">
      <c r="A37" s="4"/>
      <c r="B37" s="4"/>
      <c r="C37" s="22">
        <v>7</v>
      </c>
      <c r="D37" s="236" t="s">
        <v>38</v>
      </c>
      <c r="E37" s="236"/>
      <c r="F37" s="236"/>
      <c r="G37" s="236"/>
      <c r="H37" s="26" t="s">
        <v>39</v>
      </c>
      <c r="I37" s="19"/>
    </row>
    <row r="38" spans="1:9" ht="15.75" x14ac:dyDescent="0.25">
      <c r="A38" s="4"/>
      <c r="B38" s="4"/>
      <c r="C38" s="22">
        <v>8</v>
      </c>
      <c r="D38" s="236" t="s">
        <v>40</v>
      </c>
      <c r="E38" s="236"/>
      <c r="F38" s="236"/>
      <c r="G38" s="236"/>
      <c r="H38" s="84" t="s">
        <v>41</v>
      </c>
      <c r="I38" s="19"/>
    </row>
    <row r="39" spans="1:9" ht="15.75" x14ac:dyDescent="0.25">
      <c r="A39" s="4"/>
      <c r="B39" s="4"/>
      <c r="C39" s="22">
        <v>9</v>
      </c>
      <c r="D39" s="236" t="s">
        <v>42</v>
      </c>
      <c r="E39" s="236"/>
      <c r="F39" s="236"/>
      <c r="G39" s="236"/>
      <c r="H39" s="26" t="s">
        <v>43</v>
      </c>
      <c r="I39" s="19"/>
    </row>
    <row r="40" spans="1:9" ht="15.75" x14ac:dyDescent="0.25">
      <c r="A40" s="4"/>
      <c r="B40" s="4"/>
      <c r="C40" s="20" t="s">
        <v>44</v>
      </c>
      <c r="D40" s="234" t="s">
        <v>45</v>
      </c>
      <c r="E40" s="234"/>
      <c r="F40" s="234"/>
      <c r="G40" s="234"/>
      <c r="H40" s="23" t="s">
        <v>46</v>
      </c>
      <c r="I40" s="19"/>
    </row>
    <row r="41" spans="1:9" ht="15.75" x14ac:dyDescent="0.25">
      <c r="A41" s="4"/>
      <c r="B41" s="4"/>
      <c r="C41" s="18"/>
      <c r="D41" s="18"/>
      <c r="E41" s="18"/>
      <c r="G41" s="19"/>
      <c r="H41" s="19"/>
      <c r="I41" s="19"/>
    </row>
    <row r="42" spans="1:9" ht="15.75" x14ac:dyDescent="0.25">
      <c r="A42" s="4"/>
      <c r="B42" s="4"/>
      <c r="C42" s="18"/>
      <c r="D42" s="18"/>
      <c r="E42" s="18"/>
      <c r="G42" s="19"/>
      <c r="H42" s="19"/>
      <c r="I42" s="19"/>
    </row>
    <row r="43" spans="1:9" ht="15.75" x14ac:dyDescent="0.25">
      <c r="A43" s="4"/>
      <c r="B43" s="4"/>
      <c r="C43" s="18"/>
      <c r="D43" s="18"/>
      <c r="E43" s="18"/>
      <c r="G43" s="19"/>
      <c r="H43" s="19"/>
      <c r="I43" s="19"/>
    </row>
    <row r="44" spans="1:9" ht="15.75" x14ac:dyDescent="0.25">
      <c r="A44" s="4"/>
      <c r="B44" s="4"/>
      <c r="C44" s="18"/>
      <c r="D44" s="18"/>
      <c r="E44" s="18"/>
      <c r="G44" s="19"/>
      <c r="H44" s="19"/>
      <c r="I44" s="19"/>
    </row>
    <row r="45" spans="1:9" ht="15.75" x14ac:dyDescent="0.25">
      <c r="A45" s="4"/>
      <c r="B45" s="4"/>
      <c r="C45" s="18"/>
      <c r="D45" s="18"/>
      <c r="E45" s="18"/>
      <c r="G45" s="19"/>
      <c r="H45" s="19"/>
      <c r="I45" s="19"/>
    </row>
    <row r="46" spans="1:9" ht="15.75" x14ac:dyDescent="0.25">
      <c r="A46" s="4"/>
      <c r="B46" s="4"/>
      <c r="C46" s="18"/>
      <c r="D46" s="18"/>
      <c r="E46" s="18"/>
      <c r="G46" s="19"/>
      <c r="H46" s="19"/>
      <c r="I46" s="19"/>
    </row>
    <row r="47" spans="1:9" ht="15.75" x14ac:dyDescent="0.25">
      <c r="A47" s="4"/>
      <c r="B47" s="4"/>
      <c r="C47" s="18"/>
      <c r="D47" s="18"/>
      <c r="E47" s="18"/>
      <c r="G47" s="19"/>
      <c r="H47" s="19"/>
      <c r="I47" s="19"/>
    </row>
    <row r="48" spans="1:9" ht="15.75" x14ac:dyDescent="0.25">
      <c r="A48" s="4"/>
      <c r="B48" s="4"/>
      <c r="C48" s="18"/>
      <c r="D48" s="18"/>
      <c r="E48" s="18"/>
      <c r="G48" s="19"/>
      <c r="H48" s="19"/>
      <c r="I48" s="19"/>
    </row>
    <row r="49" spans="1:9" ht="15.75" x14ac:dyDescent="0.25">
      <c r="A49" s="4"/>
      <c r="B49" s="4"/>
      <c r="C49" s="18"/>
      <c r="D49" s="18"/>
      <c r="E49" s="18"/>
      <c r="G49" s="19"/>
      <c r="H49" s="19"/>
      <c r="I49" s="19"/>
    </row>
    <row r="50" spans="1:9" ht="15.75" x14ac:dyDescent="0.25">
      <c r="A50" s="4"/>
      <c r="B50" s="4"/>
      <c r="C50" s="18"/>
      <c r="D50" s="18"/>
      <c r="E50" s="18"/>
      <c r="G50" s="19"/>
      <c r="H50" s="19"/>
      <c r="I50" s="19"/>
    </row>
    <row r="51" spans="1:9" ht="15.75" x14ac:dyDescent="0.25">
      <c r="A51" s="4"/>
      <c r="B51" s="4"/>
      <c r="C51" s="18"/>
      <c r="D51" s="18"/>
      <c r="E51" s="18"/>
      <c r="G51" s="19"/>
      <c r="H51" s="19"/>
      <c r="I51" s="19"/>
    </row>
    <row r="52" spans="1:9" ht="15.75" x14ac:dyDescent="0.25">
      <c r="B52" s="24"/>
      <c r="C52" s="25"/>
    </row>
    <row r="69" ht="78.75" customHeight="1" x14ac:dyDescent="0.25"/>
  </sheetData>
  <mergeCells count="38">
    <mergeCell ref="C7:D7"/>
    <mergeCell ref="A1:B1"/>
    <mergeCell ref="C2:E2"/>
    <mergeCell ref="C3:E3"/>
    <mergeCell ref="A5:B5"/>
    <mergeCell ref="C6:D6"/>
    <mergeCell ref="C18:E23"/>
    <mergeCell ref="G18:I23"/>
    <mergeCell ref="C8:D8"/>
    <mergeCell ref="C9:D9"/>
    <mergeCell ref="C10:D10"/>
    <mergeCell ref="C11:D11"/>
    <mergeCell ref="C12:D12"/>
    <mergeCell ref="C13:D13"/>
    <mergeCell ref="E13:H13"/>
    <mergeCell ref="A15:B15"/>
    <mergeCell ref="C16:E16"/>
    <mergeCell ref="G16:I16"/>
    <mergeCell ref="C17:E17"/>
    <mergeCell ref="G17:I17"/>
    <mergeCell ref="C24:E24"/>
    <mergeCell ref="G24:I24"/>
    <mergeCell ref="C25:E25"/>
    <mergeCell ref="G25:I25"/>
    <mergeCell ref="C26:E26"/>
    <mergeCell ref="G26:I26"/>
    <mergeCell ref="D40:G40"/>
    <mergeCell ref="D29:G29"/>
    <mergeCell ref="D30:G30"/>
    <mergeCell ref="D31:G31"/>
    <mergeCell ref="D32:G32"/>
    <mergeCell ref="D33:G33"/>
    <mergeCell ref="D34:G34"/>
    <mergeCell ref="D35:G35"/>
    <mergeCell ref="D36:G36"/>
    <mergeCell ref="D37:G37"/>
    <mergeCell ref="D38:G38"/>
    <mergeCell ref="D39:G39"/>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BCThuNhap_06203!A1" display="06203"/>
    <hyperlink ref="H37" location="BCTinhHinhTaiChinh_06105!A1" display="06105"/>
    <hyperlink ref="H38" location="GTTSRong_06107!Print_Area" display="06107"/>
    <hyperlink ref="H39" location="BCThayDoiNAV_PL15.229!A1" display="06182"/>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2"/>
  <sheetViews>
    <sheetView showGridLines="0" showZeros="0" tabSelected="1" showOutlineSymbols="0" view="pageBreakPreview" topLeftCell="A49" zoomScaleNormal="100" zoomScaleSheetLayoutView="100" workbookViewId="0">
      <selection activeCell="B57" sqref="B57"/>
    </sheetView>
  </sheetViews>
  <sheetFormatPr defaultRowHeight="15" x14ac:dyDescent="0.25"/>
  <cols>
    <col min="1" max="1" width="6.28515625" style="85" customWidth="1"/>
    <col min="2" max="2" width="50.5703125" style="85" customWidth="1"/>
    <col min="3" max="3" width="10.85546875" style="85" customWidth="1"/>
    <col min="4" max="5" width="21" style="85" customWidth="1"/>
    <col min="6" max="6" width="11.7109375" style="85" customWidth="1"/>
    <col min="7" max="256" width="9.140625" style="85"/>
    <col min="257" max="257" width="6.28515625" style="85" customWidth="1"/>
    <col min="258" max="258" width="45.85546875" style="85" customWidth="1"/>
    <col min="259" max="259" width="9.28515625" style="85" customWidth="1"/>
    <col min="260" max="261" width="21" style="85" customWidth="1"/>
    <col min="262" max="262" width="11.7109375" style="85" customWidth="1"/>
    <col min="263" max="512" width="9.140625" style="85"/>
    <col min="513" max="513" width="6.28515625" style="85" customWidth="1"/>
    <col min="514" max="514" width="45.85546875" style="85" customWidth="1"/>
    <col min="515" max="515" width="9.28515625" style="85" customWidth="1"/>
    <col min="516" max="517" width="21" style="85" customWidth="1"/>
    <col min="518" max="518" width="11.7109375" style="85" customWidth="1"/>
    <col min="519" max="768" width="9.140625" style="85"/>
    <col min="769" max="769" width="6.28515625" style="85" customWidth="1"/>
    <col min="770" max="770" width="45.85546875" style="85" customWidth="1"/>
    <col min="771" max="771" width="9.28515625" style="85" customWidth="1"/>
    <col min="772" max="773" width="21" style="85" customWidth="1"/>
    <col min="774" max="774" width="11.7109375" style="85" customWidth="1"/>
    <col min="775" max="1024" width="9.140625" style="85"/>
    <col min="1025" max="1025" width="6.28515625" style="85" customWidth="1"/>
    <col min="1026" max="1026" width="45.85546875" style="85" customWidth="1"/>
    <col min="1027" max="1027" width="9.28515625" style="85" customWidth="1"/>
    <col min="1028" max="1029" width="21" style="85" customWidth="1"/>
    <col min="1030" max="1030" width="11.7109375" style="85" customWidth="1"/>
    <col min="1031" max="1280" width="9.140625" style="85"/>
    <col min="1281" max="1281" width="6.28515625" style="85" customWidth="1"/>
    <col min="1282" max="1282" width="45.85546875" style="85" customWidth="1"/>
    <col min="1283" max="1283" width="9.28515625" style="85" customWidth="1"/>
    <col min="1284" max="1285" width="21" style="85" customWidth="1"/>
    <col min="1286" max="1286" width="11.7109375" style="85" customWidth="1"/>
    <col min="1287" max="1536" width="9.140625" style="85"/>
    <col min="1537" max="1537" width="6.28515625" style="85" customWidth="1"/>
    <col min="1538" max="1538" width="45.85546875" style="85" customWidth="1"/>
    <col min="1539" max="1539" width="9.28515625" style="85" customWidth="1"/>
    <col min="1540" max="1541" width="21" style="85" customWidth="1"/>
    <col min="1542" max="1542" width="11.7109375" style="85" customWidth="1"/>
    <col min="1543" max="1792" width="9.140625" style="85"/>
    <col min="1793" max="1793" width="6.28515625" style="85" customWidth="1"/>
    <col min="1794" max="1794" width="45.85546875" style="85" customWidth="1"/>
    <col min="1795" max="1795" width="9.28515625" style="85" customWidth="1"/>
    <col min="1796" max="1797" width="21" style="85" customWidth="1"/>
    <col min="1798" max="1798" width="11.7109375" style="85" customWidth="1"/>
    <col min="1799" max="2048" width="9.140625" style="85"/>
    <col min="2049" max="2049" width="6.28515625" style="85" customWidth="1"/>
    <col min="2050" max="2050" width="45.85546875" style="85" customWidth="1"/>
    <col min="2051" max="2051" width="9.28515625" style="85" customWidth="1"/>
    <col min="2052" max="2053" width="21" style="85" customWidth="1"/>
    <col min="2054" max="2054" width="11.7109375" style="85" customWidth="1"/>
    <col min="2055" max="2304" width="9.140625" style="85"/>
    <col min="2305" max="2305" width="6.28515625" style="85" customWidth="1"/>
    <col min="2306" max="2306" width="45.85546875" style="85" customWidth="1"/>
    <col min="2307" max="2307" width="9.28515625" style="85" customWidth="1"/>
    <col min="2308" max="2309" width="21" style="85" customWidth="1"/>
    <col min="2310" max="2310" width="11.7109375" style="85" customWidth="1"/>
    <col min="2311" max="2560" width="9.140625" style="85"/>
    <col min="2561" max="2561" width="6.28515625" style="85" customWidth="1"/>
    <col min="2562" max="2562" width="45.85546875" style="85" customWidth="1"/>
    <col min="2563" max="2563" width="9.28515625" style="85" customWidth="1"/>
    <col min="2564" max="2565" width="21" style="85" customWidth="1"/>
    <col min="2566" max="2566" width="11.7109375" style="85" customWidth="1"/>
    <col min="2567" max="2816" width="9.140625" style="85"/>
    <col min="2817" max="2817" width="6.28515625" style="85" customWidth="1"/>
    <col min="2818" max="2818" width="45.85546875" style="85" customWidth="1"/>
    <col min="2819" max="2819" width="9.28515625" style="85" customWidth="1"/>
    <col min="2820" max="2821" width="21" style="85" customWidth="1"/>
    <col min="2822" max="2822" width="11.7109375" style="85" customWidth="1"/>
    <col min="2823" max="3072" width="9.140625" style="85"/>
    <col min="3073" max="3073" width="6.28515625" style="85" customWidth="1"/>
    <col min="3074" max="3074" width="45.85546875" style="85" customWidth="1"/>
    <col min="3075" max="3075" width="9.28515625" style="85" customWidth="1"/>
    <col min="3076" max="3077" width="21" style="85" customWidth="1"/>
    <col min="3078" max="3078" width="11.7109375" style="85" customWidth="1"/>
    <col min="3079" max="3328" width="9.140625" style="85"/>
    <col min="3329" max="3329" width="6.28515625" style="85" customWidth="1"/>
    <col min="3330" max="3330" width="45.85546875" style="85" customWidth="1"/>
    <col min="3331" max="3331" width="9.28515625" style="85" customWidth="1"/>
    <col min="3332" max="3333" width="21" style="85" customWidth="1"/>
    <col min="3334" max="3334" width="11.7109375" style="85" customWidth="1"/>
    <col min="3335" max="3584" width="9.140625" style="85"/>
    <col min="3585" max="3585" width="6.28515625" style="85" customWidth="1"/>
    <col min="3586" max="3586" width="45.85546875" style="85" customWidth="1"/>
    <col min="3587" max="3587" width="9.28515625" style="85" customWidth="1"/>
    <col min="3588" max="3589" width="21" style="85" customWidth="1"/>
    <col min="3590" max="3590" width="11.7109375" style="85" customWidth="1"/>
    <col min="3591" max="3840" width="9.140625" style="85"/>
    <col min="3841" max="3841" width="6.28515625" style="85" customWidth="1"/>
    <col min="3842" max="3842" width="45.85546875" style="85" customWidth="1"/>
    <col min="3843" max="3843" width="9.28515625" style="85" customWidth="1"/>
    <col min="3844" max="3845" width="21" style="85" customWidth="1"/>
    <col min="3846" max="3846" width="11.7109375" style="85" customWidth="1"/>
    <col min="3847" max="4096" width="9.140625" style="85"/>
    <col min="4097" max="4097" width="6.28515625" style="85" customWidth="1"/>
    <col min="4098" max="4098" width="45.85546875" style="85" customWidth="1"/>
    <col min="4099" max="4099" width="9.28515625" style="85" customWidth="1"/>
    <col min="4100" max="4101" width="21" style="85" customWidth="1"/>
    <col min="4102" max="4102" width="11.7109375" style="85" customWidth="1"/>
    <col min="4103" max="4352" width="9.140625" style="85"/>
    <col min="4353" max="4353" width="6.28515625" style="85" customWidth="1"/>
    <col min="4354" max="4354" width="45.85546875" style="85" customWidth="1"/>
    <col min="4355" max="4355" width="9.28515625" style="85" customWidth="1"/>
    <col min="4356" max="4357" width="21" style="85" customWidth="1"/>
    <col min="4358" max="4358" width="11.7109375" style="85" customWidth="1"/>
    <col min="4359" max="4608" width="9.140625" style="85"/>
    <col min="4609" max="4609" width="6.28515625" style="85" customWidth="1"/>
    <col min="4610" max="4610" width="45.85546875" style="85" customWidth="1"/>
    <col min="4611" max="4611" width="9.28515625" style="85" customWidth="1"/>
    <col min="4612" max="4613" width="21" style="85" customWidth="1"/>
    <col min="4614" max="4614" width="11.7109375" style="85" customWidth="1"/>
    <col min="4615" max="4864" width="9.140625" style="85"/>
    <col min="4865" max="4865" width="6.28515625" style="85" customWidth="1"/>
    <col min="4866" max="4866" width="45.85546875" style="85" customWidth="1"/>
    <col min="4867" max="4867" width="9.28515625" style="85" customWidth="1"/>
    <col min="4868" max="4869" width="21" style="85" customWidth="1"/>
    <col min="4870" max="4870" width="11.7109375" style="85" customWidth="1"/>
    <col min="4871" max="5120" width="9.140625" style="85"/>
    <col min="5121" max="5121" width="6.28515625" style="85" customWidth="1"/>
    <col min="5122" max="5122" width="45.85546875" style="85" customWidth="1"/>
    <col min="5123" max="5123" width="9.28515625" style="85" customWidth="1"/>
    <col min="5124" max="5125" width="21" style="85" customWidth="1"/>
    <col min="5126" max="5126" width="11.7109375" style="85" customWidth="1"/>
    <col min="5127" max="5376" width="9.140625" style="85"/>
    <col min="5377" max="5377" width="6.28515625" style="85" customWidth="1"/>
    <col min="5378" max="5378" width="45.85546875" style="85" customWidth="1"/>
    <col min="5379" max="5379" width="9.28515625" style="85" customWidth="1"/>
    <col min="5380" max="5381" width="21" style="85" customWidth="1"/>
    <col min="5382" max="5382" width="11.7109375" style="85" customWidth="1"/>
    <col min="5383" max="5632" width="9.140625" style="85"/>
    <col min="5633" max="5633" width="6.28515625" style="85" customWidth="1"/>
    <col min="5634" max="5634" width="45.85546875" style="85" customWidth="1"/>
    <col min="5635" max="5635" width="9.28515625" style="85" customWidth="1"/>
    <col min="5636" max="5637" width="21" style="85" customWidth="1"/>
    <col min="5638" max="5638" width="11.7109375" style="85" customWidth="1"/>
    <col min="5639" max="5888" width="9.140625" style="85"/>
    <col min="5889" max="5889" width="6.28515625" style="85" customWidth="1"/>
    <col min="5890" max="5890" width="45.85546875" style="85" customWidth="1"/>
    <col min="5891" max="5891" width="9.28515625" style="85" customWidth="1"/>
    <col min="5892" max="5893" width="21" style="85" customWidth="1"/>
    <col min="5894" max="5894" width="11.7109375" style="85" customWidth="1"/>
    <col min="5895" max="6144" width="9.140625" style="85"/>
    <col min="6145" max="6145" width="6.28515625" style="85" customWidth="1"/>
    <col min="6146" max="6146" width="45.85546875" style="85" customWidth="1"/>
    <col min="6147" max="6147" width="9.28515625" style="85" customWidth="1"/>
    <col min="6148" max="6149" width="21" style="85" customWidth="1"/>
    <col min="6150" max="6150" width="11.7109375" style="85" customWidth="1"/>
    <col min="6151" max="6400" width="9.140625" style="85"/>
    <col min="6401" max="6401" width="6.28515625" style="85" customWidth="1"/>
    <col min="6402" max="6402" width="45.85546875" style="85" customWidth="1"/>
    <col min="6403" max="6403" width="9.28515625" style="85" customWidth="1"/>
    <col min="6404" max="6405" width="21" style="85" customWidth="1"/>
    <col min="6406" max="6406" width="11.7109375" style="85" customWidth="1"/>
    <col min="6407" max="6656" width="9.140625" style="85"/>
    <col min="6657" max="6657" width="6.28515625" style="85" customWidth="1"/>
    <col min="6658" max="6658" width="45.85546875" style="85" customWidth="1"/>
    <col min="6659" max="6659" width="9.28515625" style="85" customWidth="1"/>
    <col min="6660" max="6661" width="21" style="85" customWidth="1"/>
    <col min="6662" max="6662" width="11.7109375" style="85" customWidth="1"/>
    <col min="6663" max="6912" width="9.140625" style="85"/>
    <col min="6913" max="6913" width="6.28515625" style="85" customWidth="1"/>
    <col min="6914" max="6914" width="45.85546875" style="85" customWidth="1"/>
    <col min="6915" max="6915" width="9.28515625" style="85" customWidth="1"/>
    <col min="6916" max="6917" width="21" style="85" customWidth="1"/>
    <col min="6918" max="6918" width="11.7109375" style="85" customWidth="1"/>
    <col min="6919" max="7168" width="9.140625" style="85"/>
    <col min="7169" max="7169" width="6.28515625" style="85" customWidth="1"/>
    <col min="7170" max="7170" width="45.85546875" style="85" customWidth="1"/>
    <col min="7171" max="7171" width="9.28515625" style="85" customWidth="1"/>
    <col min="7172" max="7173" width="21" style="85" customWidth="1"/>
    <col min="7174" max="7174" width="11.7109375" style="85" customWidth="1"/>
    <col min="7175" max="7424" width="9.140625" style="85"/>
    <col min="7425" max="7425" width="6.28515625" style="85" customWidth="1"/>
    <col min="7426" max="7426" width="45.85546875" style="85" customWidth="1"/>
    <col min="7427" max="7427" width="9.28515625" style="85" customWidth="1"/>
    <col min="7428" max="7429" width="21" style="85" customWidth="1"/>
    <col min="7430" max="7430" width="11.7109375" style="85" customWidth="1"/>
    <col min="7431" max="7680" width="9.140625" style="85"/>
    <col min="7681" max="7681" width="6.28515625" style="85" customWidth="1"/>
    <col min="7682" max="7682" width="45.85546875" style="85" customWidth="1"/>
    <col min="7683" max="7683" width="9.28515625" style="85" customWidth="1"/>
    <col min="7684" max="7685" width="21" style="85" customWidth="1"/>
    <col min="7686" max="7686" width="11.7109375" style="85" customWidth="1"/>
    <col min="7687" max="7936" width="9.140625" style="85"/>
    <col min="7937" max="7937" width="6.28515625" style="85" customWidth="1"/>
    <col min="7938" max="7938" width="45.85546875" style="85" customWidth="1"/>
    <col min="7939" max="7939" width="9.28515625" style="85" customWidth="1"/>
    <col min="7940" max="7941" width="21" style="85" customWidth="1"/>
    <col min="7942" max="7942" width="11.7109375" style="85" customWidth="1"/>
    <col min="7943" max="8192" width="9.140625" style="85"/>
    <col min="8193" max="8193" width="6.28515625" style="85" customWidth="1"/>
    <col min="8194" max="8194" width="45.85546875" style="85" customWidth="1"/>
    <col min="8195" max="8195" width="9.28515625" style="85" customWidth="1"/>
    <col min="8196" max="8197" width="21" style="85" customWidth="1"/>
    <col min="8198" max="8198" width="11.7109375" style="85" customWidth="1"/>
    <col min="8199" max="8448" width="9.140625" style="85"/>
    <col min="8449" max="8449" width="6.28515625" style="85" customWidth="1"/>
    <col min="8450" max="8450" width="45.85546875" style="85" customWidth="1"/>
    <col min="8451" max="8451" width="9.28515625" style="85" customWidth="1"/>
    <col min="8452" max="8453" width="21" style="85" customWidth="1"/>
    <col min="8454" max="8454" width="11.7109375" style="85" customWidth="1"/>
    <col min="8455" max="8704" width="9.140625" style="85"/>
    <col min="8705" max="8705" width="6.28515625" style="85" customWidth="1"/>
    <col min="8706" max="8706" width="45.85546875" style="85" customWidth="1"/>
    <col min="8707" max="8707" width="9.28515625" style="85" customWidth="1"/>
    <col min="8708" max="8709" width="21" style="85" customWidth="1"/>
    <col min="8710" max="8710" width="11.7109375" style="85" customWidth="1"/>
    <col min="8711" max="8960" width="9.140625" style="85"/>
    <col min="8961" max="8961" width="6.28515625" style="85" customWidth="1"/>
    <col min="8962" max="8962" width="45.85546875" style="85" customWidth="1"/>
    <col min="8963" max="8963" width="9.28515625" style="85" customWidth="1"/>
    <col min="8964" max="8965" width="21" style="85" customWidth="1"/>
    <col min="8966" max="8966" width="11.7109375" style="85" customWidth="1"/>
    <col min="8967" max="9216" width="9.140625" style="85"/>
    <col min="9217" max="9217" width="6.28515625" style="85" customWidth="1"/>
    <col min="9218" max="9218" width="45.85546875" style="85" customWidth="1"/>
    <col min="9219" max="9219" width="9.28515625" style="85" customWidth="1"/>
    <col min="9220" max="9221" width="21" style="85" customWidth="1"/>
    <col min="9222" max="9222" width="11.7109375" style="85" customWidth="1"/>
    <col min="9223" max="9472" width="9.140625" style="85"/>
    <col min="9473" max="9473" width="6.28515625" style="85" customWidth="1"/>
    <col min="9474" max="9474" width="45.85546875" style="85" customWidth="1"/>
    <col min="9475" max="9475" width="9.28515625" style="85" customWidth="1"/>
    <col min="9476" max="9477" width="21" style="85" customWidth="1"/>
    <col min="9478" max="9478" width="11.7109375" style="85" customWidth="1"/>
    <col min="9479" max="9728" width="9.140625" style="85"/>
    <col min="9729" max="9729" width="6.28515625" style="85" customWidth="1"/>
    <col min="9730" max="9730" width="45.85546875" style="85" customWidth="1"/>
    <col min="9731" max="9731" width="9.28515625" style="85" customWidth="1"/>
    <col min="9732" max="9733" width="21" style="85" customWidth="1"/>
    <col min="9734" max="9734" width="11.7109375" style="85" customWidth="1"/>
    <col min="9735" max="9984" width="9.140625" style="85"/>
    <col min="9985" max="9985" width="6.28515625" style="85" customWidth="1"/>
    <col min="9986" max="9986" width="45.85546875" style="85" customWidth="1"/>
    <col min="9987" max="9987" width="9.28515625" style="85" customWidth="1"/>
    <col min="9988" max="9989" width="21" style="85" customWidth="1"/>
    <col min="9990" max="9990" width="11.7109375" style="85" customWidth="1"/>
    <col min="9991" max="10240" width="9.140625" style="85"/>
    <col min="10241" max="10241" width="6.28515625" style="85" customWidth="1"/>
    <col min="10242" max="10242" width="45.85546875" style="85" customWidth="1"/>
    <col min="10243" max="10243" width="9.28515625" style="85" customWidth="1"/>
    <col min="10244" max="10245" width="21" style="85" customWidth="1"/>
    <col min="10246" max="10246" width="11.7109375" style="85" customWidth="1"/>
    <col min="10247" max="10496" width="9.140625" style="85"/>
    <col min="10497" max="10497" width="6.28515625" style="85" customWidth="1"/>
    <col min="10498" max="10498" width="45.85546875" style="85" customWidth="1"/>
    <col min="10499" max="10499" width="9.28515625" style="85" customWidth="1"/>
    <col min="10500" max="10501" width="21" style="85" customWidth="1"/>
    <col min="10502" max="10502" width="11.7109375" style="85" customWidth="1"/>
    <col min="10503" max="10752" width="9.140625" style="85"/>
    <col min="10753" max="10753" width="6.28515625" style="85" customWidth="1"/>
    <col min="10754" max="10754" width="45.85546875" style="85" customWidth="1"/>
    <col min="10755" max="10755" width="9.28515625" style="85" customWidth="1"/>
    <col min="10756" max="10757" width="21" style="85" customWidth="1"/>
    <col min="10758" max="10758" width="11.7109375" style="85" customWidth="1"/>
    <col min="10759" max="11008" width="9.140625" style="85"/>
    <col min="11009" max="11009" width="6.28515625" style="85" customWidth="1"/>
    <col min="11010" max="11010" width="45.85546875" style="85" customWidth="1"/>
    <col min="11011" max="11011" width="9.28515625" style="85" customWidth="1"/>
    <col min="11012" max="11013" width="21" style="85" customWidth="1"/>
    <col min="11014" max="11014" width="11.7109375" style="85" customWidth="1"/>
    <col min="11015" max="11264" width="9.140625" style="85"/>
    <col min="11265" max="11265" width="6.28515625" style="85" customWidth="1"/>
    <col min="11266" max="11266" width="45.85546875" style="85" customWidth="1"/>
    <col min="11267" max="11267" width="9.28515625" style="85" customWidth="1"/>
    <col min="11268" max="11269" width="21" style="85" customWidth="1"/>
    <col min="11270" max="11270" width="11.7109375" style="85" customWidth="1"/>
    <col min="11271" max="11520" width="9.140625" style="85"/>
    <col min="11521" max="11521" width="6.28515625" style="85" customWidth="1"/>
    <col min="11522" max="11522" width="45.85546875" style="85" customWidth="1"/>
    <col min="11523" max="11523" width="9.28515625" style="85" customWidth="1"/>
    <col min="11524" max="11525" width="21" style="85" customWidth="1"/>
    <col min="11526" max="11526" width="11.7109375" style="85" customWidth="1"/>
    <col min="11527" max="11776" width="9.140625" style="85"/>
    <col min="11777" max="11777" width="6.28515625" style="85" customWidth="1"/>
    <col min="11778" max="11778" width="45.85546875" style="85" customWidth="1"/>
    <col min="11779" max="11779" width="9.28515625" style="85" customWidth="1"/>
    <col min="11780" max="11781" width="21" style="85" customWidth="1"/>
    <col min="11782" max="11782" width="11.7109375" style="85" customWidth="1"/>
    <col min="11783" max="12032" width="9.140625" style="85"/>
    <col min="12033" max="12033" width="6.28515625" style="85" customWidth="1"/>
    <col min="12034" max="12034" width="45.85546875" style="85" customWidth="1"/>
    <col min="12035" max="12035" width="9.28515625" style="85" customWidth="1"/>
    <col min="12036" max="12037" width="21" style="85" customWidth="1"/>
    <col min="12038" max="12038" width="11.7109375" style="85" customWidth="1"/>
    <col min="12039" max="12288" width="9.140625" style="85"/>
    <col min="12289" max="12289" width="6.28515625" style="85" customWidth="1"/>
    <col min="12290" max="12290" width="45.85546875" style="85" customWidth="1"/>
    <col min="12291" max="12291" width="9.28515625" style="85" customWidth="1"/>
    <col min="12292" max="12293" width="21" style="85" customWidth="1"/>
    <col min="12294" max="12294" width="11.7109375" style="85" customWidth="1"/>
    <col min="12295" max="12544" width="9.140625" style="85"/>
    <col min="12545" max="12545" width="6.28515625" style="85" customWidth="1"/>
    <col min="12546" max="12546" width="45.85546875" style="85" customWidth="1"/>
    <col min="12547" max="12547" width="9.28515625" style="85" customWidth="1"/>
    <col min="12548" max="12549" width="21" style="85" customWidth="1"/>
    <col min="12550" max="12550" width="11.7109375" style="85" customWidth="1"/>
    <col min="12551" max="12800" width="9.140625" style="85"/>
    <col min="12801" max="12801" width="6.28515625" style="85" customWidth="1"/>
    <col min="12802" max="12802" width="45.85546875" style="85" customWidth="1"/>
    <col min="12803" max="12803" width="9.28515625" style="85" customWidth="1"/>
    <col min="12804" max="12805" width="21" style="85" customWidth="1"/>
    <col min="12806" max="12806" width="11.7109375" style="85" customWidth="1"/>
    <col min="12807" max="13056" width="9.140625" style="85"/>
    <col min="13057" max="13057" width="6.28515625" style="85" customWidth="1"/>
    <col min="13058" max="13058" width="45.85546875" style="85" customWidth="1"/>
    <col min="13059" max="13059" width="9.28515625" style="85" customWidth="1"/>
    <col min="13060" max="13061" width="21" style="85" customWidth="1"/>
    <col min="13062" max="13062" width="11.7109375" style="85" customWidth="1"/>
    <col min="13063" max="13312" width="9.140625" style="85"/>
    <col min="13313" max="13313" width="6.28515625" style="85" customWidth="1"/>
    <col min="13314" max="13314" width="45.85546875" style="85" customWidth="1"/>
    <col min="13315" max="13315" width="9.28515625" style="85" customWidth="1"/>
    <col min="13316" max="13317" width="21" style="85" customWidth="1"/>
    <col min="13318" max="13318" width="11.7109375" style="85" customWidth="1"/>
    <col min="13319" max="13568" width="9.140625" style="85"/>
    <col min="13569" max="13569" width="6.28515625" style="85" customWidth="1"/>
    <col min="13570" max="13570" width="45.85546875" style="85" customWidth="1"/>
    <col min="13571" max="13571" width="9.28515625" style="85" customWidth="1"/>
    <col min="13572" max="13573" width="21" style="85" customWidth="1"/>
    <col min="13574" max="13574" width="11.7109375" style="85" customWidth="1"/>
    <col min="13575" max="13824" width="9.140625" style="85"/>
    <col min="13825" max="13825" width="6.28515625" style="85" customWidth="1"/>
    <col min="13826" max="13826" width="45.85546875" style="85" customWidth="1"/>
    <col min="13827" max="13827" width="9.28515625" style="85" customWidth="1"/>
    <col min="13828" max="13829" width="21" style="85" customWidth="1"/>
    <col min="13830" max="13830" width="11.7109375" style="85" customWidth="1"/>
    <col min="13831" max="14080" width="9.140625" style="85"/>
    <col min="14081" max="14081" width="6.28515625" style="85" customWidth="1"/>
    <col min="14082" max="14082" width="45.85546875" style="85" customWidth="1"/>
    <col min="14083" max="14083" width="9.28515625" style="85" customWidth="1"/>
    <col min="14084" max="14085" width="21" style="85" customWidth="1"/>
    <col min="14086" max="14086" width="11.7109375" style="85" customWidth="1"/>
    <col min="14087" max="14336" width="9.140625" style="85"/>
    <col min="14337" max="14337" width="6.28515625" style="85" customWidth="1"/>
    <col min="14338" max="14338" width="45.85546875" style="85" customWidth="1"/>
    <col min="14339" max="14339" width="9.28515625" style="85" customWidth="1"/>
    <col min="14340" max="14341" width="21" style="85" customWidth="1"/>
    <col min="14342" max="14342" width="11.7109375" style="85" customWidth="1"/>
    <col min="14343" max="14592" width="9.140625" style="85"/>
    <col min="14593" max="14593" width="6.28515625" style="85" customWidth="1"/>
    <col min="14594" max="14594" width="45.85546875" style="85" customWidth="1"/>
    <col min="14595" max="14595" width="9.28515625" style="85" customWidth="1"/>
    <col min="14596" max="14597" width="21" style="85" customWidth="1"/>
    <col min="14598" max="14598" width="11.7109375" style="85" customWidth="1"/>
    <col min="14599" max="14848" width="9.140625" style="85"/>
    <col min="14849" max="14849" width="6.28515625" style="85" customWidth="1"/>
    <col min="14850" max="14850" width="45.85546875" style="85" customWidth="1"/>
    <col min="14851" max="14851" width="9.28515625" style="85" customWidth="1"/>
    <col min="14852" max="14853" width="21" style="85" customWidth="1"/>
    <col min="14854" max="14854" width="11.7109375" style="85" customWidth="1"/>
    <col min="14855" max="15104" width="9.140625" style="85"/>
    <col min="15105" max="15105" width="6.28515625" style="85" customWidth="1"/>
    <col min="15106" max="15106" width="45.85546875" style="85" customWidth="1"/>
    <col min="15107" max="15107" width="9.28515625" style="85" customWidth="1"/>
    <col min="15108" max="15109" width="21" style="85" customWidth="1"/>
    <col min="15110" max="15110" width="11.7109375" style="85" customWidth="1"/>
    <col min="15111" max="15360" width="9.140625" style="85"/>
    <col min="15361" max="15361" width="6.28515625" style="85" customWidth="1"/>
    <col min="15362" max="15362" width="45.85546875" style="85" customWidth="1"/>
    <col min="15363" max="15363" width="9.28515625" style="85" customWidth="1"/>
    <col min="15364" max="15365" width="21" style="85" customWidth="1"/>
    <col min="15366" max="15366" width="11.7109375" style="85" customWidth="1"/>
    <col min="15367" max="15616" width="9.140625" style="85"/>
    <col min="15617" max="15617" width="6.28515625" style="85" customWidth="1"/>
    <col min="15618" max="15618" width="45.85546875" style="85" customWidth="1"/>
    <col min="15619" max="15619" width="9.28515625" style="85" customWidth="1"/>
    <col min="15620" max="15621" width="21" style="85" customWidth="1"/>
    <col min="15622" max="15622" width="11.7109375" style="85" customWidth="1"/>
    <col min="15623" max="15872" width="9.140625" style="85"/>
    <col min="15873" max="15873" width="6.28515625" style="85" customWidth="1"/>
    <col min="15874" max="15874" width="45.85546875" style="85" customWidth="1"/>
    <col min="15875" max="15875" width="9.28515625" style="85" customWidth="1"/>
    <col min="15876" max="15877" width="21" style="85" customWidth="1"/>
    <col min="15878" max="15878" width="11.7109375" style="85" customWidth="1"/>
    <col min="15879" max="16128" width="9.140625" style="85"/>
    <col min="16129" max="16129" width="6.28515625" style="85" customWidth="1"/>
    <col min="16130" max="16130" width="45.85546875" style="85" customWidth="1"/>
    <col min="16131" max="16131" width="9.28515625" style="85" customWidth="1"/>
    <col min="16132" max="16133" width="21" style="85" customWidth="1"/>
    <col min="16134" max="16134" width="11.7109375" style="85" customWidth="1"/>
    <col min="16135" max="16384" width="9.140625" style="85"/>
  </cols>
  <sheetData>
    <row r="1" spans="1:6" ht="47.25" customHeight="1" x14ac:dyDescent="0.25">
      <c r="A1" s="270"/>
      <c r="B1" s="270"/>
      <c r="C1" s="279" t="s">
        <v>1097</v>
      </c>
      <c r="D1" s="279"/>
      <c r="E1" s="279"/>
      <c r="F1" s="279"/>
    </row>
    <row r="2" spans="1:6" ht="50.25" customHeight="1" x14ac:dyDescent="0.25">
      <c r="A2" s="280" t="s">
        <v>1096</v>
      </c>
      <c r="B2" s="280"/>
      <c r="C2" s="280"/>
      <c r="D2" s="280"/>
      <c r="E2" s="280"/>
      <c r="F2" s="280"/>
    </row>
    <row r="3" spans="1:6" ht="33" customHeight="1" x14ac:dyDescent="0.25">
      <c r="A3" s="281" t="s">
        <v>92</v>
      </c>
      <c r="B3" s="281"/>
      <c r="C3" s="281"/>
      <c r="D3" s="281"/>
      <c r="E3" s="281"/>
      <c r="F3" s="281"/>
    </row>
    <row r="4" spans="1:6" ht="24" customHeight="1" x14ac:dyDescent="0.25">
      <c r="A4" s="282" t="s">
        <v>1063</v>
      </c>
      <c r="B4" s="282"/>
      <c r="C4" s="282"/>
      <c r="D4" s="282"/>
      <c r="E4" s="282"/>
      <c r="F4" s="282"/>
    </row>
    <row r="5" spans="1:6" ht="3.75" customHeight="1" x14ac:dyDescent="0.25">
      <c r="A5" s="86"/>
      <c r="B5" s="86"/>
      <c r="C5" s="86"/>
      <c r="D5" s="86"/>
      <c r="E5" s="86"/>
      <c r="F5" s="86"/>
    </row>
    <row r="6" spans="1:6" ht="12.75" customHeight="1" x14ac:dyDescent="0.25">
      <c r="A6" s="87" t="s">
        <v>94</v>
      </c>
      <c r="B6" s="88" t="s">
        <v>95</v>
      </c>
      <c r="C6" s="283" t="s">
        <v>96</v>
      </c>
      <c r="D6" s="283"/>
      <c r="E6" s="283"/>
      <c r="F6" s="283"/>
    </row>
    <row r="7" spans="1:6" ht="12.75" customHeight="1" x14ac:dyDescent="0.25">
      <c r="A7" s="86"/>
      <c r="B7" s="90" t="s">
        <v>4</v>
      </c>
      <c r="C7" s="284" t="s">
        <v>5</v>
      </c>
      <c r="D7" s="284"/>
      <c r="E7" s="284"/>
      <c r="F7" s="284"/>
    </row>
    <row r="8" spans="1:6" ht="12.75" customHeight="1" x14ac:dyDescent="0.25">
      <c r="A8" s="87" t="s">
        <v>97</v>
      </c>
      <c r="B8" s="88" t="s">
        <v>98</v>
      </c>
      <c r="C8" s="283" t="s">
        <v>99</v>
      </c>
      <c r="D8" s="283"/>
      <c r="E8" s="283"/>
      <c r="F8" s="283"/>
    </row>
    <row r="9" spans="1:6" ht="12.75" customHeight="1" x14ac:dyDescent="0.25">
      <c r="A9" s="86"/>
      <c r="B9" s="90" t="s">
        <v>8</v>
      </c>
      <c r="C9" s="285" t="s">
        <v>100</v>
      </c>
      <c r="D9" s="285"/>
      <c r="E9" s="285"/>
      <c r="F9" s="285"/>
    </row>
    <row r="10" spans="1:6" ht="12.75" customHeight="1" x14ac:dyDescent="0.25">
      <c r="A10" s="87" t="s">
        <v>78</v>
      </c>
      <c r="B10" s="88" t="s">
        <v>10</v>
      </c>
      <c r="C10" s="283" t="s">
        <v>101</v>
      </c>
      <c r="D10" s="283"/>
      <c r="E10" s="283"/>
      <c r="F10" s="283"/>
    </row>
    <row r="11" spans="1:6" ht="12.75" customHeight="1" x14ac:dyDescent="0.25">
      <c r="A11" s="86"/>
      <c r="B11" s="90" t="s">
        <v>12</v>
      </c>
      <c r="C11" s="284" t="s">
        <v>102</v>
      </c>
      <c r="D11" s="284"/>
      <c r="E11" s="284"/>
      <c r="F11" s="284"/>
    </row>
    <row r="12" spans="1:6" ht="12.75" customHeight="1" x14ac:dyDescent="0.25">
      <c r="A12" s="87" t="s">
        <v>84</v>
      </c>
      <c r="B12" s="88" t="s">
        <v>14</v>
      </c>
      <c r="C12" s="278">
        <v>44013</v>
      </c>
      <c r="D12" s="278"/>
      <c r="E12" s="278"/>
      <c r="F12" s="278"/>
    </row>
    <row r="13" spans="1:6" ht="12.75" customHeight="1" x14ac:dyDescent="0.25">
      <c r="A13" s="86"/>
      <c r="B13" s="90" t="s">
        <v>15</v>
      </c>
      <c r="C13" s="273">
        <v>44013</v>
      </c>
      <c r="D13" s="273"/>
      <c r="E13" s="273"/>
      <c r="F13" s="273"/>
    </row>
    <row r="14" spans="1:6" ht="12.75" customHeight="1" x14ac:dyDescent="0.25">
      <c r="A14" s="86"/>
      <c r="B14" s="93"/>
      <c r="C14" s="274"/>
      <c r="D14" s="274"/>
      <c r="E14" s="274"/>
      <c r="F14" s="274"/>
    </row>
    <row r="15" spans="1:6" ht="12.75" customHeight="1" x14ac:dyDescent="0.25">
      <c r="A15" s="275" t="s">
        <v>103</v>
      </c>
      <c r="B15" s="275"/>
      <c r="C15" s="275"/>
      <c r="D15" s="275"/>
      <c r="E15" s="275"/>
      <c r="F15" s="275"/>
    </row>
    <row r="16" spans="1:6" ht="12.75" customHeight="1" x14ac:dyDescent="0.25">
      <c r="A16" s="275" t="s">
        <v>104</v>
      </c>
      <c r="B16" s="275"/>
      <c r="C16" s="275"/>
      <c r="D16" s="275"/>
      <c r="E16" s="275"/>
      <c r="F16" s="86"/>
    </row>
    <row r="17" spans="1:6" ht="12.75" customHeight="1" x14ac:dyDescent="0.25">
      <c r="A17" s="95"/>
      <c r="B17" s="96"/>
      <c r="C17" s="96"/>
      <c r="D17" s="96"/>
      <c r="E17" s="276" t="s">
        <v>105</v>
      </c>
      <c r="F17" s="276"/>
    </row>
    <row r="18" spans="1:6" ht="42" x14ac:dyDescent="0.25">
      <c r="A18" s="98" t="s">
        <v>106</v>
      </c>
      <c r="B18" s="99" t="s">
        <v>107</v>
      </c>
      <c r="C18" s="99" t="s">
        <v>108</v>
      </c>
      <c r="D18" s="99" t="s">
        <v>1064</v>
      </c>
      <c r="E18" s="99" t="s">
        <v>93</v>
      </c>
      <c r="F18" s="100" t="s">
        <v>109</v>
      </c>
    </row>
    <row r="19" spans="1:6" ht="24.75" customHeight="1" x14ac:dyDescent="0.25">
      <c r="A19" s="127" t="s">
        <v>68</v>
      </c>
      <c r="B19" s="128" t="s">
        <v>110</v>
      </c>
      <c r="C19" s="117" t="s">
        <v>111</v>
      </c>
      <c r="D19" s="153">
        <v>0</v>
      </c>
      <c r="E19" s="153">
        <v>0</v>
      </c>
      <c r="F19" s="154">
        <v>0</v>
      </c>
    </row>
    <row r="20" spans="1:6" ht="24.75" customHeight="1" x14ac:dyDescent="0.25">
      <c r="A20" s="131" t="s">
        <v>112</v>
      </c>
      <c r="B20" s="132" t="s">
        <v>113</v>
      </c>
      <c r="C20" s="118" t="s">
        <v>114</v>
      </c>
      <c r="D20" s="155">
        <v>8902189543</v>
      </c>
      <c r="E20" s="155">
        <v>3284906075</v>
      </c>
      <c r="F20" s="156">
        <v>0</v>
      </c>
    </row>
    <row r="21" spans="1:6" ht="24.75" customHeight="1" x14ac:dyDescent="0.25">
      <c r="A21" s="131"/>
      <c r="B21" s="132" t="s">
        <v>115</v>
      </c>
      <c r="C21" s="118" t="s">
        <v>116</v>
      </c>
      <c r="D21" s="155">
        <v>0</v>
      </c>
      <c r="E21" s="155">
        <v>0</v>
      </c>
      <c r="F21" s="156">
        <v>0</v>
      </c>
    </row>
    <row r="22" spans="1:6" ht="24.75" customHeight="1" x14ac:dyDescent="0.25">
      <c r="A22" s="131"/>
      <c r="B22" s="132" t="s">
        <v>117</v>
      </c>
      <c r="C22" s="118" t="s">
        <v>118</v>
      </c>
      <c r="D22" s="155">
        <v>3402189543</v>
      </c>
      <c r="E22" s="155">
        <v>3284906075</v>
      </c>
      <c r="F22" s="156">
        <v>0</v>
      </c>
    </row>
    <row r="23" spans="1:6" ht="24.75" customHeight="1" x14ac:dyDescent="0.25">
      <c r="A23" s="137"/>
      <c r="B23" s="138" t="s">
        <v>1092</v>
      </c>
      <c r="C23" s="119" t="s">
        <v>119</v>
      </c>
      <c r="D23" s="157">
        <v>0</v>
      </c>
      <c r="E23" s="157">
        <v>0</v>
      </c>
      <c r="F23" s="158">
        <v>0</v>
      </c>
    </row>
    <row r="24" spans="1:6" ht="24.75" customHeight="1" x14ac:dyDescent="0.25">
      <c r="A24" s="137"/>
      <c r="B24" s="138" t="s">
        <v>1093</v>
      </c>
      <c r="C24" s="119" t="s">
        <v>120</v>
      </c>
      <c r="D24" s="157">
        <v>0</v>
      </c>
      <c r="E24" s="157">
        <v>0</v>
      </c>
      <c r="F24" s="158">
        <v>0</v>
      </c>
    </row>
    <row r="25" spans="1:6" ht="24.75" customHeight="1" x14ac:dyDescent="0.25">
      <c r="A25" s="137"/>
      <c r="B25" s="138" t="s">
        <v>121</v>
      </c>
      <c r="C25" s="119" t="s">
        <v>122</v>
      </c>
      <c r="D25" s="157">
        <v>3328854708</v>
      </c>
      <c r="E25" s="157">
        <v>3245070285</v>
      </c>
      <c r="F25" s="158">
        <v>0</v>
      </c>
    </row>
    <row r="26" spans="1:6" ht="24.75" customHeight="1" x14ac:dyDescent="0.25">
      <c r="A26" s="137"/>
      <c r="B26" s="138" t="s">
        <v>123</v>
      </c>
      <c r="C26" s="119" t="s">
        <v>124</v>
      </c>
      <c r="D26" s="157">
        <v>0</v>
      </c>
      <c r="E26" s="157">
        <v>0</v>
      </c>
      <c r="F26" s="158">
        <v>0</v>
      </c>
    </row>
    <row r="27" spans="1:6" ht="24.75" customHeight="1" x14ac:dyDescent="0.25">
      <c r="A27" s="137"/>
      <c r="B27" s="138" t="s">
        <v>125</v>
      </c>
      <c r="C27" s="119" t="s">
        <v>126</v>
      </c>
      <c r="D27" s="157">
        <v>73334835</v>
      </c>
      <c r="E27" s="157">
        <v>39835790</v>
      </c>
      <c r="F27" s="158">
        <v>0</v>
      </c>
    </row>
    <row r="28" spans="1:6" ht="24.75" customHeight="1" x14ac:dyDescent="0.25">
      <c r="A28" s="131"/>
      <c r="B28" s="132" t="s">
        <v>127</v>
      </c>
      <c r="C28" s="118" t="s">
        <v>128</v>
      </c>
      <c r="D28" s="155">
        <v>5500000000</v>
      </c>
      <c r="E28" s="155">
        <v>0</v>
      </c>
      <c r="F28" s="156">
        <v>0</v>
      </c>
    </row>
    <row r="29" spans="1:6" ht="24.75" customHeight="1" x14ac:dyDescent="0.25">
      <c r="A29" s="131" t="s">
        <v>129</v>
      </c>
      <c r="B29" s="132" t="s">
        <v>130</v>
      </c>
      <c r="C29" s="118" t="s">
        <v>131</v>
      </c>
      <c r="D29" s="155">
        <v>1354579889250</v>
      </c>
      <c r="E29" s="155">
        <v>691820736750</v>
      </c>
      <c r="F29" s="156">
        <v>0</v>
      </c>
    </row>
    <row r="30" spans="1:6" ht="24.75" customHeight="1" x14ac:dyDescent="0.25">
      <c r="A30" s="131"/>
      <c r="B30" s="132" t="s">
        <v>132</v>
      </c>
      <c r="C30" s="118" t="s">
        <v>133</v>
      </c>
      <c r="D30" s="155">
        <v>1354579889250</v>
      </c>
      <c r="E30" s="155">
        <v>691820736750</v>
      </c>
      <c r="F30" s="156">
        <v>0</v>
      </c>
    </row>
    <row r="31" spans="1:6" ht="24.75" customHeight="1" x14ac:dyDescent="0.25">
      <c r="A31" s="131"/>
      <c r="B31" s="132" t="s">
        <v>134</v>
      </c>
      <c r="C31" s="118" t="s">
        <v>135</v>
      </c>
      <c r="D31" s="155">
        <v>0</v>
      </c>
      <c r="E31" s="155">
        <v>0</v>
      </c>
      <c r="F31" s="156">
        <v>0</v>
      </c>
    </row>
    <row r="32" spans="1:6" ht="24.75" customHeight="1" x14ac:dyDescent="0.25">
      <c r="A32" s="131"/>
      <c r="B32" s="132" t="s">
        <v>136</v>
      </c>
      <c r="C32" s="118" t="s">
        <v>137</v>
      </c>
      <c r="D32" s="155">
        <v>0</v>
      </c>
      <c r="E32" s="155">
        <v>0</v>
      </c>
      <c r="F32" s="156">
        <v>0</v>
      </c>
    </row>
    <row r="33" spans="1:6" ht="24.75" customHeight="1" x14ac:dyDescent="0.25">
      <c r="A33" s="131"/>
      <c r="B33" s="132" t="s">
        <v>138</v>
      </c>
      <c r="C33" s="118" t="s">
        <v>139</v>
      </c>
      <c r="D33" s="155">
        <v>0</v>
      </c>
      <c r="E33" s="155">
        <v>0</v>
      </c>
      <c r="F33" s="156">
        <v>0</v>
      </c>
    </row>
    <row r="34" spans="1:6" ht="24.75" customHeight="1" x14ac:dyDescent="0.25">
      <c r="A34" s="131"/>
      <c r="B34" s="132" t="s">
        <v>140</v>
      </c>
      <c r="C34" s="118" t="s">
        <v>141</v>
      </c>
      <c r="D34" s="155">
        <v>0</v>
      </c>
      <c r="E34" s="155">
        <v>0</v>
      </c>
      <c r="F34" s="156">
        <v>0</v>
      </c>
    </row>
    <row r="35" spans="1:6" ht="24.75" customHeight="1" x14ac:dyDescent="0.25">
      <c r="A35" s="131"/>
      <c r="B35" s="132" t="s">
        <v>142</v>
      </c>
      <c r="C35" s="118" t="s">
        <v>143</v>
      </c>
      <c r="D35" s="155">
        <v>0</v>
      </c>
      <c r="E35" s="155">
        <v>0</v>
      </c>
      <c r="F35" s="156">
        <v>0</v>
      </c>
    </row>
    <row r="36" spans="1:6" ht="24.75" customHeight="1" x14ac:dyDescent="0.25">
      <c r="A36" s="131"/>
      <c r="B36" s="132" t="s">
        <v>144</v>
      </c>
      <c r="C36" s="118" t="s">
        <v>145</v>
      </c>
      <c r="D36" s="155">
        <v>0</v>
      </c>
      <c r="E36" s="155">
        <v>0</v>
      </c>
      <c r="F36" s="156">
        <v>0</v>
      </c>
    </row>
    <row r="37" spans="1:6" ht="17.25" customHeight="1" x14ac:dyDescent="0.25">
      <c r="A37" s="131"/>
      <c r="B37" s="132" t="s">
        <v>146</v>
      </c>
      <c r="C37" s="118" t="s">
        <v>147</v>
      </c>
      <c r="D37" s="155">
        <v>0</v>
      </c>
      <c r="E37" s="155">
        <v>0</v>
      </c>
      <c r="F37" s="156">
        <v>0</v>
      </c>
    </row>
    <row r="38" spans="1:6" ht="24.75" customHeight="1" x14ac:dyDescent="0.25">
      <c r="A38" s="131" t="s">
        <v>148</v>
      </c>
      <c r="B38" s="132" t="s">
        <v>149</v>
      </c>
      <c r="C38" s="118" t="s">
        <v>150</v>
      </c>
      <c r="D38" s="155">
        <v>0</v>
      </c>
      <c r="E38" s="155">
        <v>573300000</v>
      </c>
      <c r="F38" s="156">
        <v>0</v>
      </c>
    </row>
    <row r="39" spans="1:6" ht="24.75" customHeight="1" x14ac:dyDescent="0.25">
      <c r="A39" s="131"/>
      <c r="B39" s="132" t="s">
        <v>151</v>
      </c>
      <c r="C39" s="118" t="s">
        <v>152</v>
      </c>
      <c r="D39" s="155">
        <v>0</v>
      </c>
      <c r="E39" s="155">
        <v>573300000</v>
      </c>
      <c r="F39" s="156">
        <v>0</v>
      </c>
    </row>
    <row r="40" spans="1:6" ht="24.75" customHeight="1" x14ac:dyDescent="0.25">
      <c r="A40" s="131"/>
      <c r="B40" s="132" t="s">
        <v>153</v>
      </c>
      <c r="C40" s="118" t="s">
        <v>154</v>
      </c>
      <c r="D40" s="155">
        <v>0</v>
      </c>
      <c r="E40" s="155">
        <v>0</v>
      </c>
      <c r="F40" s="156">
        <v>0</v>
      </c>
    </row>
    <row r="41" spans="1:6" ht="24.75" customHeight="1" x14ac:dyDescent="0.25">
      <c r="A41" s="131" t="s">
        <v>155</v>
      </c>
      <c r="B41" s="132" t="s">
        <v>156</v>
      </c>
      <c r="C41" s="118" t="s">
        <v>157</v>
      </c>
      <c r="D41" s="155">
        <v>14671232</v>
      </c>
      <c r="E41" s="155">
        <v>0</v>
      </c>
      <c r="F41" s="156">
        <v>0</v>
      </c>
    </row>
    <row r="42" spans="1:6" ht="24.75" customHeight="1" x14ac:dyDescent="0.25">
      <c r="A42" s="131"/>
      <c r="B42" s="132" t="s">
        <v>158</v>
      </c>
      <c r="C42" s="118" t="s">
        <v>159</v>
      </c>
      <c r="D42" s="155">
        <v>14671232</v>
      </c>
      <c r="E42" s="155">
        <v>0</v>
      </c>
      <c r="F42" s="156">
        <v>0</v>
      </c>
    </row>
    <row r="43" spans="1:6" ht="24.75" customHeight="1" x14ac:dyDescent="0.25">
      <c r="A43" s="131"/>
      <c r="B43" s="132" t="s">
        <v>160</v>
      </c>
      <c r="C43" s="118" t="s">
        <v>161</v>
      </c>
      <c r="D43" s="155">
        <v>0</v>
      </c>
      <c r="E43" s="155">
        <v>0</v>
      </c>
      <c r="F43" s="156">
        <v>0</v>
      </c>
    </row>
    <row r="44" spans="1:6" ht="24.75" customHeight="1" x14ac:dyDescent="0.25">
      <c r="A44" s="131"/>
      <c r="B44" s="132" t="s">
        <v>162</v>
      </c>
      <c r="C44" s="118" t="s">
        <v>163</v>
      </c>
      <c r="D44" s="155">
        <v>0</v>
      </c>
      <c r="E44" s="155">
        <v>0</v>
      </c>
      <c r="F44" s="156">
        <v>0</v>
      </c>
    </row>
    <row r="45" spans="1:6" ht="24.75" customHeight="1" x14ac:dyDescent="0.25">
      <c r="A45" s="131" t="s">
        <v>164</v>
      </c>
      <c r="B45" s="132" t="s">
        <v>165</v>
      </c>
      <c r="C45" s="118" t="s">
        <v>166</v>
      </c>
      <c r="D45" s="155">
        <v>0</v>
      </c>
      <c r="E45" s="155">
        <v>877650000</v>
      </c>
      <c r="F45" s="156">
        <v>0</v>
      </c>
    </row>
    <row r="46" spans="1:6" ht="24.75" customHeight="1" x14ac:dyDescent="0.25">
      <c r="A46" s="131" t="s">
        <v>167</v>
      </c>
      <c r="B46" s="132" t="s">
        <v>168</v>
      </c>
      <c r="C46" s="118" t="s">
        <v>169</v>
      </c>
      <c r="D46" s="155">
        <v>0</v>
      </c>
      <c r="E46" s="155">
        <v>0</v>
      </c>
      <c r="F46" s="156">
        <v>0</v>
      </c>
    </row>
    <row r="47" spans="1:6" ht="24.75" customHeight="1" x14ac:dyDescent="0.25">
      <c r="A47" s="131"/>
      <c r="B47" s="132" t="s">
        <v>170</v>
      </c>
      <c r="C47" s="118" t="s">
        <v>171</v>
      </c>
      <c r="D47" s="155">
        <v>0</v>
      </c>
      <c r="E47" s="155">
        <v>0</v>
      </c>
      <c r="F47" s="156">
        <v>0</v>
      </c>
    </row>
    <row r="48" spans="1:6" ht="24.75" customHeight="1" x14ac:dyDescent="0.25">
      <c r="A48" s="131"/>
      <c r="B48" s="132" t="s">
        <v>172</v>
      </c>
      <c r="C48" s="118" t="s">
        <v>173</v>
      </c>
      <c r="D48" s="155">
        <v>0</v>
      </c>
      <c r="E48" s="155">
        <v>0</v>
      </c>
      <c r="F48" s="156">
        <v>0</v>
      </c>
    </row>
    <row r="49" spans="1:6" ht="24.75" customHeight="1" x14ac:dyDescent="0.25">
      <c r="A49" s="131"/>
      <c r="B49" s="132" t="s">
        <v>174</v>
      </c>
      <c r="C49" s="118" t="s">
        <v>175</v>
      </c>
      <c r="D49" s="155">
        <v>0</v>
      </c>
      <c r="E49" s="155">
        <v>0</v>
      </c>
      <c r="F49" s="156">
        <v>0</v>
      </c>
    </row>
    <row r="50" spans="1:6" ht="24.75" customHeight="1" x14ac:dyDescent="0.25">
      <c r="A50" s="131" t="s">
        <v>176</v>
      </c>
      <c r="B50" s="132" t="s">
        <v>177</v>
      </c>
      <c r="C50" s="118" t="s">
        <v>178</v>
      </c>
      <c r="D50" s="155">
        <v>0</v>
      </c>
      <c r="E50" s="155">
        <v>0</v>
      </c>
      <c r="F50" s="156">
        <v>0</v>
      </c>
    </row>
    <row r="51" spans="1:6" ht="24.75" customHeight="1" x14ac:dyDescent="0.25">
      <c r="A51" s="131"/>
      <c r="B51" s="132" t="s">
        <v>179</v>
      </c>
      <c r="C51" s="118" t="s">
        <v>180</v>
      </c>
      <c r="D51" s="155">
        <v>0</v>
      </c>
      <c r="E51" s="155">
        <v>0</v>
      </c>
      <c r="F51" s="156">
        <v>0</v>
      </c>
    </row>
    <row r="52" spans="1:6" ht="24.75" customHeight="1" x14ac:dyDescent="0.25">
      <c r="A52" s="131"/>
      <c r="B52" s="132" t="s">
        <v>181</v>
      </c>
      <c r="C52" s="118" t="s">
        <v>182</v>
      </c>
      <c r="D52" s="155">
        <v>0</v>
      </c>
      <c r="E52" s="155">
        <v>0</v>
      </c>
      <c r="F52" s="156">
        <v>0</v>
      </c>
    </row>
    <row r="53" spans="1:6" ht="24.75" customHeight="1" x14ac:dyDescent="0.25">
      <c r="A53" s="131"/>
      <c r="B53" s="132" t="s">
        <v>183</v>
      </c>
      <c r="C53" s="118" t="s">
        <v>184</v>
      </c>
      <c r="D53" s="155">
        <v>0</v>
      </c>
      <c r="E53" s="155">
        <v>0</v>
      </c>
      <c r="F53" s="156">
        <v>0</v>
      </c>
    </row>
    <row r="54" spans="1:6" ht="24.75" customHeight="1" x14ac:dyDescent="0.25">
      <c r="A54" s="131"/>
      <c r="B54" s="132" t="s">
        <v>185</v>
      </c>
      <c r="C54" s="118" t="s">
        <v>186</v>
      </c>
      <c r="D54" s="155">
        <v>0</v>
      </c>
      <c r="E54" s="155">
        <v>0</v>
      </c>
      <c r="F54" s="156">
        <v>0</v>
      </c>
    </row>
    <row r="55" spans="1:6" ht="33" customHeight="1" x14ac:dyDescent="0.25">
      <c r="A55" s="131"/>
      <c r="B55" s="348" t="s">
        <v>187</v>
      </c>
      <c r="C55" s="118" t="s">
        <v>188</v>
      </c>
      <c r="D55" s="155">
        <v>0</v>
      </c>
      <c r="E55" s="155">
        <v>0</v>
      </c>
      <c r="F55" s="156">
        <v>0</v>
      </c>
    </row>
    <row r="56" spans="1:6" ht="24.75" customHeight="1" x14ac:dyDescent="0.25">
      <c r="A56" s="127" t="s">
        <v>189</v>
      </c>
      <c r="B56" s="128" t="s">
        <v>1100</v>
      </c>
      <c r="C56" s="117" t="s">
        <v>190</v>
      </c>
      <c r="D56" s="153">
        <v>1363496750025</v>
      </c>
      <c r="E56" s="153">
        <v>696556592825</v>
      </c>
      <c r="F56" s="154">
        <v>0</v>
      </c>
    </row>
    <row r="57" spans="1:6" ht="24.75" customHeight="1" x14ac:dyDescent="0.25">
      <c r="A57" s="127" t="s">
        <v>73</v>
      </c>
      <c r="B57" s="128" t="s">
        <v>191</v>
      </c>
      <c r="C57" s="117" t="s">
        <v>192</v>
      </c>
      <c r="D57" s="153">
        <v>0</v>
      </c>
      <c r="E57" s="153">
        <v>0</v>
      </c>
      <c r="F57" s="154">
        <v>0</v>
      </c>
    </row>
    <row r="58" spans="1:6" ht="24.75" customHeight="1" x14ac:dyDescent="0.25">
      <c r="A58" s="131" t="s">
        <v>193</v>
      </c>
      <c r="B58" s="132" t="s">
        <v>194</v>
      </c>
      <c r="C58" s="118" t="s">
        <v>195</v>
      </c>
      <c r="D58" s="155">
        <v>0</v>
      </c>
      <c r="E58" s="155">
        <v>0</v>
      </c>
      <c r="F58" s="156">
        <v>0</v>
      </c>
    </row>
    <row r="59" spans="1:6" ht="24.75" customHeight="1" x14ac:dyDescent="0.25">
      <c r="A59" s="131" t="s">
        <v>196</v>
      </c>
      <c r="B59" s="132" t="s">
        <v>197</v>
      </c>
      <c r="C59" s="118" t="s">
        <v>198</v>
      </c>
      <c r="D59" s="155">
        <v>1008950847</v>
      </c>
      <c r="E59" s="155">
        <v>425418147</v>
      </c>
      <c r="F59" s="156">
        <v>0</v>
      </c>
    </row>
    <row r="60" spans="1:6" ht="24.75" customHeight="1" x14ac:dyDescent="0.25">
      <c r="A60" s="131"/>
      <c r="B60" s="132" t="s">
        <v>199</v>
      </c>
      <c r="C60" s="118" t="s">
        <v>200</v>
      </c>
      <c r="D60" s="155">
        <v>0</v>
      </c>
      <c r="E60" s="155">
        <v>0</v>
      </c>
      <c r="F60" s="156">
        <v>0</v>
      </c>
    </row>
    <row r="61" spans="1:6" ht="24.75" customHeight="1" x14ac:dyDescent="0.25">
      <c r="A61" s="137"/>
      <c r="B61" s="138" t="s">
        <v>201</v>
      </c>
      <c r="C61" s="119" t="s">
        <v>202</v>
      </c>
      <c r="D61" s="157">
        <v>0</v>
      </c>
      <c r="E61" s="157">
        <v>0</v>
      </c>
      <c r="F61" s="158">
        <v>0</v>
      </c>
    </row>
    <row r="62" spans="1:6" ht="24.75" customHeight="1" x14ac:dyDescent="0.25">
      <c r="A62" s="137"/>
      <c r="B62" s="138" t="s">
        <v>203</v>
      </c>
      <c r="C62" s="119" t="s">
        <v>204</v>
      </c>
      <c r="D62" s="157">
        <v>0</v>
      </c>
      <c r="E62" s="157">
        <v>0</v>
      </c>
      <c r="F62" s="158">
        <v>0</v>
      </c>
    </row>
    <row r="63" spans="1:6" ht="24.75" customHeight="1" x14ac:dyDescent="0.25">
      <c r="A63" s="137"/>
      <c r="B63" s="138" t="s">
        <v>205</v>
      </c>
      <c r="C63" s="119" t="s">
        <v>206</v>
      </c>
      <c r="D63" s="157">
        <v>0</v>
      </c>
      <c r="E63" s="157">
        <v>0</v>
      </c>
      <c r="F63" s="158">
        <v>0</v>
      </c>
    </row>
    <row r="64" spans="1:6" ht="24.75" customHeight="1" x14ac:dyDescent="0.25">
      <c r="A64" s="131"/>
      <c r="B64" s="132" t="s">
        <v>207</v>
      </c>
      <c r="C64" s="118" t="s">
        <v>208</v>
      </c>
      <c r="D64" s="155">
        <v>0</v>
      </c>
      <c r="E64" s="155">
        <v>0</v>
      </c>
      <c r="F64" s="156">
        <v>0</v>
      </c>
    </row>
    <row r="65" spans="1:6" ht="45" customHeight="1" x14ac:dyDescent="0.25">
      <c r="A65" s="131"/>
      <c r="B65" s="132" t="s">
        <v>209</v>
      </c>
      <c r="C65" s="118" t="s">
        <v>210</v>
      </c>
      <c r="D65" s="155">
        <v>0</v>
      </c>
      <c r="E65" s="155">
        <v>0</v>
      </c>
      <c r="F65" s="156">
        <v>0</v>
      </c>
    </row>
    <row r="66" spans="1:6" ht="24.75" customHeight="1" x14ac:dyDescent="0.25">
      <c r="A66" s="137"/>
      <c r="B66" s="132" t="s">
        <v>1094</v>
      </c>
      <c r="C66" s="119" t="s">
        <v>211</v>
      </c>
      <c r="D66" s="157">
        <v>0</v>
      </c>
      <c r="E66" s="157">
        <v>0</v>
      </c>
      <c r="F66" s="158">
        <v>0</v>
      </c>
    </row>
    <row r="67" spans="1:6" ht="24.75" customHeight="1" x14ac:dyDescent="0.25">
      <c r="A67" s="137"/>
      <c r="B67" s="132" t="s">
        <v>1095</v>
      </c>
      <c r="C67" s="119" t="s">
        <v>212</v>
      </c>
      <c r="D67" s="157">
        <v>0</v>
      </c>
      <c r="E67" s="157">
        <v>0</v>
      </c>
      <c r="F67" s="158">
        <v>0</v>
      </c>
    </row>
    <row r="68" spans="1:6" ht="24.75" customHeight="1" x14ac:dyDescent="0.25">
      <c r="A68" s="131"/>
      <c r="B68" s="132" t="s">
        <v>213</v>
      </c>
      <c r="C68" s="118" t="s">
        <v>214</v>
      </c>
      <c r="D68" s="155">
        <v>0</v>
      </c>
      <c r="E68" s="155">
        <v>0</v>
      </c>
      <c r="F68" s="156">
        <v>0</v>
      </c>
    </row>
    <row r="69" spans="1:6" ht="24.75" customHeight="1" x14ac:dyDescent="0.25">
      <c r="A69" s="131"/>
      <c r="B69" s="132" t="s">
        <v>215</v>
      </c>
      <c r="C69" s="118" t="s">
        <v>216</v>
      </c>
      <c r="D69" s="155">
        <v>9735986</v>
      </c>
      <c r="E69" s="155">
        <v>0</v>
      </c>
      <c r="F69" s="156">
        <v>0</v>
      </c>
    </row>
    <row r="70" spans="1:6" ht="24.75" customHeight="1" x14ac:dyDescent="0.25">
      <c r="A70" s="131"/>
      <c r="B70" s="132" t="s">
        <v>217</v>
      </c>
      <c r="C70" s="118" t="s">
        <v>218</v>
      </c>
      <c r="D70" s="155">
        <v>743535790</v>
      </c>
      <c r="E70" s="155">
        <v>270193928</v>
      </c>
      <c r="F70" s="156">
        <v>0</v>
      </c>
    </row>
    <row r="71" spans="1:6" ht="24.75" customHeight="1" x14ac:dyDescent="0.25">
      <c r="A71" s="131"/>
      <c r="B71" s="132" t="s">
        <v>219</v>
      </c>
      <c r="C71" s="118" t="s">
        <v>220</v>
      </c>
      <c r="D71" s="155">
        <v>22514985</v>
      </c>
      <c r="E71" s="155">
        <v>17352250</v>
      </c>
      <c r="F71" s="156">
        <v>0</v>
      </c>
    </row>
    <row r="72" spans="1:6" ht="24.75" customHeight="1" x14ac:dyDescent="0.25">
      <c r="A72" s="131"/>
      <c r="B72" s="132" t="s">
        <v>221</v>
      </c>
      <c r="C72" s="118" t="s">
        <v>222</v>
      </c>
      <c r="D72" s="155">
        <v>42962221</v>
      </c>
      <c r="E72" s="155">
        <v>23060729</v>
      </c>
      <c r="F72" s="156">
        <v>0</v>
      </c>
    </row>
    <row r="73" spans="1:6" ht="24.75" customHeight="1" x14ac:dyDescent="0.25">
      <c r="A73" s="131"/>
      <c r="B73" s="132" t="s">
        <v>223</v>
      </c>
      <c r="C73" s="118" t="s">
        <v>224</v>
      </c>
      <c r="D73" s="155">
        <v>0</v>
      </c>
      <c r="E73" s="155">
        <v>1316475</v>
      </c>
      <c r="F73" s="156">
        <v>0</v>
      </c>
    </row>
    <row r="74" spans="1:6" ht="24.75" customHeight="1" x14ac:dyDescent="0.25">
      <c r="A74" s="137"/>
      <c r="B74" s="138" t="s">
        <v>225</v>
      </c>
      <c r="C74" s="119" t="s">
        <v>226</v>
      </c>
      <c r="D74" s="157">
        <v>0</v>
      </c>
      <c r="E74" s="157">
        <v>1316475</v>
      </c>
      <c r="F74" s="158">
        <v>0</v>
      </c>
    </row>
    <row r="75" spans="1:6" ht="24.75" customHeight="1" x14ac:dyDescent="0.25">
      <c r="A75" s="137"/>
      <c r="B75" s="138" t="s">
        <v>227</v>
      </c>
      <c r="C75" s="119" t="s">
        <v>228</v>
      </c>
      <c r="D75" s="157">
        <v>0</v>
      </c>
      <c r="E75" s="157">
        <v>0</v>
      </c>
      <c r="F75" s="158">
        <v>0</v>
      </c>
    </row>
    <row r="76" spans="1:6" ht="24.75" customHeight="1" x14ac:dyDescent="0.25">
      <c r="A76" s="131"/>
      <c r="B76" s="132" t="s">
        <v>1065</v>
      </c>
      <c r="C76" s="118" t="s">
        <v>229</v>
      </c>
      <c r="D76" s="155">
        <v>18788396</v>
      </c>
      <c r="E76" s="155">
        <v>11716520</v>
      </c>
      <c r="F76" s="156">
        <v>0</v>
      </c>
    </row>
    <row r="77" spans="1:6" ht="24.75" customHeight="1" x14ac:dyDescent="0.25">
      <c r="A77" s="137"/>
      <c r="B77" s="138" t="s">
        <v>230</v>
      </c>
      <c r="C77" s="119" t="s">
        <v>231</v>
      </c>
      <c r="D77" s="157">
        <v>18588396</v>
      </c>
      <c r="E77" s="157">
        <v>10516520</v>
      </c>
      <c r="F77" s="158">
        <v>0</v>
      </c>
    </row>
    <row r="78" spans="1:6" ht="24.75" customHeight="1" x14ac:dyDescent="0.25">
      <c r="A78" s="137"/>
      <c r="B78" s="138" t="s">
        <v>232</v>
      </c>
      <c r="C78" s="119" t="s">
        <v>233</v>
      </c>
      <c r="D78" s="157">
        <v>200000</v>
      </c>
      <c r="E78" s="157">
        <v>1200000</v>
      </c>
      <c r="F78" s="158">
        <v>0</v>
      </c>
    </row>
    <row r="79" spans="1:6" ht="24.75" customHeight="1" x14ac:dyDescent="0.25">
      <c r="A79" s="137"/>
      <c r="B79" s="138" t="s">
        <v>234</v>
      </c>
      <c r="C79" s="119" t="s">
        <v>235</v>
      </c>
      <c r="D79" s="157">
        <v>0</v>
      </c>
      <c r="E79" s="157">
        <v>0</v>
      </c>
      <c r="F79" s="158">
        <v>0</v>
      </c>
    </row>
    <row r="80" spans="1:6" ht="45.75" customHeight="1" x14ac:dyDescent="0.25">
      <c r="A80" s="137"/>
      <c r="B80" s="138" t="s">
        <v>236</v>
      </c>
      <c r="C80" s="119" t="s">
        <v>237</v>
      </c>
      <c r="D80" s="157">
        <v>0</v>
      </c>
      <c r="E80" s="157">
        <v>0</v>
      </c>
      <c r="F80" s="158">
        <v>0</v>
      </c>
    </row>
    <row r="81" spans="1:6" ht="24.75" customHeight="1" x14ac:dyDescent="0.25">
      <c r="A81" s="131"/>
      <c r="B81" s="132" t="s">
        <v>238</v>
      </c>
      <c r="C81" s="118" t="s">
        <v>239</v>
      </c>
      <c r="D81" s="155">
        <v>14075829</v>
      </c>
      <c r="E81" s="155">
        <v>0</v>
      </c>
      <c r="F81" s="156">
        <v>0</v>
      </c>
    </row>
    <row r="82" spans="1:6" ht="24.75" customHeight="1" x14ac:dyDescent="0.25">
      <c r="A82" s="131"/>
      <c r="B82" s="132" t="s">
        <v>240</v>
      </c>
      <c r="C82" s="118" t="s">
        <v>241</v>
      </c>
      <c r="D82" s="155">
        <v>0</v>
      </c>
      <c r="E82" s="155">
        <v>0</v>
      </c>
      <c r="F82" s="156">
        <v>0</v>
      </c>
    </row>
    <row r="83" spans="1:6" ht="24.75" customHeight="1" x14ac:dyDescent="0.25">
      <c r="A83" s="131"/>
      <c r="B83" s="132" t="s">
        <v>242</v>
      </c>
      <c r="C83" s="118" t="s">
        <v>243</v>
      </c>
      <c r="D83" s="155">
        <v>0</v>
      </c>
      <c r="E83" s="155">
        <v>0</v>
      </c>
      <c r="F83" s="156">
        <v>0</v>
      </c>
    </row>
    <row r="84" spans="1:6" ht="24.75" customHeight="1" x14ac:dyDescent="0.25">
      <c r="A84" s="131"/>
      <c r="B84" s="132" t="s">
        <v>244</v>
      </c>
      <c r="C84" s="118" t="s">
        <v>245</v>
      </c>
      <c r="D84" s="155">
        <v>9048379</v>
      </c>
      <c r="E84" s="155">
        <v>3548383</v>
      </c>
      <c r="F84" s="156">
        <v>0</v>
      </c>
    </row>
    <row r="85" spans="1:6" ht="38.25" customHeight="1" x14ac:dyDescent="0.25">
      <c r="A85" s="131"/>
      <c r="B85" s="132" t="s">
        <v>246</v>
      </c>
      <c r="C85" s="118" t="s">
        <v>247</v>
      </c>
      <c r="D85" s="155">
        <v>60290720</v>
      </c>
      <c r="E85" s="155">
        <v>13819731</v>
      </c>
      <c r="F85" s="156">
        <v>0</v>
      </c>
    </row>
    <row r="86" spans="1:6" ht="24.75" customHeight="1" x14ac:dyDescent="0.25">
      <c r="A86" s="131"/>
      <c r="B86" s="132" t="s">
        <v>248</v>
      </c>
      <c r="C86" s="118" t="s">
        <v>249</v>
      </c>
      <c r="D86" s="155">
        <v>86246576</v>
      </c>
      <c r="E86" s="155">
        <v>33248716</v>
      </c>
      <c r="F86" s="156">
        <v>0</v>
      </c>
    </row>
    <row r="87" spans="1:6" ht="24.75" customHeight="1" x14ac:dyDescent="0.25">
      <c r="A87" s="131"/>
      <c r="B87" s="132" t="s">
        <v>250</v>
      </c>
      <c r="C87" s="118" t="s">
        <v>251</v>
      </c>
      <c r="D87" s="155">
        <v>1751965</v>
      </c>
      <c r="E87" s="155">
        <v>51161415</v>
      </c>
      <c r="F87" s="156">
        <v>0</v>
      </c>
    </row>
    <row r="88" spans="1:6" ht="24.75" customHeight="1" x14ac:dyDescent="0.25">
      <c r="A88" s="137"/>
      <c r="B88" s="138" t="s">
        <v>252</v>
      </c>
      <c r="C88" s="119" t="s">
        <v>253</v>
      </c>
      <c r="D88" s="157">
        <v>0</v>
      </c>
      <c r="E88" s="157">
        <v>0</v>
      </c>
      <c r="F88" s="158">
        <v>0</v>
      </c>
    </row>
    <row r="89" spans="1:6" ht="36.75" customHeight="1" x14ac:dyDescent="0.25">
      <c r="A89" s="137"/>
      <c r="B89" s="138" t="s">
        <v>254</v>
      </c>
      <c r="C89" s="119" t="s">
        <v>255</v>
      </c>
      <c r="D89" s="157">
        <v>0</v>
      </c>
      <c r="E89" s="157">
        <v>0</v>
      </c>
      <c r="F89" s="158">
        <v>0</v>
      </c>
    </row>
    <row r="90" spans="1:6" ht="24.75" customHeight="1" x14ac:dyDescent="0.25">
      <c r="A90" s="137"/>
      <c r="B90" s="138" t="s">
        <v>256</v>
      </c>
      <c r="C90" s="119" t="s">
        <v>257</v>
      </c>
      <c r="D90" s="157">
        <v>1751965</v>
      </c>
      <c r="E90" s="157">
        <v>1161415</v>
      </c>
      <c r="F90" s="158">
        <v>0</v>
      </c>
    </row>
    <row r="91" spans="1:6" ht="24.75" customHeight="1" x14ac:dyDescent="0.25">
      <c r="A91" s="137"/>
      <c r="B91" s="138" t="s">
        <v>258</v>
      </c>
      <c r="C91" s="119" t="s">
        <v>259</v>
      </c>
      <c r="D91" s="157">
        <v>0</v>
      </c>
      <c r="E91" s="157">
        <v>0</v>
      </c>
      <c r="F91" s="158">
        <v>0</v>
      </c>
    </row>
    <row r="92" spans="1:6" ht="24.75" customHeight="1" x14ac:dyDescent="0.25">
      <c r="A92" s="131"/>
      <c r="B92" s="132" t="s">
        <v>260</v>
      </c>
      <c r="C92" s="118" t="s">
        <v>261</v>
      </c>
      <c r="D92" s="155">
        <v>0</v>
      </c>
      <c r="E92" s="155">
        <v>50000000</v>
      </c>
      <c r="F92" s="156">
        <v>0</v>
      </c>
    </row>
    <row r="93" spans="1:6" ht="24.75" customHeight="1" x14ac:dyDescent="0.25">
      <c r="A93" s="131"/>
      <c r="B93" s="132" t="s">
        <v>262</v>
      </c>
      <c r="C93" s="118" t="s">
        <v>263</v>
      </c>
      <c r="D93" s="155">
        <v>0</v>
      </c>
      <c r="E93" s="155">
        <v>0</v>
      </c>
      <c r="F93" s="156">
        <v>0</v>
      </c>
    </row>
    <row r="94" spans="1:6" ht="24.75" customHeight="1" x14ac:dyDescent="0.25">
      <c r="A94" s="131"/>
      <c r="B94" s="132" t="s">
        <v>264</v>
      </c>
      <c r="C94" s="118" t="s">
        <v>265</v>
      </c>
      <c r="D94" s="155">
        <v>0</v>
      </c>
      <c r="E94" s="155">
        <v>0</v>
      </c>
      <c r="F94" s="156">
        <v>0</v>
      </c>
    </row>
    <row r="95" spans="1:6" ht="24.75" customHeight="1" x14ac:dyDescent="0.25">
      <c r="A95" s="131"/>
      <c r="B95" s="132" t="s">
        <v>266</v>
      </c>
      <c r="C95" s="118" t="s">
        <v>267</v>
      </c>
      <c r="D95" s="155">
        <v>0</v>
      </c>
      <c r="E95" s="155">
        <v>0</v>
      </c>
      <c r="F95" s="156">
        <v>0</v>
      </c>
    </row>
    <row r="96" spans="1:6" ht="24.75" customHeight="1" x14ac:dyDescent="0.25">
      <c r="A96" s="131"/>
      <c r="B96" s="132" t="s">
        <v>268</v>
      </c>
      <c r="C96" s="118" t="s">
        <v>269</v>
      </c>
      <c r="D96" s="155">
        <v>0</v>
      </c>
      <c r="E96" s="155">
        <v>0</v>
      </c>
      <c r="F96" s="156">
        <v>0</v>
      </c>
    </row>
    <row r="97" spans="1:6" ht="24.75" customHeight="1" x14ac:dyDescent="0.25">
      <c r="A97" s="137"/>
      <c r="B97" s="138" t="s">
        <v>270</v>
      </c>
      <c r="C97" s="119" t="s">
        <v>271</v>
      </c>
      <c r="D97" s="157">
        <v>0</v>
      </c>
      <c r="E97" s="157">
        <v>0</v>
      </c>
      <c r="F97" s="158">
        <v>0</v>
      </c>
    </row>
    <row r="98" spans="1:6" ht="24.75" customHeight="1" x14ac:dyDescent="0.25">
      <c r="A98" s="137"/>
      <c r="B98" s="138" t="s">
        <v>272</v>
      </c>
      <c r="C98" s="119" t="s">
        <v>273</v>
      </c>
      <c r="D98" s="157">
        <v>0</v>
      </c>
      <c r="E98" s="157">
        <v>0</v>
      </c>
      <c r="F98" s="158">
        <v>0</v>
      </c>
    </row>
    <row r="99" spans="1:6" ht="24.75" customHeight="1" x14ac:dyDescent="0.25">
      <c r="A99" s="127" t="s">
        <v>274</v>
      </c>
      <c r="B99" s="128" t="s">
        <v>275</v>
      </c>
      <c r="C99" s="117" t="s">
        <v>276</v>
      </c>
      <c r="D99" s="153">
        <v>1008950847</v>
      </c>
      <c r="E99" s="153">
        <v>425418147</v>
      </c>
      <c r="F99" s="154">
        <v>0</v>
      </c>
    </row>
    <row r="100" spans="1:6" ht="24.75" customHeight="1" x14ac:dyDescent="0.25">
      <c r="A100" s="127"/>
      <c r="B100" s="128" t="s">
        <v>277</v>
      </c>
      <c r="C100" s="117" t="s">
        <v>278</v>
      </c>
      <c r="D100" s="153">
        <v>1362487799178</v>
      </c>
      <c r="E100" s="153">
        <v>696131174678</v>
      </c>
      <c r="F100" s="154">
        <v>0</v>
      </c>
    </row>
    <row r="101" spans="1:6" ht="24.75" customHeight="1" x14ac:dyDescent="0.25">
      <c r="A101" s="127"/>
      <c r="B101" s="128" t="s">
        <v>279</v>
      </c>
      <c r="C101" s="117" t="s">
        <v>280</v>
      </c>
      <c r="D101" s="153">
        <v>119100000</v>
      </c>
      <c r="E101" s="153">
        <v>58000000</v>
      </c>
      <c r="F101" s="154"/>
    </row>
    <row r="102" spans="1:6" ht="24.75" customHeight="1" x14ac:dyDescent="0.25">
      <c r="A102" s="159"/>
      <c r="B102" s="160" t="s">
        <v>281</v>
      </c>
      <c r="C102" s="120" t="s">
        <v>282</v>
      </c>
      <c r="D102" s="161">
        <v>11439.86</v>
      </c>
      <c r="E102" s="161">
        <v>12002.26</v>
      </c>
      <c r="F102" s="162">
        <v>0</v>
      </c>
    </row>
    <row r="103" spans="1:6" ht="8.25" customHeight="1" x14ac:dyDescent="0.25">
      <c r="A103" s="270"/>
      <c r="B103" s="270"/>
      <c r="C103" s="270"/>
      <c r="D103" s="270"/>
      <c r="E103" s="270"/>
      <c r="F103" s="270"/>
    </row>
    <row r="104" spans="1:6" ht="23.25" customHeight="1" x14ac:dyDescent="0.25">
      <c r="A104" s="277" t="s">
        <v>1066</v>
      </c>
      <c r="B104" s="277"/>
      <c r="C104" s="277"/>
      <c r="D104" s="277"/>
      <c r="E104" s="277"/>
      <c r="F104" s="277"/>
    </row>
    <row r="105" spans="1:6" ht="6.75" customHeight="1" x14ac:dyDescent="0.25">
      <c r="A105" s="270"/>
      <c r="B105" s="270"/>
      <c r="C105" s="270"/>
      <c r="D105" s="270"/>
      <c r="E105" s="270"/>
      <c r="F105" s="270"/>
    </row>
    <row r="106" spans="1:6" ht="12.75" customHeight="1" x14ac:dyDescent="0.25">
      <c r="A106" s="268" t="s">
        <v>17</v>
      </c>
      <c r="B106" s="268"/>
      <c r="C106" s="268" t="s">
        <v>283</v>
      </c>
      <c r="D106" s="268"/>
      <c r="E106" s="268"/>
      <c r="F106" s="268"/>
    </row>
    <row r="107" spans="1:6" ht="12.75" customHeight="1" x14ac:dyDescent="0.25">
      <c r="A107" s="271" t="s">
        <v>19</v>
      </c>
      <c r="B107" s="271"/>
      <c r="C107" s="272" t="s">
        <v>20</v>
      </c>
      <c r="D107" s="272"/>
      <c r="E107" s="272"/>
      <c r="F107" s="272"/>
    </row>
    <row r="108" spans="1:6" ht="68.25" customHeight="1" x14ac:dyDescent="0.25">
      <c r="A108" s="269"/>
      <c r="B108" s="269"/>
      <c r="C108" s="269"/>
      <c r="D108" s="269"/>
      <c r="E108" s="269"/>
      <c r="F108" s="269"/>
    </row>
    <row r="109" spans="1:6" ht="22.5" customHeight="1" x14ac:dyDescent="0.25">
      <c r="A109" s="270"/>
      <c r="B109" s="270"/>
      <c r="C109" s="270"/>
      <c r="D109" s="270"/>
      <c r="E109" s="270"/>
      <c r="F109" s="270"/>
    </row>
    <row r="110" spans="1:6" ht="12.75" customHeight="1" x14ac:dyDescent="0.25">
      <c r="A110" s="268" t="s">
        <v>284</v>
      </c>
      <c r="B110" s="268"/>
      <c r="C110" s="268" t="s">
        <v>285</v>
      </c>
      <c r="D110" s="268"/>
      <c r="E110" s="268"/>
      <c r="F110" s="268"/>
    </row>
    <row r="111" spans="1:6" s="188" customFormat="1" ht="12.75" customHeight="1" x14ac:dyDescent="0.25">
      <c r="A111" s="268" t="s">
        <v>1054</v>
      </c>
      <c r="B111" s="268"/>
      <c r="C111" s="268" t="s">
        <v>1067</v>
      </c>
      <c r="D111" s="268"/>
      <c r="E111" s="268"/>
      <c r="F111" s="268"/>
    </row>
    <row r="112" spans="1:6" s="188" customFormat="1" ht="12.75" customHeight="1" x14ac:dyDescent="0.25">
      <c r="A112" s="268" t="s">
        <v>1068</v>
      </c>
      <c r="B112" s="268"/>
      <c r="C112" s="268" t="s">
        <v>1069</v>
      </c>
      <c r="D112" s="268"/>
      <c r="E112" s="268"/>
      <c r="F112" s="268"/>
    </row>
  </sheetData>
  <mergeCells count="36">
    <mergeCell ref="C12:F12"/>
    <mergeCell ref="C1:F1"/>
    <mergeCell ref="A2:F2"/>
    <mergeCell ref="A3:F3"/>
    <mergeCell ref="A4:F4"/>
    <mergeCell ref="C6:F6"/>
    <mergeCell ref="C7:F7"/>
    <mergeCell ref="C8:F8"/>
    <mergeCell ref="C9:F9"/>
    <mergeCell ref="C10:F10"/>
    <mergeCell ref="C11:F11"/>
    <mergeCell ref="A1:B1"/>
    <mergeCell ref="A107:B107"/>
    <mergeCell ref="C107:F107"/>
    <mergeCell ref="C13:F13"/>
    <mergeCell ref="C14:F14"/>
    <mergeCell ref="A15:F15"/>
    <mergeCell ref="A16:E16"/>
    <mergeCell ref="E17:F17"/>
    <mergeCell ref="A103:B103"/>
    <mergeCell ref="C103:F103"/>
    <mergeCell ref="A104:F104"/>
    <mergeCell ref="A105:B105"/>
    <mergeCell ref="C105:F105"/>
    <mergeCell ref="A106:B106"/>
    <mergeCell ref="C106:F106"/>
    <mergeCell ref="A111:B111"/>
    <mergeCell ref="C111:F111"/>
    <mergeCell ref="A112:B112"/>
    <mergeCell ref="C112:F112"/>
    <mergeCell ref="A108:B108"/>
    <mergeCell ref="C108:F108"/>
    <mergeCell ref="A109:B109"/>
    <mergeCell ref="C109:F109"/>
    <mergeCell ref="A110:B110"/>
    <mergeCell ref="C110:F110"/>
  </mergeCells>
  <printOptions horizontalCentered="1"/>
  <pageMargins left="0.45" right="0.38" top="0.35" bottom="0.34" header="0.3" footer="0.3"/>
  <pageSetup paperSize="9" scale="7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4"/>
  <sheetViews>
    <sheetView showGridLines="0" showZeros="0" showOutlineSymbols="0" view="pageBreakPreview" topLeftCell="A84" zoomScaleNormal="100" zoomScaleSheetLayoutView="100" workbookViewId="0">
      <selection activeCell="A93" sqref="A93:XFD94"/>
    </sheetView>
  </sheetViews>
  <sheetFormatPr defaultRowHeight="15" x14ac:dyDescent="0.25"/>
  <cols>
    <col min="1" max="1" width="6.28515625" style="85" customWidth="1"/>
    <col min="2" max="2" width="46.28515625" style="85" customWidth="1"/>
    <col min="3" max="3" width="9.28515625" style="85" customWidth="1"/>
    <col min="4" max="5" width="19" style="85" customWidth="1"/>
    <col min="6" max="6" width="17.140625" style="85" customWidth="1"/>
    <col min="7" max="256" width="9.140625" style="85"/>
    <col min="257" max="257" width="6.28515625" style="85" customWidth="1"/>
    <col min="258" max="258" width="40.42578125" style="85" customWidth="1"/>
    <col min="259" max="259" width="9.28515625" style="85" customWidth="1"/>
    <col min="260" max="262" width="17.140625" style="85" customWidth="1"/>
    <col min="263" max="512" width="9.140625" style="85"/>
    <col min="513" max="513" width="6.28515625" style="85" customWidth="1"/>
    <col min="514" max="514" width="40.42578125" style="85" customWidth="1"/>
    <col min="515" max="515" width="9.28515625" style="85" customWidth="1"/>
    <col min="516" max="518" width="17.140625" style="85" customWidth="1"/>
    <col min="519" max="768" width="9.140625" style="85"/>
    <col min="769" max="769" width="6.28515625" style="85" customWidth="1"/>
    <col min="770" max="770" width="40.42578125" style="85" customWidth="1"/>
    <col min="771" max="771" width="9.28515625" style="85" customWidth="1"/>
    <col min="772" max="774" width="17.140625" style="85" customWidth="1"/>
    <col min="775" max="1024" width="9.140625" style="85"/>
    <col min="1025" max="1025" width="6.28515625" style="85" customWidth="1"/>
    <col min="1026" max="1026" width="40.42578125" style="85" customWidth="1"/>
    <col min="1027" max="1027" width="9.28515625" style="85" customWidth="1"/>
    <col min="1028" max="1030" width="17.140625" style="85" customWidth="1"/>
    <col min="1031" max="1280" width="9.140625" style="85"/>
    <col min="1281" max="1281" width="6.28515625" style="85" customWidth="1"/>
    <col min="1282" max="1282" width="40.42578125" style="85" customWidth="1"/>
    <col min="1283" max="1283" width="9.28515625" style="85" customWidth="1"/>
    <col min="1284" max="1286" width="17.140625" style="85" customWidth="1"/>
    <col min="1287" max="1536" width="9.140625" style="85"/>
    <col min="1537" max="1537" width="6.28515625" style="85" customWidth="1"/>
    <col min="1538" max="1538" width="40.42578125" style="85" customWidth="1"/>
    <col min="1539" max="1539" width="9.28515625" style="85" customWidth="1"/>
    <col min="1540" max="1542" width="17.140625" style="85" customWidth="1"/>
    <col min="1543" max="1792" width="9.140625" style="85"/>
    <col min="1793" max="1793" width="6.28515625" style="85" customWidth="1"/>
    <col min="1794" max="1794" width="40.42578125" style="85" customWidth="1"/>
    <col min="1795" max="1795" width="9.28515625" style="85" customWidth="1"/>
    <col min="1796" max="1798" width="17.140625" style="85" customWidth="1"/>
    <col min="1799" max="2048" width="9.140625" style="85"/>
    <col min="2049" max="2049" width="6.28515625" style="85" customWidth="1"/>
    <col min="2050" max="2050" width="40.42578125" style="85" customWidth="1"/>
    <col min="2051" max="2051" width="9.28515625" style="85" customWidth="1"/>
    <col min="2052" max="2054" width="17.140625" style="85" customWidth="1"/>
    <col min="2055" max="2304" width="9.140625" style="85"/>
    <col min="2305" max="2305" width="6.28515625" style="85" customWidth="1"/>
    <col min="2306" max="2306" width="40.42578125" style="85" customWidth="1"/>
    <col min="2307" max="2307" width="9.28515625" style="85" customWidth="1"/>
    <col min="2308" max="2310" width="17.140625" style="85" customWidth="1"/>
    <col min="2311" max="2560" width="9.140625" style="85"/>
    <col min="2561" max="2561" width="6.28515625" style="85" customWidth="1"/>
    <col min="2562" max="2562" width="40.42578125" style="85" customWidth="1"/>
    <col min="2563" max="2563" width="9.28515625" style="85" customWidth="1"/>
    <col min="2564" max="2566" width="17.140625" style="85" customWidth="1"/>
    <col min="2567" max="2816" width="9.140625" style="85"/>
    <col min="2817" max="2817" width="6.28515625" style="85" customWidth="1"/>
    <col min="2818" max="2818" width="40.42578125" style="85" customWidth="1"/>
    <col min="2819" max="2819" width="9.28515625" style="85" customWidth="1"/>
    <col min="2820" max="2822" width="17.140625" style="85" customWidth="1"/>
    <col min="2823" max="3072" width="9.140625" style="85"/>
    <col min="3073" max="3073" width="6.28515625" style="85" customWidth="1"/>
    <col min="3074" max="3074" width="40.42578125" style="85" customWidth="1"/>
    <col min="3075" max="3075" width="9.28515625" style="85" customWidth="1"/>
    <col min="3076" max="3078" width="17.140625" style="85" customWidth="1"/>
    <col min="3079" max="3328" width="9.140625" style="85"/>
    <col min="3329" max="3329" width="6.28515625" style="85" customWidth="1"/>
    <col min="3330" max="3330" width="40.42578125" style="85" customWidth="1"/>
    <col min="3331" max="3331" width="9.28515625" style="85" customWidth="1"/>
    <col min="3332" max="3334" width="17.140625" style="85" customWidth="1"/>
    <col min="3335" max="3584" width="9.140625" style="85"/>
    <col min="3585" max="3585" width="6.28515625" style="85" customWidth="1"/>
    <col min="3586" max="3586" width="40.42578125" style="85" customWidth="1"/>
    <col min="3587" max="3587" width="9.28515625" style="85" customWidth="1"/>
    <col min="3588" max="3590" width="17.140625" style="85" customWidth="1"/>
    <col min="3591" max="3840" width="9.140625" style="85"/>
    <col min="3841" max="3841" width="6.28515625" style="85" customWidth="1"/>
    <col min="3842" max="3842" width="40.42578125" style="85" customWidth="1"/>
    <col min="3843" max="3843" width="9.28515625" style="85" customWidth="1"/>
    <col min="3844" max="3846" width="17.140625" style="85" customWidth="1"/>
    <col min="3847" max="4096" width="9.140625" style="85"/>
    <col min="4097" max="4097" width="6.28515625" style="85" customWidth="1"/>
    <col min="4098" max="4098" width="40.42578125" style="85" customWidth="1"/>
    <col min="4099" max="4099" width="9.28515625" style="85" customWidth="1"/>
    <col min="4100" max="4102" width="17.140625" style="85" customWidth="1"/>
    <col min="4103" max="4352" width="9.140625" style="85"/>
    <col min="4353" max="4353" width="6.28515625" style="85" customWidth="1"/>
    <col min="4354" max="4354" width="40.42578125" style="85" customWidth="1"/>
    <col min="4355" max="4355" width="9.28515625" style="85" customWidth="1"/>
    <col min="4356" max="4358" width="17.140625" style="85" customWidth="1"/>
    <col min="4359" max="4608" width="9.140625" style="85"/>
    <col min="4609" max="4609" width="6.28515625" style="85" customWidth="1"/>
    <col min="4610" max="4610" width="40.42578125" style="85" customWidth="1"/>
    <col min="4611" max="4611" width="9.28515625" style="85" customWidth="1"/>
    <col min="4612" max="4614" width="17.140625" style="85" customWidth="1"/>
    <col min="4615" max="4864" width="9.140625" style="85"/>
    <col min="4865" max="4865" width="6.28515625" style="85" customWidth="1"/>
    <col min="4866" max="4866" width="40.42578125" style="85" customWidth="1"/>
    <col min="4867" max="4867" width="9.28515625" style="85" customWidth="1"/>
    <col min="4868" max="4870" width="17.140625" style="85" customWidth="1"/>
    <col min="4871" max="5120" width="9.140625" style="85"/>
    <col min="5121" max="5121" width="6.28515625" style="85" customWidth="1"/>
    <col min="5122" max="5122" width="40.42578125" style="85" customWidth="1"/>
    <col min="5123" max="5123" width="9.28515625" style="85" customWidth="1"/>
    <col min="5124" max="5126" width="17.140625" style="85" customWidth="1"/>
    <col min="5127" max="5376" width="9.140625" style="85"/>
    <col min="5377" max="5377" width="6.28515625" style="85" customWidth="1"/>
    <col min="5378" max="5378" width="40.42578125" style="85" customWidth="1"/>
    <col min="5379" max="5379" width="9.28515625" style="85" customWidth="1"/>
    <col min="5380" max="5382" width="17.140625" style="85" customWidth="1"/>
    <col min="5383" max="5632" width="9.140625" style="85"/>
    <col min="5633" max="5633" width="6.28515625" style="85" customWidth="1"/>
    <col min="5634" max="5634" width="40.42578125" style="85" customWidth="1"/>
    <col min="5635" max="5635" width="9.28515625" style="85" customWidth="1"/>
    <col min="5636" max="5638" width="17.140625" style="85" customWidth="1"/>
    <col min="5639" max="5888" width="9.140625" style="85"/>
    <col min="5889" max="5889" width="6.28515625" style="85" customWidth="1"/>
    <col min="5890" max="5890" width="40.42578125" style="85" customWidth="1"/>
    <col min="5891" max="5891" width="9.28515625" style="85" customWidth="1"/>
    <col min="5892" max="5894" width="17.140625" style="85" customWidth="1"/>
    <col min="5895" max="6144" width="9.140625" style="85"/>
    <col min="6145" max="6145" width="6.28515625" style="85" customWidth="1"/>
    <col min="6146" max="6146" width="40.42578125" style="85" customWidth="1"/>
    <col min="6147" max="6147" width="9.28515625" style="85" customWidth="1"/>
    <col min="6148" max="6150" width="17.140625" style="85" customWidth="1"/>
    <col min="6151" max="6400" width="9.140625" style="85"/>
    <col min="6401" max="6401" width="6.28515625" style="85" customWidth="1"/>
    <col min="6402" max="6402" width="40.42578125" style="85" customWidth="1"/>
    <col min="6403" max="6403" width="9.28515625" style="85" customWidth="1"/>
    <col min="6404" max="6406" width="17.140625" style="85" customWidth="1"/>
    <col min="6407" max="6656" width="9.140625" style="85"/>
    <col min="6657" max="6657" width="6.28515625" style="85" customWidth="1"/>
    <col min="6658" max="6658" width="40.42578125" style="85" customWidth="1"/>
    <col min="6659" max="6659" width="9.28515625" style="85" customWidth="1"/>
    <col min="6660" max="6662" width="17.140625" style="85" customWidth="1"/>
    <col min="6663" max="6912" width="9.140625" style="85"/>
    <col min="6913" max="6913" width="6.28515625" style="85" customWidth="1"/>
    <col min="6914" max="6914" width="40.42578125" style="85" customWidth="1"/>
    <col min="6915" max="6915" width="9.28515625" style="85" customWidth="1"/>
    <col min="6916" max="6918" width="17.140625" style="85" customWidth="1"/>
    <col min="6919" max="7168" width="9.140625" style="85"/>
    <col min="7169" max="7169" width="6.28515625" style="85" customWidth="1"/>
    <col min="7170" max="7170" width="40.42578125" style="85" customWidth="1"/>
    <col min="7171" max="7171" width="9.28515625" style="85" customWidth="1"/>
    <col min="7172" max="7174" width="17.140625" style="85" customWidth="1"/>
    <col min="7175" max="7424" width="9.140625" style="85"/>
    <col min="7425" max="7425" width="6.28515625" style="85" customWidth="1"/>
    <col min="7426" max="7426" width="40.42578125" style="85" customWidth="1"/>
    <col min="7427" max="7427" width="9.28515625" style="85" customWidth="1"/>
    <col min="7428" max="7430" width="17.140625" style="85" customWidth="1"/>
    <col min="7431" max="7680" width="9.140625" style="85"/>
    <col min="7681" max="7681" width="6.28515625" style="85" customWidth="1"/>
    <col min="7682" max="7682" width="40.42578125" style="85" customWidth="1"/>
    <col min="7683" max="7683" width="9.28515625" style="85" customWidth="1"/>
    <col min="7684" max="7686" width="17.140625" style="85" customWidth="1"/>
    <col min="7687" max="7936" width="9.140625" style="85"/>
    <col min="7937" max="7937" width="6.28515625" style="85" customWidth="1"/>
    <col min="7938" max="7938" width="40.42578125" style="85" customWidth="1"/>
    <col min="7939" max="7939" width="9.28515625" style="85" customWidth="1"/>
    <col min="7940" max="7942" width="17.140625" style="85" customWidth="1"/>
    <col min="7943" max="8192" width="9.140625" style="85"/>
    <col min="8193" max="8193" width="6.28515625" style="85" customWidth="1"/>
    <col min="8194" max="8194" width="40.42578125" style="85" customWidth="1"/>
    <col min="8195" max="8195" width="9.28515625" style="85" customWidth="1"/>
    <col min="8196" max="8198" width="17.140625" style="85" customWidth="1"/>
    <col min="8199" max="8448" width="9.140625" style="85"/>
    <col min="8449" max="8449" width="6.28515625" style="85" customWidth="1"/>
    <col min="8450" max="8450" width="40.42578125" style="85" customWidth="1"/>
    <col min="8451" max="8451" width="9.28515625" style="85" customWidth="1"/>
    <col min="8452" max="8454" width="17.140625" style="85" customWidth="1"/>
    <col min="8455" max="8704" width="9.140625" style="85"/>
    <col min="8705" max="8705" width="6.28515625" style="85" customWidth="1"/>
    <col min="8706" max="8706" width="40.42578125" style="85" customWidth="1"/>
    <col min="8707" max="8707" width="9.28515625" style="85" customWidth="1"/>
    <col min="8708" max="8710" width="17.140625" style="85" customWidth="1"/>
    <col min="8711" max="8960" width="9.140625" style="85"/>
    <col min="8961" max="8961" width="6.28515625" style="85" customWidth="1"/>
    <col min="8962" max="8962" width="40.42578125" style="85" customWidth="1"/>
    <col min="8963" max="8963" width="9.28515625" style="85" customWidth="1"/>
    <col min="8964" max="8966" width="17.140625" style="85" customWidth="1"/>
    <col min="8967" max="9216" width="9.140625" style="85"/>
    <col min="9217" max="9217" width="6.28515625" style="85" customWidth="1"/>
    <col min="9218" max="9218" width="40.42578125" style="85" customWidth="1"/>
    <col min="9219" max="9219" width="9.28515625" style="85" customWidth="1"/>
    <col min="9220" max="9222" width="17.140625" style="85" customWidth="1"/>
    <col min="9223" max="9472" width="9.140625" style="85"/>
    <col min="9473" max="9473" width="6.28515625" style="85" customWidth="1"/>
    <col min="9474" max="9474" width="40.42578125" style="85" customWidth="1"/>
    <col min="9475" max="9475" width="9.28515625" style="85" customWidth="1"/>
    <col min="9476" max="9478" width="17.140625" style="85" customWidth="1"/>
    <col min="9479" max="9728" width="9.140625" style="85"/>
    <col min="9729" max="9729" width="6.28515625" style="85" customWidth="1"/>
    <col min="9730" max="9730" width="40.42578125" style="85" customWidth="1"/>
    <col min="9731" max="9731" width="9.28515625" style="85" customWidth="1"/>
    <col min="9732" max="9734" width="17.140625" style="85" customWidth="1"/>
    <col min="9735" max="9984" width="9.140625" style="85"/>
    <col min="9985" max="9985" width="6.28515625" style="85" customWidth="1"/>
    <col min="9986" max="9986" width="40.42578125" style="85" customWidth="1"/>
    <col min="9987" max="9987" width="9.28515625" style="85" customWidth="1"/>
    <col min="9988" max="9990" width="17.140625" style="85" customWidth="1"/>
    <col min="9991" max="10240" width="9.140625" style="85"/>
    <col min="10241" max="10241" width="6.28515625" style="85" customWidth="1"/>
    <col min="10242" max="10242" width="40.42578125" style="85" customWidth="1"/>
    <col min="10243" max="10243" width="9.28515625" style="85" customWidth="1"/>
    <col min="10244" max="10246" width="17.140625" style="85" customWidth="1"/>
    <col min="10247" max="10496" width="9.140625" style="85"/>
    <col min="10497" max="10497" width="6.28515625" style="85" customWidth="1"/>
    <col min="10498" max="10498" width="40.42578125" style="85" customWidth="1"/>
    <col min="10499" max="10499" width="9.28515625" style="85" customWidth="1"/>
    <col min="10500" max="10502" width="17.140625" style="85" customWidth="1"/>
    <col min="10503" max="10752" width="9.140625" style="85"/>
    <col min="10753" max="10753" width="6.28515625" style="85" customWidth="1"/>
    <col min="10754" max="10754" width="40.42578125" style="85" customWidth="1"/>
    <col min="10755" max="10755" width="9.28515625" style="85" customWidth="1"/>
    <col min="10756" max="10758" width="17.140625" style="85" customWidth="1"/>
    <col min="10759" max="11008" width="9.140625" style="85"/>
    <col min="11009" max="11009" width="6.28515625" style="85" customWidth="1"/>
    <col min="11010" max="11010" width="40.42578125" style="85" customWidth="1"/>
    <col min="11011" max="11011" width="9.28515625" style="85" customWidth="1"/>
    <col min="11012" max="11014" width="17.140625" style="85" customWidth="1"/>
    <col min="11015" max="11264" width="9.140625" style="85"/>
    <col min="11265" max="11265" width="6.28515625" style="85" customWidth="1"/>
    <col min="11266" max="11266" width="40.42578125" style="85" customWidth="1"/>
    <col min="11267" max="11267" width="9.28515625" style="85" customWidth="1"/>
    <col min="11268" max="11270" width="17.140625" style="85" customWidth="1"/>
    <col min="11271" max="11520" width="9.140625" style="85"/>
    <col min="11521" max="11521" width="6.28515625" style="85" customWidth="1"/>
    <col min="11522" max="11522" width="40.42578125" style="85" customWidth="1"/>
    <col min="11523" max="11523" width="9.28515625" style="85" customWidth="1"/>
    <col min="11524" max="11526" width="17.140625" style="85" customWidth="1"/>
    <col min="11527" max="11776" width="9.140625" style="85"/>
    <col min="11777" max="11777" width="6.28515625" style="85" customWidth="1"/>
    <col min="11778" max="11778" width="40.42578125" style="85" customWidth="1"/>
    <col min="11779" max="11779" width="9.28515625" style="85" customWidth="1"/>
    <col min="11780" max="11782" width="17.140625" style="85" customWidth="1"/>
    <col min="11783" max="12032" width="9.140625" style="85"/>
    <col min="12033" max="12033" width="6.28515625" style="85" customWidth="1"/>
    <col min="12034" max="12034" width="40.42578125" style="85" customWidth="1"/>
    <col min="12035" max="12035" width="9.28515625" style="85" customWidth="1"/>
    <col min="12036" max="12038" width="17.140625" style="85" customWidth="1"/>
    <col min="12039" max="12288" width="9.140625" style="85"/>
    <col min="12289" max="12289" width="6.28515625" style="85" customWidth="1"/>
    <col min="12290" max="12290" width="40.42578125" style="85" customWidth="1"/>
    <col min="12291" max="12291" width="9.28515625" style="85" customWidth="1"/>
    <col min="12292" max="12294" width="17.140625" style="85" customWidth="1"/>
    <col min="12295" max="12544" width="9.140625" style="85"/>
    <col min="12545" max="12545" width="6.28515625" style="85" customWidth="1"/>
    <col min="12546" max="12546" width="40.42578125" style="85" customWidth="1"/>
    <col min="12547" max="12547" width="9.28515625" style="85" customWidth="1"/>
    <col min="12548" max="12550" width="17.140625" style="85" customWidth="1"/>
    <col min="12551" max="12800" width="9.140625" style="85"/>
    <col min="12801" max="12801" width="6.28515625" style="85" customWidth="1"/>
    <col min="12802" max="12802" width="40.42578125" style="85" customWidth="1"/>
    <col min="12803" max="12803" width="9.28515625" style="85" customWidth="1"/>
    <col min="12804" max="12806" width="17.140625" style="85" customWidth="1"/>
    <col min="12807" max="13056" width="9.140625" style="85"/>
    <col min="13057" max="13057" width="6.28515625" style="85" customWidth="1"/>
    <col min="13058" max="13058" width="40.42578125" style="85" customWidth="1"/>
    <col min="13059" max="13059" width="9.28515625" style="85" customWidth="1"/>
    <col min="13060" max="13062" width="17.140625" style="85" customWidth="1"/>
    <col min="13063" max="13312" width="9.140625" style="85"/>
    <col min="13313" max="13313" width="6.28515625" style="85" customWidth="1"/>
    <col min="13314" max="13314" width="40.42578125" style="85" customWidth="1"/>
    <col min="13315" max="13315" width="9.28515625" style="85" customWidth="1"/>
    <col min="13316" max="13318" width="17.140625" style="85" customWidth="1"/>
    <col min="13319" max="13568" width="9.140625" style="85"/>
    <col min="13569" max="13569" width="6.28515625" style="85" customWidth="1"/>
    <col min="13570" max="13570" width="40.42578125" style="85" customWidth="1"/>
    <col min="13571" max="13571" width="9.28515625" style="85" customWidth="1"/>
    <col min="13572" max="13574" width="17.140625" style="85" customWidth="1"/>
    <col min="13575" max="13824" width="9.140625" style="85"/>
    <col min="13825" max="13825" width="6.28515625" style="85" customWidth="1"/>
    <col min="13826" max="13826" width="40.42578125" style="85" customWidth="1"/>
    <col min="13827" max="13827" width="9.28515625" style="85" customWidth="1"/>
    <col min="13828" max="13830" width="17.140625" style="85" customWidth="1"/>
    <col min="13831" max="14080" width="9.140625" style="85"/>
    <col min="14081" max="14081" width="6.28515625" style="85" customWidth="1"/>
    <col min="14082" max="14082" width="40.42578125" style="85" customWidth="1"/>
    <col min="14083" max="14083" width="9.28515625" style="85" customWidth="1"/>
    <col min="14084" max="14086" width="17.140625" style="85" customWidth="1"/>
    <col min="14087" max="14336" width="9.140625" style="85"/>
    <col min="14337" max="14337" width="6.28515625" style="85" customWidth="1"/>
    <col min="14338" max="14338" width="40.42578125" style="85" customWidth="1"/>
    <col min="14339" max="14339" width="9.28515625" style="85" customWidth="1"/>
    <col min="14340" max="14342" width="17.140625" style="85" customWidth="1"/>
    <col min="14343" max="14592" width="9.140625" style="85"/>
    <col min="14593" max="14593" width="6.28515625" style="85" customWidth="1"/>
    <col min="14594" max="14594" width="40.42578125" style="85" customWidth="1"/>
    <col min="14595" max="14595" width="9.28515625" style="85" customWidth="1"/>
    <col min="14596" max="14598" width="17.140625" style="85" customWidth="1"/>
    <col min="14599" max="14848" width="9.140625" style="85"/>
    <col min="14849" max="14849" width="6.28515625" style="85" customWidth="1"/>
    <col min="14850" max="14850" width="40.42578125" style="85" customWidth="1"/>
    <col min="14851" max="14851" width="9.28515625" style="85" customWidth="1"/>
    <col min="14852" max="14854" width="17.140625" style="85" customWidth="1"/>
    <col min="14855" max="15104" width="9.140625" style="85"/>
    <col min="15105" max="15105" width="6.28515625" style="85" customWidth="1"/>
    <col min="15106" max="15106" width="40.42578125" style="85" customWidth="1"/>
    <col min="15107" max="15107" width="9.28515625" style="85" customWidth="1"/>
    <col min="15108" max="15110" width="17.140625" style="85" customWidth="1"/>
    <col min="15111" max="15360" width="9.140625" style="85"/>
    <col min="15361" max="15361" width="6.28515625" style="85" customWidth="1"/>
    <col min="15362" max="15362" width="40.42578125" style="85" customWidth="1"/>
    <col min="15363" max="15363" width="9.28515625" style="85" customWidth="1"/>
    <col min="15364" max="15366" width="17.140625" style="85" customWidth="1"/>
    <col min="15367" max="15616" width="9.140625" style="85"/>
    <col min="15617" max="15617" width="6.28515625" style="85" customWidth="1"/>
    <col min="15618" max="15618" width="40.42578125" style="85" customWidth="1"/>
    <col min="15619" max="15619" width="9.28515625" style="85" customWidth="1"/>
    <col min="15620" max="15622" width="17.140625" style="85" customWidth="1"/>
    <col min="15623" max="15872" width="9.140625" style="85"/>
    <col min="15873" max="15873" width="6.28515625" style="85" customWidth="1"/>
    <col min="15874" max="15874" width="40.42578125" style="85" customWidth="1"/>
    <col min="15875" max="15875" width="9.28515625" style="85" customWidth="1"/>
    <col min="15876" max="15878" width="17.140625" style="85" customWidth="1"/>
    <col min="15879" max="16128" width="9.140625" style="85"/>
    <col min="16129" max="16129" width="6.28515625" style="85" customWidth="1"/>
    <col min="16130" max="16130" width="40.42578125" style="85" customWidth="1"/>
    <col min="16131" max="16131" width="9.28515625" style="85" customWidth="1"/>
    <col min="16132" max="16134" width="17.140625" style="85" customWidth="1"/>
    <col min="16135" max="16384" width="9.140625" style="85"/>
  </cols>
  <sheetData>
    <row r="1" spans="1:6" ht="47.25" customHeight="1" x14ac:dyDescent="0.25">
      <c r="A1" s="270"/>
      <c r="B1" s="270"/>
      <c r="C1" s="279" t="s">
        <v>286</v>
      </c>
      <c r="D1" s="279"/>
      <c r="E1" s="279"/>
      <c r="F1" s="279"/>
    </row>
    <row r="2" spans="1:6" ht="42.75" customHeight="1" x14ac:dyDescent="0.25">
      <c r="A2" s="293" t="s">
        <v>287</v>
      </c>
      <c r="B2" s="293"/>
      <c r="C2" s="293"/>
      <c r="D2" s="293"/>
      <c r="E2" s="293"/>
      <c r="F2" s="293"/>
    </row>
    <row r="3" spans="1:6" ht="27" customHeight="1" x14ac:dyDescent="0.25">
      <c r="A3" s="281" t="s">
        <v>92</v>
      </c>
      <c r="B3" s="281"/>
      <c r="C3" s="281"/>
      <c r="D3" s="281"/>
      <c r="E3" s="281"/>
      <c r="F3" s="281"/>
    </row>
    <row r="4" spans="1:6" ht="13.5" customHeight="1" x14ac:dyDescent="0.25">
      <c r="A4" s="271" t="s">
        <v>1070</v>
      </c>
      <c r="B4" s="271"/>
      <c r="C4" s="271"/>
      <c r="D4" s="271"/>
      <c r="E4" s="271"/>
      <c r="F4" s="271"/>
    </row>
    <row r="5" spans="1:6" ht="4.5" customHeight="1" x14ac:dyDescent="0.25">
      <c r="A5" s="86"/>
      <c r="B5" s="86"/>
      <c r="C5" s="86"/>
      <c r="D5" s="86"/>
      <c r="E5" s="86"/>
      <c r="F5" s="86"/>
    </row>
    <row r="6" spans="1:6" ht="12.75" customHeight="1" x14ac:dyDescent="0.25">
      <c r="A6" s="101" t="s">
        <v>94</v>
      </c>
      <c r="B6" s="102" t="s">
        <v>95</v>
      </c>
      <c r="C6" s="288" t="s">
        <v>96</v>
      </c>
      <c r="D6" s="288"/>
      <c r="E6" s="288"/>
      <c r="F6" s="288"/>
    </row>
    <row r="7" spans="1:6" ht="12.75" customHeight="1" x14ac:dyDescent="0.25">
      <c r="A7" s="104"/>
      <c r="B7" s="105" t="s">
        <v>4</v>
      </c>
      <c r="C7" s="287" t="s">
        <v>5</v>
      </c>
      <c r="D7" s="287"/>
      <c r="E7" s="287"/>
      <c r="F7" s="287"/>
    </row>
    <row r="8" spans="1:6" ht="12.75" customHeight="1" x14ac:dyDescent="0.25">
      <c r="A8" s="101" t="s">
        <v>97</v>
      </c>
      <c r="B8" s="102" t="s">
        <v>288</v>
      </c>
      <c r="C8" s="288" t="s">
        <v>99</v>
      </c>
      <c r="D8" s="288"/>
      <c r="E8" s="288"/>
      <c r="F8" s="288"/>
    </row>
    <row r="9" spans="1:6" ht="12.75" customHeight="1" x14ac:dyDescent="0.25">
      <c r="A9" s="104"/>
      <c r="B9" s="105" t="s">
        <v>289</v>
      </c>
      <c r="C9" s="287" t="s">
        <v>100</v>
      </c>
      <c r="D9" s="287"/>
      <c r="E9" s="287"/>
      <c r="F9" s="287"/>
    </row>
    <row r="10" spans="1:6" ht="12.75" customHeight="1" x14ac:dyDescent="0.25">
      <c r="A10" s="101" t="s">
        <v>78</v>
      </c>
      <c r="B10" s="102" t="s">
        <v>10</v>
      </c>
      <c r="C10" s="288" t="s">
        <v>101</v>
      </c>
      <c r="D10" s="288"/>
      <c r="E10" s="288"/>
      <c r="F10" s="288"/>
    </row>
    <row r="11" spans="1:6" ht="12.75" customHeight="1" x14ac:dyDescent="0.25">
      <c r="A11" s="104"/>
      <c r="B11" s="105" t="s">
        <v>290</v>
      </c>
      <c r="C11" s="287" t="s">
        <v>102</v>
      </c>
      <c r="D11" s="287"/>
      <c r="E11" s="287"/>
      <c r="F11" s="287"/>
    </row>
    <row r="12" spans="1:6" ht="12.75" customHeight="1" x14ac:dyDescent="0.25">
      <c r="A12" s="101" t="s">
        <v>84</v>
      </c>
      <c r="B12" s="102" t="s">
        <v>14</v>
      </c>
      <c r="C12" s="289">
        <v>44013</v>
      </c>
      <c r="D12" s="289"/>
      <c r="E12" s="289"/>
      <c r="F12" s="289"/>
    </row>
    <row r="13" spans="1:6" ht="12.75" customHeight="1" x14ac:dyDescent="0.25">
      <c r="A13" s="104"/>
      <c r="B13" s="105" t="s">
        <v>15</v>
      </c>
      <c r="C13" s="292">
        <v>44013</v>
      </c>
      <c r="D13" s="292"/>
      <c r="E13" s="292"/>
      <c r="F13" s="292"/>
    </row>
    <row r="14" spans="1:6" ht="12.75" customHeight="1" x14ac:dyDescent="0.25">
      <c r="A14" s="86"/>
      <c r="B14" s="105"/>
      <c r="C14" s="105"/>
      <c r="D14" s="105"/>
      <c r="E14" s="290"/>
      <c r="F14" s="290"/>
    </row>
    <row r="15" spans="1:6" ht="12.75" customHeight="1" x14ac:dyDescent="0.25">
      <c r="A15" s="288" t="s">
        <v>103</v>
      </c>
      <c r="B15" s="288"/>
      <c r="C15" s="288"/>
      <c r="D15" s="288"/>
      <c r="E15" s="288"/>
      <c r="F15" s="288"/>
    </row>
    <row r="16" spans="1:6" ht="12.75" customHeight="1" x14ac:dyDescent="0.25">
      <c r="A16" s="275" t="s">
        <v>291</v>
      </c>
      <c r="B16" s="275"/>
      <c r="C16" s="275"/>
      <c r="D16" s="275"/>
      <c r="E16" s="275"/>
      <c r="F16" s="275"/>
    </row>
    <row r="17" spans="1:6" ht="12.75" customHeight="1" x14ac:dyDescent="0.25">
      <c r="A17" s="291" t="s">
        <v>105</v>
      </c>
      <c r="B17" s="291"/>
      <c r="C17" s="291"/>
      <c r="D17" s="291"/>
      <c r="E17" s="291"/>
      <c r="F17" s="291"/>
    </row>
    <row r="18" spans="1:6" ht="52.5" x14ac:dyDescent="0.25">
      <c r="A18" s="98" t="s">
        <v>106</v>
      </c>
      <c r="B18" s="99" t="s">
        <v>107</v>
      </c>
      <c r="C18" s="99" t="s">
        <v>108</v>
      </c>
      <c r="D18" s="99" t="s">
        <v>1071</v>
      </c>
      <c r="E18" s="99" t="s">
        <v>1057</v>
      </c>
      <c r="F18" s="100" t="s">
        <v>292</v>
      </c>
    </row>
    <row r="19" spans="1:6" ht="24" customHeight="1" x14ac:dyDescent="0.25">
      <c r="A19" s="163" t="s">
        <v>68</v>
      </c>
      <c r="B19" s="164" t="s">
        <v>293</v>
      </c>
      <c r="C19" s="165" t="s">
        <v>294</v>
      </c>
      <c r="D19" s="166">
        <v>397742549</v>
      </c>
      <c r="E19" s="166">
        <v>573539203</v>
      </c>
      <c r="F19" s="167">
        <v>1125301752</v>
      </c>
    </row>
    <row r="20" spans="1:6" ht="24" customHeight="1" x14ac:dyDescent="0.25">
      <c r="A20" s="168" t="s">
        <v>94</v>
      </c>
      <c r="B20" s="169" t="s">
        <v>295</v>
      </c>
      <c r="C20" s="170" t="s">
        <v>296</v>
      </c>
      <c r="D20" s="171">
        <v>382721000</v>
      </c>
      <c r="E20" s="171">
        <v>573300000</v>
      </c>
      <c r="F20" s="172">
        <v>1110041000</v>
      </c>
    </row>
    <row r="21" spans="1:6" ht="24" customHeight="1" x14ac:dyDescent="0.25">
      <c r="A21" s="173"/>
      <c r="B21" s="174" t="s">
        <v>297</v>
      </c>
      <c r="C21" s="175" t="s">
        <v>298</v>
      </c>
      <c r="D21" s="176">
        <v>382721000</v>
      </c>
      <c r="E21" s="176">
        <v>573300000</v>
      </c>
      <c r="F21" s="177">
        <v>1110041000</v>
      </c>
    </row>
    <row r="22" spans="1:6" ht="24" customHeight="1" x14ac:dyDescent="0.25">
      <c r="A22" s="173"/>
      <c r="B22" s="174" t="s">
        <v>299</v>
      </c>
      <c r="C22" s="175" t="s">
        <v>300</v>
      </c>
      <c r="D22" s="176">
        <v>0</v>
      </c>
      <c r="E22" s="176">
        <v>0</v>
      </c>
      <c r="F22" s="177">
        <v>0</v>
      </c>
    </row>
    <row r="23" spans="1:6" ht="24" customHeight="1" x14ac:dyDescent="0.25">
      <c r="A23" s="168" t="s">
        <v>97</v>
      </c>
      <c r="B23" s="169" t="s">
        <v>301</v>
      </c>
      <c r="C23" s="170" t="s">
        <v>302</v>
      </c>
      <c r="D23" s="171">
        <v>15021549</v>
      </c>
      <c r="E23" s="171">
        <v>239203</v>
      </c>
      <c r="F23" s="172">
        <v>15260752</v>
      </c>
    </row>
    <row r="24" spans="1:6" ht="24" customHeight="1" x14ac:dyDescent="0.25">
      <c r="A24" s="173"/>
      <c r="B24" s="174" t="s">
        <v>303</v>
      </c>
      <c r="C24" s="175" t="s">
        <v>304</v>
      </c>
      <c r="D24" s="176">
        <v>15021549</v>
      </c>
      <c r="E24" s="176">
        <v>239203</v>
      </c>
      <c r="F24" s="177">
        <v>15260752</v>
      </c>
    </row>
    <row r="25" spans="1:6" ht="24" customHeight="1" x14ac:dyDescent="0.25">
      <c r="A25" s="173"/>
      <c r="B25" s="174" t="s">
        <v>305</v>
      </c>
      <c r="C25" s="175" t="s">
        <v>306</v>
      </c>
      <c r="D25" s="176">
        <v>0</v>
      </c>
      <c r="E25" s="176">
        <v>0</v>
      </c>
      <c r="F25" s="177">
        <v>0</v>
      </c>
    </row>
    <row r="26" spans="1:6" ht="24" customHeight="1" x14ac:dyDescent="0.25">
      <c r="A26" s="168" t="s">
        <v>78</v>
      </c>
      <c r="B26" s="169" t="s">
        <v>307</v>
      </c>
      <c r="C26" s="170" t="s">
        <v>308</v>
      </c>
      <c r="D26" s="171">
        <v>0</v>
      </c>
      <c r="E26" s="171">
        <v>0</v>
      </c>
      <c r="F26" s="172">
        <v>0</v>
      </c>
    </row>
    <row r="27" spans="1:6" ht="24" customHeight="1" x14ac:dyDescent="0.25">
      <c r="A27" s="173"/>
      <c r="B27" s="174" t="s">
        <v>309</v>
      </c>
      <c r="C27" s="175" t="s">
        <v>310</v>
      </c>
      <c r="D27" s="176">
        <v>0</v>
      </c>
      <c r="E27" s="176">
        <v>0</v>
      </c>
      <c r="F27" s="177">
        <v>0</v>
      </c>
    </row>
    <row r="28" spans="1:6" ht="24" customHeight="1" x14ac:dyDescent="0.25">
      <c r="A28" s="173"/>
      <c r="B28" s="174" t="s">
        <v>311</v>
      </c>
      <c r="C28" s="175" t="s">
        <v>312</v>
      </c>
      <c r="D28" s="176">
        <v>0</v>
      </c>
      <c r="E28" s="176">
        <v>0</v>
      </c>
      <c r="F28" s="177">
        <v>0</v>
      </c>
    </row>
    <row r="29" spans="1:6" ht="45.75" customHeight="1" x14ac:dyDescent="0.25">
      <c r="A29" s="173"/>
      <c r="B29" s="174" t="s">
        <v>313</v>
      </c>
      <c r="C29" s="175" t="s">
        <v>314</v>
      </c>
      <c r="D29" s="176">
        <v>0</v>
      </c>
      <c r="E29" s="176">
        <v>0</v>
      </c>
      <c r="F29" s="177">
        <v>0</v>
      </c>
    </row>
    <row r="30" spans="1:6" ht="24" customHeight="1" x14ac:dyDescent="0.25">
      <c r="A30" s="163" t="s">
        <v>73</v>
      </c>
      <c r="B30" s="164" t="s">
        <v>315</v>
      </c>
      <c r="C30" s="165" t="s">
        <v>316</v>
      </c>
      <c r="D30" s="166">
        <v>984343525</v>
      </c>
      <c r="E30" s="166">
        <v>358713675</v>
      </c>
      <c r="F30" s="167">
        <v>1441884907</v>
      </c>
    </row>
    <row r="31" spans="1:6" ht="24" customHeight="1" x14ac:dyDescent="0.25">
      <c r="A31" s="168" t="s">
        <v>94</v>
      </c>
      <c r="B31" s="169" t="s">
        <v>317</v>
      </c>
      <c r="C31" s="170" t="s">
        <v>318</v>
      </c>
      <c r="D31" s="171">
        <v>743535790</v>
      </c>
      <c r="E31" s="171">
        <v>248373715</v>
      </c>
      <c r="F31" s="172">
        <v>1013729718</v>
      </c>
    </row>
    <row r="32" spans="1:6" ht="24" customHeight="1" x14ac:dyDescent="0.25">
      <c r="A32" s="168" t="s">
        <v>97</v>
      </c>
      <c r="B32" s="169" t="s">
        <v>319</v>
      </c>
      <c r="C32" s="170" t="s">
        <v>320</v>
      </c>
      <c r="D32" s="171">
        <v>65527034</v>
      </c>
      <c r="E32" s="171">
        <v>34935623</v>
      </c>
      <c r="F32" s="172">
        <v>109212657</v>
      </c>
    </row>
    <row r="33" spans="1:6" ht="24" customHeight="1" x14ac:dyDescent="0.25">
      <c r="A33" s="173"/>
      <c r="B33" s="174" t="s">
        <v>321</v>
      </c>
      <c r="C33" s="175" t="s">
        <v>322</v>
      </c>
      <c r="D33" s="176">
        <v>18588396</v>
      </c>
      <c r="E33" s="176">
        <v>10516520</v>
      </c>
      <c r="F33" s="177">
        <v>32104916</v>
      </c>
    </row>
    <row r="34" spans="1:6" ht="24" customHeight="1" x14ac:dyDescent="0.25">
      <c r="A34" s="173"/>
      <c r="B34" s="174" t="s">
        <v>323</v>
      </c>
      <c r="C34" s="175" t="s">
        <v>324</v>
      </c>
      <c r="D34" s="176">
        <v>200000</v>
      </c>
      <c r="E34" s="176">
        <v>1200000</v>
      </c>
      <c r="F34" s="177">
        <v>2200000</v>
      </c>
    </row>
    <row r="35" spans="1:6" ht="24" customHeight="1" x14ac:dyDescent="0.25">
      <c r="A35" s="173"/>
      <c r="B35" s="174" t="s">
        <v>234</v>
      </c>
      <c r="C35" s="175" t="s">
        <v>325</v>
      </c>
      <c r="D35" s="176">
        <v>3776417</v>
      </c>
      <c r="E35" s="176">
        <v>158374</v>
      </c>
      <c r="F35" s="177">
        <v>3934791</v>
      </c>
    </row>
    <row r="36" spans="1:6" ht="24" customHeight="1" x14ac:dyDescent="0.25">
      <c r="A36" s="173"/>
      <c r="B36" s="174" t="s">
        <v>326</v>
      </c>
      <c r="C36" s="175" t="s">
        <v>327</v>
      </c>
      <c r="D36" s="176">
        <v>42962221</v>
      </c>
      <c r="E36" s="176">
        <v>23060729</v>
      </c>
      <c r="F36" s="177">
        <v>70972950</v>
      </c>
    </row>
    <row r="37" spans="1:6" ht="48" customHeight="1" x14ac:dyDescent="0.25">
      <c r="A37" s="173"/>
      <c r="B37" s="174" t="s">
        <v>236</v>
      </c>
      <c r="C37" s="175" t="s">
        <v>328</v>
      </c>
      <c r="D37" s="176">
        <v>0</v>
      </c>
      <c r="E37" s="176">
        <v>0</v>
      </c>
      <c r="F37" s="177">
        <v>0</v>
      </c>
    </row>
    <row r="38" spans="1:6" ht="56.25" customHeight="1" x14ac:dyDescent="0.25">
      <c r="A38" s="168" t="s">
        <v>78</v>
      </c>
      <c r="B38" s="169" t="s">
        <v>329</v>
      </c>
      <c r="C38" s="170" t="s">
        <v>330</v>
      </c>
      <c r="D38" s="171">
        <v>127483830</v>
      </c>
      <c r="E38" s="171">
        <v>62067441</v>
      </c>
      <c r="F38" s="172">
        <v>200402910</v>
      </c>
    </row>
    <row r="39" spans="1:6" ht="24" customHeight="1" x14ac:dyDescent="0.25">
      <c r="A39" s="173"/>
      <c r="B39" s="174" t="s">
        <v>331</v>
      </c>
      <c r="C39" s="175" t="s">
        <v>332</v>
      </c>
      <c r="D39" s="176">
        <v>22514985</v>
      </c>
      <c r="E39" s="176">
        <v>17352250</v>
      </c>
      <c r="F39" s="177">
        <v>44817235</v>
      </c>
    </row>
    <row r="40" spans="1:6" ht="24" customHeight="1" x14ac:dyDescent="0.25">
      <c r="A40" s="173"/>
      <c r="B40" s="174" t="s">
        <v>333</v>
      </c>
      <c r="C40" s="175" t="s">
        <v>334</v>
      </c>
      <c r="D40" s="176">
        <v>5499996</v>
      </c>
      <c r="E40" s="176">
        <v>3548383</v>
      </c>
      <c r="F40" s="177">
        <v>9048379</v>
      </c>
    </row>
    <row r="41" spans="1:6" ht="35.25" customHeight="1" x14ac:dyDescent="0.25">
      <c r="A41" s="173"/>
      <c r="B41" s="174" t="s">
        <v>335</v>
      </c>
      <c r="C41" s="175" t="s">
        <v>336</v>
      </c>
      <c r="D41" s="176">
        <v>46470989</v>
      </c>
      <c r="E41" s="176">
        <v>13819731</v>
      </c>
      <c r="F41" s="177">
        <v>60290720</v>
      </c>
    </row>
    <row r="42" spans="1:6" ht="24" customHeight="1" x14ac:dyDescent="0.25">
      <c r="A42" s="173"/>
      <c r="B42" s="174" t="s">
        <v>337</v>
      </c>
      <c r="C42" s="175" t="s">
        <v>338</v>
      </c>
      <c r="D42" s="176">
        <v>52997860</v>
      </c>
      <c r="E42" s="176">
        <v>27347077</v>
      </c>
      <c r="F42" s="177">
        <v>86246576</v>
      </c>
    </row>
    <row r="43" spans="1:6" ht="26.25" customHeight="1" x14ac:dyDescent="0.25">
      <c r="A43" s="168" t="s">
        <v>84</v>
      </c>
      <c r="B43" s="169" t="s">
        <v>339</v>
      </c>
      <c r="C43" s="170" t="s">
        <v>340</v>
      </c>
      <c r="D43" s="171">
        <v>14075829</v>
      </c>
      <c r="E43" s="171">
        <v>0</v>
      </c>
      <c r="F43" s="172">
        <v>14075829</v>
      </c>
    </row>
    <row r="44" spans="1:6" ht="48.75" customHeight="1" x14ac:dyDescent="0.25">
      <c r="A44" s="168" t="s">
        <v>341</v>
      </c>
      <c r="B44" s="169" t="s">
        <v>342</v>
      </c>
      <c r="C44" s="170" t="s">
        <v>343</v>
      </c>
      <c r="D44" s="171">
        <v>9735986</v>
      </c>
      <c r="E44" s="171">
        <v>0</v>
      </c>
      <c r="F44" s="172">
        <v>9735986</v>
      </c>
    </row>
    <row r="45" spans="1:6" ht="24" customHeight="1" x14ac:dyDescent="0.25">
      <c r="A45" s="173"/>
      <c r="B45" s="174" t="s">
        <v>344</v>
      </c>
      <c r="C45" s="175" t="s">
        <v>345</v>
      </c>
      <c r="D45" s="176">
        <v>9735986</v>
      </c>
      <c r="E45" s="176">
        <v>0</v>
      </c>
      <c r="F45" s="177">
        <v>9735986</v>
      </c>
    </row>
    <row r="46" spans="1:6" ht="24" customHeight="1" x14ac:dyDescent="0.25">
      <c r="A46" s="173"/>
      <c r="B46" s="174" t="s">
        <v>346</v>
      </c>
      <c r="C46" s="175" t="s">
        <v>347</v>
      </c>
      <c r="D46" s="176">
        <v>0</v>
      </c>
      <c r="E46" s="176">
        <v>0</v>
      </c>
      <c r="F46" s="177">
        <v>0</v>
      </c>
    </row>
    <row r="47" spans="1:6" ht="24" customHeight="1" x14ac:dyDescent="0.25">
      <c r="A47" s="173"/>
      <c r="B47" s="174" t="s">
        <v>348</v>
      </c>
      <c r="C47" s="175" t="s">
        <v>349</v>
      </c>
      <c r="D47" s="176">
        <v>0</v>
      </c>
      <c r="E47" s="176">
        <v>0</v>
      </c>
      <c r="F47" s="177">
        <v>0</v>
      </c>
    </row>
    <row r="48" spans="1:6" ht="100.5" customHeight="1" x14ac:dyDescent="0.25">
      <c r="A48" s="168" t="s">
        <v>350</v>
      </c>
      <c r="B48" s="169" t="s">
        <v>351</v>
      </c>
      <c r="C48" s="170" t="s">
        <v>352</v>
      </c>
      <c r="D48" s="171">
        <v>0</v>
      </c>
      <c r="E48" s="171">
        <v>0</v>
      </c>
      <c r="F48" s="172">
        <v>0</v>
      </c>
    </row>
    <row r="49" spans="1:6" ht="24" customHeight="1" x14ac:dyDescent="0.25">
      <c r="A49" s="173"/>
      <c r="B49" s="174" t="s">
        <v>353</v>
      </c>
      <c r="C49" s="175" t="s">
        <v>354</v>
      </c>
      <c r="D49" s="176">
        <v>0</v>
      </c>
      <c r="E49" s="176">
        <v>0</v>
      </c>
      <c r="F49" s="177">
        <v>0</v>
      </c>
    </row>
    <row r="50" spans="1:6" ht="24" customHeight="1" x14ac:dyDescent="0.25">
      <c r="A50" s="173"/>
      <c r="B50" s="174" t="s">
        <v>355</v>
      </c>
      <c r="C50" s="175" t="s">
        <v>356</v>
      </c>
      <c r="D50" s="176">
        <v>0</v>
      </c>
      <c r="E50" s="176">
        <v>0</v>
      </c>
      <c r="F50" s="177">
        <v>0</v>
      </c>
    </row>
    <row r="51" spans="1:6" ht="24" customHeight="1" x14ac:dyDescent="0.25">
      <c r="A51" s="173"/>
      <c r="B51" s="174" t="s">
        <v>357</v>
      </c>
      <c r="C51" s="175" t="s">
        <v>358</v>
      </c>
      <c r="D51" s="176">
        <v>0</v>
      </c>
      <c r="E51" s="176">
        <v>0</v>
      </c>
      <c r="F51" s="177">
        <v>0</v>
      </c>
    </row>
    <row r="52" spans="1:6" ht="24" customHeight="1" x14ac:dyDescent="0.25">
      <c r="A52" s="173"/>
      <c r="B52" s="174" t="s">
        <v>359</v>
      </c>
      <c r="C52" s="175" t="s">
        <v>360</v>
      </c>
      <c r="D52" s="176">
        <v>0</v>
      </c>
      <c r="E52" s="176">
        <v>0</v>
      </c>
      <c r="F52" s="177">
        <v>0</v>
      </c>
    </row>
    <row r="53" spans="1:6" ht="24" customHeight="1" x14ac:dyDescent="0.25">
      <c r="A53" s="173"/>
      <c r="B53" s="174" t="s">
        <v>361</v>
      </c>
      <c r="C53" s="175" t="s">
        <v>362</v>
      </c>
      <c r="D53" s="176">
        <v>0</v>
      </c>
      <c r="E53" s="176">
        <v>0</v>
      </c>
      <c r="F53" s="177">
        <v>0</v>
      </c>
    </row>
    <row r="54" spans="1:6" ht="24" customHeight="1" x14ac:dyDescent="0.25">
      <c r="A54" s="168" t="s">
        <v>363</v>
      </c>
      <c r="B54" s="169" t="s">
        <v>364</v>
      </c>
      <c r="C54" s="170" t="s">
        <v>365</v>
      </c>
      <c r="D54" s="171">
        <v>4160324</v>
      </c>
      <c r="E54" s="171">
        <v>12253711</v>
      </c>
      <c r="F54" s="172">
        <v>23465560</v>
      </c>
    </row>
    <row r="55" spans="1:6" ht="24" customHeight="1" x14ac:dyDescent="0.25">
      <c r="A55" s="173"/>
      <c r="B55" s="174" t="s">
        <v>366</v>
      </c>
      <c r="C55" s="175" t="s">
        <v>367</v>
      </c>
      <c r="D55" s="176">
        <v>4160324</v>
      </c>
      <c r="E55" s="176">
        <v>12253711</v>
      </c>
      <c r="F55" s="177">
        <v>23465560</v>
      </c>
    </row>
    <row r="56" spans="1:6" ht="24" customHeight="1" x14ac:dyDescent="0.25">
      <c r="A56" s="173"/>
      <c r="B56" s="174" t="s">
        <v>368</v>
      </c>
      <c r="C56" s="175" t="s">
        <v>369</v>
      </c>
      <c r="D56" s="176">
        <v>0</v>
      </c>
      <c r="E56" s="176">
        <v>0</v>
      </c>
      <c r="F56" s="177">
        <v>0</v>
      </c>
    </row>
    <row r="57" spans="1:6" ht="24" customHeight="1" x14ac:dyDescent="0.25">
      <c r="A57" s="168" t="s">
        <v>370</v>
      </c>
      <c r="B57" s="169" t="s">
        <v>371</v>
      </c>
      <c r="C57" s="170" t="s">
        <v>372</v>
      </c>
      <c r="D57" s="171">
        <v>19824732</v>
      </c>
      <c r="E57" s="171">
        <v>1083185</v>
      </c>
      <c r="F57" s="172">
        <v>71262247</v>
      </c>
    </row>
    <row r="58" spans="1:6" ht="24" customHeight="1" x14ac:dyDescent="0.25">
      <c r="A58" s="173"/>
      <c r="B58" s="174" t="s">
        <v>373</v>
      </c>
      <c r="C58" s="175" t="s">
        <v>374</v>
      </c>
      <c r="D58" s="176">
        <v>0</v>
      </c>
      <c r="E58" s="176">
        <v>0</v>
      </c>
      <c r="F58" s="177">
        <v>50000000</v>
      </c>
    </row>
    <row r="59" spans="1:6" ht="24" customHeight="1" x14ac:dyDescent="0.25">
      <c r="A59" s="173"/>
      <c r="B59" s="174" t="s">
        <v>375</v>
      </c>
      <c r="C59" s="175" t="s">
        <v>376</v>
      </c>
      <c r="D59" s="176">
        <v>17500000</v>
      </c>
      <c r="E59" s="176">
        <v>0</v>
      </c>
      <c r="F59" s="177">
        <v>17500000</v>
      </c>
    </row>
    <row r="60" spans="1:6" ht="24" customHeight="1" x14ac:dyDescent="0.25">
      <c r="A60" s="173"/>
      <c r="B60" s="174" t="s">
        <v>377</v>
      </c>
      <c r="C60" s="175" t="s">
        <v>378</v>
      </c>
      <c r="D60" s="176">
        <v>590550</v>
      </c>
      <c r="E60" s="176">
        <v>807085</v>
      </c>
      <c r="F60" s="177">
        <v>1751965</v>
      </c>
    </row>
    <row r="61" spans="1:6" ht="24" customHeight="1" x14ac:dyDescent="0.25">
      <c r="A61" s="173"/>
      <c r="B61" s="174" t="s">
        <v>379</v>
      </c>
      <c r="C61" s="175" t="s">
        <v>380</v>
      </c>
      <c r="D61" s="176">
        <v>1734182</v>
      </c>
      <c r="E61" s="176">
        <v>276100</v>
      </c>
      <c r="F61" s="177">
        <v>2010282</v>
      </c>
    </row>
    <row r="62" spans="1:6" ht="24" customHeight="1" x14ac:dyDescent="0.25">
      <c r="A62" s="173"/>
      <c r="B62" s="174" t="s">
        <v>381</v>
      </c>
      <c r="C62" s="175" t="s">
        <v>382</v>
      </c>
      <c r="D62" s="176">
        <v>0</v>
      </c>
      <c r="E62" s="176">
        <v>0</v>
      </c>
      <c r="F62" s="177">
        <v>0</v>
      </c>
    </row>
    <row r="63" spans="1:6" ht="24" customHeight="1" x14ac:dyDescent="0.25">
      <c r="A63" s="173"/>
      <c r="B63" s="174" t="s">
        <v>383</v>
      </c>
      <c r="C63" s="175" t="s">
        <v>384</v>
      </c>
      <c r="D63" s="176">
        <v>0</v>
      </c>
      <c r="E63" s="176">
        <v>0</v>
      </c>
      <c r="F63" s="177">
        <v>0</v>
      </c>
    </row>
    <row r="64" spans="1:6" ht="24" customHeight="1" x14ac:dyDescent="0.25">
      <c r="A64" s="173"/>
      <c r="B64" s="174" t="s">
        <v>385</v>
      </c>
      <c r="C64" s="175" t="s">
        <v>386</v>
      </c>
      <c r="D64" s="176">
        <v>0</v>
      </c>
      <c r="E64" s="176">
        <v>0</v>
      </c>
      <c r="F64" s="177">
        <v>0</v>
      </c>
    </row>
    <row r="65" spans="1:6" ht="24" customHeight="1" x14ac:dyDescent="0.25">
      <c r="A65" s="173"/>
      <c r="B65" s="174" t="s">
        <v>387</v>
      </c>
      <c r="C65" s="175" t="s">
        <v>388</v>
      </c>
      <c r="D65" s="176">
        <v>0</v>
      </c>
      <c r="E65" s="176">
        <v>0</v>
      </c>
      <c r="F65" s="177">
        <v>0</v>
      </c>
    </row>
    <row r="66" spans="1:6" ht="24" customHeight="1" x14ac:dyDescent="0.25">
      <c r="A66" s="163" t="s">
        <v>81</v>
      </c>
      <c r="B66" s="164" t="s">
        <v>389</v>
      </c>
      <c r="C66" s="165" t="s">
        <v>390</v>
      </c>
      <c r="D66" s="166">
        <v>-586600976</v>
      </c>
      <c r="E66" s="166">
        <v>214825528</v>
      </c>
      <c r="F66" s="167">
        <v>-316583155</v>
      </c>
    </row>
    <row r="67" spans="1:6" ht="24" customHeight="1" x14ac:dyDescent="0.25">
      <c r="A67" s="163" t="s">
        <v>51</v>
      </c>
      <c r="B67" s="164" t="s">
        <v>391</v>
      </c>
      <c r="C67" s="165" t="s">
        <v>392</v>
      </c>
      <c r="D67" s="166">
        <v>-88219128500</v>
      </c>
      <c r="E67" s="166">
        <v>8578072050</v>
      </c>
      <c r="F67" s="167">
        <v>-70590134850</v>
      </c>
    </row>
    <row r="68" spans="1:6" ht="24" customHeight="1" x14ac:dyDescent="0.25">
      <c r="A68" s="168" t="s">
        <v>94</v>
      </c>
      <c r="B68" s="169" t="s">
        <v>393</v>
      </c>
      <c r="C68" s="170" t="s">
        <v>394</v>
      </c>
      <c r="D68" s="171">
        <v>-34857881</v>
      </c>
      <c r="E68" s="171">
        <v>36562320</v>
      </c>
      <c r="F68" s="172">
        <v>329150439</v>
      </c>
    </row>
    <row r="69" spans="1:6" ht="24" customHeight="1" x14ac:dyDescent="0.25">
      <c r="A69" s="173"/>
      <c r="B69" s="174" t="s">
        <v>395</v>
      </c>
      <c r="C69" s="175" t="s">
        <v>396</v>
      </c>
      <c r="D69" s="176">
        <v>-34857881</v>
      </c>
      <c r="E69" s="176">
        <v>36562320</v>
      </c>
      <c r="F69" s="177">
        <v>329150439</v>
      </c>
    </row>
    <row r="70" spans="1:6" ht="24" customHeight="1" x14ac:dyDescent="0.25">
      <c r="A70" s="173"/>
      <c r="B70" s="174" t="s">
        <v>397</v>
      </c>
      <c r="C70" s="175" t="s">
        <v>398</v>
      </c>
      <c r="D70" s="176">
        <v>0</v>
      </c>
      <c r="E70" s="176">
        <v>0</v>
      </c>
      <c r="F70" s="177">
        <v>0</v>
      </c>
    </row>
    <row r="71" spans="1:6" ht="37.5" customHeight="1" x14ac:dyDescent="0.25">
      <c r="A71" s="173"/>
      <c r="B71" s="174" t="s">
        <v>399</v>
      </c>
      <c r="C71" s="175" t="s">
        <v>400</v>
      </c>
      <c r="D71" s="176">
        <v>0</v>
      </c>
      <c r="E71" s="176">
        <v>0</v>
      </c>
      <c r="F71" s="177">
        <v>0</v>
      </c>
    </row>
    <row r="72" spans="1:6" ht="24" customHeight="1" x14ac:dyDescent="0.25">
      <c r="A72" s="168" t="s">
        <v>97</v>
      </c>
      <c r="B72" s="169" t="s">
        <v>401</v>
      </c>
      <c r="C72" s="170" t="s">
        <v>402</v>
      </c>
      <c r="D72" s="171">
        <v>-88184270619</v>
      </c>
      <c r="E72" s="171">
        <v>8541509730</v>
      </c>
      <c r="F72" s="172">
        <v>-70919285289</v>
      </c>
    </row>
    <row r="73" spans="1:6" ht="44.25" customHeight="1" x14ac:dyDescent="0.25">
      <c r="A73" s="163" t="s">
        <v>403</v>
      </c>
      <c r="B73" s="164" t="s">
        <v>404</v>
      </c>
      <c r="C73" s="165" t="s">
        <v>405</v>
      </c>
      <c r="D73" s="166">
        <v>-88805729476</v>
      </c>
      <c r="E73" s="166">
        <v>8792897578</v>
      </c>
      <c r="F73" s="167">
        <v>-70906718005</v>
      </c>
    </row>
    <row r="74" spans="1:6" ht="24" customHeight="1" x14ac:dyDescent="0.25">
      <c r="A74" s="163" t="s">
        <v>406</v>
      </c>
      <c r="B74" s="164" t="s">
        <v>407</v>
      </c>
      <c r="C74" s="165" t="s">
        <v>408</v>
      </c>
      <c r="D74" s="166">
        <v>696131174678</v>
      </c>
      <c r="E74" s="166">
        <v>111106113893</v>
      </c>
      <c r="F74" s="167">
        <v>0</v>
      </c>
    </row>
    <row r="75" spans="1:6" ht="24" customHeight="1" x14ac:dyDescent="0.25">
      <c r="A75" s="163" t="s">
        <v>409</v>
      </c>
      <c r="B75" s="164" t="s">
        <v>410</v>
      </c>
      <c r="C75" s="165" t="s">
        <v>411</v>
      </c>
      <c r="D75" s="166">
        <v>666356624500</v>
      </c>
      <c r="E75" s="166">
        <v>585025060785</v>
      </c>
      <c r="F75" s="167">
        <v>1362487799178</v>
      </c>
    </row>
    <row r="76" spans="1:6" ht="24" customHeight="1" x14ac:dyDescent="0.25">
      <c r="A76" s="168"/>
      <c r="B76" s="169" t="s">
        <v>412</v>
      </c>
      <c r="C76" s="170" t="s">
        <v>413</v>
      </c>
      <c r="D76" s="171">
        <v>0</v>
      </c>
      <c r="E76" s="171">
        <v>0</v>
      </c>
      <c r="F76" s="172">
        <v>0</v>
      </c>
    </row>
    <row r="77" spans="1:6" ht="45.75" customHeight="1" x14ac:dyDescent="0.25">
      <c r="A77" s="168" t="s">
        <v>94</v>
      </c>
      <c r="B77" s="169" t="s">
        <v>414</v>
      </c>
      <c r="C77" s="170" t="s">
        <v>415</v>
      </c>
      <c r="D77" s="171">
        <v>-88805729476</v>
      </c>
      <c r="E77" s="171">
        <v>8792897578</v>
      </c>
      <c r="F77" s="172">
        <v>-70906718005</v>
      </c>
    </row>
    <row r="78" spans="1:6" ht="37.5" customHeight="1" x14ac:dyDescent="0.25">
      <c r="A78" s="168" t="s">
        <v>97</v>
      </c>
      <c r="B78" s="169" t="s">
        <v>416</v>
      </c>
      <c r="C78" s="170" t="s">
        <v>417</v>
      </c>
      <c r="D78" s="171">
        <v>755162353976</v>
      </c>
      <c r="E78" s="171">
        <v>576232163207</v>
      </c>
      <c r="F78" s="172">
        <v>1433394517183</v>
      </c>
    </row>
    <row r="79" spans="1:6" ht="45" customHeight="1" x14ac:dyDescent="0.25">
      <c r="A79" s="173"/>
      <c r="B79" s="174" t="s">
        <v>418</v>
      </c>
      <c r="C79" s="175" t="s">
        <v>419</v>
      </c>
      <c r="D79" s="176">
        <v>0</v>
      </c>
      <c r="E79" s="176">
        <v>0</v>
      </c>
      <c r="F79" s="177">
        <v>0</v>
      </c>
    </row>
    <row r="80" spans="1:6" ht="45.75" customHeight="1" x14ac:dyDescent="0.25">
      <c r="A80" s="173"/>
      <c r="B80" s="174" t="s">
        <v>418</v>
      </c>
      <c r="C80" s="175" t="s">
        <v>420</v>
      </c>
      <c r="D80" s="176">
        <v>755162353976</v>
      </c>
      <c r="E80" s="176">
        <v>576232163207</v>
      </c>
      <c r="F80" s="177">
        <v>1433394517183</v>
      </c>
    </row>
    <row r="81" spans="1:6" ht="24" customHeight="1" x14ac:dyDescent="0.25">
      <c r="A81" s="173"/>
      <c r="B81" s="174" t="s">
        <v>421</v>
      </c>
      <c r="C81" s="175" t="s">
        <v>422</v>
      </c>
      <c r="D81" s="176">
        <v>0</v>
      </c>
      <c r="E81" s="176">
        <v>0</v>
      </c>
      <c r="F81" s="177">
        <v>0</v>
      </c>
    </row>
    <row r="82" spans="1:6" ht="24" customHeight="1" x14ac:dyDescent="0.25">
      <c r="A82" s="163" t="s">
        <v>423</v>
      </c>
      <c r="B82" s="164" t="s">
        <v>424</v>
      </c>
      <c r="C82" s="165" t="s">
        <v>425</v>
      </c>
      <c r="D82" s="166">
        <v>1362487799178</v>
      </c>
      <c r="E82" s="166">
        <v>696131174678</v>
      </c>
      <c r="F82" s="167">
        <v>1362487799178</v>
      </c>
    </row>
    <row r="83" spans="1:6" ht="36.75" customHeight="1" x14ac:dyDescent="0.25">
      <c r="A83" s="163" t="s">
        <v>426</v>
      </c>
      <c r="B83" s="164" t="s">
        <v>427</v>
      </c>
      <c r="C83" s="165" t="s">
        <v>428</v>
      </c>
      <c r="D83" s="166">
        <v>0</v>
      </c>
      <c r="E83" s="166">
        <v>0</v>
      </c>
      <c r="F83" s="167">
        <v>0</v>
      </c>
    </row>
    <row r="84" spans="1:6" ht="28.5" customHeight="1" x14ac:dyDescent="0.25">
      <c r="A84" s="178"/>
      <c r="B84" s="179" t="s">
        <v>429</v>
      </c>
      <c r="C84" s="180" t="s">
        <v>430</v>
      </c>
      <c r="D84" s="181">
        <v>0</v>
      </c>
      <c r="E84" s="181">
        <v>0</v>
      </c>
      <c r="F84" s="182">
        <v>0</v>
      </c>
    </row>
    <row r="85" spans="1:6" ht="8.25" customHeight="1" x14ac:dyDescent="0.15">
      <c r="A85" s="270"/>
      <c r="B85" s="270"/>
      <c r="C85" s="270"/>
      <c r="D85" s="286"/>
      <c r="E85" s="286"/>
      <c r="F85" s="286"/>
    </row>
    <row r="86" spans="1:6" ht="12.75" customHeight="1" x14ac:dyDescent="0.25">
      <c r="A86" s="279" t="s">
        <v>17</v>
      </c>
      <c r="B86" s="279"/>
      <c r="C86" s="279"/>
      <c r="D86" s="268" t="s">
        <v>90</v>
      </c>
      <c r="E86" s="268"/>
      <c r="F86" s="268"/>
    </row>
    <row r="87" spans="1:6" ht="12.75" customHeight="1" x14ac:dyDescent="0.25">
      <c r="A87" s="271" t="s">
        <v>19</v>
      </c>
      <c r="B87" s="271"/>
      <c r="C87" s="271"/>
      <c r="D87" s="271" t="s">
        <v>20</v>
      </c>
      <c r="E87" s="271"/>
      <c r="F87" s="271"/>
    </row>
    <row r="88" spans="1:6" ht="33" customHeight="1" x14ac:dyDescent="0.25">
      <c r="A88" s="270"/>
      <c r="B88" s="270"/>
      <c r="C88" s="270"/>
      <c r="D88" s="270"/>
      <c r="E88" s="270"/>
      <c r="F88" s="270"/>
    </row>
    <row r="89" spans="1:6" ht="21" customHeight="1" x14ac:dyDescent="0.25">
      <c r="A89" s="270"/>
      <c r="B89" s="270"/>
      <c r="C89" s="270"/>
      <c r="D89" s="270"/>
      <c r="E89" s="270"/>
      <c r="F89" s="270"/>
    </row>
    <row r="90" spans="1:6" ht="15.75" customHeight="1" x14ac:dyDescent="0.25">
      <c r="A90" s="270"/>
      <c r="B90" s="270"/>
      <c r="C90" s="270"/>
      <c r="D90" s="270"/>
      <c r="E90" s="270"/>
      <c r="F90" s="270"/>
    </row>
    <row r="91" spans="1:6" ht="15.75" customHeight="1" x14ac:dyDescent="0.25">
      <c r="A91" s="270"/>
      <c r="B91" s="270"/>
      <c r="C91" s="270"/>
      <c r="D91" s="270"/>
      <c r="E91" s="270"/>
      <c r="F91" s="270"/>
    </row>
    <row r="92" spans="1:6" ht="12.75" customHeight="1" x14ac:dyDescent="0.25">
      <c r="A92" s="279" t="s">
        <v>284</v>
      </c>
      <c r="B92" s="279"/>
      <c r="C92" s="279"/>
      <c r="D92" s="279" t="s">
        <v>285</v>
      </c>
      <c r="E92" s="279"/>
      <c r="F92" s="279"/>
    </row>
    <row r="93" spans="1:6" s="188" customFormat="1" ht="12.75" customHeight="1" x14ac:dyDescent="0.25">
      <c r="A93" s="268" t="s">
        <v>1054</v>
      </c>
      <c r="B93" s="268"/>
      <c r="C93" s="268"/>
      <c r="D93" s="268" t="s">
        <v>1067</v>
      </c>
      <c r="E93" s="268"/>
      <c r="F93" s="268"/>
    </row>
    <row r="94" spans="1:6" s="188" customFormat="1" ht="12.75" customHeight="1" x14ac:dyDescent="0.25">
      <c r="A94" s="268" t="s">
        <v>1068</v>
      </c>
      <c r="B94" s="268"/>
      <c r="C94" s="268"/>
      <c r="D94" s="268" t="s">
        <v>1069</v>
      </c>
      <c r="E94" s="268"/>
      <c r="F94" s="268"/>
    </row>
  </sheetData>
  <mergeCells count="37">
    <mergeCell ref="C6:F6"/>
    <mergeCell ref="A1:B1"/>
    <mergeCell ref="C1:F1"/>
    <mergeCell ref="A2:F2"/>
    <mergeCell ref="A3:F3"/>
    <mergeCell ref="A4:F4"/>
    <mergeCell ref="A85:C85"/>
    <mergeCell ref="D85:F85"/>
    <mergeCell ref="C7:F7"/>
    <mergeCell ref="C8:F8"/>
    <mergeCell ref="C9:F9"/>
    <mergeCell ref="C10:F10"/>
    <mergeCell ref="C11:F11"/>
    <mergeCell ref="C12:F12"/>
    <mergeCell ref="E14:F14"/>
    <mergeCell ref="A15:F15"/>
    <mergeCell ref="A16:F16"/>
    <mergeCell ref="A17:F17"/>
    <mergeCell ref="C13:F13"/>
    <mergeCell ref="A86:C86"/>
    <mergeCell ref="D86:F86"/>
    <mergeCell ref="A87:C87"/>
    <mergeCell ref="D87:F87"/>
    <mergeCell ref="A88:C88"/>
    <mergeCell ref="D88:F88"/>
    <mergeCell ref="A89:C89"/>
    <mergeCell ref="D89:F89"/>
    <mergeCell ref="A90:C90"/>
    <mergeCell ref="D90:F90"/>
    <mergeCell ref="A91:C91"/>
    <mergeCell ref="D91:F91"/>
    <mergeCell ref="A92:C92"/>
    <mergeCell ref="D92:F92"/>
    <mergeCell ref="A93:C93"/>
    <mergeCell ref="D93:F93"/>
    <mergeCell ref="A94:C94"/>
    <mergeCell ref="D94:F94"/>
  </mergeCells>
  <printOptions horizontalCentered="1"/>
  <pageMargins left="0.51" right="0.4" top="0.36" bottom="0.35" header="0.3" footer="0.3"/>
  <pageSetup paperSize="9" scale="80"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0"/>
  <sheetViews>
    <sheetView showGridLines="0" showZeros="0" showOutlineSymbols="0" view="pageBreakPreview" topLeftCell="A58" zoomScaleNormal="100" zoomScaleSheetLayoutView="100" workbookViewId="0">
      <selection activeCell="C75" sqref="C75"/>
    </sheetView>
  </sheetViews>
  <sheetFormatPr defaultRowHeight="15" x14ac:dyDescent="0.25"/>
  <cols>
    <col min="1" max="1" width="6.28515625" style="85" customWidth="1"/>
    <col min="2" max="2" width="34" style="85" customWidth="1"/>
    <col min="3" max="3" width="11.42578125" style="85" customWidth="1"/>
    <col min="4" max="4" width="14.28515625" style="85" customWidth="1"/>
    <col min="5" max="5" width="15.7109375" style="85" customWidth="1"/>
    <col min="6" max="6" width="19.42578125" style="85" customWidth="1"/>
    <col min="7" max="7" width="15.140625" style="85" customWidth="1"/>
    <col min="8" max="256" width="9.140625" style="85"/>
    <col min="257" max="257" width="6.28515625" style="85" customWidth="1"/>
    <col min="258" max="258" width="32.5703125" style="85" customWidth="1"/>
    <col min="259" max="259" width="11.42578125" style="85" customWidth="1"/>
    <col min="260" max="261" width="14.28515625" style="85" customWidth="1"/>
    <col min="262" max="262" width="17.140625" style="85" customWidth="1"/>
    <col min="263" max="263" width="11.42578125" style="85" customWidth="1"/>
    <col min="264" max="512" width="9.140625" style="85"/>
    <col min="513" max="513" width="6.28515625" style="85" customWidth="1"/>
    <col min="514" max="514" width="32.5703125" style="85" customWidth="1"/>
    <col min="515" max="515" width="11.42578125" style="85" customWidth="1"/>
    <col min="516" max="517" width="14.28515625" style="85" customWidth="1"/>
    <col min="518" max="518" width="17.140625" style="85" customWidth="1"/>
    <col min="519" max="519" width="11.42578125" style="85" customWidth="1"/>
    <col min="520" max="768" width="9.140625" style="85"/>
    <col min="769" max="769" width="6.28515625" style="85" customWidth="1"/>
    <col min="770" max="770" width="32.5703125" style="85" customWidth="1"/>
    <col min="771" max="771" width="11.42578125" style="85" customWidth="1"/>
    <col min="772" max="773" width="14.28515625" style="85" customWidth="1"/>
    <col min="774" max="774" width="17.140625" style="85" customWidth="1"/>
    <col min="775" max="775" width="11.42578125" style="85" customWidth="1"/>
    <col min="776" max="1024" width="9.140625" style="85"/>
    <col min="1025" max="1025" width="6.28515625" style="85" customWidth="1"/>
    <col min="1026" max="1026" width="32.5703125" style="85" customWidth="1"/>
    <col min="1027" max="1027" width="11.42578125" style="85" customWidth="1"/>
    <col min="1028" max="1029" width="14.28515625" style="85" customWidth="1"/>
    <col min="1030" max="1030" width="17.140625" style="85" customWidth="1"/>
    <col min="1031" max="1031" width="11.42578125" style="85" customWidth="1"/>
    <col min="1032" max="1280" width="9.140625" style="85"/>
    <col min="1281" max="1281" width="6.28515625" style="85" customWidth="1"/>
    <col min="1282" max="1282" width="32.5703125" style="85" customWidth="1"/>
    <col min="1283" max="1283" width="11.42578125" style="85" customWidth="1"/>
    <col min="1284" max="1285" width="14.28515625" style="85" customWidth="1"/>
    <col min="1286" max="1286" width="17.140625" style="85" customWidth="1"/>
    <col min="1287" max="1287" width="11.42578125" style="85" customWidth="1"/>
    <col min="1288" max="1536" width="9.140625" style="85"/>
    <col min="1537" max="1537" width="6.28515625" style="85" customWidth="1"/>
    <col min="1538" max="1538" width="32.5703125" style="85" customWidth="1"/>
    <col min="1539" max="1539" width="11.42578125" style="85" customWidth="1"/>
    <col min="1540" max="1541" width="14.28515625" style="85" customWidth="1"/>
    <col min="1542" max="1542" width="17.140625" style="85" customWidth="1"/>
    <col min="1543" max="1543" width="11.42578125" style="85" customWidth="1"/>
    <col min="1544" max="1792" width="9.140625" style="85"/>
    <col min="1793" max="1793" width="6.28515625" style="85" customWidth="1"/>
    <col min="1794" max="1794" width="32.5703125" style="85" customWidth="1"/>
    <col min="1795" max="1795" width="11.42578125" style="85" customWidth="1"/>
    <col min="1796" max="1797" width="14.28515625" style="85" customWidth="1"/>
    <col min="1798" max="1798" width="17.140625" style="85" customWidth="1"/>
    <col min="1799" max="1799" width="11.42578125" style="85" customWidth="1"/>
    <col min="1800" max="2048" width="9.140625" style="85"/>
    <col min="2049" max="2049" width="6.28515625" style="85" customWidth="1"/>
    <col min="2050" max="2050" width="32.5703125" style="85" customWidth="1"/>
    <col min="2051" max="2051" width="11.42578125" style="85" customWidth="1"/>
    <col min="2052" max="2053" width="14.28515625" style="85" customWidth="1"/>
    <col min="2054" max="2054" width="17.140625" style="85" customWidth="1"/>
    <col min="2055" max="2055" width="11.42578125" style="85" customWidth="1"/>
    <col min="2056" max="2304" width="9.140625" style="85"/>
    <col min="2305" max="2305" width="6.28515625" style="85" customWidth="1"/>
    <col min="2306" max="2306" width="32.5703125" style="85" customWidth="1"/>
    <col min="2307" max="2307" width="11.42578125" style="85" customWidth="1"/>
    <col min="2308" max="2309" width="14.28515625" style="85" customWidth="1"/>
    <col min="2310" max="2310" width="17.140625" style="85" customWidth="1"/>
    <col min="2311" max="2311" width="11.42578125" style="85" customWidth="1"/>
    <col min="2312" max="2560" width="9.140625" style="85"/>
    <col min="2561" max="2561" width="6.28515625" style="85" customWidth="1"/>
    <col min="2562" max="2562" width="32.5703125" style="85" customWidth="1"/>
    <col min="2563" max="2563" width="11.42578125" style="85" customWidth="1"/>
    <col min="2564" max="2565" width="14.28515625" style="85" customWidth="1"/>
    <col min="2566" max="2566" width="17.140625" style="85" customWidth="1"/>
    <col min="2567" max="2567" width="11.42578125" style="85" customWidth="1"/>
    <col min="2568" max="2816" width="9.140625" style="85"/>
    <col min="2817" max="2817" width="6.28515625" style="85" customWidth="1"/>
    <col min="2818" max="2818" width="32.5703125" style="85" customWidth="1"/>
    <col min="2819" max="2819" width="11.42578125" style="85" customWidth="1"/>
    <col min="2820" max="2821" width="14.28515625" style="85" customWidth="1"/>
    <col min="2822" max="2822" width="17.140625" style="85" customWidth="1"/>
    <col min="2823" max="2823" width="11.42578125" style="85" customWidth="1"/>
    <col min="2824" max="3072" width="9.140625" style="85"/>
    <col min="3073" max="3073" width="6.28515625" style="85" customWidth="1"/>
    <col min="3074" max="3074" width="32.5703125" style="85" customWidth="1"/>
    <col min="3075" max="3075" width="11.42578125" style="85" customWidth="1"/>
    <col min="3076" max="3077" width="14.28515625" style="85" customWidth="1"/>
    <col min="3078" max="3078" width="17.140625" style="85" customWidth="1"/>
    <col min="3079" max="3079" width="11.42578125" style="85" customWidth="1"/>
    <col min="3080" max="3328" width="9.140625" style="85"/>
    <col min="3329" max="3329" width="6.28515625" style="85" customWidth="1"/>
    <col min="3330" max="3330" width="32.5703125" style="85" customWidth="1"/>
    <col min="3331" max="3331" width="11.42578125" style="85" customWidth="1"/>
    <col min="3332" max="3333" width="14.28515625" style="85" customWidth="1"/>
    <col min="3334" max="3334" width="17.140625" style="85" customWidth="1"/>
    <col min="3335" max="3335" width="11.42578125" style="85" customWidth="1"/>
    <col min="3336" max="3584" width="9.140625" style="85"/>
    <col min="3585" max="3585" width="6.28515625" style="85" customWidth="1"/>
    <col min="3586" max="3586" width="32.5703125" style="85" customWidth="1"/>
    <col min="3587" max="3587" width="11.42578125" style="85" customWidth="1"/>
    <col min="3588" max="3589" width="14.28515625" style="85" customWidth="1"/>
    <col min="3590" max="3590" width="17.140625" style="85" customWidth="1"/>
    <col min="3591" max="3591" width="11.42578125" style="85" customWidth="1"/>
    <col min="3592" max="3840" width="9.140625" style="85"/>
    <col min="3841" max="3841" width="6.28515625" style="85" customWidth="1"/>
    <col min="3842" max="3842" width="32.5703125" style="85" customWidth="1"/>
    <col min="3843" max="3843" width="11.42578125" style="85" customWidth="1"/>
    <col min="3844" max="3845" width="14.28515625" style="85" customWidth="1"/>
    <col min="3846" max="3846" width="17.140625" style="85" customWidth="1"/>
    <col min="3847" max="3847" width="11.42578125" style="85" customWidth="1"/>
    <col min="3848" max="4096" width="9.140625" style="85"/>
    <col min="4097" max="4097" width="6.28515625" style="85" customWidth="1"/>
    <col min="4098" max="4098" width="32.5703125" style="85" customWidth="1"/>
    <col min="4099" max="4099" width="11.42578125" style="85" customWidth="1"/>
    <col min="4100" max="4101" width="14.28515625" style="85" customWidth="1"/>
    <col min="4102" max="4102" width="17.140625" style="85" customWidth="1"/>
    <col min="4103" max="4103" width="11.42578125" style="85" customWidth="1"/>
    <col min="4104" max="4352" width="9.140625" style="85"/>
    <col min="4353" max="4353" width="6.28515625" style="85" customWidth="1"/>
    <col min="4354" max="4354" width="32.5703125" style="85" customWidth="1"/>
    <col min="4355" max="4355" width="11.42578125" style="85" customWidth="1"/>
    <col min="4356" max="4357" width="14.28515625" style="85" customWidth="1"/>
    <col min="4358" max="4358" width="17.140625" style="85" customWidth="1"/>
    <col min="4359" max="4359" width="11.42578125" style="85" customWidth="1"/>
    <col min="4360" max="4608" width="9.140625" style="85"/>
    <col min="4609" max="4609" width="6.28515625" style="85" customWidth="1"/>
    <col min="4610" max="4610" width="32.5703125" style="85" customWidth="1"/>
    <col min="4611" max="4611" width="11.42578125" style="85" customWidth="1"/>
    <col min="4612" max="4613" width="14.28515625" style="85" customWidth="1"/>
    <col min="4614" max="4614" width="17.140625" style="85" customWidth="1"/>
    <col min="4615" max="4615" width="11.42578125" style="85" customWidth="1"/>
    <col min="4616" max="4864" width="9.140625" style="85"/>
    <col min="4865" max="4865" width="6.28515625" style="85" customWidth="1"/>
    <col min="4866" max="4866" width="32.5703125" style="85" customWidth="1"/>
    <col min="4867" max="4867" width="11.42578125" style="85" customWidth="1"/>
    <col min="4868" max="4869" width="14.28515625" style="85" customWidth="1"/>
    <col min="4870" max="4870" width="17.140625" style="85" customWidth="1"/>
    <col min="4871" max="4871" width="11.42578125" style="85" customWidth="1"/>
    <col min="4872" max="5120" width="9.140625" style="85"/>
    <col min="5121" max="5121" width="6.28515625" style="85" customWidth="1"/>
    <col min="5122" max="5122" width="32.5703125" style="85" customWidth="1"/>
    <col min="5123" max="5123" width="11.42578125" style="85" customWidth="1"/>
    <col min="5124" max="5125" width="14.28515625" style="85" customWidth="1"/>
    <col min="5126" max="5126" width="17.140625" style="85" customWidth="1"/>
    <col min="5127" max="5127" width="11.42578125" style="85" customWidth="1"/>
    <col min="5128" max="5376" width="9.140625" style="85"/>
    <col min="5377" max="5377" width="6.28515625" style="85" customWidth="1"/>
    <col min="5378" max="5378" width="32.5703125" style="85" customWidth="1"/>
    <col min="5379" max="5379" width="11.42578125" style="85" customWidth="1"/>
    <col min="5380" max="5381" width="14.28515625" style="85" customWidth="1"/>
    <col min="5382" max="5382" width="17.140625" style="85" customWidth="1"/>
    <col min="5383" max="5383" width="11.42578125" style="85" customWidth="1"/>
    <col min="5384" max="5632" width="9.140625" style="85"/>
    <col min="5633" max="5633" width="6.28515625" style="85" customWidth="1"/>
    <col min="5634" max="5634" width="32.5703125" style="85" customWidth="1"/>
    <col min="5635" max="5635" width="11.42578125" style="85" customWidth="1"/>
    <col min="5636" max="5637" width="14.28515625" style="85" customWidth="1"/>
    <col min="5638" max="5638" width="17.140625" style="85" customWidth="1"/>
    <col min="5639" max="5639" width="11.42578125" style="85" customWidth="1"/>
    <col min="5640" max="5888" width="9.140625" style="85"/>
    <col min="5889" max="5889" width="6.28515625" style="85" customWidth="1"/>
    <col min="5890" max="5890" width="32.5703125" style="85" customWidth="1"/>
    <col min="5891" max="5891" width="11.42578125" style="85" customWidth="1"/>
    <col min="5892" max="5893" width="14.28515625" style="85" customWidth="1"/>
    <col min="5894" max="5894" width="17.140625" style="85" customWidth="1"/>
    <col min="5895" max="5895" width="11.42578125" style="85" customWidth="1"/>
    <col min="5896" max="6144" width="9.140625" style="85"/>
    <col min="6145" max="6145" width="6.28515625" style="85" customWidth="1"/>
    <col min="6146" max="6146" width="32.5703125" style="85" customWidth="1"/>
    <col min="6147" max="6147" width="11.42578125" style="85" customWidth="1"/>
    <col min="6148" max="6149" width="14.28515625" style="85" customWidth="1"/>
    <col min="6150" max="6150" width="17.140625" style="85" customWidth="1"/>
    <col min="6151" max="6151" width="11.42578125" style="85" customWidth="1"/>
    <col min="6152" max="6400" width="9.140625" style="85"/>
    <col min="6401" max="6401" width="6.28515625" style="85" customWidth="1"/>
    <col min="6402" max="6402" width="32.5703125" style="85" customWidth="1"/>
    <col min="6403" max="6403" width="11.42578125" style="85" customWidth="1"/>
    <col min="6404" max="6405" width="14.28515625" style="85" customWidth="1"/>
    <col min="6406" max="6406" width="17.140625" style="85" customWidth="1"/>
    <col min="6407" max="6407" width="11.42578125" style="85" customWidth="1"/>
    <col min="6408" max="6656" width="9.140625" style="85"/>
    <col min="6657" max="6657" width="6.28515625" style="85" customWidth="1"/>
    <col min="6658" max="6658" width="32.5703125" style="85" customWidth="1"/>
    <col min="6659" max="6659" width="11.42578125" style="85" customWidth="1"/>
    <col min="6660" max="6661" width="14.28515625" style="85" customWidth="1"/>
    <col min="6662" max="6662" width="17.140625" style="85" customWidth="1"/>
    <col min="6663" max="6663" width="11.42578125" style="85" customWidth="1"/>
    <col min="6664" max="6912" width="9.140625" style="85"/>
    <col min="6913" max="6913" width="6.28515625" style="85" customWidth="1"/>
    <col min="6914" max="6914" width="32.5703125" style="85" customWidth="1"/>
    <col min="6915" max="6915" width="11.42578125" style="85" customWidth="1"/>
    <col min="6916" max="6917" width="14.28515625" style="85" customWidth="1"/>
    <col min="6918" max="6918" width="17.140625" style="85" customWidth="1"/>
    <col min="6919" max="6919" width="11.42578125" style="85" customWidth="1"/>
    <col min="6920" max="7168" width="9.140625" style="85"/>
    <col min="7169" max="7169" width="6.28515625" style="85" customWidth="1"/>
    <col min="7170" max="7170" width="32.5703125" style="85" customWidth="1"/>
    <col min="7171" max="7171" width="11.42578125" style="85" customWidth="1"/>
    <col min="7172" max="7173" width="14.28515625" style="85" customWidth="1"/>
    <col min="7174" max="7174" width="17.140625" style="85" customWidth="1"/>
    <col min="7175" max="7175" width="11.42578125" style="85" customWidth="1"/>
    <col min="7176" max="7424" width="9.140625" style="85"/>
    <col min="7425" max="7425" width="6.28515625" style="85" customWidth="1"/>
    <col min="7426" max="7426" width="32.5703125" style="85" customWidth="1"/>
    <col min="7427" max="7427" width="11.42578125" style="85" customWidth="1"/>
    <col min="7428" max="7429" width="14.28515625" style="85" customWidth="1"/>
    <col min="7430" max="7430" width="17.140625" style="85" customWidth="1"/>
    <col min="7431" max="7431" width="11.42578125" style="85" customWidth="1"/>
    <col min="7432" max="7680" width="9.140625" style="85"/>
    <col min="7681" max="7681" width="6.28515625" style="85" customWidth="1"/>
    <col min="7682" max="7682" width="32.5703125" style="85" customWidth="1"/>
    <col min="7683" max="7683" width="11.42578125" style="85" customWidth="1"/>
    <col min="7684" max="7685" width="14.28515625" style="85" customWidth="1"/>
    <col min="7686" max="7686" width="17.140625" style="85" customWidth="1"/>
    <col min="7687" max="7687" width="11.42578125" style="85" customWidth="1"/>
    <col min="7688" max="7936" width="9.140625" style="85"/>
    <col min="7937" max="7937" width="6.28515625" style="85" customWidth="1"/>
    <col min="7938" max="7938" width="32.5703125" style="85" customWidth="1"/>
    <col min="7939" max="7939" width="11.42578125" style="85" customWidth="1"/>
    <col min="7940" max="7941" width="14.28515625" style="85" customWidth="1"/>
    <col min="7942" max="7942" width="17.140625" style="85" customWidth="1"/>
    <col min="7943" max="7943" width="11.42578125" style="85" customWidth="1"/>
    <col min="7944" max="8192" width="9.140625" style="85"/>
    <col min="8193" max="8193" width="6.28515625" style="85" customWidth="1"/>
    <col min="8194" max="8194" width="32.5703125" style="85" customWidth="1"/>
    <col min="8195" max="8195" width="11.42578125" style="85" customWidth="1"/>
    <col min="8196" max="8197" width="14.28515625" style="85" customWidth="1"/>
    <col min="8198" max="8198" width="17.140625" style="85" customWidth="1"/>
    <col min="8199" max="8199" width="11.42578125" style="85" customWidth="1"/>
    <col min="8200" max="8448" width="9.140625" style="85"/>
    <col min="8449" max="8449" width="6.28515625" style="85" customWidth="1"/>
    <col min="8450" max="8450" width="32.5703125" style="85" customWidth="1"/>
    <col min="8451" max="8451" width="11.42578125" style="85" customWidth="1"/>
    <col min="8452" max="8453" width="14.28515625" style="85" customWidth="1"/>
    <col min="8454" max="8454" width="17.140625" style="85" customWidth="1"/>
    <col min="8455" max="8455" width="11.42578125" style="85" customWidth="1"/>
    <col min="8456" max="8704" width="9.140625" style="85"/>
    <col min="8705" max="8705" width="6.28515625" style="85" customWidth="1"/>
    <col min="8706" max="8706" width="32.5703125" style="85" customWidth="1"/>
    <col min="8707" max="8707" width="11.42578125" style="85" customWidth="1"/>
    <col min="8708" max="8709" width="14.28515625" style="85" customWidth="1"/>
    <col min="8710" max="8710" width="17.140625" style="85" customWidth="1"/>
    <col min="8711" max="8711" width="11.42578125" style="85" customWidth="1"/>
    <col min="8712" max="8960" width="9.140625" style="85"/>
    <col min="8961" max="8961" width="6.28515625" style="85" customWidth="1"/>
    <col min="8962" max="8962" width="32.5703125" style="85" customWidth="1"/>
    <col min="8963" max="8963" width="11.42578125" style="85" customWidth="1"/>
    <col min="8964" max="8965" width="14.28515625" style="85" customWidth="1"/>
    <col min="8966" max="8966" width="17.140625" style="85" customWidth="1"/>
    <col min="8967" max="8967" width="11.42578125" style="85" customWidth="1"/>
    <col min="8968" max="9216" width="9.140625" style="85"/>
    <col min="9217" max="9217" width="6.28515625" style="85" customWidth="1"/>
    <col min="9218" max="9218" width="32.5703125" style="85" customWidth="1"/>
    <col min="9219" max="9219" width="11.42578125" style="85" customWidth="1"/>
    <col min="9220" max="9221" width="14.28515625" style="85" customWidth="1"/>
    <col min="9222" max="9222" width="17.140625" style="85" customWidth="1"/>
    <col min="9223" max="9223" width="11.42578125" style="85" customWidth="1"/>
    <col min="9224" max="9472" width="9.140625" style="85"/>
    <col min="9473" max="9473" width="6.28515625" style="85" customWidth="1"/>
    <col min="9474" max="9474" width="32.5703125" style="85" customWidth="1"/>
    <col min="9475" max="9475" width="11.42578125" style="85" customWidth="1"/>
    <col min="9476" max="9477" width="14.28515625" style="85" customWidth="1"/>
    <col min="9478" max="9478" width="17.140625" style="85" customWidth="1"/>
    <col min="9479" max="9479" width="11.42578125" style="85" customWidth="1"/>
    <col min="9480" max="9728" width="9.140625" style="85"/>
    <col min="9729" max="9729" width="6.28515625" style="85" customWidth="1"/>
    <col min="9730" max="9730" width="32.5703125" style="85" customWidth="1"/>
    <col min="9731" max="9731" width="11.42578125" style="85" customWidth="1"/>
    <col min="9732" max="9733" width="14.28515625" style="85" customWidth="1"/>
    <col min="9734" max="9734" width="17.140625" style="85" customWidth="1"/>
    <col min="9735" max="9735" width="11.42578125" style="85" customWidth="1"/>
    <col min="9736" max="9984" width="9.140625" style="85"/>
    <col min="9985" max="9985" width="6.28515625" style="85" customWidth="1"/>
    <col min="9986" max="9986" width="32.5703125" style="85" customWidth="1"/>
    <col min="9987" max="9987" width="11.42578125" style="85" customWidth="1"/>
    <col min="9988" max="9989" width="14.28515625" style="85" customWidth="1"/>
    <col min="9990" max="9990" width="17.140625" style="85" customWidth="1"/>
    <col min="9991" max="9991" width="11.42578125" style="85" customWidth="1"/>
    <col min="9992" max="10240" width="9.140625" style="85"/>
    <col min="10241" max="10241" width="6.28515625" style="85" customWidth="1"/>
    <col min="10242" max="10242" width="32.5703125" style="85" customWidth="1"/>
    <col min="10243" max="10243" width="11.42578125" style="85" customWidth="1"/>
    <col min="10244" max="10245" width="14.28515625" style="85" customWidth="1"/>
    <col min="10246" max="10246" width="17.140625" style="85" customWidth="1"/>
    <col min="10247" max="10247" width="11.42578125" style="85" customWidth="1"/>
    <col min="10248" max="10496" width="9.140625" style="85"/>
    <col min="10497" max="10497" width="6.28515625" style="85" customWidth="1"/>
    <col min="10498" max="10498" width="32.5703125" style="85" customWidth="1"/>
    <col min="10499" max="10499" width="11.42578125" style="85" customWidth="1"/>
    <col min="10500" max="10501" width="14.28515625" style="85" customWidth="1"/>
    <col min="10502" max="10502" width="17.140625" style="85" customWidth="1"/>
    <col min="10503" max="10503" width="11.42578125" style="85" customWidth="1"/>
    <col min="10504" max="10752" width="9.140625" style="85"/>
    <col min="10753" max="10753" width="6.28515625" style="85" customWidth="1"/>
    <col min="10754" max="10754" width="32.5703125" style="85" customWidth="1"/>
    <col min="10755" max="10755" width="11.42578125" style="85" customWidth="1"/>
    <col min="10756" max="10757" width="14.28515625" style="85" customWidth="1"/>
    <col min="10758" max="10758" width="17.140625" style="85" customWidth="1"/>
    <col min="10759" max="10759" width="11.42578125" style="85" customWidth="1"/>
    <col min="10760" max="11008" width="9.140625" style="85"/>
    <col min="11009" max="11009" width="6.28515625" style="85" customWidth="1"/>
    <col min="11010" max="11010" width="32.5703125" style="85" customWidth="1"/>
    <col min="11011" max="11011" width="11.42578125" style="85" customWidth="1"/>
    <col min="11012" max="11013" width="14.28515625" style="85" customWidth="1"/>
    <col min="11014" max="11014" width="17.140625" style="85" customWidth="1"/>
    <col min="11015" max="11015" width="11.42578125" style="85" customWidth="1"/>
    <col min="11016" max="11264" width="9.140625" style="85"/>
    <col min="11265" max="11265" width="6.28515625" style="85" customWidth="1"/>
    <col min="11266" max="11266" width="32.5703125" style="85" customWidth="1"/>
    <col min="11267" max="11267" width="11.42578125" style="85" customWidth="1"/>
    <col min="11268" max="11269" width="14.28515625" style="85" customWidth="1"/>
    <col min="11270" max="11270" width="17.140625" style="85" customWidth="1"/>
    <col min="11271" max="11271" width="11.42578125" style="85" customWidth="1"/>
    <col min="11272" max="11520" width="9.140625" style="85"/>
    <col min="11521" max="11521" width="6.28515625" style="85" customWidth="1"/>
    <col min="11522" max="11522" width="32.5703125" style="85" customWidth="1"/>
    <col min="11523" max="11523" width="11.42578125" style="85" customWidth="1"/>
    <col min="11524" max="11525" width="14.28515625" style="85" customWidth="1"/>
    <col min="11526" max="11526" width="17.140625" style="85" customWidth="1"/>
    <col min="11527" max="11527" width="11.42578125" style="85" customWidth="1"/>
    <col min="11528" max="11776" width="9.140625" style="85"/>
    <col min="11777" max="11777" width="6.28515625" style="85" customWidth="1"/>
    <col min="11778" max="11778" width="32.5703125" style="85" customWidth="1"/>
    <col min="11779" max="11779" width="11.42578125" style="85" customWidth="1"/>
    <col min="11780" max="11781" width="14.28515625" style="85" customWidth="1"/>
    <col min="11782" max="11782" width="17.140625" style="85" customWidth="1"/>
    <col min="11783" max="11783" width="11.42578125" style="85" customWidth="1"/>
    <col min="11784" max="12032" width="9.140625" style="85"/>
    <col min="12033" max="12033" width="6.28515625" style="85" customWidth="1"/>
    <col min="12034" max="12034" width="32.5703125" style="85" customWidth="1"/>
    <col min="12035" max="12035" width="11.42578125" style="85" customWidth="1"/>
    <col min="12036" max="12037" width="14.28515625" style="85" customWidth="1"/>
    <col min="12038" max="12038" width="17.140625" style="85" customWidth="1"/>
    <col min="12039" max="12039" width="11.42578125" style="85" customWidth="1"/>
    <col min="12040" max="12288" width="9.140625" style="85"/>
    <col min="12289" max="12289" width="6.28515625" style="85" customWidth="1"/>
    <col min="12290" max="12290" width="32.5703125" style="85" customWidth="1"/>
    <col min="12291" max="12291" width="11.42578125" style="85" customWidth="1"/>
    <col min="12292" max="12293" width="14.28515625" style="85" customWidth="1"/>
    <col min="12294" max="12294" width="17.140625" style="85" customWidth="1"/>
    <col min="12295" max="12295" width="11.42578125" style="85" customWidth="1"/>
    <col min="12296" max="12544" width="9.140625" style="85"/>
    <col min="12545" max="12545" width="6.28515625" style="85" customWidth="1"/>
    <col min="12546" max="12546" width="32.5703125" style="85" customWidth="1"/>
    <col min="12547" max="12547" width="11.42578125" style="85" customWidth="1"/>
    <col min="12548" max="12549" width="14.28515625" style="85" customWidth="1"/>
    <col min="12550" max="12550" width="17.140625" style="85" customWidth="1"/>
    <col min="12551" max="12551" width="11.42578125" style="85" customWidth="1"/>
    <col min="12552" max="12800" width="9.140625" style="85"/>
    <col min="12801" max="12801" width="6.28515625" style="85" customWidth="1"/>
    <col min="12802" max="12802" width="32.5703125" style="85" customWidth="1"/>
    <col min="12803" max="12803" width="11.42578125" style="85" customWidth="1"/>
    <col min="12804" max="12805" width="14.28515625" style="85" customWidth="1"/>
    <col min="12806" max="12806" width="17.140625" style="85" customWidth="1"/>
    <col min="12807" max="12807" width="11.42578125" style="85" customWidth="1"/>
    <col min="12808" max="13056" width="9.140625" style="85"/>
    <col min="13057" max="13057" width="6.28515625" style="85" customWidth="1"/>
    <col min="13058" max="13058" width="32.5703125" style="85" customWidth="1"/>
    <col min="13059" max="13059" width="11.42578125" style="85" customWidth="1"/>
    <col min="13060" max="13061" width="14.28515625" style="85" customWidth="1"/>
    <col min="13062" max="13062" width="17.140625" style="85" customWidth="1"/>
    <col min="13063" max="13063" width="11.42578125" style="85" customWidth="1"/>
    <col min="13064" max="13312" width="9.140625" style="85"/>
    <col min="13313" max="13313" width="6.28515625" style="85" customWidth="1"/>
    <col min="13314" max="13314" width="32.5703125" style="85" customWidth="1"/>
    <col min="13315" max="13315" width="11.42578125" style="85" customWidth="1"/>
    <col min="13316" max="13317" width="14.28515625" style="85" customWidth="1"/>
    <col min="13318" max="13318" width="17.140625" style="85" customWidth="1"/>
    <col min="13319" max="13319" width="11.42578125" style="85" customWidth="1"/>
    <col min="13320" max="13568" width="9.140625" style="85"/>
    <col min="13569" max="13569" width="6.28515625" style="85" customWidth="1"/>
    <col min="13570" max="13570" width="32.5703125" style="85" customWidth="1"/>
    <col min="13571" max="13571" width="11.42578125" style="85" customWidth="1"/>
    <col min="13572" max="13573" width="14.28515625" style="85" customWidth="1"/>
    <col min="13574" max="13574" width="17.140625" style="85" customWidth="1"/>
    <col min="13575" max="13575" width="11.42578125" style="85" customWidth="1"/>
    <col min="13576" max="13824" width="9.140625" style="85"/>
    <col min="13825" max="13825" width="6.28515625" style="85" customWidth="1"/>
    <col min="13826" max="13826" width="32.5703125" style="85" customWidth="1"/>
    <col min="13827" max="13827" width="11.42578125" style="85" customWidth="1"/>
    <col min="13828" max="13829" width="14.28515625" style="85" customWidth="1"/>
    <col min="13830" max="13830" width="17.140625" style="85" customWidth="1"/>
    <col min="13831" max="13831" width="11.42578125" style="85" customWidth="1"/>
    <col min="13832" max="14080" width="9.140625" style="85"/>
    <col min="14081" max="14081" width="6.28515625" style="85" customWidth="1"/>
    <col min="14082" max="14082" width="32.5703125" style="85" customWidth="1"/>
    <col min="14083" max="14083" width="11.42578125" style="85" customWidth="1"/>
    <col min="14084" max="14085" width="14.28515625" style="85" customWidth="1"/>
    <col min="14086" max="14086" width="17.140625" style="85" customWidth="1"/>
    <col min="14087" max="14087" width="11.42578125" style="85" customWidth="1"/>
    <col min="14088" max="14336" width="9.140625" style="85"/>
    <col min="14337" max="14337" width="6.28515625" style="85" customWidth="1"/>
    <col min="14338" max="14338" width="32.5703125" style="85" customWidth="1"/>
    <col min="14339" max="14339" width="11.42578125" style="85" customWidth="1"/>
    <col min="14340" max="14341" width="14.28515625" style="85" customWidth="1"/>
    <col min="14342" max="14342" width="17.140625" style="85" customWidth="1"/>
    <col min="14343" max="14343" width="11.42578125" style="85" customWidth="1"/>
    <col min="14344" max="14592" width="9.140625" style="85"/>
    <col min="14593" max="14593" width="6.28515625" style="85" customWidth="1"/>
    <col min="14594" max="14594" width="32.5703125" style="85" customWidth="1"/>
    <col min="14595" max="14595" width="11.42578125" style="85" customWidth="1"/>
    <col min="14596" max="14597" width="14.28515625" style="85" customWidth="1"/>
    <col min="14598" max="14598" width="17.140625" style="85" customWidth="1"/>
    <col min="14599" max="14599" width="11.42578125" style="85" customWidth="1"/>
    <col min="14600" max="14848" width="9.140625" style="85"/>
    <col min="14849" max="14849" width="6.28515625" style="85" customWidth="1"/>
    <col min="14850" max="14850" width="32.5703125" style="85" customWidth="1"/>
    <col min="14851" max="14851" width="11.42578125" style="85" customWidth="1"/>
    <col min="14852" max="14853" width="14.28515625" style="85" customWidth="1"/>
    <col min="14854" max="14854" width="17.140625" style="85" customWidth="1"/>
    <col min="14855" max="14855" width="11.42578125" style="85" customWidth="1"/>
    <col min="14856" max="15104" width="9.140625" style="85"/>
    <col min="15105" max="15105" width="6.28515625" style="85" customWidth="1"/>
    <col min="15106" max="15106" width="32.5703125" style="85" customWidth="1"/>
    <col min="15107" max="15107" width="11.42578125" style="85" customWidth="1"/>
    <col min="15108" max="15109" width="14.28515625" style="85" customWidth="1"/>
    <col min="15110" max="15110" width="17.140625" style="85" customWidth="1"/>
    <col min="15111" max="15111" width="11.42578125" style="85" customWidth="1"/>
    <col min="15112" max="15360" width="9.140625" style="85"/>
    <col min="15361" max="15361" width="6.28515625" style="85" customWidth="1"/>
    <col min="15362" max="15362" width="32.5703125" style="85" customWidth="1"/>
    <col min="15363" max="15363" width="11.42578125" style="85" customWidth="1"/>
    <col min="15364" max="15365" width="14.28515625" style="85" customWidth="1"/>
    <col min="15366" max="15366" width="17.140625" style="85" customWidth="1"/>
    <col min="15367" max="15367" width="11.42578125" style="85" customWidth="1"/>
    <col min="15368" max="15616" width="9.140625" style="85"/>
    <col min="15617" max="15617" width="6.28515625" style="85" customWidth="1"/>
    <col min="15618" max="15618" width="32.5703125" style="85" customWidth="1"/>
    <col min="15619" max="15619" width="11.42578125" style="85" customWidth="1"/>
    <col min="15620" max="15621" width="14.28515625" style="85" customWidth="1"/>
    <col min="15622" max="15622" width="17.140625" style="85" customWidth="1"/>
    <col min="15623" max="15623" width="11.42578125" style="85" customWidth="1"/>
    <col min="15624" max="15872" width="9.140625" style="85"/>
    <col min="15873" max="15873" width="6.28515625" style="85" customWidth="1"/>
    <col min="15874" max="15874" width="32.5703125" style="85" customWidth="1"/>
    <col min="15875" max="15875" width="11.42578125" style="85" customWidth="1"/>
    <col min="15876" max="15877" width="14.28515625" style="85" customWidth="1"/>
    <col min="15878" max="15878" width="17.140625" style="85" customWidth="1"/>
    <col min="15879" max="15879" width="11.42578125" style="85" customWidth="1"/>
    <col min="15880" max="16128" width="9.140625" style="85"/>
    <col min="16129" max="16129" width="6.28515625" style="85" customWidth="1"/>
    <col min="16130" max="16130" width="32.5703125" style="85" customWidth="1"/>
    <col min="16131" max="16131" width="11.42578125" style="85" customWidth="1"/>
    <col min="16132" max="16133" width="14.28515625" style="85" customWidth="1"/>
    <col min="16134" max="16134" width="17.140625" style="85" customWidth="1"/>
    <col min="16135" max="16135" width="11.42578125" style="85" customWidth="1"/>
    <col min="16136" max="16384" width="9.140625" style="85"/>
  </cols>
  <sheetData>
    <row r="1" spans="1:7" ht="48" customHeight="1" x14ac:dyDescent="0.25">
      <c r="A1" s="270"/>
      <c r="B1" s="270"/>
      <c r="C1" s="279" t="s">
        <v>286</v>
      </c>
      <c r="D1" s="279"/>
      <c r="E1" s="279"/>
      <c r="F1" s="279"/>
      <c r="G1" s="279"/>
    </row>
    <row r="2" spans="1:7" ht="43.5" customHeight="1" x14ac:dyDescent="0.25">
      <c r="A2" s="280" t="s">
        <v>287</v>
      </c>
      <c r="B2" s="280"/>
      <c r="C2" s="280"/>
      <c r="D2" s="280"/>
      <c r="E2" s="280"/>
      <c r="F2" s="280"/>
      <c r="G2" s="280"/>
    </row>
    <row r="3" spans="1:7" ht="8.25" customHeight="1" x14ac:dyDescent="0.25">
      <c r="A3" s="86"/>
      <c r="B3" s="86"/>
      <c r="C3" s="270"/>
      <c r="D3" s="270"/>
      <c r="E3" s="270"/>
      <c r="F3" s="270"/>
      <c r="G3" s="270"/>
    </row>
    <row r="4" spans="1:7" x14ac:dyDescent="0.25">
      <c r="A4" s="294" t="s">
        <v>431</v>
      </c>
      <c r="B4" s="294"/>
      <c r="C4" s="294"/>
      <c r="D4" s="294"/>
      <c r="E4" s="294"/>
      <c r="F4" s="294"/>
      <c r="G4" s="294"/>
    </row>
    <row r="5" spans="1:7" x14ac:dyDescent="0.25">
      <c r="A5" s="294" t="s">
        <v>432</v>
      </c>
      <c r="B5" s="294"/>
      <c r="C5" s="294"/>
      <c r="D5" s="294"/>
      <c r="E5" s="294"/>
      <c r="F5" s="294"/>
      <c r="G5" s="294"/>
    </row>
    <row r="6" spans="1:7" x14ac:dyDescent="0.25">
      <c r="A6" s="271" t="s">
        <v>1090</v>
      </c>
      <c r="B6" s="271"/>
      <c r="C6" s="271"/>
      <c r="D6" s="271"/>
      <c r="E6" s="271"/>
      <c r="F6" s="271"/>
      <c r="G6" s="271"/>
    </row>
    <row r="7" spans="1:7" ht="7.5" customHeight="1" x14ac:dyDescent="0.25">
      <c r="A7" s="86"/>
      <c r="B7" s="86"/>
      <c r="C7" s="270"/>
      <c r="D7" s="270"/>
      <c r="E7" s="270"/>
      <c r="F7" s="270"/>
      <c r="G7" s="270"/>
    </row>
    <row r="8" spans="1:7" x14ac:dyDescent="0.25">
      <c r="A8" s="101" t="s">
        <v>94</v>
      </c>
      <c r="B8" s="94" t="s">
        <v>2</v>
      </c>
      <c r="C8" s="275" t="s">
        <v>96</v>
      </c>
      <c r="D8" s="275"/>
      <c r="E8" s="275"/>
      <c r="F8" s="275"/>
      <c r="G8" s="275"/>
    </row>
    <row r="9" spans="1:7" x14ac:dyDescent="0.25">
      <c r="A9" s="86"/>
      <c r="B9" s="106" t="s">
        <v>4</v>
      </c>
      <c r="C9" s="287" t="s">
        <v>5</v>
      </c>
      <c r="D9" s="287"/>
      <c r="E9" s="287"/>
      <c r="F9" s="287"/>
      <c r="G9" s="287"/>
    </row>
    <row r="10" spans="1:7" x14ac:dyDescent="0.25">
      <c r="A10" s="101" t="s">
        <v>97</v>
      </c>
      <c r="B10" s="94" t="s">
        <v>6</v>
      </c>
      <c r="C10" s="275" t="s">
        <v>99</v>
      </c>
      <c r="D10" s="275"/>
      <c r="E10" s="275"/>
      <c r="F10" s="275"/>
      <c r="G10" s="275"/>
    </row>
    <row r="11" spans="1:7" x14ac:dyDescent="0.25">
      <c r="A11" s="86"/>
      <c r="B11" s="106" t="s">
        <v>8</v>
      </c>
      <c r="C11" s="287" t="s">
        <v>100</v>
      </c>
      <c r="D11" s="287"/>
      <c r="E11" s="287"/>
      <c r="F11" s="287"/>
      <c r="G11" s="287"/>
    </row>
    <row r="12" spans="1:7" x14ac:dyDescent="0.25">
      <c r="A12" s="101" t="s">
        <v>78</v>
      </c>
      <c r="B12" s="94" t="s">
        <v>10</v>
      </c>
      <c r="C12" s="275" t="s">
        <v>101</v>
      </c>
      <c r="D12" s="275"/>
      <c r="E12" s="275"/>
      <c r="F12" s="275"/>
      <c r="G12" s="275"/>
    </row>
    <row r="13" spans="1:7" x14ac:dyDescent="0.25">
      <c r="A13" s="86"/>
      <c r="B13" s="106" t="s">
        <v>12</v>
      </c>
      <c r="C13" s="287" t="s">
        <v>102</v>
      </c>
      <c r="D13" s="287"/>
      <c r="E13" s="287"/>
      <c r="F13" s="287"/>
      <c r="G13" s="287"/>
    </row>
    <row r="14" spans="1:7" x14ac:dyDescent="0.25">
      <c r="A14" s="101" t="s">
        <v>84</v>
      </c>
      <c r="B14" s="94" t="s">
        <v>14</v>
      </c>
      <c r="C14" s="289">
        <v>44013</v>
      </c>
      <c r="D14" s="289"/>
      <c r="E14" s="289"/>
      <c r="F14" s="289"/>
      <c r="G14" s="289"/>
    </row>
    <row r="15" spans="1:7" x14ac:dyDescent="0.25">
      <c r="A15" s="86"/>
      <c r="B15" s="106" t="s">
        <v>15</v>
      </c>
      <c r="C15" s="292">
        <v>44013</v>
      </c>
      <c r="D15" s="292"/>
      <c r="E15" s="292"/>
      <c r="F15" s="292"/>
      <c r="G15" s="292"/>
    </row>
    <row r="16" spans="1:7" ht="8.25" customHeight="1" x14ac:dyDescent="0.25">
      <c r="A16" s="86"/>
      <c r="B16" s="86"/>
      <c r="C16" s="290"/>
      <c r="D16" s="290"/>
      <c r="E16" s="290"/>
      <c r="F16" s="290"/>
      <c r="G16" s="290"/>
    </row>
    <row r="17" spans="1:7" x14ac:dyDescent="0.25">
      <c r="A17" s="288" t="s">
        <v>433</v>
      </c>
      <c r="B17" s="288"/>
      <c r="C17" s="288"/>
      <c r="D17" s="288"/>
      <c r="E17" s="288"/>
      <c r="F17" s="288"/>
      <c r="G17" s="288"/>
    </row>
    <row r="18" spans="1:7" x14ac:dyDescent="0.25">
      <c r="A18" s="288" t="s">
        <v>434</v>
      </c>
      <c r="B18" s="288"/>
      <c r="C18" s="288"/>
      <c r="D18" s="288"/>
      <c r="E18" s="288"/>
      <c r="F18" s="288"/>
      <c r="G18" s="288"/>
    </row>
    <row r="19" spans="1:7" x14ac:dyDescent="0.25">
      <c r="A19" s="97"/>
      <c r="B19" s="97"/>
      <c r="C19" s="291" t="s">
        <v>105</v>
      </c>
      <c r="D19" s="291"/>
      <c r="E19" s="291"/>
      <c r="F19" s="291"/>
      <c r="G19" s="291"/>
    </row>
    <row r="20" spans="1:7" ht="52.5" x14ac:dyDescent="0.25">
      <c r="A20" s="98" t="s">
        <v>435</v>
      </c>
      <c r="B20" s="99" t="s">
        <v>436</v>
      </c>
      <c r="C20" s="99" t="s">
        <v>108</v>
      </c>
      <c r="D20" s="99" t="s">
        <v>437</v>
      </c>
      <c r="E20" s="99" t="s">
        <v>438</v>
      </c>
      <c r="F20" s="99" t="s">
        <v>439</v>
      </c>
      <c r="G20" s="100" t="s">
        <v>440</v>
      </c>
    </row>
    <row r="21" spans="1:7" ht="25.5" customHeight="1" x14ac:dyDescent="0.25">
      <c r="A21" s="127" t="s">
        <v>68</v>
      </c>
      <c r="B21" s="128" t="s">
        <v>132</v>
      </c>
      <c r="C21" s="117" t="s">
        <v>441</v>
      </c>
      <c r="D21" s="183">
        <v>0</v>
      </c>
      <c r="E21" s="166">
        <v>0</v>
      </c>
      <c r="F21" s="166">
        <v>0</v>
      </c>
      <c r="G21" s="154">
        <v>0</v>
      </c>
    </row>
    <row r="22" spans="1:7" x14ac:dyDescent="0.25">
      <c r="A22" s="131" t="s">
        <v>94</v>
      </c>
      <c r="B22" s="132" t="s">
        <v>442</v>
      </c>
      <c r="C22" s="118" t="s">
        <v>443</v>
      </c>
      <c r="D22" s="184">
        <v>356280</v>
      </c>
      <c r="E22" s="171">
        <v>69600</v>
      </c>
      <c r="F22" s="171">
        <v>24797088000</v>
      </c>
      <c r="G22" s="156">
        <v>1.8200000000000001E-2</v>
      </c>
    </row>
    <row r="23" spans="1:7" x14ac:dyDescent="0.25">
      <c r="A23" s="131" t="s">
        <v>97</v>
      </c>
      <c r="B23" s="132" t="s">
        <v>444</v>
      </c>
      <c r="C23" s="118" t="s">
        <v>445</v>
      </c>
      <c r="D23" s="184">
        <v>3631530</v>
      </c>
      <c r="E23" s="171">
        <v>21550</v>
      </c>
      <c r="F23" s="171">
        <v>78259471500</v>
      </c>
      <c r="G23" s="156">
        <v>5.74E-2</v>
      </c>
    </row>
    <row r="24" spans="1:7" x14ac:dyDescent="0.25">
      <c r="A24" s="131" t="s">
        <v>78</v>
      </c>
      <c r="B24" s="132" t="s">
        <v>446</v>
      </c>
      <c r="C24" s="118" t="s">
        <v>447</v>
      </c>
      <c r="D24" s="184">
        <v>4608410</v>
      </c>
      <c r="E24" s="171">
        <v>11200</v>
      </c>
      <c r="F24" s="171">
        <v>51614192000</v>
      </c>
      <c r="G24" s="156">
        <v>3.7900000000000003E-2</v>
      </c>
    </row>
    <row r="25" spans="1:7" x14ac:dyDescent="0.25">
      <c r="A25" s="131" t="s">
        <v>84</v>
      </c>
      <c r="B25" s="132" t="s">
        <v>448</v>
      </c>
      <c r="C25" s="118" t="s">
        <v>449</v>
      </c>
      <c r="D25" s="184">
        <v>4461215</v>
      </c>
      <c r="E25" s="171">
        <v>45650</v>
      </c>
      <c r="F25" s="171">
        <v>203654464750</v>
      </c>
      <c r="G25" s="156">
        <v>0.14940000000000001</v>
      </c>
    </row>
    <row r="26" spans="1:7" x14ac:dyDescent="0.25">
      <c r="A26" s="131" t="s">
        <v>341</v>
      </c>
      <c r="B26" s="132" t="s">
        <v>450</v>
      </c>
      <c r="C26" s="118" t="s">
        <v>451</v>
      </c>
      <c r="D26" s="184">
        <v>2631930</v>
      </c>
      <c r="E26" s="171">
        <v>18600</v>
      </c>
      <c r="F26" s="171">
        <v>48953898000</v>
      </c>
      <c r="G26" s="156">
        <v>3.5900000000000001E-2</v>
      </c>
    </row>
    <row r="27" spans="1:7" x14ac:dyDescent="0.25">
      <c r="A27" s="131" t="s">
        <v>350</v>
      </c>
      <c r="B27" s="132" t="s">
        <v>452</v>
      </c>
      <c r="C27" s="118" t="s">
        <v>453</v>
      </c>
      <c r="D27" s="184">
        <v>3977660</v>
      </c>
      <c r="E27" s="171">
        <v>23200</v>
      </c>
      <c r="F27" s="171">
        <v>92281712000</v>
      </c>
      <c r="G27" s="156">
        <v>6.7699999999999996E-2</v>
      </c>
    </row>
    <row r="28" spans="1:7" x14ac:dyDescent="0.25">
      <c r="A28" s="131" t="s">
        <v>363</v>
      </c>
      <c r="B28" s="132" t="s">
        <v>454</v>
      </c>
      <c r="C28" s="118" t="s">
        <v>455</v>
      </c>
      <c r="D28" s="184">
        <v>7062270</v>
      </c>
      <c r="E28" s="171">
        <v>16600</v>
      </c>
      <c r="F28" s="171">
        <v>117233682000</v>
      </c>
      <c r="G28" s="156">
        <v>8.5999999999999993E-2</v>
      </c>
    </row>
    <row r="29" spans="1:7" x14ac:dyDescent="0.25">
      <c r="A29" s="131" t="s">
        <v>370</v>
      </c>
      <c r="B29" s="132" t="s">
        <v>456</v>
      </c>
      <c r="C29" s="118" t="s">
        <v>457</v>
      </c>
      <c r="D29" s="184">
        <v>2408320</v>
      </c>
      <c r="E29" s="171">
        <v>80800</v>
      </c>
      <c r="F29" s="171">
        <v>194592256000</v>
      </c>
      <c r="G29" s="156">
        <v>0.14269999999999999</v>
      </c>
    </row>
    <row r="30" spans="1:7" x14ac:dyDescent="0.25">
      <c r="A30" s="131" t="s">
        <v>458</v>
      </c>
      <c r="B30" s="132" t="s">
        <v>459</v>
      </c>
      <c r="C30" s="118" t="s">
        <v>460</v>
      </c>
      <c r="D30" s="184">
        <v>1560110</v>
      </c>
      <c r="E30" s="171">
        <v>24500</v>
      </c>
      <c r="F30" s="171">
        <v>38222695000</v>
      </c>
      <c r="G30" s="156">
        <v>2.8000000000000001E-2</v>
      </c>
    </row>
    <row r="31" spans="1:7" x14ac:dyDescent="0.25">
      <c r="A31" s="131" t="s">
        <v>461</v>
      </c>
      <c r="B31" s="132" t="s">
        <v>462</v>
      </c>
      <c r="C31" s="118" t="s">
        <v>463</v>
      </c>
      <c r="D31" s="184">
        <v>1881640</v>
      </c>
      <c r="E31" s="171">
        <v>57400</v>
      </c>
      <c r="F31" s="171">
        <v>108006136000</v>
      </c>
      <c r="G31" s="156">
        <v>7.9200000000000007E-2</v>
      </c>
    </row>
    <row r="32" spans="1:7" x14ac:dyDescent="0.25">
      <c r="A32" s="131" t="s">
        <v>464</v>
      </c>
      <c r="B32" s="132" t="s">
        <v>465</v>
      </c>
      <c r="C32" s="118" t="s">
        <v>466</v>
      </c>
      <c r="D32" s="184">
        <v>1634360</v>
      </c>
      <c r="E32" s="171">
        <v>30650</v>
      </c>
      <c r="F32" s="171">
        <v>50093134000</v>
      </c>
      <c r="G32" s="156">
        <v>3.6700000000000003E-2</v>
      </c>
    </row>
    <row r="33" spans="1:7" x14ac:dyDescent="0.25">
      <c r="A33" s="131" t="s">
        <v>467</v>
      </c>
      <c r="B33" s="132" t="s">
        <v>468</v>
      </c>
      <c r="C33" s="118" t="s">
        <v>469</v>
      </c>
      <c r="D33" s="184">
        <v>8157550</v>
      </c>
      <c r="E33" s="171">
        <v>19550</v>
      </c>
      <c r="F33" s="171">
        <v>159480102500</v>
      </c>
      <c r="G33" s="156">
        <v>0.11700000000000001</v>
      </c>
    </row>
    <row r="34" spans="1:7" x14ac:dyDescent="0.25">
      <c r="A34" s="131" t="s">
        <v>470</v>
      </c>
      <c r="B34" s="132" t="s">
        <v>471</v>
      </c>
      <c r="C34" s="118" t="s">
        <v>472</v>
      </c>
      <c r="D34" s="184">
        <v>2393590</v>
      </c>
      <c r="E34" s="171">
        <v>20600</v>
      </c>
      <c r="F34" s="171">
        <v>49307954000</v>
      </c>
      <c r="G34" s="156">
        <v>3.6200000000000003E-2</v>
      </c>
    </row>
    <row r="35" spans="1:7" x14ac:dyDescent="0.25">
      <c r="A35" s="131" t="s">
        <v>473</v>
      </c>
      <c r="B35" s="132" t="s">
        <v>474</v>
      </c>
      <c r="C35" s="118" t="s">
        <v>475</v>
      </c>
      <c r="D35" s="184">
        <v>6752230</v>
      </c>
      <c r="E35" s="171">
        <v>20450</v>
      </c>
      <c r="F35" s="171">
        <v>138083103500</v>
      </c>
      <c r="G35" s="156">
        <v>0.1013</v>
      </c>
    </row>
    <row r="36" spans="1:7" x14ac:dyDescent="0.25">
      <c r="A36" s="127"/>
      <c r="B36" s="128" t="s">
        <v>476</v>
      </c>
      <c r="C36" s="117" t="s">
        <v>477</v>
      </c>
      <c r="D36" s="183">
        <v>51517095</v>
      </c>
      <c r="E36" s="166">
        <v>0</v>
      </c>
      <c r="F36" s="166">
        <v>1354579889250</v>
      </c>
      <c r="G36" s="154">
        <v>0.99350000000000005</v>
      </c>
    </row>
    <row r="37" spans="1:7" ht="24.75" customHeight="1" x14ac:dyDescent="0.25">
      <c r="A37" s="127" t="s">
        <v>73</v>
      </c>
      <c r="B37" s="128" t="s">
        <v>478</v>
      </c>
      <c r="C37" s="117" t="s">
        <v>479</v>
      </c>
      <c r="D37" s="183">
        <v>0</v>
      </c>
      <c r="E37" s="166">
        <v>0</v>
      </c>
      <c r="F37" s="166">
        <v>0</v>
      </c>
      <c r="G37" s="154">
        <v>0</v>
      </c>
    </row>
    <row r="38" spans="1:7" ht="24.75" customHeight="1" x14ac:dyDescent="0.25">
      <c r="A38" s="131"/>
      <c r="B38" s="132" t="s">
        <v>480</v>
      </c>
      <c r="C38" s="118" t="s">
        <v>481</v>
      </c>
      <c r="D38" s="184">
        <v>0</v>
      </c>
      <c r="E38" s="171">
        <v>0</v>
      </c>
      <c r="F38" s="171">
        <v>0</v>
      </c>
      <c r="G38" s="156">
        <v>0</v>
      </c>
    </row>
    <row r="39" spans="1:7" ht="24.75" customHeight="1" x14ac:dyDescent="0.25">
      <c r="A39" s="127"/>
      <c r="B39" s="128" t="s">
        <v>482</v>
      </c>
      <c r="C39" s="117" t="s">
        <v>483</v>
      </c>
      <c r="D39" s="183">
        <v>51517095</v>
      </c>
      <c r="E39" s="166">
        <v>0</v>
      </c>
      <c r="F39" s="166">
        <v>1354579889250</v>
      </c>
      <c r="G39" s="154">
        <v>0.99350000000000005</v>
      </c>
    </row>
    <row r="40" spans="1:7" ht="24.75" customHeight="1" x14ac:dyDescent="0.25">
      <c r="A40" s="127" t="s">
        <v>81</v>
      </c>
      <c r="B40" s="128" t="s">
        <v>136</v>
      </c>
      <c r="C40" s="117" t="s">
        <v>484</v>
      </c>
      <c r="D40" s="183">
        <v>0</v>
      </c>
      <c r="E40" s="166">
        <v>0</v>
      </c>
      <c r="F40" s="166">
        <v>0</v>
      </c>
      <c r="G40" s="154">
        <v>0</v>
      </c>
    </row>
    <row r="41" spans="1:7" ht="19.5" customHeight="1" x14ac:dyDescent="0.25">
      <c r="A41" s="127"/>
      <c r="B41" s="128" t="s">
        <v>476</v>
      </c>
      <c r="C41" s="117" t="s">
        <v>485</v>
      </c>
      <c r="D41" s="183">
        <v>0</v>
      </c>
      <c r="E41" s="166">
        <v>0</v>
      </c>
      <c r="F41" s="166">
        <v>0</v>
      </c>
      <c r="G41" s="154">
        <v>0</v>
      </c>
    </row>
    <row r="42" spans="1:7" ht="24.75" customHeight="1" x14ac:dyDescent="0.25">
      <c r="A42" s="127" t="s">
        <v>51</v>
      </c>
      <c r="B42" s="128" t="s">
        <v>486</v>
      </c>
      <c r="C42" s="117" t="s">
        <v>487</v>
      </c>
      <c r="D42" s="183">
        <v>0</v>
      </c>
      <c r="E42" s="166">
        <v>0</v>
      </c>
      <c r="F42" s="166">
        <v>0</v>
      </c>
      <c r="G42" s="154">
        <v>0</v>
      </c>
    </row>
    <row r="43" spans="1:7" ht="24.75" customHeight="1" x14ac:dyDescent="0.25">
      <c r="A43" s="131" t="s">
        <v>94</v>
      </c>
      <c r="B43" s="132" t="s">
        <v>488</v>
      </c>
      <c r="C43" s="118" t="s">
        <v>489</v>
      </c>
      <c r="D43" s="184">
        <v>0</v>
      </c>
      <c r="E43" s="171">
        <v>0</v>
      </c>
      <c r="F43" s="171">
        <v>0</v>
      </c>
      <c r="G43" s="156">
        <v>0</v>
      </c>
    </row>
    <row r="44" spans="1:7" ht="24.75" customHeight="1" x14ac:dyDescent="0.25">
      <c r="A44" s="131" t="s">
        <v>97</v>
      </c>
      <c r="B44" s="132" t="s">
        <v>490</v>
      </c>
      <c r="C44" s="118" t="s">
        <v>491</v>
      </c>
      <c r="D44" s="184">
        <v>0</v>
      </c>
      <c r="E44" s="171">
        <v>0</v>
      </c>
      <c r="F44" s="171">
        <v>0</v>
      </c>
      <c r="G44" s="156">
        <v>0</v>
      </c>
    </row>
    <row r="45" spans="1:7" ht="24.75" customHeight="1" x14ac:dyDescent="0.25">
      <c r="A45" s="131"/>
      <c r="B45" s="132" t="s">
        <v>480</v>
      </c>
      <c r="C45" s="118" t="s">
        <v>492</v>
      </c>
      <c r="D45" s="184">
        <v>0</v>
      </c>
      <c r="E45" s="171">
        <v>0</v>
      </c>
      <c r="F45" s="171">
        <v>0</v>
      </c>
      <c r="G45" s="156">
        <v>0</v>
      </c>
    </row>
    <row r="46" spans="1:7" ht="24.75" customHeight="1" x14ac:dyDescent="0.25">
      <c r="A46" s="127"/>
      <c r="B46" s="128" t="s">
        <v>493</v>
      </c>
      <c r="C46" s="117" t="s">
        <v>494</v>
      </c>
      <c r="D46" s="183">
        <v>51517095</v>
      </c>
      <c r="E46" s="166">
        <v>0</v>
      </c>
      <c r="F46" s="166">
        <v>1354579889250</v>
      </c>
      <c r="G46" s="154">
        <v>0.99350000000000005</v>
      </c>
    </row>
    <row r="47" spans="1:7" ht="24.75" customHeight="1" x14ac:dyDescent="0.25">
      <c r="A47" s="127" t="s">
        <v>403</v>
      </c>
      <c r="B47" s="128" t="s">
        <v>495</v>
      </c>
      <c r="C47" s="117" t="s">
        <v>496</v>
      </c>
      <c r="D47" s="183">
        <v>0</v>
      </c>
      <c r="E47" s="166">
        <v>0</v>
      </c>
      <c r="F47" s="166">
        <v>0</v>
      </c>
      <c r="G47" s="154">
        <v>0</v>
      </c>
    </row>
    <row r="48" spans="1:7" ht="24.75" customHeight="1" x14ac:dyDescent="0.25">
      <c r="A48" s="131" t="s">
        <v>94</v>
      </c>
      <c r="B48" s="132" t="s">
        <v>497</v>
      </c>
      <c r="C48" s="118" t="s">
        <v>498</v>
      </c>
      <c r="D48" s="184">
        <v>0</v>
      </c>
      <c r="E48" s="171">
        <v>0</v>
      </c>
      <c r="F48" s="171">
        <v>0</v>
      </c>
      <c r="G48" s="156">
        <v>0</v>
      </c>
    </row>
    <row r="49" spans="1:7" ht="24.75" customHeight="1" x14ac:dyDescent="0.25">
      <c r="A49" s="131" t="s">
        <v>97</v>
      </c>
      <c r="B49" s="132" t="s">
        <v>499</v>
      </c>
      <c r="C49" s="118" t="s">
        <v>500</v>
      </c>
      <c r="D49" s="184">
        <v>0</v>
      </c>
      <c r="E49" s="171">
        <v>0</v>
      </c>
      <c r="F49" s="171">
        <v>0</v>
      </c>
      <c r="G49" s="156">
        <v>0</v>
      </c>
    </row>
    <row r="50" spans="1:7" ht="24.75" customHeight="1" x14ac:dyDescent="0.25">
      <c r="A50" s="131" t="s">
        <v>78</v>
      </c>
      <c r="B50" s="132" t="s">
        <v>501</v>
      </c>
      <c r="C50" s="118" t="s">
        <v>502</v>
      </c>
      <c r="D50" s="184">
        <v>0</v>
      </c>
      <c r="E50" s="171">
        <v>0</v>
      </c>
      <c r="F50" s="171">
        <v>14671232</v>
      </c>
      <c r="G50" s="156">
        <v>0</v>
      </c>
    </row>
    <row r="51" spans="1:7" ht="36" customHeight="1" x14ac:dyDescent="0.25">
      <c r="A51" s="131" t="s">
        <v>84</v>
      </c>
      <c r="B51" s="132" t="s">
        <v>503</v>
      </c>
      <c r="C51" s="118" t="s">
        <v>504</v>
      </c>
      <c r="D51" s="184">
        <v>0</v>
      </c>
      <c r="E51" s="171">
        <v>0</v>
      </c>
      <c r="F51" s="171">
        <v>0</v>
      </c>
      <c r="G51" s="156">
        <v>0</v>
      </c>
    </row>
    <row r="52" spans="1:7" ht="36" customHeight="1" x14ac:dyDescent="0.25">
      <c r="A52" s="131" t="s">
        <v>341</v>
      </c>
      <c r="B52" s="132" t="s">
        <v>505</v>
      </c>
      <c r="C52" s="118" t="s">
        <v>506</v>
      </c>
      <c r="D52" s="184">
        <v>0</v>
      </c>
      <c r="E52" s="171">
        <v>0</v>
      </c>
      <c r="F52" s="171">
        <v>0</v>
      </c>
      <c r="G52" s="156">
        <v>0</v>
      </c>
    </row>
    <row r="53" spans="1:7" ht="24.75" customHeight="1" x14ac:dyDescent="0.25">
      <c r="A53" s="131" t="s">
        <v>350</v>
      </c>
      <c r="B53" s="132" t="s">
        <v>507</v>
      </c>
      <c r="C53" s="118" t="s">
        <v>508</v>
      </c>
      <c r="D53" s="184">
        <v>0</v>
      </c>
      <c r="E53" s="171">
        <v>0</v>
      </c>
      <c r="F53" s="171">
        <v>0</v>
      </c>
      <c r="G53" s="156">
        <v>0</v>
      </c>
    </row>
    <row r="54" spans="1:7" ht="24.75" customHeight="1" x14ac:dyDescent="0.25">
      <c r="A54" s="131" t="s">
        <v>363</v>
      </c>
      <c r="B54" s="132" t="s">
        <v>181</v>
      </c>
      <c r="C54" s="118" t="s">
        <v>509</v>
      </c>
      <c r="D54" s="184">
        <v>0</v>
      </c>
      <c r="E54" s="171">
        <v>0</v>
      </c>
      <c r="F54" s="171">
        <v>0</v>
      </c>
      <c r="G54" s="156">
        <v>0</v>
      </c>
    </row>
    <row r="55" spans="1:7" ht="24.75" customHeight="1" x14ac:dyDescent="0.25">
      <c r="A55" s="131" t="s">
        <v>370</v>
      </c>
      <c r="B55" s="132" t="s">
        <v>510</v>
      </c>
      <c r="C55" s="118" t="s">
        <v>511</v>
      </c>
      <c r="D55" s="184">
        <v>0</v>
      </c>
      <c r="E55" s="171">
        <v>0</v>
      </c>
      <c r="F55" s="171">
        <v>0</v>
      </c>
      <c r="G55" s="156">
        <v>0</v>
      </c>
    </row>
    <row r="56" spans="1:7" ht="27.75" customHeight="1" x14ac:dyDescent="0.25">
      <c r="A56" s="131" t="s">
        <v>458</v>
      </c>
      <c r="B56" s="132" t="s">
        <v>512</v>
      </c>
      <c r="C56" s="118" t="s">
        <v>513</v>
      </c>
      <c r="D56" s="184">
        <v>0</v>
      </c>
      <c r="E56" s="171">
        <v>0</v>
      </c>
      <c r="F56" s="171">
        <v>0</v>
      </c>
      <c r="G56" s="156">
        <v>0</v>
      </c>
    </row>
    <row r="57" spans="1:7" ht="46.5" customHeight="1" x14ac:dyDescent="0.25">
      <c r="A57" s="131" t="s">
        <v>461</v>
      </c>
      <c r="B57" s="132" t="s">
        <v>827</v>
      </c>
      <c r="C57" s="118" t="s">
        <v>1072</v>
      </c>
      <c r="D57" s="184">
        <v>0</v>
      </c>
      <c r="E57" s="171">
        <v>0</v>
      </c>
      <c r="F57" s="171">
        <v>0</v>
      </c>
      <c r="G57" s="156">
        <v>0</v>
      </c>
    </row>
    <row r="58" spans="1:7" ht="24.75" customHeight="1" x14ac:dyDescent="0.25">
      <c r="A58" s="127"/>
      <c r="B58" s="128" t="s">
        <v>480</v>
      </c>
      <c r="C58" s="117" t="s">
        <v>514</v>
      </c>
      <c r="D58" s="183">
        <v>0</v>
      </c>
      <c r="E58" s="166">
        <v>0</v>
      </c>
      <c r="F58" s="166">
        <v>14671232</v>
      </c>
      <c r="G58" s="154">
        <v>0</v>
      </c>
    </row>
    <row r="59" spans="1:7" ht="24.75" customHeight="1" x14ac:dyDescent="0.25">
      <c r="A59" s="127" t="s">
        <v>406</v>
      </c>
      <c r="B59" s="128" t="s">
        <v>115</v>
      </c>
      <c r="C59" s="117" t="s">
        <v>515</v>
      </c>
      <c r="D59" s="183">
        <v>0</v>
      </c>
      <c r="E59" s="166">
        <v>0</v>
      </c>
      <c r="F59" s="166">
        <v>0</v>
      </c>
      <c r="G59" s="154">
        <v>0</v>
      </c>
    </row>
    <row r="60" spans="1:7" ht="24.75" customHeight="1" x14ac:dyDescent="0.25">
      <c r="A60" s="131" t="s">
        <v>94</v>
      </c>
      <c r="B60" s="132" t="s">
        <v>516</v>
      </c>
      <c r="C60" s="118" t="s">
        <v>517</v>
      </c>
      <c r="D60" s="184">
        <v>0</v>
      </c>
      <c r="E60" s="171">
        <v>0</v>
      </c>
      <c r="F60" s="171">
        <v>8902189543</v>
      </c>
      <c r="G60" s="156">
        <v>6.4999999999999997E-3</v>
      </c>
    </row>
    <row r="61" spans="1:7" ht="24.75" customHeight="1" x14ac:dyDescent="0.25">
      <c r="A61" s="131"/>
      <c r="B61" s="132" t="s">
        <v>117</v>
      </c>
      <c r="C61" s="118" t="s">
        <v>518</v>
      </c>
      <c r="D61" s="184">
        <v>0</v>
      </c>
      <c r="E61" s="171">
        <v>0</v>
      </c>
      <c r="F61" s="171">
        <v>3402189543</v>
      </c>
      <c r="G61" s="156">
        <v>2.5000000000000001E-3</v>
      </c>
    </row>
    <row r="62" spans="1:7" ht="24.75" customHeight="1" x14ac:dyDescent="0.25">
      <c r="A62" s="131"/>
      <c r="B62" s="132" t="s">
        <v>127</v>
      </c>
      <c r="C62" s="118" t="s">
        <v>519</v>
      </c>
      <c r="D62" s="184">
        <v>0</v>
      </c>
      <c r="E62" s="171">
        <v>0</v>
      </c>
      <c r="F62" s="171">
        <v>5500000000</v>
      </c>
      <c r="G62" s="156">
        <v>4.0000000000000001E-3</v>
      </c>
    </row>
    <row r="63" spans="1:7" ht="24.75" customHeight="1" x14ac:dyDescent="0.25">
      <c r="A63" s="131"/>
      <c r="B63" s="132" t="s">
        <v>520</v>
      </c>
      <c r="C63" s="118" t="s">
        <v>521</v>
      </c>
      <c r="D63" s="184">
        <v>0</v>
      </c>
      <c r="E63" s="171">
        <v>0</v>
      </c>
      <c r="F63" s="171">
        <v>0</v>
      </c>
      <c r="G63" s="156">
        <v>0</v>
      </c>
    </row>
    <row r="64" spans="1:7" ht="24.75" customHeight="1" x14ac:dyDescent="0.25">
      <c r="A64" s="131" t="s">
        <v>97</v>
      </c>
      <c r="B64" s="132" t="s">
        <v>522</v>
      </c>
      <c r="C64" s="118" t="s">
        <v>523</v>
      </c>
      <c r="D64" s="184">
        <v>0</v>
      </c>
      <c r="E64" s="171">
        <v>0</v>
      </c>
      <c r="F64" s="171">
        <v>0</v>
      </c>
      <c r="G64" s="156">
        <v>0</v>
      </c>
    </row>
    <row r="65" spans="1:7" ht="24.75" customHeight="1" x14ac:dyDescent="0.25">
      <c r="A65" s="131" t="s">
        <v>78</v>
      </c>
      <c r="B65" s="132" t="s">
        <v>524</v>
      </c>
      <c r="C65" s="118" t="s">
        <v>525</v>
      </c>
      <c r="D65" s="184">
        <v>0</v>
      </c>
      <c r="E65" s="171">
        <v>0</v>
      </c>
      <c r="F65" s="171">
        <v>0</v>
      </c>
      <c r="G65" s="156">
        <v>0</v>
      </c>
    </row>
    <row r="66" spans="1:7" ht="24.75" customHeight="1" x14ac:dyDescent="0.25">
      <c r="A66" s="127"/>
      <c r="B66" s="128" t="s">
        <v>480</v>
      </c>
      <c r="C66" s="117" t="s">
        <v>526</v>
      </c>
      <c r="D66" s="183">
        <v>0</v>
      </c>
      <c r="E66" s="166">
        <v>0</v>
      </c>
      <c r="F66" s="166">
        <v>8902189543</v>
      </c>
      <c r="G66" s="154">
        <v>6.4999999999999997E-3</v>
      </c>
    </row>
    <row r="67" spans="1:7" ht="24.75" customHeight="1" x14ac:dyDescent="0.25">
      <c r="A67" s="159" t="s">
        <v>409</v>
      </c>
      <c r="B67" s="160" t="s">
        <v>527</v>
      </c>
      <c r="C67" s="120" t="s">
        <v>528</v>
      </c>
      <c r="D67" s="161">
        <v>51517095</v>
      </c>
      <c r="E67" s="185">
        <v>0</v>
      </c>
      <c r="F67" s="185">
        <v>1363496750025</v>
      </c>
      <c r="G67" s="162">
        <v>1</v>
      </c>
    </row>
    <row r="68" spans="1:7" x14ac:dyDescent="0.25">
      <c r="A68" s="108"/>
    </row>
    <row r="69" spans="1:7" ht="23.25" customHeight="1" x14ac:dyDescent="0.25">
      <c r="A69" s="109"/>
    </row>
    <row r="70" spans="1:7" ht="8.25" customHeight="1" x14ac:dyDescent="0.25">
      <c r="A70" s="97"/>
      <c r="B70" s="97"/>
      <c r="C70" s="97"/>
    </row>
    <row r="71" spans="1:7" ht="42" x14ac:dyDescent="0.25">
      <c r="A71" s="110" t="s">
        <v>21</v>
      </c>
      <c r="B71" s="111" t="s">
        <v>529</v>
      </c>
      <c r="C71" s="111" t="s">
        <v>530</v>
      </c>
      <c r="D71" s="111" t="s">
        <v>531</v>
      </c>
      <c r="E71" s="111" t="s">
        <v>532</v>
      </c>
      <c r="F71" s="111" t="s">
        <v>533</v>
      </c>
      <c r="G71" s="112" t="s">
        <v>534</v>
      </c>
    </row>
    <row r="72" spans="1:7" x14ac:dyDescent="0.25">
      <c r="A72" s="86"/>
      <c r="B72" s="86"/>
      <c r="C72" s="86"/>
      <c r="D72" s="86"/>
    </row>
    <row r="73" spans="1:7" x14ac:dyDescent="0.25">
      <c r="A73" s="101"/>
      <c r="B73" s="101"/>
    </row>
    <row r="74" spans="1:7" x14ac:dyDescent="0.25">
      <c r="A74" s="104"/>
      <c r="B74" s="104"/>
    </row>
    <row r="75" spans="1:7" ht="24.75" customHeight="1" x14ac:dyDescent="0.25">
      <c r="A75" s="86"/>
      <c r="B75" s="86"/>
      <c r="C75" s="86"/>
      <c r="D75" s="86"/>
    </row>
    <row r="76" spans="1:7" ht="30" customHeight="1" x14ac:dyDescent="0.25">
      <c r="A76" s="86"/>
      <c r="B76" s="86"/>
      <c r="C76" s="86"/>
      <c r="D76" s="86"/>
    </row>
    <row r="77" spans="1:7" x14ac:dyDescent="0.25">
      <c r="A77" s="86"/>
      <c r="B77" s="86"/>
      <c r="C77" s="86"/>
      <c r="D77" s="86"/>
    </row>
    <row r="78" spans="1:7" x14ac:dyDescent="0.25">
      <c r="A78" s="87"/>
      <c r="B78" s="87"/>
    </row>
    <row r="79" spans="1:7" s="187" customFormat="1" ht="14.25" x14ac:dyDescent="0.25">
      <c r="A79" s="186"/>
      <c r="B79" s="186"/>
    </row>
    <row r="80" spans="1:7" s="187" customFormat="1" ht="14.25" x14ac:dyDescent="0.25">
      <c r="A80" s="186"/>
      <c r="B80" s="186"/>
    </row>
  </sheetData>
  <mergeCells count="20">
    <mergeCell ref="C11:G11"/>
    <mergeCell ref="A1:B1"/>
    <mergeCell ref="C1:G1"/>
    <mergeCell ref="A2:G2"/>
    <mergeCell ref="C3:G3"/>
    <mergeCell ref="A4:G4"/>
    <mergeCell ref="A5:G5"/>
    <mergeCell ref="A6:G6"/>
    <mergeCell ref="C7:G7"/>
    <mergeCell ref="C8:G8"/>
    <mergeCell ref="C9:G9"/>
    <mergeCell ref="C10:G10"/>
    <mergeCell ref="A18:G18"/>
    <mergeCell ref="C19:G19"/>
    <mergeCell ref="C12:G12"/>
    <mergeCell ref="C13:G13"/>
    <mergeCell ref="C14:G14"/>
    <mergeCell ref="C16:G16"/>
    <mergeCell ref="A17:G17"/>
    <mergeCell ref="C15:G15"/>
  </mergeCells>
  <printOptions horizontalCentered="1"/>
  <pageMargins left="0.47" right="0.49" top="0.35" bottom="0.28999999999999998" header="0.3" footer="0.23"/>
  <pageSetup paperSize="9" scale="80"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9"/>
  <sheetViews>
    <sheetView showGridLines="0" showZeros="0" showOutlineSymbols="0" view="pageBreakPreview" topLeftCell="A16" zoomScaleNormal="100" zoomScaleSheetLayoutView="100" workbookViewId="0">
      <selection activeCell="B44" sqref="B44"/>
    </sheetView>
  </sheetViews>
  <sheetFormatPr defaultRowHeight="15" x14ac:dyDescent="0.25"/>
  <cols>
    <col min="1" max="1" width="6.28515625" style="85" customWidth="1"/>
    <col min="2" max="2" width="47.7109375" style="85" customWidth="1"/>
    <col min="3" max="3" width="11.42578125" style="85" customWidth="1"/>
    <col min="4" max="4" width="21.140625" style="85" customWidth="1"/>
    <col min="5" max="5" width="21" style="85" customWidth="1"/>
    <col min="6" max="256" width="9.140625" style="85"/>
    <col min="257" max="257" width="6.28515625" style="85" customWidth="1"/>
    <col min="258" max="258" width="50" style="85" customWidth="1"/>
    <col min="259" max="259" width="11.42578125" style="85" customWidth="1"/>
    <col min="260" max="261" width="19.85546875" style="85" customWidth="1"/>
    <col min="262" max="512" width="9.140625" style="85"/>
    <col min="513" max="513" width="6.28515625" style="85" customWidth="1"/>
    <col min="514" max="514" width="50" style="85" customWidth="1"/>
    <col min="515" max="515" width="11.42578125" style="85" customWidth="1"/>
    <col min="516" max="517" width="19.85546875" style="85" customWidth="1"/>
    <col min="518" max="768" width="9.140625" style="85"/>
    <col min="769" max="769" width="6.28515625" style="85" customWidth="1"/>
    <col min="770" max="770" width="50" style="85" customWidth="1"/>
    <col min="771" max="771" width="11.42578125" style="85" customWidth="1"/>
    <col min="772" max="773" width="19.85546875" style="85" customWidth="1"/>
    <col min="774" max="1024" width="9.140625" style="85"/>
    <col min="1025" max="1025" width="6.28515625" style="85" customWidth="1"/>
    <col min="1026" max="1026" width="50" style="85" customWidth="1"/>
    <col min="1027" max="1027" width="11.42578125" style="85" customWidth="1"/>
    <col min="1028" max="1029" width="19.85546875" style="85" customWidth="1"/>
    <col min="1030" max="1280" width="9.140625" style="85"/>
    <col min="1281" max="1281" width="6.28515625" style="85" customWidth="1"/>
    <col min="1282" max="1282" width="50" style="85" customWidth="1"/>
    <col min="1283" max="1283" width="11.42578125" style="85" customWidth="1"/>
    <col min="1284" max="1285" width="19.85546875" style="85" customWidth="1"/>
    <col min="1286" max="1536" width="9.140625" style="85"/>
    <col min="1537" max="1537" width="6.28515625" style="85" customWidth="1"/>
    <col min="1538" max="1538" width="50" style="85" customWidth="1"/>
    <col min="1539" max="1539" width="11.42578125" style="85" customWidth="1"/>
    <col min="1540" max="1541" width="19.85546875" style="85" customWidth="1"/>
    <col min="1542" max="1792" width="9.140625" style="85"/>
    <col min="1793" max="1793" width="6.28515625" style="85" customWidth="1"/>
    <col min="1794" max="1794" width="50" style="85" customWidth="1"/>
    <col min="1795" max="1795" width="11.42578125" style="85" customWidth="1"/>
    <col min="1796" max="1797" width="19.85546875" style="85" customWidth="1"/>
    <col min="1798" max="2048" width="9.140625" style="85"/>
    <col min="2049" max="2049" width="6.28515625" style="85" customWidth="1"/>
    <col min="2050" max="2050" width="50" style="85" customWidth="1"/>
    <col min="2051" max="2051" width="11.42578125" style="85" customWidth="1"/>
    <col min="2052" max="2053" width="19.85546875" style="85" customWidth="1"/>
    <col min="2054" max="2304" width="9.140625" style="85"/>
    <col min="2305" max="2305" width="6.28515625" style="85" customWidth="1"/>
    <col min="2306" max="2306" width="50" style="85" customWidth="1"/>
    <col min="2307" max="2307" width="11.42578125" style="85" customWidth="1"/>
    <col min="2308" max="2309" width="19.85546875" style="85" customWidth="1"/>
    <col min="2310" max="2560" width="9.140625" style="85"/>
    <col min="2561" max="2561" width="6.28515625" style="85" customWidth="1"/>
    <col min="2562" max="2562" width="50" style="85" customWidth="1"/>
    <col min="2563" max="2563" width="11.42578125" style="85" customWidth="1"/>
    <col min="2564" max="2565" width="19.85546875" style="85" customWidth="1"/>
    <col min="2566" max="2816" width="9.140625" style="85"/>
    <col min="2817" max="2817" width="6.28515625" style="85" customWidth="1"/>
    <col min="2818" max="2818" width="50" style="85" customWidth="1"/>
    <col min="2819" max="2819" width="11.42578125" style="85" customWidth="1"/>
    <col min="2820" max="2821" width="19.85546875" style="85" customWidth="1"/>
    <col min="2822" max="3072" width="9.140625" style="85"/>
    <col min="3073" max="3073" width="6.28515625" style="85" customWidth="1"/>
    <col min="3074" max="3074" width="50" style="85" customWidth="1"/>
    <col min="3075" max="3075" width="11.42578125" style="85" customWidth="1"/>
    <col min="3076" max="3077" width="19.85546875" style="85" customWidth="1"/>
    <col min="3078" max="3328" width="9.140625" style="85"/>
    <col min="3329" max="3329" width="6.28515625" style="85" customWidth="1"/>
    <col min="3330" max="3330" width="50" style="85" customWidth="1"/>
    <col min="3331" max="3331" width="11.42578125" style="85" customWidth="1"/>
    <col min="3332" max="3333" width="19.85546875" style="85" customWidth="1"/>
    <col min="3334" max="3584" width="9.140625" style="85"/>
    <col min="3585" max="3585" width="6.28515625" style="85" customWidth="1"/>
    <col min="3586" max="3586" width="50" style="85" customWidth="1"/>
    <col min="3587" max="3587" width="11.42578125" style="85" customWidth="1"/>
    <col min="3588" max="3589" width="19.85546875" style="85" customWidth="1"/>
    <col min="3590" max="3840" width="9.140625" style="85"/>
    <col min="3841" max="3841" width="6.28515625" style="85" customWidth="1"/>
    <col min="3842" max="3842" width="50" style="85" customWidth="1"/>
    <col min="3843" max="3843" width="11.42578125" style="85" customWidth="1"/>
    <col min="3844" max="3845" width="19.85546875" style="85" customWidth="1"/>
    <col min="3846" max="4096" width="9.140625" style="85"/>
    <col min="4097" max="4097" width="6.28515625" style="85" customWidth="1"/>
    <col min="4098" max="4098" width="50" style="85" customWidth="1"/>
    <col min="4099" max="4099" width="11.42578125" style="85" customWidth="1"/>
    <col min="4100" max="4101" width="19.85546875" style="85" customWidth="1"/>
    <col min="4102" max="4352" width="9.140625" style="85"/>
    <col min="4353" max="4353" width="6.28515625" style="85" customWidth="1"/>
    <col min="4354" max="4354" width="50" style="85" customWidth="1"/>
    <col min="4355" max="4355" width="11.42578125" style="85" customWidth="1"/>
    <col min="4356" max="4357" width="19.85546875" style="85" customWidth="1"/>
    <col min="4358" max="4608" width="9.140625" style="85"/>
    <col min="4609" max="4609" width="6.28515625" style="85" customWidth="1"/>
    <col min="4610" max="4610" width="50" style="85" customWidth="1"/>
    <col min="4611" max="4611" width="11.42578125" style="85" customWidth="1"/>
    <col min="4612" max="4613" width="19.85546875" style="85" customWidth="1"/>
    <col min="4614" max="4864" width="9.140625" style="85"/>
    <col min="4865" max="4865" width="6.28515625" style="85" customWidth="1"/>
    <col min="4866" max="4866" width="50" style="85" customWidth="1"/>
    <col min="4867" max="4867" width="11.42578125" style="85" customWidth="1"/>
    <col min="4868" max="4869" width="19.85546875" style="85" customWidth="1"/>
    <col min="4870" max="5120" width="9.140625" style="85"/>
    <col min="5121" max="5121" width="6.28515625" style="85" customWidth="1"/>
    <col min="5122" max="5122" width="50" style="85" customWidth="1"/>
    <col min="5123" max="5123" width="11.42578125" style="85" customWidth="1"/>
    <col min="5124" max="5125" width="19.85546875" style="85" customWidth="1"/>
    <col min="5126" max="5376" width="9.140625" style="85"/>
    <col min="5377" max="5377" width="6.28515625" style="85" customWidth="1"/>
    <col min="5378" max="5378" width="50" style="85" customWidth="1"/>
    <col min="5379" max="5379" width="11.42578125" style="85" customWidth="1"/>
    <col min="5380" max="5381" width="19.85546875" style="85" customWidth="1"/>
    <col min="5382" max="5632" width="9.140625" style="85"/>
    <col min="5633" max="5633" width="6.28515625" style="85" customWidth="1"/>
    <col min="5634" max="5634" width="50" style="85" customWidth="1"/>
    <col min="5635" max="5635" width="11.42578125" style="85" customWidth="1"/>
    <col min="5636" max="5637" width="19.85546875" style="85" customWidth="1"/>
    <col min="5638" max="5888" width="9.140625" style="85"/>
    <col min="5889" max="5889" width="6.28515625" style="85" customWidth="1"/>
    <col min="5890" max="5890" width="50" style="85" customWidth="1"/>
    <col min="5891" max="5891" width="11.42578125" style="85" customWidth="1"/>
    <col min="5892" max="5893" width="19.85546875" style="85" customWidth="1"/>
    <col min="5894" max="6144" width="9.140625" style="85"/>
    <col min="6145" max="6145" width="6.28515625" style="85" customWidth="1"/>
    <col min="6146" max="6146" width="50" style="85" customWidth="1"/>
    <col min="6147" max="6147" width="11.42578125" style="85" customWidth="1"/>
    <col min="6148" max="6149" width="19.85546875" style="85" customWidth="1"/>
    <col min="6150" max="6400" width="9.140625" style="85"/>
    <col min="6401" max="6401" width="6.28515625" style="85" customWidth="1"/>
    <col min="6402" max="6402" width="50" style="85" customWidth="1"/>
    <col min="6403" max="6403" width="11.42578125" style="85" customWidth="1"/>
    <col min="6404" max="6405" width="19.85546875" style="85" customWidth="1"/>
    <col min="6406" max="6656" width="9.140625" style="85"/>
    <col min="6657" max="6657" width="6.28515625" style="85" customWidth="1"/>
    <col min="6658" max="6658" width="50" style="85" customWidth="1"/>
    <col min="6659" max="6659" width="11.42578125" style="85" customWidth="1"/>
    <col min="6660" max="6661" width="19.85546875" style="85" customWidth="1"/>
    <col min="6662" max="6912" width="9.140625" style="85"/>
    <col min="6913" max="6913" width="6.28515625" style="85" customWidth="1"/>
    <col min="6914" max="6914" width="50" style="85" customWidth="1"/>
    <col min="6915" max="6915" width="11.42578125" style="85" customWidth="1"/>
    <col min="6916" max="6917" width="19.85546875" style="85" customWidth="1"/>
    <col min="6918" max="7168" width="9.140625" style="85"/>
    <col min="7169" max="7169" width="6.28515625" style="85" customWidth="1"/>
    <col min="7170" max="7170" width="50" style="85" customWidth="1"/>
    <col min="7171" max="7171" width="11.42578125" style="85" customWidth="1"/>
    <col min="7172" max="7173" width="19.85546875" style="85" customWidth="1"/>
    <col min="7174" max="7424" width="9.140625" style="85"/>
    <col min="7425" max="7425" width="6.28515625" style="85" customWidth="1"/>
    <col min="7426" max="7426" width="50" style="85" customWidth="1"/>
    <col min="7427" max="7427" width="11.42578125" style="85" customWidth="1"/>
    <col min="7428" max="7429" width="19.85546875" style="85" customWidth="1"/>
    <col min="7430" max="7680" width="9.140625" style="85"/>
    <col min="7681" max="7681" width="6.28515625" style="85" customWidth="1"/>
    <col min="7682" max="7682" width="50" style="85" customWidth="1"/>
    <col min="7683" max="7683" width="11.42578125" style="85" customWidth="1"/>
    <col min="7684" max="7685" width="19.85546875" style="85" customWidth="1"/>
    <col min="7686" max="7936" width="9.140625" style="85"/>
    <col min="7937" max="7937" width="6.28515625" style="85" customWidth="1"/>
    <col min="7938" max="7938" width="50" style="85" customWidth="1"/>
    <col min="7939" max="7939" width="11.42578125" style="85" customWidth="1"/>
    <col min="7940" max="7941" width="19.85546875" style="85" customWidth="1"/>
    <col min="7942" max="8192" width="9.140625" style="85"/>
    <col min="8193" max="8193" width="6.28515625" style="85" customWidth="1"/>
    <col min="8194" max="8194" width="50" style="85" customWidth="1"/>
    <col min="8195" max="8195" width="11.42578125" style="85" customWidth="1"/>
    <col min="8196" max="8197" width="19.85546875" style="85" customWidth="1"/>
    <col min="8198" max="8448" width="9.140625" style="85"/>
    <col min="8449" max="8449" width="6.28515625" style="85" customWidth="1"/>
    <col min="8450" max="8450" width="50" style="85" customWidth="1"/>
    <col min="8451" max="8451" width="11.42578125" style="85" customWidth="1"/>
    <col min="8452" max="8453" width="19.85546875" style="85" customWidth="1"/>
    <col min="8454" max="8704" width="9.140625" style="85"/>
    <col min="8705" max="8705" width="6.28515625" style="85" customWidth="1"/>
    <col min="8706" max="8706" width="50" style="85" customWidth="1"/>
    <col min="8707" max="8707" width="11.42578125" style="85" customWidth="1"/>
    <col min="8708" max="8709" width="19.85546875" style="85" customWidth="1"/>
    <col min="8710" max="8960" width="9.140625" style="85"/>
    <col min="8961" max="8961" width="6.28515625" style="85" customWidth="1"/>
    <col min="8962" max="8962" width="50" style="85" customWidth="1"/>
    <col min="8963" max="8963" width="11.42578125" style="85" customWidth="1"/>
    <col min="8964" max="8965" width="19.85546875" style="85" customWidth="1"/>
    <col min="8966" max="9216" width="9.140625" style="85"/>
    <col min="9217" max="9217" width="6.28515625" style="85" customWidth="1"/>
    <col min="9218" max="9218" width="50" style="85" customWidth="1"/>
    <col min="9219" max="9219" width="11.42578125" style="85" customWidth="1"/>
    <col min="9220" max="9221" width="19.85546875" style="85" customWidth="1"/>
    <col min="9222" max="9472" width="9.140625" style="85"/>
    <col min="9473" max="9473" width="6.28515625" style="85" customWidth="1"/>
    <col min="9474" max="9474" width="50" style="85" customWidth="1"/>
    <col min="9475" max="9475" width="11.42578125" style="85" customWidth="1"/>
    <col min="9476" max="9477" width="19.85546875" style="85" customWidth="1"/>
    <col min="9478" max="9728" width="9.140625" style="85"/>
    <col min="9729" max="9729" width="6.28515625" style="85" customWidth="1"/>
    <col min="9730" max="9730" width="50" style="85" customWidth="1"/>
    <col min="9731" max="9731" width="11.42578125" style="85" customWidth="1"/>
    <col min="9732" max="9733" width="19.85546875" style="85" customWidth="1"/>
    <col min="9734" max="9984" width="9.140625" style="85"/>
    <col min="9985" max="9985" width="6.28515625" style="85" customWidth="1"/>
    <col min="9986" max="9986" width="50" style="85" customWidth="1"/>
    <col min="9987" max="9987" width="11.42578125" style="85" customWidth="1"/>
    <col min="9988" max="9989" width="19.85546875" style="85" customWidth="1"/>
    <col min="9990" max="10240" width="9.140625" style="85"/>
    <col min="10241" max="10241" width="6.28515625" style="85" customWidth="1"/>
    <col min="10242" max="10242" width="50" style="85" customWidth="1"/>
    <col min="10243" max="10243" width="11.42578125" style="85" customWidth="1"/>
    <col min="10244" max="10245" width="19.85546875" style="85" customWidth="1"/>
    <col min="10246" max="10496" width="9.140625" style="85"/>
    <col min="10497" max="10497" width="6.28515625" style="85" customWidth="1"/>
    <col min="10498" max="10498" width="50" style="85" customWidth="1"/>
    <col min="10499" max="10499" width="11.42578125" style="85" customWidth="1"/>
    <col min="10500" max="10501" width="19.85546875" style="85" customWidth="1"/>
    <col min="10502" max="10752" width="9.140625" style="85"/>
    <col min="10753" max="10753" width="6.28515625" style="85" customWidth="1"/>
    <col min="10754" max="10754" width="50" style="85" customWidth="1"/>
    <col min="10755" max="10755" width="11.42578125" style="85" customWidth="1"/>
    <col min="10756" max="10757" width="19.85546875" style="85" customWidth="1"/>
    <col min="10758" max="11008" width="9.140625" style="85"/>
    <col min="11009" max="11009" width="6.28515625" style="85" customWidth="1"/>
    <col min="11010" max="11010" width="50" style="85" customWidth="1"/>
    <col min="11011" max="11011" width="11.42578125" style="85" customWidth="1"/>
    <col min="11012" max="11013" width="19.85546875" style="85" customWidth="1"/>
    <col min="11014" max="11264" width="9.140625" style="85"/>
    <col min="11265" max="11265" width="6.28515625" style="85" customWidth="1"/>
    <col min="11266" max="11266" width="50" style="85" customWidth="1"/>
    <col min="11267" max="11267" width="11.42578125" style="85" customWidth="1"/>
    <col min="11268" max="11269" width="19.85546875" style="85" customWidth="1"/>
    <col min="11270" max="11520" width="9.140625" style="85"/>
    <col min="11521" max="11521" width="6.28515625" style="85" customWidth="1"/>
    <col min="11522" max="11522" width="50" style="85" customWidth="1"/>
    <col min="11523" max="11523" width="11.42578125" style="85" customWidth="1"/>
    <col min="11524" max="11525" width="19.85546875" style="85" customWidth="1"/>
    <col min="11526" max="11776" width="9.140625" style="85"/>
    <col min="11777" max="11777" width="6.28515625" style="85" customWidth="1"/>
    <col min="11778" max="11778" width="50" style="85" customWidth="1"/>
    <col min="11779" max="11779" width="11.42578125" style="85" customWidth="1"/>
    <col min="11780" max="11781" width="19.85546875" style="85" customWidth="1"/>
    <col min="11782" max="12032" width="9.140625" style="85"/>
    <col min="12033" max="12033" width="6.28515625" style="85" customWidth="1"/>
    <col min="12034" max="12034" width="50" style="85" customWidth="1"/>
    <col min="12035" max="12035" width="11.42578125" style="85" customWidth="1"/>
    <col min="12036" max="12037" width="19.85546875" style="85" customWidth="1"/>
    <col min="12038" max="12288" width="9.140625" style="85"/>
    <col min="12289" max="12289" width="6.28515625" style="85" customWidth="1"/>
    <col min="12290" max="12290" width="50" style="85" customWidth="1"/>
    <col min="12291" max="12291" width="11.42578125" style="85" customWidth="1"/>
    <col min="12292" max="12293" width="19.85546875" style="85" customWidth="1"/>
    <col min="12294" max="12544" width="9.140625" style="85"/>
    <col min="12545" max="12545" width="6.28515625" style="85" customWidth="1"/>
    <col min="12546" max="12546" width="50" style="85" customWidth="1"/>
    <col min="12547" max="12547" width="11.42578125" style="85" customWidth="1"/>
    <col min="12548" max="12549" width="19.85546875" style="85" customWidth="1"/>
    <col min="12550" max="12800" width="9.140625" style="85"/>
    <col min="12801" max="12801" width="6.28515625" style="85" customWidth="1"/>
    <col min="12802" max="12802" width="50" style="85" customWidth="1"/>
    <col min="12803" max="12803" width="11.42578125" style="85" customWidth="1"/>
    <col min="12804" max="12805" width="19.85546875" style="85" customWidth="1"/>
    <col min="12806" max="13056" width="9.140625" style="85"/>
    <col min="13057" max="13057" width="6.28515625" style="85" customWidth="1"/>
    <col min="13058" max="13058" width="50" style="85" customWidth="1"/>
    <col min="13059" max="13059" width="11.42578125" style="85" customWidth="1"/>
    <col min="13060" max="13061" width="19.85546875" style="85" customWidth="1"/>
    <col min="13062" max="13312" width="9.140625" style="85"/>
    <col min="13313" max="13313" width="6.28515625" style="85" customWidth="1"/>
    <col min="13314" max="13314" width="50" style="85" customWidth="1"/>
    <col min="13315" max="13315" width="11.42578125" style="85" customWidth="1"/>
    <col min="13316" max="13317" width="19.85546875" style="85" customWidth="1"/>
    <col min="13318" max="13568" width="9.140625" style="85"/>
    <col min="13569" max="13569" width="6.28515625" style="85" customWidth="1"/>
    <col min="13570" max="13570" width="50" style="85" customWidth="1"/>
    <col min="13571" max="13571" width="11.42578125" style="85" customWidth="1"/>
    <col min="13572" max="13573" width="19.85546875" style="85" customWidth="1"/>
    <col min="13574" max="13824" width="9.140625" style="85"/>
    <col min="13825" max="13825" width="6.28515625" style="85" customWidth="1"/>
    <col min="13826" max="13826" width="50" style="85" customWidth="1"/>
    <col min="13827" max="13827" width="11.42578125" style="85" customWidth="1"/>
    <col min="13828" max="13829" width="19.85546875" style="85" customWidth="1"/>
    <col min="13830" max="14080" width="9.140625" style="85"/>
    <col min="14081" max="14081" width="6.28515625" style="85" customWidth="1"/>
    <col min="14082" max="14082" width="50" style="85" customWidth="1"/>
    <col min="14083" max="14083" width="11.42578125" style="85" customWidth="1"/>
    <col min="14084" max="14085" width="19.85546875" style="85" customWidth="1"/>
    <col min="14086" max="14336" width="9.140625" style="85"/>
    <col min="14337" max="14337" width="6.28515625" style="85" customWidth="1"/>
    <col min="14338" max="14338" width="50" style="85" customWidth="1"/>
    <col min="14339" max="14339" width="11.42578125" style="85" customWidth="1"/>
    <col min="14340" max="14341" width="19.85546875" style="85" customWidth="1"/>
    <col min="14342" max="14592" width="9.140625" style="85"/>
    <col min="14593" max="14593" width="6.28515625" style="85" customWidth="1"/>
    <col min="14594" max="14594" width="50" style="85" customWidth="1"/>
    <col min="14595" max="14595" width="11.42578125" style="85" customWidth="1"/>
    <col min="14596" max="14597" width="19.85546875" style="85" customWidth="1"/>
    <col min="14598" max="14848" width="9.140625" style="85"/>
    <col min="14849" max="14849" width="6.28515625" style="85" customWidth="1"/>
    <col min="14850" max="14850" width="50" style="85" customWidth="1"/>
    <col min="14851" max="14851" width="11.42578125" style="85" customWidth="1"/>
    <col min="14852" max="14853" width="19.85546875" style="85" customWidth="1"/>
    <col min="14854" max="15104" width="9.140625" style="85"/>
    <col min="15105" max="15105" width="6.28515625" style="85" customWidth="1"/>
    <col min="15106" max="15106" width="50" style="85" customWidth="1"/>
    <col min="15107" max="15107" width="11.42578125" style="85" customWidth="1"/>
    <col min="15108" max="15109" width="19.85546875" style="85" customWidth="1"/>
    <col min="15110" max="15360" width="9.140625" style="85"/>
    <col min="15361" max="15361" width="6.28515625" style="85" customWidth="1"/>
    <col min="15362" max="15362" width="50" style="85" customWidth="1"/>
    <col min="15363" max="15363" width="11.42578125" style="85" customWidth="1"/>
    <col min="15364" max="15365" width="19.85546875" style="85" customWidth="1"/>
    <col min="15366" max="15616" width="9.140625" style="85"/>
    <col min="15617" max="15617" width="6.28515625" style="85" customWidth="1"/>
    <col min="15618" max="15618" width="50" style="85" customWidth="1"/>
    <col min="15619" max="15619" width="11.42578125" style="85" customWidth="1"/>
    <col min="15620" max="15621" width="19.85546875" style="85" customWidth="1"/>
    <col min="15622" max="15872" width="9.140625" style="85"/>
    <col min="15873" max="15873" width="6.28515625" style="85" customWidth="1"/>
    <col min="15874" max="15874" width="50" style="85" customWidth="1"/>
    <col min="15875" max="15875" width="11.42578125" style="85" customWidth="1"/>
    <col min="15876" max="15877" width="19.85546875" style="85" customWidth="1"/>
    <col min="15878" max="16128" width="9.140625" style="85"/>
    <col min="16129" max="16129" width="6.28515625" style="85" customWidth="1"/>
    <col min="16130" max="16130" width="50" style="85" customWidth="1"/>
    <col min="16131" max="16131" width="11.42578125" style="85" customWidth="1"/>
    <col min="16132" max="16133" width="19.85546875" style="85" customWidth="1"/>
    <col min="16134" max="16384" width="9.140625" style="85"/>
  </cols>
  <sheetData>
    <row r="1" spans="1:5" ht="45.75" customHeight="1" x14ac:dyDescent="0.25">
      <c r="A1" s="270"/>
      <c r="B1" s="270"/>
      <c r="C1" s="279" t="s">
        <v>535</v>
      </c>
      <c r="D1" s="279"/>
      <c r="E1" s="279"/>
    </row>
    <row r="2" spans="1:5" ht="46.5" customHeight="1" x14ac:dyDescent="0.25">
      <c r="A2" s="280" t="s">
        <v>287</v>
      </c>
      <c r="B2" s="280"/>
      <c r="C2" s="280"/>
      <c r="D2" s="280"/>
      <c r="E2" s="280"/>
    </row>
    <row r="3" spans="1:5" ht="33.75" customHeight="1" x14ac:dyDescent="0.25">
      <c r="A3" s="113"/>
      <c r="B3" s="281" t="s">
        <v>536</v>
      </c>
      <c r="C3" s="281"/>
      <c r="D3" s="281"/>
      <c r="E3" s="281"/>
    </row>
    <row r="4" spans="1:5" ht="12.75" customHeight="1" x14ac:dyDescent="0.25">
      <c r="A4" s="86"/>
      <c r="B4" s="271" t="s">
        <v>1070</v>
      </c>
      <c r="C4" s="271"/>
      <c r="D4" s="271"/>
      <c r="E4" s="271"/>
    </row>
    <row r="5" spans="1:5" ht="12.75" customHeight="1" x14ac:dyDescent="0.25">
      <c r="A5" s="101" t="s">
        <v>94</v>
      </c>
      <c r="B5" s="103" t="s">
        <v>95</v>
      </c>
      <c r="C5" s="288" t="s">
        <v>96</v>
      </c>
      <c r="D5" s="288"/>
      <c r="E5" s="288"/>
    </row>
    <row r="6" spans="1:5" ht="12.75" customHeight="1" x14ac:dyDescent="0.25">
      <c r="A6" s="86"/>
      <c r="B6" s="106" t="s">
        <v>4</v>
      </c>
      <c r="C6" s="287" t="s">
        <v>5</v>
      </c>
      <c r="D6" s="287"/>
      <c r="E6" s="287"/>
    </row>
    <row r="7" spans="1:5" ht="12.75" customHeight="1" x14ac:dyDescent="0.25">
      <c r="A7" s="101" t="s">
        <v>97</v>
      </c>
      <c r="B7" s="103" t="s">
        <v>98</v>
      </c>
      <c r="C7" s="288" t="s">
        <v>99</v>
      </c>
      <c r="D7" s="288"/>
      <c r="E7" s="288"/>
    </row>
    <row r="8" spans="1:5" ht="12.75" customHeight="1" x14ac:dyDescent="0.25">
      <c r="A8" s="86"/>
      <c r="B8" s="106" t="s">
        <v>8</v>
      </c>
      <c r="C8" s="287" t="s">
        <v>100</v>
      </c>
      <c r="D8" s="287"/>
      <c r="E8" s="287"/>
    </row>
    <row r="9" spans="1:5" ht="12.75" customHeight="1" x14ac:dyDescent="0.25">
      <c r="A9" s="101" t="s">
        <v>78</v>
      </c>
      <c r="B9" s="103" t="s">
        <v>10</v>
      </c>
      <c r="C9" s="288" t="s">
        <v>101</v>
      </c>
      <c r="D9" s="288"/>
      <c r="E9" s="288"/>
    </row>
    <row r="10" spans="1:5" ht="12.75" customHeight="1" x14ac:dyDescent="0.25">
      <c r="A10" s="86"/>
      <c r="B10" s="106" t="s">
        <v>12</v>
      </c>
      <c r="C10" s="287" t="s">
        <v>102</v>
      </c>
      <c r="D10" s="287"/>
      <c r="E10" s="287"/>
    </row>
    <row r="11" spans="1:5" ht="12.75" customHeight="1" x14ac:dyDescent="0.25">
      <c r="A11" s="101" t="s">
        <v>84</v>
      </c>
      <c r="B11" s="103" t="s">
        <v>14</v>
      </c>
      <c r="C11" s="289">
        <v>44013</v>
      </c>
      <c r="D11" s="289"/>
      <c r="E11" s="289"/>
    </row>
    <row r="12" spans="1:5" ht="12.75" customHeight="1" x14ac:dyDescent="0.25">
      <c r="A12" s="86"/>
      <c r="B12" s="106" t="s">
        <v>15</v>
      </c>
      <c r="C12" s="292">
        <v>44013</v>
      </c>
      <c r="D12" s="292"/>
      <c r="E12" s="292"/>
    </row>
    <row r="13" spans="1:5" ht="6" customHeight="1" x14ac:dyDescent="0.25">
      <c r="A13" s="86"/>
      <c r="B13" s="106"/>
      <c r="C13" s="290"/>
      <c r="D13" s="290"/>
      <c r="E13" s="290"/>
    </row>
    <row r="14" spans="1:5" ht="12.75" customHeight="1" x14ac:dyDescent="0.25">
      <c r="A14" s="288" t="s">
        <v>103</v>
      </c>
      <c r="B14" s="288"/>
      <c r="C14" s="288"/>
      <c r="D14" s="288"/>
      <c r="E14" s="288"/>
    </row>
    <row r="15" spans="1:5" ht="12.75" customHeight="1" x14ac:dyDescent="0.25">
      <c r="A15" s="288" t="s">
        <v>537</v>
      </c>
      <c r="B15" s="288"/>
      <c r="C15" s="288"/>
      <c r="D15" s="288"/>
      <c r="E15" s="288"/>
    </row>
    <row r="16" spans="1:5" ht="12.75" customHeight="1" x14ac:dyDescent="0.25">
      <c r="A16" s="291" t="s">
        <v>105</v>
      </c>
      <c r="B16" s="291"/>
      <c r="C16" s="291"/>
      <c r="D16" s="291"/>
      <c r="E16" s="291"/>
    </row>
    <row r="17" spans="1:5" ht="30" customHeight="1" x14ac:dyDescent="0.25">
      <c r="A17" s="98" t="s">
        <v>538</v>
      </c>
      <c r="B17" s="99" t="s">
        <v>107</v>
      </c>
      <c r="C17" s="99" t="s">
        <v>108</v>
      </c>
      <c r="D17" s="99" t="s">
        <v>1071</v>
      </c>
      <c r="E17" s="100" t="s">
        <v>1057</v>
      </c>
    </row>
    <row r="18" spans="1:5" ht="27" customHeight="1" x14ac:dyDescent="0.25">
      <c r="A18" s="127" t="s">
        <v>68</v>
      </c>
      <c r="B18" s="128" t="s">
        <v>539</v>
      </c>
      <c r="C18" s="117" t="s">
        <v>540</v>
      </c>
      <c r="D18" s="153">
        <v>0</v>
      </c>
      <c r="E18" s="189">
        <v>0</v>
      </c>
    </row>
    <row r="19" spans="1:5" ht="36.75" customHeight="1" x14ac:dyDescent="0.25">
      <c r="A19" s="131" t="s">
        <v>94</v>
      </c>
      <c r="B19" s="132" t="s">
        <v>541</v>
      </c>
      <c r="C19" s="118" t="s">
        <v>542</v>
      </c>
      <c r="D19" s="190">
        <v>7.8720000000000005E-3</v>
      </c>
      <c r="E19" s="156">
        <v>8.1359999999999991E-3</v>
      </c>
    </row>
    <row r="20" spans="1:5" ht="36.75" customHeight="1" x14ac:dyDescent="0.25">
      <c r="A20" s="131" t="s">
        <v>97</v>
      </c>
      <c r="B20" s="132" t="s">
        <v>543</v>
      </c>
      <c r="C20" s="118" t="s">
        <v>544</v>
      </c>
      <c r="D20" s="190">
        <v>6.96E-4</v>
      </c>
      <c r="E20" s="156">
        <v>1.14E-3</v>
      </c>
    </row>
    <row r="21" spans="1:5" ht="57" customHeight="1" x14ac:dyDescent="0.25">
      <c r="A21" s="131" t="s">
        <v>78</v>
      </c>
      <c r="B21" s="132" t="s">
        <v>545</v>
      </c>
      <c r="C21" s="118" t="s">
        <v>546</v>
      </c>
      <c r="D21" s="190">
        <v>1.3439999999999999E-3</v>
      </c>
      <c r="E21" s="156">
        <v>2.0279999999999999E-3</v>
      </c>
    </row>
    <row r="22" spans="1:5" ht="36.75" customHeight="1" x14ac:dyDescent="0.25">
      <c r="A22" s="131" t="s">
        <v>84</v>
      </c>
      <c r="B22" s="132" t="s">
        <v>547</v>
      </c>
      <c r="C22" s="118" t="s">
        <v>548</v>
      </c>
      <c r="D22" s="190">
        <v>1.44E-4</v>
      </c>
      <c r="E22" s="156">
        <v>0</v>
      </c>
    </row>
    <row r="23" spans="1:5" ht="68.25" customHeight="1" x14ac:dyDescent="0.25">
      <c r="A23" s="131" t="s">
        <v>341</v>
      </c>
      <c r="B23" s="132" t="s">
        <v>549</v>
      </c>
      <c r="C23" s="118" t="s">
        <v>550</v>
      </c>
      <c r="D23" s="190">
        <v>1.08E-4</v>
      </c>
      <c r="E23" s="156">
        <v>0</v>
      </c>
    </row>
    <row r="24" spans="1:5" ht="27" customHeight="1" x14ac:dyDescent="0.25">
      <c r="A24" s="131" t="s">
        <v>350</v>
      </c>
      <c r="B24" s="132" t="s">
        <v>551</v>
      </c>
      <c r="C24" s="118" t="s">
        <v>552</v>
      </c>
      <c r="D24" s="190">
        <v>1.0416E-2</v>
      </c>
      <c r="E24" s="156">
        <v>1.1748E-2</v>
      </c>
    </row>
    <row r="25" spans="1:5" ht="58.5" customHeight="1" x14ac:dyDescent="0.25">
      <c r="A25" s="131" t="s">
        <v>363</v>
      </c>
      <c r="B25" s="132" t="s">
        <v>553</v>
      </c>
      <c r="C25" s="118" t="s">
        <v>554</v>
      </c>
      <c r="D25" s="190">
        <v>1.4676E-2</v>
      </c>
      <c r="E25" s="156">
        <v>0.153396</v>
      </c>
    </row>
    <row r="26" spans="1:5" ht="27.75" customHeight="1" x14ac:dyDescent="0.25">
      <c r="A26" s="127" t="s">
        <v>73</v>
      </c>
      <c r="B26" s="128" t="s">
        <v>555</v>
      </c>
      <c r="C26" s="117" t="s">
        <v>556</v>
      </c>
      <c r="D26" s="153">
        <v>0</v>
      </c>
      <c r="E26" s="189">
        <v>0</v>
      </c>
    </row>
    <row r="27" spans="1:5" ht="27" customHeight="1" x14ac:dyDescent="0.25">
      <c r="A27" s="131" t="s">
        <v>94</v>
      </c>
      <c r="B27" s="132" t="s">
        <v>557</v>
      </c>
      <c r="C27" s="118" t="s">
        <v>558</v>
      </c>
      <c r="D27" s="155">
        <v>580000000000</v>
      </c>
      <c r="E27" s="191">
        <v>102000000000</v>
      </c>
    </row>
    <row r="28" spans="1:5" ht="36.75" customHeight="1" x14ac:dyDescent="0.25">
      <c r="A28" s="131"/>
      <c r="B28" s="132" t="s">
        <v>559</v>
      </c>
      <c r="C28" s="118" t="s">
        <v>560</v>
      </c>
      <c r="D28" s="155">
        <v>580000000000</v>
      </c>
      <c r="E28" s="191">
        <v>102000000000</v>
      </c>
    </row>
    <row r="29" spans="1:5" ht="37.5" customHeight="1" x14ac:dyDescent="0.25">
      <c r="A29" s="131"/>
      <c r="B29" s="132" t="s">
        <v>561</v>
      </c>
      <c r="C29" s="118" t="s">
        <v>562</v>
      </c>
      <c r="D29" s="155">
        <v>58000000</v>
      </c>
      <c r="E29" s="191">
        <v>10200000</v>
      </c>
    </row>
    <row r="30" spans="1:5" ht="24.75" customHeight="1" x14ac:dyDescent="0.25">
      <c r="A30" s="131" t="s">
        <v>97</v>
      </c>
      <c r="B30" s="132" t="s">
        <v>563</v>
      </c>
      <c r="C30" s="118" t="s">
        <v>564</v>
      </c>
      <c r="D30" s="155">
        <v>611000000000</v>
      </c>
      <c r="E30" s="191">
        <v>478000000000</v>
      </c>
    </row>
    <row r="31" spans="1:5" ht="24.75" customHeight="1" x14ac:dyDescent="0.25">
      <c r="A31" s="131"/>
      <c r="B31" s="132" t="s">
        <v>565</v>
      </c>
      <c r="C31" s="118" t="s">
        <v>566</v>
      </c>
      <c r="D31" s="155">
        <v>61100000</v>
      </c>
      <c r="E31" s="191">
        <v>47800000</v>
      </c>
    </row>
    <row r="32" spans="1:5" ht="24.75" customHeight="1" x14ac:dyDescent="0.25">
      <c r="A32" s="131"/>
      <c r="B32" s="132" t="s">
        <v>567</v>
      </c>
      <c r="C32" s="118" t="s">
        <v>568</v>
      </c>
      <c r="D32" s="155">
        <v>611000000000</v>
      </c>
      <c r="E32" s="191">
        <v>478000000000</v>
      </c>
    </row>
    <row r="33" spans="1:5" ht="24.75" customHeight="1" x14ac:dyDescent="0.25">
      <c r="A33" s="131"/>
      <c r="B33" s="132" t="s">
        <v>569</v>
      </c>
      <c r="C33" s="118" t="s">
        <v>570</v>
      </c>
      <c r="D33" s="155">
        <v>61100000</v>
      </c>
      <c r="E33" s="191">
        <v>47800000</v>
      </c>
    </row>
    <row r="34" spans="1:5" ht="24.75" customHeight="1" x14ac:dyDescent="0.25">
      <c r="A34" s="131"/>
      <c r="B34" s="132" t="s">
        <v>571</v>
      </c>
      <c r="C34" s="118" t="s">
        <v>572</v>
      </c>
      <c r="D34" s="155">
        <v>611000000000</v>
      </c>
      <c r="E34" s="191">
        <v>478000000000</v>
      </c>
    </row>
    <row r="35" spans="1:5" ht="24.75" customHeight="1" x14ac:dyDescent="0.25">
      <c r="A35" s="131"/>
      <c r="B35" s="132" t="s">
        <v>573</v>
      </c>
      <c r="C35" s="118" t="s">
        <v>574</v>
      </c>
      <c r="D35" s="155"/>
      <c r="E35" s="191"/>
    </row>
    <row r="36" spans="1:5" ht="36.75" customHeight="1" x14ac:dyDescent="0.25">
      <c r="A36" s="131"/>
      <c r="B36" s="132" t="s">
        <v>575</v>
      </c>
      <c r="C36" s="118" t="s">
        <v>576</v>
      </c>
      <c r="D36" s="155">
        <v>0</v>
      </c>
      <c r="E36" s="191">
        <v>0</v>
      </c>
    </row>
    <row r="37" spans="1:5" ht="27" customHeight="1" x14ac:dyDescent="0.25">
      <c r="A37" s="131" t="s">
        <v>78</v>
      </c>
      <c r="B37" s="132" t="s">
        <v>577</v>
      </c>
      <c r="C37" s="118" t="s">
        <v>578</v>
      </c>
      <c r="D37" s="155">
        <v>1191000000000</v>
      </c>
      <c r="E37" s="191">
        <v>580000000000</v>
      </c>
    </row>
    <row r="38" spans="1:5" ht="27" customHeight="1" x14ac:dyDescent="0.25">
      <c r="A38" s="131"/>
      <c r="B38" s="132" t="s">
        <v>579</v>
      </c>
      <c r="C38" s="118" t="s">
        <v>580</v>
      </c>
      <c r="D38" s="155">
        <v>1191000000000</v>
      </c>
      <c r="E38" s="191">
        <v>580000000000</v>
      </c>
    </row>
    <row r="39" spans="1:5" ht="36.75" customHeight="1" x14ac:dyDescent="0.25">
      <c r="A39" s="131"/>
      <c r="B39" s="132" t="s">
        <v>581</v>
      </c>
      <c r="C39" s="118" t="s">
        <v>582</v>
      </c>
      <c r="D39" s="155">
        <v>119100000</v>
      </c>
      <c r="E39" s="191">
        <v>58000000</v>
      </c>
    </row>
    <row r="40" spans="1:5" ht="46.5" customHeight="1" x14ac:dyDescent="0.25">
      <c r="A40" s="131" t="s">
        <v>84</v>
      </c>
      <c r="B40" s="132" t="s">
        <v>583</v>
      </c>
      <c r="C40" s="118" t="s">
        <v>584</v>
      </c>
      <c r="D40" s="192">
        <v>1.5484382871536523E-2</v>
      </c>
      <c r="E40" s="156">
        <v>3.1796379310344826E-2</v>
      </c>
    </row>
    <row r="41" spans="1:5" ht="25.5" customHeight="1" x14ac:dyDescent="0.25">
      <c r="A41" s="131" t="s">
        <v>341</v>
      </c>
      <c r="B41" s="132" t="s">
        <v>585</v>
      </c>
      <c r="C41" s="118" t="s">
        <v>586</v>
      </c>
      <c r="D41" s="192">
        <v>0.721525717884131</v>
      </c>
      <c r="E41" s="156">
        <v>0.73918022413793105</v>
      </c>
    </row>
    <row r="42" spans="1:5" ht="25.5" customHeight="1" x14ac:dyDescent="0.25">
      <c r="A42" s="131" t="s">
        <v>350</v>
      </c>
      <c r="B42" s="132" t="s">
        <v>587</v>
      </c>
      <c r="C42" s="118" t="s">
        <v>588</v>
      </c>
      <c r="D42" s="192">
        <v>0.97433986565911002</v>
      </c>
      <c r="E42" s="156">
        <v>0.96036153999999996</v>
      </c>
    </row>
    <row r="43" spans="1:5" ht="25.5" customHeight="1" x14ac:dyDescent="0.25">
      <c r="A43" s="131"/>
      <c r="B43" s="132" t="s">
        <v>589</v>
      </c>
      <c r="C43" s="118" t="s">
        <v>590</v>
      </c>
      <c r="D43" s="193">
        <v>387</v>
      </c>
      <c r="E43" s="191">
        <v>389</v>
      </c>
    </row>
    <row r="44" spans="1:5" ht="25.5" customHeight="1" x14ac:dyDescent="0.25">
      <c r="A44" s="131" t="s">
        <v>363</v>
      </c>
      <c r="B44" s="132" t="s">
        <v>591</v>
      </c>
      <c r="C44" s="118" t="s">
        <v>592</v>
      </c>
      <c r="D44" s="184">
        <v>11439.86</v>
      </c>
      <c r="E44" s="194">
        <v>12002.26</v>
      </c>
    </row>
    <row r="45" spans="1:5" ht="25.5" customHeight="1" x14ac:dyDescent="0.25">
      <c r="A45" s="195" t="s">
        <v>370</v>
      </c>
      <c r="B45" s="196" t="s">
        <v>593</v>
      </c>
      <c r="C45" s="197" t="s">
        <v>594</v>
      </c>
      <c r="D45" s="198">
        <v>11630</v>
      </c>
      <c r="E45" s="199">
        <v>12250</v>
      </c>
    </row>
    <row r="46" spans="1:5" ht="9" customHeight="1" x14ac:dyDescent="0.25">
      <c r="A46" s="270"/>
      <c r="B46" s="270"/>
      <c r="C46" s="270"/>
      <c r="D46" s="270"/>
      <c r="E46" s="270"/>
    </row>
    <row r="47" spans="1:5" ht="15.75" customHeight="1" x14ac:dyDescent="0.25">
      <c r="A47" s="287" t="s">
        <v>595</v>
      </c>
      <c r="B47" s="287"/>
      <c r="C47" s="270"/>
      <c r="D47" s="270"/>
      <c r="E47" s="270"/>
    </row>
    <row r="48" spans="1:5" ht="45" customHeight="1" x14ac:dyDescent="0.25">
      <c r="A48" s="277" t="s">
        <v>596</v>
      </c>
      <c r="B48" s="277"/>
      <c r="C48" s="277"/>
      <c r="D48" s="277"/>
      <c r="E48" s="277"/>
    </row>
    <row r="49" spans="1:5" ht="24.75" customHeight="1" x14ac:dyDescent="0.25">
      <c r="A49" s="277" t="s">
        <v>597</v>
      </c>
      <c r="B49" s="277"/>
      <c r="C49" s="277"/>
      <c r="D49" s="277"/>
      <c r="E49" s="277"/>
    </row>
    <row r="50" spans="1:5" ht="7.5" customHeight="1" x14ac:dyDescent="0.2">
      <c r="A50" s="270"/>
      <c r="B50" s="270"/>
      <c r="C50" s="296"/>
      <c r="D50" s="296"/>
      <c r="E50" s="296"/>
    </row>
    <row r="51" spans="1:5" ht="14.25" customHeight="1" x14ac:dyDescent="0.25">
      <c r="A51" s="279" t="s">
        <v>598</v>
      </c>
      <c r="B51" s="279"/>
      <c r="C51" s="279" t="s">
        <v>90</v>
      </c>
      <c r="D51" s="279"/>
      <c r="E51" s="279"/>
    </row>
    <row r="52" spans="1:5" ht="12" customHeight="1" x14ac:dyDescent="0.25">
      <c r="A52" s="295" t="s">
        <v>19</v>
      </c>
      <c r="B52" s="295"/>
      <c r="C52" s="295" t="s">
        <v>20</v>
      </c>
      <c r="D52" s="295"/>
      <c r="E52" s="295"/>
    </row>
    <row r="53" spans="1:5" ht="24" customHeight="1" x14ac:dyDescent="0.25">
      <c r="A53" s="270"/>
      <c r="B53" s="270"/>
      <c r="C53" s="270"/>
      <c r="D53" s="270"/>
      <c r="E53" s="270"/>
    </row>
    <row r="54" spans="1:5" ht="15.75" customHeight="1" x14ac:dyDescent="0.25">
      <c r="A54" s="270"/>
      <c r="B54" s="270"/>
      <c r="C54" s="270"/>
      <c r="D54" s="270"/>
      <c r="E54" s="270"/>
    </row>
    <row r="55" spans="1:5" ht="15.75" customHeight="1" x14ac:dyDescent="0.25">
      <c r="A55" s="270"/>
      <c r="B55" s="270"/>
      <c r="C55" s="270"/>
      <c r="D55" s="270"/>
      <c r="E55" s="270"/>
    </row>
    <row r="56" spans="1:5" ht="15.75" customHeight="1" x14ac:dyDescent="0.25">
      <c r="A56" s="270"/>
      <c r="B56" s="270"/>
      <c r="C56" s="270"/>
      <c r="D56" s="270"/>
      <c r="E56" s="270"/>
    </row>
    <row r="57" spans="1:5" ht="12.75" customHeight="1" x14ac:dyDescent="0.25">
      <c r="A57" s="268" t="s">
        <v>284</v>
      </c>
      <c r="B57" s="268"/>
      <c r="C57" s="268" t="s">
        <v>285</v>
      </c>
      <c r="D57" s="268"/>
      <c r="E57" s="268"/>
    </row>
    <row r="58" spans="1:5" s="188" customFormat="1" ht="12.75" customHeight="1" x14ac:dyDescent="0.25">
      <c r="A58" s="268" t="s">
        <v>1054</v>
      </c>
      <c r="B58" s="268"/>
      <c r="C58" s="268" t="s">
        <v>1067</v>
      </c>
      <c r="D58" s="268"/>
      <c r="E58" s="268"/>
    </row>
    <row r="59" spans="1:5" s="188" customFormat="1" ht="12.75" customHeight="1" x14ac:dyDescent="0.25">
      <c r="A59" s="268" t="s">
        <v>1068</v>
      </c>
      <c r="B59" s="268"/>
      <c r="C59" s="268" t="s">
        <v>1069</v>
      </c>
      <c r="D59" s="268"/>
      <c r="E59" s="268"/>
    </row>
  </sheetData>
  <mergeCells count="43">
    <mergeCell ref="C5:E5"/>
    <mergeCell ref="A1:B1"/>
    <mergeCell ref="C1:E1"/>
    <mergeCell ref="A2:E2"/>
    <mergeCell ref="B3:E3"/>
    <mergeCell ref="B4:E4"/>
    <mergeCell ref="A47:B47"/>
    <mergeCell ref="C47:E47"/>
    <mergeCell ref="C6:E6"/>
    <mergeCell ref="C7:E7"/>
    <mergeCell ref="C8:E8"/>
    <mergeCell ref="C9:E9"/>
    <mergeCell ref="C10:E10"/>
    <mergeCell ref="C11:E11"/>
    <mergeCell ref="C12:E12"/>
    <mergeCell ref="C13:E13"/>
    <mergeCell ref="A14:E14"/>
    <mergeCell ref="A15:E15"/>
    <mergeCell ref="A16:E16"/>
    <mergeCell ref="A46:B46"/>
    <mergeCell ref="C46:E46"/>
    <mergeCell ref="A49:E49"/>
    <mergeCell ref="A51:B51"/>
    <mergeCell ref="C51:E51"/>
    <mergeCell ref="A48:E48"/>
    <mergeCell ref="A50:B50"/>
    <mergeCell ref="C50:E50"/>
    <mergeCell ref="A52:B52"/>
    <mergeCell ref="C52:E52"/>
    <mergeCell ref="A53:B53"/>
    <mergeCell ref="C53:E53"/>
    <mergeCell ref="A54:B54"/>
    <mergeCell ref="C54:E54"/>
    <mergeCell ref="A58:B58"/>
    <mergeCell ref="C58:E58"/>
    <mergeCell ref="A59:B59"/>
    <mergeCell ref="C59:E59"/>
    <mergeCell ref="A55:B55"/>
    <mergeCell ref="C55:E55"/>
    <mergeCell ref="A56:B56"/>
    <mergeCell ref="C56:E56"/>
    <mergeCell ref="A57:B57"/>
    <mergeCell ref="C57:E57"/>
  </mergeCells>
  <printOptions horizontalCentered="1"/>
  <pageMargins left="0.5" right="0.47" top="0.33" bottom="0.27" header="0.25" footer="0.19"/>
  <pageSetup paperSize="9" scale="86"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view="pageBreakPreview" topLeftCell="A10" zoomScaleNormal="90" zoomScaleSheetLayoutView="100" workbookViewId="0">
      <selection activeCell="B9" sqref="B9"/>
    </sheetView>
  </sheetViews>
  <sheetFormatPr defaultColWidth="9.28515625" defaultRowHeight="10.5" x14ac:dyDescent="0.15"/>
  <cols>
    <col min="1" max="1" width="5.42578125" style="27" customWidth="1"/>
    <col min="2" max="2" width="47.7109375" style="27" customWidth="1"/>
    <col min="3" max="3" width="15.85546875" style="27" customWidth="1"/>
    <col min="4" max="4" width="9.28515625" style="27"/>
    <col min="5" max="5" width="16.7109375" style="27" customWidth="1"/>
    <col min="6" max="6" width="8.28515625" style="27" customWidth="1"/>
    <col min="7" max="7" width="15.7109375" style="27" customWidth="1"/>
    <col min="8" max="8" width="11.42578125" style="27" bestFit="1" customWidth="1"/>
    <col min="9" max="9" width="22" style="27" customWidth="1"/>
    <col min="10" max="10" width="12.28515625" style="27" customWidth="1"/>
    <col min="11" max="11" width="23.28515625" style="27" customWidth="1"/>
    <col min="12" max="16384" width="9.28515625" style="27"/>
  </cols>
  <sheetData>
    <row r="1" spans="1:11" ht="38.25" customHeight="1" x14ac:dyDescent="0.15">
      <c r="B1" s="83"/>
      <c r="C1" s="83"/>
      <c r="D1" s="83"/>
      <c r="E1" s="299" t="s">
        <v>47</v>
      </c>
      <c r="F1" s="299"/>
      <c r="G1" s="299"/>
      <c r="H1" s="299"/>
      <c r="I1" s="299"/>
      <c r="J1" s="299"/>
      <c r="K1" s="299"/>
    </row>
    <row r="2" spans="1:11" ht="33.75" customHeight="1" x14ac:dyDescent="0.15">
      <c r="A2" s="318" t="s">
        <v>1060</v>
      </c>
      <c r="B2" s="318"/>
      <c r="C2" s="318"/>
      <c r="D2" s="318"/>
      <c r="E2" s="318"/>
      <c r="F2" s="318"/>
      <c r="G2" s="318"/>
      <c r="H2" s="318"/>
      <c r="I2" s="318"/>
      <c r="J2" s="318"/>
      <c r="K2" s="318"/>
    </row>
    <row r="3" spans="1:11" x14ac:dyDescent="0.15">
      <c r="A3" s="319" t="s">
        <v>48</v>
      </c>
      <c r="B3" s="319"/>
      <c r="C3" s="319"/>
      <c r="D3" s="319"/>
      <c r="E3" s="319"/>
      <c r="F3" s="319"/>
      <c r="G3" s="319"/>
      <c r="H3" s="319"/>
      <c r="I3" s="319"/>
      <c r="J3" s="319"/>
      <c r="K3" s="319"/>
    </row>
    <row r="4" spans="1:11" ht="18" customHeight="1" x14ac:dyDescent="0.15">
      <c r="A4" s="320" t="s">
        <v>1062</v>
      </c>
      <c r="B4" s="321"/>
      <c r="C4" s="321"/>
      <c r="D4" s="321"/>
      <c r="E4" s="321"/>
      <c r="F4" s="321"/>
      <c r="G4" s="321"/>
      <c r="H4" s="321"/>
      <c r="I4" s="321"/>
      <c r="J4" s="321"/>
      <c r="K4" s="321"/>
    </row>
    <row r="5" spans="1:11" x14ac:dyDescent="0.15">
      <c r="A5" s="28"/>
      <c r="B5" s="29"/>
      <c r="C5" s="29"/>
      <c r="D5" s="30"/>
      <c r="E5" s="30"/>
      <c r="F5" s="29"/>
      <c r="G5" s="29"/>
      <c r="H5" s="29"/>
      <c r="I5" s="29"/>
      <c r="J5" s="29"/>
      <c r="K5" s="29"/>
    </row>
    <row r="6" spans="1:11" x14ac:dyDescent="0.15">
      <c r="A6" s="31">
        <v>1</v>
      </c>
      <c r="B6" s="32" t="s">
        <v>2</v>
      </c>
      <c r="C6" s="32" t="s">
        <v>3</v>
      </c>
      <c r="D6" s="30"/>
      <c r="E6" s="30"/>
      <c r="F6" s="29"/>
      <c r="G6" s="29"/>
      <c r="H6" s="29"/>
      <c r="I6" s="29"/>
      <c r="J6" s="29"/>
      <c r="K6" s="29"/>
    </row>
    <row r="7" spans="1:11" x14ac:dyDescent="0.15">
      <c r="A7" s="31"/>
      <c r="B7" s="33" t="s">
        <v>4</v>
      </c>
      <c r="C7" s="33" t="s">
        <v>5</v>
      </c>
      <c r="D7" s="34"/>
      <c r="E7" s="34"/>
      <c r="F7" s="35"/>
      <c r="G7" s="35"/>
      <c r="H7" s="35"/>
      <c r="I7" s="35"/>
      <c r="J7" s="35"/>
      <c r="K7" s="35"/>
    </row>
    <row r="8" spans="1:11" ht="12.75" customHeight="1" x14ac:dyDescent="0.15">
      <c r="A8" s="36">
        <v>2</v>
      </c>
      <c r="B8" s="37" t="s">
        <v>6</v>
      </c>
      <c r="C8" s="38" t="s">
        <v>7</v>
      </c>
      <c r="D8" s="38"/>
      <c r="E8" s="38"/>
      <c r="F8" s="38"/>
      <c r="G8" s="38"/>
      <c r="H8" s="38"/>
      <c r="I8" s="39"/>
      <c r="J8" s="39"/>
      <c r="K8" s="39"/>
    </row>
    <row r="9" spans="1:11" ht="12.75" customHeight="1" x14ac:dyDescent="0.15">
      <c r="A9" s="36"/>
      <c r="B9" s="40" t="s">
        <v>8</v>
      </c>
      <c r="C9" s="41" t="s">
        <v>9</v>
      </c>
      <c r="D9" s="42"/>
      <c r="E9" s="42"/>
      <c r="F9" s="42"/>
      <c r="G9" s="42"/>
      <c r="H9" s="42"/>
      <c r="I9" s="43"/>
      <c r="J9" s="43"/>
      <c r="K9" s="43"/>
    </row>
    <row r="10" spans="1:11" ht="12.75" customHeight="1" x14ac:dyDescent="0.15">
      <c r="A10" s="36">
        <v>3</v>
      </c>
      <c r="B10" s="37" t="s">
        <v>10</v>
      </c>
      <c r="C10" s="38" t="s">
        <v>11</v>
      </c>
      <c r="D10" s="38"/>
      <c r="E10" s="38"/>
      <c r="F10" s="38"/>
      <c r="G10" s="38"/>
      <c r="H10" s="38"/>
      <c r="I10" s="39"/>
      <c r="J10" s="39"/>
      <c r="K10" s="39"/>
    </row>
    <row r="11" spans="1:11" ht="12.75" customHeight="1" x14ac:dyDescent="0.15">
      <c r="A11" s="36"/>
      <c r="B11" s="40" t="s">
        <v>12</v>
      </c>
      <c r="C11" s="42" t="s">
        <v>49</v>
      </c>
      <c r="D11" s="42"/>
      <c r="E11" s="42"/>
      <c r="F11" s="42"/>
      <c r="G11" s="42"/>
      <c r="H11" s="42"/>
      <c r="I11" s="39"/>
      <c r="J11" s="39"/>
      <c r="K11" s="39"/>
    </row>
    <row r="12" spans="1:11" ht="13.5" customHeight="1" x14ac:dyDescent="0.15">
      <c r="A12" s="36">
        <v>4</v>
      </c>
      <c r="B12" s="37" t="s">
        <v>14</v>
      </c>
      <c r="C12" s="44">
        <v>44013</v>
      </c>
      <c r="D12" s="38"/>
      <c r="E12" s="38"/>
      <c r="F12" s="38"/>
      <c r="G12" s="38"/>
      <c r="H12" s="38"/>
      <c r="I12" s="45"/>
      <c r="J12" s="45"/>
      <c r="K12" s="45"/>
    </row>
    <row r="13" spans="1:11" ht="13.5" customHeight="1" x14ac:dyDescent="0.15">
      <c r="A13" s="42"/>
      <c r="B13" s="40" t="s">
        <v>15</v>
      </c>
      <c r="C13" s="322">
        <v>44013</v>
      </c>
      <c r="D13" s="322"/>
      <c r="E13" s="322"/>
      <c r="F13" s="322"/>
      <c r="G13" s="323"/>
      <c r="H13" s="323"/>
      <c r="I13" s="46"/>
      <c r="J13" s="46"/>
      <c r="K13" s="46"/>
    </row>
    <row r="14" spans="1:11" x14ac:dyDescent="0.15">
      <c r="A14" s="47" t="s">
        <v>24</v>
      </c>
      <c r="B14" s="47" t="s">
        <v>50</v>
      </c>
      <c r="C14" s="48"/>
      <c r="D14" s="49"/>
      <c r="E14" s="49"/>
      <c r="F14" s="49"/>
      <c r="G14" s="50"/>
      <c r="H14" s="50"/>
      <c r="I14" s="46"/>
      <c r="J14" s="46"/>
      <c r="K14" s="46"/>
    </row>
    <row r="15" spans="1:11" x14ac:dyDescent="0.15">
      <c r="A15" s="32" t="s">
        <v>51</v>
      </c>
      <c r="B15" s="32" t="s">
        <v>52</v>
      </c>
      <c r="C15" s="51"/>
      <c r="D15" s="52"/>
      <c r="E15" s="52"/>
      <c r="F15" s="53"/>
      <c r="G15" s="53"/>
      <c r="H15" s="53"/>
      <c r="I15" s="53"/>
      <c r="J15" s="53"/>
      <c r="K15" s="53"/>
    </row>
    <row r="16" spans="1:11" ht="33" customHeight="1" x14ac:dyDescent="0.15">
      <c r="A16" s="324" t="s">
        <v>53</v>
      </c>
      <c r="B16" s="303" t="s">
        <v>54</v>
      </c>
      <c r="C16" s="325" t="s">
        <v>55</v>
      </c>
      <c r="D16" s="303" t="s">
        <v>56</v>
      </c>
      <c r="E16" s="303" t="s">
        <v>57</v>
      </c>
      <c r="F16" s="303" t="s">
        <v>58</v>
      </c>
      <c r="G16" s="303" t="s">
        <v>59</v>
      </c>
      <c r="H16" s="305" t="s">
        <v>60</v>
      </c>
      <c r="I16" s="306"/>
      <c r="J16" s="305" t="s">
        <v>61</v>
      </c>
      <c r="K16" s="306"/>
    </row>
    <row r="17" spans="1:11" ht="42" x14ac:dyDescent="0.15">
      <c r="A17" s="324"/>
      <c r="B17" s="304"/>
      <c r="C17" s="326"/>
      <c r="D17" s="304"/>
      <c r="E17" s="304"/>
      <c r="F17" s="304"/>
      <c r="G17" s="304"/>
      <c r="H17" s="54" t="s">
        <v>62</v>
      </c>
      <c r="I17" s="54" t="s">
        <v>63</v>
      </c>
      <c r="J17" s="54" t="s">
        <v>64</v>
      </c>
      <c r="K17" s="54" t="s">
        <v>65</v>
      </c>
    </row>
    <row r="18" spans="1:11" ht="21" x14ac:dyDescent="0.15">
      <c r="A18" s="55">
        <v>1</v>
      </c>
      <c r="B18" s="56" t="s">
        <v>66</v>
      </c>
      <c r="C18" s="57" t="s">
        <v>67</v>
      </c>
      <c r="D18" s="307"/>
      <c r="E18" s="308"/>
      <c r="F18" s="308"/>
      <c r="G18" s="308"/>
      <c r="H18" s="308"/>
      <c r="I18" s="308"/>
      <c r="J18" s="308"/>
      <c r="K18" s="309"/>
    </row>
    <row r="19" spans="1:11" ht="21" x14ac:dyDescent="0.15">
      <c r="A19" s="55" t="s">
        <v>68</v>
      </c>
      <c r="B19" s="56" t="s">
        <v>69</v>
      </c>
      <c r="C19" s="57" t="s">
        <v>70</v>
      </c>
      <c r="D19" s="310"/>
      <c r="E19" s="311"/>
      <c r="F19" s="311"/>
      <c r="G19" s="311"/>
      <c r="H19" s="311"/>
      <c r="I19" s="311"/>
      <c r="J19" s="311"/>
      <c r="K19" s="312"/>
    </row>
    <row r="20" spans="1:11" ht="21" x14ac:dyDescent="0.15">
      <c r="A20" s="55">
        <v>2</v>
      </c>
      <c r="B20" s="56" t="s">
        <v>71</v>
      </c>
      <c r="C20" s="57" t="s">
        <v>72</v>
      </c>
      <c r="D20" s="310"/>
      <c r="E20" s="311"/>
      <c r="F20" s="311"/>
      <c r="G20" s="311"/>
      <c r="H20" s="311"/>
      <c r="I20" s="311"/>
      <c r="J20" s="311"/>
      <c r="K20" s="312"/>
    </row>
    <row r="21" spans="1:11" ht="21" x14ac:dyDescent="0.15">
      <c r="A21" s="55" t="s">
        <v>73</v>
      </c>
      <c r="B21" s="56" t="s">
        <v>74</v>
      </c>
      <c r="C21" s="57" t="s">
        <v>75</v>
      </c>
      <c r="D21" s="310"/>
      <c r="E21" s="311"/>
      <c r="F21" s="311"/>
      <c r="G21" s="311"/>
      <c r="H21" s="311"/>
      <c r="I21" s="311"/>
      <c r="J21" s="311"/>
      <c r="K21" s="312"/>
    </row>
    <row r="22" spans="1:11" ht="21" x14ac:dyDescent="0.15">
      <c r="A22" s="55" t="s">
        <v>24</v>
      </c>
      <c r="B22" s="58" t="s">
        <v>76</v>
      </c>
      <c r="C22" s="57" t="s">
        <v>77</v>
      </c>
      <c r="D22" s="310"/>
      <c r="E22" s="311"/>
      <c r="F22" s="311"/>
      <c r="G22" s="311"/>
      <c r="H22" s="311"/>
      <c r="I22" s="311"/>
      <c r="J22" s="311"/>
      <c r="K22" s="312"/>
    </row>
    <row r="23" spans="1:11" ht="21" x14ac:dyDescent="0.15">
      <c r="A23" s="59" t="s">
        <v>78</v>
      </c>
      <c r="B23" s="58" t="s">
        <v>79</v>
      </c>
      <c r="C23" s="57" t="s">
        <v>80</v>
      </c>
      <c r="D23" s="310"/>
      <c r="E23" s="311"/>
      <c r="F23" s="311"/>
      <c r="G23" s="311"/>
      <c r="H23" s="311"/>
      <c r="I23" s="311"/>
      <c r="J23" s="311"/>
      <c r="K23" s="312"/>
    </row>
    <row r="24" spans="1:11" ht="21" x14ac:dyDescent="0.15">
      <c r="A24" s="59" t="s">
        <v>81</v>
      </c>
      <c r="B24" s="56" t="s">
        <v>82</v>
      </c>
      <c r="C24" s="57" t="s">
        <v>83</v>
      </c>
      <c r="D24" s="310"/>
      <c r="E24" s="311"/>
      <c r="F24" s="311"/>
      <c r="G24" s="311"/>
      <c r="H24" s="311"/>
      <c r="I24" s="311"/>
      <c r="J24" s="311"/>
      <c r="K24" s="312"/>
    </row>
    <row r="25" spans="1:11" ht="21" x14ac:dyDescent="0.15">
      <c r="A25" s="59" t="s">
        <v>84</v>
      </c>
      <c r="B25" s="56" t="s">
        <v>85</v>
      </c>
      <c r="C25" s="57" t="s">
        <v>86</v>
      </c>
      <c r="D25" s="310"/>
      <c r="E25" s="311"/>
      <c r="F25" s="311"/>
      <c r="G25" s="311"/>
      <c r="H25" s="311"/>
      <c r="I25" s="311"/>
      <c r="J25" s="311"/>
      <c r="K25" s="312"/>
    </row>
    <row r="26" spans="1:11" ht="21" x14ac:dyDescent="0.15">
      <c r="A26" s="59" t="s">
        <v>51</v>
      </c>
      <c r="B26" s="56" t="s">
        <v>82</v>
      </c>
      <c r="C26" s="57" t="s">
        <v>87</v>
      </c>
      <c r="D26" s="310"/>
      <c r="E26" s="311"/>
      <c r="F26" s="311"/>
      <c r="G26" s="311"/>
      <c r="H26" s="311"/>
      <c r="I26" s="311"/>
      <c r="J26" s="311"/>
      <c r="K26" s="312"/>
    </row>
    <row r="27" spans="1:11" ht="21" x14ac:dyDescent="0.15">
      <c r="A27" s="55" t="s">
        <v>44</v>
      </c>
      <c r="B27" s="58" t="s">
        <v>88</v>
      </c>
      <c r="C27" s="57" t="s">
        <v>89</v>
      </c>
      <c r="D27" s="313"/>
      <c r="E27" s="314"/>
      <c r="F27" s="314"/>
      <c r="G27" s="314"/>
      <c r="H27" s="314"/>
      <c r="I27" s="314"/>
      <c r="J27" s="314"/>
      <c r="K27" s="315"/>
    </row>
    <row r="28" spans="1:11" ht="12.75" customHeight="1" x14ac:dyDescent="0.15">
      <c r="A28" s="53"/>
      <c r="B28" s="60"/>
      <c r="C28" s="60"/>
      <c r="D28" s="53"/>
      <c r="E28" s="53"/>
      <c r="F28" s="53"/>
      <c r="G28" s="53"/>
      <c r="H28" s="53"/>
      <c r="I28" s="53"/>
      <c r="J28" s="53"/>
      <c r="K28" s="53"/>
    </row>
    <row r="29" spans="1:11" x14ac:dyDescent="0.15">
      <c r="A29" s="316" t="s">
        <v>17</v>
      </c>
      <c r="B29" s="316"/>
      <c r="C29" s="316"/>
      <c r="E29" s="61"/>
      <c r="F29" s="62"/>
      <c r="G29" s="62"/>
      <c r="H29" s="317" t="s">
        <v>90</v>
      </c>
      <c r="I29" s="317"/>
      <c r="J29" s="317"/>
      <c r="K29" s="317"/>
    </row>
    <row r="30" spans="1:11" x14ac:dyDescent="0.15">
      <c r="A30" s="297" t="s">
        <v>19</v>
      </c>
      <c r="B30" s="297"/>
      <c r="C30" s="297"/>
      <c r="E30" s="63"/>
      <c r="F30" s="64"/>
      <c r="G30" s="64"/>
      <c r="H30" s="300" t="s">
        <v>20</v>
      </c>
      <c r="I30" s="300"/>
      <c r="J30" s="300"/>
      <c r="K30" s="300"/>
    </row>
    <row r="31" spans="1:11" ht="37.5" customHeight="1" x14ac:dyDescent="0.15">
      <c r="A31" s="64"/>
      <c r="B31" s="65"/>
      <c r="C31" s="66"/>
      <c r="E31" s="63"/>
      <c r="F31" s="64"/>
      <c r="G31" s="64"/>
      <c r="H31" s="67"/>
      <c r="J31" s="68"/>
      <c r="K31" s="69"/>
    </row>
    <row r="32" spans="1:11" ht="26.25" customHeight="1" x14ac:dyDescent="0.15">
      <c r="A32" s="65"/>
      <c r="B32" s="65"/>
      <c r="C32" s="301"/>
      <c r="D32" s="301"/>
      <c r="E32" s="301"/>
      <c r="F32" s="68"/>
      <c r="G32" s="68"/>
      <c r="H32" s="68"/>
      <c r="J32" s="68"/>
      <c r="K32" s="68"/>
    </row>
    <row r="33" spans="1:11" ht="23.25" customHeight="1" x14ac:dyDescent="0.15">
      <c r="A33" s="65"/>
      <c r="B33" s="65"/>
      <c r="C33" s="70"/>
      <c r="D33" s="71"/>
      <c r="E33" s="72"/>
      <c r="F33" s="73"/>
      <c r="G33" s="68"/>
      <c r="H33" s="68"/>
      <c r="J33" s="68"/>
      <c r="K33" s="68"/>
    </row>
    <row r="34" spans="1:11" x14ac:dyDescent="0.15">
      <c r="A34" s="74"/>
      <c r="B34" s="74"/>
      <c r="C34" s="75"/>
      <c r="D34" s="76"/>
      <c r="E34" s="77"/>
      <c r="F34" s="73"/>
      <c r="G34" s="78"/>
      <c r="H34" s="74"/>
      <c r="I34" s="74"/>
      <c r="J34" s="75"/>
      <c r="K34" s="68"/>
    </row>
    <row r="35" spans="1:11" s="79" customFormat="1" x14ac:dyDescent="0.25">
      <c r="A35" s="297" t="s">
        <v>91</v>
      </c>
      <c r="B35" s="297"/>
      <c r="C35" s="297"/>
      <c r="E35" s="64"/>
      <c r="F35" s="64"/>
      <c r="G35" s="80"/>
      <c r="H35" s="302" t="s">
        <v>3</v>
      </c>
      <c r="I35" s="302"/>
      <c r="J35" s="302"/>
      <c r="K35" s="302"/>
    </row>
    <row r="36" spans="1:11" s="79" customFormat="1" x14ac:dyDescent="0.25">
      <c r="A36" s="297" t="s">
        <v>1054</v>
      </c>
      <c r="B36" s="297"/>
      <c r="C36" s="297"/>
      <c r="E36" s="81"/>
      <c r="F36" s="82"/>
      <c r="G36" s="80"/>
      <c r="H36" s="298" t="s">
        <v>988</v>
      </c>
      <c r="I36" s="298"/>
      <c r="J36" s="298"/>
      <c r="K36" s="298"/>
    </row>
    <row r="37" spans="1:11" s="79" customFormat="1" x14ac:dyDescent="0.25">
      <c r="A37" s="297" t="s">
        <v>1055</v>
      </c>
      <c r="B37" s="297"/>
      <c r="C37" s="297"/>
      <c r="H37" s="298" t="s">
        <v>1056</v>
      </c>
      <c r="I37" s="298"/>
      <c r="J37" s="298"/>
      <c r="K37" s="298"/>
    </row>
  </sheetData>
  <mergeCells count="27">
    <mergeCell ref="F16:F17"/>
    <mergeCell ref="A2:K2"/>
    <mergeCell ref="A3:K3"/>
    <mergeCell ref="A4:K4"/>
    <mergeCell ref="C13:F13"/>
    <mergeCell ref="G13:H13"/>
    <mergeCell ref="A16:A17"/>
    <mergeCell ref="B16:B17"/>
    <mergeCell ref="C16:C17"/>
    <mergeCell ref="D16:D17"/>
    <mergeCell ref="E16:E17"/>
    <mergeCell ref="A37:C37"/>
    <mergeCell ref="H37:K37"/>
    <mergeCell ref="E1:K1"/>
    <mergeCell ref="A30:C30"/>
    <mergeCell ref="H30:K30"/>
    <mergeCell ref="C32:E32"/>
    <mergeCell ref="A35:C35"/>
    <mergeCell ref="H35:K35"/>
    <mergeCell ref="A36:C36"/>
    <mergeCell ref="H36:K36"/>
    <mergeCell ref="G16:G17"/>
    <mergeCell ref="H16:I16"/>
    <mergeCell ref="J16:K16"/>
    <mergeCell ref="D18:K27"/>
    <mergeCell ref="A29:C29"/>
    <mergeCell ref="H29:K29"/>
  </mergeCells>
  <pageMargins left="0.42" right="0.34" top="0.41" bottom="0.39" header="0.3" footer="0.3"/>
  <pageSetup paperSize="9" scale="74"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0"/>
  <sheetViews>
    <sheetView showGridLines="0" showZeros="0" showOutlineSymbols="0" view="pageBreakPreview" topLeftCell="A73" zoomScaleNormal="100" zoomScaleSheetLayoutView="100" workbookViewId="0">
      <selection activeCell="D78" sqref="D78"/>
    </sheetView>
  </sheetViews>
  <sheetFormatPr defaultRowHeight="15" x14ac:dyDescent="0.25"/>
  <cols>
    <col min="1" max="1" width="52.85546875" style="85" customWidth="1"/>
    <col min="2" max="2" width="10.28515625" style="85" customWidth="1"/>
    <col min="3" max="3" width="9.42578125" style="85" customWidth="1"/>
    <col min="4" max="4" width="17.7109375" style="85" customWidth="1"/>
    <col min="5" max="7" width="17.42578125" style="85" customWidth="1"/>
    <col min="8" max="256" width="9.140625" style="85"/>
    <col min="257" max="257" width="35.7109375" style="85" customWidth="1"/>
    <col min="258" max="259" width="8.5703125" style="85" customWidth="1"/>
    <col min="260" max="263" width="16.42578125" style="85" customWidth="1"/>
    <col min="264" max="512" width="9.140625" style="85"/>
    <col min="513" max="513" width="35.7109375" style="85" customWidth="1"/>
    <col min="514" max="515" width="8.5703125" style="85" customWidth="1"/>
    <col min="516" max="519" width="16.42578125" style="85" customWidth="1"/>
    <col min="520" max="768" width="9.140625" style="85"/>
    <col min="769" max="769" width="35.7109375" style="85" customWidth="1"/>
    <col min="770" max="771" width="8.5703125" style="85" customWidth="1"/>
    <col min="772" max="775" width="16.42578125" style="85" customWidth="1"/>
    <col min="776" max="1024" width="9.140625" style="85"/>
    <col min="1025" max="1025" width="35.7109375" style="85" customWidth="1"/>
    <col min="1026" max="1027" width="8.5703125" style="85" customWidth="1"/>
    <col min="1028" max="1031" width="16.42578125" style="85" customWidth="1"/>
    <col min="1032" max="1280" width="9.140625" style="85"/>
    <col min="1281" max="1281" width="35.7109375" style="85" customWidth="1"/>
    <col min="1282" max="1283" width="8.5703125" style="85" customWidth="1"/>
    <col min="1284" max="1287" width="16.42578125" style="85" customWidth="1"/>
    <col min="1288" max="1536" width="9.140625" style="85"/>
    <col min="1537" max="1537" width="35.7109375" style="85" customWidth="1"/>
    <col min="1538" max="1539" width="8.5703125" style="85" customWidth="1"/>
    <col min="1540" max="1543" width="16.42578125" style="85" customWidth="1"/>
    <col min="1544" max="1792" width="9.140625" style="85"/>
    <col min="1793" max="1793" width="35.7109375" style="85" customWidth="1"/>
    <col min="1794" max="1795" width="8.5703125" style="85" customWidth="1"/>
    <col min="1796" max="1799" width="16.42578125" style="85" customWidth="1"/>
    <col min="1800" max="2048" width="9.140625" style="85"/>
    <col min="2049" max="2049" width="35.7109375" style="85" customWidth="1"/>
    <col min="2050" max="2051" width="8.5703125" style="85" customWidth="1"/>
    <col min="2052" max="2055" width="16.42578125" style="85" customWidth="1"/>
    <col min="2056" max="2304" width="9.140625" style="85"/>
    <col min="2305" max="2305" width="35.7109375" style="85" customWidth="1"/>
    <col min="2306" max="2307" width="8.5703125" style="85" customWidth="1"/>
    <col min="2308" max="2311" width="16.42578125" style="85" customWidth="1"/>
    <col min="2312" max="2560" width="9.140625" style="85"/>
    <col min="2561" max="2561" width="35.7109375" style="85" customWidth="1"/>
    <col min="2562" max="2563" width="8.5703125" style="85" customWidth="1"/>
    <col min="2564" max="2567" width="16.42578125" style="85" customWidth="1"/>
    <col min="2568" max="2816" width="9.140625" style="85"/>
    <col min="2817" max="2817" width="35.7109375" style="85" customWidth="1"/>
    <col min="2818" max="2819" width="8.5703125" style="85" customWidth="1"/>
    <col min="2820" max="2823" width="16.42578125" style="85" customWidth="1"/>
    <col min="2824" max="3072" width="9.140625" style="85"/>
    <col min="3073" max="3073" width="35.7109375" style="85" customWidth="1"/>
    <col min="3074" max="3075" width="8.5703125" style="85" customWidth="1"/>
    <col min="3076" max="3079" width="16.42578125" style="85" customWidth="1"/>
    <col min="3080" max="3328" width="9.140625" style="85"/>
    <col min="3329" max="3329" width="35.7109375" style="85" customWidth="1"/>
    <col min="3330" max="3331" width="8.5703125" style="85" customWidth="1"/>
    <col min="3332" max="3335" width="16.42578125" style="85" customWidth="1"/>
    <col min="3336" max="3584" width="9.140625" style="85"/>
    <col min="3585" max="3585" width="35.7109375" style="85" customWidth="1"/>
    <col min="3586" max="3587" width="8.5703125" style="85" customWidth="1"/>
    <col min="3588" max="3591" width="16.42578125" style="85" customWidth="1"/>
    <col min="3592" max="3840" width="9.140625" style="85"/>
    <col min="3841" max="3841" width="35.7109375" style="85" customWidth="1"/>
    <col min="3842" max="3843" width="8.5703125" style="85" customWidth="1"/>
    <col min="3844" max="3847" width="16.42578125" style="85" customWidth="1"/>
    <col min="3848" max="4096" width="9.140625" style="85"/>
    <col min="4097" max="4097" width="35.7109375" style="85" customWidth="1"/>
    <col min="4098" max="4099" width="8.5703125" style="85" customWidth="1"/>
    <col min="4100" max="4103" width="16.42578125" style="85" customWidth="1"/>
    <col min="4104" max="4352" width="9.140625" style="85"/>
    <col min="4353" max="4353" width="35.7109375" style="85" customWidth="1"/>
    <col min="4354" max="4355" width="8.5703125" style="85" customWidth="1"/>
    <col min="4356" max="4359" width="16.42578125" style="85" customWidth="1"/>
    <col min="4360" max="4608" width="9.140625" style="85"/>
    <col min="4609" max="4609" width="35.7109375" style="85" customWidth="1"/>
    <col min="4610" max="4611" width="8.5703125" style="85" customWidth="1"/>
    <col min="4612" max="4615" width="16.42578125" style="85" customWidth="1"/>
    <col min="4616" max="4864" width="9.140625" style="85"/>
    <col min="4865" max="4865" width="35.7109375" style="85" customWidth="1"/>
    <col min="4866" max="4867" width="8.5703125" style="85" customWidth="1"/>
    <col min="4868" max="4871" width="16.42578125" style="85" customWidth="1"/>
    <col min="4872" max="5120" width="9.140625" style="85"/>
    <col min="5121" max="5121" width="35.7109375" style="85" customWidth="1"/>
    <col min="5122" max="5123" width="8.5703125" style="85" customWidth="1"/>
    <col min="5124" max="5127" width="16.42578125" style="85" customWidth="1"/>
    <col min="5128" max="5376" width="9.140625" style="85"/>
    <col min="5377" max="5377" width="35.7109375" style="85" customWidth="1"/>
    <col min="5378" max="5379" width="8.5703125" style="85" customWidth="1"/>
    <col min="5380" max="5383" width="16.42578125" style="85" customWidth="1"/>
    <col min="5384" max="5632" width="9.140625" style="85"/>
    <col min="5633" max="5633" width="35.7109375" style="85" customWidth="1"/>
    <col min="5634" max="5635" width="8.5703125" style="85" customWidth="1"/>
    <col min="5636" max="5639" width="16.42578125" style="85" customWidth="1"/>
    <col min="5640" max="5888" width="9.140625" style="85"/>
    <col min="5889" max="5889" width="35.7109375" style="85" customWidth="1"/>
    <col min="5890" max="5891" width="8.5703125" style="85" customWidth="1"/>
    <col min="5892" max="5895" width="16.42578125" style="85" customWidth="1"/>
    <col min="5896" max="6144" width="9.140625" style="85"/>
    <col min="6145" max="6145" width="35.7109375" style="85" customWidth="1"/>
    <col min="6146" max="6147" width="8.5703125" style="85" customWidth="1"/>
    <col min="6148" max="6151" width="16.42578125" style="85" customWidth="1"/>
    <col min="6152" max="6400" width="9.140625" style="85"/>
    <col min="6401" max="6401" width="35.7109375" style="85" customWidth="1"/>
    <col min="6402" max="6403" width="8.5703125" style="85" customWidth="1"/>
    <col min="6404" max="6407" width="16.42578125" style="85" customWidth="1"/>
    <col min="6408" max="6656" width="9.140625" style="85"/>
    <col min="6657" max="6657" width="35.7109375" style="85" customWidth="1"/>
    <col min="6658" max="6659" width="8.5703125" style="85" customWidth="1"/>
    <col min="6660" max="6663" width="16.42578125" style="85" customWidth="1"/>
    <col min="6664" max="6912" width="9.140625" style="85"/>
    <col min="6913" max="6913" width="35.7109375" style="85" customWidth="1"/>
    <col min="6914" max="6915" width="8.5703125" style="85" customWidth="1"/>
    <col min="6916" max="6919" width="16.42578125" style="85" customWidth="1"/>
    <col min="6920" max="7168" width="9.140625" style="85"/>
    <col min="7169" max="7169" width="35.7109375" style="85" customWidth="1"/>
    <col min="7170" max="7171" width="8.5703125" style="85" customWidth="1"/>
    <col min="7172" max="7175" width="16.42578125" style="85" customWidth="1"/>
    <col min="7176" max="7424" width="9.140625" style="85"/>
    <col min="7425" max="7425" width="35.7109375" style="85" customWidth="1"/>
    <col min="7426" max="7427" width="8.5703125" style="85" customWidth="1"/>
    <col min="7428" max="7431" width="16.42578125" style="85" customWidth="1"/>
    <col min="7432" max="7680" width="9.140625" style="85"/>
    <col min="7681" max="7681" width="35.7109375" style="85" customWidth="1"/>
    <col min="7682" max="7683" width="8.5703125" style="85" customWidth="1"/>
    <col min="7684" max="7687" width="16.42578125" style="85" customWidth="1"/>
    <col min="7688" max="7936" width="9.140625" style="85"/>
    <col min="7937" max="7937" width="35.7109375" style="85" customWidth="1"/>
    <col min="7938" max="7939" width="8.5703125" style="85" customWidth="1"/>
    <col min="7940" max="7943" width="16.42578125" style="85" customWidth="1"/>
    <col min="7944" max="8192" width="9.140625" style="85"/>
    <col min="8193" max="8193" width="35.7109375" style="85" customWidth="1"/>
    <col min="8194" max="8195" width="8.5703125" style="85" customWidth="1"/>
    <col min="8196" max="8199" width="16.42578125" style="85" customWidth="1"/>
    <col min="8200" max="8448" width="9.140625" style="85"/>
    <col min="8449" max="8449" width="35.7109375" style="85" customWidth="1"/>
    <col min="8450" max="8451" width="8.5703125" style="85" customWidth="1"/>
    <col min="8452" max="8455" width="16.42578125" style="85" customWidth="1"/>
    <col min="8456" max="8704" width="9.140625" style="85"/>
    <col min="8705" max="8705" width="35.7109375" style="85" customWidth="1"/>
    <col min="8706" max="8707" width="8.5703125" style="85" customWidth="1"/>
    <col min="8708" max="8711" width="16.42578125" style="85" customWidth="1"/>
    <col min="8712" max="8960" width="9.140625" style="85"/>
    <col min="8961" max="8961" width="35.7109375" style="85" customWidth="1"/>
    <col min="8962" max="8963" width="8.5703125" style="85" customWidth="1"/>
    <col min="8964" max="8967" width="16.42578125" style="85" customWidth="1"/>
    <col min="8968" max="9216" width="9.140625" style="85"/>
    <col min="9217" max="9217" width="35.7109375" style="85" customWidth="1"/>
    <col min="9218" max="9219" width="8.5703125" style="85" customWidth="1"/>
    <col min="9220" max="9223" width="16.42578125" style="85" customWidth="1"/>
    <col min="9224" max="9472" width="9.140625" style="85"/>
    <col min="9473" max="9473" width="35.7109375" style="85" customWidth="1"/>
    <col min="9474" max="9475" width="8.5703125" style="85" customWidth="1"/>
    <col min="9476" max="9479" width="16.42578125" style="85" customWidth="1"/>
    <col min="9480" max="9728" width="9.140625" style="85"/>
    <col min="9729" max="9729" width="35.7109375" style="85" customWidth="1"/>
    <col min="9730" max="9731" width="8.5703125" style="85" customWidth="1"/>
    <col min="9732" max="9735" width="16.42578125" style="85" customWidth="1"/>
    <col min="9736" max="9984" width="9.140625" style="85"/>
    <col min="9985" max="9985" width="35.7109375" style="85" customWidth="1"/>
    <col min="9986" max="9987" width="8.5703125" style="85" customWidth="1"/>
    <col min="9988" max="9991" width="16.42578125" style="85" customWidth="1"/>
    <col min="9992" max="10240" width="9.140625" style="85"/>
    <col min="10241" max="10241" width="35.7109375" style="85" customWidth="1"/>
    <col min="10242" max="10243" width="8.5703125" style="85" customWidth="1"/>
    <col min="10244" max="10247" width="16.42578125" style="85" customWidth="1"/>
    <col min="10248" max="10496" width="9.140625" style="85"/>
    <col min="10497" max="10497" width="35.7109375" style="85" customWidth="1"/>
    <col min="10498" max="10499" width="8.5703125" style="85" customWidth="1"/>
    <col min="10500" max="10503" width="16.42578125" style="85" customWidth="1"/>
    <col min="10504" max="10752" width="9.140625" style="85"/>
    <col min="10753" max="10753" width="35.7109375" style="85" customWidth="1"/>
    <col min="10754" max="10755" width="8.5703125" style="85" customWidth="1"/>
    <col min="10756" max="10759" width="16.42578125" style="85" customWidth="1"/>
    <col min="10760" max="11008" width="9.140625" style="85"/>
    <col min="11009" max="11009" width="35.7109375" style="85" customWidth="1"/>
    <col min="11010" max="11011" width="8.5703125" style="85" customWidth="1"/>
    <col min="11012" max="11015" width="16.42578125" style="85" customWidth="1"/>
    <col min="11016" max="11264" width="9.140625" style="85"/>
    <col min="11265" max="11265" width="35.7109375" style="85" customWidth="1"/>
    <col min="11266" max="11267" width="8.5703125" style="85" customWidth="1"/>
    <col min="11268" max="11271" width="16.42578125" style="85" customWidth="1"/>
    <col min="11272" max="11520" width="9.140625" style="85"/>
    <col min="11521" max="11521" width="35.7109375" style="85" customWidth="1"/>
    <col min="11522" max="11523" width="8.5703125" style="85" customWidth="1"/>
    <col min="11524" max="11527" width="16.42578125" style="85" customWidth="1"/>
    <col min="11528" max="11776" width="9.140625" style="85"/>
    <col min="11777" max="11777" width="35.7109375" style="85" customWidth="1"/>
    <col min="11778" max="11779" width="8.5703125" style="85" customWidth="1"/>
    <col min="11780" max="11783" width="16.42578125" style="85" customWidth="1"/>
    <col min="11784" max="12032" width="9.140625" style="85"/>
    <col min="12033" max="12033" width="35.7109375" style="85" customWidth="1"/>
    <col min="12034" max="12035" width="8.5703125" style="85" customWidth="1"/>
    <col min="12036" max="12039" width="16.42578125" style="85" customWidth="1"/>
    <col min="12040" max="12288" width="9.140625" style="85"/>
    <col min="12289" max="12289" width="35.7109375" style="85" customWidth="1"/>
    <col min="12290" max="12291" width="8.5703125" style="85" customWidth="1"/>
    <col min="12292" max="12295" width="16.42578125" style="85" customWidth="1"/>
    <col min="12296" max="12544" width="9.140625" style="85"/>
    <col min="12545" max="12545" width="35.7109375" style="85" customWidth="1"/>
    <col min="12546" max="12547" width="8.5703125" style="85" customWidth="1"/>
    <col min="12548" max="12551" width="16.42578125" style="85" customWidth="1"/>
    <col min="12552" max="12800" width="9.140625" style="85"/>
    <col min="12801" max="12801" width="35.7109375" style="85" customWidth="1"/>
    <col min="12802" max="12803" width="8.5703125" style="85" customWidth="1"/>
    <col min="12804" max="12807" width="16.42578125" style="85" customWidth="1"/>
    <col min="12808" max="13056" width="9.140625" style="85"/>
    <col min="13057" max="13057" width="35.7109375" style="85" customWidth="1"/>
    <col min="13058" max="13059" width="8.5703125" style="85" customWidth="1"/>
    <col min="13060" max="13063" width="16.42578125" style="85" customWidth="1"/>
    <col min="13064" max="13312" width="9.140625" style="85"/>
    <col min="13313" max="13313" width="35.7109375" style="85" customWidth="1"/>
    <col min="13314" max="13315" width="8.5703125" style="85" customWidth="1"/>
    <col min="13316" max="13319" width="16.42578125" style="85" customWidth="1"/>
    <col min="13320" max="13568" width="9.140625" style="85"/>
    <col min="13569" max="13569" width="35.7109375" style="85" customWidth="1"/>
    <col min="13570" max="13571" width="8.5703125" style="85" customWidth="1"/>
    <col min="13572" max="13575" width="16.42578125" style="85" customWidth="1"/>
    <col min="13576" max="13824" width="9.140625" style="85"/>
    <col min="13825" max="13825" width="35.7109375" style="85" customWidth="1"/>
    <col min="13826" max="13827" width="8.5703125" style="85" customWidth="1"/>
    <col min="13828" max="13831" width="16.42578125" style="85" customWidth="1"/>
    <col min="13832" max="14080" width="9.140625" style="85"/>
    <col min="14081" max="14081" width="35.7109375" style="85" customWidth="1"/>
    <col min="14082" max="14083" width="8.5703125" style="85" customWidth="1"/>
    <col min="14084" max="14087" width="16.42578125" style="85" customWidth="1"/>
    <col min="14088" max="14336" width="9.140625" style="85"/>
    <col min="14337" max="14337" width="35.7109375" style="85" customWidth="1"/>
    <col min="14338" max="14339" width="8.5703125" style="85" customWidth="1"/>
    <col min="14340" max="14343" width="16.42578125" style="85" customWidth="1"/>
    <col min="14344" max="14592" width="9.140625" style="85"/>
    <col min="14593" max="14593" width="35.7109375" style="85" customWidth="1"/>
    <col min="14594" max="14595" width="8.5703125" style="85" customWidth="1"/>
    <col min="14596" max="14599" width="16.42578125" style="85" customWidth="1"/>
    <col min="14600" max="14848" width="9.140625" style="85"/>
    <col min="14849" max="14849" width="35.7109375" style="85" customWidth="1"/>
    <col min="14850" max="14851" width="8.5703125" style="85" customWidth="1"/>
    <col min="14852" max="14855" width="16.42578125" style="85" customWidth="1"/>
    <col min="14856" max="15104" width="9.140625" style="85"/>
    <col min="15105" max="15105" width="35.7109375" style="85" customWidth="1"/>
    <col min="15106" max="15107" width="8.5703125" style="85" customWidth="1"/>
    <col min="15108" max="15111" width="16.42578125" style="85" customWidth="1"/>
    <col min="15112" max="15360" width="9.140625" style="85"/>
    <col min="15361" max="15361" width="35.7109375" style="85" customWidth="1"/>
    <col min="15362" max="15363" width="8.5703125" style="85" customWidth="1"/>
    <col min="15364" max="15367" width="16.42578125" style="85" customWidth="1"/>
    <col min="15368" max="15616" width="9.140625" style="85"/>
    <col min="15617" max="15617" width="35.7109375" style="85" customWidth="1"/>
    <col min="15618" max="15619" width="8.5703125" style="85" customWidth="1"/>
    <col min="15620" max="15623" width="16.42578125" style="85" customWidth="1"/>
    <col min="15624" max="15872" width="9.140625" style="85"/>
    <col min="15873" max="15873" width="35.7109375" style="85" customWidth="1"/>
    <col min="15874" max="15875" width="8.5703125" style="85" customWidth="1"/>
    <col min="15876" max="15879" width="16.42578125" style="85" customWidth="1"/>
    <col min="15880" max="16128" width="9.140625" style="85"/>
    <col min="16129" max="16129" width="35.7109375" style="85" customWidth="1"/>
    <col min="16130" max="16131" width="8.5703125" style="85" customWidth="1"/>
    <col min="16132" max="16135" width="16.42578125" style="85" customWidth="1"/>
    <col min="16136" max="16384" width="9.140625" style="85"/>
  </cols>
  <sheetData>
    <row r="1" spans="1:7" ht="47.25" customHeight="1" x14ac:dyDescent="0.25">
      <c r="A1" s="86"/>
      <c r="B1" s="270"/>
      <c r="C1" s="270"/>
      <c r="D1" s="279" t="s">
        <v>1058</v>
      </c>
      <c r="E1" s="279"/>
      <c r="F1" s="279"/>
      <c r="G1" s="279"/>
    </row>
    <row r="2" spans="1:7" ht="23.25" customHeight="1" x14ac:dyDescent="0.25">
      <c r="A2" s="337" t="s">
        <v>727</v>
      </c>
      <c r="B2" s="337"/>
      <c r="C2" s="337"/>
      <c r="D2" s="337"/>
      <c r="E2" s="337"/>
      <c r="F2" s="337"/>
      <c r="G2" s="337"/>
    </row>
    <row r="3" spans="1:7" ht="4.5" customHeight="1" x14ac:dyDescent="0.25">
      <c r="A3" s="86"/>
      <c r="B3" s="270"/>
      <c r="C3" s="270"/>
      <c r="D3" s="270"/>
      <c r="E3" s="270"/>
      <c r="F3" s="270"/>
      <c r="G3" s="270"/>
    </row>
    <row r="4" spans="1:7" ht="13.5" customHeight="1" x14ac:dyDescent="0.25">
      <c r="A4" s="336" t="s">
        <v>728</v>
      </c>
      <c r="B4" s="336"/>
      <c r="C4" s="336"/>
      <c r="D4" s="336"/>
      <c r="E4" s="336"/>
      <c r="F4" s="336"/>
      <c r="G4" s="336"/>
    </row>
    <row r="5" spans="1:7" ht="17.25" customHeight="1" x14ac:dyDescent="0.25">
      <c r="A5" s="294" t="s">
        <v>729</v>
      </c>
      <c r="B5" s="294"/>
      <c r="C5" s="294"/>
      <c r="D5" s="294"/>
      <c r="E5" s="294"/>
      <c r="F5" s="294"/>
      <c r="G5" s="294"/>
    </row>
    <row r="6" spans="1:7" ht="12" customHeight="1" x14ac:dyDescent="0.25">
      <c r="A6" s="295" t="s">
        <v>1070</v>
      </c>
      <c r="B6" s="295"/>
      <c r="C6" s="295"/>
      <c r="D6" s="295"/>
      <c r="E6" s="295"/>
      <c r="F6" s="295"/>
      <c r="G6" s="295"/>
    </row>
    <row r="7" spans="1:7" ht="6.75" customHeight="1" x14ac:dyDescent="0.25">
      <c r="A7" s="86"/>
      <c r="B7" s="270"/>
      <c r="C7" s="270"/>
      <c r="D7" s="270"/>
      <c r="E7" s="270"/>
      <c r="F7" s="270"/>
      <c r="G7" s="270"/>
    </row>
    <row r="8" spans="1:7" ht="15.75" customHeight="1" x14ac:dyDescent="0.25">
      <c r="A8" s="114" t="s">
        <v>2</v>
      </c>
      <c r="B8" s="275" t="s">
        <v>96</v>
      </c>
      <c r="C8" s="275"/>
      <c r="D8" s="275"/>
      <c r="E8" s="275"/>
      <c r="F8" s="275"/>
      <c r="G8" s="275"/>
    </row>
    <row r="9" spans="1:7" ht="15.75" customHeight="1" x14ac:dyDescent="0.25">
      <c r="A9" s="91" t="s">
        <v>4</v>
      </c>
      <c r="B9" s="287" t="s">
        <v>5</v>
      </c>
      <c r="C9" s="287"/>
      <c r="D9" s="287"/>
      <c r="E9" s="287"/>
      <c r="F9" s="287"/>
      <c r="G9" s="287"/>
    </row>
    <row r="10" spans="1:7" ht="15.75" customHeight="1" x14ac:dyDescent="0.25">
      <c r="A10" s="114" t="s">
        <v>6</v>
      </c>
      <c r="B10" s="275" t="s">
        <v>99</v>
      </c>
      <c r="C10" s="275"/>
      <c r="D10" s="275"/>
      <c r="E10" s="275"/>
      <c r="F10" s="275"/>
      <c r="G10" s="275"/>
    </row>
    <row r="11" spans="1:7" ht="15.75" customHeight="1" x14ac:dyDescent="0.25">
      <c r="A11" s="91" t="s">
        <v>289</v>
      </c>
      <c r="B11" s="287" t="s">
        <v>9</v>
      </c>
      <c r="C11" s="287"/>
      <c r="D11" s="287"/>
      <c r="E11" s="287"/>
      <c r="F11" s="287"/>
      <c r="G11" s="287"/>
    </row>
    <row r="12" spans="1:7" x14ac:dyDescent="0.25">
      <c r="A12" s="114" t="s">
        <v>10</v>
      </c>
      <c r="B12" s="288" t="s">
        <v>1059</v>
      </c>
      <c r="C12" s="288"/>
      <c r="D12" s="288"/>
      <c r="E12" s="288"/>
      <c r="F12" s="288"/>
      <c r="G12" s="288"/>
    </row>
    <row r="13" spans="1:7" ht="15.75" customHeight="1" x14ac:dyDescent="0.25">
      <c r="A13" s="91" t="s">
        <v>290</v>
      </c>
      <c r="B13" s="287" t="s">
        <v>102</v>
      </c>
      <c r="C13" s="287"/>
      <c r="D13" s="287"/>
      <c r="E13" s="287"/>
      <c r="F13" s="287"/>
      <c r="G13" s="287"/>
    </row>
    <row r="14" spans="1:7" ht="15.75" customHeight="1" x14ac:dyDescent="0.25">
      <c r="A14" s="114" t="s">
        <v>14</v>
      </c>
      <c r="B14" s="289">
        <v>44013</v>
      </c>
      <c r="C14" s="289"/>
      <c r="D14" s="289"/>
      <c r="E14" s="289"/>
      <c r="F14" s="289"/>
      <c r="G14" s="289"/>
    </row>
    <row r="15" spans="1:7" ht="15.75" customHeight="1" x14ac:dyDescent="0.25">
      <c r="A15" s="91" t="s">
        <v>15</v>
      </c>
      <c r="B15" s="292">
        <v>44013</v>
      </c>
      <c r="C15" s="292"/>
      <c r="D15" s="292"/>
      <c r="E15" s="292"/>
      <c r="F15" s="292"/>
      <c r="G15" s="292"/>
    </row>
    <row r="16" spans="1:7" ht="16.5" customHeight="1" x14ac:dyDescent="0.25">
      <c r="A16" s="97"/>
      <c r="B16" s="276"/>
      <c r="C16" s="276"/>
      <c r="D16" s="276"/>
      <c r="E16" s="276"/>
      <c r="F16" s="291" t="s">
        <v>105</v>
      </c>
      <c r="G16" s="291"/>
    </row>
    <row r="17" spans="1:7" ht="26.25" customHeight="1" x14ac:dyDescent="0.25">
      <c r="A17" s="331" t="s">
        <v>107</v>
      </c>
      <c r="B17" s="333" t="s">
        <v>599</v>
      </c>
      <c r="C17" s="333" t="s">
        <v>600</v>
      </c>
      <c r="D17" s="333" t="s">
        <v>601</v>
      </c>
      <c r="E17" s="333"/>
      <c r="F17" s="333" t="s">
        <v>602</v>
      </c>
      <c r="G17" s="335"/>
    </row>
    <row r="18" spans="1:7" ht="29.25" customHeight="1" x14ac:dyDescent="0.25">
      <c r="A18" s="332"/>
      <c r="B18" s="334"/>
      <c r="C18" s="334"/>
      <c r="D18" s="115" t="s">
        <v>1071</v>
      </c>
      <c r="E18" s="115" t="s">
        <v>603</v>
      </c>
      <c r="F18" s="115" t="s">
        <v>1073</v>
      </c>
      <c r="G18" s="116" t="s">
        <v>603</v>
      </c>
    </row>
    <row r="19" spans="1:7" ht="24.75" customHeight="1" x14ac:dyDescent="0.25">
      <c r="A19" s="200" t="s">
        <v>604</v>
      </c>
      <c r="B19" s="117" t="s">
        <v>605</v>
      </c>
      <c r="C19" s="117"/>
      <c r="D19" s="166">
        <f>D20+D23+D26+D30+D31+D32+D33+D34</f>
        <v>-87821385951</v>
      </c>
      <c r="E19" s="166">
        <f>E20+E23+E26+E30+E31+E32+E33+E34</f>
        <v>-69464833098</v>
      </c>
      <c r="F19" s="166">
        <f>F20+F23+F26+F30+F31+F32+F33+F34</f>
        <v>0</v>
      </c>
      <c r="G19" s="167">
        <f>G20+G23+G26+G30+G31+G32+G33+G34</f>
        <v>0</v>
      </c>
    </row>
    <row r="20" spans="1:7" ht="24.75" customHeight="1" x14ac:dyDescent="0.25">
      <c r="A20" s="201" t="s">
        <v>606</v>
      </c>
      <c r="B20" s="118" t="s">
        <v>607</v>
      </c>
      <c r="C20" s="118"/>
      <c r="D20" s="171">
        <f>D21+D22</f>
        <v>382721000</v>
      </c>
      <c r="E20" s="171">
        <f>E21+E22</f>
        <v>1110041000</v>
      </c>
      <c r="F20" s="171">
        <f>F21+F22</f>
        <v>0</v>
      </c>
      <c r="G20" s="172">
        <f>G21+G22</f>
        <v>0</v>
      </c>
    </row>
    <row r="21" spans="1:7" ht="24.75" customHeight="1" x14ac:dyDescent="0.25">
      <c r="A21" s="202" t="s">
        <v>608</v>
      </c>
      <c r="B21" s="119" t="s">
        <v>609</v>
      </c>
      <c r="C21" s="119"/>
      <c r="D21" s="176">
        <v>382721000</v>
      </c>
      <c r="E21" s="176">
        <v>1110041000</v>
      </c>
      <c r="F21" s="176">
        <v>0</v>
      </c>
      <c r="G21" s="177">
        <v>0</v>
      </c>
    </row>
    <row r="22" spans="1:7" ht="24.75" customHeight="1" x14ac:dyDescent="0.25">
      <c r="A22" s="202" t="s">
        <v>610</v>
      </c>
      <c r="B22" s="119" t="s">
        <v>611</v>
      </c>
      <c r="C22" s="119"/>
      <c r="D22" s="176">
        <v>0</v>
      </c>
      <c r="E22" s="176">
        <v>0</v>
      </c>
      <c r="F22" s="176">
        <v>0</v>
      </c>
      <c r="G22" s="177">
        <v>0</v>
      </c>
    </row>
    <row r="23" spans="1:7" ht="24.75" customHeight="1" x14ac:dyDescent="0.25">
      <c r="A23" s="201" t="s">
        <v>612</v>
      </c>
      <c r="B23" s="118" t="s">
        <v>613</v>
      </c>
      <c r="C23" s="118"/>
      <c r="D23" s="171">
        <f>D24+D25</f>
        <v>15021549</v>
      </c>
      <c r="E23" s="171">
        <f>E24+E25</f>
        <v>15260752</v>
      </c>
      <c r="F23" s="171">
        <f>F24+F25</f>
        <v>0</v>
      </c>
      <c r="G23" s="172">
        <f>G24+G25</f>
        <v>0</v>
      </c>
    </row>
    <row r="24" spans="1:7" ht="24.75" customHeight="1" x14ac:dyDescent="0.25">
      <c r="A24" s="202" t="s">
        <v>614</v>
      </c>
      <c r="B24" s="119" t="s">
        <v>615</v>
      </c>
      <c r="C24" s="119"/>
      <c r="D24" s="176">
        <v>15021549</v>
      </c>
      <c r="E24" s="176">
        <v>15260752</v>
      </c>
      <c r="F24" s="176">
        <v>0</v>
      </c>
      <c r="G24" s="177">
        <v>0</v>
      </c>
    </row>
    <row r="25" spans="1:7" ht="24.75" customHeight="1" x14ac:dyDescent="0.25">
      <c r="A25" s="202" t="s">
        <v>616</v>
      </c>
      <c r="B25" s="119" t="s">
        <v>617</v>
      </c>
      <c r="C25" s="119"/>
      <c r="D25" s="176">
        <v>0</v>
      </c>
      <c r="E25" s="176">
        <v>0</v>
      </c>
      <c r="F25" s="176">
        <v>0</v>
      </c>
      <c r="G25" s="177">
        <v>0</v>
      </c>
    </row>
    <row r="26" spans="1:7" ht="24.75" customHeight="1" x14ac:dyDescent="0.25">
      <c r="A26" s="201" t="s">
        <v>618</v>
      </c>
      <c r="B26" s="118" t="s">
        <v>619</v>
      </c>
      <c r="C26" s="118"/>
      <c r="D26" s="171">
        <f>D27+D28+D29</f>
        <v>-34857881</v>
      </c>
      <c r="E26" s="171">
        <f>E27+E28+E29</f>
        <v>329150439</v>
      </c>
      <c r="F26" s="171">
        <f>F27+F28+F29</f>
        <v>0</v>
      </c>
      <c r="G26" s="172">
        <f>G27+G28+G29</f>
        <v>0</v>
      </c>
    </row>
    <row r="27" spans="1:7" ht="24.75" customHeight="1" x14ac:dyDescent="0.25">
      <c r="A27" s="202" t="s">
        <v>620</v>
      </c>
      <c r="B27" s="119" t="s">
        <v>621</v>
      </c>
      <c r="C27" s="119"/>
      <c r="D27" s="176">
        <v>-34857881</v>
      </c>
      <c r="E27" s="176">
        <v>329150439</v>
      </c>
      <c r="F27" s="176">
        <v>0</v>
      </c>
      <c r="G27" s="177">
        <v>0</v>
      </c>
    </row>
    <row r="28" spans="1:7" ht="24.75" customHeight="1" x14ac:dyDescent="0.25">
      <c r="A28" s="202" t="s">
        <v>622</v>
      </c>
      <c r="B28" s="119" t="s">
        <v>623</v>
      </c>
      <c r="C28" s="119"/>
      <c r="D28" s="176">
        <v>0</v>
      </c>
      <c r="E28" s="176">
        <v>0</v>
      </c>
      <c r="F28" s="176">
        <v>0</v>
      </c>
      <c r="G28" s="177">
        <v>0</v>
      </c>
    </row>
    <row r="29" spans="1:7" ht="35.25" customHeight="1" x14ac:dyDescent="0.25">
      <c r="A29" s="202" t="s">
        <v>624</v>
      </c>
      <c r="B29" s="119" t="s">
        <v>625</v>
      </c>
      <c r="C29" s="119"/>
      <c r="D29" s="176">
        <v>0</v>
      </c>
      <c r="E29" s="176">
        <v>0</v>
      </c>
      <c r="F29" s="176">
        <v>0</v>
      </c>
      <c r="G29" s="177">
        <v>0</v>
      </c>
    </row>
    <row r="30" spans="1:7" ht="26.25" customHeight="1" x14ac:dyDescent="0.25">
      <c r="A30" s="201" t="s">
        <v>626</v>
      </c>
      <c r="B30" s="118" t="s">
        <v>627</v>
      </c>
      <c r="C30" s="118"/>
      <c r="D30" s="171">
        <v>-88184270619</v>
      </c>
      <c r="E30" s="171">
        <v>-70919285289</v>
      </c>
      <c r="F30" s="171">
        <v>0</v>
      </c>
      <c r="G30" s="172">
        <v>0</v>
      </c>
    </row>
    <row r="31" spans="1:7" ht="24.75" customHeight="1" x14ac:dyDescent="0.25">
      <c r="A31" s="201" t="s">
        <v>628</v>
      </c>
      <c r="B31" s="118" t="s">
        <v>629</v>
      </c>
      <c r="C31" s="118"/>
      <c r="D31" s="171">
        <v>0</v>
      </c>
      <c r="E31" s="171">
        <v>0</v>
      </c>
      <c r="F31" s="171">
        <v>0</v>
      </c>
      <c r="G31" s="172">
        <v>0</v>
      </c>
    </row>
    <row r="32" spans="1:7" ht="24.75" customHeight="1" x14ac:dyDescent="0.25">
      <c r="A32" s="201" t="s">
        <v>630</v>
      </c>
      <c r="B32" s="118" t="s">
        <v>631</v>
      </c>
      <c r="C32" s="118"/>
      <c r="D32" s="171">
        <v>0</v>
      </c>
      <c r="E32" s="171">
        <v>0</v>
      </c>
      <c r="F32" s="171">
        <v>0</v>
      </c>
      <c r="G32" s="172">
        <v>0</v>
      </c>
    </row>
    <row r="33" spans="1:7" ht="24.75" customHeight="1" x14ac:dyDescent="0.25">
      <c r="A33" s="201" t="s">
        <v>632</v>
      </c>
      <c r="B33" s="118" t="s">
        <v>633</v>
      </c>
      <c r="C33" s="118"/>
      <c r="D33" s="171">
        <v>0</v>
      </c>
      <c r="E33" s="171">
        <v>0</v>
      </c>
      <c r="F33" s="171">
        <v>0</v>
      </c>
      <c r="G33" s="172">
        <v>0</v>
      </c>
    </row>
    <row r="34" spans="1:7" ht="49.5" customHeight="1" x14ac:dyDescent="0.25">
      <c r="A34" s="201" t="s">
        <v>634</v>
      </c>
      <c r="B34" s="118" t="s">
        <v>635</v>
      </c>
      <c r="C34" s="118"/>
      <c r="D34" s="171">
        <v>0</v>
      </c>
      <c r="E34" s="171">
        <v>0</v>
      </c>
      <c r="F34" s="171">
        <v>0</v>
      </c>
      <c r="G34" s="172">
        <v>0</v>
      </c>
    </row>
    <row r="35" spans="1:7" ht="24.75" customHeight="1" x14ac:dyDescent="0.25">
      <c r="A35" s="200" t="s">
        <v>636</v>
      </c>
      <c r="B35" s="117" t="s">
        <v>461</v>
      </c>
      <c r="C35" s="117"/>
      <c r="D35" s="166">
        <f>D36+D39+D40+D41+D42</f>
        <v>4160324</v>
      </c>
      <c r="E35" s="166">
        <f>E36+E39+E40+E41+E42</f>
        <v>23465560</v>
      </c>
      <c r="F35" s="166">
        <f>F36+F39+F40+F41+F42</f>
        <v>0</v>
      </c>
      <c r="G35" s="167">
        <f>G36+G39+G40+G41+G42</f>
        <v>0</v>
      </c>
    </row>
    <row r="36" spans="1:7" ht="24.75" customHeight="1" x14ac:dyDescent="0.25">
      <c r="A36" s="201" t="s">
        <v>637</v>
      </c>
      <c r="B36" s="118" t="s">
        <v>464</v>
      </c>
      <c r="C36" s="118"/>
      <c r="D36" s="171">
        <f>D37+D38</f>
        <v>4160324</v>
      </c>
      <c r="E36" s="171">
        <f>E37+E38</f>
        <v>23465560</v>
      </c>
      <c r="F36" s="171">
        <f>F37+F38</f>
        <v>0</v>
      </c>
      <c r="G36" s="172">
        <f>G37+G38</f>
        <v>0</v>
      </c>
    </row>
    <row r="37" spans="1:7" ht="24.75" customHeight="1" x14ac:dyDescent="0.25">
      <c r="A37" s="202" t="s">
        <v>638</v>
      </c>
      <c r="B37" s="119" t="s">
        <v>639</v>
      </c>
      <c r="C37" s="119"/>
      <c r="D37" s="176">
        <v>4160324</v>
      </c>
      <c r="E37" s="176">
        <v>23465560</v>
      </c>
      <c r="F37" s="176">
        <v>0</v>
      </c>
      <c r="G37" s="177">
        <v>0</v>
      </c>
    </row>
    <row r="38" spans="1:7" ht="24.75" customHeight="1" x14ac:dyDescent="0.25">
      <c r="A38" s="202" t="s">
        <v>640</v>
      </c>
      <c r="B38" s="119" t="s">
        <v>641</v>
      </c>
      <c r="C38" s="119"/>
      <c r="D38" s="176">
        <v>0</v>
      </c>
      <c r="E38" s="176">
        <v>0</v>
      </c>
      <c r="F38" s="176">
        <v>0</v>
      </c>
      <c r="G38" s="177">
        <v>0</v>
      </c>
    </row>
    <row r="39" spans="1:7" ht="26.25" customHeight="1" x14ac:dyDescent="0.25">
      <c r="A39" s="201" t="s">
        <v>642</v>
      </c>
      <c r="B39" s="118" t="s">
        <v>467</v>
      </c>
      <c r="C39" s="118"/>
      <c r="D39" s="171">
        <v>0</v>
      </c>
      <c r="E39" s="171">
        <v>0</v>
      </c>
      <c r="F39" s="171">
        <v>0</v>
      </c>
      <c r="G39" s="172">
        <v>0</v>
      </c>
    </row>
    <row r="40" spans="1:7" ht="24.75" customHeight="1" x14ac:dyDescent="0.25">
      <c r="A40" s="201" t="s">
        <v>643</v>
      </c>
      <c r="B40" s="118" t="s">
        <v>470</v>
      </c>
      <c r="C40" s="118"/>
      <c r="D40" s="171">
        <v>0</v>
      </c>
      <c r="E40" s="171">
        <v>0</v>
      </c>
      <c r="F40" s="171">
        <v>0</v>
      </c>
      <c r="G40" s="172">
        <v>0</v>
      </c>
    </row>
    <row r="41" spans="1:7" ht="38.25" customHeight="1" x14ac:dyDescent="0.25">
      <c r="A41" s="201" t="s">
        <v>644</v>
      </c>
      <c r="B41" s="118" t="s">
        <v>473</v>
      </c>
      <c r="C41" s="118"/>
      <c r="D41" s="171">
        <v>0</v>
      </c>
      <c r="E41" s="171">
        <v>0</v>
      </c>
      <c r="F41" s="171">
        <v>0</v>
      </c>
      <c r="G41" s="172">
        <v>0</v>
      </c>
    </row>
    <row r="42" spans="1:7" ht="24.75" customHeight="1" x14ac:dyDescent="0.25">
      <c r="A42" s="201" t="s">
        <v>645</v>
      </c>
      <c r="B42" s="118" t="s">
        <v>646</v>
      </c>
      <c r="C42" s="118"/>
      <c r="D42" s="171">
        <v>0</v>
      </c>
      <c r="E42" s="171">
        <v>0</v>
      </c>
      <c r="F42" s="171">
        <v>0</v>
      </c>
      <c r="G42" s="172">
        <v>0</v>
      </c>
    </row>
    <row r="43" spans="1:7" ht="24.75" customHeight="1" x14ac:dyDescent="0.25">
      <c r="A43" s="200" t="s">
        <v>647</v>
      </c>
      <c r="B43" s="117" t="s">
        <v>648</v>
      </c>
      <c r="C43" s="117"/>
      <c r="D43" s="166">
        <f>D44+D45+D50+D51+D52+D53+D56+D57+D58+D59</f>
        <v>980183201</v>
      </c>
      <c r="E43" s="166">
        <f>E44+E45+E50+E51+E52+E53+E56+E57+E58+E59</f>
        <v>1418419347</v>
      </c>
      <c r="F43" s="166">
        <f>F44+F45+F50+F51+F52+F53+F56+F57+F58+F59</f>
        <v>0</v>
      </c>
      <c r="G43" s="167">
        <f>G44+G45+G50+G51+G52+G53+G56+G57+G58+G59</f>
        <v>0</v>
      </c>
    </row>
    <row r="44" spans="1:7" ht="24.75" customHeight="1" x14ac:dyDescent="0.25">
      <c r="A44" s="201" t="s">
        <v>649</v>
      </c>
      <c r="B44" s="118" t="s">
        <v>650</v>
      </c>
      <c r="C44" s="118"/>
      <c r="D44" s="171">
        <v>743535790</v>
      </c>
      <c r="E44" s="171">
        <v>1013729718</v>
      </c>
      <c r="F44" s="171">
        <v>0</v>
      </c>
      <c r="G44" s="172">
        <v>0</v>
      </c>
    </row>
    <row r="45" spans="1:7" ht="24.75" customHeight="1" x14ac:dyDescent="0.25">
      <c r="A45" s="201" t="s">
        <v>651</v>
      </c>
      <c r="B45" s="118" t="s">
        <v>652</v>
      </c>
      <c r="C45" s="118"/>
      <c r="D45" s="171">
        <f>D46+D47+D48+D49</f>
        <v>22564813</v>
      </c>
      <c r="E45" s="171">
        <f>E46+E47+E48+E49</f>
        <v>38239707</v>
      </c>
      <c r="F45" s="171">
        <f>F46+F47+F48+F49</f>
        <v>0</v>
      </c>
      <c r="G45" s="172">
        <f>G46+G47+G48+G49</f>
        <v>0</v>
      </c>
    </row>
    <row r="46" spans="1:7" ht="24.75" customHeight="1" x14ac:dyDescent="0.25">
      <c r="A46" s="202" t="s">
        <v>653</v>
      </c>
      <c r="B46" s="119" t="s">
        <v>654</v>
      </c>
      <c r="C46" s="119"/>
      <c r="D46" s="176">
        <v>18588396</v>
      </c>
      <c r="E46" s="176">
        <v>32104916</v>
      </c>
      <c r="F46" s="176">
        <v>0</v>
      </c>
      <c r="G46" s="177">
        <v>0</v>
      </c>
    </row>
    <row r="47" spans="1:7" ht="24.75" customHeight="1" x14ac:dyDescent="0.25">
      <c r="A47" s="202" t="s">
        <v>655</v>
      </c>
      <c r="B47" s="119" t="s">
        <v>656</v>
      </c>
      <c r="C47" s="119"/>
      <c r="D47" s="176">
        <v>200000</v>
      </c>
      <c r="E47" s="176">
        <v>2200000</v>
      </c>
      <c r="F47" s="176">
        <v>0</v>
      </c>
      <c r="G47" s="177">
        <v>0</v>
      </c>
    </row>
    <row r="48" spans="1:7" ht="24.75" customHeight="1" x14ac:dyDescent="0.25">
      <c r="A48" s="202" t="s">
        <v>657</v>
      </c>
      <c r="B48" s="119" t="s">
        <v>658</v>
      </c>
      <c r="C48" s="119"/>
      <c r="D48" s="176">
        <v>3776417</v>
      </c>
      <c r="E48" s="176">
        <v>3934791</v>
      </c>
      <c r="F48" s="176">
        <v>0</v>
      </c>
      <c r="G48" s="177">
        <v>0</v>
      </c>
    </row>
    <row r="49" spans="1:7" ht="45.75" customHeight="1" x14ac:dyDescent="0.25">
      <c r="A49" s="202" t="s">
        <v>659</v>
      </c>
      <c r="B49" s="119" t="s">
        <v>660</v>
      </c>
      <c r="C49" s="119"/>
      <c r="D49" s="176">
        <v>0</v>
      </c>
      <c r="E49" s="176">
        <v>0</v>
      </c>
      <c r="F49" s="176">
        <v>0</v>
      </c>
      <c r="G49" s="177">
        <v>0</v>
      </c>
    </row>
    <row r="50" spans="1:7" ht="24.75" customHeight="1" x14ac:dyDescent="0.25">
      <c r="A50" s="201" t="s">
        <v>661</v>
      </c>
      <c r="B50" s="118" t="s">
        <v>662</v>
      </c>
      <c r="C50" s="118"/>
      <c r="D50" s="171">
        <v>42962221</v>
      </c>
      <c r="E50" s="171">
        <v>70972950</v>
      </c>
      <c r="F50" s="171">
        <v>0</v>
      </c>
      <c r="G50" s="172">
        <v>0</v>
      </c>
    </row>
    <row r="51" spans="1:7" ht="24.75" customHeight="1" x14ac:dyDescent="0.25">
      <c r="A51" s="201" t="s">
        <v>663</v>
      </c>
      <c r="B51" s="118" t="s">
        <v>664</v>
      </c>
      <c r="C51" s="118"/>
      <c r="D51" s="171">
        <v>22514985</v>
      </c>
      <c r="E51" s="171">
        <v>44817235</v>
      </c>
      <c r="F51" s="171">
        <v>0</v>
      </c>
      <c r="G51" s="172">
        <v>0</v>
      </c>
    </row>
    <row r="52" spans="1:7" ht="24.75" customHeight="1" x14ac:dyDescent="0.25">
      <c r="A52" s="201" t="s">
        <v>665</v>
      </c>
      <c r="B52" s="118" t="s">
        <v>666</v>
      </c>
      <c r="C52" s="118"/>
      <c r="D52" s="171">
        <v>5499996</v>
      </c>
      <c r="E52" s="171">
        <v>9048379</v>
      </c>
      <c r="F52" s="171">
        <v>0</v>
      </c>
      <c r="G52" s="172">
        <v>0</v>
      </c>
    </row>
    <row r="53" spans="1:7" ht="24.75" customHeight="1" x14ac:dyDescent="0.25">
      <c r="A53" s="201" t="s">
        <v>667</v>
      </c>
      <c r="B53" s="118" t="s">
        <v>668</v>
      </c>
      <c r="C53" s="118"/>
      <c r="D53" s="171">
        <f>D54+D55</f>
        <v>99468849</v>
      </c>
      <c r="E53" s="171">
        <f>E54+E55</f>
        <v>146537296</v>
      </c>
      <c r="F53" s="171">
        <f>F54+F55</f>
        <v>0</v>
      </c>
      <c r="G53" s="172">
        <f>G54+G55</f>
        <v>0</v>
      </c>
    </row>
    <row r="54" spans="1:7" ht="36" customHeight="1" x14ac:dyDescent="0.25">
      <c r="A54" s="202" t="s">
        <v>669</v>
      </c>
      <c r="B54" s="119" t="s">
        <v>670</v>
      </c>
      <c r="C54" s="119"/>
      <c r="D54" s="176">
        <v>46470989</v>
      </c>
      <c r="E54" s="176">
        <v>60290720</v>
      </c>
      <c r="F54" s="176">
        <v>0</v>
      </c>
      <c r="G54" s="177">
        <v>0</v>
      </c>
    </row>
    <row r="55" spans="1:7" ht="24.75" customHeight="1" x14ac:dyDescent="0.25">
      <c r="A55" s="202" t="s">
        <v>671</v>
      </c>
      <c r="B55" s="119" t="s">
        <v>672</v>
      </c>
      <c r="C55" s="119"/>
      <c r="D55" s="176">
        <v>52997860</v>
      </c>
      <c r="E55" s="176">
        <v>86246576</v>
      </c>
      <c r="F55" s="176">
        <v>0</v>
      </c>
      <c r="G55" s="177">
        <v>0</v>
      </c>
    </row>
    <row r="56" spans="1:7" ht="24.75" customHeight="1" x14ac:dyDescent="0.25">
      <c r="A56" s="201" t="s">
        <v>673</v>
      </c>
      <c r="B56" s="118" t="s">
        <v>674</v>
      </c>
      <c r="C56" s="118"/>
      <c r="D56" s="171">
        <v>0</v>
      </c>
      <c r="E56" s="171">
        <v>0</v>
      </c>
      <c r="F56" s="171">
        <v>0</v>
      </c>
      <c r="G56" s="172">
        <v>0</v>
      </c>
    </row>
    <row r="57" spans="1:7" ht="24.75" customHeight="1" x14ac:dyDescent="0.25">
      <c r="A57" s="201" t="s">
        <v>675</v>
      </c>
      <c r="B57" s="118" t="s">
        <v>676</v>
      </c>
      <c r="C57" s="118"/>
      <c r="D57" s="171">
        <v>14075829</v>
      </c>
      <c r="E57" s="171">
        <v>14075829</v>
      </c>
      <c r="F57" s="171">
        <v>0</v>
      </c>
      <c r="G57" s="172">
        <v>0</v>
      </c>
    </row>
    <row r="58" spans="1:7" ht="24.75" customHeight="1" x14ac:dyDescent="0.25">
      <c r="A58" s="201" t="s">
        <v>677</v>
      </c>
      <c r="B58" s="118" t="s">
        <v>678</v>
      </c>
      <c r="C58" s="118"/>
      <c r="D58" s="171">
        <v>0</v>
      </c>
      <c r="E58" s="171">
        <v>0</v>
      </c>
      <c r="F58" s="171">
        <v>0</v>
      </c>
      <c r="G58" s="172">
        <v>0</v>
      </c>
    </row>
    <row r="59" spans="1:7" ht="24.75" customHeight="1" x14ac:dyDescent="0.25">
      <c r="A59" s="201" t="s">
        <v>679</v>
      </c>
      <c r="B59" s="118" t="s">
        <v>680</v>
      </c>
      <c r="C59" s="118"/>
      <c r="D59" s="171">
        <f>D60+D61+D62+D63+D64+D65+D66+D67+D68+D70+D71+D72+D73</f>
        <v>29560718</v>
      </c>
      <c r="E59" s="171">
        <f>E60+E61+E62+E63+E64+E65+E66+E67+E68+E70+E71+E72+E73</f>
        <v>80998233</v>
      </c>
      <c r="F59" s="171">
        <f>F60+F61+F62+F63+F64+F65+F66+F67+F68+F70+F71+F72+F73</f>
        <v>0</v>
      </c>
      <c r="G59" s="172">
        <f>G60+G61+G62+G63+G64+G65+G66+G67+G68+G70+G71+G72+G73</f>
        <v>0</v>
      </c>
    </row>
    <row r="60" spans="1:7" ht="24.75" customHeight="1" x14ac:dyDescent="0.25">
      <c r="A60" s="202" t="s">
        <v>681</v>
      </c>
      <c r="B60" s="119" t="s">
        <v>682</v>
      </c>
      <c r="C60" s="119"/>
      <c r="D60" s="176">
        <v>9735986</v>
      </c>
      <c r="E60" s="176">
        <v>9735986</v>
      </c>
      <c r="F60" s="176">
        <v>0</v>
      </c>
      <c r="G60" s="177">
        <v>0</v>
      </c>
    </row>
    <row r="61" spans="1:7" ht="24.75" customHeight="1" x14ac:dyDescent="0.25">
      <c r="A61" s="202" t="s">
        <v>683</v>
      </c>
      <c r="B61" s="119" t="s">
        <v>684</v>
      </c>
      <c r="C61" s="119"/>
      <c r="D61" s="176">
        <v>0</v>
      </c>
      <c r="E61" s="176">
        <v>0</v>
      </c>
      <c r="F61" s="176">
        <v>0</v>
      </c>
      <c r="G61" s="177">
        <v>0</v>
      </c>
    </row>
    <row r="62" spans="1:7" ht="24.75" customHeight="1" x14ac:dyDescent="0.25">
      <c r="A62" s="202" t="s">
        <v>685</v>
      </c>
      <c r="B62" s="119" t="s">
        <v>686</v>
      </c>
      <c r="C62" s="119"/>
      <c r="D62" s="176">
        <v>0</v>
      </c>
      <c r="E62" s="176">
        <v>0</v>
      </c>
      <c r="F62" s="176">
        <v>0</v>
      </c>
      <c r="G62" s="177">
        <v>0</v>
      </c>
    </row>
    <row r="63" spans="1:7" ht="24.75" customHeight="1" x14ac:dyDescent="0.25">
      <c r="A63" s="202" t="s">
        <v>687</v>
      </c>
      <c r="B63" s="119" t="s">
        <v>688</v>
      </c>
      <c r="C63" s="119"/>
      <c r="D63" s="176">
        <v>0</v>
      </c>
      <c r="E63" s="176">
        <v>0</v>
      </c>
      <c r="F63" s="176">
        <v>0</v>
      </c>
      <c r="G63" s="177">
        <v>0</v>
      </c>
    </row>
    <row r="64" spans="1:7" ht="24.75" customHeight="1" x14ac:dyDescent="0.25">
      <c r="A64" s="202" t="s">
        <v>689</v>
      </c>
      <c r="B64" s="119" t="s">
        <v>690</v>
      </c>
      <c r="C64" s="119"/>
      <c r="D64" s="176">
        <v>0</v>
      </c>
      <c r="E64" s="176">
        <v>0</v>
      </c>
      <c r="F64" s="176">
        <v>0</v>
      </c>
      <c r="G64" s="177">
        <v>0</v>
      </c>
    </row>
    <row r="65" spans="1:7" ht="24.75" customHeight="1" x14ac:dyDescent="0.25">
      <c r="A65" s="202" t="s">
        <v>691</v>
      </c>
      <c r="B65" s="119" t="s">
        <v>692</v>
      </c>
      <c r="C65" s="119"/>
      <c r="D65" s="176">
        <v>0</v>
      </c>
      <c r="E65" s="176">
        <v>50000000</v>
      </c>
      <c r="F65" s="176">
        <v>0</v>
      </c>
      <c r="G65" s="177">
        <v>0</v>
      </c>
    </row>
    <row r="66" spans="1:7" ht="24.75" customHeight="1" x14ac:dyDescent="0.25">
      <c r="A66" s="202" t="s">
        <v>693</v>
      </c>
      <c r="B66" s="119" t="s">
        <v>694</v>
      </c>
      <c r="C66" s="119"/>
      <c r="D66" s="176">
        <v>590550</v>
      </c>
      <c r="E66" s="176">
        <v>1751965</v>
      </c>
      <c r="F66" s="176">
        <v>0</v>
      </c>
      <c r="G66" s="177">
        <v>0</v>
      </c>
    </row>
    <row r="67" spans="1:7" ht="24.75" customHeight="1" x14ac:dyDescent="0.25">
      <c r="A67" s="202" t="s">
        <v>695</v>
      </c>
      <c r="B67" s="119" t="s">
        <v>696</v>
      </c>
      <c r="C67" s="119"/>
      <c r="D67" s="176">
        <v>1734182</v>
      </c>
      <c r="E67" s="176">
        <v>2010282</v>
      </c>
      <c r="F67" s="176">
        <v>0</v>
      </c>
      <c r="G67" s="177">
        <v>0</v>
      </c>
    </row>
    <row r="68" spans="1:7" ht="24.75" customHeight="1" x14ac:dyDescent="0.25">
      <c r="A68" s="202" t="s">
        <v>697</v>
      </c>
      <c r="B68" s="119" t="s">
        <v>698</v>
      </c>
      <c r="C68" s="119"/>
      <c r="D68" s="176">
        <v>0</v>
      </c>
      <c r="E68" s="176">
        <v>0</v>
      </c>
      <c r="F68" s="176">
        <v>0</v>
      </c>
      <c r="G68" s="177">
        <v>0</v>
      </c>
    </row>
    <row r="69" spans="1:7" ht="24.75" customHeight="1" x14ac:dyDescent="0.25">
      <c r="A69" s="202" t="s">
        <v>699</v>
      </c>
      <c r="B69" s="119" t="s">
        <v>700</v>
      </c>
      <c r="C69" s="119"/>
      <c r="D69" s="176">
        <v>0</v>
      </c>
      <c r="E69" s="176">
        <v>0</v>
      </c>
      <c r="F69" s="176">
        <v>0</v>
      </c>
      <c r="G69" s="177">
        <v>0</v>
      </c>
    </row>
    <row r="70" spans="1:7" ht="24.75" customHeight="1" x14ac:dyDescent="0.25">
      <c r="A70" s="202" t="s">
        <v>701</v>
      </c>
      <c r="B70" s="119" t="s">
        <v>702</v>
      </c>
      <c r="C70" s="119"/>
      <c r="D70" s="176">
        <v>0</v>
      </c>
      <c r="E70" s="176">
        <v>0</v>
      </c>
      <c r="F70" s="176">
        <v>0</v>
      </c>
      <c r="G70" s="177">
        <v>0</v>
      </c>
    </row>
    <row r="71" spans="1:7" ht="24.75" customHeight="1" x14ac:dyDescent="0.25">
      <c r="A71" s="202" t="s">
        <v>703</v>
      </c>
      <c r="B71" s="119" t="s">
        <v>704</v>
      </c>
      <c r="C71" s="119"/>
      <c r="D71" s="176">
        <v>0</v>
      </c>
      <c r="E71" s="176">
        <v>0</v>
      </c>
      <c r="F71" s="176">
        <v>0</v>
      </c>
      <c r="G71" s="177">
        <v>0</v>
      </c>
    </row>
    <row r="72" spans="1:7" ht="24.75" customHeight="1" x14ac:dyDescent="0.25">
      <c r="A72" s="202" t="s">
        <v>705</v>
      </c>
      <c r="B72" s="119" t="s">
        <v>706</v>
      </c>
      <c r="C72" s="119"/>
      <c r="D72" s="176">
        <v>17500000</v>
      </c>
      <c r="E72" s="176">
        <v>17500000</v>
      </c>
      <c r="F72" s="176">
        <v>0</v>
      </c>
      <c r="G72" s="177">
        <v>0</v>
      </c>
    </row>
    <row r="73" spans="1:7" ht="24.75" customHeight="1" x14ac:dyDescent="0.25">
      <c r="A73" s="202" t="s">
        <v>707</v>
      </c>
      <c r="B73" s="119" t="s">
        <v>708</v>
      </c>
      <c r="C73" s="119"/>
      <c r="D73" s="176">
        <v>0</v>
      </c>
      <c r="E73" s="176">
        <v>0</v>
      </c>
      <c r="F73" s="176">
        <v>0</v>
      </c>
      <c r="G73" s="177">
        <v>0</v>
      </c>
    </row>
    <row r="74" spans="1:7" ht="35.25" customHeight="1" x14ac:dyDescent="0.25">
      <c r="A74" s="200" t="s">
        <v>709</v>
      </c>
      <c r="B74" s="117" t="s">
        <v>710</v>
      </c>
      <c r="C74" s="117"/>
      <c r="D74" s="166">
        <f>D19-D35-D43</f>
        <v>-88805729476</v>
      </c>
      <c r="E74" s="166">
        <f>E19-E35-E43</f>
        <v>-70906718005</v>
      </c>
      <c r="F74" s="166">
        <f>F19-F35-F43</f>
        <v>0</v>
      </c>
      <c r="G74" s="167">
        <f>G19-G35-G43</f>
        <v>0</v>
      </c>
    </row>
    <row r="75" spans="1:7" ht="24.75" customHeight="1" x14ac:dyDescent="0.25">
      <c r="A75" s="200" t="s">
        <v>711</v>
      </c>
      <c r="B75" s="117" t="s">
        <v>712</v>
      </c>
      <c r="C75" s="117"/>
      <c r="D75" s="166">
        <f>D76-D77</f>
        <v>0</v>
      </c>
      <c r="E75" s="166">
        <f>E76-E77</f>
        <v>0</v>
      </c>
      <c r="F75" s="166">
        <f>F76-F77</f>
        <v>0</v>
      </c>
      <c r="G75" s="167">
        <f>G76-G77</f>
        <v>0</v>
      </c>
    </row>
    <row r="76" spans="1:7" ht="24.75" customHeight="1" x14ac:dyDescent="0.25">
      <c r="A76" s="201" t="s">
        <v>713</v>
      </c>
      <c r="B76" s="118" t="s">
        <v>714</v>
      </c>
      <c r="C76" s="118"/>
      <c r="D76" s="171">
        <v>0</v>
      </c>
      <c r="E76" s="171">
        <v>0</v>
      </c>
      <c r="F76" s="171">
        <v>0</v>
      </c>
      <c r="G76" s="172">
        <v>0</v>
      </c>
    </row>
    <row r="77" spans="1:7" ht="24.75" customHeight="1" x14ac:dyDescent="0.25">
      <c r="A77" s="201" t="s">
        <v>715</v>
      </c>
      <c r="B77" s="118" t="s">
        <v>716</v>
      </c>
      <c r="C77" s="118"/>
      <c r="D77" s="171">
        <v>0</v>
      </c>
      <c r="E77" s="171">
        <v>0</v>
      </c>
      <c r="F77" s="171">
        <v>0</v>
      </c>
      <c r="G77" s="172">
        <v>0</v>
      </c>
    </row>
    <row r="78" spans="1:7" ht="36" customHeight="1" x14ac:dyDescent="0.25">
      <c r="A78" s="200" t="s">
        <v>717</v>
      </c>
      <c r="B78" s="117" t="s">
        <v>718</v>
      </c>
      <c r="C78" s="117"/>
      <c r="D78" s="166">
        <f>D74+D75</f>
        <v>-88805729476</v>
      </c>
      <c r="E78" s="166">
        <f>E74+E75</f>
        <v>-70906718005</v>
      </c>
      <c r="F78" s="166">
        <f>F74+F75</f>
        <v>0</v>
      </c>
      <c r="G78" s="167">
        <f>G74+G75</f>
        <v>0</v>
      </c>
    </row>
    <row r="79" spans="1:7" ht="24.75" customHeight="1" x14ac:dyDescent="0.25">
      <c r="A79" s="201" t="s">
        <v>719</v>
      </c>
      <c r="B79" s="118" t="s">
        <v>720</v>
      </c>
      <c r="C79" s="118"/>
      <c r="D79" s="171">
        <v>-621458857</v>
      </c>
      <c r="E79" s="171">
        <v>12567284</v>
      </c>
      <c r="F79" s="171">
        <v>0</v>
      </c>
      <c r="G79" s="172">
        <v>0</v>
      </c>
    </row>
    <row r="80" spans="1:7" ht="24.75" customHeight="1" x14ac:dyDescent="0.25">
      <c r="A80" s="201" t="s">
        <v>721</v>
      </c>
      <c r="B80" s="118" t="s">
        <v>722</v>
      </c>
      <c r="C80" s="118"/>
      <c r="D80" s="171">
        <v>-88184270619</v>
      </c>
      <c r="E80" s="171">
        <v>-70919285289</v>
      </c>
      <c r="F80" s="171">
        <v>0</v>
      </c>
      <c r="G80" s="172">
        <v>0</v>
      </c>
    </row>
    <row r="81" spans="1:7" ht="25.5" customHeight="1" x14ac:dyDescent="0.25">
      <c r="A81" s="200" t="s">
        <v>723</v>
      </c>
      <c r="B81" s="117" t="s">
        <v>724</v>
      </c>
      <c r="C81" s="117"/>
      <c r="D81" s="166">
        <v>0</v>
      </c>
      <c r="E81" s="166">
        <v>0</v>
      </c>
      <c r="F81" s="166">
        <v>0</v>
      </c>
      <c r="G81" s="167">
        <v>0</v>
      </c>
    </row>
    <row r="82" spans="1:7" ht="36.75" customHeight="1" x14ac:dyDescent="0.25">
      <c r="A82" s="203" t="s">
        <v>725</v>
      </c>
      <c r="B82" s="120" t="s">
        <v>726</v>
      </c>
      <c r="C82" s="120"/>
      <c r="D82" s="185">
        <f>D78</f>
        <v>-88805729476</v>
      </c>
      <c r="E82" s="185">
        <f>E78</f>
        <v>-70906718005</v>
      </c>
      <c r="F82" s="185">
        <f>F78</f>
        <v>0</v>
      </c>
      <c r="G82" s="204">
        <f>G78</f>
        <v>0</v>
      </c>
    </row>
    <row r="83" spans="1:7" ht="10.5" customHeight="1" x14ac:dyDescent="0.25">
      <c r="A83" s="86"/>
      <c r="B83" s="270"/>
      <c r="C83" s="270"/>
      <c r="D83" s="270"/>
      <c r="E83" s="270"/>
      <c r="F83" s="270"/>
      <c r="G83" s="270"/>
    </row>
    <row r="84" spans="1:7" ht="15" customHeight="1" x14ac:dyDescent="0.15">
      <c r="A84" s="101" t="s">
        <v>730</v>
      </c>
      <c r="B84" s="279" t="s">
        <v>731</v>
      </c>
      <c r="C84" s="279"/>
      <c r="D84" s="279"/>
      <c r="E84" s="279"/>
      <c r="F84" s="329" t="s">
        <v>732</v>
      </c>
      <c r="G84" s="329"/>
    </row>
    <row r="85" spans="1:7" ht="15" customHeight="1" x14ac:dyDescent="0.15">
      <c r="A85" s="121" t="s">
        <v>733</v>
      </c>
      <c r="B85" s="330" t="s">
        <v>733</v>
      </c>
      <c r="C85" s="330"/>
      <c r="D85" s="330"/>
      <c r="E85" s="330"/>
      <c r="F85" s="286" t="s">
        <v>734</v>
      </c>
      <c r="G85" s="286"/>
    </row>
    <row r="86" spans="1:7" ht="42" customHeight="1" x14ac:dyDescent="0.25">
      <c r="A86" s="86"/>
      <c r="B86" s="270"/>
      <c r="C86" s="270"/>
      <c r="D86" s="270"/>
      <c r="E86" s="270"/>
      <c r="F86" s="270"/>
      <c r="G86" s="270"/>
    </row>
    <row r="87" spans="1:7" ht="15.75" customHeight="1" x14ac:dyDescent="0.25">
      <c r="A87" s="86"/>
      <c r="B87" s="270"/>
      <c r="C87" s="270"/>
      <c r="D87" s="270"/>
      <c r="E87" s="270"/>
      <c r="F87" s="270"/>
      <c r="G87" s="270"/>
    </row>
    <row r="90" spans="1:7" x14ac:dyDescent="0.25">
      <c r="A90" s="150" t="s">
        <v>1075</v>
      </c>
      <c r="B90" s="327" t="s">
        <v>1091</v>
      </c>
      <c r="C90" s="327"/>
      <c r="D90" s="327"/>
      <c r="E90" s="327"/>
      <c r="F90" s="328" t="s">
        <v>1069</v>
      </c>
      <c r="G90" s="328"/>
    </row>
  </sheetData>
  <mergeCells count="43">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B14:G14"/>
    <mergeCell ref="B16:C16"/>
    <mergeCell ref="D16:E16"/>
    <mergeCell ref="F16:G16"/>
    <mergeCell ref="A17:A18"/>
    <mergeCell ref="B17:B18"/>
    <mergeCell ref="C17:C18"/>
    <mergeCell ref="D17:E17"/>
    <mergeCell ref="F17:G17"/>
    <mergeCell ref="B15:G15"/>
    <mergeCell ref="B85:E85"/>
    <mergeCell ref="F85:G85"/>
    <mergeCell ref="B86:C86"/>
    <mergeCell ref="D86:E86"/>
    <mergeCell ref="F86:G86"/>
    <mergeCell ref="B83:C83"/>
    <mergeCell ref="D83:E83"/>
    <mergeCell ref="F83:G83"/>
    <mergeCell ref="B84:E84"/>
    <mergeCell ref="F84:G84"/>
    <mergeCell ref="B90:E90"/>
    <mergeCell ref="F90:G90"/>
    <mergeCell ref="B87:C87"/>
    <mergeCell ref="D87:E87"/>
    <mergeCell ref="F87:G87"/>
  </mergeCells>
  <printOptions horizontalCentered="1"/>
  <pageMargins left="0.43" right="0.43" top="0.35" bottom="0.35" header="0.3" footer="0.3"/>
  <pageSetup paperSize="9" scale="66"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29"/>
  <sheetViews>
    <sheetView showGridLines="0" showZeros="0" showOutlineSymbols="0" view="pageBreakPreview" topLeftCell="A122" zoomScaleNormal="100" zoomScaleSheetLayoutView="100" workbookViewId="0">
      <selection activeCell="B119" sqref="B119"/>
    </sheetView>
  </sheetViews>
  <sheetFormatPr defaultRowHeight="15" x14ac:dyDescent="0.25"/>
  <cols>
    <col min="1" max="1" width="6.28515625" style="85" customWidth="1"/>
    <col min="2" max="2" width="46.5703125" style="85" customWidth="1"/>
    <col min="3" max="3" width="10.7109375" style="85" customWidth="1"/>
    <col min="4" max="4" width="9.7109375" style="85" customWidth="1"/>
    <col min="5" max="6" width="21.140625" style="85" customWidth="1"/>
    <col min="7" max="256" width="9.140625" style="85"/>
    <col min="257" max="257" width="6.28515625" style="85" customWidth="1"/>
    <col min="258" max="258" width="42.85546875" style="85" customWidth="1"/>
    <col min="259" max="260" width="7.85546875" style="85" customWidth="1"/>
    <col min="261" max="262" width="21.140625" style="85" customWidth="1"/>
    <col min="263" max="512" width="9.140625" style="85"/>
    <col min="513" max="513" width="6.28515625" style="85" customWidth="1"/>
    <col min="514" max="514" width="42.85546875" style="85" customWidth="1"/>
    <col min="515" max="516" width="7.85546875" style="85" customWidth="1"/>
    <col min="517" max="518" width="21.140625" style="85" customWidth="1"/>
    <col min="519" max="768" width="9.140625" style="85"/>
    <col min="769" max="769" width="6.28515625" style="85" customWidth="1"/>
    <col min="770" max="770" width="42.85546875" style="85" customWidth="1"/>
    <col min="771" max="772" width="7.85546875" style="85" customWidth="1"/>
    <col min="773" max="774" width="21.140625" style="85" customWidth="1"/>
    <col min="775" max="1024" width="9.140625" style="85"/>
    <col min="1025" max="1025" width="6.28515625" style="85" customWidth="1"/>
    <col min="1026" max="1026" width="42.85546875" style="85" customWidth="1"/>
    <col min="1027" max="1028" width="7.85546875" style="85" customWidth="1"/>
    <col min="1029" max="1030" width="21.140625" style="85" customWidth="1"/>
    <col min="1031" max="1280" width="9.140625" style="85"/>
    <col min="1281" max="1281" width="6.28515625" style="85" customWidth="1"/>
    <col min="1282" max="1282" width="42.85546875" style="85" customWidth="1"/>
    <col min="1283" max="1284" width="7.85546875" style="85" customWidth="1"/>
    <col min="1285" max="1286" width="21.140625" style="85" customWidth="1"/>
    <col min="1287" max="1536" width="9.140625" style="85"/>
    <col min="1537" max="1537" width="6.28515625" style="85" customWidth="1"/>
    <col min="1538" max="1538" width="42.85546875" style="85" customWidth="1"/>
    <col min="1539" max="1540" width="7.85546875" style="85" customWidth="1"/>
    <col min="1541" max="1542" width="21.140625" style="85" customWidth="1"/>
    <col min="1543" max="1792" width="9.140625" style="85"/>
    <col min="1793" max="1793" width="6.28515625" style="85" customWidth="1"/>
    <col min="1794" max="1794" width="42.85546875" style="85" customWidth="1"/>
    <col min="1795" max="1796" width="7.85546875" style="85" customWidth="1"/>
    <col min="1797" max="1798" width="21.140625" style="85" customWidth="1"/>
    <col min="1799" max="2048" width="9.140625" style="85"/>
    <col min="2049" max="2049" width="6.28515625" style="85" customWidth="1"/>
    <col min="2050" max="2050" width="42.85546875" style="85" customWidth="1"/>
    <col min="2051" max="2052" width="7.85546875" style="85" customWidth="1"/>
    <col min="2053" max="2054" width="21.140625" style="85" customWidth="1"/>
    <col min="2055" max="2304" width="9.140625" style="85"/>
    <col min="2305" max="2305" width="6.28515625" style="85" customWidth="1"/>
    <col min="2306" max="2306" width="42.85546875" style="85" customWidth="1"/>
    <col min="2307" max="2308" width="7.85546875" style="85" customWidth="1"/>
    <col min="2309" max="2310" width="21.140625" style="85" customWidth="1"/>
    <col min="2311" max="2560" width="9.140625" style="85"/>
    <col min="2561" max="2561" width="6.28515625" style="85" customWidth="1"/>
    <col min="2562" max="2562" width="42.85546875" style="85" customWidth="1"/>
    <col min="2563" max="2564" width="7.85546875" style="85" customWidth="1"/>
    <col min="2565" max="2566" width="21.140625" style="85" customWidth="1"/>
    <col min="2567" max="2816" width="9.140625" style="85"/>
    <col min="2817" max="2817" width="6.28515625" style="85" customWidth="1"/>
    <col min="2818" max="2818" width="42.85546875" style="85" customWidth="1"/>
    <col min="2819" max="2820" width="7.85546875" style="85" customWidth="1"/>
    <col min="2821" max="2822" width="21.140625" style="85" customWidth="1"/>
    <col min="2823" max="3072" width="9.140625" style="85"/>
    <col min="3073" max="3073" width="6.28515625" style="85" customWidth="1"/>
    <col min="3074" max="3074" width="42.85546875" style="85" customWidth="1"/>
    <col min="3075" max="3076" width="7.85546875" style="85" customWidth="1"/>
    <col min="3077" max="3078" width="21.140625" style="85" customWidth="1"/>
    <col min="3079" max="3328" width="9.140625" style="85"/>
    <col min="3329" max="3329" width="6.28515625" style="85" customWidth="1"/>
    <col min="3330" max="3330" width="42.85546875" style="85" customWidth="1"/>
    <col min="3331" max="3332" width="7.85546875" style="85" customWidth="1"/>
    <col min="3333" max="3334" width="21.140625" style="85" customWidth="1"/>
    <col min="3335" max="3584" width="9.140625" style="85"/>
    <col min="3585" max="3585" width="6.28515625" style="85" customWidth="1"/>
    <col min="3586" max="3586" width="42.85546875" style="85" customWidth="1"/>
    <col min="3587" max="3588" width="7.85546875" style="85" customWidth="1"/>
    <col min="3589" max="3590" width="21.140625" style="85" customWidth="1"/>
    <col min="3591" max="3840" width="9.140625" style="85"/>
    <col min="3841" max="3841" width="6.28515625" style="85" customWidth="1"/>
    <col min="3842" max="3842" width="42.85546875" style="85" customWidth="1"/>
    <col min="3843" max="3844" width="7.85546875" style="85" customWidth="1"/>
    <col min="3845" max="3846" width="21.140625" style="85" customWidth="1"/>
    <col min="3847" max="4096" width="9.140625" style="85"/>
    <col min="4097" max="4097" width="6.28515625" style="85" customWidth="1"/>
    <col min="4098" max="4098" width="42.85546875" style="85" customWidth="1"/>
    <col min="4099" max="4100" width="7.85546875" style="85" customWidth="1"/>
    <col min="4101" max="4102" width="21.140625" style="85" customWidth="1"/>
    <col min="4103" max="4352" width="9.140625" style="85"/>
    <col min="4353" max="4353" width="6.28515625" style="85" customWidth="1"/>
    <col min="4354" max="4354" width="42.85546875" style="85" customWidth="1"/>
    <col min="4355" max="4356" width="7.85546875" style="85" customWidth="1"/>
    <col min="4357" max="4358" width="21.140625" style="85" customWidth="1"/>
    <col min="4359" max="4608" width="9.140625" style="85"/>
    <col min="4609" max="4609" width="6.28515625" style="85" customWidth="1"/>
    <col min="4610" max="4610" width="42.85546875" style="85" customWidth="1"/>
    <col min="4611" max="4612" width="7.85546875" style="85" customWidth="1"/>
    <col min="4613" max="4614" width="21.140625" style="85" customWidth="1"/>
    <col min="4615" max="4864" width="9.140625" style="85"/>
    <col min="4865" max="4865" width="6.28515625" style="85" customWidth="1"/>
    <col min="4866" max="4866" width="42.85546875" style="85" customWidth="1"/>
    <col min="4867" max="4868" width="7.85546875" style="85" customWidth="1"/>
    <col min="4869" max="4870" width="21.140625" style="85" customWidth="1"/>
    <col min="4871" max="5120" width="9.140625" style="85"/>
    <col min="5121" max="5121" width="6.28515625" style="85" customWidth="1"/>
    <col min="5122" max="5122" width="42.85546875" style="85" customWidth="1"/>
    <col min="5123" max="5124" width="7.85546875" style="85" customWidth="1"/>
    <col min="5125" max="5126" width="21.140625" style="85" customWidth="1"/>
    <col min="5127" max="5376" width="9.140625" style="85"/>
    <col min="5377" max="5377" width="6.28515625" style="85" customWidth="1"/>
    <col min="5378" max="5378" width="42.85546875" style="85" customWidth="1"/>
    <col min="5379" max="5380" width="7.85546875" style="85" customWidth="1"/>
    <col min="5381" max="5382" width="21.140625" style="85" customWidth="1"/>
    <col min="5383" max="5632" width="9.140625" style="85"/>
    <col min="5633" max="5633" width="6.28515625" style="85" customWidth="1"/>
    <col min="5634" max="5634" width="42.85546875" style="85" customWidth="1"/>
    <col min="5635" max="5636" width="7.85546875" style="85" customWidth="1"/>
    <col min="5637" max="5638" width="21.140625" style="85" customWidth="1"/>
    <col min="5639" max="5888" width="9.140625" style="85"/>
    <col min="5889" max="5889" width="6.28515625" style="85" customWidth="1"/>
    <col min="5890" max="5890" width="42.85546875" style="85" customWidth="1"/>
    <col min="5891" max="5892" width="7.85546875" style="85" customWidth="1"/>
    <col min="5893" max="5894" width="21.140625" style="85" customWidth="1"/>
    <col min="5895" max="6144" width="9.140625" style="85"/>
    <col min="6145" max="6145" width="6.28515625" style="85" customWidth="1"/>
    <col min="6146" max="6146" width="42.85546875" style="85" customWidth="1"/>
    <col min="6147" max="6148" width="7.85546875" style="85" customWidth="1"/>
    <col min="6149" max="6150" width="21.140625" style="85" customWidth="1"/>
    <col min="6151" max="6400" width="9.140625" style="85"/>
    <col min="6401" max="6401" width="6.28515625" style="85" customWidth="1"/>
    <col min="6402" max="6402" width="42.85546875" style="85" customWidth="1"/>
    <col min="6403" max="6404" width="7.85546875" style="85" customWidth="1"/>
    <col min="6405" max="6406" width="21.140625" style="85" customWidth="1"/>
    <col min="6407" max="6656" width="9.140625" style="85"/>
    <col min="6657" max="6657" width="6.28515625" style="85" customWidth="1"/>
    <col min="6658" max="6658" width="42.85546875" style="85" customWidth="1"/>
    <col min="6659" max="6660" width="7.85546875" style="85" customWidth="1"/>
    <col min="6661" max="6662" width="21.140625" style="85" customWidth="1"/>
    <col min="6663" max="6912" width="9.140625" style="85"/>
    <col min="6913" max="6913" width="6.28515625" style="85" customWidth="1"/>
    <col min="6914" max="6914" width="42.85546875" style="85" customWidth="1"/>
    <col min="6915" max="6916" width="7.85546875" style="85" customWidth="1"/>
    <col min="6917" max="6918" width="21.140625" style="85" customWidth="1"/>
    <col min="6919" max="7168" width="9.140625" style="85"/>
    <col min="7169" max="7169" width="6.28515625" style="85" customWidth="1"/>
    <col min="7170" max="7170" width="42.85546875" style="85" customWidth="1"/>
    <col min="7171" max="7172" width="7.85546875" style="85" customWidth="1"/>
    <col min="7173" max="7174" width="21.140625" style="85" customWidth="1"/>
    <col min="7175" max="7424" width="9.140625" style="85"/>
    <col min="7425" max="7425" width="6.28515625" style="85" customWidth="1"/>
    <col min="7426" max="7426" width="42.85546875" style="85" customWidth="1"/>
    <col min="7427" max="7428" width="7.85546875" style="85" customWidth="1"/>
    <col min="7429" max="7430" width="21.140625" style="85" customWidth="1"/>
    <col min="7431" max="7680" width="9.140625" style="85"/>
    <col min="7681" max="7681" width="6.28515625" style="85" customWidth="1"/>
    <col min="7682" max="7682" width="42.85546875" style="85" customWidth="1"/>
    <col min="7683" max="7684" width="7.85546875" style="85" customWidth="1"/>
    <col min="7685" max="7686" width="21.140625" style="85" customWidth="1"/>
    <col min="7687" max="7936" width="9.140625" style="85"/>
    <col min="7937" max="7937" width="6.28515625" style="85" customWidth="1"/>
    <col min="7938" max="7938" width="42.85546875" style="85" customWidth="1"/>
    <col min="7939" max="7940" width="7.85546875" style="85" customWidth="1"/>
    <col min="7941" max="7942" width="21.140625" style="85" customWidth="1"/>
    <col min="7943" max="8192" width="9.140625" style="85"/>
    <col min="8193" max="8193" width="6.28515625" style="85" customWidth="1"/>
    <col min="8194" max="8194" width="42.85546875" style="85" customWidth="1"/>
    <col min="8195" max="8196" width="7.85546875" style="85" customWidth="1"/>
    <col min="8197" max="8198" width="21.140625" style="85" customWidth="1"/>
    <col min="8199" max="8448" width="9.140625" style="85"/>
    <col min="8449" max="8449" width="6.28515625" style="85" customWidth="1"/>
    <col min="8450" max="8450" width="42.85546875" style="85" customWidth="1"/>
    <col min="8451" max="8452" width="7.85546875" style="85" customWidth="1"/>
    <col min="8453" max="8454" width="21.140625" style="85" customWidth="1"/>
    <col min="8455" max="8704" width="9.140625" style="85"/>
    <col min="8705" max="8705" width="6.28515625" style="85" customWidth="1"/>
    <col min="8706" max="8706" width="42.85546875" style="85" customWidth="1"/>
    <col min="8707" max="8708" width="7.85546875" style="85" customWidth="1"/>
    <col min="8709" max="8710" width="21.140625" style="85" customWidth="1"/>
    <col min="8711" max="8960" width="9.140625" style="85"/>
    <col min="8961" max="8961" width="6.28515625" style="85" customWidth="1"/>
    <col min="8962" max="8962" width="42.85546875" style="85" customWidth="1"/>
    <col min="8963" max="8964" width="7.85546875" style="85" customWidth="1"/>
    <col min="8965" max="8966" width="21.140625" style="85" customWidth="1"/>
    <col min="8967" max="9216" width="9.140625" style="85"/>
    <col min="9217" max="9217" width="6.28515625" style="85" customWidth="1"/>
    <col min="9218" max="9218" width="42.85546875" style="85" customWidth="1"/>
    <col min="9219" max="9220" width="7.85546875" style="85" customWidth="1"/>
    <col min="9221" max="9222" width="21.140625" style="85" customWidth="1"/>
    <col min="9223" max="9472" width="9.140625" style="85"/>
    <col min="9473" max="9473" width="6.28515625" style="85" customWidth="1"/>
    <col min="9474" max="9474" width="42.85546875" style="85" customWidth="1"/>
    <col min="9475" max="9476" width="7.85546875" style="85" customWidth="1"/>
    <col min="9477" max="9478" width="21.140625" style="85" customWidth="1"/>
    <col min="9479" max="9728" width="9.140625" style="85"/>
    <col min="9729" max="9729" width="6.28515625" style="85" customWidth="1"/>
    <col min="9730" max="9730" width="42.85546875" style="85" customWidth="1"/>
    <col min="9731" max="9732" width="7.85546875" style="85" customWidth="1"/>
    <col min="9733" max="9734" width="21.140625" style="85" customWidth="1"/>
    <col min="9735" max="9984" width="9.140625" style="85"/>
    <col min="9985" max="9985" width="6.28515625" style="85" customWidth="1"/>
    <col min="9986" max="9986" width="42.85546875" style="85" customWidth="1"/>
    <col min="9987" max="9988" width="7.85546875" style="85" customWidth="1"/>
    <col min="9989" max="9990" width="21.140625" style="85" customWidth="1"/>
    <col min="9991" max="10240" width="9.140625" style="85"/>
    <col min="10241" max="10241" width="6.28515625" style="85" customWidth="1"/>
    <col min="10242" max="10242" width="42.85546875" style="85" customWidth="1"/>
    <col min="10243" max="10244" width="7.85546875" style="85" customWidth="1"/>
    <col min="10245" max="10246" width="21.140625" style="85" customWidth="1"/>
    <col min="10247" max="10496" width="9.140625" style="85"/>
    <col min="10497" max="10497" width="6.28515625" style="85" customWidth="1"/>
    <col min="10498" max="10498" width="42.85546875" style="85" customWidth="1"/>
    <col min="10499" max="10500" width="7.85546875" style="85" customWidth="1"/>
    <col min="10501" max="10502" width="21.140625" style="85" customWidth="1"/>
    <col min="10503" max="10752" width="9.140625" style="85"/>
    <col min="10753" max="10753" width="6.28515625" style="85" customWidth="1"/>
    <col min="10754" max="10754" width="42.85546875" style="85" customWidth="1"/>
    <col min="10755" max="10756" width="7.85546875" style="85" customWidth="1"/>
    <col min="10757" max="10758" width="21.140625" style="85" customWidth="1"/>
    <col min="10759" max="11008" width="9.140625" style="85"/>
    <col min="11009" max="11009" width="6.28515625" style="85" customWidth="1"/>
    <col min="11010" max="11010" width="42.85546875" style="85" customWidth="1"/>
    <col min="11011" max="11012" width="7.85546875" style="85" customWidth="1"/>
    <col min="11013" max="11014" width="21.140625" style="85" customWidth="1"/>
    <col min="11015" max="11264" width="9.140625" style="85"/>
    <col min="11265" max="11265" width="6.28515625" style="85" customWidth="1"/>
    <col min="11266" max="11266" width="42.85546875" style="85" customWidth="1"/>
    <col min="11267" max="11268" width="7.85546875" style="85" customWidth="1"/>
    <col min="11269" max="11270" width="21.140625" style="85" customWidth="1"/>
    <col min="11271" max="11520" width="9.140625" style="85"/>
    <col min="11521" max="11521" width="6.28515625" style="85" customWidth="1"/>
    <col min="11522" max="11522" width="42.85546875" style="85" customWidth="1"/>
    <col min="11523" max="11524" width="7.85546875" style="85" customWidth="1"/>
    <col min="11525" max="11526" width="21.140625" style="85" customWidth="1"/>
    <col min="11527" max="11776" width="9.140625" style="85"/>
    <col min="11777" max="11777" width="6.28515625" style="85" customWidth="1"/>
    <col min="11778" max="11778" width="42.85546875" style="85" customWidth="1"/>
    <col min="11779" max="11780" width="7.85546875" style="85" customWidth="1"/>
    <col min="11781" max="11782" width="21.140625" style="85" customWidth="1"/>
    <col min="11783" max="12032" width="9.140625" style="85"/>
    <col min="12033" max="12033" width="6.28515625" style="85" customWidth="1"/>
    <col min="12034" max="12034" width="42.85546875" style="85" customWidth="1"/>
    <col min="12035" max="12036" width="7.85546875" style="85" customWidth="1"/>
    <col min="12037" max="12038" width="21.140625" style="85" customWidth="1"/>
    <col min="12039" max="12288" width="9.140625" style="85"/>
    <col min="12289" max="12289" width="6.28515625" style="85" customWidth="1"/>
    <col min="12290" max="12290" width="42.85546875" style="85" customWidth="1"/>
    <col min="12291" max="12292" width="7.85546875" style="85" customWidth="1"/>
    <col min="12293" max="12294" width="21.140625" style="85" customWidth="1"/>
    <col min="12295" max="12544" width="9.140625" style="85"/>
    <col min="12545" max="12545" width="6.28515625" style="85" customWidth="1"/>
    <col min="12546" max="12546" width="42.85546875" style="85" customWidth="1"/>
    <col min="12547" max="12548" width="7.85546875" style="85" customWidth="1"/>
    <col min="12549" max="12550" width="21.140625" style="85" customWidth="1"/>
    <col min="12551" max="12800" width="9.140625" style="85"/>
    <col min="12801" max="12801" width="6.28515625" style="85" customWidth="1"/>
    <col min="12802" max="12802" width="42.85546875" style="85" customWidth="1"/>
    <col min="12803" max="12804" width="7.85546875" style="85" customWidth="1"/>
    <col min="12805" max="12806" width="21.140625" style="85" customWidth="1"/>
    <col min="12807" max="13056" width="9.140625" style="85"/>
    <col min="13057" max="13057" width="6.28515625" style="85" customWidth="1"/>
    <col min="13058" max="13058" width="42.85546875" style="85" customWidth="1"/>
    <col min="13059" max="13060" width="7.85546875" style="85" customWidth="1"/>
    <col min="13061" max="13062" width="21.140625" style="85" customWidth="1"/>
    <col min="13063" max="13312" width="9.140625" style="85"/>
    <col min="13313" max="13313" width="6.28515625" style="85" customWidth="1"/>
    <col min="13314" max="13314" width="42.85546875" style="85" customWidth="1"/>
    <col min="13315" max="13316" width="7.85546875" style="85" customWidth="1"/>
    <col min="13317" max="13318" width="21.140625" style="85" customWidth="1"/>
    <col min="13319" max="13568" width="9.140625" style="85"/>
    <col min="13569" max="13569" width="6.28515625" style="85" customWidth="1"/>
    <col min="13570" max="13570" width="42.85546875" style="85" customWidth="1"/>
    <col min="13571" max="13572" width="7.85546875" style="85" customWidth="1"/>
    <col min="13573" max="13574" width="21.140625" style="85" customWidth="1"/>
    <col min="13575" max="13824" width="9.140625" style="85"/>
    <col min="13825" max="13825" width="6.28515625" style="85" customWidth="1"/>
    <col min="13826" max="13826" width="42.85546875" style="85" customWidth="1"/>
    <col min="13827" max="13828" width="7.85546875" style="85" customWidth="1"/>
    <col min="13829" max="13830" width="21.140625" style="85" customWidth="1"/>
    <col min="13831" max="14080" width="9.140625" style="85"/>
    <col min="14081" max="14081" width="6.28515625" style="85" customWidth="1"/>
    <col min="14082" max="14082" width="42.85546875" style="85" customWidth="1"/>
    <col min="14083" max="14084" width="7.85546875" style="85" customWidth="1"/>
    <col min="14085" max="14086" width="21.140625" style="85" customWidth="1"/>
    <col min="14087" max="14336" width="9.140625" style="85"/>
    <col min="14337" max="14337" width="6.28515625" style="85" customWidth="1"/>
    <col min="14338" max="14338" width="42.85546875" style="85" customWidth="1"/>
    <col min="14339" max="14340" width="7.85546875" style="85" customWidth="1"/>
    <col min="14341" max="14342" width="21.140625" style="85" customWidth="1"/>
    <col min="14343" max="14592" width="9.140625" style="85"/>
    <col min="14593" max="14593" width="6.28515625" style="85" customWidth="1"/>
    <col min="14594" max="14594" width="42.85546875" style="85" customWidth="1"/>
    <col min="14595" max="14596" width="7.85546875" style="85" customWidth="1"/>
    <col min="14597" max="14598" width="21.140625" style="85" customWidth="1"/>
    <col min="14599" max="14848" width="9.140625" style="85"/>
    <col min="14849" max="14849" width="6.28515625" style="85" customWidth="1"/>
    <col min="14850" max="14850" width="42.85546875" style="85" customWidth="1"/>
    <col min="14851" max="14852" width="7.85546875" style="85" customWidth="1"/>
    <col min="14853" max="14854" width="21.140625" style="85" customWidth="1"/>
    <col min="14855" max="15104" width="9.140625" style="85"/>
    <col min="15105" max="15105" width="6.28515625" style="85" customWidth="1"/>
    <col min="15106" max="15106" width="42.85546875" style="85" customWidth="1"/>
    <col min="15107" max="15108" width="7.85546875" style="85" customWidth="1"/>
    <col min="15109" max="15110" width="21.140625" style="85" customWidth="1"/>
    <col min="15111" max="15360" width="9.140625" style="85"/>
    <col min="15361" max="15361" width="6.28515625" style="85" customWidth="1"/>
    <col min="15362" max="15362" width="42.85546875" style="85" customWidth="1"/>
    <col min="15363" max="15364" width="7.85546875" style="85" customWidth="1"/>
    <col min="15365" max="15366" width="21.140625" style="85" customWidth="1"/>
    <col min="15367" max="15616" width="9.140625" style="85"/>
    <col min="15617" max="15617" width="6.28515625" style="85" customWidth="1"/>
    <col min="15618" max="15618" width="42.85546875" style="85" customWidth="1"/>
    <col min="15619" max="15620" width="7.85546875" style="85" customWidth="1"/>
    <col min="15621" max="15622" width="21.140625" style="85" customWidth="1"/>
    <col min="15623" max="15872" width="9.140625" style="85"/>
    <col min="15873" max="15873" width="6.28515625" style="85" customWidth="1"/>
    <col min="15874" max="15874" width="42.85546875" style="85" customWidth="1"/>
    <col min="15875" max="15876" width="7.85546875" style="85" customWidth="1"/>
    <col min="15877" max="15878" width="21.140625" style="85" customWidth="1"/>
    <col min="15879" max="16128" width="9.140625" style="85"/>
    <col min="16129" max="16129" width="6.28515625" style="85" customWidth="1"/>
    <col min="16130" max="16130" width="42.85546875" style="85" customWidth="1"/>
    <col min="16131" max="16132" width="7.85546875" style="85" customWidth="1"/>
    <col min="16133" max="16134" width="21.140625" style="85" customWidth="1"/>
    <col min="16135" max="16384" width="9.140625" style="85"/>
  </cols>
  <sheetData>
    <row r="1" spans="1:6" ht="52.5" customHeight="1" x14ac:dyDescent="0.25">
      <c r="A1" s="270"/>
      <c r="B1" s="270"/>
      <c r="C1" s="279" t="s">
        <v>735</v>
      </c>
      <c r="D1" s="279"/>
      <c r="E1" s="279"/>
      <c r="F1" s="279"/>
    </row>
    <row r="2" spans="1:6" ht="27" customHeight="1" x14ac:dyDescent="0.25">
      <c r="A2" s="280" t="s">
        <v>727</v>
      </c>
      <c r="B2" s="280"/>
      <c r="C2" s="280"/>
      <c r="D2" s="280"/>
      <c r="E2" s="280"/>
      <c r="F2" s="280"/>
    </row>
    <row r="3" spans="1:6" ht="3.75" customHeight="1" x14ac:dyDescent="0.25">
      <c r="A3" s="86"/>
      <c r="B3" s="86"/>
      <c r="C3" s="86"/>
      <c r="D3" s="86"/>
      <c r="E3" s="86"/>
      <c r="F3" s="86"/>
    </row>
    <row r="4" spans="1:6" ht="30.75" customHeight="1" x14ac:dyDescent="0.25">
      <c r="A4" s="281" t="s">
        <v>736</v>
      </c>
      <c r="B4" s="281"/>
      <c r="C4" s="281"/>
      <c r="D4" s="281"/>
      <c r="E4" s="281"/>
      <c r="F4" s="281"/>
    </row>
    <row r="5" spans="1:6" ht="11.25" customHeight="1" x14ac:dyDescent="0.25">
      <c r="A5" s="295" t="s">
        <v>1074</v>
      </c>
      <c r="B5" s="295"/>
      <c r="C5" s="295"/>
      <c r="D5" s="295"/>
      <c r="E5" s="295"/>
      <c r="F5" s="295"/>
    </row>
    <row r="6" spans="1:6" ht="5.25" customHeight="1" x14ac:dyDescent="0.25">
      <c r="A6" s="86"/>
      <c r="B6" s="86"/>
      <c r="C6" s="122"/>
      <c r="D6" s="86"/>
      <c r="E6" s="86"/>
      <c r="F6" s="86"/>
    </row>
    <row r="7" spans="1:6" ht="4.5" customHeight="1" x14ac:dyDescent="0.25">
      <c r="A7" s="86"/>
      <c r="B7" s="86"/>
      <c r="C7" s="86"/>
      <c r="D7" s="86"/>
      <c r="E7" s="86"/>
      <c r="F7" s="86"/>
    </row>
    <row r="8" spans="1:6" ht="12.75" customHeight="1" x14ac:dyDescent="0.25">
      <c r="A8" s="275" t="s">
        <v>2</v>
      </c>
      <c r="B8" s="275"/>
      <c r="C8" s="275" t="s">
        <v>96</v>
      </c>
      <c r="D8" s="275"/>
      <c r="E8" s="275"/>
      <c r="F8" s="275"/>
    </row>
    <row r="9" spans="1:6" ht="12.75" customHeight="1" x14ac:dyDescent="0.25">
      <c r="A9" s="287" t="s">
        <v>4</v>
      </c>
      <c r="B9" s="287"/>
      <c r="C9" s="287" t="s">
        <v>5</v>
      </c>
      <c r="D9" s="287"/>
      <c r="E9" s="287"/>
      <c r="F9" s="287"/>
    </row>
    <row r="10" spans="1:6" ht="12.75" customHeight="1" x14ac:dyDescent="0.25">
      <c r="A10" s="275" t="s">
        <v>6</v>
      </c>
      <c r="B10" s="275"/>
      <c r="C10" s="275" t="s">
        <v>99</v>
      </c>
      <c r="D10" s="275"/>
      <c r="E10" s="275"/>
      <c r="F10" s="275"/>
    </row>
    <row r="11" spans="1:6" ht="12.75" customHeight="1" x14ac:dyDescent="0.25">
      <c r="A11" s="287" t="s">
        <v>289</v>
      </c>
      <c r="B11" s="287"/>
      <c r="C11" s="287" t="s">
        <v>100</v>
      </c>
      <c r="D11" s="287"/>
      <c r="E11" s="287"/>
      <c r="F11" s="287"/>
    </row>
    <row r="12" spans="1:6" ht="12.75" customHeight="1" x14ac:dyDescent="0.25">
      <c r="A12" s="275" t="s">
        <v>10</v>
      </c>
      <c r="B12" s="275"/>
      <c r="C12" s="275" t="s">
        <v>101</v>
      </c>
      <c r="D12" s="275"/>
      <c r="E12" s="275"/>
      <c r="F12" s="275"/>
    </row>
    <row r="13" spans="1:6" ht="12.75" customHeight="1" x14ac:dyDescent="0.25">
      <c r="A13" s="287" t="s">
        <v>290</v>
      </c>
      <c r="B13" s="287"/>
      <c r="C13" s="287" t="s">
        <v>102</v>
      </c>
      <c r="D13" s="287"/>
      <c r="E13" s="287"/>
      <c r="F13" s="287"/>
    </row>
    <row r="14" spans="1:6" ht="12.75" customHeight="1" x14ac:dyDescent="0.25">
      <c r="A14" s="275" t="s">
        <v>14</v>
      </c>
      <c r="B14" s="275"/>
      <c r="C14" s="339">
        <v>44013</v>
      </c>
      <c r="D14" s="339"/>
      <c r="E14" s="339"/>
      <c r="F14" s="339"/>
    </row>
    <row r="15" spans="1:6" ht="12.75" customHeight="1" x14ac:dyDescent="0.25">
      <c r="A15" s="287" t="s">
        <v>15</v>
      </c>
      <c r="B15" s="287"/>
      <c r="C15" s="292">
        <v>44013</v>
      </c>
      <c r="D15" s="292"/>
      <c r="E15" s="292"/>
      <c r="F15" s="292"/>
    </row>
    <row r="16" spans="1:6" ht="12.75" customHeight="1" x14ac:dyDescent="0.25">
      <c r="A16" s="97"/>
      <c r="B16" s="123"/>
      <c r="C16" s="97"/>
      <c r="D16" s="97"/>
      <c r="E16" s="97"/>
      <c r="F16" s="107" t="s">
        <v>105</v>
      </c>
    </row>
    <row r="17" spans="1:6" ht="36" customHeight="1" x14ac:dyDescent="0.25">
      <c r="A17" s="98" t="s">
        <v>435</v>
      </c>
      <c r="B17" s="99" t="s">
        <v>737</v>
      </c>
      <c r="C17" s="99" t="s">
        <v>599</v>
      </c>
      <c r="D17" s="99" t="s">
        <v>738</v>
      </c>
      <c r="E17" s="124" t="s">
        <v>1064</v>
      </c>
      <c r="F17" s="100" t="s">
        <v>93</v>
      </c>
    </row>
    <row r="18" spans="1:6" s="187" customFormat="1" ht="24" customHeight="1" x14ac:dyDescent="0.25">
      <c r="A18" s="205" t="s">
        <v>68</v>
      </c>
      <c r="B18" s="206" t="s">
        <v>739</v>
      </c>
      <c r="C18" s="207" t="s">
        <v>68</v>
      </c>
      <c r="D18" s="207"/>
      <c r="E18" s="208">
        <v>0</v>
      </c>
      <c r="F18" s="209">
        <v>0</v>
      </c>
    </row>
    <row r="19" spans="1:6" s="187" customFormat="1" ht="24" customHeight="1" x14ac:dyDescent="0.25">
      <c r="A19" s="205" t="s">
        <v>94</v>
      </c>
      <c r="B19" s="206" t="s">
        <v>740</v>
      </c>
      <c r="C19" s="207" t="s">
        <v>741</v>
      </c>
      <c r="D19" s="207"/>
      <c r="E19" s="208">
        <f>E20+E25+E26</f>
        <v>8902189543</v>
      </c>
      <c r="F19" s="209">
        <f>F20+F25+F26</f>
        <v>3284906075</v>
      </c>
    </row>
    <row r="20" spans="1:6" s="187" customFormat="1" ht="24" customHeight="1" x14ac:dyDescent="0.25">
      <c r="A20" s="210" t="s">
        <v>742</v>
      </c>
      <c r="B20" s="211" t="s">
        <v>743</v>
      </c>
      <c r="C20" s="212" t="s">
        <v>744</v>
      </c>
      <c r="D20" s="212"/>
      <c r="E20" s="213">
        <f>E21+E22+E23+E24</f>
        <v>3328854708</v>
      </c>
      <c r="F20" s="214">
        <f>F21+F22+F23+F24</f>
        <v>3245070285</v>
      </c>
    </row>
    <row r="21" spans="1:6" s="187" customFormat="1" ht="24" customHeight="1" x14ac:dyDescent="0.25">
      <c r="A21" s="215"/>
      <c r="B21" s="216" t="s">
        <v>745</v>
      </c>
      <c r="C21" s="217" t="s">
        <v>746</v>
      </c>
      <c r="D21" s="217"/>
      <c r="E21" s="218">
        <v>0</v>
      </c>
      <c r="F21" s="219">
        <v>0</v>
      </c>
    </row>
    <row r="22" spans="1:6" s="187" customFormat="1" ht="24" customHeight="1" x14ac:dyDescent="0.25">
      <c r="A22" s="215"/>
      <c r="B22" s="138" t="s">
        <v>1093</v>
      </c>
      <c r="C22" s="217" t="s">
        <v>747</v>
      </c>
      <c r="D22" s="217"/>
      <c r="E22" s="218">
        <v>0</v>
      </c>
      <c r="F22" s="219">
        <v>0</v>
      </c>
    </row>
    <row r="23" spans="1:6" s="187" customFormat="1" ht="24" customHeight="1" x14ac:dyDescent="0.25">
      <c r="A23" s="215"/>
      <c r="B23" s="216" t="s">
        <v>121</v>
      </c>
      <c r="C23" s="217" t="s">
        <v>748</v>
      </c>
      <c r="D23" s="217"/>
      <c r="E23" s="218">
        <v>3328854708</v>
      </c>
      <c r="F23" s="219">
        <v>3245070285</v>
      </c>
    </row>
    <row r="24" spans="1:6" s="187" customFormat="1" ht="24" customHeight="1" x14ac:dyDescent="0.25">
      <c r="A24" s="215"/>
      <c r="B24" s="216" t="s">
        <v>749</v>
      </c>
      <c r="C24" s="217" t="s">
        <v>750</v>
      </c>
      <c r="D24" s="217"/>
      <c r="E24" s="218">
        <v>0</v>
      </c>
      <c r="F24" s="219">
        <v>0</v>
      </c>
    </row>
    <row r="25" spans="1:6" s="187" customFormat="1" ht="24" customHeight="1" x14ac:dyDescent="0.25">
      <c r="A25" s="210" t="s">
        <v>751</v>
      </c>
      <c r="B25" s="211" t="s">
        <v>752</v>
      </c>
      <c r="C25" s="212" t="s">
        <v>753</v>
      </c>
      <c r="D25" s="212"/>
      <c r="E25" s="213">
        <v>5500000000</v>
      </c>
      <c r="F25" s="214">
        <v>0</v>
      </c>
    </row>
    <row r="26" spans="1:6" s="187" customFormat="1" ht="24" customHeight="1" x14ac:dyDescent="0.25">
      <c r="A26" s="210" t="s">
        <v>754</v>
      </c>
      <c r="B26" s="211" t="s">
        <v>755</v>
      </c>
      <c r="C26" s="212" t="s">
        <v>756</v>
      </c>
      <c r="D26" s="212"/>
      <c r="E26" s="213">
        <v>73334835</v>
      </c>
      <c r="F26" s="214">
        <v>39835790</v>
      </c>
    </row>
    <row r="27" spans="1:6" s="187" customFormat="1" ht="24" customHeight="1" x14ac:dyDescent="0.25">
      <c r="A27" s="205" t="s">
        <v>97</v>
      </c>
      <c r="B27" s="206" t="s">
        <v>757</v>
      </c>
      <c r="C27" s="207" t="s">
        <v>758</v>
      </c>
      <c r="D27" s="207"/>
      <c r="E27" s="208">
        <f>E28-E38</f>
        <v>1354579889250</v>
      </c>
      <c r="F27" s="209">
        <f>F28-F38</f>
        <v>691820736750</v>
      </c>
    </row>
    <row r="28" spans="1:6" s="187" customFormat="1" ht="24" customHeight="1" x14ac:dyDescent="0.25">
      <c r="A28" s="210" t="s">
        <v>759</v>
      </c>
      <c r="B28" s="211" t="s">
        <v>760</v>
      </c>
      <c r="C28" s="212" t="s">
        <v>761</v>
      </c>
      <c r="D28" s="212"/>
      <c r="E28" s="213">
        <f>E29+E30+E31+E32+E33+E34+E35+E36+E37</f>
        <v>1354579889250</v>
      </c>
      <c r="F28" s="214">
        <f>F29+F30+F31+F32+F33+F34+F35+F36+F37</f>
        <v>691820736750</v>
      </c>
    </row>
    <row r="29" spans="1:6" s="187" customFormat="1" ht="24" customHeight="1" x14ac:dyDescent="0.25">
      <c r="A29" s="215"/>
      <c r="B29" s="216" t="s">
        <v>762</v>
      </c>
      <c r="C29" s="217" t="s">
        <v>763</v>
      </c>
      <c r="D29" s="217"/>
      <c r="E29" s="218">
        <v>1354579889250</v>
      </c>
      <c r="F29" s="219">
        <v>691820736750</v>
      </c>
    </row>
    <row r="30" spans="1:6" s="187" customFormat="1" ht="24" customHeight="1" x14ac:dyDescent="0.25">
      <c r="A30" s="215"/>
      <c r="B30" s="216" t="s">
        <v>764</v>
      </c>
      <c r="C30" s="217" t="s">
        <v>765</v>
      </c>
      <c r="D30" s="217"/>
      <c r="E30" s="218">
        <v>0</v>
      </c>
      <c r="F30" s="219">
        <v>0</v>
      </c>
    </row>
    <row r="31" spans="1:6" s="187" customFormat="1" ht="24" customHeight="1" x14ac:dyDescent="0.25">
      <c r="A31" s="215"/>
      <c r="B31" s="216" t="s">
        <v>766</v>
      </c>
      <c r="C31" s="217" t="s">
        <v>767</v>
      </c>
      <c r="D31" s="217"/>
      <c r="E31" s="218">
        <v>0</v>
      </c>
      <c r="F31" s="219">
        <v>0</v>
      </c>
    </row>
    <row r="32" spans="1:6" s="187" customFormat="1" ht="24" customHeight="1" x14ac:dyDescent="0.25">
      <c r="A32" s="215"/>
      <c r="B32" s="216" t="s">
        <v>768</v>
      </c>
      <c r="C32" s="217" t="s">
        <v>769</v>
      </c>
      <c r="D32" s="217"/>
      <c r="E32" s="218">
        <v>0</v>
      </c>
      <c r="F32" s="219">
        <v>0</v>
      </c>
    </row>
    <row r="33" spans="1:6" s="187" customFormat="1" ht="24" customHeight="1" x14ac:dyDescent="0.25">
      <c r="A33" s="215"/>
      <c r="B33" s="216" t="s">
        <v>770</v>
      </c>
      <c r="C33" s="217" t="s">
        <v>771</v>
      </c>
      <c r="D33" s="217"/>
      <c r="E33" s="218">
        <v>0</v>
      </c>
      <c r="F33" s="219">
        <v>0</v>
      </c>
    </row>
    <row r="34" spans="1:6" s="187" customFormat="1" ht="24" customHeight="1" x14ac:dyDescent="0.25">
      <c r="A34" s="215"/>
      <c r="B34" s="216" t="s">
        <v>140</v>
      </c>
      <c r="C34" s="217" t="s">
        <v>772</v>
      </c>
      <c r="D34" s="217"/>
      <c r="E34" s="218">
        <v>0</v>
      </c>
      <c r="F34" s="219">
        <v>0</v>
      </c>
    </row>
    <row r="35" spans="1:6" s="187" customFormat="1" ht="24" customHeight="1" x14ac:dyDescent="0.25">
      <c r="A35" s="215"/>
      <c r="B35" s="216" t="s">
        <v>773</v>
      </c>
      <c r="C35" s="217" t="s">
        <v>774</v>
      </c>
      <c r="D35" s="217"/>
      <c r="E35" s="218">
        <v>0</v>
      </c>
      <c r="F35" s="219">
        <v>0</v>
      </c>
    </row>
    <row r="36" spans="1:6" s="187" customFormat="1" ht="24" customHeight="1" x14ac:dyDescent="0.25">
      <c r="A36" s="215"/>
      <c r="B36" s="216" t="s">
        <v>144</v>
      </c>
      <c r="C36" s="217" t="s">
        <v>775</v>
      </c>
      <c r="D36" s="217"/>
      <c r="E36" s="218">
        <v>0</v>
      </c>
      <c r="F36" s="219">
        <v>0</v>
      </c>
    </row>
    <row r="37" spans="1:6" s="187" customFormat="1" ht="24" customHeight="1" x14ac:dyDescent="0.25">
      <c r="A37" s="215"/>
      <c r="B37" s="216" t="s">
        <v>776</v>
      </c>
      <c r="C37" s="217" t="s">
        <v>777</v>
      </c>
      <c r="D37" s="217"/>
      <c r="E37" s="218">
        <v>0</v>
      </c>
      <c r="F37" s="219">
        <v>0</v>
      </c>
    </row>
    <row r="38" spans="1:6" s="187" customFormat="1" ht="24" customHeight="1" x14ac:dyDescent="0.25">
      <c r="A38" s="210" t="s">
        <v>778</v>
      </c>
      <c r="B38" s="211" t="s">
        <v>779</v>
      </c>
      <c r="C38" s="212" t="s">
        <v>780</v>
      </c>
      <c r="D38" s="212"/>
      <c r="E38" s="213">
        <v>0</v>
      </c>
      <c r="F38" s="214">
        <v>0</v>
      </c>
    </row>
    <row r="39" spans="1:6" s="187" customFormat="1" ht="24" customHeight="1" x14ac:dyDescent="0.25">
      <c r="A39" s="205" t="s">
        <v>78</v>
      </c>
      <c r="B39" s="206" t="s">
        <v>781</v>
      </c>
      <c r="C39" s="207" t="s">
        <v>782</v>
      </c>
      <c r="D39" s="207"/>
      <c r="E39" s="208">
        <f>E40+E42+E56-E64</f>
        <v>14671232</v>
      </c>
      <c r="F39" s="209">
        <f>F40+F42+F56-F64</f>
        <v>1450950000</v>
      </c>
    </row>
    <row r="40" spans="1:6" s="187" customFormat="1" ht="24" customHeight="1" x14ac:dyDescent="0.25">
      <c r="A40" s="210" t="s">
        <v>783</v>
      </c>
      <c r="B40" s="211" t="s">
        <v>784</v>
      </c>
      <c r="C40" s="212" t="s">
        <v>785</v>
      </c>
      <c r="D40" s="212"/>
      <c r="E40" s="213">
        <v>0</v>
      </c>
      <c r="F40" s="214">
        <v>877650000</v>
      </c>
    </row>
    <row r="41" spans="1:6" s="187" customFormat="1" ht="24" customHeight="1" x14ac:dyDescent="0.25">
      <c r="A41" s="210"/>
      <c r="B41" s="211" t="s">
        <v>786</v>
      </c>
      <c r="C41" s="212" t="s">
        <v>787</v>
      </c>
      <c r="D41" s="212"/>
      <c r="E41" s="213">
        <v>0</v>
      </c>
      <c r="F41" s="214">
        <v>0</v>
      </c>
    </row>
    <row r="42" spans="1:6" s="187" customFormat="1" ht="24" customHeight="1" x14ac:dyDescent="0.25">
      <c r="A42" s="210" t="s">
        <v>788</v>
      </c>
      <c r="B42" s="211" t="s">
        <v>789</v>
      </c>
      <c r="C42" s="212" t="s">
        <v>790</v>
      </c>
      <c r="D42" s="212"/>
      <c r="E42" s="213">
        <f>E43+E49+E50</f>
        <v>14671232</v>
      </c>
      <c r="F42" s="214">
        <f>F43+F49+F50</f>
        <v>573300000</v>
      </c>
    </row>
    <row r="43" spans="1:6" s="187" customFormat="1" ht="24" customHeight="1" x14ac:dyDescent="0.25">
      <c r="A43" s="210" t="s">
        <v>791</v>
      </c>
      <c r="B43" s="211" t="s">
        <v>792</v>
      </c>
      <c r="C43" s="212" t="s">
        <v>793</v>
      </c>
      <c r="D43" s="212"/>
      <c r="E43" s="213">
        <f>E44+E45+E46+E47+E48</f>
        <v>0</v>
      </c>
      <c r="F43" s="214">
        <f>F44+F45+F46+F47+F48</f>
        <v>573300000</v>
      </c>
    </row>
    <row r="44" spans="1:6" s="187" customFormat="1" ht="24" customHeight="1" x14ac:dyDescent="0.25">
      <c r="A44" s="215"/>
      <c r="B44" s="216" t="s">
        <v>794</v>
      </c>
      <c r="C44" s="217" t="s">
        <v>795</v>
      </c>
      <c r="D44" s="217"/>
      <c r="E44" s="218">
        <v>0</v>
      </c>
      <c r="F44" s="219">
        <v>573300000</v>
      </c>
    </row>
    <row r="45" spans="1:6" s="187" customFormat="1" ht="24" customHeight="1" x14ac:dyDescent="0.25">
      <c r="A45" s="215"/>
      <c r="B45" s="216" t="s">
        <v>153</v>
      </c>
      <c r="C45" s="217" t="s">
        <v>796</v>
      </c>
      <c r="D45" s="217"/>
      <c r="E45" s="218">
        <v>0</v>
      </c>
      <c r="F45" s="219">
        <v>0</v>
      </c>
    </row>
    <row r="46" spans="1:6" s="187" customFormat="1" ht="33.75" customHeight="1" x14ac:dyDescent="0.25">
      <c r="A46" s="215"/>
      <c r="B46" s="216" t="s">
        <v>797</v>
      </c>
      <c r="C46" s="217" t="s">
        <v>798</v>
      </c>
      <c r="D46" s="217"/>
      <c r="E46" s="218">
        <v>0</v>
      </c>
      <c r="F46" s="219">
        <v>0</v>
      </c>
    </row>
    <row r="47" spans="1:6" s="187" customFormat="1" ht="33" customHeight="1" x14ac:dyDescent="0.25">
      <c r="A47" s="215"/>
      <c r="B47" s="216" t="s">
        <v>160</v>
      </c>
      <c r="C47" s="217" t="s">
        <v>799</v>
      </c>
      <c r="D47" s="217"/>
      <c r="E47" s="218">
        <v>0</v>
      </c>
      <c r="F47" s="219">
        <v>0</v>
      </c>
    </row>
    <row r="48" spans="1:6" s="187" customFormat="1" ht="24" customHeight="1" x14ac:dyDescent="0.25">
      <c r="A48" s="215"/>
      <c r="B48" s="216" t="s">
        <v>800</v>
      </c>
      <c r="C48" s="217" t="s">
        <v>801</v>
      </c>
      <c r="D48" s="217"/>
      <c r="E48" s="218">
        <v>0</v>
      </c>
      <c r="F48" s="219">
        <v>0</v>
      </c>
    </row>
    <row r="49" spans="1:6" s="187" customFormat="1" ht="33.75" customHeight="1" x14ac:dyDescent="0.25">
      <c r="A49" s="210"/>
      <c r="B49" s="211" t="s">
        <v>802</v>
      </c>
      <c r="C49" s="212" t="s">
        <v>803</v>
      </c>
      <c r="D49" s="212"/>
      <c r="E49" s="213">
        <v>0</v>
      </c>
      <c r="F49" s="214">
        <v>0</v>
      </c>
    </row>
    <row r="50" spans="1:6" s="187" customFormat="1" ht="24" customHeight="1" x14ac:dyDescent="0.25">
      <c r="A50" s="210" t="s">
        <v>804</v>
      </c>
      <c r="B50" s="211" t="s">
        <v>805</v>
      </c>
      <c r="C50" s="212" t="s">
        <v>806</v>
      </c>
      <c r="D50" s="212"/>
      <c r="E50" s="213">
        <f>E51+E52+E53+E54+E55</f>
        <v>14671232</v>
      </c>
      <c r="F50" s="214">
        <f>F51+F52+F53+F54+F55</f>
        <v>0</v>
      </c>
    </row>
    <row r="51" spans="1:6" s="187" customFormat="1" ht="24" customHeight="1" x14ac:dyDescent="0.25">
      <c r="A51" s="215"/>
      <c r="B51" s="216" t="s">
        <v>807</v>
      </c>
      <c r="C51" s="217" t="s">
        <v>808</v>
      </c>
      <c r="D51" s="217"/>
      <c r="E51" s="218">
        <v>0</v>
      </c>
      <c r="F51" s="219">
        <v>0</v>
      </c>
    </row>
    <row r="52" spans="1:6" s="187" customFormat="1" ht="24" customHeight="1" x14ac:dyDescent="0.25">
      <c r="A52" s="215"/>
      <c r="B52" s="216" t="s">
        <v>809</v>
      </c>
      <c r="C52" s="217" t="s">
        <v>810</v>
      </c>
      <c r="D52" s="217"/>
      <c r="E52" s="218">
        <v>0</v>
      </c>
      <c r="F52" s="219">
        <v>0</v>
      </c>
    </row>
    <row r="53" spans="1:6" s="187" customFormat="1" ht="31.5" x14ac:dyDescent="0.25">
      <c r="A53" s="215"/>
      <c r="B53" s="216" t="s">
        <v>811</v>
      </c>
      <c r="C53" s="217" t="s">
        <v>812</v>
      </c>
      <c r="D53" s="217"/>
      <c r="E53" s="218">
        <v>14671232</v>
      </c>
      <c r="F53" s="219">
        <v>0</v>
      </c>
    </row>
    <row r="54" spans="1:6" s="187" customFormat="1" ht="33" customHeight="1" x14ac:dyDescent="0.25">
      <c r="A54" s="215"/>
      <c r="B54" s="216" t="s">
        <v>813</v>
      </c>
      <c r="C54" s="217" t="s">
        <v>814</v>
      </c>
      <c r="D54" s="217"/>
      <c r="E54" s="218">
        <v>0</v>
      </c>
      <c r="F54" s="219">
        <v>0</v>
      </c>
    </row>
    <row r="55" spans="1:6" s="187" customFormat="1" ht="24" customHeight="1" x14ac:dyDescent="0.25">
      <c r="A55" s="215"/>
      <c r="B55" s="216" t="s">
        <v>815</v>
      </c>
      <c r="C55" s="217" t="s">
        <v>816</v>
      </c>
      <c r="D55" s="217"/>
      <c r="E55" s="218">
        <v>0</v>
      </c>
      <c r="F55" s="219">
        <v>0</v>
      </c>
    </row>
    <row r="56" spans="1:6" s="187" customFormat="1" ht="24" customHeight="1" x14ac:dyDescent="0.25">
      <c r="A56" s="210" t="s">
        <v>817</v>
      </c>
      <c r="B56" s="211" t="s">
        <v>818</v>
      </c>
      <c r="C56" s="212" t="s">
        <v>819</v>
      </c>
      <c r="D56" s="212"/>
      <c r="E56" s="213">
        <f>E57+E58+E63</f>
        <v>0</v>
      </c>
      <c r="F56" s="214">
        <f>F57+F58+F63</f>
        <v>0</v>
      </c>
    </row>
    <row r="57" spans="1:6" s="187" customFormat="1" ht="24" customHeight="1" x14ac:dyDescent="0.25">
      <c r="A57" s="215"/>
      <c r="B57" s="216" t="s">
        <v>820</v>
      </c>
      <c r="C57" s="217" t="s">
        <v>821</v>
      </c>
      <c r="D57" s="217"/>
      <c r="E57" s="218">
        <v>0</v>
      </c>
      <c r="F57" s="219">
        <v>0</v>
      </c>
    </row>
    <row r="58" spans="1:6" s="187" customFormat="1" ht="24" customHeight="1" x14ac:dyDescent="0.25">
      <c r="A58" s="215"/>
      <c r="B58" s="216" t="s">
        <v>177</v>
      </c>
      <c r="C58" s="217" t="s">
        <v>822</v>
      </c>
      <c r="D58" s="217"/>
      <c r="E58" s="218">
        <f>E59+E60+E61+E62</f>
        <v>0</v>
      </c>
      <c r="F58" s="219">
        <f>F59+F60+F61+F62</f>
        <v>0</v>
      </c>
    </row>
    <row r="59" spans="1:6" s="187" customFormat="1" ht="24" customHeight="1" x14ac:dyDescent="0.25">
      <c r="A59" s="215"/>
      <c r="B59" s="216" t="s">
        <v>181</v>
      </c>
      <c r="C59" s="217" t="s">
        <v>823</v>
      </c>
      <c r="D59" s="217"/>
      <c r="E59" s="218">
        <v>0</v>
      </c>
      <c r="F59" s="219">
        <v>0</v>
      </c>
    </row>
    <row r="60" spans="1:6" s="187" customFormat="1" ht="24" customHeight="1" x14ac:dyDescent="0.25">
      <c r="A60" s="215"/>
      <c r="B60" s="216" t="s">
        <v>824</v>
      </c>
      <c r="C60" s="217" t="s">
        <v>825</v>
      </c>
      <c r="D60" s="217"/>
      <c r="E60" s="218">
        <v>0</v>
      </c>
      <c r="F60" s="219">
        <v>0</v>
      </c>
    </row>
    <row r="61" spans="1:6" s="187" customFormat="1" ht="24" customHeight="1" x14ac:dyDescent="0.25">
      <c r="A61" s="215"/>
      <c r="B61" s="216" t="s">
        <v>512</v>
      </c>
      <c r="C61" s="217" t="s">
        <v>826</v>
      </c>
      <c r="D61" s="217"/>
      <c r="E61" s="218">
        <v>0</v>
      </c>
      <c r="F61" s="219">
        <v>0</v>
      </c>
    </row>
    <row r="62" spans="1:6" s="187" customFormat="1" ht="34.5" customHeight="1" x14ac:dyDescent="0.25">
      <c r="A62" s="215"/>
      <c r="B62" s="216" t="s">
        <v>827</v>
      </c>
      <c r="C62" s="217" t="s">
        <v>828</v>
      </c>
      <c r="D62" s="217"/>
      <c r="E62" s="218">
        <v>0</v>
      </c>
      <c r="F62" s="219">
        <v>0</v>
      </c>
    </row>
    <row r="63" spans="1:6" s="187" customFormat="1" ht="24" customHeight="1" x14ac:dyDescent="0.25">
      <c r="A63" s="215"/>
      <c r="B63" s="216" t="s">
        <v>174</v>
      </c>
      <c r="C63" s="217" t="s">
        <v>829</v>
      </c>
      <c r="D63" s="217"/>
      <c r="E63" s="218">
        <v>0</v>
      </c>
      <c r="F63" s="219">
        <v>0</v>
      </c>
    </row>
    <row r="64" spans="1:6" s="187" customFormat="1" ht="24" customHeight="1" x14ac:dyDescent="0.25">
      <c r="A64" s="210" t="s">
        <v>830</v>
      </c>
      <c r="B64" s="211" t="s">
        <v>831</v>
      </c>
      <c r="C64" s="212" t="s">
        <v>832</v>
      </c>
      <c r="D64" s="212"/>
      <c r="E64" s="213">
        <v>0</v>
      </c>
      <c r="F64" s="214">
        <v>0</v>
      </c>
    </row>
    <row r="65" spans="1:6" s="187" customFormat="1" ht="24" customHeight="1" x14ac:dyDescent="0.25">
      <c r="A65" s="205"/>
      <c r="B65" s="206" t="s">
        <v>833</v>
      </c>
      <c r="C65" s="207" t="s">
        <v>834</v>
      </c>
      <c r="D65" s="207"/>
      <c r="E65" s="208">
        <f>E19+E27+E39</f>
        <v>1363496750025</v>
      </c>
      <c r="F65" s="209">
        <f>F19+F27+F39</f>
        <v>696556592825</v>
      </c>
    </row>
    <row r="66" spans="1:6" s="187" customFormat="1" ht="24" customHeight="1" x14ac:dyDescent="0.25">
      <c r="A66" s="205" t="s">
        <v>73</v>
      </c>
      <c r="B66" s="206" t="s">
        <v>835</v>
      </c>
      <c r="C66" s="207" t="s">
        <v>73</v>
      </c>
      <c r="D66" s="207"/>
      <c r="E66" s="208">
        <v>0</v>
      </c>
      <c r="F66" s="209">
        <v>0</v>
      </c>
    </row>
    <row r="67" spans="1:6" s="187" customFormat="1" ht="24" customHeight="1" x14ac:dyDescent="0.25">
      <c r="A67" s="210" t="s">
        <v>94</v>
      </c>
      <c r="B67" s="211" t="s">
        <v>836</v>
      </c>
      <c r="C67" s="212" t="s">
        <v>837</v>
      </c>
      <c r="D67" s="212"/>
      <c r="E67" s="213">
        <v>0</v>
      </c>
      <c r="F67" s="214">
        <v>0</v>
      </c>
    </row>
    <row r="68" spans="1:6" s="187" customFormat="1" ht="24" customHeight="1" x14ac:dyDescent="0.25">
      <c r="A68" s="210"/>
      <c r="B68" s="211" t="s">
        <v>838</v>
      </c>
      <c r="C68" s="212" t="s">
        <v>839</v>
      </c>
      <c r="D68" s="212"/>
      <c r="E68" s="213">
        <v>0</v>
      </c>
      <c r="F68" s="214">
        <v>0</v>
      </c>
    </row>
    <row r="69" spans="1:6" s="187" customFormat="1" ht="24" customHeight="1" x14ac:dyDescent="0.25">
      <c r="A69" s="210"/>
      <c r="B69" s="211" t="s">
        <v>840</v>
      </c>
      <c r="C69" s="212" t="s">
        <v>841</v>
      </c>
      <c r="D69" s="212"/>
      <c r="E69" s="213">
        <v>0</v>
      </c>
      <c r="F69" s="214">
        <v>0</v>
      </c>
    </row>
    <row r="70" spans="1:6" s="187" customFormat="1" ht="24" customHeight="1" x14ac:dyDescent="0.25">
      <c r="A70" s="210" t="s">
        <v>97</v>
      </c>
      <c r="B70" s="211" t="s">
        <v>842</v>
      </c>
      <c r="C70" s="212" t="s">
        <v>843</v>
      </c>
      <c r="D70" s="212"/>
      <c r="E70" s="213">
        <v>0</v>
      </c>
      <c r="F70" s="214">
        <v>0</v>
      </c>
    </row>
    <row r="71" spans="1:6" s="187" customFormat="1" ht="46.5" customHeight="1" x14ac:dyDescent="0.25">
      <c r="A71" s="210" t="s">
        <v>78</v>
      </c>
      <c r="B71" s="211" t="s">
        <v>844</v>
      </c>
      <c r="C71" s="212" t="s">
        <v>845</v>
      </c>
      <c r="D71" s="212"/>
      <c r="E71" s="213">
        <f>E72+E73</f>
        <v>0</v>
      </c>
      <c r="F71" s="214">
        <f>F72+F73</f>
        <v>0</v>
      </c>
    </row>
    <row r="72" spans="1:6" s="187" customFormat="1" ht="24" customHeight="1" x14ac:dyDescent="0.25">
      <c r="A72" s="215"/>
      <c r="B72" s="216" t="s">
        <v>846</v>
      </c>
      <c r="C72" s="217" t="s">
        <v>847</v>
      </c>
      <c r="D72" s="217"/>
      <c r="E72" s="218">
        <v>0</v>
      </c>
      <c r="F72" s="219">
        <v>0</v>
      </c>
    </row>
    <row r="73" spans="1:6" s="187" customFormat="1" ht="36" customHeight="1" x14ac:dyDescent="0.25">
      <c r="A73" s="215"/>
      <c r="B73" s="216" t="s">
        <v>848</v>
      </c>
      <c r="C73" s="217" t="s">
        <v>849</v>
      </c>
      <c r="D73" s="217"/>
      <c r="E73" s="218">
        <v>0</v>
      </c>
      <c r="F73" s="219">
        <v>0</v>
      </c>
    </row>
    <row r="74" spans="1:6" s="187" customFormat="1" ht="24" customHeight="1" x14ac:dyDescent="0.25">
      <c r="A74" s="210" t="s">
        <v>84</v>
      </c>
      <c r="B74" s="211" t="s">
        <v>850</v>
      </c>
      <c r="C74" s="212" t="s">
        <v>851</v>
      </c>
      <c r="D74" s="212"/>
      <c r="E74" s="213">
        <v>0</v>
      </c>
      <c r="F74" s="214">
        <v>0</v>
      </c>
    </row>
    <row r="75" spans="1:6" s="187" customFormat="1" ht="24" customHeight="1" x14ac:dyDescent="0.25">
      <c r="A75" s="210" t="s">
        <v>341</v>
      </c>
      <c r="B75" s="211" t="s">
        <v>852</v>
      </c>
      <c r="C75" s="212" t="s">
        <v>853</v>
      </c>
      <c r="D75" s="212"/>
      <c r="E75" s="213">
        <v>0</v>
      </c>
      <c r="F75" s="214">
        <v>0</v>
      </c>
    </row>
    <row r="76" spans="1:6" s="187" customFormat="1" ht="24" customHeight="1" x14ac:dyDescent="0.25">
      <c r="A76" s="210" t="s">
        <v>350</v>
      </c>
      <c r="B76" s="211" t="s">
        <v>854</v>
      </c>
      <c r="C76" s="212" t="s">
        <v>855</v>
      </c>
      <c r="D76" s="212"/>
      <c r="E76" s="213">
        <f>E77+E78+E79+E80+E81+E82+E83</f>
        <v>25563780</v>
      </c>
      <c r="F76" s="214">
        <f>F77+F78+F79+F80+F81+F82+F83</f>
        <v>2477890</v>
      </c>
    </row>
    <row r="77" spans="1:6" s="187" customFormat="1" ht="24" customHeight="1" x14ac:dyDescent="0.25">
      <c r="A77" s="215"/>
      <c r="B77" s="216" t="s">
        <v>856</v>
      </c>
      <c r="C77" s="217" t="s">
        <v>857</v>
      </c>
      <c r="D77" s="217"/>
      <c r="E77" s="218">
        <v>0</v>
      </c>
      <c r="F77" s="219">
        <v>1316475</v>
      </c>
    </row>
    <row r="78" spans="1:6" s="187" customFormat="1" ht="24" customHeight="1" x14ac:dyDescent="0.25">
      <c r="A78" s="215"/>
      <c r="B78" s="216" t="s">
        <v>858</v>
      </c>
      <c r="C78" s="217" t="s">
        <v>859</v>
      </c>
      <c r="D78" s="217"/>
      <c r="E78" s="218">
        <v>14075829</v>
      </c>
      <c r="F78" s="219">
        <v>0</v>
      </c>
    </row>
    <row r="79" spans="1:6" s="187" customFormat="1" ht="24" customHeight="1" x14ac:dyDescent="0.25">
      <c r="A79" s="215"/>
      <c r="B79" s="216" t="s">
        <v>860</v>
      </c>
      <c r="C79" s="217" t="s">
        <v>861</v>
      </c>
      <c r="D79" s="217"/>
      <c r="E79" s="218">
        <v>0</v>
      </c>
      <c r="F79" s="219">
        <v>0</v>
      </c>
    </row>
    <row r="80" spans="1:6" s="187" customFormat="1" ht="24" customHeight="1" x14ac:dyDescent="0.25">
      <c r="A80" s="215"/>
      <c r="B80" s="216" t="s">
        <v>862</v>
      </c>
      <c r="C80" s="217" t="s">
        <v>863</v>
      </c>
      <c r="D80" s="217"/>
      <c r="E80" s="218">
        <v>0</v>
      </c>
      <c r="F80" s="219">
        <v>0</v>
      </c>
    </row>
    <row r="81" spans="1:6" s="187" customFormat="1" ht="33.75" customHeight="1" x14ac:dyDescent="0.25">
      <c r="A81" s="215"/>
      <c r="B81" s="216" t="s">
        <v>864</v>
      </c>
      <c r="C81" s="217" t="s">
        <v>865</v>
      </c>
      <c r="D81" s="217"/>
      <c r="E81" s="218">
        <v>9735986</v>
      </c>
      <c r="F81" s="219">
        <v>0</v>
      </c>
    </row>
    <row r="82" spans="1:6" s="187" customFormat="1" ht="24" customHeight="1" x14ac:dyDescent="0.25">
      <c r="A82" s="215"/>
      <c r="B82" s="216" t="s">
        <v>866</v>
      </c>
      <c r="C82" s="217" t="s">
        <v>867</v>
      </c>
      <c r="D82" s="217"/>
      <c r="E82" s="218">
        <v>0</v>
      </c>
      <c r="F82" s="219">
        <v>0</v>
      </c>
    </row>
    <row r="83" spans="1:6" s="187" customFormat="1" ht="24" customHeight="1" x14ac:dyDescent="0.25">
      <c r="A83" s="215"/>
      <c r="B83" s="216" t="s">
        <v>868</v>
      </c>
      <c r="C83" s="217" t="s">
        <v>869</v>
      </c>
      <c r="D83" s="217"/>
      <c r="E83" s="218">
        <v>1751965</v>
      </c>
      <c r="F83" s="219">
        <v>1161415</v>
      </c>
    </row>
    <row r="84" spans="1:6" s="187" customFormat="1" ht="24" customHeight="1" x14ac:dyDescent="0.25">
      <c r="A84" s="210" t="s">
        <v>363</v>
      </c>
      <c r="B84" s="211" t="s">
        <v>870</v>
      </c>
      <c r="C84" s="212" t="s">
        <v>871</v>
      </c>
      <c r="D84" s="212"/>
      <c r="E84" s="213">
        <v>0</v>
      </c>
      <c r="F84" s="214">
        <v>0</v>
      </c>
    </row>
    <row r="85" spans="1:6" s="187" customFormat="1" ht="24" customHeight="1" x14ac:dyDescent="0.25">
      <c r="A85" s="210" t="s">
        <v>370</v>
      </c>
      <c r="B85" s="211" t="s">
        <v>872</v>
      </c>
      <c r="C85" s="212" t="s">
        <v>873</v>
      </c>
      <c r="D85" s="212"/>
      <c r="E85" s="213">
        <v>0</v>
      </c>
      <c r="F85" s="214">
        <v>0</v>
      </c>
    </row>
    <row r="86" spans="1:6" s="187" customFormat="1" ht="24" customHeight="1" x14ac:dyDescent="0.25">
      <c r="A86" s="210" t="s">
        <v>458</v>
      </c>
      <c r="B86" s="211" t="s">
        <v>874</v>
      </c>
      <c r="C86" s="212" t="s">
        <v>875</v>
      </c>
      <c r="D86" s="212"/>
      <c r="E86" s="213">
        <f>E87+E88+E93+E94+E95+E96+E97</f>
        <v>983387067</v>
      </c>
      <c r="F86" s="214">
        <f>F87+F88+F93+F94+F95+F96+F97</f>
        <v>372940257</v>
      </c>
    </row>
    <row r="87" spans="1:6" s="187" customFormat="1" ht="24" customHeight="1" x14ac:dyDescent="0.25">
      <c r="A87" s="215" t="s">
        <v>876</v>
      </c>
      <c r="B87" s="216" t="s">
        <v>877</v>
      </c>
      <c r="C87" s="217" t="s">
        <v>878</v>
      </c>
      <c r="D87" s="217"/>
      <c r="E87" s="218">
        <v>743535790</v>
      </c>
      <c r="F87" s="219">
        <v>270193928</v>
      </c>
    </row>
    <row r="88" spans="1:6" s="187" customFormat="1" ht="24" customHeight="1" x14ac:dyDescent="0.25">
      <c r="A88" s="215" t="s">
        <v>879</v>
      </c>
      <c r="B88" s="216" t="s">
        <v>880</v>
      </c>
      <c r="C88" s="217" t="s">
        <v>881</v>
      </c>
      <c r="D88" s="217"/>
      <c r="E88" s="218">
        <f>E89+E90+E91</f>
        <v>18788396</v>
      </c>
      <c r="F88" s="219">
        <f>F89+F90+F91</f>
        <v>11716520</v>
      </c>
    </row>
    <row r="89" spans="1:6" s="187" customFormat="1" ht="24" customHeight="1" x14ac:dyDescent="0.25">
      <c r="A89" s="215"/>
      <c r="B89" s="216" t="s">
        <v>882</v>
      </c>
      <c r="C89" s="217" t="s">
        <v>883</v>
      </c>
      <c r="D89" s="217"/>
      <c r="E89" s="218">
        <v>18588396</v>
      </c>
      <c r="F89" s="219">
        <v>10516520</v>
      </c>
    </row>
    <row r="90" spans="1:6" s="187" customFormat="1" ht="24" customHeight="1" x14ac:dyDescent="0.25">
      <c r="A90" s="215"/>
      <c r="B90" s="216" t="s">
        <v>884</v>
      </c>
      <c r="C90" s="217" t="s">
        <v>885</v>
      </c>
      <c r="D90" s="217"/>
      <c r="E90" s="218">
        <v>200000</v>
      </c>
      <c r="F90" s="219">
        <v>1200000</v>
      </c>
    </row>
    <row r="91" spans="1:6" s="187" customFormat="1" ht="24" customHeight="1" x14ac:dyDescent="0.25">
      <c r="A91" s="215"/>
      <c r="B91" s="216" t="s">
        <v>886</v>
      </c>
      <c r="C91" s="217" t="s">
        <v>887</v>
      </c>
      <c r="D91" s="217"/>
      <c r="E91" s="218">
        <v>0</v>
      </c>
      <c r="F91" s="219">
        <v>0</v>
      </c>
    </row>
    <row r="92" spans="1:6" s="187" customFormat="1" ht="43.5" customHeight="1" x14ac:dyDescent="0.25">
      <c r="A92" s="215"/>
      <c r="B92" s="216" t="s">
        <v>888</v>
      </c>
      <c r="C92" s="217" t="s">
        <v>889</v>
      </c>
      <c r="D92" s="217"/>
      <c r="E92" s="218">
        <v>0</v>
      </c>
      <c r="F92" s="219">
        <v>0</v>
      </c>
    </row>
    <row r="93" spans="1:6" s="187" customFormat="1" ht="24" customHeight="1" x14ac:dyDescent="0.25">
      <c r="A93" s="215" t="s">
        <v>890</v>
      </c>
      <c r="B93" s="216" t="s">
        <v>891</v>
      </c>
      <c r="C93" s="217" t="s">
        <v>892</v>
      </c>
      <c r="D93" s="217"/>
      <c r="E93" s="218">
        <v>22514985</v>
      </c>
      <c r="F93" s="219">
        <v>17352250</v>
      </c>
    </row>
    <row r="94" spans="1:6" s="187" customFormat="1" ht="24" customHeight="1" x14ac:dyDescent="0.25">
      <c r="A94" s="215" t="s">
        <v>893</v>
      </c>
      <c r="B94" s="216" t="s">
        <v>894</v>
      </c>
      <c r="C94" s="217" t="s">
        <v>895</v>
      </c>
      <c r="D94" s="217"/>
      <c r="E94" s="218">
        <v>42962221</v>
      </c>
      <c r="F94" s="219">
        <v>23060729</v>
      </c>
    </row>
    <row r="95" spans="1:6" s="187" customFormat="1" ht="24" customHeight="1" x14ac:dyDescent="0.25">
      <c r="A95" s="215" t="s">
        <v>896</v>
      </c>
      <c r="B95" s="216" t="s">
        <v>897</v>
      </c>
      <c r="C95" s="217" t="s">
        <v>898</v>
      </c>
      <c r="D95" s="217"/>
      <c r="E95" s="218">
        <v>9048379</v>
      </c>
      <c r="F95" s="219">
        <v>3548383</v>
      </c>
    </row>
    <row r="96" spans="1:6" s="187" customFormat="1" ht="34.5" customHeight="1" x14ac:dyDescent="0.25">
      <c r="A96" s="215" t="s">
        <v>899</v>
      </c>
      <c r="B96" s="216" t="s">
        <v>900</v>
      </c>
      <c r="C96" s="217" t="s">
        <v>901</v>
      </c>
      <c r="D96" s="217"/>
      <c r="E96" s="218">
        <v>60290720</v>
      </c>
      <c r="F96" s="219">
        <v>13819731</v>
      </c>
    </row>
    <row r="97" spans="1:6" s="187" customFormat="1" ht="24" customHeight="1" x14ac:dyDescent="0.25">
      <c r="A97" s="215" t="s">
        <v>902</v>
      </c>
      <c r="B97" s="216" t="s">
        <v>903</v>
      </c>
      <c r="C97" s="217" t="s">
        <v>904</v>
      </c>
      <c r="D97" s="217"/>
      <c r="E97" s="218">
        <v>86246576</v>
      </c>
      <c r="F97" s="219">
        <v>33248716</v>
      </c>
    </row>
    <row r="98" spans="1:6" s="187" customFormat="1" ht="24" customHeight="1" x14ac:dyDescent="0.25">
      <c r="A98" s="210" t="s">
        <v>461</v>
      </c>
      <c r="B98" s="211" t="s">
        <v>905</v>
      </c>
      <c r="C98" s="212" t="s">
        <v>906</v>
      </c>
      <c r="D98" s="212"/>
      <c r="E98" s="213">
        <f>E99+E100+E101</f>
        <v>0</v>
      </c>
      <c r="F98" s="214">
        <f>F99+F100+F101</f>
        <v>50000000</v>
      </c>
    </row>
    <row r="99" spans="1:6" s="187" customFormat="1" ht="24" customHeight="1" x14ac:dyDescent="0.25">
      <c r="A99" s="215" t="s">
        <v>907</v>
      </c>
      <c r="B99" s="216" t="s">
        <v>908</v>
      </c>
      <c r="C99" s="217" t="s">
        <v>909</v>
      </c>
      <c r="D99" s="217"/>
      <c r="E99" s="218">
        <v>0</v>
      </c>
      <c r="F99" s="219">
        <v>0</v>
      </c>
    </row>
    <row r="100" spans="1:6" s="187" customFormat="1" ht="36" customHeight="1" x14ac:dyDescent="0.25">
      <c r="A100" s="215" t="s">
        <v>910</v>
      </c>
      <c r="B100" s="216" t="s">
        <v>911</v>
      </c>
      <c r="C100" s="217" t="s">
        <v>912</v>
      </c>
      <c r="D100" s="217"/>
      <c r="E100" s="218">
        <v>0</v>
      </c>
      <c r="F100" s="219">
        <v>0</v>
      </c>
    </row>
    <row r="101" spans="1:6" s="187" customFormat="1" ht="24" customHeight="1" x14ac:dyDescent="0.25">
      <c r="A101" s="215" t="s">
        <v>913</v>
      </c>
      <c r="B101" s="216" t="s">
        <v>914</v>
      </c>
      <c r="C101" s="217" t="s">
        <v>915</v>
      </c>
      <c r="D101" s="217"/>
      <c r="E101" s="218">
        <f>E102+E103+E104+E105+E106</f>
        <v>0</v>
      </c>
      <c r="F101" s="219">
        <f>F102+F103+F104+F105+F106</f>
        <v>50000000</v>
      </c>
    </row>
    <row r="102" spans="1:6" s="187" customFormat="1" ht="24" customHeight="1" x14ac:dyDescent="0.25">
      <c r="A102" s="215"/>
      <c r="B102" s="216" t="s">
        <v>260</v>
      </c>
      <c r="C102" s="217" t="s">
        <v>916</v>
      </c>
      <c r="D102" s="217"/>
      <c r="E102" s="218">
        <v>0</v>
      </c>
      <c r="F102" s="219">
        <v>50000000</v>
      </c>
    </row>
    <row r="103" spans="1:6" s="187" customFormat="1" ht="24" customHeight="1" x14ac:dyDescent="0.25">
      <c r="A103" s="215"/>
      <c r="B103" s="216" t="s">
        <v>262</v>
      </c>
      <c r="C103" s="217" t="s">
        <v>917</v>
      </c>
      <c r="D103" s="217"/>
      <c r="E103" s="218">
        <v>0</v>
      </c>
      <c r="F103" s="219">
        <v>0</v>
      </c>
    </row>
    <row r="104" spans="1:6" s="187" customFormat="1" ht="24" customHeight="1" x14ac:dyDescent="0.25">
      <c r="A104" s="210"/>
      <c r="B104" s="211" t="s">
        <v>918</v>
      </c>
      <c r="C104" s="212" t="s">
        <v>919</v>
      </c>
      <c r="D104" s="212"/>
      <c r="E104" s="213">
        <v>0</v>
      </c>
      <c r="F104" s="214">
        <v>0</v>
      </c>
    </row>
    <row r="105" spans="1:6" s="187" customFormat="1" ht="24" customHeight="1" x14ac:dyDescent="0.25">
      <c r="A105" s="215"/>
      <c r="B105" s="216" t="s">
        <v>264</v>
      </c>
      <c r="C105" s="217" t="s">
        <v>920</v>
      </c>
      <c r="D105" s="217"/>
      <c r="E105" s="218">
        <v>0</v>
      </c>
      <c r="F105" s="219">
        <v>0</v>
      </c>
    </row>
    <row r="106" spans="1:6" s="187" customFormat="1" ht="24" customHeight="1" x14ac:dyDescent="0.25">
      <c r="A106" s="215"/>
      <c r="B106" s="216" t="s">
        <v>921</v>
      </c>
      <c r="C106" s="217" t="s">
        <v>922</v>
      </c>
      <c r="D106" s="217"/>
      <c r="E106" s="218">
        <v>0</v>
      </c>
      <c r="F106" s="219">
        <v>0</v>
      </c>
    </row>
    <row r="107" spans="1:6" s="187" customFormat="1" ht="24" customHeight="1" x14ac:dyDescent="0.25">
      <c r="A107" s="205"/>
      <c r="B107" s="206" t="s">
        <v>923</v>
      </c>
      <c r="C107" s="207" t="s">
        <v>924</v>
      </c>
      <c r="D107" s="207"/>
      <c r="E107" s="208">
        <f>E67+E70+E71+E74+E75+E76+E84+E85+E86+E98</f>
        <v>1008950847</v>
      </c>
      <c r="F107" s="209">
        <f>F67+F70+F71+F74+F75+F76+F84+F85+F86+F98</f>
        <v>425418147</v>
      </c>
    </row>
    <row r="108" spans="1:6" s="187" customFormat="1" ht="34.5" customHeight="1" x14ac:dyDescent="0.25">
      <c r="A108" s="205" t="s">
        <v>81</v>
      </c>
      <c r="B108" s="206" t="s">
        <v>925</v>
      </c>
      <c r="C108" s="207" t="s">
        <v>926</v>
      </c>
      <c r="D108" s="207"/>
      <c r="E108" s="208">
        <f>E65-E107</f>
        <v>1362487799178</v>
      </c>
      <c r="F108" s="209">
        <f>F65-F107</f>
        <v>696131174678</v>
      </c>
    </row>
    <row r="109" spans="1:6" s="187" customFormat="1" ht="24" customHeight="1" x14ac:dyDescent="0.25">
      <c r="A109" s="210" t="s">
        <v>94</v>
      </c>
      <c r="B109" s="211" t="s">
        <v>927</v>
      </c>
      <c r="C109" s="212" t="s">
        <v>928</v>
      </c>
      <c r="D109" s="212"/>
      <c r="E109" s="213">
        <f>E110+E111</f>
        <v>1191000000000</v>
      </c>
      <c r="F109" s="214">
        <f>F110+F111</f>
        <v>580000000000</v>
      </c>
    </row>
    <row r="110" spans="1:6" s="187" customFormat="1" ht="24" customHeight="1" x14ac:dyDescent="0.25">
      <c r="A110" s="210" t="s">
        <v>742</v>
      </c>
      <c r="B110" s="211" t="s">
        <v>929</v>
      </c>
      <c r="C110" s="212" t="s">
        <v>930</v>
      </c>
      <c r="D110" s="212"/>
      <c r="E110" s="213">
        <v>1191000000000</v>
      </c>
      <c r="F110" s="214">
        <v>580000000000</v>
      </c>
    </row>
    <row r="111" spans="1:6" s="187" customFormat="1" ht="24" customHeight="1" x14ac:dyDescent="0.25">
      <c r="A111" s="210" t="s">
        <v>751</v>
      </c>
      <c r="B111" s="211" t="s">
        <v>931</v>
      </c>
      <c r="C111" s="212" t="s">
        <v>932</v>
      </c>
      <c r="D111" s="212"/>
      <c r="E111" s="213">
        <v>0</v>
      </c>
      <c r="F111" s="214">
        <v>0</v>
      </c>
    </row>
    <row r="112" spans="1:6" s="187" customFormat="1" ht="24" customHeight="1" x14ac:dyDescent="0.25">
      <c r="A112" s="210" t="s">
        <v>97</v>
      </c>
      <c r="B112" s="211" t="s">
        <v>933</v>
      </c>
      <c r="C112" s="212" t="s">
        <v>934</v>
      </c>
      <c r="D112" s="212"/>
      <c r="E112" s="213">
        <v>242394517183</v>
      </c>
      <c r="F112" s="214">
        <v>98232163207</v>
      </c>
    </row>
    <row r="113" spans="1:6" s="187" customFormat="1" ht="24" customHeight="1" x14ac:dyDescent="0.25">
      <c r="A113" s="210" t="s">
        <v>78</v>
      </c>
      <c r="B113" s="211" t="s">
        <v>935</v>
      </c>
      <c r="C113" s="212" t="s">
        <v>936</v>
      </c>
      <c r="D113" s="212"/>
      <c r="E113" s="213">
        <f>E114+E115</f>
        <v>-70906718005</v>
      </c>
      <c r="F113" s="214">
        <f>F114+F115</f>
        <v>17899011471</v>
      </c>
    </row>
    <row r="114" spans="1:6" s="187" customFormat="1" ht="24" customHeight="1" x14ac:dyDescent="0.25">
      <c r="A114" s="210" t="s">
        <v>783</v>
      </c>
      <c r="B114" s="211" t="s">
        <v>937</v>
      </c>
      <c r="C114" s="212" t="s">
        <v>938</v>
      </c>
      <c r="D114" s="212"/>
      <c r="E114" s="213">
        <v>17899011471</v>
      </c>
      <c r="F114" s="214">
        <v>9106113893</v>
      </c>
    </row>
    <row r="115" spans="1:6" s="187" customFormat="1" ht="24" customHeight="1" x14ac:dyDescent="0.25">
      <c r="A115" s="210" t="s">
        <v>788</v>
      </c>
      <c r="B115" s="211" t="s">
        <v>939</v>
      </c>
      <c r="C115" s="212" t="s">
        <v>940</v>
      </c>
      <c r="D115" s="212"/>
      <c r="E115" s="213">
        <v>-88805729476</v>
      </c>
      <c r="F115" s="214">
        <v>8792897578</v>
      </c>
    </row>
    <row r="116" spans="1:6" s="187" customFormat="1" ht="33.75" customHeight="1" x14ac:dyDescent="0.25">
      <c r="A116" s="220" t="s">
        <v>51</v>
      </c>
      <c r="B116" s="221" t="s">
        <v>941</v>
      </c>
      <c r="C116" s="222" t="s">
        <v>942</v>
      </c>
      <c r="D116" s="222"/>
      <c r="E116" s="183">
        <v>11439.86</v>
      </c>
      <c r="F116" s="223">
        <v>12002.26</v>
      </c>
    </row>
    <row r="117" spans="1:6" s="187" customFormat="1" ht="24" customHeight="1" x14ac:dyDescent="0.25">
      <c r="A117" s="205" t="s">
        <v>403</v>
      </c>
      <c r="B117" s="206" t="s">
        <v>943</v>
      </c>
      <c r="C117" s="207" t="s">
        <v>944</v>
      </c>
      <c r="D117" s="207"/>
      <c r="E117" s="208">
        <f>E118+E119</f>
        <v>0</v>
      </c>
      <c r="F117" s="209">
        <f>F118+F119</f>
        <v>0</v>
      </c>
    </row>
    <row r="118" spans="1:6" s="187" customFormat="1" ht="24" customHeight="1" x14ac:dyDescent="0.25">
      <c r="A118" s="210" t="s">
        <v>94</v>
      </c>
      <c r="B118" s="211" t="s">
        <v>1099</v>
      </c>
      <c r="C118" s="212" t="s">
        <v>945</v>
      </c>
      <c r="D118" s="212"/>
      <c r="E118" s="213">
        <v>0</v>
      </c>
      <c r="F118" s="214">
        <v>0</v>
      </c>
    </row>
    <row r="119" spans="1:6" s="187" customFormat="1" ht="35.25" customHeight="1" x14ac:dyDescent="0.25">
      <c r="A119" s="210" t="s">
        <v>97</v>
      </c>
      <c r="B119" s="211" t="s">
        <v>1098</v>
      </c>
      <c r="C119" s="212" t="s">
        <v>946</v>
      </c>
      <c r="D119" s="212"/>
      <c r="E119" s="213">
        <v>0</v>
      </c>
      <c r="F119" s="214">
        <v>0</v>
      </c>
    </row>
    <row r="120" spans="1:6" s="187" customFormat="1" ht="24" customHeight="1" x14ac:dyDescent="0.25">
      <c r="A120" s="205" t="s">
        <v>406</v>
      </c>
      <c r="B120" s="206" t="s">
        <v>947</v>
      </c>
      <c r="C120" s="207" t="s">
        <v>406</v>
      </c>
      <c r="D120" s="207"/>
      <c r="E120" s="208">
        <v>0</v>
      </c>
      <c r="F120" s="209">
        <v>0</v>
      </c>
    </row>
    <row r="121" spans="1:6" s="187" customFormat="1" ht="24" customHeight="1" x14ac:dyDescent="0.25">
      <c r="A121" s="210" t="s">
        <v>94</v>
      </c>
      <c r="B121" s="211" t="s">
        <v>948</v>
      </c>
      <c r="C121" s="212" t="s">
        <v>949</v>
      </c>
      <c r="D121" s="212"/>
      <c r="E121" s="213">
        <v>0</v>
      </c>
      <c r="F121" s="214">
        <v>0</v>
      </c>
    </row>
    <row r="122" spans="1:6" s="187" customFormat="1" ht="24" customHeight="1" x14ac:dyDescent="0.25">
      <c r="A122" s="210" t="s">
        <v>97</v>
      </c>
      <c r="B122" s="211" t="s">
        <v>950</v>
      </c>
      <c r="C122" s="212" t="s">
        <v>951</v>
      </c>
      <c r="D122" s="212"/>
      <c r="E122" s="213">
        <v>0</v>
      </c>
      <c r="F122" s="214">
        <v>0</v>
      </c>
    </row>
    <row r="123" spans="1:6" s="187" customFormat="1" ht="24" customHeight="1" x14ac:dyDescent="0.25">
      <c r="A123" s="210" t="s">
        <v>78</v>
      </c>
      <c r="B123" s="211" t="s">
        <v>952</v>
      </c>
      <c r="C123" s="212" t="s">
        <v>953</v>
      </c>
      <c r="D123" s="212"/>
      <c r="E123" s="213">
        <v>0</v>
      </c>
      <c r="F123" s="214">
        <v>0</v>
      </c>
    </row>
    <row r="124" spans="1:6" s="187" customFormat="1" ht="24" customHeight="1" x14ac:dyDescent="0.25">
      <c r="A124" s="224" t="s">
        <v>84</v>
      </c>
      <c r="B124" s="225" t="s">
        <v>954</v>
      </c>
      <c r="C124" s="226" t="s">
        <v>955</v>
      </c>
      <c r="D124" s="226"/>
      <c r="E124" s="227">
        <v>119100000</v>
      </c>
      <c r="F124" s="228">
        <v>58000000</v>
      </c>
    </row>
    <row r="125" spans="1:6" ht="10.5" customHeight="1" x14ac:dyDescent="0.25">
      <c r="A125" s="86"/>
      <c r="B125" s="86"/>
      <c r="C125" s="86"/>
      <c r="D125" s="86"/>
      <c r="E125" s="86"/>
      <c r="F125" s="86"/>
    </row>
    <row r="126" spans="1:6" ht="15" customHeight="1" x14ac:dyDescent="0.25">
      <c r="A126" s="279" t="s">
        <v>730</v>
      </c>
      <c r="B126" s="279"/>
      <c r="C126" s="279" t="s">
        <v>731</v>
      </c>
      <c r="D126" s="279"/>
      <c r="E126" s="279" t="s">
        <v>732</v>
      </c>
      <c r="F126" s="279"/>
    </row>
    <row r="127" spans="1:6" ht="15" customHeight="1" x14ac:dyDescent="0.25">
      <c r="A127" s="330" t="s">
        <v>733</v>
      </c>
      <c r="B127" s="330"/>
      <c r="C127" s="330" t="s">
        <v>733</v>
      </c>
      <c r="D127" s="330"/>
      <c r="E127" s="330" t="s">
        <v>734</v>
      </c>
      <c r="F127" s="330"/>
    </row>
    <row r="128" spans="1:6" ht="87.75" customHeight="1" x14ac:dyDescent="0.25">
      <c r="A128" s="86"/>
      <c r="B128" s="86"/>
      <c r="C128" s="86"/>
      <c r="D128" s="86"/>
      <c r="E128" s="86"/>
      <c r="F128" s="86"/>
    </row>
    <row r="129" spans="1:6" s="188" customFormat="1" ht="15.75" customHeight="1" x14ac:dyDescent="0.25">
      <c r="A129" s="268" t="s">
        <v>1075</v>
      </c>
      <c r="B129" s="268"/>
      <c r="C129" s="268" t="s">
        <v>1091</v>
      </c>
      <c r="D129" s="268"/>
      <c r="E129" s="338" t="s">
        <v>1069</v>
      </c>
      <c r="F129" s="338"/>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5:B15"/>
    <mergeCell ref="C15:F15"/>
    <mergeCell ref="A126:B126"/>
    <mergeCell ref="C126:D126"/>
    <mergeCell ref="E126:F126"/>
    <mergeCell ref="A12:B12"/>
    <mergeCell ref="C12:F12"/>
    <mergeCell ref="A13:B13"/>
    <mergeCell ref="C13:F13"/>
    <mergeCell ref="A14:B14"/>
    <mergeCell ref="C14:F14"/>
    <mergeCell ref="A129:B129"/>
    <mergeCell ref="E129:F129"/>
    <mergeCell ref="C129:D129"/>
    <mergeCell ref="A127:B127"/>
    <mergeCell ref="C127:D127"/>
    <mergeCell ref="E127:F127"/>
  </mergeCells>
  <printOptions horizontalCentered="1"/>
  <pageMargins left="0.5" right="0.42" top="0.53" bottom="0.43" header="0.3" footer="0.23"/>
  <pageSetup paperSize="9" scale="80"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9"/>
  <sheetViews>
    <sheetView showGridLines="0" showZeros="0" showOutlineSymbols="0" view="pageBreakPreview" topLeftCell="A4" zoomScaleNormal="100" zoomScaleSheetLayoutView="100" workbookViewId="0">
      <selection activeCell="A26" sqref="A26:B26"/>
    </sheetView>
  </sheetViews>
  <sheetFormatPr defaultRowHeight="15" x14ac:dyDescent="0.25"/>
  <cols>
    <col min="1" max="1" width="6.28515625" style="85" customWidth="1"/>
    <col min="2" max="2" width="37.5703125" style="85" customWidth="1"/>
    <col min="3" max="3" width="7.7109375" style="85" customWidth="1"/>
    <col min="4" max="4" width="30.85546875" style="85" customWidth="1"/>
    <col min="5" max="5" width="35.5703125" style="85" customWidth="1"/>
    <col min="6" max="256" width="9.140625" style="85"/>
    <col min="257" max="257" width="6.28515625" style="85" customWidth="1"/>
    <col min="258" max="258" width="45" style="85" customWidth="1"/>
    <col min="259" max="259" width="8.5703125" style="85" customWidth="1"/>
    <col min="260" max="261" width="21.140625" style="85" customWidth="1"/>
    <col min="262" max="512" width="9.140625" style="85"/>
    <col min="513" max="513" width="6.28515625" style="85" customWidth="1"/>
    <col min="514" max="514" width="45" style="85" customWidth="1"/>
    <col min="515" max="515" width="8.5703125" style="85" customWidth="1"/>
    <col min="516" max="517" width="21.140625" style="85" customWidth="1"/>
    <col min="518" max="768" width="9.140625" style="85"/>
    <col min="769" max="769" width="6.28515625" style="85" customWidth="1"/>
    <col min="770" max="770" width="45" style="85" customWidth="1"/>
    <col min="771" max="771" width="8.5703125" style="85" customWidth="1"/>
    <col min="772" max="773" width="21.140625" style="85" customWidth="1"/>
    <col min="774" max="1024" width="9.140625" style="85"/>
    <col min="1025" max="1025" width="6.28515625" style="85" customWidth="1"/>
    <col min="1026" max="1026" width="45" style="85" customWidth="1"/>
    <col min="1027" max="1027" width="8.5703125" style="85" customWidth="1"/>
    <col min="1028" max="1029" width="21.140625" style="85" customWidth="1"/>
    <col min="1030" max="1280" width="9.140625" style="85"/>
    <col min="1281" max="1281" width="6.28515625" style="85" customWidth="1"/>
    <col min="1282" max="1282" width="45" style="85" customWidth="1"/>
    <col min="1283" max="1283" width="8.5703125" style="85" customWidth="1"/>
    <col min="1284" max="1285" width="21.140625" style="85" customWidth="1"/>
    <col min="1286" max="1536" width="9.140625" style="85"/>
    <col min="1537" max="1537" width="6.28515625" style="85" customWidth="1"/>
    <col min="1538" max="1538" width="45" style="85" customWidth="1"/>
    <col min="1539" max="1539" width="8.5703125" style="85" customWidth="1"/>
    <col min="1540" max="1541" width="21.140625" style="85" customWidth="1"/>
    <col min="1542" max="1792" width="9.140625" style="85"/>
    <col min="1793" max="1793" width="6.28515625" style="85" customWidth="1"/>
    <col min="1794" max="1794" width="45" style="85" customWidth="1"/>
    <col min="1795" max="1795" width="8.5703125" style="85" customWidth="1"/>
    <col min="1796" max="1797" width="21.140625" style="85" customWidth="1"/>
    <col min="1798" max="2048" width="9.140625" style="85"/>
    <col min="2049" max="2049" width="6.28515625" style="85" customWidth="1"/>
    <col min="2050" max="2050" width="45" style="85" customWidth="1"/>
    <col min="2051" max="2051" width="8.5703125" style="85" customWidth="1"/>
    <col min="2052" max="2053" width="21.140625" style="85" customWidth="1"/>
    <col min="2054" max="2304" width="9.140625" style="85"/>
    <col min="2305" max="2305" width="6.28515625" style="85" customWidth="1"/>
    <col min="2306" max="2306" width="45" style="85" customWidth="1"/>
    <col min="2307" max="2307" width="8.5703125" style="85" customWidth="1"/>
    <col min="2308" max="2309" width="21.140625" style="85" customWidth="1"/>
    <col min="2310" max="2560" width="9.140625" style="85"/>
    <col min="2561" max="2561" width="6.28515625" style="85" customWidth="1"/>
    <col min="2562" max="2562" width="45" style="85" customWidth="1"/>
    <col min="2563" max="2563" width="8.5703125" style="85" customWidth="1"/>
    <col min="2564" max="2565" width="21.140625" style="85" customWidth="1"/>
    <col min="2566" max="2816" width="9.140625" style="85"/>
    <col min="2817" max="2817" width="6.28515625" style="85" customWidth="1"/>
    <col min="2818" max="2818" width="45" style="85" customWidth="1"/>
    <col min="2819" max="2819" width="8.5703125" style="85" customWidth="1"/>
    <col min="2820" max="2821" width="21.140625" style="85" customWidth="1"/>
    <col min="2822" max="3072" width="9.140625" style="85"/>
    <col min="3073" max="3073" width="6.28515625" style="85" customWidth="1"/>
    <col min="3074" max="3074" width="45" style="85" customWidth="1"/>
    <col min="3075" max="3075" width="8.5703125" style="85" customWidth="1"/>
    <col min="3076" max="3077" width="21.140625" style="85" customWidth="1"/>
    <col min="3078" max="3328" width="9.140625" style="85"/>
    <col min="3329" max="3329" width="6.28515625" style="85" customWidth="1"/>
    <col min="3330" max="3330" width="45" style="85" customWidth="1"/>
    <col min="3331" max="3331" width="8.5703125" style="85" customWidth="1"/>
    <col min="3332" max="3333" width="21.140625" style="85" customWidth="1"/>
    <col min="3334" max="3584" width="9.140625" style="85"/>
    <col min="3585" max="3585" width="6.28515625" style="85" customWidth="1"/>
    <col min="3586" max="3586" width="45" style="85" customWidth="1"/>
    <col min="3587" max="3587" width="8.5703125" style="85" customWidth="1"/>
    <col min="3588" max="3589" width="21.140625" style="85" customWidth="1"/>
    <col min="3590" max="3840" width="9.140625" style="85"/>
    <col min="3841" max="3841" width="6.28515625" style="85" customWidth="1"/>
    <col min="3842" max="3842" width="45" style="85" customWidth="1"/>
    <col min="3843" max="3843" width="8.5703125" style="85" customWidth="1"/>
    <col min="3844" max="3845" width="21.140625" style="85" customWidth="1"/>
    <col min="3846" max="4096" width="9.140625" style="85"/>
    <col min="4097" max="4097" width="6.28515625" style="85" customWidth="1"/>
    <col min="4098" max="4098" width="45" style="85" customWidth="1"/>
    <col min="4099" max="4099" width="8.5703125" style="85" customWidth="1"/>
    <col min="4100" max="4101" width="21.140625" style="85" customWidth="1"/>
    <col min="4102" max="4352" width="9.140625" style="85"/>
    <col min="4353" max="4353" width="6.28515625" style="85" customWidth="1"/>
    <col min="4354" max="4354" width="45" style="85" customWidth="1"/>
    <col min="4355" max="4355" width="8.5703125" style="85" customWidth="1"/>
    <col min="4356" max="4357" width="21.140625" style="85" customWidth="1"/>
    <col min="4358" max="4608" width="9.140625" style="85"/>
    <col min="4609" max="4609" width="6.28515625" style="85" customWidth="1"/>
    <col min="4610" max="4610" width="45" style="85" customWidth="1"/>
    <col min="4611" max="4611" width="8.5703125" style="85" customWidth="1"/>
    <col min="4612" max="4613" width="21.140625" style="85" customWidth="1"/>
    <col min="4614" max="4864" width="9.140625" style="85"/>
    <col min="4865" max="4865" width="6.28515625" style="85" customWidth="1"/>
    <col min="4866" max="4866" width="45" style="85" customWidth="1"/>
    <col min="4867" max="4867" width="8.5703125" style="85" customWidth="1"/>
    <col min="4868" max="4869" width="21.140625" style="85" customWidth="1"/>
    <col min="4870" max="5120" width="9.140625" style="85"/>
    <col min="5121" max="5121" width="6.28515625" style="85" customWidth="1"/>
    <col min="5122" max="5122" width="45" style="85" customWidth="1"/>
    <col min="5123" max="5123" width="8.5703125" style="85" customWidth="1"/>
    <col min="5124" max="5125" width="21.140625" style="85" customWidth="1"/>
    <col min="5126" max="5376" width="9.140625" style="85"/>
    <col min="5377" max="5377" width="6.28515625" style="85" customWidth="1"/>
    <col min="5378" max="5378" width="45" style="85" customWidth="1"/>
    <col min="5379" max="5379" width="8.5703125" style="85" customWidth="1"/>
    <col min="5380" max="5381" width="21.140625" style="85" customWidth="1"/>
    <col min="5382" max="5632" width="9.140625" style="85"/>
    <col min="5633" max="5633" width="6.28515625" style="85" customWidth="1"/>
    <col min="5634" max="5634" width="45" style="85" customWidth="1"/>
    <col min="5635" max="5635" width="8.5703125" style="85" customWidth="1"/>
    <col min="5636" max="5637" width="21.140625" style="85" customWidth="1"/>
    <col min="5638" max="5888" width="9.140625" style="85"/>
    <col min="5889" max="5889" width="6.28515625" style="85" customWidth="1"/>
    <col min="5890" max="5890" width="45" style="85" customWidth="1"/>
    <col min="5891" max="5891" width="8.5703125" style="85" customWidth="1"/>
    <col min="5892" max="5893" width="21.140625" style="85" customWidth="1"/>
    <col min="5894" max="6144" width="9.140625" style="85"/>
    <col min="6145" max="6145" width="6.28515625" style="85" customWidth="1"/>
    <col min="6146" max="6146" width="45" style="85" customWidth="1"/>
    <col min="6147" max="6147" width="8.5703125" style="85" customWidth="1"/>
    <col min="6148" max="6149" width="21.140625" style="85" customWidth="1"/>
    <col min="6150" max="6400" width="9.140625" style="85"/>
    <col min="6401" max="6401" width="6.28515625" style="85" customWidth="1"/>
    <col min="6402" max="6402" width="45" style="85" customWidth="1"/>
    <col min="6403" max="6403" width="8.5703125" style="85" customWidth="1"/>
    <col min="6404" max="6405" width="21.140625" style="85" customWidth="1"/>
    <col min="6406" max="6656" width="9.140625" style="85"/>
    <col min="6657" max="6657" width="6.28515625" style="85" customWidth="1"/>
    <col min="6658" max="6658" width="45" style="85" customWidth="1"/>
    <col min="6659" max="6659" width="8.5703125" style="85" customWidth="1"/>
    <col min="6660" max="6661" width="21.140625" style="85" customWidth="1"/>
    <col min="6662" max="6912" width="9.140625" style="85"/>
    <col min="6913" max="6913" width="6.28515625" style="85" customWidth="1"/>
    <col min="6914" max="6914" width="45" style="85" customWidth="1"/>
    <col min="6915" max="6915" width="8.5703125" style="85" customWidth="1"/>
    <col min="6916" max="6917" width="21.140625" style="85" customWidth="1"/>
    <col min="6918" max="7168" width="9.140625" style="85"/>
    <col min="7169" max="7169" width="6.28515625" style="85" customWidth="1"/>
    <col min="7170" max="7170" width="45" style="85" customWidth="1"/>
    <col min="7171" max="7171" width="8.5703125" style="85" customWidth="1"/>
    <col min="7172" max="7173" width="21.140625" style="85" customWidth="1"/>
    <col min="7174" max="7424" width="9.140625" style="85"/>
    <col min="7425" max="7425" width="6.28515625" style="85" customWidth="1"/>
    <col min="7426" max="7426" width="45" style="85" customWidth="1"/>
    <col min="7427" max="7427" width="8.5703125" style="85" customWidth="1"/>
    <col min="7428" max="7429" width="21.140625" style="85" customWidth="1"/>
    <col min="7430" max="7680" width="9.140625" style="85"/>
    <col min="7681" max="7681" width="6.28515625" style="85" customWidth="1"/>
    <col min="7682" max="7682" width="45" style="85" customWidth="1"/>
    <col min="7683" max="7683" width="8.5703125" style="85" customWidth="1"/>
    <col min="7684" max="7685" width="21.140625" style="85" customWidth="1"/>
    <col min="7686" max="7936" width="9.140625" style="85"/>
    <col min="7937" max="7937" width="6.28515625" style="85" customWidth="1"/>
    <col min="7938" max="7938" width="45" style="85" customWidth="1"/>
    <col min="7939" max="7939" width="8.5703125" style="85" customWidth="1"/>
    <col min="7940" max="7941" width="21.140625" style="85" customWidth="1"/>
    <col min="7942" max="8192" width="9.140625" style="85"/>
    <col min="8193" max="8193" width="6.28515625" style="85" customWidth="1"/>
    <col min="8194" max="8194" width="45" style="85" customWidth="1"/>
    <col min="8195" max="8195" width="8.5703125" style="85" customWidth="1"/>
    <col min="8196" max="8197" width="21.140625" style="85" customWidth="1"/>
    <col min="8198" max="8448" width="9.140625" style="85"/>
    <col min="8449" max="8449" width="6.28515625" style="85" customWidth="1"/>
    <col min="8450" max="8450" width="45" style="85" customWidth="1"/>
    <col min="8451" max="8451" width="8.5703125" style="85" customWidth="1"/>
    <col min="8452" max="8453" width="21.140625" style="85" customWidth="1"/>
    <col min="8454" max="8704" width="9.140625" style="85"/>
    <col min="8705" max="8705" width="6.28515625" style="85" customWidth="1"/>
    <col min="8706" max="8706" width="45" style="85" customWidth="1"/>
    <col min="8707" max="8707" width="8.5703125" style="85" customWidth="1"/>
    <col min="8708" max="8709" width="21.140625" style="85" customWidth="1"/>
    <col min="8710" max="8960" width="9.140625" style="85"/>
    <col min="8961" max="8961" width="6.28515625" style="85" customWidth="1"/>
    <col min="8962" max="8962" width="45" style="85" customWidth="1"/>
    <col min="8963" max="8963" width="8.5703125" style="85" customWidth="1"/>
    <col min="8964" max="8965" width="21.140625" style="85" customWidth="1"/>
    <col min="8966" max="9216" width="9.140625" style="85"/>
    <col min="9217" max="9217" width="6.28515625" style="85" customWidth="1"/>
    <col min="9218" max="9218" width="45" style="85" customWidth="1"/>
    <col min="9219" max="9219" width="8.5703125" style="85" customWidth="1"/>
    <col min="9220" max="9221" width="21.140625" style="85" customWidth="1"/>
    <col min="9222" max="9472" width="9.140625" style="85"/>
    <col min="9473" max="9473" width="6.28515625" style="85" customWidth="1"/>
    <col min="9474" max="9474" width="45" style="85" customWidth="1"/>
    <col min="9475" max="9475" width="8.5703125" style="85" customWidth="1"/>
    <col min="9476" max="9477" width="21.140625" style="85" customWidth="1"/>
    <col min="9478" max="9728" width="9.140625" style="85"/>
    <col min="9729" max="9729" width="6.28515625" style="85" customWidth="1"/>
    <col min="9730" max="9730" width="45" style="85" customWidth="1"/>
    <col min="9731" max="9731" width="8.5703125" style="85" customWidth="1"/>
    <col min="9732" max="9733" width="21.140625" style="85" customWidth="1"/>
    <col min="9734" max="9984" width="9.140625" style="85"/>
    <col min="9985" max="9985" width="6.28515625" style="85" customWidth="1"/>
    <col min="9986" max="9986" width="45" style="85" customWidth="1"/>
    <col min="9987" max="9987" width="8.5703125" style="85" customWidth="1"/>
    <col min="9988" max="9989" width="21.140625" style="85" customWidth="1"/>
    <col min="9990" max="10240" width="9.140625" style="85"/>
    <col min="10241" max="10241" width="6.28515625" style="85" customWidth="1"/>
    <col min="10242" max="10242" width="45" style="85" customWidth="1"/>
    <col min="10243" max="10243" width="8.5703125" style="85" customWidth="1"/>
    <col min="10244" max="10245" width="21.140625" style="85" customWidth="1"/>
    <col min="10246" max="10496" width="9.140625" style="85"/>
    <col min="10497" max="10497" width="6.28515625" style="85" customWidth="1"/>
    <col min="10498" max="10498" width="45" style="85" customWidth="1"/>
    <col min="10499" max="10499" width="8.5703125" style="85" customWidth="1"/>
    <col min="10500" max="10501" width="21.140625" style="85" customWidth="1"/>
    <col min="10502" max="10752" width="9.140625" style="85"/>
    <col min="10753" max="10753" width="6.28515625" style="85" customWidth="1"/>
    <col min="10754" max="10754" width="45" style="85" customWidth="1"/>
    <col min="10755" max="10755" width="8.5703125" style="85" customWidth="1"/>
    <col min="10756" max="10757" width="21.140625" style="85" customWidth="1"/>
    <col min="10758" max="11008" width="9.140625" style="85"/>
    <col min="11009" max="11009" width="6.28515625" style="85" customWidth="1"/>
    <col min="11010" max="11010" width="45" style="85" customWidth="1"/>
    <col min="11011" max="11011" width="8.5703125" style="85" customWidth="1"/>
    <col min="11012" max="11013" width="21.140625" style="85" customWidth="1"/>
    <col min="11014" max="11264" width="9.140625" style="85"/>
    <col min="11265" max="11265" width="6.28515625" style="85" customWidth="1"/>
    <col min="11266" max="11266" width="45" style="85" customWidth="1"/>
    <col min="11267" max="11267" width="8.5703125" style="85" customWidth="1"/>
    <col min="11268" max="11269" width="21.140625" style="85" customWidth="1"/>
    <col min="11270" max="11520" width="9.140625" style="85"/>
    <col min="11521" max="11521" width="6.28515625" style="85" customWidth="1"/>
    <col min="11522" max="11522" width="45" style="85" customWidth="1"/>
    <col min="11523" max="11523" width="8.5703125" style="85" customWidth="1"/>
    <col min="11524" max="11525" width="21.140625" style="85" customWidth="1"/>
    <col min="11526" max="11776" width="9.140625" style="85"/>
    <col min="11777" max="11777" width="6.28515625" style="85" customWidth="1"/>
    <col min="11778" max="11778" width="45" style="85" customWidth="1"/>
    <col min="11779" max="11779" width="8.5703125" style="85" customWidth="1"/>
    <col min="11780" max="11781" width="21.140625" style="85" customWidth="1"/>
    <col min="11782" max="12032" width="9.140625" style="85"/>
    <col min="12033" max="12033" width="6.28515625" style="85" customWidth="1"/>
    <col min="12034" max="12034" width="45" style="85" customWidth="1"/>
    <col min="12035" max="12035" width="8.5703125" style="85" customWidth="1"/>
    <col min="12036" max="12037" width="21.140625" style="85" customWidth="1"/>
    <col min="12038" max="12288" width="9.140625" style="85"/>
    <col min="12289" max="12289" width="6.28515625" style="85" customWidth="1"/>
    <col min="12290" max="12290" width="45" style="85" customWidth="1"/>
    <col min="12291" max="12291" width="8.5703125" style="85" customWidth="1"/>
    <col min="12292" max="12293" width="21.140625" style="85" customWidth="1"/>
    <col min="12294" max="12544" width="9.140625" style="85"/>
    <col min="12545" max="12545" width="6.28515625" style="85" customWidth="1"/>
    <col min="12546" max="12546" width="45" style="85" customWidth="1"/>
    <col min="12547" max="12547" width="8.5703125" style="85" customWidth="1"/>
    <col min="12548" max="12549" width="21.140625" style="85" customWidth="1"/>
    <col min="12550" max="12800" width="9.140625" style="85"/>
    <col min="12801" max="12801" width="6.28515625" style="85" customWidth="1"/>
    <col min="12802" max="12802" width="45" style="85" customWidth="1"/>
    <col min="12803" max="12803" width="8.5703125" style="85" customWidth="1"/>
    <col min="12804" max="12805" width="21.140625" style="85" customWidth="1"/>
    <col min="12806" max="13056" width="9.140625" style="85"/>
    <col min="13057" max="13057" width="6.28515625" style="85" customWidth="1"/>
    <col min="13058" max="13058" width="45" style="85" customWidth="1"/>
    <col min="13059" max="13059" width="8.5703125" style="85" customWidth="1"/>
    <col min="13060" max="13061" width="21.140625" style="85" customWidth="1"/>
    <col min="13062" max="13312" width="9.140625" style="85"/>
    <col min="13313" max="13313" width="6.28515625" style="85" customWidth="1"/>
    <col min="13314" max="13314" width="45" style="85" customWidth="1"/>
    <col min="13315" max="13315" width="8.5703125" style="85" customWidth="1"/>
    <col min="13316" max="13317" width="21.140625" style="85" customWidth="1"/>
    <col min="13318" max="13568" width="9.140625" style="85"/>
    <col min="13569" max="13569" width="6.28515625" style="85" customWidth="1"/>
    <col min="13570" max="13570" width="45" style="85" customWidth="1"/>
    <col min="13571" max="13571" width="8.5703125" style="85" customWidth="1"/>
    <col min="13572" max="13573" width="21.140625" style="85" customWidth="1"/>
    <col min="13574" max="13824" width="9.140625" style="85"/>
    <col min="13825" max="13825" width="6.28515625" style="85" customWidth="1"/>
    <col min="13826" max="13826" width="45" style="85" customWidth="1"/>
    <col min="13827" max="13827" width="8.5703125" style="85" customWidth="1"/>
    <col min="13828" max="13829" width="21.140625" style="85" customWidth="1"/>
    <col min="13830" max="14080" width="9.140625" style="85"/>
    <col min="14081" max="14081" width="6.28515625" style="85" customWidth="1"/>
    <col min="14082" max="14082" width="45" style="85" customWidth="1"/>
    <col min="14083" max="14083" width="8.5703125" style="85" customWidth="1"/>
    <col min="14084" max="14085" width="21.140625" style="85" customWidth="1"/>
    <col min="14086" max="14336" width="9.140625" style="85"/>
    <col min="14337" max="14337" width="6.28515625" style="85" customWidth="1"/>
    <col min="14338" max="14338" width="45" style="85" customWidth="1"/>
    <col min="14339" max="14339" width="8.5703125" style="85" customWidth="1"/>
    <col min="14340" max="14341" width="21.140625" style="85" customWidth="1"/>
    <col min="14342" max="14592" width="9.140625" style="85"/>
    <col min="14593" max="14593" width="6.28515625" style="85" customWidth="1"/>
    <col min="14594" max="14594" width="45" style="85" customWidth="1"/>
    <col min="14595" max="14595" width="8.5703125" style="85" customWidth="1"/>
    <col min="14596" max="14597" width="21.140625" style="85" customWidth="1"/>
    <col min="14598" max="14848" width="9.140625" style="85"/>
    <col min="14849" max="14849" width="6.28515625" style="85" customWidth="1"/>
    <col min="14850" max="14850" width="45" style="85" customWidth="1"/>
    <col min="14851" max="14851" width="8.5703125" style="85" customWidth="1"/>
    <col min="14852" max="14853" width="21.140625" style="85" customWidth="1"/>
    <col min="14854" max="15104" width="9.140625" style="85"/>
    <col min="15105" max="15105" width="6.28515625" style="85" customWidth="1"/>
    <col min="15106" max="15106" width="45" style="85" customWidth="1"/>
    <col min="15107" max="15107" width="8.5703125" style="85" customWidth="1"/>
    <col min="15108" max="15109" width="21.140625" style="85" customWidth="1"/>
    <col min="15110" max="15360" width="9.140625" style="85"/>
    <col min="15361" max="15361" width="6.28515625" style="85" customWidth="1"/>
    <col min="15362" max="15362" width="45" style="85" customWidth="1"/>
    <col min="15363" max="15363" width="8.5703125" style="85" customWidth="1"/>
    <col min="15364" max="15365" width="21.140625" style="85" customWidth="1"/>
    <col min="15366" max="15616" width="9.140625" style="85"/>
    <col min="15617" max="15617" width="6.28515625" style="85" customWidth="1"/>
    <col min="15618" max="15618" width="45" style="85" customWidth="1"/>
    <col min="15619" max="15619" width="8.5703125" style="85" customWidth="1"/>
    <col min="15620" max="15621" width="21.140625" style="85" customWidth="1"/>
    <col min="15622" max="15872" width="9.140625" style="85"/>
    <col min="15873" max="15873" width="6.28515625" style="85" customWidth="1"/>
    <col min="15874" max="15874" width="45" style="85" customWidth="1"/>
    <col min="15875" max="15875" width="8.5703125" style="85" customWidth="1"/>
    <col min="15876" max="15877" width="21.140625" style="85" customWidth="1"/>
    <col min="15878" max="16128" width="9.140625" style="85"/>
    <col min="16129" max="16129" width="6.28515625" style="85" customWidth="1"/>
    <col min="16130" max="16130" width="45" style="85" customWidth="1"/>
    <col min="16131" max="16131" width="8.5703125" style="85" customWidth="1"/>
    <col min="16132" max="16133" width="21.140625" style="85" customWidth="1"/>
    <col min="16134" max="16384" width="9.140625" style="85"/>
  </cols>
  <sheetData>
    <row r="1" spans="1:5" ht="48" customHeight="1" x14ac:dyDescent="0.25">
      <c r="A1" s="86"/>
      <c r="B1" s="341" t="s">
        <v>956</v>
      </c>
      <c r="C1" s="341"/>
      <c r="D1" s="341"/>
      <c r="E1" s="341"/>
    </row>
    <row r="2" spans="1:5" ht="24" customHeight="1" x14ac:dyDescent="0.25">
      <c r="A2" s="337" t="s">
        <v>727</v>
      </c>
      <c r="B2" s="337"/>
      <c r="C2" s="337"/>
      <c r="D2" s="337"/>
      <c r="E2" s="337"/>
    </row>
    <row r="3" spans="1:5" ht="6" customHeight="1" x14ac:dyDescent="0.25">
      <c r="A3" s="86"/>
      <c r="B3" s="86"/>
      <c r="C3" s="86"/>
      <c r="D3" s="270"/>
      <c r="E3" s="270"/>
    </row>
    <row r="4" spans="1:5" ht="31.5" customHeight="1" x14ac:dyDescent="0.25">
      <c r="A4" s="342" t="s">
        <v>957</v>
      </c>
      <c r="B4" s="342"/>
      <c r="C4" s="342"/>
      <c r="D4" s="342"/>
      <c r="E4" s="342"/>
    </row>
    <row r="5" spans="1:5" ht="15.75" customHeight="1" x14ac:dyDescent="0.25">
      <c r="A5" s="271" t="s">
        <v>1070</v>
      </c>
      <c r="B5" s="271"/>
      <c r="C5" s="271"/>
      <c r="D5" s="271"/>
      <c r="E5" s="271"/>
    </row>
    <row r="6" spans="1:5" ht="3.75" customHeight="1" x14ac:dyDescent="0.25">
      <c r="A6" s="86"/>
      <c r="B6" s="86"/>
      <c r="C6" s="86"/>
      <c r="D6" s="270"/>
      <c r="E6" s="270"/>
    </row>
    <row r="7" spans="1:5" ht="15.75" customHeight="1" x14ac:dyDescent="0.25">
      <c r="A7" s="275" t="s">
        <v>958</v>
      </c>
      <c r="B7" s="275"/>
      <c r="C7" s="275" t="s">
        <v>96</v>
      </c>
      <c r="D7" s="275"/>
      <c r="E7" s="275"/>
    </row>
    <row r="8" spans="1:5" ht="15.75" customHeight="1" x14ac:dyDescent="0.25">
      <c r="A8" s="287" t="s">
        <v>4</v>
      </c>
      <c r="B8" s="287"/>
      <c r="C8" s="287" t="s">
        <v>5</v>
      </c>
      <c r="D8" s="287"/>
      <c r="E8" s="287"/>
    </row>
    <row r="9" spans="1:5" ht="15.75" customHeight="1" x14ac:dyDescent="0.25">
      <c r="A9" s="275" t="s">
        <v>288</v>
      </c>
      <c r="B9" s="275"/>
      <c r="C9" s="275" t="s">
        <v>99</v>
      </c>
      <c r="D9" s="275"/>
      <c r="E9" s="275"/>
    </row>
    <row r="10" spans="1:5" ht="15.75" customHeight="1" x14ac:dyDescent="0.25">
      <c r="A10" s="287" t="s">
        <v>959</v>
      </c>
      <c r="B10" s="287"/>
      <c r="C10" s="340" t="s">
        <v>100</v>
      </c>
      <c r="D10" s="340"/>
      <c r="E10" s="340"/>
    </row>
    <row r="11" spans="1:5" ht="15" customHeight="1" x14ac:dyDescent="0.25">
      <c r="A11" s="275" t="s">
        <v>960</v>
      </c>
      <c r="B11" s="275"/>
      <c r="C11" s="339">
        <v>44013</v>
      </c>
      <c r="D11" s="339"/>
      <c r="E11" s="339"/>
    </row>
    <row r="12" spans="1:5" ht="15.75" customHeight="1" x14ac:dyDescent="0.25">
      <c r="A12" s="287" t="s">
        <v>961</v>
      </c>
      <c r="B12" s="287"/>
      <c r="C12" s="292">
        <v>44013</v>
      </c>
      <c r="D12" s="292"/>
      <c r="E12" s="292"/>
    </row>
    <row r="13" spans="1:5" ht="15.75" customHeight="1" x14ac:dyDescent="0.25">
      <c r="A13" s="97"/>
      <c r="B13" s="97"/>
      <c r="C13" s="97"/>
      <c r="D13" s="291" t="s">
        <v>962</v>
      </c>
      <c r="E13" s="291"/>
    </row>
    <row r="14" spans="1:5" ht="37.5" customHeight="1" x14ac:dyDescent="0.25">
      <c r="A14" s="98" t="s">
        <v>963</v>
      </c>
      <c r="B14" s="99" t="s">
        <v>964</v>
      </c>
      <c r="C14" s="99" t="s">
        <v>965</v>
      </c>
      <c r="D14" s="99" t="s">
        <v>1071</v>
      </c>
      <c r="E14" s="100" t="s">
        <v>1057</v>
      </c>
    </row>
    <row r="15" spans="1:5" ht="36.75" customHeight="1" x14ac:dyDescent="0.25">
      <c r="A15" s="163" t="s">
        <v>68</v>
      </c>
      <c r="B15" s="164" t="s">
        <v>966</v>
      </c>
      <c r="C15" s="165" t="s">
        <v>967</v>
      </c>
      <c r="D15" s="166">
        <v>696131174678</v>
      </c>
      <c r="E15" s="167">
        <v>111106113893</v>
      </c>
    </row>
    <row r="16" spans="1:5" ht="44.25" customHeight="1" x14ac:dyDescent="0.25">
      <c r="A16" s="163" t="s">
        <v>73</v>
      </c>
      <c r="B16" s="164" t="s">
        <v>968</v>
      </c>
      <c r="C16" s="165" t="s">
        <v>969</v>
      </c>
      <c r="D16" s="166">
        <v>-88805729476</v>
      </c>
      <c r="E16" s="167">
        <v>8792897578</v>
      </c>
    </row>
    <row r="17" spans="1:6" x14ac:dyDescent="0.25">
      <c r="A17" s="168"/>
      <c r="B17" s="169" t="s">
        <v>970</v>
      </c>
      <c r="C17" s="170"/>
      <c r="D17" s="171">
        <v>0</v>
      </c>
      <c r="E17" s="172">
        <v>0</v>
      </c>
    </row>
    <row r="18" spans="1:6" ht="45.75" customHeight="1" x14ac:dyDescent="0.25">
      <c r="A18" s="168" t="s">
        <v>193</v>
      </c>
      <c r="B18" s="169" t="s">
        <v>971</v>
      </c>
      <c r="C18" s="170" t="s">
        <v>972</v>
      </c>
      <c r="D18" s="171">
        <v>-88805729476</v>
      </c>
      <c r="E18" s="172">
        <v>8792897578</v>
      </c>
    </row>
    <row r="19" spans="1:6" ht="47.25" customHeight="1" x14ac:dyDescent="0.25">
      <c r="A19" s="168" t="s">
        <v>196</v>
      </c>
      <c r="B19" s="169" t="s">
        <v>973</v>
      </c>
      <c r="C19" s="170" t="s">
        <v>974</v>
      </c>
      <c r="D19" s="171">
        <v>0</v>
      </c>
      <c r="E19" s="172">
        <v>0</v>
      </c>
    </row>
    <row r="20" spans="1:6" ht="57.75" customHeight="1" x14ac:dyDescent="0.25">
      <c r="A20" s="163" t="s">
        <v>81</v>
      </c>
      <c r="B20" s="164" t="s">
        <v>975</v>
      </c>
      <c r="C20" s="165" t="s">
        <v>976</v>
      </c>
      <c r="D20" s="166">
        <v>755162353976</v>
      </c>
      <c r="E20" s="167">
        <v>576232163207</v>
      </c>
    </row>
    <row r="21" spans="1:6" ht="36.75" customHeight="1" x14ac:dyDescent="0.25">
      <c r="A21" s="168" t="s">
        <v>977</v>
      </c>
      <c r="B21" s="169" t="s">
        <v>978</v>
      </c>
      <c r="C21" s="170" t="s">
        <v>979</v>
      </c>
      <c r="D21" s="171">
        <v>755162353976</v>
      </c>
      <c r="E21" s="172">
        <v>576232163207</v>
      </c>
    </row>
    <row r="22" spans="1:6" ht="36.75" customHeight="1" x14ac:dyDescent="0.25">
      <c r="A22" s="168" t="s">
        <v>980</v>
      </c>
      <c r="B22" s="169" t="s">
        <v>981</v>
      </c>
      <c r="C22" s="170" t="s">
        <v>982</v>
      </c>
      <c r="D22" s="171">
        <v>0</v>
      </c>
      <c r="E22" s="172">
        <v>0</v>
      </c>
    </row>
    <row r="23" spans="1:6" ht="36.75" customHeight="1" x14ac:dyDescent="0.25">
      <c r="A23" s="163" t="s">
        <v>51</v>
      </c>
      <c r="B23" s="164" t="s">
        <v>983</v>
      </c>
      <c r="C23" s="165" t="s">
        <v>984</v>
      </c>
      <c r="D23" s="166">
        <v>1362487799178</v>
      </c>
      <c r="E23" s="167">
        <v>696131174678</v>
      </c>
    </row>
    <row r="24" spans="1:6" ht="36.75" customHeight="1" x14ac:dyDescent="0.25">
      <c r="A24" s="229" t="s">
        <v>403</v>
      </c>
      <c r="B24" s="230" t="s">
        <v>985</v>
      </c>
      <c r="C24" s="231" t="s">
        <v>986</v>
      </c>
      <c r="D24" s="161">
        <v>11439.86</v>
      </c>
      <c r="E24" s="232">
        <v>12002.26</v>
      </c>
    </row>
    <row r="25" spans="1:6" ht="15.75" customHeight="1" x14ac:dyDescent="0.25">
      <c r="A25" s="270"/>
      <c r="B25" s="270"/>
      <c r="C25" s="270"/>
      <c r="D25" s="270"/>
      <c r="E25" s="86"/>
    </row>
    <row r="26" spans="1:6" ht="14.25" customHeight="1" x14ac:dyDescent="0.25">
      <c r="A26" s="338" t="s">
        <v>987</v>
      </c>
      <c r="B26" s="338"/>
      <c r="C26" s="338" t="s">
        <v>731</v>
      </c>
      <c r="D26" s="338"/>
      <c r="E26" s="125" t="s">
        <v>988</v>
      </c>
    </row>
    <row r="27" spans="1:6" ht="14.25" customHeight="1" x14ac:dyDescent="0.25">
      <c r="A27" s="330" t="s">
        <v>733</v>
      </c>
      <c r="B27" s="330"/>
      <c r="C27" s="295" t="s">
        <v>733</v>
      </c>
      <c r="D27" s="295"/>
      <c r="E27" s="126" t="s">
        <v>734</v>
      </c>
    </row>
    <row r="28" spans="1:6" ht="88.5" customHeight="1" x14ac:dyDescent="0.25">
      <c r="A28" s="126"/>
      <c r="B28" s="126"/>
      <c r="C28" s="151"/>
      <c r="D28" s="151"/>
      <c r="E28" s="126"/>
    </row>
    <row r="29" spans="1:6" s="188" customFormat="1" ht="17.25" customHeight="1" x14ac:dyDescent="0.25">
      <c r="A29" s="268" t="s">
        <v>1075</v>
      </c>
      <c r="B29" s="268"/>
      <c r="C29" s="338" t="s">
        <v>1091</v>
      </c>
      <c r="D29" s="338"/>
      <c r="E29" s="152" t="s">
        <v>1069</v>
      </c>
      <c r="F29" s="233"/>
    </row>
  </sheetData>
  <mergeCells count="27">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9:B29"/>
    <mergeCell ref="C29:D29"/>
    <mergeCell ref="D13:E13"/>
    <mergeCell ref="A25:B25"/>
    <mergeCell ref="C25:D25"/>
    <mergeCell ref="A26:B26"/>
    <mergeCell ref="C26:D26"/>
    <mergeCell ref="A27:B27"/>
    <mergeCell ref="C27:D27"/>
  </mergeCells>
  <printOptions horizontalCentered="1"/>
  <pageMargins left="0.45" right="0.45" top="0.75" bottom="0.75" header="0.3" footer="0.3"/>
  <pageSetup paperSize="9" scale="79"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showOutlineSymbols="0" view="pageBreakPreview" zoomScaleNormal="100" zoomScaleSheetLayoutView="100" workbookViewId="0">
      <selection activeCell="A50" sqref="A50:B50"/>
    </sheetView>
  </sheetViews>
  <sheetFormatPr defaultRowHeight="15" x14ac:dyDescent="0.25"/>
  <cols>
    <col min="1" max="1" width="6.28515625" style="85" customWidth="1"/>
    <col min="2" max="2" width="46.7109375" style="85" customWidth="1"/>
    <col min="3" max="3" width="8.5703125" style="85" customWidth="1"/>
    <col min="4" max="5" width="21.5703125" style="85" customWidth="1"/>
    <col min="6" max="256" width="9.140625" style="85"/>
    <col min="257" max="257" width="6.28515625" style="85" customWidth="1"/>
    <col min="258" max="258" width="45" style="85" customWidth="1"/>
    <col min="259" max="259" width="8.5703125" style="85" customWidth="1"/>
    <col min="260" max="261" width="21.140625" style="85" customWidth="1"/>
    <col min="262" max="512" width="9.140625" style="85"/>
    <col min="513" max="513" width="6.28515625" style="85" customWidth="1"/>
    <col min="514" max="514" width="45" style="85" customWidth="1"/>
    <col min="515" max="515" width="8.5703125" style="85" customWidth="1"/>
    <col min="516" max="517" width="21.140625" style="85" customWidth="1"/>
    <col min="518" max="768" width="9.140625" style="85"/>
    <col min="769" max="769" width="6.28515625" style="85" customWidth="1"/>
    <col min="770" max="770" width="45" style="85" customWidth="1"/>
    <col min="771" max="771" width="8.5703125" style="85" customWidth="1"/>
    <col min="772" max="773" width="21.140625" style="85" customWidth="1"/>
    <col min="774" max="1024" width="9.140625" style="85"/>
    <col min="1025" max="1025" width="6.28515625" style="85" customWidth="1"/>
    <col min="1026" max="1026" width="45" style="85" customWidth="1"/>
    <col min="1027" max="1027" width="8.5703125" style="85" customWidth="1"/>
    <col min="1028" max="1029" width="21.140625" style="85" customWidth="1"/>
    <col min="1030" max="1280" width="9.140625" style="85"/>
    <col min="1281" max="1281" width="6.28515625" style="85" customWidth="1"/>
    <col min="1282" max="1282" width="45" style="85" customWidth="1"/>
    <col min="1283" max="1283" width="8.5703125" style="85" customWidth="1"/>
    <col min="1284" max="1285" width="21.140625" style="85" customWidth="1"/>
    <col min="1286" max="1536" width="9.140625" style="85"/>
    <col min="1537" max="1537" width="6.28515625" style="85" customWidth="1"/>
    <col min="1538" max="1538" width="45" style="85" customWidth="1"/>
    <col min="1539" max="1539" width="8.5703125" style="85" customWidth="1"/>
    <col min="1540" max="1541" width="21.140625" style="85" customWidth="1"/>
    <col min="1542" max="1792" width="9.140625" style="85"/>
    <col min="1793" max="1793" width="6.28515625" style="85" customWidth="1"/>
    <col min="1794" max="1794" width="45" style="85" customWidth="1"/>
    <col min="1795" max="1795" width="8.5703125" style="85" customWidth="1"/>
    <col min="1796" max="1797" width="21.140625" style="85" customWidth="1"/>
    <col min="1798" max="2048" width="9.140625" style="85"/>
    <col min="2049" max="2049" width="6.28515625" style="85" customWidth="1"/>
    <col min="2050" max="2050" width="45" style="85" customWidth="1"/>
    <col min="2051" max="2051" width="8.5703125" style="85" customWidth="1"/>
    <col min="2052" max="2053" width="21.140625" style="85" customWidth="1"/>
    <col min="2054" max="2304" width="9.140625" style="85"/>
    <col min="2305" max="2305" width="6.28515625" style="85" customWidth="1"/>
    <col min="2306" max="2306" width="45" style="85" customWidth="1"/>
    <col min="2307" max="2307" width="8.5703125" style="85" customWidth="1"/>
    <col min="2308" max="2309" width="21.140625" style="85" customWidth="1"/>
    <col min="2310" max="2560" width="9.140625" style="85"/>
    <col min="2561" max="2561" width="6.28515625" style="85" customWidth="1"/>
    <col min="2562" max="2562" width="45" style="85" customWidth="1"/>
    <col min="2563" max="2563" width="8.5703125" style="85" customWidth="1"/>
    <col min="2564" max="2565" width="21.140625" style="85" customWidth="1"/>
    <col min="2566" max="2816" width="9.140625" style="85"/>
    <col min="2817" max="2817" width="6.28515625" style="85" customWidth="1"/>
    <col min="2818" max="2818" width="45" style="85" customWidth="1"/>
    <col min="2819" max="2819" width="8.5703125" style="85" customWidth="1"/>
    <col min="2820" max="2821" width="21.140625" style="85" customWidth="1"/>
    <col min="2822" max="3072" width="9.140625" style="85"/>
    <col min="3073" max="3073" width="6.28515625" style="85" customWidth="1"/>
    <col min="3074" max="3074" width="45" style="85" customWidth="1"/>
    <col min="3075" max="3075" width="8.5703125" style="85" customWidth="1"/>
    <col min="3076" max="3077" width="21.140625" style="85" customWidth="1"/>
    <col min="3078" max="3328" width="9.140625" style="85"/>
    <col min="3329" max="3329" width="6.28515625" style="85" customWidth="1"/>
    <col min="3330" max="3330" width="45" style="85" customWidth="1"/>
    <col min="3331" max="3331" width="8.5703125" style="85" customWidth="1"/>
    <col min="3332" max="3333" width="21.140625" style="85" customWidth="1"/>
    <col min="3334" max="3584" width="9.140625" style="85"/>
    <col min="3585" max="3585" width="6.28515625" style="85" customWidth="1"/>
    <col min="3586" max="3586" width="45" style="85" customWidth="1"/>
    <col min="3587" max="3587" width="8.5703125" style="85" customWidth="1"/>
    <col min="3588" max="3589" width="21.140625" style="85" customWidth="1"/>
    <col min="3590" max="3840" width="9.140625" style="85"/>
    <col min="3841" max="3841" width="6.28515625" style="85" customWidth="1"/>
    <col min="3842" max="3842" width="45" style="85" customWidth="1"/>
    <col min="3843" max="3843" width="8.5703125" style="85" customWidth="1"/>
    <col min="3844" max="3845" width="21.140625" style="85" customWidth="1"/>
    <col min="3846" max="4096" width="9.140625" style="85"/>
    <col min="4097" max="4097" width="6.28515625" style="85" customWidth="1"/>
    <col min="4098" max="4098" width="45" style="85" customWidth="1"/>
    <col min="4099" max="4099" width="8.5703125" style="85" customWidth="1"/>
    <col min="4100" max="4101" width="21.140625" style="85" customWidth="1"/>
    <col min="4102" max="4352" width="9.140625" style="85"/>
    <col min="4353" max="4353" width="6.28515625" style="85" customWidth="1"/>
    <col min="4354" max="4354" width="45" style="85" customWidth="1"/>
    <col min="4355" max="4355" width="8.5703125" style="85" customWidth="1"/>
    <col min="4356" max="4357" width="21.140625" style="85" customWidth="1"/>
    <col min="4358" max="4608" width="9.140625" style="85"/>
    <col min="4609" max="4609" width="6.28515625" style="85" customWidth="1"/>
    <col min="4610" max="4610" width="45" style="85" customWidth="1"/>
    <col min="4611" max="4611" width="8.5703125" style="85" customWidth="1"/>
    <col min="4612" max="4613" width="21.140625" style="85" customWidth="1"/>
    <col min="4614" max="4864" width="9.140625" style="85"/>
    <col min="4865" max="4865" width="6.28515625" style="85" customWidth="1"/>
    <col min="4866" max="4866" width="45" style="85" customWidth="1"/>
    <col min="4867" max="4867" width="8.5703125" style="85" customWidth="1"/>
    <col min="4868" max="4869" width="21.140625" style="85" customWidth="1"/>
    <col min="4870" max="5120" width="9.140625" style="85"/>
    <col min="5121" max="5121" width="6.28515625" style="85" customWidth="1"/>
    <col min="5122" max="5122" width="45" style="85" customWidth="1"/>
    <col min="5123" max="5123" width="8.5703125" style="85" customWidth="1"/>
    <col min="5124" max="5125" width="21.140625" style="85" customWidth="1"/>
    <col min="5126" max="5376" width="9.140625" style="85"/>
    <col min="5377" max="5377" width="6.28515625" style="85" customWidth="1"/>
    <col min="5378" max="5378" width="45" style="85" customWidth="1"/>
    <col min="5379" max="5379" width="8.5703125" style="85" customWidth="1"/>
    <col min="5380" max="5381" width="21.140625" style="85" customWidth="1"/>
    <col min="5382" max="5632" width="9.140625" style="85"/>
    <col min="5633" max="5633" width="6.28515625" style="85" customWidth="1"/>
    <col min="5634" max="5634" width="45" style="85" customWidth="1"/>
    <col min="5635" max="5635" width="8.5703125" style="85" customWidth="1"/>
    <col min="5636" max="5637" width="21.140625" style="85" customWidth="1"/>
    <col min="5638" max="5888" width="9.140625" style="85"/>
    <col min="5889" max="5889" width="6.28515625" style="85" customWidth="1"/>
    <col min="5890" max="5890" width="45" style="85" customWidth="1"/>
    <col min="5891" max="5891" width="8.5703125" style="85" customWidth="1"/>
    <col min="5892" max="5893" width="21.140625" style="85" customWidth="1"/>
    <col min="5894" max="6144" width="9.140625" style="85"/>
    <col min="6145" max="6145" width="6.28515625" style="85" customWidth="1"/>
    <col min="6146" max="6146" width="45" style="85" customWidth="1"/>
    <col min="6147" max="6147" width="8.5703125" style="85" customWidth="1"/>
    <col min="6148" max="6149" width="21.140625" style="85" customWidth="1"/>
    <col min="6150" max="6400" width="9.140625" style="85"/>
    <col min="6401" max="6401" width="6.28515625" style="85" customWidth="1"/>
    <col min="6402" max="6402" width="45" style="85" customWidth="1"/>
    <col min="6403" max="6403" width="8.5703125" style="85" customWidth="1"/>
    <col min="6404" max="6405" width="21.140625" style="85" customWidth="1"/>
    <col min="6406" max="6656" width="9.140625" style="85"/>
    <col min="6657" max="6657" width="6.28515625" style="85" customWidth="1"/>
    <col min="6658" max="6658" width="45" style="85" customWidth="1"/>
    <col min="6659" max="6659" width="8.5703125" style="85" customWidth="1"/>
    <col min="6660" max="6661" width="21.140625" style="85" customWidth="1"/>
    <col min="6662" max="6912" width="9.140625" style="85"/>
    <col min="6913" max="6913" width="6.28515625" style="85" customWidth="1"/>
    <col min="6914" max="6914" width="45" style="85" customWidth="1"/>
    <col min="6915" max="6915" width="8.5703125" style="85" customWidth="1"/>
    <col min="6916" max="6917" width="21.140625" style="85" customWidth="1"/>
    <col min="6918" max="7168" width="9.140625" style="85"/>
    <col min="7169" max="7169" width="6.28515625" style="85" customWidth="1"/>
    <col min="7170" max="7170" width="45" style="85" customWidth="1"/>
    <col min="7171" max="7171" width="8.5703125" style="85" customWidth="1"/>
    <col min="7172" max="7173" width="21.140625" style="85" customWidth="1"/>
    <col min="7174" max="7424" width="9.140625" style="85"/>
    <col min="7425" max="7425" width="6.28515625" style="85" customWidth="1"/>
    <col min="7426" max="7426" width="45" style="85" customWidth="1"/>
    <col min="7427" max="7427" width="8.5703125" style="85" customWidth="1"/>
    <col min="7428" max="7429" width="21.140625" style="85" customWidth="1"/>
    <col min="7430" max="7680" width="9.140625" style="85"/>
    <col min="7681" max="7681" width="6.28515625" style="85" customWidth="1"/>
    <col min="7682" max="7682" width="45" style="85" customWidth="1"/>
    <col min="7683" max="7683" width="8.5703125" style="85" customWidth="1"/>
    <col min="7684" max="7685" width="21.140625" style="85" customWidth="1"/>
    <col min="7686" max="7936" width="9.140625" style="85"/>
    <col min="7937" max="7937" width="6.28515625" style="85" customWidth="1"/>
    <col min="7938" max="7938" width="45" style="85" customWidth="1"/>
    <col min="7939" max="7939" width="8.5703125" style="85" customWidth="1"/>
    <col min="7940" max="7941" width="21.140625" style="85" customWidth="1"/>
    <col min="7942" max="8192" width="9.140625" style="85"/>
    <col min="8193" max="8193" width="6.28515625" style="85" customWidth="1"/>
    <col min="8194" max="8194" width="45" style="85" customWidth="1"/>
    <col min="8195" max="8195" width="8.5703125" style="85" customWidth="1"/>
    <col min="8196" max="8197" width="21.140625" style="85" customWidth="1"/>
    <col min="8198" max="8448" width="9.140625" style="85"/>
    <col min="8449" max="8449" width="6.28515625" style="85" customWidth="1"/>
    <col min="8450" max="8450" width="45" style="85" customWidth="1"/>
    <col min="8451" max="8451" width="8.5703125" style="85" customWidth="1"/>
    <col min="8452" max="8453" width="21.140625" style="85" customWidth="1"/>
    <col min="8454" max="8704" width="9.140625" style="85"/>
    <col min="8705" max="8705" width="6.28515625" style="85" customWidth="1"/>
    <col min="8706" max="8706" width="45" style="85" customWidth="1"/>
    <col min="8707" max="8707" width="8.5703125" style="85" customWidth="1"/>
    <col min="8708" max="8709" width="21.140625" style="85" customWidth="1"/>
    <col min="8710" max="8960" width="9.140625" style="85"/>
    <col min="8961" max="8961" width="6.28515625" style="85" customWidth="1"/>
    <col min="8962" max="8962" width="45" style="85" customWidth="1"/>
    <col min="8963" max="8963" width="8.5703125" style="85" customWidth="1"/>
    <col min="8964" max="8965" width="21.140625" style="85" customWidth="1"/>
    <col min="8966" max="9216" width="9.140625" style="85"/>
    <col min="9217" max="9217" width="6.28515625" style="85" customWidth="1"/>
    <col min="9218" max="9218" width="45" style="85" customWidth="1"/>
    <col min="9219" max="9219" width="8.5703125" style="85" customWidth="1"/>
    <col min="9220" max="9221" width="21.140625" style="85" customWidth="1"/>
    <col min="9222" max="9472" width="9.140625" style="85"/>
    <col min="9473" max="9473" width="6.28515625" style="85" customWidth="1"/>
    <col min="9474" max="9474" width="45" style="85" customWidth="1"/>
    <col min="9475" max="9475" width="8.5703125" style="85" customWidth="1"/>
    <col min="9476" max="9477" width="21.140625" style="85" customWidth="1"/>
    <col min="9478" max="9728" width="9.140625" style="85"/>
    <col min="9729" max="9729" width="6.28515625" style="85" customWidth="1"/>
    <col min="9730" max="9730" width="45" style="85" customWidth="1"/>
    <col min="9731" max="9731" width="8.5703125" style="85" customWidth="1"/>
    <col min="9732" max="9733" width="21.140625" style="85" customWidth="1"/>
    <col min="9734" max="9984" width="9.140625" style="85"/>
    <col min="9985" max="9985" width="6.28515625" style="85" customWidth="1"/>
    <col min="9986" max="9986" width="45" style="85" customWidth="1"/>
    <col min="9987" max="9987" width="8.5703125" style="85" customWidth="1"/>
    <col min="9988" max="9989" width="21.140625" style="85" customWidth="1"/>
    <col min="9990" max="10240" width="9.140625" style="85"/>
    <col min="10241" max="10241" width="6.28515625" style="85" customWidth="1"/>
    <col min="10242" max="10242" width="45" style="85" customWidth="1"/>
    <col min="10243" max="10243" width="8.5703125" style="85" customWidth="1"/>
    <col min="10244" max="10245" width="21.140625" style="85" customWidth="1"/>
    <col min="10246" max="10496" width="9.140625" style="85"/>
    <col min="10497" max="10497" width="6.28515625" style="85" customWidth="1"/>
    <col min="10498" max="10498" width="45" style="85" customWidth="1"/>
    <col min="10499" max="10499" width="8.5703125" style="85" customWidth="1"/>
    <col min="10500" max="10501" width="21.140625" style="85" customWidth="1"/>
    <col min="10502" max="10752" width="9.140625" style="85"/>
    <col min="10753" max="10753" width="6.28515625" style="85" customWidth="1"/>
    <col min="10754" max="10754" width="45" style="85" customWidth="1"/>
    <col min="10755" max="10755" width="8.5703125" style="85" customWidth="1"/>
    <col min="10756" max="10757" width="21.140625" style="85" customWidth="1"/>
    <col min="10758" max="11008" width="9.140625" style="85"/>
    <col min="11009" max="11009" width="6.28515625" style="85" customWidth="1"/>
    <col min="11010" max="11010" width="45" style="85" customWidth="1"/>
    <col min="11011" max="11011" width="8.5703125" style="85" customWidth="1"/>
    <col min="11012" max="11013" width="21.140625" style="85" customWidth="1"/>
    <col min="11014" max="11264" width="9.140625" style="85"/>
    <col min="11265" max="11265" width="6.28515625" style="85" customWidth="1"/>
    <col min="11266" max="11266" width="45" style="85" customWidth="1"/>
    <col min="11267" max="11267" width="8.5703125" style="85" customWidth="1"/>
    <col min="11268" max="11269" width="21.140625" style="85" customWidth="1"/>
    <col min="11270" max="11520" width="9.140625" style="85"/>
    <col min="11521" max="11521" width="6.28515625" style="85" customWidth="1"/>
    <col min="11522" max="11522" width="45" style="85" customWidth="1"/>
    <col min="11523" max="11523" width="8.5703125" style="85" customWidth="1"/>
    <col min="11524" max="11525" width="21.140625" style="85" customWidth="1"/>
    <col min="11526" max="11776" width="9.140625" style="85"/>
    <col min="11777" max="11777" width="6.28515625" style="85" customWidth="1"/>
    <col min="11778" max="11778" width="45" style="85" customWidth="1"/>
    <col min="11779" max="11779" width="8.5703125" style="85" customWidth="1"/>
    <col min="11780" max="11781" width="21.140625" style="85" customWidth="1"/>
    <col min="11782" max="12032" width="9.140625" style="85"/>
    <col min="12033" max="12033" width="6.28515625" style="85" customWidth="1"/>
    <col min="12034" max="12034" width="45" style="85" customWidth="1"/>
    <col min="12035" max="12035" width="8.5703125" style="85" customWidth="1"/>
    <col min="12036" max="12037" width="21.140625" style="85" customWidth="1"/>
    <col min="12038" max="12288" width="9.140625" style="85"/>
    <col min="12289" max="12289" width="6.28515625" style="85" customWidth="1"/>
    <col min="12290" max="12290" width="45" style="85" customWidth="1"/>
    <col min="12291" max="12291" width="8.5703125" style="85" customWidth="1"/>
    <col min="12292" max="12293" width="21.140625" style="85" customWidth="1"/>
    <col min="12294" max="12544" width="9.140625" style="85"/>
    <col min="12545" max="12545" width="6.28515625" style="85" customWidth="1"/>
    <col min="12546" max="12546" width="45" style="85" customWidth="1"/>
    <col min="12547" max="12547" width="8.5703125" style="85" customWidth="1"/>
    <col min="12548" max="12549" width="21.140625" style="85" customWidth="1"/>
    <col min="12550" max="12800" width="9.140625" style="85"/>
    <col min="12801" max="12801" width="6.28515625" style="85" customWidth="1"/>
    <col min="12802" max="12802" width="45" style="85" customWidth="1"/>
    <col min="12803" max="12803" width="8.5703125" style="85" customWidth="1"/>
    <col min="12804" max="12805" width="21.140625" style="85" customWidth="1"/>
    <col min="12806" max="13056" width="9.140625" style="85"/>
    <col min="13057" max="13057" width="6.28515625" style="85" customWidth="1"/>
    <col min="13058" max="13058" width="45" style="85" customWidth="1"/>
    <col min="13059" max="13059" width="8.5703125" style="85" customWidth="1"/>
    <col min="13060" max="13061" width="21.140625" style="85" customWidth="1"/>
    <col min="13062" max="13312" width="9.140625" style="85"/>
    <col min="13313" max="13313" width="6.28515625" style="85" customWidth="1"/>
    <col min="13314" max="13314" width="45" style="85" customWidth="1"/>
    <col min="13315" max="13315" width="8.5703125" style="85" customWidth="1"/>
    <col min="13316" max="13317" width="21.140625" style="85" customWidth="1"/>
    <col min="13318" max="13568" width="9.140625" style="85"/>
    <col min="13569" max="13569" width="6.28515625" style="85" customWidth="1"/>
    <col min="13570" max="13570" width="45" style="85" customWidth="1"/>
    <col min="13571" max="13571" width="8.5703125" style="85" customWidth="1"/>
    <col min="13572" max="13573" width="21.140625" style="85" customWidth="1"/>
    <col min="13574" max="13824" width="9.140625" style="85"/>
    <col min="13825" max="13825" width="6.28515625" style="85" customWidth="1"/>
    <col min="13826" max="13826" width="45" style="85" customWidth="1"/>
    <col min="13827" max="13827" width="8.5703125" style="85" customWidth="1"/>
    <col min="13828" max="13829" width="21.140625" style="85" customWidth="1"/>
    <col min="13830" max="14080" width="9.140625" style="85"/>
    <col min="14081" max="14081" width="6.28515625" style="85" customWidth="1"/>
    <col min="14082" max="14082" width="45" style="85" customWidth="1"/>
    <col min="14083" max="14083" width="8.5703125" style="85" customWidth="1"/>
    <col min="14084" max="14085" width="21.140625" style="85" customWidth="1"/>
    <col min="14086" max="14336" width="9.140625" style="85"/>
    <col min="14337" max="14337" width="6.28515625" style="85" customWidth="1"/>
    <col min="14338" max="14338" width="45" style="85" customWidth="1"/>
    <col min="14339" max="14339" width="8.5703125" style="85" customWidth="1"/>
    <col min="14340" max="14341" width="21.140625" style="85" customWidth="1"/>
    <col min="14342" max="14592" width="9.140625" style="85"/>
    <col min="14593" max="14593" width="6.28515625" style="85" customWidth="1"/>
    <col min="14594" max="14594" width="45" style="85" customWidth="1"/>
    <col min="14595" max="14595" width="8.5703125" style="85" customWidth="1"/>
    <col min="14596" max="14597" width="21.140625" style="85" customWidth="1"/>
    <col min="14598" max="14848" width="9.140625" style="85"/>
    <col min="14849" max="14849" width="6.28515625" style="85" customWidth="1"/>
    <col min="14850" max="14850" width="45" style="85" customWidth="1"/>
    <col min="14851" max="14851" width="8.5703125" style="85" customWidth="1"/>
    <col min="14852" max="14853" width="21.140625" style="85" customWidth="1"/>
    <col min="14854" max="15104" width="9.140625" style="85"/>
    <col min="15105" max="15105" width="6.28515625" style="85" customWidth="1"/>
    <col min="15106" max="15106" width="45" style="85" customWidth="1"/>
    <col min="15107" max="15107" width="8.5703125" style="85" customWidth="1"/>
    <col min="15108" max="15109" width="21.140625" style="85" customWidth="1"/>
    <col min="15110" max="15360" width="9.140625" style="85"/>
    <col min="15361" max="15361" width="6.28515625" style="85" customWidth="1"/>
    <col min="15362" max="15362" width="45" style="85" customWidth="1"/>
    <col min="15363" max="15363" width="8.5703125" style="85" customWidth="1"/>
    <col min="15364" max="15365" width="21.140625" style="85" customWidth="1"/>
    <col min="15366" max="15616" width="9.140625" style="85"/>
    <col min="15617" max="15617" width="6.28515625" style="85" customWidth="1"/>
    <col min="15618" max="15618" width="45" style="85" customWidth="1"/>
    <col min="15619" max="15619" width="8.5703125" style="85" customWidth="1"/>
    <col min="15620" max="15621" width="21.140625" style="85" customWidth="1"/>
    <col min="15622" max="15872" width="9.140625" style="85"/>
    <col min="15873" max="15873" width="6.28515625" style="85" customWidth="1"/>
    <col min="15874" max="15874" width="45" style="85" customWidth="1"/>
    <col min="15875" max="15875" width="8.5703125" style="85" customWidth="1"/>
    <col min="15876" max="15877" width="21.140625" style="85" customWidth="1"/>
    <col min="15878" max="16128" width="9.140625" style="85"/>
    <col min="16129" max="16129" width="6.28515625" style="85" customWidth="1"/>
    <col min="16130" max="16130" width="45" style="85" customWidth="1"/>
    <col min="16131" max="16131" width="8.5703125" style="85" customWidth="1"/>
    <col min="16132" max="16133" width="21.140625" style="85" customWidth="1"/>
    <col min="16134" max="16384" width="9.140625" style="85"/>
  </cols>
  <sheetData>
    <row r="1" spans="1:5" ht="48.75" customHeight="1" x14ac:dyDescent="0.25">
      <c r="A1" s="343"/>
      <c r="B1" s="343"/>
      <c r="C1" s="279" t="s">
        <v>1076</v>
      </c>
      <c r="D1" s="279"/>
      <c r="E1" s="279"/>
    </row>
    <row r="2" spans="1:5" ht="12" customHeight="1" x14ac:dyDescent="0.25">
      <c r="A2" s="293" t="s">
        <v>1077</v>
      </c>
      <c r="B2" s="293"/>
      <c r="C2" s="293"/>
      <c r="D2" s="293"/>
      <c r="E2" s="293"/>
    </row>
    <row r="3" spans="1:5" ht="11.25" customHeight="1" x14ac:dyDescent="0.25">
      <c r="A3" s="293" t="s">
        <v>1078</v>
      </c>
      <c r="B3" s="293"/>
      <c r="C3" s="293"/>
      <c r="D3" s="293"/>
      <c r="E3" s="293"/>
    </row>
    <row r="4" spans="1:5" ht="29.25" customHeight="1" x14ac:dyDescent="0.25">
      <c r="A4" s="342" t="s">
        <v>989</v>
      </c>
      <c r="B4" s="342"/>
      <c r="C4" s="342"/>
      <c r="D4" s="342"/>
      <c r="E4" s="342"/>
    </row>
    <row r="5" spans="1:5" ht="12" customHeight="1" x14ac:dyDescent="0.25">
      <c r="A5" s="345" t="s">
        <v>1070</v>
      </c>
      <c r="B5" s="345"/>
      <c r="C5" s="345"/>
      <c r="D5" s="345"/>
      <c r="E5" s="345"/>
    </row>
    <row r="6" spans="1:5" ht="6.75" customHeight="1" x14ac:dyDescent="0.25">
      <c r="A6" s="86"/>
      <c r="B6" s="346"/>
      <c r="C6" s="346"/>
      <c r="D6" s="346"/>
      <c r="E6" s="346"/>
    </row>
    <row r="7" spans="1:5" ht="12.75" customHeight="1" x14ac:dyDescent="0.25">
      <c r="A7" s="87" t="s">
        <v>94</v>
      </c>
      <c r="B7" s="114" t="s">
        <v>958</v>
      </c>
      <c r="C7" s="347" t="s">
        <v>96</v>
      </c>
      <c r="D7" s="347"/>
      <c r="E7" s="347"/>
    </row>
    <row r="8" spans="1:5" ht="12.75" customHeight="1" x14ac:dyDescent="0.25">
      <c r="A8" s="86"/>
      <c r="B8" s="92" t="s">
        <v>990</v>
      </c>
      <c r="C8" s="285" t="s">
        <v>5</v>
      </c>
      <c r="D8" s="285"/>
      <c r="E8" s="285"/>
    </row>
    <row r="9" spans="1:5" ht="12.75" customHeight="1" x14ac:dyDescent="0.25">
      <c r="A9" s="87" t="s">
        <v>97</v>
      </c>
      <c r="B9" s="114" t="s">
        <v>288</v>
      </c>
      <c r="C9" s="347" t="s">
        <v>99</v>
      </c>
      <c r="D9" s="347"/>
      <c r="E9" s="347"/>
    </row>
    <row r="10" spans="1:5" ht="12.75" customHeight="1" x14ac:dyDescent="0.25">
      <c r="A10" s="86"/>
      <c r="B10" s="92" t="s">
        <v>991</v>
      </c>
      <c r="C10" s="285" t="s">
        <v>100</v>
      </c>
      <c r="D10" s="285"/>
      <c r="E10" s="285"/>
    </row>
    <row r="11" spans="1:5" ht="12.75" customHeight="1" x14ac:dyDescent="0.25">
      <c r="A11" s="87" t="s">
        <v>78</v>
      </c>
      <c r="B11" s="89" t="s">
        <v>992</v>
      </c>
      <c r="C11" s="283" t="s">
        <v>101</v>
      </c>
      <c r="D11" s="283"/>
      <c r="E11" s="283"/>
    </row>
    <row r="12" spans="1:5" ht="12.75" customHeight="1" x14ac:dyDescent="0.25">
      <c r="A12" s="86"/>
      <c r="B12" s="92" t="s">
        <v>12</v>
      </c>
      <c r="C12" s="285" t="s">
        <v>102</v>
      </c>
      <c r="D12" s="285"/>
      <c r="E12" s="285"/>
    </row>
    <row r="13" spans="1:5" ht="12.75" customHeight="1" x14ac:dyDescent="0.25">
      <c r="A13" s="87" t="s">
        <v>84</v>
      </c>
      <c r="B13" s="89" t="s">
        <v>1079</v>
      </c>
      <c r="C13" s="283" t="s">
        <v>1080</v>
      </c>
      <c r="D13" s="283"/>
      <c r="E13" s="86"/>
    </row>
    <row r="14" spans="1:5" ht="12.75" customHeight="1" x14ac:dyDescent="0.25">
      <c r="A14" s="86"/>
      <c r="B14" s="92" t="s">
        <v>1081</v>
      </c>
      <c r="C14" s="285" t="s">
        <v>1080</v>
      </c>
      <c r="D14" s="285"/>
      <c r="E14" s="86"/>
    </row>
    <row r="15" spans="1:5" ht="12.75" customHeight="1" x14ac:dyDescent="0.25">
      <c r="A15" s="87" t="s">
        <v>341</v>
      </c>
      <c r="B15" s="89" t="s">
        <v>14</v>
      </c>
      <c r="C15" s="283" t="s">
        <v>1082</v>
      </c>
      <c r="D15" s="283"/>
      <c r="E15" s="283"/>
    </row>
    <row r="16" spans="1:5" ht="12.75" customHeight="1" x14ac:dyDescent="0.25">
      <c r="A16" s="86"/>
      <c r="B16" s="92" t="s">
        <v>15</v>
      </c>
      <c r="C16" s="285" t="s">
        <v>1083</v>
      </c>
      <c r="D16" s="285"/>
      <c r="E16" s="285"/>
    </row>
    <row r="17" spans="1:5" ht="12.75" customHeight="1" x14ac:dyDescent="0.25">
      <c r="A17" s="97"/>
      <c r="B17" s="97"/>
      <c r="C17" s="344" t="s">
        <v>1084</v>
      </c>
      <c r="D17" s="344"/>
      <c r="E17" s="344"/>
    </row>
    <row r="18" spans="1:5" ht="30.75" customHeight="1" x14ac:dyDescent="0.25">
      <c r="A18" s="98" t="s">
        <v>993</v>
      </c>
      <c r="B18" s="99" t="s">
        <v>994</v>
      </c>
      <c r="C18" s="99" t="s">
        <v>1085</v>
      </c>
      <c r="D18" s="99" t="s">
        <v>1086</v>
      </c>
      <c r="E18" s="100" t="s">
        <v>1087</v>
      </c>
    </row>
    <row r="19" spans="1:5" ht="15" customHeight="1" x14ac:dyDescent="0.25">
      <c r="A19" s="127" t="s">
        <v>24</v>
      </c>
      <c r="B19" s="128" t="s">
        <v>995</v>
      </c>
      <c r="C19" s="117" t="s">
        <v>996</v>
      </c>
      <c r="D19" s="129">
        <v>0</v>
      </c>
      <c r="E19" s="130">
        <v>0</v>
      </c>
    </row>
    <row r="20" spans="1:5" ht="15" customHeight="1" x14ac:dyDescent="0.25">
      <c r="A20" s="127" t="s">
        <v>997</v>
      </c>
      <c r="B20" s="128" t="s">
        <v>998</v>
      </c>
      <c r="C20" s="117" t="s">
        <v>999</v>
      </c>
      <c r="D20" s="129">
        <v>0</v>
      </c>
      <c r="E20" s="130">
        <v>0</v>
      </c>
    </row>
    <row r="21" spans="1:5" ht="15" customHeight="1" x14ac:dyDescent="0.25">
      <c r="A21" s="131"/>
      <c r="B21" s="132" t="s">
        <v>1000</v>
      </c>
      <c r="C21" s="118" t="s">
        <v>1001</v>
      </c>
      <c r="D21" s="133">
        <v>696131174678</v>
      </c>
      <c r="E21" s="134">
        <v>111106113893</v>
      </c>
    </row>
    <row r="22" spans="1:5" ht="15" customHeight="1" x14ac:dyDescent="0.25">
      <c r="A22" s="131"/>
      <c r="B22" s="132" t="s">
        <v>1002</v>
      </c>
      <c r="C22" s="118" t="s">
        <v>1003</v>
      </c>
      <c r="D22" s="133">
        <v>1200226163</v>
      </c>
      <c r="E22" s="134">
        <v>1089275626</v>
      </c>
    </row>
    <row r="23" spans="1:5" ht="15" customHeight="1" x14ac:dyDescent="0.25">
      <c r="A23" s="131"/>
      <c r="B23" s="132" t="s">
        <v>1004</v>
      </c>
      <c r="C23" s="118" t="s">
        <v>1005</v>
      </c>
      <c r="D23" s="135">
        <v>12002.26</v>
      </c>
      <c r="E23" s="136">
        <v>10892.75</v>
      </c>
    </row>
    <row r="24" spans="1:5" ht="15" customHeight="1" x14ac:dyDescent="0.25">
      <c r="A24" s="127" t="s">
        <v>1006</v>
      </c>
      <c r="B24" s="128" t="s">
        <v>1007</v>
      </c>
      <c r="C24" s="117" t="s">
        <v>1008</v>
      </c>
      <c r="D24" s="129">
        <v>0</v>
      </c>
      <c r="E24" s="130">
        <v>0</v>
      </c>
    </row>
    <row r="25" spans="1:5" ht="15" customHeight="1" x14ac:dyDescent="0.25">
      <c r="A25" s="131"/>
      <c r="B25" s="132" t="s">
        <v>1000</v>
      </c>
      <c r="C25" s="118" t="s">
        <v>1009</v>
      </c>
      <c r="D25" s="133">
        <v>1362487799178</v>
      </c>
      <c r="E25" s="134">
        <v>696131174678</v>
      </c>
    </row>
    <row r="26" spans="1:5" ht="15" customHeight="1" x14ac:dyDescent="0.25">
      <c r="A26" s="131"/>
      <c r="B26" s="132" t="s">
        <v>1002</v>
      </c>
      <c r="C26" s="118" t="s">
        <v>1010</v>
      </c>
      <c r="D26" s="133">
        <v>1143986397</v>
      </c>
      <c r="E26" s="134">
        <v>1200226163</v>
      </c>
    </row>
    <row r="27" spans="1:5" ht="15" customHeight="1" x14ac:dyDescent="0.25">
      <c r="A27" s="131"/>
      <c r="B27" s="132" t="s">
        <v>1004</v>
      </c>
      <c r="C27" s="118" t="s">
        <v>1011</v>
      </c>
      <c r="D27" s="135">
        <v>11439.86</v>
      </c>
      <c r="E27" s="136">
        <v>12002.26</v>
      </c>
    </row>
    <row r="28" spans="1:5" ht="44.25" customHeight="1" x14ac:dyDescent="0.25">
      <c r="A28" s="127" t="s">
        <v>1012</v>
      </c>
      <c r="B28" s="128" t="s">
        <v>1013</v>
      </c>
      <c r="C28" s="117" t="s">
        <v>1014</v>
      </c>
      <c r="D28" s="129">
        <v>0</v>
      </c>
      <c r="E28" s="130">
        <v>0</v>
      </c>
    </row>
    <row r="29" spans="1:5" ht="31.5" x14ac:dyDescent="0.25">
      <c r="A29" s="131"/>
      <c r="B29" s="132" t="s">
        <v>1015</v>
      </c>
      <c r="C29" s="118" t="s">
        <v>1016</v>
      </c>
      <c r="D29" s="135">
        <v>-6902.97</v>
      </c>
      <c r="E29" s="136">
        <v>-8825.5300000000007</v>
      </c>
    </row>
    <row r="30" spans="1:5" ht="36.75" customHeight="1" x14ac:dyDescent="0.25">
      <c r="A30" s="131"/>
      <c r="B30" s="132" t="s">
        <v>1017</v>
      </c>
      <c r="C30" s="118" t="s">
        <v>1018</v>
      </c>
      <c r="D30" s="135">
        <v>6340.57</v>
      </c>
      <c r="E30" s="136">
        <v>9935.0400000000009</v>
      </c>
    </row>
    <row r="31" spans="1:5" ht="44.25" customHeight="1" x14ac:dyDescent="0.25">
      <c r="A31" s="137"/>
      <c r="B31" s="138" t="s">
        <v>1019</v>
      </c>
      <c r="C31" s="119" t="s">
        <v>1020</v>
      </c>
      <c r="D31" s="139">
        <v>0</v>
      </c>
      <c r="E31" s="140">
        <v>0</v>
      </c>
    </row>
    <row r="32" spans="1:5" ht="31.5" x14ac:dyDescent="0.25">
      <c r="A32" s="137"/>
      <c r="B32" s="138" t="s">
        <v>1021</v>
      </c>
      <c r="C32" s="119" t="s">
        <v>1022</v>
      </c>
      <c r="D32" s="141">
        <v>6340.57</v>
      </c>
      <c r="E32" s="142">
        <v>9935.0400000000009</v>
      </c>
    </row>
    <row r="33" spans="1:5" ht="31.5" x14ac:dyDescent="0.25">
      <c r="A33" s="127" t="s">
        <v>1023</v>
      </c>
      <c r="B33" s="128" t="s">
        <v>1024</v>
      </c>
      <c r="C33" s="117" t="s">
        <v>1025</v>
      </c>
      <c r="D33" s="129">
        <v>0</v>
      </c>
      <c r="E33" s="130">
        <v>0</v>
      </c>
    </row>
    <row r="34" spans="1:5" ht="15" customHeight="1" x14ac:dyDescent="0.25">
      <c r="A34" s="137"/>
      <c r="B34" s="138" t="s">
        <v>1026</v>
      </c>
      <c r="C34" s="119" t="s">
        <v>1027</v>
      </c>
      <c r="D34" s="139">
        <v>1390066826000</v>
      </c>
      <c r="E34" s="140">
        <v>696131174678</v>
      </c>
    </row>
    <row r="35" spans="1:5" ht="15" customHeight="1" x14ac:dyDescent="0.25">
      <c r="A35" s="137"/>
      <c r="B35" s="138" t="s">
        <v>1028</v>
      </c>
      <c r="C35" s="119" t="s">
        <v>1029</v>
      </c>
      <c r="D35" s="139">
        <v>109880505679</v>
      </c>
      <c r="E35" s="140">
        <v>109880505679</v>
      </c>
    </row>
    <row r="36" spans="1:5" ht="42" x14ac:dyDescent="0.25">
      <c r="A36" s="127" t="s">
        <v>44</v>
      </c>
      <c r="B36" s="128" t="s">
        <v>1030</v>
      </c>
      <c r="C36" s="117" t="s">
        <v>1031</v>
      </c>
      <c r="D36" s="129">
        <v>0</v>
      </c>
      <c r="E36" s="130">
        <v>0</v>
      </c>
    </row>
    <row r="37" spans="1:5" ht="15.75" customHeight="1" x14ac:dyDescent="0.25">
      <c r="A37" s="131" t="s">
        <v>1032</v>
      </c>
      <c r="B37" s="132" t="s">
        <v>998</v>
      </c>
      <c r="C37" s="118" t="s">
        <v>1033</v>
      </c>
      <c r="D37" s="135">
        <v>12250</v>
      </c>
      <c r="E37" s="136">
        <v>0</v>
      </c>
    </row>
    <row r="38" spans="1:5" ht="15.75" customHeight="1" x14ac:dyDescent="0.25">
      <c r="A38" s="131" t="s">
        <v>1034</v>
      </c>
      <c r="B38" s="132" t="s">
        <v>1035</v>
      </c>
      <c r="C38" s="118" t="s">
        <v>1036</v>
      </c>
      <c r="D38" s="135">
        <v>11630</v>
      </c>
      <c r="E38" s="136">
        <v>12250</v>
      </c>
    </row>
    <row r="39" spans="1:5" ht="21" x14ac:dyDescent="0.25">
      <c r="A39" s="131" t="s">
        <v>1037</v>
      </c>
      <c r="B39" s="132" t="s">
        <v>1038</v>
      </c>
      <c r="C39" s="118" t="s">
        <v>1039</v>
      </c>
      <c r="D39" s="135">
        <v>-620</v>
      </c>
      <c r="E39" s="136">
        <v>12250</v>
      </c>
    </row>
    <row r="40" spans="1:5" ht="45" customHeight="1" x14ac:dyDescent="0.25">
      <c r="A40" s="131" t="s">
        <v>1040</v>
      </c>
      <c r="B40" s="132" t="s">
        <v>1041</v>
      </c>
      <c r="C40" s="118" t="s">
        <v>1042</v>
      </c>
      <c r="D40" s="135">
        <v>0</v>
      </c>
      <c r="E40" s="136">
        <v>0</v>
      </c>
    </row>
    <row r="41" spans="1:5" ht="15" customHeight="1" x14ac:dyDescent="0.25">
      <c r="A41" s="137"/>
      <c r="B41" s="138" t="s">
        <v>1043</v>
      </c>
      <c r="C41" s="119" t="s">
        <v>1044</v>
      </c>
      <c r="D41" s="141">
        <v>190.14</v>
      </c>
      <c r="E41" s="142">
        <v>247.74</v>
      </c>
    </row>
    <row r="42" spans="1:5" ht="24.75" customHeight="1" x14ac:dyDescent="0.25">
      <c r="A42" s="137"/>
      <c r="B42" s="138" t="s">
        <v>1045</v>
      </c>
      <c r="C42" s="119" t="s">
        <v>1046</v>
      </c>
      <c r="D42" s="143">
        <v>1.66E-2</v>
      </c>
      <c r="E42" s="144">
        <v>2.06E-2</v>
      </c>
    </row>
    <row r="43" spans="1:5" ht="31.5" x14ac:dyDescent="0.25">
      <c r="A43" s="131" t="s">
        <v>1047</v>
      </c>
      <c r="B43" s="132" t="s">
        <v>1048</v>
      </c>
      <c r="C43" s="118" t="s">
        <v>1049</v>
      </c>
      <c r="D43" s="135">
        <v>0</v>
      </c>
      <c r="E43" s="136">
        <v>0</v>
      </c>
    </row>
    <row r="44" spans="1:5" ht="16.5" customHeight="1" x14ac:dyDescent="0.25">
      <c r="A44" s="137"/>
      <c r="B44" s="138" t="s">
        <v>1050</v>
      </c>
      <c r="C44" s="119" t="s">
        <v>1051</v>
      </c>
      <c r="D44" s="141">
        <v>12770</v>
      </c>
      <c r="E44" s="142">
        <v>12500</v>
      </c>
    </row>
    <row r="45" spans="1:5" ht="16.5" customHeight="1" x14ac:dyDescent="0.25">
      <c r="A45" s="145"/>
      <c r="B45" s="146" t="s">
        <v>1052</v>
      </c>
      <c r="C45" s="147" t="s">
        <v>1053</v>
      </c>
      <c r="D45" s="148">
        <v>10500</v>
      </c>
      <c r="E45" s="149">
        <v>10500</v>
      </c>
    </row>
    <row r="46" spans="1:5" ht="6" customHeight="1" x14ac:dyDescent="0.25">
      <c r="A46" s="270"/>
      <c r="B46" s="270"/>
      <c r="C46" s="270"/>
      <c r="D46" s="270"/>
      <c r="E46" s="270"/>
    </row>
    <row r="47" spans="1:5" ht="12.75" customHeight="1" x14ac:dyDescent="0.25">
      <c r="A47" s="279" t="s">
        <v>1088</v>
      </c>
      <c r="B47" s="279"/>
      <c r="C47" s="279" t="s">
        <v>1089</v>
      </c>
      <c r="D47" s="279"/>
      <c r="E47" s="279"/>
    </row>
    <row r="48" spans="1:5" ht="12.75" customHeight="1" x14ac:dyDescent="0.25">
      <c r="A48" s="295" t="s">
        <v>19</v>
      </c>
      <c r="B48" s="295"/>
      <c r="C48" s="295" t="s">
        <v>20</v>
      </c>
      <c r="D48" s="295"/>
      <c r="E48" s="295"/>
    </row>
    <row r="49" spans="1:5" ht="27.75" customHeight="1" x14ac:dyDescent="0.25">
      <c r="A49" s="270"/>
      <c r="B49" s="270"/>
      <c r="C49" s="270"/>
      <c r="D49" s="270"/>
      <c r="E49" s="270"/>
    </row>
    <row r="50" spans="1:5" ht="54" customHeight="1" x14ac:dyDescent="0.25">
      <c r="A50" s="270"/>
      <c r="B50" s="270"/>
      <c r="C50" s="270"/>
      <c r="D50" s="270"/>
      <c r="E50" s="270"/>
    </row>
    <row r="51" spans="1:5" ht="12.75" customHeight="1" x14ac:dyDescent="0.25">
      <c r="A51" s="279" t="s">
        <v>284</v>
      </c>
      <c r="B51" s="279"/>
      <c r="C51" s="279" t="s">
        <v>285</v>
      </c>
      <c r="D51" s="279"/>
      <c r="E51" s="279"/>
    </row>
    <row r="52" spans="1:5" ht="12.75" customHeight="1" x14ac:dyDescent="0.25">
      <c r="A52" s="268" t="s">
        <v>1054</v>
      </c>
      <c r="B52" s="268"/>
      <c r="C52" s="268" t="s">
        <v>1067</v>
      </c>
      <c r="D52" s="268"/>
      <c r="E52" s="268"/>
    </row>
    <row r="53" spans="1:5" ht="12.75" customHeight="1" x14ac:dyDescent="0.25">
      <c r="A53" s="268" t="s">
        <v>1068</v>
      </c>
      <c r="B53" s="268"/>
      <c r="C53" s="268" t="s">
        <v>1069</v>
      </c>
      <c r="D53" s="268"/>
      <c r="E53" s="268"/>
    </row>
  </sheetData>
  <mergeCells count="34">
    <mergeCell ref="A5:E5"/>
    <mergeCell ref="B6:E6"/>
    <mergeCell ref="C7:E7"/>
    <mergeCell ref="C8:E8"/>
    <mergeCell ref="C9:E9"/>
    <mergeCell ref="A46:B46"/>
    <mergeCell ref="C46:E46"/>
    <mergeCell ref="C17:E17"/>
    <mergeCell ref="C15:E15"/>
    <mergeCell ref="C16:E16"/>
    <mergeCell ref="A1:B1"/>
    <mergeCell ref="C1:E1"/>
    <mergeCell ref="A2:E2"/>
    <mergeCell ref="A3:E3"/>
    <mergeCell ref="A4:E4"/>
    <mergeCell ref="C10:E10"/>
    <mergeCell ref="C11:E11"/>
    <mergeCell ref="C12:E12"/>
    <mergeCell ref="C13:D13"/>
    <mergeCell ref="C14:D14"/>
    <mergeCell ref="A47:B47"/>
    <mergeCell ref="C47:E47"/>
    <mergeCell ref="A48:B48"/>
    <mergeCell ref="C48:E48"/>
    <mergeCell ref="A49:B49"/>
    <mergeCell ref="C49:E49"/>
    <mergeCell ref="A53:B53"/>
    <mergeCell ref="C53:E53"/>
    <mergeCell ref="A50:B50"/>
    <mergeCell ref="C50:E50"/>
    <mergeCell ref="A51:B51"/>
    <mergeCell ref="C51:E51"/>
    <mergeCell ref="A52:B52"/>
    <mergeCell ref="C52:E52"/>
  </mergeCells>
  <printOptions horizontalCentered="1"/>
  <pageMargins left="0" right="0" top="0.31" bottom="0.28000000000000003" header="0.27" footer="0.28000000000000003"/>
  <pageSetup paperSize="9" scale="77"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a9GJe0EdNmgfj/1Gstdx/cAzs9o=</DigestValue>
    </Reference>
    <Reference URI="#idOfficeObject" Type="http://www.w3.org/2000/09/xmldsig#Object">
      <DigestMethod Algorithm="http://www.w3.org/2000/09/xmldsig#sha1"/>
      <DigestValue>5J7eKa4kWto6lF9bpLibFDE0lCs=</DigestValue>
    </Reference>
    <Reference URI="#idSignedProperties" Type="http://uri.etsi.org/01903#SignedProperties">
      <Transforms>
        <Transform Algorithm="http://www.w3.org/TR/2001/REC-xml-c14n-20010315"/>
      </Transforms>
      <DigestMethod Algorithm="http://www.w3.org/2000/09/xmldsig#sha1"/>
      <DigestValue>LdFG2KJhrXZ/xz1CorhBi686WyI=</DigestValue>
    </Reference>
  </SignedInfo>
  <SignatureValue>DKhhZgAqDoUTgu1pCBax2SDw71GLa5ye4w+ZnPkOWMs865CCzmf2s7AjWxyhCWD59N4wmptlf+QX
p6IObG8izES4rlxW9kpYXOV7/5IfAm4AnUgTUfou0dLkdgCBl7VGMTnoaf1xxI2bIXgDBble3S+f
nbWK3lE8p/ZlxIn/TeM=</SignatureValue>
  <KeyInfo>
    <X509Data>
      <X509Certificate>MIIF+jCCA+KgAwIBAgIQVAEBAUGGaUrhhBIYpzYXBjANBgkqhkiG9w0BAQUFADBpMQswCQYDVQQG
EwJWTjETMBEGA1UEChMKVk5QVCBHcm91cDEeMBwGA1UECxMVVk5QVC1DQSBUcnVzdCBOZXR3b3Jr
MSUwIwYDVQQDExxWTlBUIENlcnRpZmljYXRpb24gQXV0aG9yaXR5MB4XDTE5MTExNDA0MDkwMFoX
DTIwMDcxMDEzNTgwMFowgcoxCzAJBgNVBAYTAlZOMRcwFQYDVQQIDA5I4buTIENow60gTWluaDER
MA8GA1UEBwwIUXXhuq1uIDExazBpBgNVBAMMYk5Hw4JOIEjDgE5HIFRIxq/GoE5HIE3huqBJIEPh
u5QgUEjhuqZOIE5HT+G6oEkgVEjGr8agTkcgVknhu4ZUIE5BTSAtIENISSBOSMOBTkggVFAuIEjh
u5IgQ0jDjSBNSU5IMSIwIAYKCZImiZPyLGQBAQwSTVNUOjAxMDAxMTI0MzctMDAyMIGfMA0GCSqG
SIb3DQEBAQUAA4GNADCBiQKBgQDBSyYORpqWS5CNq6PZt8ar43oaVdcto2l5A/tdy8TtvfdmkanV
HSc69MnnNYmcRBztUoJ5lj5i7H92X2uMXqGKVNI5GYhB8/l0sSA+3J+b5z/IHwOL6QG4/1XBpCyM
gK0CcR0BVmMPSX2RUVlxdi0TajR74fexgED0GoWuEHM/ZQIDAQABo4IBvjCCAbowcAYIKwYBBQUH
AQEEZDBiMDIGCCsGAQUFBzAChiZodHRwOi8vcHViLnZucHQtY2Eudm4vY2VydHMvdm5wdGNhLmNl
cjAsBggrBgEFBQcwAYYgaHR0cDovL29jc3Audm5wdC1jYS52bi9yZXNwb25kZXIwHQYDVR0OBBYE
FAPV6X854fYF7v9Gzv9OCxNAYkwxMAwGA1UdEwEB/wQCMAAwHwYDVR0jBBgwFoAUBmnA1dUCihWN
Rn3pfOJoClWsaq8waAYDVR0gBGEwXzBdBg4rBgEEAYHtAwEBAwEBATBLMCIGCCsGAQUFBwICMBYe
FABPAEkARAAtAFMAVAAtADEALgAwMCUGCCsGAQUFBwIBFhlodHRwOi8vcHViLnZucHQtY2Eudm4v
cnBhMDEGA1UdHwQqMCgwJqAkoCKGIGh0dHA6Ly9jcmwudm5wdC1jYS52bi92bnB0Y2EuY3JsMA4G
A1UdDwEB/wQEAwIE8DAgBgNVHSUEGTAXBgorBgEEAYI3CgMMBgkqhkiG9y8BAQUwKQYDVR0RBCIw
IIEebGluaGNodC5oY21AdmlldGNvbWJhbmsuY29tLnZuMA0GCSqGSIb3DQEBBQUAA4ICAQADxOpt
w+9o+kTqK/LJOrTdBkbc3ewWAAn43F1GLUlDyHuVyJJgF5SdbYhZjaD7tsrNCcrOddRy8rjvd+qQ
YP2jE3zsTmYmIaYkx2S3B72OiqtwWYc+Az0Kmb3DW7Szkusu+wzd9FZVusZGHTUFr2Qrn/2aKN0C
0nTbCfrx1d3YJOPC1fWEmbxLMRUqA+Zna6GGcgN4Z30QpbHorYgedeDpLNg3738i5VEd8elZJvo0
ad+aK8Ooof9OHFHXDzH5G3ux024sMPNH2tqOAGLNxNaOdS0C+idX3hnF5vISUzLqUWpnF1c/G1Z1
8lLjFoP+DsynelBgFF6FApRlMDCoeqseaawOb1ZQDE23cBpe6NVFY2INO97j7koCPiTsDOpyzXK0
mv+ZLr7/bV5Qkg8xOxXtLpPuyu+YnFzI09DRWRf6jZGmXRroqsVTEjYuHWqr4J40D9VzEFC+dpbR
2WRMP4MuohXKjd3uCuI8k5WUwoKZvu0iz1pybwqUmAKFSyvklsiWN6ag1sQLhjSwhgD7X7rzUNh7
RXoOv6gmjFqni71usoMXodSJ3p5OhSOLKlfe4/UOT0v4m89+OEUopb6NytO0UmfBzg+G4/RoZm6Y
vMM9NE8UEYKwsOXlMHfCQ5F1O9U3VPydJbBlyKU7mysRzenw3sHq1DdLwUvXsJODpjnatA==</X509Certificate>
    </X509Data>
  </KeyInfo>
  <Object xmlns:mdssi="http://schemas.openxmlformats.org/package/2006/digital-signature" Id="idPackageObject">
    <Manifest>
      <Reference URI="/xl/media/image2.png?ContentType=image/png">
        <DigestMethod Algorithm="http://www.w3.org/2000/09/xmldsig#sha1"/>
        <DigestValue>WJfVk6q4eJBvaMYeHR4h1zCsHZA=</DigestValue>
      </Reference>
      <Reference URI="/xl/theme/theme1.xml?ContentType=application/vnd.openxmlformats-officedocument.theme+xml">
        <DigestMethod Algorithm="http://www.w3.org/2000/09/xmldsig#sha1"/>
        <DigestValue>9qmLS+LilE9mSl2hTMj5oHE8VR8=</DigestValue>
      </Reference>
      <Reference URI="/xl/printerSettings/printerSettings9.bin?ContentType=application/vnd.openxmlformats-officedocument.spreadsheetml.printerSettings">
        <DigestMethod Algorithm="http://www.w3.org/2000/09/xmldsig#sha1"/>
        <DigestValue>EqFbnoBrTYXV5qFeko23gkmQN4U=</DigestValue>
      </Reference>
      <Reference URI="/xl/drawings/drawing2.xml?ContentType=application/vnd.openxmlformats-officedocument.drawing+xml">
        <DigestMethod Algorithm="http://www.w3.org/2000/09/xmldsig#sha1"/>
        <DigestValue>tfumo8uvrb9UYBBLw737kH1t3HA=</DigestValue>
      </Reference>
      <Reference URI="/xl/media/image1.png?ContentType=image/png">
        <DigestMethod Algorithm="http://www.w3.org/2000/09/xmldsig#sha1"/>
        <DigestValue>jYWOPidQQbamaWQfHVqv2J0VY/4=</DigestValue>
      </Reference>
      <Reference URI="/xl/printerSettings/printerSettings4.bin?ContentType=application/vnd.openxmlformats-officedocument.spreadsheetml.printerSettings">
        <DigestMethod Algorithm="http://www.w3.org/2000/09/xmldsig#sha1"/>
        <DigestValue>EqFbnoBrTYXV5qFeko23gkmQN4U=</DigestValue>
      </Reference>
      <Reference URI="/xl/drawings/drawing1.xml?ContentType=application/vnd.openxmlformats-officedocument.drawing+xml">
        <DigestMethod Algorithm="http://www.w3.org/2000/09/xmldsig#sha1"/>
        <DigestValue>38Wdj6CL1t+37Cn+3nx/aZfMqoU=</DigestValue>
      </Reference>
      <Reference URI="/xl/sharedStrings.xml?ContentType=application/vnd.openxmlformats-officedocument.spreadsheetml.sharedStrings+xml">
        <DigestMethod Algorithm="http://www.w3.org/2000/09/xmldsig#sha1"/>
        <DigestValue>Y3sF+MmmXKHPs1rbtovC7/HPNL0=</DigestValue>
      </Reference>
      <Reference URI="/xl/styles.xml?ContentType=application/vnd.openxmlformats-officedocument.spreadsheetml.styles+xml">
        <DigestMethod Algorithm="http://www.w3.org/2000/09/xmldsig#sha1"/>
        <DigestValue>//xxBirIc6taF7/46wNeKYW4q2w=</DigestValue>
      </Reference>
      <Reference URI="/xl/worksheets/sheet10.xml?ContentType=application/vnd.openxmlformats-officedocument.spreadsheetml.worksheet+xml">
        <DigestMethod Algorithm="http://www.w3.org/2000/09/xmldsig#sha1"/>
        <DigestValue>YsvVYWuXbDZUU0m+4g8qF9Y+UCU=</DigestValue>
      </Reference>
      <Reference URI="/xl/media/image5.png?ContentType=image/png">
        <DigestMethod Algorithm="http://www.w3.org/2000/09/xmldsig#sha1"/>
        <DigestValue>Jb3+Ensyxuvbl7Xs1b78oocXMjk=</DigestValue>
      </Reference>
      <Reference URI="/xl/worksheets/sheet9.xml?ContentType=application/vnd.openxmlformats-officedocument.spreadsheetml.worksheet+xml">
        <DigestMethod Algorithm="http://www.w3.org/2000/09/xmldsig#sha1"/>
        <DigestValue>AIaG09UJ33r/q01TEnpqxCo9Cyw=</DigestValue>
      </Reference>
      <Reference URI="/xl/drawings/drawing3.xml?ContentType=application/vnd.openxmlformats-officedocument.drawing+xml">
        <DigestMethod Algorithm="http://www.w3.org/2000/09/xmldsig#sha1"/>
        <DigestValue>dJqKV7yp+1zr5v2d3Xe6pEqAIdQ=</DigestValue>
      </Reference>
      <Reference URI="/xl/drawings/drawing5.xml?ContentType=application/vnd.openxmlformats-officedocument.drawing+xml">
        <DigestMethod Algorithm="http://www.w3.org/2000/09/xmldsig#sha1"/>
        <DigestValue>///jsTjl00cX150CRtOgK7Y2MPE=</DigestValue>
      </Reference>
      <Reference URI="/xl/worksheets/sheet8.xml?ContentType=application/vnd.openxmlformats-officedocument.spreadsheetml.worksheet+xml">
        <DigestMethod Algorithm="http://www.w3.org/2000/09/xmldsig#sha1"/>
        <DigestValue>UK/KZIyWp4H1/ywCn+U9kWUaMk8=</DigestValue>
      </Reference>
      <Reference URI="/xl/worksheets/sheet7.xml?ContentType=application/vnd.openxmlformats-officedocument.spreadsheetml.worksheet+xml">
        <DigestMethod Algorithm="http://www.w3.org/2000/09/xmldsig#sha1"/>
        <DigestValue>SwlzGT1I9Bo08+tJgQXrh2gqoxc=</DigestValue>
      </Reference>
      <Reference URI="/xl/media/image4.png?ContentType=image/png">
        <DigestMethod Algorithm="http://www.w3.org/2000/09/xmldsig#sha1"/>
        <DigestValue>h1t6mHXOkuqf/UOdEMHtvBmwg4c=</DigestValue>
      </Reference>
      <Reference URI="/xl/worksheets/sheet6.xml?ContentType=application/vnd.openxmlformats-officedocument.spreadsheetml.worksheet+xml">
        <DigestMethod Algorithm="http://www.w3.org/2000/09/xmldsig#sha1"/>
        <DigestValue>ZOAo6rIS1l6GPvSsIUR7qEt2ZFQ=</DigestValue>
      </Reference>
      <Reference URI="/xl/drawings/drawing4.xml?ContentType=application/vnd.openxmlformats-officedocument.drawing+xml">
        <DigestMethod Algorithm="http://www.w3.org/2000/09/xmldsig#sha1"/>
        <DigestValue>kvzi7yASxiyFJdKqYSNwJgMTcwk=</DigestValue>
      </Reference>
      <Reference URI="/xl/worksheets/sheet5.xml?ContentType=application/vnd.openxmlformats-officedocument.spreadsheetml.worksheet+xml">
        <DigestMethod Algorithm="http://www.w3.org/2000/09/xmldsig#sha1"/>
        <DigestValue>bSISK25RdjAacQBVmMGI2j20z8s=</DigestValue>
      </Reference>
      <Reference URI="/xl/media/image3.png?ContentType=image/png">
        <DigestMethod Algorithm="http://www.w3.org/2000/09/xmldsig#sha1"/>
        <DigestValue>YHdn0qknlzWpnB4NNwJCBC2Bd0k=</DigestValue>
      </Reference>
      <Reference URI="/xl/printerSettings/printerSettings10.bin?ContentType=application/vnd.openxmlformats-officedocument.spreadsheetml.printerSettings">
        <DigestMethod Algorithm="http://www.w3.org/2000/09/xmldsig#sha1"/>
        <DigestValue>EqFbnoBrTYXV5qFeko23gkmQN4U=</DigestValue>
      </Reference>
      <Reference URI="/xl/media/image6.png?ContentType=image/png">
        <DigestMethod Algorithm="http://www.w3.org/2000/09/xmldsig#sha1"/>
        <DigestValue>x8nIyDv+KRsIxBUZGD9DiSb7f/o=</DigestValue>
      </Reference>
      <Reference URI="/xl/printerSettings/printerSettings5.bin?ContentType=application/vnd.openxmlformats-officedocument.spreadsheetml.printerSettings">
        <DigestMethod Algorithm="http://www.w3.org/2000/09/xmldsig#sha1"/>
        <DigestValue>EqFbnoBrTYXV5qFeko23gkmQN4U=</DigestValue>
      </Reference>
      <Reference URI="/xl/worksheets/sheet3.xml?ContentType=application/vnd.openxmlformats-officedocument.spreadsheetml.worksheet+xml">
        <DigestMethod Algorithm="http://www.w3.org/2000/09/xmldsig#sha1"/>
        <DigestValue>pnJ97mrBIBGB1YePzyTAvbZ1dik=</DigestValue>
      </Reference>
      <Reference URI="/xl/printerSettings/printerSettings3.bin?ContentType=application/vnd.openxmlformats-officedocument.spreadsheetml.printerSettings">
        <DigestMethod Algorithm="http://www.w3.org/2000/09/xmldsig#sha1"/>
        <DigestValue>EqFbnoBrTYXV5qFeko23gkmQN4U=</DigestValue>
      </Reference>
      <Reference URI="/xl/worksheets/sheet2.xml?ContentType=application/vnd.openxmlformats-officedocument.spreadsheetml.worksheet+xml">
        <DigestMethod Algorithm="http://www.w3.org/2000/09/xmldsig#sha1"/>
        <DigestValue>z+gXpaMGXzOLCyMFT1b3HZRSdgc=</DigestValue>
      </Reference>
      <Reference URI="/xl/printerSettings/printerSettings2.bin?ContentType=application/vnd.openxmlformats-officedocument.spreadsheetml.printerSettings">
        <DigestMethod Algorithm="http://www.w3.org/2000/09/xmldsig#sha1"/>
        <DigestValue>EqFbnoBrTYXV5qFeko23gkmQN4U=</DigestValue>
      </Reference>
      <Reference URI="/xl/worksheets/sheet4.xml?ContentType=application/vnd.openxmlformats-officedocument.spreadsheetml.worksheet+xml">
        <DigestMethod Algorithm="http://www.w3.org/2000/09/xmldsig#sha1"/>
        <DigestValue>A97abdeP1ZXkVqkBTUyqP1q8zVs=</DigestValue>
      </Reference>
      <Reference URI="/xl/calcChain.xml?ContentType=application/vnd.openxmlformats-officedocument.spreadsheetml.calcChain+xml">
        <DigestMethod Algorithm="http://www.w3.org/2000/09/xmldsig#sha1"/>
        <DigestValue>XigFBl6b6Pydsc+oRkAlw8FdbHY=</DigestValue>
      </Reference>
      <Reference URI="/xl/workbook.xml?ContentType=application/vnd.openxmlformats-officedocument.spreadsheetml.sheet.main+xml">
        <DigestMethod Algorithm="http://www.w3.org/2000/09/xmldsig#sha1"/>
        <DigestValue>vk7QU5Zqe1Pq9bch6mhmFBXn4Lo=</DigestValue>
      </Reference>
      <Reference URI="/xl/drawings/drawing6.xml?ContentType=application/vnd.openxmlformats-officedocument.drawing+xml">
        <DigestMethod Algorithm="http://www.w3.org/2000/09/xmldsig#sha1"/>
        <DigestValue>0Lj+UxD4vrV6kLli1W9eMSGm3F0=</DigestValue>
      </Reference>
      <Reference URI="/xl/media/image8.png?ContentType=image/png">
        <DigestMethod Algorithm="http://www.w3.org/2000/09/xmldsig#sha1"/>
        <DigestValue>0mH6vTL/7i7bRRd1kN8yLDAqKqU=</DigestValue>
      </Reference>
      <Reference URI="/xl/printerSettings/printerSettings7.bin?ContentType=application/vnd.openxmlformats-officedocument.spreadsheetml.printerSettings">
        <DigestMethod Algorithm="http://www.w3.org/2000/09/xmldsig#sha1"/>
        <DigestValue>EqFbnoBrTYXV5qFeko23gkmQN4U=</DigestValue>
      </Reference>
      <Reference URI="/xl/drawings/drawing7.xml?ContentType=application/vnd.openxmlformats-officedocument.drawing+xml">
        <DigestMethod Algorithm="http://www.w3.org/2000/09/xmldsig#sha1"/>
        <DigestValue>GMRAbA/osE8GozDKOwrcXS3b2AM=</DigestValue>
      </Reference>
      <Reference URI="/xl/printerSettings/printerSettings6.bin?ContentType=application/vnd.openxmlformats-officedocument.spreadsheetml.printerSettings">
        <DigestMethod Algorithm="http://www.w3.org/2000/09/xmldsig#sha1"/>
        <DigestValue>kVG/FCPm5sUAcsB8bI3+8KB5ffE=</DigestValue>
      </Reference>
      <Reference URI="/xl/worksheets/sheet1.xml?ContentType=application/vnd.openxmlformats-officedocument.spreadsheetml.worksheet+xml">
        <DigestMethod Algorithm="http://www.w3.org/2000/09/xmldsig#sha1"/>
        <DigestValue>6jfqwoeKfTgvPHVkMaWk0YXHQFk=</DigestValue>
      </Reference>
      <Reference URI="/xl/drawings/drawing9.xml?ContentType=application/vnd.openxmlformats-officedocument.drawing+xml">
        <DigestMethod Algorithm="http://www.w3.org/2000/09/xmldsig#sha1"/>
        <DigestValue>u9d6v9o19KaeROaR2/GPzqnDE6g=</DigestValue>
      </Reference>
      <Reference URI="/xl/printerSettings/printerSettings1.bin?ContentType=application/vnd.openxmlformats-officedocument.spreadsheetml.printerSettings">
        <DigestMethod Algorithm="http://www.w3.org/2000/09/xmldsig#sha1"/>
        <DigestValue>EqFbnoBrTYXV5qFeko23gkmQN4U=</DigestValue>
      </Reference>
      <Reference URI="/xl/printerSettings/printerSettings8.bin?ContentType=application/vnd.openxmlformats-officedocument.spreadsheetml.printerSettings">
        <DigestMethod Algorithm="http://www.w3.org/2000/09/xmldsig#sha1"/>
        <DigestValue>EqFbnoBrTYXV5qFeko23gkmQN4U=</DigestValue>
      </Reference>
      <Reference URI="/xl/drawings/drawing8.xml?ContentType=application/vnd.openxmlformats-officedocument.drawing+xml">
        <DigestMethod Algorithm="http://www.w3.org/2000/09/xmldsig#sha1"/>
        <DigestValue>U53RCN38OnkRWIGJISSEEO+mekE=</DigestValue>
      </Reference>
      <Reference URI="/xl/media/image7.png?ContentType=image/png">
        <DigestMethod Algorithm="http://www.w3.org/2000/09/xmldsig#sha1"/>
        <DigestValue>CA5Nup9m1xO5ErFoaTOKZYUPZBY=</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21eACXysV1CDv9uimE8/onL3mbU=</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pXTYpt0oCqewtpSyBxPOmo/LzKM=</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21eACXysV1CDv9uimE8/onL3mbU=</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Y6WbdRdbBnZHx4KzCAHAeMJhMGM=</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MOXMpZL5pGyBPyclh1lmogl5YsY=</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0kesY9t6CRFwX/H4+Z4ALrzTbOw=</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JRR9z9cNt/pv5sgGyCJ5rPJ+s3Y=</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Manifest>
    <SignatureProperties>
      <SignatureProperty Id="idSignatureTime" Target="#idPackageSignature">
        <mdssi:SignatureTime>
          <mdssi:Format>YYYY-MM-DDThh:mm:ssTZD</mdssi:Format>
          <mdssi:Value>2020-07-06T03:00:33Z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2020-07-06T03:00:33Z</xd:SigningTime>
          <xd:SigningCertificate>
            <xd:Cert>
              <xd:CertDigest>
                <DigestMethod Algorithm="http://www.w3.org/2000/09/xmldsig#sha1"/>
                <DigestValue>XX4npWaelmjOUI8FZ3+ERy6hLlA=</DigestValue>
              </xd:CertDigest>
              <xd:IssuerSerial>
                <X509IssuerName>CN=VNPT Certification Authority, OU=VNPT-CA Trust Network, O=VNPT Group, C=VN</X509IssuerName>
                <X509SerialNumber>111660364324708253245488770897002501894</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TONGQUAN</vt:lpstr>
      <vt:lpstr>BCTaiSan_06134</vt:lpstr>
      <vt:lpstr>BCKetQuaHoatDong_06135</vt:lpstr>
      <vt:lpstr>BCDanhMucDauTu_06136</vt:lpstr>
      <vt:lpstr>Khac_06137</vt:lpstr>
      <vt:lpstr>BCGiaodichTaiSan_06141</vt:lpstr>
      <vt:lpstr>BCThuNhap_06203</vt:lpstr>
      <vt:lpstr>BCTinhHinhTaiChinh_06105</vt:lpstr>
      <vt:lpstr>GTTSRong_06107</vt:lpstr>
      <vt:lpstr>BCThayDoiNAV_PL15.229</vt:lpstr>
      <vt:lpstr>BCDanhMucDauTu_06136!Print_Area</vt:lpstr>
      <vt:lpstr>BCGiaodichTaiSan_06141!Print_Area</vt:lpstr>
      <vt:lpstr>BCKetQuaHoatDong_06135!Print_Area</vt:lpstr>
      <vt:lpstr>BCTaiSan_06134!Print_Area</vt:lpstr>
      <vt:lpstr>BCThayDoiNAV_PL15.229!Print_Area</vt:lpstr>
      <vt:lpstr>BCThuNhap_06203!Print_Area</vt:lpstr>
      <vt:lpstr>GTTSRong_06107!Print_Area</vt:lpstr>
      <vt:lpstr>Khac_06137!Print_Area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2020-07-06T02:35:03Z</dcterms:modified>
</cp:coreProperties>
</file>