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VN\1.02 VFMVF4\2023 VF4\4. Apr\MONTHLY REPORT\KY SO\"/>
    </mc:Choice>
  </mc:AlternateContent>
  <xr:revisionPtr revIDLastSave="0" documentId="13_ncr:1_{70B27255-5A41-40D9-A68B-5BF429F1BAF7}" xr6:coauthVersionLast="47" xr6:coauthVersionMax="47" xr10:uidLastSave="{00000000-0000-0000-0000-000000000000}"/>
  <bookViews>
    <workbookView xWindow="-120" yWindow="-120" windowWidth="29040" windowHeight="15840" firstSheet="2" activeTab="7" xr2:uid="{00000000-000D-0000-FFFF-FFFF00000000}"/>
  </bookViews>
  <sheets>
    <sheet name="TONGQUAN" sheetId="1" r:id="rId1"/>
    <sheet name="BCTaiSan_06027" sheetId="43" r:id="rId2"/>
    <sheet name="BCKetQuaHoatDong_06028" sheetId="29" r:id="rId3"/>
    <sheet name="BCDanhMucDauTu_06029" sheetId="44" r:id="rId4"/>
    <sheet name="BCThuNhap_06203" sheetId="34" r:id="rId5"/>
    <sheet name="Khac_06030" sheetId="32" r:id="rId6"/>
    <sheet name="BCTinhHinhTaiChinh_06105" sheetId="42" r:id="rId7"/>
    <sheet name="BCHoatDongVay_06026" sheetId="45" r:id="rId8"/>
  </sheets>
  <definedNames>
    <definedName name="_xlnm._FilterDatabase" localSheetId="3" hidden="1">BCDanhMucDauTu_06029!$A$18:$J$18</definedName>
    <definedName name="_xlnm._FilterDatabase" localSheetId="2" hidden="1">BCKetQuaHoatDong_06028!$A$18:$H$89</definedName>
    <definedName name="_xlnm._FilterDatabase" localSheetId="1" hidden="1">BCTaiSan_06027!$A$18:$F$18</definedName>
    <definedName name="_xlnm._FilterDatabase" localSheetId="4" hidden="1">BCThuNhap_06203!$A$16:$J$77</definedName>
    <definedName name="_xlnm._FilterDatabase" localSheetId="6" hidden="1">BCTinhHinhTaiChinh_06105!$A$16:$F$120</definedName>
    <definedName name="_xlnm._FilterDatabase" localSheetId="5" hidden="1">Khac_06030!$A$18:$F$18</definedName>
    <definedName name="addlogo">INDEX(#REF!,MATCH(#REF!,#REF!,0))</definedName>
    <definedName name="_xlnm.Print_Area" localSheetId="6">BCTinhHinhTaiChinh_06105!$A$1:$F$138</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4">BCThuNhap_06203!$16:$17</definedName>
    <definedName name="_xlnm.Print_Titles" localSheetId="6">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1" i="45" l="1"/>
  <c r="G14" i="45" l="1"/>
  <c r="G13" i="45"/>
  <c r="G12" i="45"/>
  <c r="G10" i="45"/>
  <c r="G9" i="45"/>
  <c r="G8" i="45"/>
  <c r="G7" i="45"/>
  <c r="A5" i="45"/>
</calcChain>
</file>

<file path=xl/sharedStrings.xml><?xml version="1.0" encoding="utf-8"?>
<sst xmlns="http://schemas.openxmlformats.org/spreadsheetml/2006/main" count="1604" uniqueCount="1158">
  <si>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</si>
  <si>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</si>
  <si>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</si>
  <si>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</si>
  <si>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</si>
  <si>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</si>
  <si>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</si>
  <si>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</si>
  <si>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</si>
  <si>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</si>
  <si>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</si>
  <si>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</si>
  <si>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</si>
  <si>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</si>
  <si>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</si>
  <si>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</si>
  <si>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</si>
  <si>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</si>
  <si>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</si>
  <si>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</si>
  <si>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</si>
  <si>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</si>
  <si>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</si>
  <si>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</si>
  <si>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</si>
  <si>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</si>
  <si>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</si>
  <si>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</si>
  <si>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</si>
  <si>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</si>
  <si>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</si>
  <si>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</si>
  <si>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</si>
  <si>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</si>
  <si>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</si>
  <si>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</si>
  <si>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</si>
  <si>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</si>
  <si>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</si>
  <si>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</si>
  <si>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</si>
  <si>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</si>
  <si>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</si>
  <si>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</si>
  <si>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</si>
  <si>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</si>
  <si>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</si>
  <si>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</si>
  <si>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</si>
  <si>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</si>
  <si>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</si>
  <si>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</si>
  <si>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</si>
  <si>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</si>
  <si>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</si>
  <si>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</si>
  <si>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</si>
  <si>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</si>
  <si>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</si>
  <si>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</si>
  <si>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</si>
  <si>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</si>
  <si>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</si>
  <si>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</si>
  <si>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</si>
  <si>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</si>
  <si>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</si>
  <si>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</si>
  <si>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</si>
  <si>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</si>
  <si>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</si>
  <si>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</si>
  <si>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</si>
  <si>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</si>
  <si>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</si>
  <si>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</si>
  <si>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</si>
  <si>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</si>
  <si>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</si>
  <si>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</si>
  <si>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</si>
  <si>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</si>
  <si>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</si>
  <si>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</si>
  <si>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</si>
  <si>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</si>
  <si>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</si>
  <si>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</si>
  <si>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</si>
  <si>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</si>
  <si>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</si>
  <si>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</si>
  <si>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</si>
  <si>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</si>
  <si>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</si>
  <si>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</si>
  <si>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</si>
  <si>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</si>
  <si>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</si>
  <si>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</si>
  <si>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</si>
  <si>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</si>
  <si>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</si>
  <si>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</si>
  <si>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</si>
  <si>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</si>
  <si>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</si>
  <si>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</si>
  <si>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</si>
  <si>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</si>
  <si>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</si>
  <si>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</si>
  <si>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</si>
  <si>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</si>
  <si>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</si>
  <si>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</si>
  <si>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</si>
  <si>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</si>
  <si>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</si>
  <si>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</si>
  <si>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</si>
  <si>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</si>
  <si>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</si>
  <si>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</si>
  <si>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</si>
  <si>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</si>
  <si>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</si>
  <si>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</si>
  <si>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</si>
  <si>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</si>
  <si>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</si>
  <si>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</si>
  <si>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</si>
  <si>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</si>
  <si>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</si>
  <si>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</si>
  <si>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</si>
  <si>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</si>
  <si>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</si>
  <si>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</si>
  <si>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</si>
  <si>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</si>
  <si>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</si>
  <si>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</si>
  <si>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</si>
  <si>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</si>
  <si>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</si>
  <si>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</si>
  <si>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</si>
  <si>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</si>
  <si>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</si>
  <si>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</si>
  <si>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</si>
  <si>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</si>
  <si>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</si>
  <si>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</si>
  <si>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</si>
  <si>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</si>
  <si>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</si>
  <si>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</si>
  <si>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</si>
  <si>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</si>
  <si>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</si>
  <si>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</si>
  <si>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</si>
  <si>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</si>
  <si>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</si>
  <si>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</si>
  <si>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</si>
  <si>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</si>
  <si>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</si>
  <si>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</si>
  <si>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</si>
  <si>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</si>
  <si>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</si>
  <si>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</si>
  <si>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</si>
  <si>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</si>
  <si>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</si>
  <si>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</si>
  <si>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</si>
  <si>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</si>
  <si>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</si>
  <si>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</si>
  <si>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</si>
  <si>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</si>
  <si>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</si>
  <si>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</si>
  <si>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</si>
  <si>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</si>
  <si>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</si>
  <si>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</si>
  <si>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</si>
  <si>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</si>
  <si>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</si>
  <si>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</si>
  <si>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</si>
  <si>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</si>
  <si>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</si>
  <si>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</si>
  <si>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</si>
  <si>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</si>
  <si>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</si>
  <si>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</si>
  <si>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</si>
  <si>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</si>
  <si>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</si>
  <si>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</si>
  <si>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</si>
  <si>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</si>
  <si>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</si>
  <si>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</si>
  <si>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</si>
  <si>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</si>
  <si>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</si>
  <si>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</si>
  <si>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</si>
  <si>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</si>
  <si>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</si>
  <si>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</si>
  <si>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</si>
  <si>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</si>
  <si>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</si>
  <si>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</si>
  <si>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</si>
  <si>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</si>
  <si>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</si>
  <si>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</si>
  <si>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</si>
  <si>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</si>
  <si>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</si>
  <si>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</si>
  <si>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</si>
  <si>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</si>
  <si>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</si>
  <si>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</si>
  <si>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</si>
  <si>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</si>
  <si>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</si>
  <si>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</si>
  <si>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</si>
  <si>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</si>
  <si>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</si>
  <si>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</si>
  <si>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</si>
  <si>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</si>
  <si>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</si>
  <si>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</si>
  <si>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</si>
  <si>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</si>
  <si>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</si>
  <si>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</si>
  <si>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</si>
  <si>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</si>
  <si>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</si>
  <si>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</si>
  <si>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</si>
  <si>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</si>
  <si>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</si>
  <si>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</si>
  <si>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</si>
  <si>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</si>
  <si>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</si>
  <si>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</si>
  <si>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</si>
  <si>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</si>
  <si>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</si>
  <si>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</si>
  <si>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</si>
  <si>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</si>
  <si>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</si>
  <si>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</si>
  <si>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</si>
  <si>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</si>
  <si>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</si>
  <si>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</si>
  <si>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</si>
  <si>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</si>
  <si>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</si>
  <si>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</si>
  <si>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</si>
  <si>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</si>
  <si>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</si>
  <si>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</si>
  <si>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</si>
  <si>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</si>
  <si>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</si>
  <si>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</si>
  <si>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</si>
  <si>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</si>
  <si>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</si>
  <si>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</si>
  <si>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</si>
  <si>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</si>
  <si>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</si>
  <si>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</si>
  <si>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</si>
  <si>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</si>
  <si>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</si>
  <si>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</si>
  <si>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</si>
  <si>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</si>
  <si>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</si>
  <si>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</si>
  <si>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</si>
  <si>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</si>
  <si>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</si>
  <si>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</si>
  <si>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</si>
  <si>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</si>
  <si>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</si>
  <si>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</si>
  <si>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</si>
  <si>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</si>
  <si>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</si>
  <si>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</si>
  <si>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</si>
  <si>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</si>
  <si>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</si>
  <si>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</si>
  <si>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</si>
  <si>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</si>
  <si>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</si>
  <si>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</si>
  <si>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</si>
  <si>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</si>
  <si>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</si>
  <si>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</si>
  <si>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</si>
  <si>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</si>
  <si>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</si>
  <si>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</si>
  <si>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</si>
  <si>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</si>
  <si>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</si>
  <si>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</si>
  <si>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</si>
  <si>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</si>
  <si>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</si>
  <si>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</si>
  <si>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</si>
  <si>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</si>
  <si>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</si>
  <si>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</si>
  <si>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</si>
  <si>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</si>
  <si>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</si>
  <si>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</si>
  <si>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</si>
  <si>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</si>
  <si>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</si>
  <si>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</si>
  <si>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</si>
  <si>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</si>
  <si>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</si>
  <si>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</si>
  <si>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</si>
  <si>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</si>
  <si>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</si>
  <si>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</si>
  <si>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</si>
  <si>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</si>
  <si>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</si>
  <si>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</si>
  <si>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</si>
  <si>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</si>
  <si>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</si>
  <si>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</si>
  <si>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</si>
  <si>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</si>
  <si>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</si>
  <si>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</si>
  <si>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</si>
  <si>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</si>
  <si>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</si>
  <si>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</si>
  <si>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</si>
  <si>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</si>
  <si>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</si>
  <si>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</si>
  <si>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</si>
  <si>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</si>
  <si>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</si>
  <si>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</si>
  <si>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</si>
  <si>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</si>
  <si>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</si>
  <si>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</si>
  <si>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</si>
  <si>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</si>
  <si>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</si>
  <si>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</si>
  <si>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</si>
  <si>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</si>
  <si>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</si>
  <si>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</si>
  <si>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</si>
  <si>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</si>
  <si>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</si>
  <si>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</si>
  <si>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</si>
  <si>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</si>
  <si>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</si>
  <si>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</si>
  <si>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</si>
  <si>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</si>
  <si>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</si>
  <si>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</si>
  <si>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</si>
  <si>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</si>
  <si>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</si>
  <si>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</si>
  <si>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</si>
  <si>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</si>
  <si>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</si>
  <si>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</si>
  <si>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</si>
  <si>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</si>
  <si>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</si>
  <si>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</si>
  <si>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</si>
  <si>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</si>
  <si>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</si>
  <si>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</si>
  <si>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</si>
  <si>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</si>
  <si>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</si>
  <si>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</si>
  <si>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</si>
  <si>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</si>
  <si>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</si>
  <si>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</si>
  <si>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</si>
  <si>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</si>
  <si>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</si>
  <si>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</si>
  <si>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</si>
  <si>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</si>
  <si>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</si>
  <si>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</si>
  <si>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</si>
  <si>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</si>
  <si>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</si>
  <si>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</si>
  <si>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</si>
  <si>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</si>
  <si>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</si>
  <si>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</si>
  <si>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</si>
  <si>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</si>
  <si>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</si>
  <si>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</si>
  <si>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</si>
  <si>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</si>
  <si>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</si>
  <si>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</si>
  <si>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</si>
  <si>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</si>
  <si>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</si>
  <si>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</si>
  <si>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</si>
  <si>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</si>
  <si>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</si>
  <si>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</si>
  <si>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</si>
  <si>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</si>
  <si>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</si>
  <si>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</si>
  <si>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</si>
  <si>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</si>
  <si>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</si>
  <si>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</si>
  <si>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</si>
  <si>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</si>
  <si>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</si>
  <si>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</si>
  <si>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</si>
  <si>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</si>
  <si>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</si>
  <si>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</si>
  <si>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</si>
  <si>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</si>
  <si>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</si>
  <si>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</si>
  <si>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</si>
  <si>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</si>
  <si>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</si>
  <si>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</si>
  <si>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</si>
  <si>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</si>
  <si>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</si>
  <si>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</si>
  <si>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</si>
  <si>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</si>
  <si>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</si>
  <si>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</si>
  <si>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</si>
  <si>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</si>
  <si>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</si>
  <si>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</si>
  <si>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</si>
  <si>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</si>
  <si>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</si>
  <si>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</si>
  <si>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</si>
  <si>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</si>
  <si>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</si>
  <si>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</si>
  <si>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</si>
  <si>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</si>
  <si>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</si>
  <si>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</si>
  <si>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</si>
  <si>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</si>
  <si>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</si>
  <si>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</si>
  <si>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</si>
  <si>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</si>
  <si>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</si>
  <si>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</si>
  <si>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</si>
  <si>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</si>
  <si>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</si>
  <si>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</si>
  <si>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</si>
  <si>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</si>
  <si>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</si>
  <si>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</si>
  <si>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</si>
  <si>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</si>
  <si>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</si>
  <si>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</si>
  <si>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</si>
  <si>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</si>
  <si>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</si>
  <si>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</si>
  <si>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</si>
  <si>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</si>
  <si>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</si>
  <si>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</si>
  <si>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</si>
  <si>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</si>
  <si>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</si>
  <si>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</si>
  <si>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</si>
  <si>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</si>
  <si>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</si>
  <si>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</si>
  <si>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</si>
  <si>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</si>
  <si>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</si>
  <si>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</si>
  <si>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</si>
  <si>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</si>
  <si>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</si>
  <si>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</si>
  <si>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</si>
  <si>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</si>
  <si>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</si>
  <si>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</si>
  <si>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</si>
  <si>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</si>
  <si>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</si>
  <si>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</si>
  <si>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</si>
  <si>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</si>
  <si>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</si>
  <si>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</si>
  <si>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</si>
  <si>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</si>
  <si>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</si>
  <si>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</si>
  <si>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</si>
  <si>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</si>
  <si>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</si>
  <si>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</si>
  <si>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</si>
  <si>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</si>
  <si>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</si>
  <si>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</si>
  <si>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</si>
  <si>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</si>
  <si>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</si>
  <si>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</si>
  <si>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</si>
  <si>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</si>
  <si>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</si>
  <si>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</si>
  <si>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</si>
  <si>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</si>
  <si>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Doanh nghiệp Hàng đầu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</si>
  <si>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</si>
  <si>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</si>
  <si>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</si>
  <si>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</si>
  <si>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</si>
  <si>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</si>
  <si>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</si>
  <si>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</si>
  <si>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</si>
  <si>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</si>
  <si>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</si>
  <si>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</si>
  <si>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</si>
  <si>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</si>
  <si>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</si>
  <si>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</si>
  <si>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</si>
  <si>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</si>
  <si>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</si>
  <si>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BID</t>
  </si>
  <si>
    <t>2246.2</t>
  </si>
  <si>
    <t>3</t>
  </si>
  <si>
    <t>BSR</t>
  </si>
  <si>
    <t>2246.3</t>
  </si>
  <si>
    <t>4</t>
  </si>
  <si>
    <t>CEO</t>
  </si>
  <si>
    <t>2246.4</t>
  </si>
  <si>
    <t>5</t>
  </si>
  <si>
    <t>CTG</t>
  </si>
  <si>
    <t>2246.5</t>
  </si>
  <si>
    <t>6</t>
  </si>
  <si>
    <t>CTR</t>
  </si>
  <si>
    <t>2246.6</t>
  </si>
  <si>
    <t>7</t>
  </si>
  <si>
    <t>DIG</t>
  </si>
  <si>
    <t>2246.7</t>
  </si>
  <si>
    <t>8</t>
  </si>
  <si>
    <t>DPG</t>
  </si>
  <si>
    <t>2246.8</t>
  </si>
  <si>
    <t>9</t>
  </si>
  <si>
    <t>DXG</t>
  </si>
  <si>
    <t>2246.9</t>
  </si>
  <si>
    <t>10</t>
  </si>
  <si>
    <t>FPT</t>
  </si>
  <si>
    <t>2246.10</t>
  </si>
  <si>
    <t>11</t>
  </si>
  <si>
    <t>GAS</t>
  </si>
  <si>
    <t>2246.11</t>
  </si>
  <si>
    <t>12</t>
  </si>
  <si>
    <t>HDG</t>
  </si>
  <si>
    <t>2246.12</t>
  </si>
  <si>
    <t>13</t>
  </si>
  <si>
    <t>HPG</t>
  </si>
  <si>
    <t>2246.13</t>
  </si>
  <si>
    <t>14</t>
  </si>
  <si>
    <t>HSG</t>
  </si>
  <si>
    <t>2246.14</t>
  </si>
  <si>
    <t>15</t>
  </si>
  <si>
    <t>KBC</t>
  </si>
  <si>
    <t>2246.15</t>
  </si>
  <si>
    <t>16</t>
  </si>
  <si>
    <t>KDH</t>
  </si>
  <si>
    <t>2246.16</t>
  </si>
  <si>
    <t>17</t>
  </si>
  <si>
    <t>MBB</t>
  </si>
  <si>
    <t>2246.17</t>
  </si>
  <si>
    <t>18</t>
  </si>
  <si>
    <t>MSN</t>
  </si>
  <si>
    <t>2246.18</t>
  </si>
  <si>
    <t>19</t>
  </si>
  <si>
    <t>MWG</t>
  </si>
  <si>
    <t>2246.19</t>
  </si>
  <si>
    <t>20</t>
  </si>
  <si>
    <t>NLG</t>
  </si>
  <si>
    <t>2246.20</t>
  </si>
  <si>
    <t>21</t>
  </si>
  <si>
    <t>PDR</t>
  </si>
  <si>
    <t>2246.21</t>
  </si>
  <si>
    <t>22</t>
  </si>
  <si>
    <t>PLX</t>
  </si>
  <si>
    <t>2246.22</t>
  </si>
  <si>
    <t>23</t>
  </si>
  <si>
    <t>PNJ</t>
  </si>
  <si>
    <t>2246.23</t>
  </si>
  <si>
    <t>24</t>
  </si>
  <si>
    <t>POW</t>
  </si>
  <si>
    <t>2246.24</t>
  </si>
  <si>
    <t>25</t>
  </si>
  <si>
    <t>PTB</t>
  </si>
  <si>
    <t>2246.25</t>
  </si>
  <si>
    <t>26</t>
  </si>
  <si>
    <t>PVD</t>
  </si>
  <si>
    <t>2246.26</t>
  </si>
  <si>
    <t>27</t>
  </si>
  <si>
    <t>PVS</t>
  </si>
  <si>
    <t>2246.27</t>
  </si>
  <si>
    <t>28</t>
  </si>
  <si>
    <t>QNS</t>
  </si>
  <si>
    <t>2246.28</t>
  </si>
  <si>
    <t>29</t>
  </si>
  <si>
    <t>SAB</t>
  </si>
  <si>
    <t>2246.29</t>
  </si>
  <si>
    <t>30</t>
  </si>
  <si>
    <t>SSI</t>
  </si>
  <si>
    <t>2246.30</t>
  </si>
  <si>
    <t>31</t>
  </si>
  <si>
    <t>STB</t>
  </si>
  <si>
    <t>2246.31</t>
  </si>
  <si>
    <t>32</t>
  </si>
  <si>
    <t>TCB</t>
  </si>
  <si>
    <t>2246.32</t>
  </si>
  <si>
    <t>33</t>
  </si>
  <si>
    <t>TNG</t>
  </si>
  <si>
    <t>2246.33</t>
  </si>
  <si>
    <t>34</t>
  </si>
  <si>
    <t>VCB</t>
  </si>
  <si>
    <t>2246.34</t>
  </si>
  <si>
    <t>35</t>
  </si>
  <si>
    <t>VCI</t>
  </si>
  <si>
    <t>2246.35</t>
  </si>
  <si>
    <t>36</t>
  </si>
  <si>
    <t>VHC</t>
  </si>
  <si>
    <t>2246.36</t>
  </si>
  <si>
    <t>37</t>
  </si>
  <si>
    <t>VHM</t>
  </si>
  <si>
    <t>2246.37</t>
  </si>
  <si>
    <t>38</t>
  </si>
  <si>
    <t>VIB</t>
  </si>
  <si>
    <t>2246.38</t>
  </si>
  <si>
    <t>39</t>
  </si>
  <si>
    <t>VPB</t>
  </si>
  <si>
    <t>2246.39</t>
  </si>
  <si>
    <t>40</t>
  </si>
  <si>
    <t>VRE</t>
  </si>
  <si>
    <t>2246.40</t>
  </si>
  <si>
    <t>2247</t>
  </si>
  <si>
    <t>III</t>
  </si>
  <si>
    <t>CỔ PHIẾU CHƯA NIÊM YẾT, ĐĂNG KÝ GIAO DỊCH, CHỨNG CHỈ QUỸ KHÔNG NIÊM YẾT
SHARES UNLISTED, UNREGISTERED FOR TRADING, UNLISTED FUND CERTIFICATES</t>
  </si>
  <si>
    <t>2248</t>
  </si>
  <si>
    <t>2249</t>
  </si>
  <si>
    <t>IV</t>
  </si>
  <si>
    <t>TRÁI PHIẾU
	BONDS</t>
  </si>
  <si>
    <t>2251</t>
  </si>
  <si>
    <t>1</t>
  </si>
  <si>
    <t>Trái phiếu niêm yết
Listed bonds</t>
  </si>
  <si>
    <t>2251.1</t>
  </si>
  <si>
    <t>2</t>
  </si>
  <si>
    <t>Trái phiếu chưa niêm yết
Unlisted Bonds</t>
  </si>
  <si>
    <t>2251.2</t>
  </si>
  <si>
    <t>2252</t>
  </si>
  <si>
    <t>V</t>
  </si>
  <si>
    <t>CÁC LOẠI CHỨNG KHOÁN KHÁC
	OTHER SECURITIES</t>
  </si>
  <si>
    <t>2253</t>
  </si>
  <si>
    <t>1</t>
  </si>
  <si>
    <t>2253.1</t>
  </si>
  <si>
    <t>2</t>
  </si>
  <si>
    <t>Chi tiết loại hợp đồng phái sinh(*)
Index future contracts</t>
  </si>
  <si>
    <t>2253.2</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</si>
  <si>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</si>
  <si>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</si>
  <si>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</si>
  <si>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</si>
  <si>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</si>
  <si>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</si>
  <si>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</si>
  <si>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</si>
  <si>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</si>
  <si>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</si>
  <si>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</si>
  <si>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</si>
  <si>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</si>
  <si>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</si>
  <si>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</si>
  <si>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</si>
  <si>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</si>
  <si>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</si>
  <si>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</si>
  <si>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2256.5</t>
  </si>
  <si>
    <t>6</t>
  </si>
  <si>
    <t>Phải thu khác
Other receivables</t>
  </si>
  <si>
    <t>2256.6</t>
  </si>
  <si>
    <t>7</t>
  </si>
  <si>
    <t>Tài sản khác
Other assets</t>
  </si>
  <si>
    <t>2256.7</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</si>
  <si>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</si>
  <si>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</si>
  <si>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</si>
  <si>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</si>
  <si>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</si>
  <si>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</si>
  <si>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</si>
  <si>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</si>
  <si>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</si>
  <si>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</si>
  <si>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</si>
  <si>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</si>
  <si>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</si>
  <si>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</si>
  <si>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</si>
  <si>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</si>
  <si>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</si>
  <si>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</si>
  <si>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</si>
  <si>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</si>
  <si>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</si>
  <si>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</si>
  <si>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</si>
  <si>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</si>
  <si>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</si>
  <si>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</si>
  <si>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</si>
  <si>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</si>
  <si>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</si>
  <si>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</si>
  <si>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</si>
  <si>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</si>
  <si>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</si>
  <si>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</si>
  <si>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</si>
  <si>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</si>
  <si>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</si>
  <si>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</si>
  <si>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</si>
  <si>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</si>
  <si>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</si>
  <si>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</si>
  <si>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</si>
  <si>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</si>
  <si>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</si>
  <si>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</si>
  <si>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</si>
  <si>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</si>
  <si>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</si>
  <si>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</si>
  <si>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</si>
  <si>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</si>
  <si>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</si>
  <si>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</si>
  <si>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</si>
  <si>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</si>
  <si>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</si>
  <si>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</si>
  <si>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</si>
  <si>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</si>
  <si>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</si>
  <si>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</si>
  <si>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</si>
  <si>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</si>
  <si>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</si>
  <si>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</si>
  <si>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</si>
  <si>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</si>
  <si>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</si>
  <si>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</si>
  <si>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</si>
  <si>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</si>
  <si>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</si>
  <si>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</si>
  <si>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</si>
  <si>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</si>
  <si>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</si>
  <si>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</si>
  <si>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</si>
  <si>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</si>
  <si>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</si>
  <si>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</si>
  <si>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</si>
  <si>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</si>
  <si>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</si>
  <si>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</si>
  <si>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</si>
  <si>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</si>
  <si>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</si>
  <si>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</si>
  <si>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</si>
  <si>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</si>
  <si>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</si>
  <si>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</si>
  <si>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</si>
  <si>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</si>
  <si>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</si>
  <si>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
  </si>
  <si>
    <t>Tiền gửi ngân hàng Cash at bank</t>
  </si>
  <si>
    <t>2203</t>
  </si>
  <si>
    <t>...</t>
  </si>
  <si>
    <t>...</t>
  </si>
  <si>
    <t>...</t>
  </si>
  <si>
    <t>...</t>
  </si>
  <si>
    <t>...</t>
  </si>
  <si>
    <t/>
  </si>
  <si>
    <t>2203.1</t>
  </si>
  <si>
    <t/>
  </si>
  <si>
    <t>Tiền phải trả cho Nhà đầu tư về mua lại chứng chỉ quỹ
Cash at bank for Fund's redemption</t>
  </si>
  <si>
    <t>2203.2</t>
  </si>
  <si>
    <t/>
  </si>
  <si>
    <t>2203.3</t>
  </si>
  <si>
    <t/>
  </si>
  <si>
    <t>2203.4</t>
  </si>
  <si>
    <t/>
  </si>
  <si>
    <t>Tiền, tương đương tiền
Cash, cash equivalents</t>
  </si>
  <si>
    <t>2203.5</t>
  </si>
  <si>
    <t>I.2</t>
  </si>
  <si>
    <t>Các khoản đầu tư (kê chi tiết)
Investments</t>
  </si>
  <si>
    <t>2205</t>
  </si>
  <si>
    <t>...</t>
  </si>
  <si>
    <t>...</t>
  </si>
  <si>
    <t>...</t>
  </si>
  <si>
    <t>...</t>
  </si>
  <si>
    <t>...</t>
  </si>
  <si>
    <t/>
  </si>
  <si>
    <t>2205.1</t>
  </si>
  <si>
    <t/>
  </si>
  <si>
    <t>2205.2</t>
  </si>
  <si>
    <t/>
  </si>
  <si>
    <t>Trái phiếu
Bonds</t>
  </si>
  <si>
    <t>2205.3</t>
  </si>
  <si>
    <t/>
  </si>
  <si>
    <t>Chứng chỉ tiền gửi 
Certificates of Deposit</t>
  </si>
  <si>
    <t>2205.4</t>
  </si>
  <si>
    <t/>
  </si>
  <si>
    <t>2205.5</t>
  </si>
  <si>
    <t/>
  </si>
  <si>
    <t>2205.6</t>
  </si>
  <si>
    <t/>
  </si>
  <si>
    <t>2205.7</t>
  </si>
  <si>
    <t/>
  </si>
  <si>
    <t>Đầu tư khác
Other investments</t>
  </si>
  <si>
    <t>2205.8</t>
  </si>
  <si>
    <t/>
  </si>
  <si>
    <t>2205.9</t>
  </si>
  <si>
    <t>I.3</t>
  </si>
  <si>
    <t>Thu từ cho thuê bất động sản đầu tư (không áp dụng)
Receivables from rental of investment property (not applicable)</t>
  </si>
  <si>
    <t>2220</t>
  </si>
  <si>
    <t>...</t>
  </si>
  <si>
    <t>...</t>
  </si>
  <si>
    <t>...</t>
  </si>
  <si>
    <t>...</t>
  </si>
  <si>
    <t>...</t>
  </si>
  <si>
    <t>I.4</t>
  </si>
  <si>
    <t>Cổ tức, trái tức được nhận
Dividend, Coupon receivables</t>
  </si>
  <si>
    <t>2206</t>
  </si>
  <si>
    <t>...</t>
  </si>
  <si>
    <t>...</t>
  </si>
  <si>
    <t>...</t>
  </si>
  <si>
    <t>...</t>
  </si>
  <si>
    <t>...</t>
  </si>
  <si>
    <t/>
  </si>
  <si>
    <t>2206.1</t>
  </si>
  <si>
    <t/>
  </si>
  <si>
    <t>2206.2</t>
  </si>
  <si>
    <t>I.5</t>
  </si>
  <si>
    <t>Lãi được nhận
Interest receivables</t>
  </si>
  <si>
    <t>2207</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</si>
  <si>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</si>
  <si>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</si>
  <si>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</si>
  <si>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</si>
  <si>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</si>
  <si>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</si>
  <si>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</si>
  <si>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</si>
  <si>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</si>
  <si>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</si>
  <si>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</si>
  <si>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</si>
  <si>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</si>
  <si>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</si>
  <si>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</si>
  <si>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</si>
  <si>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</si>
  <si>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</si>
  <si>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</si>
  <si>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</si>
  <si>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</si>
  <si>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</si>
  <si>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I.7</t>
  </si>
  <si>
    <t>Tiền bán chứng khoán chờ thu
Securities Trading Receivables</t>
  </si>
  <si>
    <t>2208</t>
  </si>
  <si>
    <t>...</t>
  </si>
  <si>
    <t>...</t>
  </si>
  <si>
    <t>...</t>
  </si>
  <si>
    <t>...</t>
  </si>
  <si>
    <t>...</t>
  </si>
  <si>
    <t>I.8</t>
  </si>
  <si>
    <t>Các khoản phải thu khác
Other Receivables</t>
  </si>
  <si>
    <t>2210</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</si>
  <si>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</si>
  <si>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</si>
  <si>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</si>
  <si>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</si>
  <si>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</si>
  <si>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</si>
  <si>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</si>
  <si>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</si>
  <si>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</si>
  <si>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</si>
  <si>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</si>
  <si>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</si>
  <si>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2210.3</t>
  </si>
  <si>
    <t>I.9</t>
  </si>
  <si>
    <t>Các tài sản khác
Other Assets</t>
  </si>
  <si>
    <t>2211</t>
  </si>
  <si>
    <t>...</t>
  </si>
  <si>
    <t>...</t>
  </si>
  <si>
    <t>...</t>
  </si>
  <si>
    <t>...</t>
  </si>
  <si>
    <t>...</t>
  </si>
  <si>
    <t>I.10</t>
  </si>
  <si>
    <t>2212</t>
  </si>
  <si>
    <t>II</t>
  </si>
  <si>
    <t>NỢ
LIABILITIES</t>
  </si>
  <si>
    <t>2213</t>
  </si>
  <si>
    <t>II.1</t>
  </si>
  <si>
    <t>Tiền phải thanh toán mua bất động sản (không áp dụng)
Real Estate Trading Payables (not applicable)</t>
  </si>
  <si>
    <t>2222</t>
  </si>
  <si>
    <t>...</t>
  </si>
  <si>
    <t>...</t>
  </si>
  <si>
    <t>...</t>
  </si>
  <si>
    <t>...</t>
  </si>
  <si>
    <t>...</t>
  </si>
  <si>
    <t>II.2</t>
  </si>
  <si>
    <t>Tiền phải thanh toán mua chứng khoán
Securities Trading Payables</t>
  </si>
  <si>
    <t>2214</t>
  </si>
  <si>
    <t>...</t>
  </si>
  <si>
    <t>...</t>
  </si>
  <si>
    <t>...</t>
  </si>
  <si>
    <t>...</t>
  </si>
  <si>
    <t>...</t>
  </si>
  <si>
    <t>II.3</t>
  </si>
  <si>
    <t>Các khoản phải trả khác
Other Payables</t>
  </si>
  <si>
    <t>2215</t>
  </si>
  <si>
    <t>...</t>
  </si>
  <si>
    <t>...</t>
  </si>
  <si>
    <t>...</t>
  </si>
  <si>
    <t>...</t>
  </si>
  <si>
    <t>...</t>
  </si>
  <si>
    <t/>
  </si>
  <si>
    <t>Phải trả nhà đầu tư
Payables to investors</t>
  </si>
  <si>
    <t>2215.1</t>
  </si>
  <si>
    <t/>
  </si>
  <si>
    <t>2215.1.1</t>
  </si>
  <si>
    <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</si>
  <si>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</si>
  <si>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</si>
  <si>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</si>
  <si>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</si>
  <si>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</si>
  <si>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</si>
  <si>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</si>
  <si>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</si>
  <si>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</si>
  <si>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</si>
  <si>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</si>
  <si>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</si>
  <si>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</si>
  <si>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</si>
  <si>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</si>
  <si>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</si>
  <si>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</si>
  <si>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</si>
  <si>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</si>
  <si>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</si>
  <si>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</si>
  <si>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</si>
  <si>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</si>
  <si>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</si>
  <si>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</si>
  <si>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</si>
  <si>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</si>
  <si>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</si>
  <si>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</si>
  <si>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2215.9</t>
  </si>
  <si>
    <t/>
  </si>
  <si>
    <t>Phải trả phí môi giới
Brokerage fee payable</t>
  </si>
  <si>
    <t>2215.9.1</t>
  </si>
  <si>
    <t/>
  </si>
  <si>
    <t>Phải trả phí phát hành thanh toán bù trừ chứng khoán
Clearing Settlement fee payable</t>
  </si>
  <si>
    <t>2215.9.2</t>
  </si>
  <si>
    <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</si>
  <si>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</si>
  <si>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</si>
  <si>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</si>
  <si>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</si>
  <si>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</si>
  <si>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</si>
  <si>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</si>
  <si>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</si>
  <si>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</si>
  <si>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</si>
  <si>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</si>
  <si>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</si>
  <si>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</si>
  <si>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</si>
  <si>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</si>
  <si>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</si>
  <si>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</si>
  <si>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</si>
  <si>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</si>
  <si>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</si>
  <si>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</si>
  <si>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</si>
  <si>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</si>
  <si>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</si>
  <si>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</si>
  <si>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</si>
  <si>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</si>
  <si>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</si>
  <si>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</si>
  <si>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2215.17</t>
  </si>
  <si>
    <t/>
  </si>
  <si>
    <t>2215.17.1</t>
  </si>
  <si>
    <t/>
  </si>
  <si>
    <t>2215.17.2</t>
  </si>
  <si>
    <t/>
  </si>
  <si>
    <t>Trích trước phí quản lý thường niên trả UBCKNN
Accrued expense for Annual Management Fee pay to SSC</t>
  </si>
  <si>
    <t>2215.17.3</t>
  </si>
  <si>
    <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</si>
  <si>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</si>
  <si>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</si>
  <si>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</si>
  <si>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</si>
  <si>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</si>
  <si>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</si>
  <si>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</si>
  <si>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</si>
  <si>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</si>
  <si>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</si>
  <si>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</si>
  <si>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</si>
  <si>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</si>
  <si>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</si>
  <si>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</si>
  <si>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</si>
  <si>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</si>
  <si>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</si>
  <si>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</si>
  <si>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</si>
  <si>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</si>
  <si>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</si>
  <si>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</si>
  <si>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</si>
  <si>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</si>
  <si>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04 năm 2023
/ As at 30 Apr 2023</t>
  </si>
  <si>
    <t>Tháng 04 năm 2023
/ Apr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</si>
  <si>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</si>
  <si>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</si>
  <si>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</si>
  <si>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</si>
  <si>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05 tháng 05 năm 2023</t>
  </si>
  <si>
    <t>05 May 2023</t>
  </si>
  <si>
    <t>Trịnh Hoài Nam</t>
  </si>
  <si>
    <t>Nguyễn Minh Đăng Khánh</t>
  </si>
  <si>
    <t>Phó phòng Dịch vụ Quản trị và Giám sát Quỹ</t>
  </si>
  <si>
    <t>Giám đốc điều hành Nghiệp vụ hỗ trợ đầu tư</t>
  </si>
  <si>
    <t>Ngày 30 tháng 04 năm 2023
 As at 30 Apr 2023</t>
  </si>
  <si>
    <t>Ngày 31 tháng 03 năm 2023
 As at 31 Mar 2023</t>
  </si>
  <si>
    <t>Tháng 04 năm 2023
Apr 2023</t>
  </si>
  <si>
    <t>Tháng 03 năm 2023
Mar 2023</t>
  </si>
  <si>
    <t>Năm 2023
Year 2023</t>
  </si>
  <si>
    <t>Năm 2022
Year 2022</t>
  </si>
  <si>
    <t>Tháng 04 năm 2022
Apr 2022</t>
  </si>
  <si>
    <t>Phạm Thị Như Thảo</t>
  </si>
  <si>
    <t>Ninh Thị Tuệ Minh</t>
  </si>
  <si>
    <t>Kế toán Quỹ</t>
  </si>
  <si>
    <t>Trưởng phòng Kế toán Quỹ</t>
  </si>
  <si>
    <t>DC Blue Chip Fund(DCBC)</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</si>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</sst>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42">
    <xf numFmtId="0" fontId="0" fillId="0" borderId="0" xfId="0"/>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10" fontId="23" fillId="3" borderId="21" xfId="0" applyNumberFormat="1" applyFont="1" applyFill="1" applyBorder="1" applyAlignment="1" applyProtection="1">
      <alignment horizontal="right" vertical="center" wrapText="1"/>
      <protection locked="0"/>
    </xf>
    <xf numFmtId="0" fontId="13" fillId="3" borderId="0" xfId="0" applyFont="1" applyFill="1" applyBorder="1" applyAlignment="1">
      <alignment vertical="center"/>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10" fillId="3" borderId="0" xfId="0" applyFont="1" applyFill="1" applyBorder="1" applyAlignment="1">
      <alignment horizontal="left" vertical="center" wrapText="1"/>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xf>
    <xf numFmtId="0" fontId="6" fillId="3" borderId="0" xfId="0" applyFont="1" applyFill="1" applyAlignment="1">
      <alignment horizontal="left" vertical="center" wrapText="1"/>
    </xf>
    <xf numFmtId="0" fontId="13"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50"/>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66"/>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70"/>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95"/>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59"/>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81"/>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20"/>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C45" sqref="C45"/>
    </sheetView>
  </sheetViews>
  <sheetFormatPr defaultColWidth="9.140625" defaultRowHeight="12.75"/>
  <cols>
    <col min="1" max="2" width="9.140625" style="117"/>
    <col min="3" max="3" width="30.140625" style="117" customWidth="1"/>
    <col min="4" max="4" width="30.85546875" style="117" customWidth="1"/>
    <col min="5" max="5" width="21.140625" style="117" customWidth="1"/>
    <col min="6" max="9" width="9.140625" style="117"/>
    <col min="10" max="10" width="11.85546875" style="117" customWidth="1"/>
    <col min="11" max="11" width="15" style="117" customWidth="1"/>
    <col min="12" max="16384" width="9.140625" style="117"/>
  </cols>
  <sheetData>
    <row r="1" spans="1:11">
      <c r="A1" s="116" t="s">
        <v>0</v>
      </c>
      <c r="C1" s="194" t="s">
        <v>1133</v>
      </c>
      <c r="D1" s="195"/>
    </row>
    <row r="2" spans="1:11">
      <c r="C2" s="118" t="s">
        <v>1134</v>
      </c>
      <c r="D2" s="119"/>
    </row>
    <row r="3" spans="1:11">
      <c r="D3" s="120"/>
    </row>
    <row r="4" spans="1:11">
      <c r="A4" s="116" t="s">
        <v>1</v>
      </c>
      <c r="D4" s="120"/>
    </row>
    <row r="5" spans="1:11" ht="15" customHeight="1">
      <c r="C5" s="121" t="s">
        <v>2</v>
      </c>
      <c r="D5" s="197" t="s">
        <v>1135</v>
      </c>
      <c r="E5" s="197"/>
      <c r="F5" s="197"/>
      <c r="G5" s="197"/>
      <c r="H5" s="197"/>
      <c r="I5" s="197"/>
    </row>
    <row r="6" spans="1:11">
      <c r="C6" s="111" t="s">
        <v>15</v>
      </c>
      <c r="D6" s="196" t="s">
        <v>1136</v>
      </c>
      <c r="E6" s="196"/>
      <c r="F6" s="196"/>
      <c r="G6" s="196"/>
      <c r="H6" s="196"/>
      <c r="I6" s="196"/>
    </row>
    <row r="7" spans="1:11">
      <c r="C7" s="122" t="s">
        <v>3</v>
      </c>
      <c r="D7" s="197" t="s">
        <v>1137</v>
      </c>
      <c r="E7" s="197"/>
      <c r="F7" s="197"/>
      <c r="G7" s="197"/>
      <c r="H7" s="197"/>
      <c r="I7" s="197"/>
    </row>
    <row r="8" spans="1:11" ht="15" customHeight="1">
      <c r="C8" s="114" t="s">
        <v>4</v>
      </c>
      <c r="D8" s="196" t="s">
        <v>1138</v>
      </c>
      <c r="E8" s="196"/>
      <c r="F8" s="196"/>
      <c r="G8" s="196"/>
      <c r="H8" s="196"/>
      <c r="I8" s="196"/>
    </row>
    <row r="9" spans="1:11" ht="15" customHeight="1">
      <c r="C9" s="122" t="s">
        <v>5</v>
      </c>
      <c r="D9" s="197" t="s">
        <v>590</v>
      </c>
      <c r="E9" s="197"/>
      <c r="F9" s="197"/>
      <c r="G9" s="197"/>
      <c r="H9" s="197"/>
      <c r="I9" s="197"/>
    </row>
    <row r="10" spans="1:11" ht="15" customHeight="1">
      <c r="C10" s="123" t="s">
        <v>6</v>
      </c>
      <c r="D10" s="196" t="s">
        <v>1156</v>
      </c>
      <c r="E10" s="196"/>
      <c r="F10" s="196"/>
      <c r="G10" s="196"/>
      <c r="H10" s="196"/>
      <c r="I10" s="196"/>
    </row>
    <row r="11" spans="1:11">
      <c r="C11" s="124" t="s">
        <v>7</v>
      </c>
      <c r="D11" s="197" t="s">
        <v>1139</v>
      </c>
      <c r="E11" s="197"/>
      <c r="F11" s="197"/>
      <c r="G11" s="197"/>
      <c r="H11" s="197"/>
      <c r="I11" s="197"/>
    </row>
    <row r="12" spans="1:11">
      <c r="C12" s="2" t="s">
        <v>8</v>
      </c>
      <c r="D12" s="196" t="s">
        <v>1140</v>
      </c>
      <c r="E12" s="196"/>
      <c r="F12" s="196"/>
      <c r="G12" s="196"/>
      <c r="H12" s="196"/>
      <c r="I12" s="196"/>
    </row>
    <row r="13" spans="1:11">
      <c r="D13" s="120"/>
    </row>
    <row r="14" spans="1:11">
      <c r="A14" s="116" t="s">
        <v>9</v>
      </c>
      <c r="D14" s="120"/>
    </row>
    <row r="15" spans="1:11">
      <c r="D15" s="120"/>
    </row>
    <row r="16" spans="1:11">
      <c r="C16" s="125" t="s">
        <v>10</v>
      </c>
      <c r="D16" s="126"/>
      <c r="F16" s="125" t="s">
        <v>11</v>
      </c>
      <c r="G16" s="127"/>
      <c r="H16" s="127"/>
      <c r="I16" s="127"/>
      <c r="J16" s="127"/>
      <c r="K16" s="128"/>
    </row>
    <row r="17" spans="3:11">
      <c r="C17" s="129" t="s">
        <v>12</v>
      </c>
      <c r="D17" s="130"/>
      <c r="F17" s="129" t="s">
        <v>13</v>
      </c>
      <c r="G17" s="131"/>
      <c r="H17" s="131"/>
      <c r="I17" s="131"/>
      <c r="J17" s="131"/>
      <c r="K17" s="132"/>
    </row>
    <row r="18" spans="3:11">
      <c r="C18" s="133"/>
      <c r="D18" s="130"/>
      <c r="F18" s="133"/>
      <c r="G18" s="131"/>
      <c r="H18" s="131"/>
      <c r="I18" s="131"/>
      <c r="J18" s="131"/>
      <c r="K18" s="132"/>
    </row>
    <row r="19" spans="3:11">
      <c r="C19" s="134" t="s">
        <v>14</v>
      </c>
      <c r="D19" s="130"/>
      <c r="F19" s="134" t="s">
        <v>1135</v>
      </c>
      <c r="G19" s="131"/>
      <c r="H19" s="131"/>
      <c r="I19" s="131"/>
      <c r="J19" s="131"/>
      <c r="K19" s="132"/>
    </row>
    <row r="20" spans="3:11">
      <c r="C20" s="135" t="s">
        <v>1141</v>
      </c>
      <c r="D20" s="130"/>
      <c r="F20" s="134" t="s">
        <v>1142</v>
      </c>
      <c r="G20" s="131"/>
      <c r="H20" s="131"/>
      <c r="I20" s="131"/>
      <c r="J20" s="131"/>
      <c r="K20" s="132"/>
    </row>
    <row r="21" spans="3:11">
      <c r="C21" s="136" t="s">
        <v>1143</v>
      </c>
      <c r="D21" s="119"/>
      <c r="F21" s="137" t="s">
        <v>1144</v>
      </c>
      <c r="G21" s="138"/>
      <c r="H21" s="138"/>
      <c r="I21" s="138"/>
      <c r="J21" s="138"/>
      <c r="K21" s="139"/>
    </row>
    <row r="22" spans="3:11">
      <c r="D22" s="120"/>
    </row>
    <row r="23" spans="3:11">
      <c r="D23" s="120"/>
    </row>
    <row r="24" spans="3:11">
      <c r="D24" s="120"/>
    </row>
    <row r="25" spans="3:11">
      <c r="D25" s="120"/>
    </row>
    <row r="26" spans="3:11">
      <c r="D26" s="120"/>
    </row>
    <row r="27" spans="3:11">
      <c r="D27" s="120"/>
    </row>
    <row r="28" spans="3:11">
      <c r="D28" s="120"/>
    </row>
    <row r="29" spans="3:11">
      <c r="D29" s="120"/>
    </row>
    <row r="30" spans="3:11">
      <c r="D30" s="120"/>
    </row>
    <row r="31" spans="3:11">
      <c r="D31" s="120"/>
    </row>
    <row r="32" spans="3:11">
      <c r="D32" s="120"/>
    </row>
    <row r="33" spans="4:4">
      <c r="D33" s="120"/>
    </row>
    <row r="34" spans="4:4">
      <c r="D34" s="140"/>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97" zoomScaleNormal="100" zoomScaleSheetLayoutView="100" workbookViewId="0">
      <selection activeCell="D105" sqref="D105:F108"/>
    </sheetView>
  </sheetViews>
  <sheetFormatPr defaultColWidth="8.7109375" defaultRowHeight="12.75"/>
  <cols>
    <col min="1" max="1" width="8.7109375" style="1"/>
    <col min="2" max="2" width="44.28515625" style="1" customWidth="1"/>
    <col min="3" max="3" width="10.28515625" style="1" customWidth="1"/>
    <col min="4" max="5" width="41.140625" style="1" customWidth="1"/>
    <col min="6" max="6" width="37.5703125" style="1" customWidth="1"/>
    <col min="7" max="16384" width="8.7109375" style="1"/>
  </cols>
  <sheetData>
    <row r="1" spans="1:6" s="2" customFormat="1" ht="54.75" customHeight="1">
      <c r="A1" s="199" t="s">
        <v>583</v>
      </c>
      <c r="B1" s="199"/>
      <c r="C1" s="199"/>
      <c r="D1" s="199"/>
      <c r="E1" s="199"/>
      <c r="F1" s="199"/>
    </row>
    <row r="2" spans="1:6" s="2" customFormat="1" ht="50.45" customHeight="1">
      <c r="A2" s="200" t="s">
        <v>584</v>
      </c>
      <c r="B2" s="200"/>
      <c r="C2" s="200"/>
      <c r="D2" s="200"/>
      <c r="E2" s="200"/>
      <c r="F2" s="200"/>
    </row>
    <row r="3" spans="1:6" s="2" customFormat="1">
      <c r="A3" s="201" t="s">
        <v>532</v>
      </c>
      <c r="B3" s="201"/>
      <c r="C3" s="201"/>
      <c r="D3" s="201"/>
      <c r="E3" s="201"/>
      <c r="F3" s="201"/>
    </row>
    <row r="4" spans="1:6" s="2" customFormat="1" ht="32.65" customHeight="1">
      <c r="A4" s="201"/>
      <c r="B4" s="201"/>
      <c r="C4" s="201"/>
      <c r="D4" s="201"/>
      <c r="E4" s="201"/>
      <c r="F4" s="201"/>
    </row>
    <row r="5" spans="1:6" s="2" customFormat="1" ht="16.899999999999999" customHeight="1">
      <c r="A5" s="202" t="s">
        <v>1133</v>
      </c>
      <c r="B5" s="202"/>
      <c r="C5" s="202"/>
      <c r="D5" s="202"/>
      <c r="E5" s="202"/>
      <c r="F5" s="202"/>
    </row>
    <row r="6" spans="1:6">
      <c r="A6" s="12"/>
      <c r="B6" s="12"/>
      <c r="C6" s="12"/>
      <c r="D6" s="12"/>
      <c r="E6" s="12"/>
      <c r="F6" s="12"/>
    </row>
    <row r="7" spans="1:6" ht="16.899999999999999" customHeight="1">
      <c r="A7" s="198" t="s">
        <v>2</v>
      </c>
      <c r="B7" s="198"/>
      <c r="C7" s="198" t="s">
        <v>1135</v>
      </c>
      <c r="D7" s="198"/>
      <c r="E7" s="198"/>
      <c r="F7" s="198"/>
    </row>
    <row r="8" spans="1:6" s="2" customFormat="1" ht="16.899999999999999" customHeight="1">
      <c r="A8" s="196" t="s">
        <v>15</v>
      </c>
      <c r="B8" s="196"/>
      <c r="C8" s="196" t="s">
        <v>1136</v>
      </c>
      <c r="D8" s="196"/>
      <c r="E8" s="196"/>
      <c r="F8" s="196"/>
    </row>
    <row r="9" spans="1:6" ht="16.899999999999999" customHeight="1">
      <c r="A9" s="198" t="s">
        <v>3</v>
      </c>
      <c r="B9" s="198"/>
      <c r="C9" s="198" t="s">
        <v>1137</v>
      </c>
      <c r="D9" s="198"/>
      <c r="E9" s="198"/>
      <c r="F9" s="198"/>
    </row>
    <row r="10" spans="1:6" s="2" customFormat="1" ht="16.899999999999999" customHeight="1">
      <c r="A10" s="196" t="s">
        <v>4</v>
      </c>
      <c r="B10" s="196"/>
      <c r="C10" s="196" t="s">
        <v>1138</v>
      </c>
      <c r="D10" s="196"/>
      <c r="E10" s="196"/>
      <c r="F10" s="196"/>
    </row>
    <row r="11" spans="1:6" ht="16.899999999999999" customHeight="1">
      <c r="A11" s="198" t="s">
        <v>5</v>
      </c>
      <c r="B11" s="198"/>
      <c r="C11" s="198" t="s">
        <v>590</v>
      </c>
      <c r="D11" s="198"/>
      <c r="E11" s="198"/>
      <c r="F11" s="198"/>
    </row>
    <row r="12" spans="1:6" s="2" customFormat="1" ht="16.899999999999999" customHeight="1">
      <c r="A12" s="196" t="s">
        <v>6</v>
      </c>
      <c r="B12" s="196"/>
      <c r="C12" s="196" t="s">
        <v>1156</v>
      </c>
      <c r="D12" s="196"/>
      <c r="E12" s="196"/>
      <c r="F12" s="196"/>
    </row>
    <row r="13" spans="1:6" ht="16.899999999999999" customHeight="1">
      <c r="A13" s="198" t="s">
        <v>7</v>
      </c>
      <c r="B13" s="198"/>
      <c r="C13" s="198" t="s">
        <v>1139</v>
      </c>
      <c r="D13" s="198"/>
      <c r="E13" s="198"/>
      <c r="F13" s="198"/>
    </row>
    <row r="14" spans="1:6" s="2" customFormat="1" ht="16.899999999999999" customHeight="1">
      <c r="A14" s="196" t="s">
        <v>8</v>
      </c>
      <c r="B14" s="196"/>
      <c r="C14" s="196" t="s">
        <v>1140</v>
      </c>
      <c r="D14" s="196"/>
      <c r="E14" s="196"/>
      <c r="F14" s="196"/>
    </row>
    <row r="15" spans="1:6" s="2" customFormat="1" ht="7.5" customHeight="1">
      <c r="A15" s="11"/>
      <c r="B15" s="11"/>
      <c r="C15" s="11"/>
      <c r="D15" s="11"/>
      <c r="E15" s="11"/>
      <c r="F15" s="11"/>
    </row>
    <row r="16" spans="1:6" s="2" customFormat="1" ht="16.899999999999999" customHeight="1">
      <c r="A16" s="106" t="s">
        <v>581</v>
      </c>
      <c r="B16" s="107" t="s">
        <v>582</v>
      </c>
      <c r="C16" s="11"/>
      <c r="D16" s="11"/>
      <c r="E16" s="11"/>
      <c r="F16" s="11"/>
    </row>
    <row r="17" spans="1:6" s="2" customFormat="1" ht="16.899999999999999" customHeight="1">
      <c r="A17" s="108" t="s">
        <v>16</v>
      </c>
      <c r="B17" s="109" t="s">
        <v>533</v>
      </c>
      <c r="C17" s="11"/>
      <c r="D17" s="11"/>
      <c r="E17" s="11"/>
      <c r="F17" s="11"/>
    </row>
    <row r="18" spans="1:6" s="2" customFormat="1" ht="50.65" customHeight="1">
      <c r="A18" s="10" t="s">
        <v>17</v>
      </c>
      <c r="B18" s="8" t="s">
        <v>18</v>
      </c>
      <c r="C18" s="10" t="s">
        <v>19</v>
      </c>
      <c r="D18" s="9" t="s">
        <v>1145</v>
      </c>
      <c r="E18" s="9" t="s">
        <v>1146</v>
      </c>
      <c r="F18" s="66" t="s">
        <v>20</v>
      </c>
    </row>
    <row r="19" spans="1:6" ht="39" customHeight="1">
      <c r="A19" s="187" t="s">
        <v>858</v>
      </c>
      <c r="B19" s="186" t="s">
        <v>859</v>
      </c>
      <c r="C19" s="187" t="s">
        <v>860</v>
      </c>
      <c r="D19" s="189"/>
      <c r="E19" s="189"/>
      <c r="F19" s="188"/>
    </row>
    <row r="20" spans="1:6" ht="39" customHeight="1">
      <c r="A20" s="182" t="s">
        <v>861</v>
      </c>
      <c r="B20" s="181" t="s">
        <v>862</v>
      </c>
      <c r="C20" s="182" t="s">
        <v>863</v>
      </c>
      <c r="D20" s="185">
        <v>36794992970</v>
      </c>
      <c r="E20" s="185">
        <v>38535725726</v>
      </c>
      <c r="F20" s="184">
        <v>0.44073723424734101</v>
      </c>
    </row>
    <row r="21" spans="1:6" ht="39" customHeight="1">
      <c r="A21" s="182" t="s">
        <v>864</v>
      </c>
      <c r="B21" s="181" t="s">
        <v>865</v>
      </c>
      <c r="C21" s="182" t="s">
        <v>866</v>
      </c>
      <c r="D21" s="185"/>
      <c r="E21" s="185"/>
      <c r="F21" s="184"/>
    </row>
    <row r="22" spans="1:6" ht="39" customHeight="1">
      <c r="A22" s="182" t="s">
        <v>867</v>
      </c>
      <c r="B22" s="181" t="s">
        <v>537</v>
      </c>
      <c r="C22" s="182" t="s">
        <v>868</v>
      </c>
      <c r="D22" s="185" t="s">
        <v>869</v>
      </c>
      <c r="E22" s="185" t="s">
        <v>870</v>
      </c>
      <c r="F22" s="184" t="s">
        <v>871</v>
      </c>
    </row>
    <row r="23" spans="1:6" ht="39" customHeight="1">
      <c r="A23" s="182" t="s">
        <v>872</v>
      </c>
      <c r="B23" s="181" t="s">
        <v>873</v>
      </c>
      <c r="C23" s="182" t="s">
        <v>874</v>
      </c>
      <c r="D23" s="185">
        <v>36794992970</v>
      </c>
      <c r="E23" s="185">
        <v>38535725726</v>
      </c>
      <c r="F23" s="184">
        <v>0.44073723424734101</v>
      </c>
    </row>
    <row r="24" spans="1:6" ht="39" customHeight="1">
      <c r="A24" s="182" t="s">
        <v>875</v>
      </c>
      <c r="B24" s="181" t="s">
        <v>537</v>
      </c>
      <c r="C24" s="182" t="s">
        <v>876</v>
      </c>
      <c r="D24" s="185" t="s">
        <v>877</v>
      </c>
      <c r="E24" s="185" t="s">
        <v>878</v>
      </c>
      <c r="F24" s="184" t="s">
        <v>879</v>
      </c>
    </row>
    <row r="25" spans="1:6" ht="48" customHeight="1">
      <c r="A25" s="182" t="s">
        <v>880</v>
      </c>
      <c r="B25" s="181" t="s">
        <v>326</v>
      </c>
      <c r="C25" s="182" t="s">
        <v>881</v>
      </c>
      <c r="D25" s="185">
        <v>234260398</v>
      </c>
      <c r="E25" s="185">
        <v>181812445</v>
      </c>
      <c r="F25" s="184">
        <v>468.52079600000002</v>
      </c>
    </row>
    <row r="26" spans="1:6" ht="45" customHeight="1">
      <c r="A26" s="182" t="s">
        <v>882</v>
      </c>
      <c r="B26" s="181" t="s">
        <v>883</v>
      </c>
      <c r="C26" s="182" t="s">
        <v>884</v>
      </c>
      <c r="D26" s="185">
        <v>1016323</v>
      </c>
      <c r="E26" s="185">
        <v>12345169</v>
      </c>
      <c r="F26" s="184">
        <v>1.8203947120369299E-2</v>
      </c>
    </row>
    <row r="27" spans="1:6" ht="42" customHeight="1">
      <c r="A27" s="182" t="s">
        <v>885</v>
      </c>
      <c r="B27" s="181" t="s">
        <v>330</v>
      </c>
      <c r="C27" s="182" t="s">
        <v>886</v>
      </c>
      <c r="D27" s="185">
        <v>36559716249</v>
      </c>
      <c r="E27" s="185">
        <v>38341568112</v>
      </c>
      <c r="F27" s="184">
        <v>0.43821472230642</v>
      </c>
    </row>
    <row r="28" spans="1:6" ht="48" customHeight="1">
      <c r="A28" s="182" t="s">
        <v>887</v>
      </c>
      <c r="B28" s="181" t="s">
        <v>21</v>
      </c>
      <c r="C28" s="182" t="s">
        <v>888</v>
      </c>
      <c r="D28" s="185">
        <v>0</v>
      </c>
      <c r="E28" s="185">
        <v>0</v>
      </c>
      <c r="F28" s="184"/>
    </row>
    <row r="29" spans="1:6" ht="39" customHeight="1">
      <c r="A29" s="182" t="s">
        <v>889</v>
      </c>
      <c r="B29" s="181" t="s">
        <v>890</v>
      </c>
      <c r="C29" s="182" t="s">
        <v>891</v>
      </c>
      <c r="D29" s="185">
        <v>0</v>
      </c>
      <c r="E29" s="185">
        <v>0</v>
      </c>
      <c r="F29" s="184"/>
    </row>
    <row r="30" spans="1:6" ht="39" customHeight="1">
      <c r="A30" s="182" t="s">
        <v>892</v>
      </c>
      <c r="B30" s="181" t="s">
        <v>893</v>
      </c>
      <c r="C30" s="182" t="s">
        <v>894</v>
      </c>
      <c r="D30" s="185">
        <v>314145000000</v>
      </c>
      <c r="E30" s="185">
        <v>320179900000</v>
      </c>
      <c r="F30" s="184">
        <v>0.56127273046241599</v>
      </c>
    </row>
    <row r="31" spans="1:6" ht="39" customHeight="1">
      <c r="A31" s="182" t="s">
        <v>895</v>
      </c>
      <c r="B31" s="181" t="s">
        <v>537</v>
      </c>
      <c r="C31" s="182" t="s">
        <v>896</v>
      </c>
      <c r="D31" s="185" t="s">
        <v>897</v>
      </c>
      <c r="E31" s="185" t="s">
        <v>898</v>
      </c>
      <c r="F31" s="184" t="s">
        <v>899</v>
      </c>
    </row>
    <row r="32" spans="1:6" ht="39" customHeight="1">
      <c r="A32" s="182" t="s">
        <v>900</v>
      </c>
      <c r="B32" s="181" t="s">
        <v>597</v>
      </c>
      <c r="C32" s="182" t="s">
        <v>901</v>
      </c>
      <c r="D32" s="185">
        <v>314145000000</v>
      </c>
      <c r="E32" s="185">
        <v>320179900000</v>
      </c>
      <c r="F32" s="184">
        <v>0.56127273046241599</v>
      </c>
    </row>
    <row r="33" spans="1:6" ht="39" customHeight="1">
      <c r="A33" s="182" t="s">
        <v>902</v>
      </c>
      <c r="B33" s="181" t="s">
        <v>598</v>
      </c>
      <c r="C33" s="182" t="s">
        <v>903</v>
      </c>
      <c r="D33" s="185">
        <v>0</v>
      </c>
      <c r="E33" s="185">
        <v>0</v>
      </c>
      <c r="F33" s="184"/>
    </row>
    <row r="34" spans="1:6" ht="39" customHeight="1">
      <c r="A34" s="182" t="s">
        <v>904</v>
      </c>
      <c r="B34" s="181" t="s">
        <v>905</v>
      </c>
      <c r="C34" s="182" t="s">
        <v>906</v>
      </c>
      <c r="D34" s="185">
        <v>0</v>
      </c>
      <c r="E34" s="185">
        <v>0</v>
      </c>
      <c r="F34" s="184"/>
    </row>
    <row r="35" spans="1:6" ht="39" customHeight="1">
      <c r="A35" s="182" t="s">
        <v>907</v>
      </c>
      <c r="B35" s="181" t="s">
        <v>908</v>
      </c>
      <c r="C35" s="182" t="s">
        <v>909</v>
      </c>
      <c r="D35" s="185">
        <v>0</v>
      </c>
      <c r="E35" s="185">
        <v>0</v>
      </c>
      <c r="F35" s="184"/>
    </row>
    <row r="36" spans="1:6" ht="39" customHeight="1">
      <c r="A36" s="182" t="s">
        <v>910</v>
      </c>
      <c r="B36" s="181" t="s">
        <v>305</v>
      </c>
      <c r="C36" s="182" t="s">
        <v>911</v>
      </c>
      <c r="D36" s="185">
        <v>0</v>
      </c>
      <c r="E36" s="185">
        <v>0</v>
      </c>
      <c r="F36" s="184"/>
    </row>
    <row r="37" spans="1:6" ht="39" customHeight="1">
      <c r="A37" s="182" t="s">
        <v>912</v>
      </c>
      <c r="B37" s="181" t="s">
        <v>306</v>
      </c>
      <c r="C37" s="182" t="s">
        <v>913</v>
      </c>
      <c r="D37" s="185">
        <v>0</v>
      </c>
      <c r="E37" s="185">
        <v>0</v>
      </c>
      <c r="F37" s="184"/>
    </row>
    <row r="38" spans="1:6" ht="39" customHeight="1">
      <c r="A38" s="182" t="s">
        <v>914</v>
      </c>
      <c r="B38" s="181" t="s">
        <v>307</v>
      </c>
      <c r="C38" s="182" t="s">
        <v>915</v>
      </c>
      <c r="D38" s="185">
        <v>0</v>
      </c>
      <c r="E38" s="185">
        <v>0</v>
      </c>
      <c r="F38" s="184"/>
    </row>
    <row r="39" spans="1:6" ht="39" customHeight="1">
      <c r="A39" s="182" t="s">
        <v>916</v>
      </c>
      <c r="B39" s="181" t="s">
        <v>917</v>
      </c>
      <c r="C39" s="182" t="s">
        <v>918</v>
      </c>
      <c r="D39" s="185">
        <v>0</v>
      </c>
      <c r="E39" s="185">
        <v>0</v>
      </c>
      <c r="F39" s="184"/>
    </row>
    <row r="40" spans="1:6" ht="39" customHeight="1">
      <c r="A40" s="182" t="s">
        <v>919</v>
      </c>
      <c r="B40" s="181" t="s">
        <v>308</v>
      </c>
      <c r="C40" s="182" t="s">
        <v>920</v>
      </c>
      <c r="D40" s="185">
        <v>0</v>
      </c>
      <c r="E40" s="185">
        <v>0</v>
      </c>
      <c r="F40" s="184"/>
    </row>
    <row r="41" spans="1:6" ht="39" customHeight="1">
      <c r="A41" s="182" t="s">
        <v>921</v>
      </c>
      <c r="B41" s="181" t="s">
        <v>922</v>
      </c>
      <c r="C41" s="182" t="s">
        <v>923</v>
      </c>
      <c r="D41" s="185">
        <v>0</v>
      </c>
      <c r="E41" s="185">
        <v>0</v>
      </c>
      <c r="F41" s="184"/>
    </row>
    <row r="42" spans="1:6" ht="39" customHeight="1">
      <c r="A42" s="182" t="s">
        <v>924</v>
      </c>
      <c r="B42" s="181" t="s">
        <v>537</v>
      </c>
      <c r="C42" s="182" t="s">
        <v>925</v>
      </c>
      <c r="D42" s="185" t="s">
        <v>926</v>
      </c>
      <c r="E42" s="185" t="s">
        <v>927</v>
      </c>
      <c r="F42" s="184" t="s">
        <v>928</v>
      </c>
    </row>
    <row r="43" spans="1:6" ht="39" customHeight="1">
      <c r="A43" s="182" t="s">
        <v>929</v>
      </c>
      <c r="B43" s="181" t="s">
        <v>930</v>
      </c>
      <c r="C43" s="182" t="s">
        <v>931</v>
      </c>
      <c r="D43" s="185">
        <v>100000000</v>
      </c>
      <c r="E43" s="185">
        <v>0</v>
      </c>
      <c r="F43" s="184"/>
    </row>
    <row r="44" spans="1:6" ht="39" customHeight="1">
      <c r="A44" s="182" t="s">
        <v>932</v>
      </c>
      <c r="B44" s="181" t="s">
        <v>537</v>
      </c>
      <c r="C44" s="182" t="s">
        <v>933</v>
      </c>
      <c r="D44" s="185" t="s">
        <v>934</v>
      </c>
      <c r="E44" s="185" t="s">
        <v>935</v>
      </c>
      <c r="F44" s="184" t="s">
        <v>936</v>
      </c>
    </row>
    <row r="45" spans="1:6" ht="39" customHeight="1">
      <c r="A45" s="182" t="s">
        <v>937</v>
      </c>
      <c r="B45" s="181" t="s">
        <v>309</v>
      </c>
      <c r="C45" s="182" t="s">
        <v>938</v>
      </c>
      <c r="D45" s="185">
        <v>100000000</v>
      </c>
      <c r="E45" s="185">
        <v>0</v>
      </c>
      <c r="F45" s="184"/>
    </row>
    <row r="46" spans="1:6" ht="39" customHeight="1">
      <c r="A46" s="182" t="s">
        <v>939</v>
      </c>
      <c r="B46" s="181" t="s">
        <v>310</v>
      </c>
      <c r="C46" s="182" t="s">
        <v>940</v>
      </c>
      <c r="D46" s="185">
        <v>0</v>
      </c>
      <c r="E46" s="185">
        <v>0</v>
      </c>
      <c r="F46" s="184"/>
    </row>
    <row r="47" spans="1:6" ht="39" customHeight="1">
      <c r="A47" s="182" t="s">
        <v>941</v>
      </c>
      <c r="B47" s="181" t="s">
        <v>942</v>
      </c>
      <c r="C47" s="182" t="s">
        <v>943</v>
      </c>
      <c r="D47" s="185">
        <v>0</v>
      </c>
      <c r="E47" s="185">
        <v>0</v>
      </c>
      <c r="F47" s="184"/>
    </row>
    <row r="48" spans="1:6" ht="39" customHeight="1">
      <c r="A48" s="182" t="s">
        <v>944</v>
      </c>
      <c r="B48" s="181" t="s">
        <v>537</v>
      </c>
      <c r="C48" s="182" t="s">
        <v>945</v>
      </c>
      <c r="D48" s="185" t="s">
        <v>946</v>
      </c>
      <c r="E48" s="185" t="s">
        <v>947</v>
      </c>
      <c r="F48" s="184" t="s">
        <v>948</v>
      </c>
    </row>
    <row r="49" spans="1:6" ht="39" customHeight="1">
      <c r="A49" s="182" t="s">
        <v>949</v>
      </c>
      <c r="B49" s="181" t="s">
        <v>950</v>
      </c>
      <c r="C49" s="182" t="s">
        <v>951</v>
      </c>
      <c r="D49" s="185">
        <v>0</v>
      </c>
      <c r="E49" s="185">
        <v>0</v>
      </c>
      <c r="F49" s="184"/>
    </row>
    <row r="50" spans="1:6" ht="39" customHeight="1">
      <c r="A50" s="182" t="s">
        <v>952</v>
      </c>
      <c r="B50" s="181" t="s">
        <v>953</v>
      </c>
      <c r="C50" s="182" t="s">
        <v>954</v>
      </c>
      <c r="D50" s="185">
        <v>0</v>
      </c>
      <c r="E50" s="185">
        <v>0</v>
      </c>
      <c r="F50" s="184"/>
    </row>
    <row r="51" spans="1:6" ht="39" customHeight="1">
      <c r="A51" s="182" t="s">
        <v>955</v>
      </c>
      <c r="B51" s="181" t="s">
        <v>956</v>
      </c>
      <c r="C51" s="182" t="s">
        <v>957</v>
      </c>
      <c r="D51" s="185">
        <v>0</v>
      </c>
      <c r="E51" s="185">
        <v>0</v>
      </c>
      <c r="F51" s="184"/>
    </row>
    <row r="52" spans="1:6" ht="39" customHeight="1">
      <c r="A52" s="182" t="s">
        <v>958</v>
      </c>
      <c r="B52" s="181" t="s">
        <v>959</v>
      </c>
      <c r="C52" s="182" t="s">
        <v>960</v>
      </c>
      <c r="D52" s="185">
        <v>0</v>
      </c>
      <c r="E52" s="185">
        <v>0</v>
      </c>
      <c r="F52" s="184"/>
    </row>
    <row r="53" spans="1:6" ht="39" customHeight="1">
      <c r="A53" s="182" t="s">
        <v>961</v>
      </c>
      <c r="B53" s="181" t="s">
        <v>537</v>
      </c>
      <c r="C53" s="182" t="s">
        <v>962</v>
      </c>
      <c r="D53" s="185" t="s">
        <v>963</v>
      </c>
      <c r="E53" s="185" t="s">
        <v>964</v>
      </c>
      <c r="F53" s="184" t="s">
        <v>965</v>
      </c>
    </row>
    <row r="54" spans="1:6" ht="39" customHeight="1">
      <c r="A54" s="182" t="s">
        <v>966</v>
      </c>
      <c r="B54" s="181" t="s">
        <v>967</v>
      </c>
      <c r="C54" s="182" t="s">
        <v>968</v>
      </c>
      <c r="D54" s="185">
        <v>15874365000</v>
      </c>
      <c r="E54" s="185">
        <v>3357810000</v>
      </c>
      <c r="F54" s="184"/>
    </row>
    <row r="55" spans="1:6" ht="39" customHeight="1">
      <c r="A55" s="182" t="s">
        <v>969</v>
      </c>
      <c r="B55" s="181" t="s">
        <v>537</v>
      </c>
      <c r="C55" s="182" t="s">
        <v>970</v>
      </c>
      <c r="D55" s="185" t="s">
        <v>971</v>
      </c>
      <c r="E55" s="185" t="s">
        <v>972</v>
      </c>
      <c r="F55" s="184" t="s">
        <v>973</v>
      </c>
    </row>
    <row r="56" spans="1:6" ht="39" customHeight="1">
      <c r="A56" s="182" t="s">
        <v>974</v>
      </c>
      <c r="B56" s="181" t="s">
        <v>975</v>
      </c>
      <c r="C56" s="182" t="s">
        <v>976</v>
      </c>
      <c r="D56" s="185">
        <v>0</v>
      </c>
      <c r="E56" s="185">
        <v>0</v>
      </c>
      <c r="F56" s="184"/>
    </row>
    <row r="57" spans="1:6" ht="39" customHeight="1">
      <c r="A57" s="182" t="s">
        <v>977</v>
      </c>
      <c r="B57" s="181" t="s">
        <v>537</v>
      </c>
      <c r="C57" s="182" t="s">
        <v>978</v>
      </c>
      <c r="D57" s="185" t="s">
        <v>979</v>
      </c>
      <c r="E57" s="185" t="s">
        <v>980</v>
      </c>
      <c r="F57" s="184" t="s">
        <v>981</v>
      </c>
    </row>
    <row r="58" spans="1:6" ht="39" customHeight="1">
      <c r="A58" s="182" t="s">
        <v>982</v>
      </c>
      <c r="B58" s="181" t="s">
        <v>983</v>
      </c>
      <c r="C58" s="182" t="s">
        <v>984</v>
      </c>
      <c r="D58" s="185">
        <v>0</v>
      </c>
      <c r="E58" s="185">
        <v>0</v>
      </c>
      <c r="F58" s="184"/>
    </row>
    <row r="59" spans="1:6" ht="39" customHeight="1">
      <c r="A59" s="182" t="s">
        <v>985</v>
      </c>
      <c r="B59" s="181" t="s">
        <v>986</v>
      </c>
      <c r="C59" s="182" t="s">
        <v>987</v>
      </c>
      <c r="D59" s="185">
        <v>0</v>
      </c>
      <c r="E59" s="185">
        <v>0</v>
      </c>
      <c r="F59" s="184"/>
    </row>
    <row r="60" spans="1:6" ht="39" customHeight="1">
      <c r="A60" s="182" t="s">
        <v>988</v>
      </c>
      <c r="B60" s="181" t="s">
        <v>975</v>
      </c>
      <c r="C60" s="182" t="s">
        <v>989</v>
      </c>
      <c r="D60" s="185">
        <v>0</v>
      </c>
      <c r="E60" s="185">
        <v>0</v>
      </c>
      <c r="F60" s="184"/>
    </row>
    <row r="61" spans="1:6" ht="39" customHeight="1">
      <c r="A61" s="182" t="s">
        <v>990</v>
      </c>
      <c r="B61" s="181" t="s">
        <v>991</v>
      </c>
      <c r="C61" s="182" t="s">
        <v>992</v>
      </c>
      <c r="D61" s="185">
        <v>0</v>
      </c>
      <c r="E61" s="185">
        <v>0</v>
      </c>
      <c r="F61" s="184"/>
    </row>
    <row r="62" spans="1:6" ht="39" customHeight="1">
      <c r="A62" s="182" t="s">
        <v>993</v>
      </c>
      <c r="B62" s="181" t="s">
        <v>537</v>
      </c>
      <c r="C62" s="182" t="s">
        <v>994</v>
      </c>
      <c r="D62" s="185" t="s">
        <v>995</v>
      </c>
      <c r="E62" s="185" t="s">
        <v>996</v>
      </c>
      <c r="F62" s="184" t="s">
        <v>997</v>
      </c>
    </row>
    <row r="63" spans="1:6" ht="39" customHeight="1">
      <c r="A63" s="187" t="s">
        <v>998</v>
      </c>
      <c r="B63" s="186" t="s">
        <v>311</v>
      </c>
      <c r="C63" s="187" t="s">
        <v>999</v>
      </c>
      <c r="D63" s="189">
        <v>366914357970</v>
      </c>
      <c r="E63" s="189">
        <v>362073435726</v>
      </c>
      <c r="F63" s="188">
        <v>0.57046360893965198</v>
      </c>
    </row>
    <row r="64" spans="1:6" ht="39" customHeight="1">
      <c r="A64" s="187" t="s">
        <v>1000</v>
      </c>
      <c r="B64" s="186" t="s">
        <v>1001</v>
      </c>
      <c r="C64" s="187" t="s">
        <v>1002</v>
      </c>
      <c r="D64" s="189"/>
      <c r="E64" s="189"/>
      <c r="F64" s="188"/>
    </row>
    <row r="65" spans="1:6" ht="39" customHeight="1">
      <c r="A65" s="182" t="s">
        <v>1003</v>
      </c>
      <c r="B65" s="181" t="s">
        <v>1004</v>
      </c>
      <c r="C65" s="182" t="s">
        <v>1005</v>
      </c>
      <c r="D65" s="185">
        <v>0</v>
      </c>
      <c r="E65" s="185">
        <v>0</v>
      </c>
      <c r="F65" s="184"/>
    </row>
    <row r="66" spans="1:6" ht="39" customHeight="1">
      <c r="A66" s="182" t="s">
        <v>1006</v>
      </c>
      <c r="B66" s="181" t="s">
        <v>537</v>
      </c>
      <c r="C66" s="182" t="s">
        <v>1007</v>
      </c>
      <c r="D66" s="185" t="s">
        <v>1008</v>
      </c>
      <c r="E66" s="185" t="s">
        <v>1009</v>
      </c>
      <c r="F66" s="184" t="s">
        <v>1010</v>
      </c>
    </row>
    <row r="67" spans="1:6" ht="39" customHeight="1">
      <c r="A67" s="182" t="s">
        <v>1011</v>
      </c>
      <c r="B67" s="181" t="s">
        <v>1012</v>
      </c>
      <c r="C67" s="182" t="s">
        <v>1013</v>
      </c>
      <c r="D67" s="185">
        <v>15023785000</v>
      </c>
      <c r="E67" s="185">
        <v>5038140000</v>
      </c>
      <c r="F67" s="184">
        <v>1.00376685203614</v>
      </c>
    </row>
    <row r="68" spans="1:6" ht="39" customHeight="1">
      <c r="A68" s="182" t="s">
        <v>1014</v>
      </c>
      <c r="B68" s="181" t="s">
        <v>537</v>
      </c>
      <c r="C68" s="182" t="s">
        <v>1015</v>
      </c>
      <c r="D68" s="185" t="s">
        <v>1016</v>
      </c>
      <c r="E68" s="185" t="s">
        <v>1017</v>
      </c>
      <c r="F68" s="184" t="s">
        <v>1018</v>
      </c>
    </row>
    <row r="69" spans="1:6" ht="39" customHeight="1">
      <c r="A69" s="182" t="s">
        <v>1019</v>
      </c>
      <c r="B69" s="181" t="s">
        <v>1020</v>
      </c>
      <c r="C69" s="182" t="s">
        <v>1021</v>
      </c>
      <c r="D69" s="185">
        <v>1259899018</v>
      </c>
      <c r="E69" s="185">
        <v>1709156405</v>
      </c>
      <c r="F69" s="184">
        <v>0.362079685530453</v>
      </c>
    </row>
    <row r="70" spans="1:6" ht="39" customHeight="1">
      <c r="A70" s="182" t="s">
        <v>1022</v>
      </c>
      <c r="B70" s="181" t="s">
        <v>537</v>
      </c>
      <c r="C70" s="182" t="s">
        <v>1023</v>
      </c>
      <c r="D70" s="185" t="s">
        <v>1024</v>
      </c>
      <c r="E70" s="185" t="s">
        <v>1025</v>
      </c>
      <c r="F70" s="184" t="s">
        <v>1026</v>
      </c>
    </row>
    <row r="71" spans="1:6" ht="39" customHeight="1">
      <c r="A71" s="182" t="s">
        <v>1027</v>
      </c>
      <c r="B71" s="181" t="s">
        <v>1028</v>
      </c>
      <c r="C71" s="182" t="s">
        <v>1029</v>
      </c>
      <c r="D71" s="185">
        <v>372124543</v>
      </c>
      <c r="E71" s="185">
        <v>741260679</v>
      </c>
      <c r="F71" s="184">
        <v>0.187724379400726</v>
      </c>
    </row>
    <row r="72" spans="1:6" ht="39" customHeight="1">
      <c r="A72" s="182" t="s">
        <v>1030</v>
      </c>
      <c r="B72" s="181" t="s">
        <v>312</v>
      </c>
      <c r="C72" s="182" t="s">
        <v>1031</v>
      </c>
      <c r="D72" s="185">
        <v>234260398</v>
      </c>
      <c r="E72" s="185">
        <v>181812445</v>
      </c>
      <c r="F72" s="184">
        <v>0.150869958975896</v>
      </c>
    </row>
    <row r="73" spans="1:6" ht="48" customHeight="1">
      <c r="A73" s="182" t="s">
        <v>1032</v>
      </c>
      <c r="B73" s="181" t="s">
        <v>313</v>
      </c>
      <c r="C73" s="182" t="s">
        <v>1033</v>
      </c>
      <c r="D73" s="185">
        <v>0</v>
      </c>
      <c r="E73" s="185">
        <v>0</v>
      </c>
      <c r="F73" s="184"/>
    </row>
    <row r="74" spans="1:6" ht="39" customHeight="1">
      <c r="A74" s="182" t="s">
        <v>1034</v>
      </c>
      <c r="B74" s="181" t="s">
        <v>1035</v>
      </c>
      <c r="C74" s="182" t="s">
        <v>1036</v>
      </c>
      <c r="D74" s="185">
        <v>0</v>
      </c>
      <c r="E74" s="185">
        <v>0</v>
      </c>
      <c r="F74" s="184"/>
    </row>
    <row r="75" spans="1:6" ht="39" customHeight="1">
      <c r="A75" s="182" t="s">
        <v>1037</v>
      </c>
      <c r="B75" s="181" t="s">
        <v>1038</v>
      </c>
      <c r="C75" s="182" t="s">
        <v>1039</v>
      </c>
      <c r="D75" s="185">
        <v>137864145</v>
      </c>
      <c r="E75" s="185">
        <v>559448234</v>
      </c>
      <c r="F75" s="184">
        <v>0.32094160187077903</v>
      </c>
    </row>
    <row r="76" spans="1:6" ht="39" customHeight="1">
      <c r="A76" s="182" t="s">
        <v>1040</v>
      </c>
      <c r="B76" s="181" t="s">
        <v>1041</v>
      </c>
      <c r="C76" s="182" t="s">
        <v>1042</v>
      </c>
      <c r="D76" s="185">
        <v>5352486</v>
      </c>
      <c r="E76" s="185">
        <v>5591827</v>
      </c>
      <c r="F76" s="184">
        <v>0.68068748789479505</v>
      </c>
    </row>
    <row r="77" spans="1:6" ht="60.95" customHeight="1">
      <c r="A77" s="182" t="s">
        <v>1043</v>
      </c>
      <c r="B77" s="181" t="s">
        <v>1044</v>
      </c>
      <c r="C77" s="182" t="s">
        <v>1045</v>
      </c>
      <c r="D77" s="185">
        <v>50682519</v>
      </c>
      <c r="E77" s="185">
        <v>57544566</v>
      </c>
      <c r="F77" s="184">
        <v>0.394615431726834</v>
      </c>
    </row>
    <row r="78" spans="1:6" ht="39" customHeight="1">
      <c r="A78" s="182" t="s">
        <v>1046</v>
      </c>
      <c r="B78" s="181" t="s">
        <v>1047</v>
      </c>
      <c r="C78" s="182" t="s">
        <v>1048</v>
      </c>
      <c r="D78" s="185">
        <v>83000000</v>
      </c>
      <c r="E78" s="185">
        <v>83000000</v>
      </c>
      <c r="F78" s="184">
        <v>1</v>
      </c>
    </row>
    <row r="79" spans="1:6" ht="39" customHeight="1">
      <c r="A79" s="182" t="s">
        <v>1049</v>
      </c>
      <c r="B79" s="181" t="s">
        <v>1050</v>
      </c>
      <c r="C79" s="182" t="s">
        <v>1051</v>
      </c>
      <c r="D79" s="185">
        <v>10630137</v>
      </c>
      <c r="E79" s="185">
        <v>9972603</v>
      </c>
      <c r="F79" s="184">
        <v>0.66666668757159298</v>
      </c>
    </row>
    <row r="80" spans="1:6" ht="39" customHeight="1">
      <c r="A80" s="182" t="s">
        <v>1052</v>
      </c>
      <c r="B80" s="181" t="s">
        <v>1053</v>
      </c>
      <c r="C80" s="182" t="s">
        <v>1054</v>
      </c>
      <c r="D80" s="185">
        <v>553910448</v>
      </c>
      <c r="E80" s="185">
        <v>577731733</v>
      </c>
      <c r="F80" s="184">
        <v>0.53996600939579698</v>
      </c>
    </row>
    <row r="81" spans="1:6" ht="39" customHeight="1">
      <c r="A81" s="182" t="s">
        <v>1055</v>
      </c>
      <c r="B81" s="181" t="s">
        <v>1056</v>
      </c>
      <c r="C81" s="182" t="s">
        <v>1057</v>
      </c>
      <c r="D81" s="185">
        <v>9526801</v>
      </c>
      <c r="E81" s="185">
        <v>9878315</v>
      </c>
      <c r="F81" s="184">
        <v>0.54314693260954805</v>
      </c>
    </row>
    <row r="82" spans="1:6" ht="39" customHeight="1">
      <c r="A82" s="182" t="s">
        <v>1058</v>
      </c>
      <c r="B82" s="181" t="s">
        <v>1059</v>
      </c>
      <c r="C82" s="182" t="s">
        <v>1060</v>
      </c>
      <c r="D82" s="185">
        <v>25300000</v>
      </c>
      <c r="E82" s="185">
        <v>25300000</v>
      </c>
      <c r="F82" s="184">
        <v>1</v>
      </c>
    </row>
    <row r="83" spans="1:6" ht="39" customHeight="1">
      <c r="A83" s="182" t="s">
        <v>1061</v>
      </c>
      <c r="B83" s="181" t="s">
        <v>314</v>
      </c>
      <c r="C83" s="182" t="s">
        <v>1062</v>
      </c>
      <c r="D83" s="185">
        <v>33705492</v>
      </c>
      <c r="E83" s="185">
        <v>12593925</v>
      </c>
      <c r="F83" s="184">
        <v>2.6220684780470198</v>
      </c>
    </row>
    <row r="84" spans="1:6" ht="39" customHeight="1">
      <c r="A84" s="182" t="s">
        <v>1063</v>
      </c>
      <c r="B84" s="181" t="s">
        <v>1064</v>
      </c>
      <c r="C84" s="182" t="s">
        <v>1065</v>
      </c>
      <c r="D84" s="185">
        <v>33705492</v>
      </c>
      <c r="E84" s="185">
        <v>12593925</v>
      </c>
      <c r="F84" s="184">
        <v>2.6220684780470198</v>
      </c>
    </row>
    <row r="85" spans="1:6" ht="45.95" customHeight="1">
      <c r="A85" s="182" t="s">
        <v>1066</v>
      </c>
      <c r="B85" s="181" t="s">
        <v>1067</v>
      </c>
      <c r="C85" s="182" t="s">
        <v>1068</v>
      </c>
      <c r="D85" s="185">
        <v>0</v>
      </c>
      <c r="E85" s="185">
        <v>0</v>
      </c>
      <c r="F85" s="184"/>
    </row>
    <row r="86" spans="1:6" ht="39" customHeight="1">
      <c r="A86" s="182" t="s">
        <v>1069</v>
      </c>
      <c r="B86" s="181" t="s">
        <v>465</v>
      </c>
      <c r="C86" s="182" t="s">
        <v>1070</v>
      </c>
      <c r="D86" s="185">
        <v>33500000</v>
      </c>
      <c r="E86" s="185">
        <v>31000000</v>
      </c>
      <c r="F86" s="184">
        <v>1.18549437574927</v>
      </c>
    </row>
    <row r="87" spans="1:6" ht="39" customHeight="1">
      <c r="A87" s="182" t="s">
        <v>1071</v>
      </c>
      <c r="B87" s="181" t="s">
        <v>1072</v>
      </c>
      <c r="C87" s="182" t="s">
        <v>1073</v>
      </c>
      <c r="D87" s="185">
        <v>22000000</v>
      </c>
      <c r="E87" s="185">
        <v>22000000</v>
      </c>
      <c r="F87" s="184">
        <v>0.99735912902984603</v>
      </c>
    </row>
    <row r="88" spans="1:6" ht="39" customHeight="1">
      <c r="A88" s="182" t="s">
        <v>1074</v>
      </c>
      <c r="B88" s="181" t="s">
        <v>1075</v>
      </c>
      <c r="C88" s="182" t="s">
        <v>1076</v>
      </c>
      <c r="D88" s="185">
        <v>11500000</v>
      </c>
      <c r="E88" s="185">
        <v>9000000</v>
      </c>
      <c r="F88" s="184">
        <v>1.8548387096774199</v>
      </c>
    </row>
    <row r="89" spans="1:6" ht="60" customHeight="1">
      <c r="A89" s="182" t="s">
        <v>1077</v>
      </c>
      <c r="B89" s="181" t="s">
        <v>1078</v>
      </c>
      <c r="C89" s="182" t="s">
        <v>1079</v>
      </c>
      <c r="D89" s="185">
        <v>0</v>
      </c>
      <c r="E89" s="185">
        <v>0</v>
      </c>
      <c r="F89" s="184"/>
    </row>
    <row r="90" spans="1:6" ht="39" customHeight="1">
      <c r="A90" s="182" t="s">
        <v>1080</v>
      </c>
      <c r="B90" s="181" t="s">
        <v>1081</v>
      </c>
      <c r="C90" s="182" t="s">
        <v>1082</v>
      </c>
      <c r="D90" s="185">
        <v>59309589</v>
      </c>
      <c r="E90" s="185">
        <v>133042192</v>
      </c>
      <c r="F90" s="184">
        <v>0.41972807079901298</v>
      </c>
    </row>
    <row r="91" spans="1:6" ht="39" customHeight="1">
      <c r="A91" s="182" t="s">
        <v>1083</v>
      </c>
      <c r="B91" s="181" t="s">
        <v>1084</v>
      </c>
      <c r="C91" s="182" t="s">
        <v>1085</v>
      </c>
      <c r="D91" s="185">
        <v>0</v>
      </c>
      <c r="E91" s="185">
        <v>0</v>
      </c>
      <c r="F91" s="184"/>
    </row>
    <row r="92" spans="1:6" ht="39" customHeight="1">
      <c r="A92" s="182" t="s">
        <v>1086</v>
      </c>
      <c r="B92" s="181" t="s">
        <v>1087</v>
      </c>
      <c r="C92" s="182" t="s">
        <v>1088</v>
      </c>
      <c r="D92" s="185">
        <v>0</v>
      </c>
      <c r="E92" s="185">
        <v>0</v>
      </c>
      <c r="F92" s="184"/>
    </row>
    <row r="93" spans="1:6" ht="39" customHeight="1">
      <c r="A93" s="182" t="s">
        <v>1089</v>
      </c>
      <c r="B93" s="181" t="s">
        <v>1090</v>
      </c>
      <c r="C93" s="182" t="s">
        <v>1091</v>
      </c>
      <c r="D93" s="185">
        <v>13200000</v>
      </c>
      <c r="E93" s="185">
        <v>13200000</v>
      </c>
      <c r="F93" s="184">
        <v>1.2</v>
      </c>
    </row>
    <row r="94" spans="1:6" ht="48" customHeight="1">
      <c r="A94" s="182" t="s">
        <v>1092</v>
      </c>
      <c r="B94" s="181" t="s">
        <v>1093</v>
      </c>
      <c r="C94" s="182" t="s">
        <v>1094</v>
      </c>
      <c r="D94" s="185">
        <v>0</v>
      </c>
      <c r="E94" s="185">
        <v>0</v>
      </c>
      <c r="F94" s="184"/>
    </row>
    <row r="95" spans="1:6" ht="39" customHeight="1">
      <c r="A95" s="182" t="s">
        <v>1095</v>
      </c>
      <c r="B95" s="181" t="s">
        <v>1096</v>
      </c>
      <c r="C95" s="182" t="s">
        <v>1097</v>
      </c>
      <c r="D95" s="185">
        <v>0</v>
      </c>
      <c r="E95" s="185">
        <v>0</v>
      </c>
      <c r="F95" s="184"/>
    </row>
    <row r="96" spans="1:6" ht="39" customHeight="1">
      <c r="A96" s="182" t="s">
        <v>1098</v>
      </c>
      <c r="B96" s="181" t="s">
        <v>315</v>
      </c>
      <c r="C96" s="182" t="s">
        <v>1099</v>
      </c>
      <c r="D96" s="185">
        <v>9657003</v>
      </c>
      <c r="E96" s="185">
        <v>9040565</v>
      </c>
      <c r="F96" s="184"/>
    </row>
    <row r="97" spans="1:6" ht="39" customHeight="1">
      <c r="A97" s="182" t="s">
        <v>1100</v>
      </c>
      <c r="B97" s="181" t="s">
        <v>316</v>
      </c>
      <c r="C97" s="182" t="s">
        <v>1101</v>
      </c>
      <c r="D97" s="185">
        <v>0</v>
      </c>
      <c r="E97" s="185">
        <v>0</v>
      </c>
      <c r="F97" s="184"/>
    </row>
    <row r="98" spans="1:6" ht="48" customHeight="1">
      <c r="A98" s="182" t="s">
        <v>1102</v>
      </c>
      <c r="B98" s="181" t="s">
        <v>317</v>
      </c>
      <c r="C98" s="182" t="s">
        <v>1103</v>
      </c>
      <c r="D98" s="185">
        <v>0</v>
      </c>
      <c r="E98" s="185">
        <v>0</v>
      </c>
      <c r="F98" s="184"/>
    </row>
    <row r="99" spans="1:6" ht="45" customHeight="1">
      <c r="A99" s="182" t="s">
        <v>1104</v>
      </c>
      <c r="B99" s="181" t="s">
        <v>1105</v>
      </c>
      <c r="C99" s="182" t="s">
        <v>1106</v>
      </c>
      <c r="D99" s="185">
        <v>2465753</v>
      </c>
      <c r="E99" s="185">
        <v>1849315</v>
      </c>
      <c r="F99" s="184"/>
    </row>
    <row r="100" spans="1:6" ht="39" customHeight="1">
      <c r="A100" s="182" t="s">
        <v>1107</v>
      </c>
      <c r="B100" s="181" t="s">
        <v>315</v>
      </c>
      <c r="C100" s="182" t="s">
        <v>1108</v>
      </c>
      <c r="D100" s="185">
        <v>7191250</v>
      </c>
      <c r="E100" s="185">
        <v>7191250</v>
      </c>
      <c r="F100" s="184"/>
    </row>
    <row r="101" spans="1:6" ht="39" customHeight="1">
      <c r="A101" s="182" t="s">
        <v>1109</v>
      </c>
      <c r="B101" s="181" t="s">
        <v>1110</v>
      </c>
      <c r="C101" s="182" t="s">
        <v>1111</v>
      </c>
      <c r="D101" s="185">
        <v>0</v>
      </c>
      <c r="E101" s="185">
        <v>0</v>
      </c>
      <c r="F101" s="184"/>
    </row>
    <row r="102" spans="1:6" ht="39" customHeight="1">
      <c r="A102" s="182" t="s">
        <v>1112</v>
      </c>
      <c r="B102" s="181" t="s">
        <v>1113</v>
      </c>
      <c r="C102" s="182" t="s">
        <v>1114</v>
      </c>
      <c r="D102" s="185">
        <v>0</v>
      </c>
      <c r="E102" s="185">
        <v>0</v>
      </c>
      <c r="F102" s="184"/>
    </row>
    <row r="103" spans="1:6" ht="39" customHeight="1">
      <c r="A103" s="182" t="s">
        <v>1115</v>
      </c>
      <c r="B103" s="181" t="s">
        <v>1116</v>
      </c>
      <c r="C103" s="182" t="s">
        <v>1117</v>
      </c>
      <c r="D103" s="185">
        <v>0</v>
      </c>
      <c r="E103" s="185">
        <v>0</v>
      </c>
      <c r="F103" s="184"/>
    </row>
    <row r="104" spans="1:6" ht="39" customHeight="1">
      <c r="A104" s="182" t="s">
        <v>1118</v>
      </c>
      <c r="B104" s="181" t="s">
        <v>1119</v>
      </c>
      <c r="C104" s="182" t="s">
        <v>1120</v>
      </c>
      <c r="D104" s="185">
        <v>0</v>
      </c>
      <c r="E104" s="185">
        <v>0</v>
      </c>
      <c r="F104" s="184"/>
    </row>
    <row r="105" spans="1:6" ht="39" customHeight="1">
      <c r="A105" s="187" t="s">
        <v>1121</v>
      </c>
      <c r="B105" s="186" t="s">
        <v>1122</v>
      </c>
      <c r="C105" s="187" t="s">
        <v>1123</v>
      </c>
      <c r="D105" s="189">
        <v>16283684018</v>
      </c>
      <c r="E105" s="189">
        <v>6747296405</v>
      </c>
      <c r="F105" s="188">
        <v>0.88272692849562795</v>
      </c>
    </row>
    <row r="106" spans="1:6" ht="39" customHeight="1">
      <c r="A106" s="182" t="s">
        <v>1124</v>
      </c>
      <c r="B106" s="181" t="s">
        <v>1125</v>
      </c>
      <c r="C106" s="182" t="s">
        <v>1126</v>
      </c>
      <c r="D106" s="185">
        <v>350630673952</v>
      </c>
      <c r="E106" s="185">
        <v>355326139321</v>
      </c>
      <c r="F106" s="184">
        <v>0.56124323622387995</v>
      </c>
    </row>
    <row r="107" spans="1:6" ht="39" customHeight="1">
      <c r="A107" s="182" t="s">
        <v>1127</v>
      </c>
      <c r="B107" s="181" t="s">
        <v>1128</v>
      </c>
      <c r="C107" s="182" t="s">
        <v>1129</v>
      </c>
      <c r="D107" s="190">
        <v>16747077.74</v>
      </c>
      <c r="E107" s="190">
        <v>16831012.73</v>
      </c>
      <c r="F107" s="184">
        <v>0.73392021952971298</v>
      </c>
    </row>
    <row r="108" spans="1:6" ht="39" customHeight="1">
      <c r="A108" s="182" t="s">
        <v>1130</v>
      </c>
      <c r="B108" s="181" t="s">
        <v>1131</v>
      </c>
      <c r="C108" s="182" t="s">
        <v>1132</v>
      </c>
      <c r="D108" s="190">
        <v>20936.82</v>
      </c>
      <c r="E108" s="190">
        <v>21111.39</v>
      </c>
      <c r="F108" s="184">
        <v>0.76471952555351097</v>
      </c>
    </row>
    <row r="109" spans="1:6" s="2" customFormat="1" ht="16.899999999999999" customHeight="1"/>
    <row r="110" spans="1:6" s="2" customFormat="1" ht="16.899999999999999" customHeight="1">
      <c r="A110" s="17" t="s">
        <v>10</v>
      </c>
      <c r="B110" s="3"/>
      <c r="C110" s="3"/>
      <c r="E110" s="17" t="s">
        <v>11</v>
      </c>
      <c r="F110" s="3"/>
    </row>
    <row r="111" spans="1:6" s="6" customFormat="1" ht="16.899999999999999" customHeight="1">
      <c r="A111" s="18" t="s">
        <v>12</v>
      </c>
      <c r="B111" s="7"/>
      <c r="C111" s="7"/>
      <c r="E111" s="18" t="s">
        <v>13</v>
      </c>
      <c r="F111" s="7"/>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83"/>
      <c r="B118" s="83"/>
      <c r="C118" s="3"/>
      <c r="D118" s="5"/>
      <c r="E118" s="83"/>
      <c r="F118" s="83"/>
    </row>
    <row r="119" spans="1:6" s="2" customFormat="1" ht="16.899999999999999" customHeight="1">
      <c r="A119" s="16" t="s">
        <v>14</v>
      </c>
      <c r="B119" s="82"/>
      <c r="C119" s="3"/>
      <c r="D119" s="4"/>
      <c r="E119" s="16" t="s">
        <v>1135</v>
      </c>
      <c r="F119" s="82"/>
    </row>
    <row r="120" spans="1:6" s="2" customFormat="1" ht="16.899999999999999" customHeight="1">
      <c r="A120" s="81" t="s">
        <v>1141</v>
      </c>
      <c r="B120" s="5"/>
      <c r="C120" s="3"/>
      <c r="E120" s="81" t="s">
        <v>1142</v>
      </c>
      <c r="F120" s="5"/>
    </row>
    <row r="121" spans="1:6" s="2" customFormat="1" ht="16.899999999999999" customHeight="1">
      <c r="A121" s="3" t="s">
        <v>1143</v>
      </c>
      <c r="B121" s="3"/>
      <c r="C121" s="3"/>
      <c r="E121" s="3" t="s">
        <v>1144</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86" zoomScaleNormal="100" zoomScaleSheetLayoutView="100" workbookViewId="0">
      <selection activeCell="D95" sqref="D95"/>
    </sheetView>
  </sheetViews>
  <sheetFormatPr defaultColWidth="8.7109375" defaultRowHeight="12.75"/>
  <cols>
    <col min="1" max="1" width="8.7109375" style="12"/>
    <col min="2" max="2" width="46.28515625" style="12" customWidth="1"/>
    <col min="3" max="3" width="10.7109375" style="12" bestFit="1" customWidth="1"/>
    <col min="4" max="6" width="36.85546875" style="12" customWidth="1"/>
    <col min="7" max="16384" width="8.7109375" style="21"/>
  </cols>
  <sheetData>
    <row r="1" spans="1:6" ht="54.75" customHeight="1">
      <c r="A1" s="204" t="s">
        <v>583</v>
      </c>
      <c r="B1" s="204"/>
      <c r="C1" s="204"/>
      <c r="D1" s="204"/>
      <c r="E1" s="204"/>
      <c r="F1" s="204"/>
    </row>
    <row r="2" spans="1:6" ht="54.75" customHeight="1">
      <c r="A2" s="205" t="s">
        <v>584</v>
      </c>
      <c r="B2" s="205"/>
      <c r="C2" s="205"/>
      <c r="D2" s="205"/>
      <c r="E2" s="205"/>
      <c r="F2" s="205"/>
    </row>
    <row r="3" spans="1:6" ht="22.5" customHeight="1">
      <c r="A3" s="206" t="s">
        <v>532</v>
      </c>
      <c r="B3" s="206"/>
      <c r="C3" s="206"/>
      <c r="D3" s="206"/>
      <c r="E3" s="206"/>
      <c r="F3" s="206"/>
    </row>
    <row r="4" spans="1:6" ht="21" customHeight="1">
      <c r="A4" s="206"/>
      <c r="B4" s="206"/>
      <c r="C4" s="206"/>
      <c r="D4" s="206"/>
      <c r="E4" s="206"/>
      <c r="F4" s="206"/>
    </row>
    <row r="5" spans="1:6" ht="16.149999999999999" customHeight="1">
      <c r="A5" s="207" t="s">
        <v>1134</v>
      </c>
      <c r="B5" s="207"/>
      <c r="C5" s="207"/>
      <c r="D5" s="207"/>
      <c r="E5" s="207"/>
      <c r="F5" s="207"/>
    </row>
    <row r="7" spans="1:6" ht="16.899999999999999" customHeight="1">
      <c r="A7" s="112" t="s">
        <v>2</v>
      </c>
      <c r="C7" s="208" t="s">
        <v>1135</v>
      </c>
      <c r="D7" s="208"/>
      <c r="E7" s="208"/>
      <c r="F7" s="208"/>
    </row>
    <row r="8" spans="1:6" ht="16.899999999999999" customHeight="1">
      <c r="A8" s="12" t="s">
        <v>15</v>
      </c>
      <c r="C8" s="203" t="s">
        <v>1136</v>
      </c>
      <c r="D8" s="203"/>
      <c r="E8" s="203"/>
      <c r="F8" s="203"/>
    </row>
    <row r="9" spans="1:6" ht="16.899999999999999" customHeight="1">
      <c r="A9" s="112" t="s">
        <v>3</v>
      </c>
      <c r="C9" s="208" t="s">
        <v>1137</v>
      </c>
      <c r="D9" s="208"/>
      <c r="E9" s="208"/>
      <c r="F9" s="208"/>
    </row>
    <row r="10" spans="1:6" ht="16.899999999999999" customHeight="1">
      <c r="A10" s="12" t="s">
        <v>4</v>
      </c>
      <c r="C10" s="203" t="s">
        <v>1138</v>
      </c>
      <c r="D10" s="203"/>
      <c r="E10" s="203"/>
      <c r="F10" s="203"/>
    </row>
    <row r="11" spans="1:6" ht="16.899999999999999" customHeight="1">
      <c r="A11" s="112" t="s">
        <v>5</v>
      </c>
      <c r="C11" s="208" t="s">
        <v>590</v>
      </c>
      <c r="D11" s="208"/>
      <c r="E11" s="208"/>
      <c r="F11" s="208"/>
    </row>
    <row r="12" spans="1:6" ht="16.899999999999999" customHeight="1">
      <c r="A12" s="12" t="s">
        <v>6</v>
      </c>
      <c r="C12" s="203" t="s">
        <v>1156</v>
      </c>
      <c r="D12" s="203"/>
      <c r="E12" s="203"/>
      <c r="F12" s="203"/>
    </row>
    <row r="13" spans="1:6" ht="16.899999999999999" customHeight="1">
      <c r="A13" s="112" t="s">
        <v>7</v>
      </c>
      <c r="C13" s="208" t="s">
        <v>1139</v>
      </c>
      <c r="D13" s="208"/>
      <c r="E13" s="208"/>
      <c r="F13" s="208"/>
    </row>
    <row r="14" spans="1:6" ht="16.899999999999999" customHeight="1">
      <c r="A14" s="12" t="s">
        <v>8</v>
      </c>
      <c r="C14" s="203" t="s">
        <v>1140</v>
      </c>
      <c r="D14" s="203"/>
      <c r="E14" s="203"/>
      <c r="F14" s="203"/>
    </row>
    <row r="15" spans="1:6" ht="16.899999999999999" customHeight="1"/>
    <row r="16" spans="1:6" ht="16.899999999999999" customHeight="1">
      <c r="A16" s="106" t="s">
        <v>581</v>
      </c>
      <c r="B16" s="107" t="s">
        <v>582</v>
      </c>
    </row>
    <row r="17" spans="1:6" ht="16.899999999999999" customHeight="1">
      <c r="A17" s="19" t="s">
        <v>22</v>
      </c>
      <c r="B17" s="20" t="s">
        <v>25</v>
      </c>
    </row>
    <row r="18" spans="1:6" ht="38.25">
      <c r="A18" s="165" t="s">
        <v>17</v>
      </c>
      <c r="B18" s="165" t="s">
        <v>18</v>
      </c>
      <c r="C18" s="165" t="s">
        <v>19</v>
      </c>
      <c r="D18" s="166" t="s">
        <v>1147</v>
      </c>
      <c r="E18" s="166" t="s">
        <v>1148</v>
      </c>
      <c r="F18" s="166" t="s">
        <v>587</v>
      </c>
    </row>
    <row r="19" spans="1:6" s="23" customFormat="1" ht="30" customHeight="1">
      <c r="A19" s="167" t="s">
        <v>16</v>
      </c>
      <c r="B19" s="168" t="s">
        <v>33</v>
      </c>
      <c r="C19" s="169" t="s">
        <v>50</v>
      </c>
      <c r="D19" s="170">
        <v>107356180</v>
      </c>
      <c r="E19" s="170">
        <v>10637676</v>
      </c>
      <c r="F19" s="170">
        <v>763294994</v>
      </c>
    </row>
    <row r="20" spans="1:6" ht="25.5">
      <c r="A20" s="86">
        <v>1</v>
      </c>
      <c r="B20" s="87" t="s">
        <v>536</v>
      </c>
      <c r="C20" s="88" t="s">
        <v>57</v>
      </c>
      <c r="D20" s="171">
        <v>0</v>
      </c>
      <c r="E20" s="171">
        <v>0</v>
      </c>
      <c r="F20" s="171">
        <v>0</v>
      </c>
    </row>
    <row r="21" spans="1:6">
      <c r="A21" s="110" t="s">
        <v>537</v>
      </c>
      <c r="B21" s="110" t="s">
        <v>537</v>
      </c>
      <c r="C21" s="110" t="s">
        <v>537</v>
      </c>
      <c r="D21" s="172" t="s">
        <v>537</v>
      </c>
      <c r="E21" s="172" t="s">
        <v>538</v>
      </c>
      <c r="F21" s="173" t="s">
        <v>538</v>
      </c>
    </row>
    <row r="22" spans="1:6" ht="25.5">
      <c r="A22" s="86">
        <v>2</v>
      </c>
      <c r="B22" s="87" t="s">
        <v>245</v>
      </c>
      <c r="C22" s="88" t="s">
        <v>51</v>
      </c>
      <c r="D22" s="171">
        <v>100000000</v>
      </c>
      <c r="E22" s="171">
        <v>0</v>
      </c>
      <c r="F22" s="171">
        <v>751000000</v>
      </c>
    </row>
    <row r="23" spans="1:6">
      <c r="A23" s="110" t="s">
        <v>537</v>
      </c>
      <c r="B23" s="110" t="s">
        <v>537</v>
      </c>
      <c r="C23" s="110" t="s">
        <v>537</v>
      </c>
      <c r="D23" s="172" t="s">
        <v>537</v>
      </c>
      <c r="E23" s="172" t="s">
        <v>538</v>
      </c>
      <c r="F23" s="173" t="s">
        <v>538</v>
      </c>
    </row>
    <row r="24" spans="1:6" ht="25.5">
      <c r="A24" s="89"/>
      <c r="B24" s="90" t="s">
        <v>246</v>
      </c>
      <c r="C24" s="91" t="s">
        <v>52</v>
      </c>
      <c r="D24" s="171">
        <v>100000000</v>
      </c>
      <c r="E24" s="171">
        <v>0</v>
      </c>
      <c r="F24" s="171">
        <v>751000000</v>
      </c>
    </row>
    <row r="25" spans="1:6" ht="25.5">
      <c r="A25" s="89"/>
      <c r="B25" s="90" t="s">
        <v>247</v>
      </c>
      <c r="C25" s="91" t="s">
        <v>53</v>
      </c>
      <c r="D25" s="171">
        <v>0</v>
      </c>
      <c r="E25" s="171">
        <v>0</v>
      </c>
      <c r="F25" s="171">
        <v>0</v>
      </c>
    </row>
    <row r="26" spans="1:6" ht="25.5">
      <c r="A26" s="86">
        <v>3</v>
      </c>
      <c r="B26" s="87" t="s">
        <v>248</v>
      </c>
      <c r="C26" s="88" t="s">
        <v>54</v>
      </c>
      <c r="D26" s="171">
        <v>7356180</v>
      </c>
      <c r="E26" s="171">
        <v>10637676</v>
      </c>
      <c r="F26" s="171">
        <v>12294994</v>
      </c>
    </row>
    <row r="27" spans="1:6">
      <c r="A27" s="110" t="s">
        <v>537</v>
      </c>
      <c r="B27" s="110" t="s">
        <v>537</v>
      </c>
      <c r="C27" s="110" t="s">
        <v>537</v>
      </c>
      <c r="D27" s="172" t="s">
        <v>537</v>
      </c>
      <c r="E27" s="172" t="s">
        <v>537</v>
      </c>
      <c r="F27" s="172" t="s">
        <v>537</v>
      </c>
    </row>
    <row r="28" spans="1:6" ht="25.5">
      <c r="A28" s="89"/>
      <c r="B28" s="90" t="s">
        <v>241</v>
      </c>
      <c r="C28" s="91" t="s">
        <v>55</v>
      </c>
      <c r="D28" s="171">
        <v>7356180</v>
      </c>
      <c r="E28" s="171">
        <v>10637676</v>
      </c>
      <c r="F28" s="171">
        <v>12294994</v>
      </c>
    </row>
    <row r="29" spans="1:6" ht="25.5">
      <c r="A29" s="89"/>
      <c r="B29" s="90" t="s">
        <v>249</v>
      </c>
      <c r="C29" s="91" t="s">
        <v>56</v>
      </c>
      <c r="D29" s="171">
        <v>0</v>
      </c>
      <c r="E29" s="171">
        <v>0</v>
      </c>
      <c r="F29" s="171">
        <v>0</v>
      </c>
    </row>
    <row r="30" spans="1:6" ht="30" customHeight="1">
      <c r="A30" s="89"/>
      <c r="B30" s="90" t="s">
        <v>276</v>
      </c>
      <c r="C30" s="91" t="s">
        <v>238</v>
      </c>
      <c r="D30" s="171">
        <v>0</v>
      </c>
      <c r="E30" s="171">
        <v>0</v>
      </c>
      <c r="F30" s="171">
        <v>0</v>
      </c>
    </row>
    <row r="31" spans="1:6" s="23" customFormat="1" ht="25.5">
      <c r="A31" s="86">
        <v>4</v>
      </c>
      <c r="B31" s="87" t="s">
        <v>250</v>
      </c>
      <c r="C31" s="88" t="s">
        <v>57</v>
      </c>
      <c r="D31" s="171">
        <v>0</v>
      </c>
      <c r="E31" s="171">
        <v>0</v>
      </c>
      <c r="F31" s="171">
        <v>0</v>
      </c>
    </row>
    <row r="32" spans="1:6">
      <c r="A32" s="110" t="s">
        <v>537</v>
      </c>
      <c r="B32" s="110" t="s">
        <v>537</v>
      </c>
      <c r="C32" s="110" t="s">
        <v>537</v>
      </c>
      <c r="D32" s="172" t="s">
        <v>537</v>
      </c>
      <c r="E32" s="172" t="s">
        <v>537</v>
      </c>
      <c r="F32" s="172" t="s">
        <v>537</v>
      </c>
    </row>
    <row r="33" spans="1:6" ht="25.5">
      <c r="A33" s="92"/>
      <c r="B33" s="93" t="s">
        <v>251</v>
      </c>
      <c r="C33" s="94" t="s">
        <v>58</v>
      </c>
      <c r="D33" s="171">
        <v>0</v>
      </c>
      <c r="E33" s="171">
        <v>0</v>
      </c>
      <c r="F33" s="171">
        <v>0</v>
      </c>
    </row>
    <row r="34" spans="1:6" ht="25.5">
      <c r="A34" s="92"/>
      <c r="B34" s="93" t="s">
        <v>252</v>
      </c>
      <c r="C34" s="94" t="s">
        <v>59</v>
      </c>
      <c r="D34" s="171">
        <v>0</v>
      </c>
      <c r="E34" s="171">
        <v>0</v>
      </c>
      <c r="F34" s="171">
        <v>0</v>
      </c>
    </row>
    <row r="35" spans="1:6" ht="76.5">
      <c r="A35" s="92"/>
      <c r="B35" s="93" t="s">
        <v>34</v>
      </c>
      <c r="C35" s="94" t="s">
        <v>60</v>
      </c>
      <c r="D35" s="171">
        <v>0</v>
      </c>
      <c r="E35" s="171">
        <v>0</v>
      </c>
      <c r="F35" s="171">
        <v>0</v>
      </c>
    </row>
    <row r="36" spans="1:6" ht="25.5">
      <c r="A36" s="167" t="s">
        <v>22</v>
      </c>
      <c r="B36" s="168" t="s">
        <v>253</v>
      </c>
      <c r="C36" s="169" t="s">
        <v>61</v>
      </c>
      <c r="D36" s="175">
        <v>885922870</v>
      </c>
      <c r="E36" s="175">
        <v>869188198</v>
      </c>
      <c r="F36" s="175">
        <v>3498444736</v>
      </c>
    </row>
    <row r="37" spans="1:6" ht="38.25">
      <c r="A37" s="86">
        <v>1</v>
      </c>
      <c r="B37" s="87" t="s">
        <v>539</v>
      </c>
      <c r="C37" s="88" t="s">
        <v>62</v>
      </c>
      <c r="D37" s="171">
        <v>553910448</v>
      </c>
      <c r="E37" s="171">
        <v>577731733</v>
      </c>
      <c r="F37" s="171">
        <v>2315059611</v>
      </c>
    </row>
    <row r="38" spans="1:6">
      <c r="A38" s="110" t="s">
        <v>537</v>
      </c>
      <c r="B38" s="110" t="s">
        <v>537</v>
      </c>
      <c r="C38" s="110" t="s">
        <v>537</v>
      </c>
      <c r="D38" s="172" t="s">
        <v>537</v>
      </c>
      <c r="E38" s="172" t="s">
        <v>537</v>
      </c>
      <c r="F38" s="172" t="s">
        <v>537</v>
      </c>
    </row>
    <row r="39" spans="1:6" ht="51">
      <c r="A39" s="86">
        <v>2</v>
      </c>
      <c r="B39" s="87" t="s">
        <v>540</v>
      </c>
      <c r="C39" s="88" t="s">
        <v>63</v>
      </c>
      <c r="D39" s="171">
        <v>61066790</v>
      </c>
      <c r="E39" s="171">
        <v>59046090</v>
      </c>
      <c r="F39" s="171">
        <v>236489517</v>
      </c>
    </row>
    <row r="40" spans="1:6">
      <c r="A40" s="110" t="s">
        <v>537</v>
      </c>
      <c r="B40" s="110" t="s">
        <v>537</v>
      </c>
      <c r="C40" s="110" t="s">
        <v>537</v>
      </c>
      <c r="D40" s="172" t="s">
        <v>537</v>
      </c>
      <c r="E40" s="172" t="s">
        <v>537</v>
      </c>
      <c r="F40" s="172" t="s">
        <v>537</v>
      </c>
    </row>
    <row r="41" spans="1:6" ht="25.5">
      <c r="A41" s="95"/>
      <c r="B41" s="90" t="s">
        <v>541</v>
      </c>
      <c r="C41" s="91" t="s">
        <v>64</v>
      </c>
      <c r="D41" s="171">
        <v>22000000</v>
      </c>
      <c r="E41" s="171">
        <v>22000000</v>
      </c>
      <c r="F41" s="171">
        <v>88000000</v>
      </c>
    </row>
    <row r="42" spans="1:6" ht="25.5">
      <c r="A42" s="95"/>
      <c r="B42" s="90" t="s">
        <v>542</v>
      </c>
      <c r="C42" s="91" t="s">
        <v>65</v>
      </c>
      <c r="D42" s="171">
        <v>10600000</v>
      </c>
      <c r="E42" s="171">
        <v>8200000</v>
      </c>
      <c r="F42" s="171">
        <v>35400000</v>
      </c>
    </row>
    <row r="43" spans="1:6" ht="57" customHeight="1">
      <c r="A43" s="95"/>
      <c r="B43" s="90" t="s">
        <v>543</v>
      </c>
      <c r="C43" s="91" t="s">
        <v>66</v>
      </c>
      <c r="D43" s="171">
        <v>3166790</v>
      </c>
      <c r="E43" s="171">
        <v>3546090</v>
      </c>
      <c r="F43" s="171">
        <v>11889517</v>
      </c>
    </row>
    <row r="44" spans="1:6" ht="25.5">
      <c r="A44" s="95"/>
      <c r="B44" s="90" t="s">
        <v>544</v>
      </c>
      <c r="C44" s="91" t="s">
        <v>67</v>
      </c>
      <c r="D44" s="171">
        <v>25300000</v>
      </c>
      <c r="E44" s="171">
        <v>25300000</v>
      </c>
      <c r="F44" s="171">
        <v>101200000</v>
      </c>
    </row>
    <row r="45" spans="1:6" ht="68.25" customHeight="1">
      <c r="A45" s="86">
        <v>3</v>
      </c>
      <c r="B45" s="96" t="s">
        <v>545</v>
      </c>
      <c r="C45" s="88" t="s">
        <v>68</v>
      </c>
      <c r="D45" s="171">
        <v>22726801</v>
      </c>
      <c r="E45" s="171">
        <v>23078315</v>
      </c>
      <c r="F45" s="171">
        <v>92439712</v>
      </c>
    </row>
    <row r="46" spans="1:6">
      <c r="A46" s="110" t="s">
        <v>537</v>
      </c>
      <c r="B46" s="110" t="s">
        <v>537</v>
      </c>
      <c r="C46" s="110" t="s">
        <v>537</v>
      </c>
      <c r="D46" s="172" t="s">
        <v>537</v>
      </c>
      <c r="E46" s="172" t="s">
        <v>537</v>
      </c>
      <c r="F46" s="172" t="s">
        <v>537</v>
      </c>
    </row>
    <row r="47" spans="1:6" ht="25.5">
      <c r="A47" s="95"/>
      <c r="B47" s="97" t="s">
        <v>278</v>
      </c>
      <c r="C47" s="91" t="s">
        <v>69</v>
      </c>
      <c r="D47" s="171">
        <v>9526801</v>
      </c>
      <c r="E47" s="171">
        <v>9878315</v>
      </c>
      <c r="F47" s="171">
        <v>39639712</v>
      </c>
    </row>
    <row r="48" spans="1:6" ht="25.5">
      <c r="A48" s="95"/>
      <c r="B48" s="97" t="s">
        <v>36</v>
      </c>
      <c r="C48" s="91" t="s">
        <v>70</v>
      </c>
      <c r="D48" s="171">
        <v>13200000</v>
      </c>
      <c r="E48" s="171">
        <v>13200000</v>
      </c>
      <c r="F48" s="171">
        <v>52800000</v>
      </c>
    </row>
    <row r="49" spans="1:6" ht="25.5">
      <c r="A49" s="95">
        <v>4</v>
      </c>
      <c r="B49" s="97" t="s">
        <v>546</v>
      </c>
      <c r="C49" s="91" t="s">
        <v>82</v>
      </c>
      <c r="D49" s="171">
        <v>0</v>
      </c>
      <c r="E49" s="171">
        <v>0</v>
      </c>
      <c r="F49" s="171">
        <v>0</v>
      </c>
    </row>
    <row r="50" spans="1:6">
      <c r="A50" s="110" t="s">
        <v>537</v>
      </c>
      <c r="B50" s="110" t="s">
        <v>537</v>
      </c>
      <c r="C50" s="110" t="s">
        <v>537</v>
      </c>
      <c r="D50" s="172" t="s">
        <v>537</v>
      </c>
      <c r="E50" s="172" t="s">
        <v>537</v>
      </c>
      <c r="F50" s="172" t="s">
        <v>537</v>
      </c>
    </row>
    <row r="51" spans="1:6" ht="38.25">
      <c r="A51" s="95">
        <v>5</v>
      </c>
      <c r="B51" s="97" t="s">
        <v>547</v>
      </c>
      <c r="C51" s="91" t="s">
        <v>86</v>
      </c>
      <c r="D51" s="171">
        <v>0</v>
      </c>
      <c r="E51" s="171">
        <v>0</v>
      </c>
      <c r="F51" s="171">
        <v>0</v>
      </c>
    </row>
    <row r="52" spans="1:6">
      <c r="A52" s="110" t="s">
        <v>537</v>
      </c>
      <c r="B52" s="110" t="s">
        <v>537</v>
      </c>
      <c r="C52" s="110" t="s">
        <v>537</v>
      </c>
      <c r="D52" s="172" t="s">
        <v>537</v>
      </c>
      <c r="E52" s="172" t="s">
        <v>537</v>
      </c>
      <c r="F52" s="172" t="s">
        <v>537</v>
      </c>
    </row>
    <row r="53" spans="1:6" ht="25.5">
      <c r="A53" s="86">
        <v>6</v>
      </c>
      <c r="B53" s="87" t="s">
        <v>37</v>
      </c>
      <c r="C53" s="88" t="s">
        <v>71</v>
      </c>
      <c r="D53" s="171">
        <v>19741498</v>
      </c>
      <c r="E53" s="171">
        <v>15321644</v>
      </c>
      <c r="F53" s="171">
        <v>64223690</v>
      </c>
    </row>
    <row r="54" spans="1:6">
      <c r="A54" s="110" t="s">
        <v>537</v>
      </c>
      <c r="B54" s="110" t="s">
        <v>537</v>
      </c>
      <c r="C54" s="110" t="s">
        <v>537</v>
      </c>
      <c r="D54" s="172" t="s">
        <v>537</v>
      </c>
      <c r="E54" s="172" t="s">
        <v>537</v>
      </c>
      <c r="F54" s="172" t="s">
        <v>537</v>
      </c>
    </row>
    <row r="55" spans="1:6" ht="72" customHeight="1">
      <c r="A55" s="86">
        <v>7</v>
      </c>
      <c r="B55" s="87" t="s">
        <v>279</v>
      </c>
      <c r="C55" s="88" t="s">
        <v>72</v>
      </c>
      <c r="D55" s="171">
        <v>8657534</v>
      </c>
      <c r="E55" s="171">
        <v>8679452</v>
      </c>
      <c r="F55" s="171">
        <v>34630137</v>
      </c>
    </row>
    <row r="56" spans="1:6">
      <c r="A56" s="110" t="s">
        <v>537</v>
      </c>
      <c r="B56" s="110" t="s">
        <v>537</v>
      </c>
      <c r="C56" s="110" t="s">
        <v>537</v>
      </c>
      <c r="D56" s="172" t="s">
        <v>537</v>
      </c>
      <c r="E56" s="172" t="s">
        <v>537</v>
      </c>
      <c r="F56" s="172" t="s">
        <v>537</v>
      </c>
    </row>
    <row r="57" spans="1:6" ht="25.5">
      <c r="A57" s="95"/>
      <c r="B57" s="98" t="s">
        <v>280</v>
      </c>
      <c r="C57" s="91" t="s">
        <v>73</v>
      </c>
      <c r="D57" s="171">
        <v>8657534</v>
      </c>
      <c r="E57" s="171">
        <v>8679452</v>
      </c>
      <c r="F57" s="171">
        <v>34630137</v>
      </c>
    </row>
    <row r="58" spans="1:6" ht="25.5">
      <c r="A58" s="95"/>
      <c r="B58" s="98" t="s">
        <v>254</v>
      </c>
      <c r="C58" s="91" t="s">
        <v>74</v>
      </c>
      <c r="D58" s="171">
        <v>0</v>
      </c>
      <c r="E58" s="171">
        <v>0</v>
      </c>
      <c r="F58" s="171">
        <v>0</v>
      </c>
    </row>
    <row r="59" spans="1:6" ht="25.5">
      <c r="A59" s="95"/>
      <c r="B59" s="98" t="s">
        <v>39</v>
      </c>
      <c r="C59" s="91" t="s">
        <v>75</v>
      </c>
      <c r="D59" s="171">
        <v>0</v>
      </c>
      <c r="E59" s="171">
        <v>0</v>
      </c>
      <c r="F59" s="171">
        <v>0</v>
      </c>
    </row>
    <row r="60" spans="1:6" ht="159" customHeight="1">
      <c r="A60" s="86">
        <v>8</v>
      </c>
      <c r="B60" s="96" t="s">
        <v>281</v>
      </c>
      <c r="C60" s="88" t="s">
        <v>76</v>
      </c>
      <c r="D60" s="171">
        <v>0</v>
      </c>
      <c r="E60" s="171">
        <v>0</v>
      </c>
      <c r="F60" s="171">
        <v>0</v>
      </c>
    </row>
    <row r="61" spans="1:6">
      <c r="A61" s="110" t="s">
        <v>537</v>
      </c>
      <c r="B61" s="110" t="s">
        <v>537</v>
      </c>
      <c r="C61" s="110" t="s">
        <v>537</v>
      </c>
      <c r="D61" s="172" t="s">
        <v>537</v>
      </c>
      <c r="E61" s="172" t="s">
        <v>537</v>
      </c>
      <c r="F61" s="172" t="s">
        <v>537</v>
      </c>
    </row>
    <row r="62" spans="1:6" ht="25.5">
      <c r="A62" s="95"/>
      <c r="B62" s="97" t="s">
        <v>255</v>
      </c>
      <c r="C62" s="91" t="s">
        <v>77</v>
      </c>
      <c r="D62" s="171">
        <v>0</v>
      </c>
      <c r="E62" s="171">
        <v>0</v>
      </c>
      <c r="F62" s="171">
        <v>0</v>
      </c>
    </row>
    <row r="63" spans="1:6" ht="25.5">
      <c r="A63" s="95"/>
      <c r="B63" s="97" t="s">
        <v>203</v>
      </c>
      <c r="C63" s="91" t="s">
        <v>78</v>
      </c>
      <c r="D63" s="171">
        <v>0</v>
      </c>
      <c r="E63" s="171">
        <v>0</v>
      </c>
      <c r="F63" s="171">
        <v>0</v>
      </c>
    </row>
    <row r="64" spans="1:6" s="23" customFormat="1" ht="38.25">
      <c r="A64" s="95"/>
      <c r="B64" s="97" t="s">
        <v>282</v>
      </c>
      <c r="C64" s="91" t="s">
        <v>79</v>
      </c>
      <c r="D64" s="171">
        <v>0</v>
      </c>
      <c r="E64" s="171">
        <v>0</v>
      </c>
      <c r="F64" s="171">
        <v>0</v>
      </c>
    </row>
    <row r="65" spans="1:6" s="23" customFormat="1" ht="25.5">
      <c r="A65" s="95"/>
      <c r="B65" s="98" t="s">
        <v>256</v>
      </c>
      <c r="C65" s="91" t="s">
        <v>80</v>
      </c>
      <c r="D65" s="171">
        <v>0</v>
      </c>
      <c r="E65" s="171">
        <v>0</v>
      </c>
      <c r="F65" s="171">
        <v>0</v>
      </c>
    </row>
    <row r="66" spans="1:6" ht="25.5">
      <c r="A66" s="95"/>
      <c r="B66" s="98" t="s">
        <v>548</v>
      </c>
      <c r="C66" s="91" t="s">
        <v>81</v>
      </c>
      <c r="D66" s="171">
        <v>0</v>
      </c>
      <c r="E66" s="171">
        <v>0</v>
      </c>
      <c r="F66" s="171">
        <v>0</v>
      </c>
    </row>
    <row r="67" spans="1:6" ht="51">
      <c r="A67" s="86">
        <v>9</v>
      </c>
      <c r="B67" s="87" t="s">
        <v>283</v>
      </c>
      <c r="C67" s="88" t="s">
        <v>82</v>
      </c>
      <c r="D67" s="171">
        <v>210840611</v>
      </c>
      <c r="E67" s="171">
        <v>176783328</v>
      </c>
      <c r="F67" s="171">
        <v>716234066</v>
      </c>
    </row>
    <row r="68" spans="1:6" s="23" customFormat="1">
      <c r="A68" s="110" t="s">
        <v>537</v>
      </c>
      <c r="B68" s="110" t="s">
        <v>537</v>
      </c>
      <c r="C68" s="110" t="s">
        <v>537</v>
      </c>
      <c r="D68" s="172" t="s">
        <v>537</v>
      </c>
      <c r="E68" s="172" t="s">
        <v>537</v>
      </c>
      <c r="F68" s="172" t="s">
        <v>537</v>
      </c>
    </row>
    <row r="69" spans="1:6" s="23" customFormat="1" ht="25.5">
      <c r="A69" s="95"/>
      <c r="B69" s="90" t="s">
        <v>41</v>
      </c>
      <c r="C69" s="91" t="s">
        <v>83</v>
      </c>
      <c r="D69" s="171">
        <v>209904520</v>
      </c>
      <c r="E69" s="171">
        <v>176016984</v>
      </c>
      <c r="F69" s="171">
        <v>713172692</v>
      </c>
    </row>
    <row r="70" spans="1:6" s="23" customFormat="1" ht="25.5">
      <c r="A70" s="95"/>
      <c r="B70" s="90" t="s">
        <v>42</v>
      </c>
      <c r="C70" s="91" t="s">
        <v>84</v>
      </c>
      <c r="D70" s="171">
        <v>936091</v>
      </c>
      <c r="E70" s="171">
        <v>766344</v>
      </c>
      <c r="F70" s="171">
        <v>3061374</v>
      </c>
    </row>
    <row r="71" spans="1:6" ht="25.5">
      <c r="A71" s="95"/>
      <c r="B71" s="90" t="s">
        <v>43</v>
      </c>
      <c r="C71" s="91" t="s">
        <v>85</v>
      </c>
      <c r="D71" s="171">
        <v>0</v>
      </c>
      <c r="E71" s="171">
        <v>0</v>
      </c>
      <c r="F71" s="171">
        <v>0</v>
      </c>
    </row>
    <row r="72" spans="1:6" ht="25.5">
      <c r="A72" s="86">
        <v>10</v>
      </c>
      <c r="B72" s="87" t="s">
        <v>549</v>
      </c>
      <c r="C72" s="88" t="s">
        <v>86</v>
      </c>
      <c r="D72" s="171">
        <v>8979188</v>
      </c>
      <c r="E72" s="171">
        <v>8547636</v>
      </c>
      <c r="F72" s="171">
        <v>39368003</v>
      </c>
    </row>
    <row r="73" spans="1:6">
      <c r="A73" s="110" t="s">
        <v>537</v>
      </c>
      <c r="B73" s="110" t="s">
        <v>537</v>
      </c>
      <c r="C73" s="110" t="s">
        <v>537</v>
      </c>
      <c r="D73" s="172" t="s">
        <v>537</v>
      </c>
      <c r="E73" s="172" t="s">
        <v>537</v>
      </c>
      <c r="F73" s="172" t="s">
        <v>537</v>
      </c>
    </row>
    <row r="74" spans="1:6" ht="25.5">
      <c r="A74" s="86"/>
      <c r="B74" s="90" t="s">
        <v>44</v>
      </c>
      <c r="C74" s="91" t="s">
        <v>87</v>
      </c>
      <c r="D74" s="171">
        <v>0</v>
      </c>
      <c r="E74" s="171">
        <v>0</v>
      </c>
      <c r="F74" s="171">
        <v>0</v>
      </c>
    </row>
    <row r="75" spans="1:6" ht="25.5">
      <c r="A75" s="86"/>
      <c r="B75" s="90" t="s">
        <v>284</v>
      </c>
      <c r="C75" s="91" t="s">
        <v>88</v>
      </c>
      <c r="D75" s="171">
        <v>0</v>
      </c>
      <c r="E75" s="171">
        <v>0</v>
      </c>
      <c r="F75" s="171">
        <v>0</v>
      </c>
    </row>
    <row r="76" spans="1:6" ht="25.5">
      <c r="A76" s="86"/>
      <c r="B76" s="90" t="s">
        <v>45</v>
      </c>
      <c r="C76" s="91" t="s">
        <v>89</v>
      </c>
      <c r="D76" s="171">
        <v>616438</v>
      </c>
      <c r="E76" s="171">
        <v>636986</v>
      </c>
      <c r="F76" s="171">
        <v>2465753</v>
      </c>
    </row>
    <row r="77" spans="1:6" ht="25.5">
      <c r="A77" s="86"/>
      <c r="B77" s="90" t="s">
        <v>46</v>
      </c>
      <c r="C77" s="91" t="s">
        <v>90</v>
      </c>
      <c r="D77" s="171">
        <v>7262750</v>
      </c>
      <c r="E77" s="171">
        <v>7910650</v>
      </c>
      <c r="F77" s="171">
        <v>35802250</v>
      </c>
    </row>
    <row r="78" spans="1:6" ht="25.5">
      <c r="A78" s="86"/>
      <c r="B78" s="90" t="s">
        <v>285</v>
      </c>
      <c r="C78" s="91" t="s">
        <v>91</v>
      </c>
      <c r="D78" s="171">
        <v>0</v>
      </c>
      <c r="E78" s="171">
        <v>0</v>
      </c>
      <c r="F78" s="171">
        <v>0</v>
      </c>
    </row>
    <row r="79" spans="1:6" ht="25.5">
      <c r="A79" s="86"/>
      <c r="B79" s="90" t="s">
        <v>43</v>
      </c>
      <c r="C79" s="91" t="s">
        <v>92</v>
      </c>
      <c r="D79" s="171">
        <v>0</v>
      </c>
      <c r="E79" s="171">
        <v>0</v>
      </c>
      <c r="F79" s="171">
        <v>0</v>
      </c>
    </row>
    <row r="80" spans="1:6" ht="25.5">
      <c r="A80" s="86"/>
      <c r="B80" s="90" t="s">
        <v>286</v>
      </c>
      <c r="C80" s="91" t="s">
        <v>93</v>
      </c>
      <c r="D80" s="171">
        <v>1100000</v>
      </c>
      <c r="E80" s="171">
        <v>0</v>
      </c>
      <c r="F80" s="171">
        <v>1100000</v>
      </c>
    </row>
    <row r="81" spans="1:6" ht="38.25">
      <c r="A81" s="174" t="s">
        <v>26</v>
      </c>
      <c r="B81" s="168" t="s">
        <v>287</v>
      </c>
      <c r="C81" s="169" t="s">
        <v>94</v>
      </c>
      <c r="D81" s="175">
        <v>-778566690</v>
      </c>
      <c r="E81" s="175">
        <v>-858550522</v>
      </c>
      <c r="F81" s="175">
        <v>-2735149742</v>
      </c>
    </row>
    <row r="82" spans="1:6" ht="30.75" customHeight="1">
      <c r="A82" s="174" t="s">
        <v>27</v>
      </c>
      <c r="B82" s="168" t="s">
        <v>258</v>
      </c>
      <c r="C82" s="169" t="s">
        <v>95</v>
      </c>
      <c r="D82" s="175">
        <v>-2084950000</v>
      </c>
      <c r="E82" s="175">
        <v>13743490000</v>
      </c>
      <c r="F82" s="175">
        <v>11233515000</v>
      </c>
    </row>
    <row r="83" spans="1:6" ht="54.75" customHeight="1">
      <c r="A83" s="86">
        <v>1</v>
      </c>
      <c r="B83" s="87" t="s">
        <v>550</v>
      </c>
      <c r="C83" s="88" t="s">
        <v>96</v>
      </c>
      <c r="D83" s="171">
        <v>5690602627</v>
      </c>
      <c r="E83" s="171">
        <v>560837705</v>
      </c>
      <c r="F83" s="171">
        <v>4456280418</v>
      </c>
    </row>
    <row r="84" spans="1:6" ht="28.5" customHeight="1">
      <c r="A84" s="86">
        <v>2</v>
      </c>
      <c r="B84" s="87" t="s">
        <v>47</v>
      </c>
      <c r="C84" s="88" t="s">
        <v>97</v>
      </c>
      <c r="D84" s="171">
        <v>-7775552627</v>
      </c>
      <c r="E84" s="171">
        <v>13182652295</v>
      </c>
      <c r="F84" s="171">
        <v>6777234582</v>
      </c>
    </row>
    <row r="85" spans="1:6" ht="71.25" customHeight="1">
      <c r="A85" s="174" t="s">
        <v>28</v>
      </c>
      <c r="B85" s="168" t="s">
        <v>288</v>
      </c>
      <c r="C85" s="169" t="s">
        <v>98</v>
      </c>
      <c r="D85" s="175">
        <v>-2863516690</v>
      </c>
      <c r="E85" s="175">
        <v>12884939478</v>
      </c>
      <c r="F85" s="175">
        <v>8498365258</v>
      </c>
    </row>
    <row r="86" spans="1:6" ht="25.5">
      <c r="A86" s="174" t="s">
        <v>29</v>
      </c>
      <c r="B86" s="168" t="s">
        <v>48</v>
      </c>
      <c r="C86" s="169" t="s">
        <v>99</v>
      </c>
      <c r="D86" s="175">
        <v>355326139321</v>
      </c>
      <c r="E86" s="175">
        <v>345100639446</v>
      </c>
      <c r="F86" s="175">
        <v>370867339194</v>
      </c>
    </row>
    <row r="87" spans="1:6" ht="62.25" customHeight="1">
      <c r="A87" s="174" t="s">
        <v>30</v>
      </c>
      <c r="B87" s="168" t="s">
        <v>588</v>
      </c>
      <c r="C87" s="169" t="s">
        <v>100</v>
      </c>
      <c r="D87" s="175">
        <v>-4695465369</v>
      </c>
      <c r="E87" s="175">
        <v>10225499875</v>
      </c>
      <c r="F87" s="175">
        <v>-20236665242</v>
      </c>
    </row>
    <row r="88" spans="1:6" s="23" customFormat="1" ht="51">
      <c r="A88" s="86">
        <v>1</v>
      </c>
      <c r="B88" s="87" t="s">
        <v>551</v>
      </c>
      <c r="C88" s="88" t="s">
        <v>101</v>
      </c>
      <c r="D88" s="171">
        <v>-2863516690</v>
      </c>
      <c r="E88" s="171">
        <v>12884939478</v>
      </c>
      <c r="F88" s="171">
        <v>8498365258</v>
      </c>
    </row>
    <row r="89" spans="1:6" ht="51">
      <c r="A89" s="86">
        <v>2</v>
      </c>
      <c r="B89" s="87" t="s">
        <v>552</v>
      </c>
      <c r="C89" s="88" t="s">
        <v>102</v>
      </c>
      <c r="D89" s="171">
        <v>0</v>
      </c>
      <c r="E89" s="171">
        <v>0</v>
      </c>
      <c r="F89" s="171">
        <v>0</v>
      </c>
    </row>
    <row r="90" spans="1:6" ht="51">
      <c r="A90" s="86">
        <v>3</v>
      </c>
      <c r="B90" s="87" t="s">
        <v>553</v>
      </c>
      <c r="C90" s="88" t="s">
        <v>103</v>
      </c>
      <c r="D90" s="171">
        <v>-1831948679</v>
      </c>
      <c r="E90" s="171">
        <v>-2659439603</v>
      </c>
      <c r="F90" s="171">
        <v>-28735030500</v>
      </c>
    </row>
    <row r="91" spans="1:6" ht="51">
      <c r="A91" s="86"/>
      <c r="B91" s="87" t="s">
        <v>289</v>
      </c>
      <c r="C91" s="88" t="s">
        <v>554</v>
      </c>
      <c r="D91" s="171">
        <v>4080861136</v>
      </c>
      <c r="E91" s="171">
        <v>3291827808</v>
      </c>
      <c r="F91" s="171">
        <v>16725392364</v>
      </c>
    </row>
    <row r="92" spans="1:6" ht="51">
      <c r="A92" s="86"/>
      <c r="B92" s="87" t="s">
        <v>290</v>
      </c>
      <c r="C92" s="88" t="s">
        <v>555</v>
      </c>
      <c r="D92" s="171">
        <v>-5912809815</v>
      </c>
      <c r="E92" s="171">
        <v>-5951267411</v>
      </c>
      <c r="F92" s="171">
        <v>-45460422864</v>
      </c>
    </row>
    <row r="93" spans="1:6" s="27" customFormat="1" ht="34.5" customHeight="1">
      <c r="A93" s="167" t="s">
        <v>31</v>
      </c>
      <c r="B93" s="168" t="s">
        <v>49</v>
      </c>
      <c r="C93" s="169" t="s">
        <v>104</v>
      </c>
      <c r="D93" s="175">
        <v>350630673952</v>
      </c>
      <c r="E93" s="175">
        <v>355326139321</v>
      </c>
      <c r="F93" s="175">
        <v>350630673952</v>
      </c>
    </row>
    <row r="94" spans="1:6" ht="55.5" customHeight="1">
      <c r="A94" s="167" t="s">
        <v>32</v>
      </c>
      <c r="B94" s="168" t="s">
        <v>259</v>
      </c>
      <c r="C94" s="169" t="s">
        <v>105</v>
      </c>
      <c r="D94" s="175">
        <v>0</v>
      </c>
      <c r="E94" s="175">
        <v>0</v>
      </c>
      <c r="F94" s="175">
        <v>0</v>
      </c>
    </row>
    <row r="95" spans="1:6" ht="51">
      <c r="A95" s="99"/>
      <c r="B95" s="87" t="s">
        <v>260</v>
      </c>
      <c r="C95" s="88" t="s">
        <v>106</v>
      </c>
      <c r="D95" s="184">
        <v>0</v>
      </c>
      <c r="E95" s="184">
        <v>0</v>
      </c>
      <c r="F95" s="184">
        <v>0</v>
      </c>
    </row>
    <row r="96" spans="1:6" ht="16.899999999999999" customHeight="1"/>
    <row r="97" spans="1:6" ht="16.899999999999999" customHeight="1">
      <c r="A97" s="17" t="s">
        <v>10</v>
      </c>
      <c r="D97" s="17"/>
      <c r="E97" s="17" t="s">
        <v>11</v>
      </c>
    </row>
    <row r="98" spans="1:6" ht="16.899999999999999" customHeight="1">
      <c r="A98" s="18" t="s">
        <v>12</v>
      </c>
      <c r="D98" s="18"/>
      <c r="E98" s="18" t="s">
        <v>13</v>
      </c>
    </row>
    <row r="99" spans="1:6" ht="16.899999999999999" customHeight="1">
      <c r="A99" s="18"/>
      <c r="D99" s="18"/>
      <c r="E99" s="18"/>
    </row>
    <row r="100" spans="1:6" ht="56.25" customHeight="1">
      <c r="A100" s="18"/>
      <c r="D100" s="18"/>
      <c r="E100" s="18"/>
    </row>
    <row r="101" spans="1:6" ht="16.899999999999999" customHeight="1">
      <c r="A101" s="18"/>
      <c r="D101" s="18"/>
      <c r="E101" s="18"/>
    </row>
    <row r="102" spans="1:6" ht="24.75" customHeight="1">
      <c r="A102" s="18"/>
      <c r="D102" s="18"/>
      <c r="E102" s="18"/>
    </row>
    <row r="103" spans="1:6" ht="16.899999999999999" customHeight="1"/>
    <row r="104" spans="1:6" ht="16.899999999999999" customHeight="1">
      <c r="D104" s="32"/>
    </row>
    <row r="105" spans="1:6" ht="16.899999999999999" customHeight="1">
      <c r="A105" s="28" t="s">
        <v>14</v>
      </c>
      <c r="B105" s="29"/>
      <c r="D105" s="193"/>
      <c r="E105" s="28" t="s">
        <v>1135</v>
      </c>
      <c r="F105" s="29"/>
    </row>
    <row r="106" spans="1:6" ht="16.899999999999999" customHeight="1">
      <c r="A106" s="25" t="s">
        <v>1141</v>
      </c>
      <c r="D106" s="25"/>
      <c r="E106" s="25" t="s">
        <v>1142</v>
      </c>
    </row>
    <row r="107" spans="1:6" ht="16.899999999999999" customHeight="1">
      <c r="A107" s="12" t="s">
        <v>1143</v>
      </c>
      <c r="E107" s="12" t="s">
        <v>1144</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12"/>
  <sheetViews>
    <sheetView view="pageBreakPreview" topLeftCell="A85" zoomScale="95" zoomScaleNormal="100" zoomScaleSheetLayoutView="95" workbookViewId="0">
      <selection activeCell="F97" sqref="F97:G98"/>
    </sheetView>
  </sheetViews>
  <sheetFormatPr defaultColWidth="8.7109375" defaultRowHeight="12.75"/>
  <cols>
    <col min="1" max="1" width="9" style="12" customWidth="1"/>
    <col min="2" max="2" width="39.85546875" style="12" customWidth="1"/>
    <col min="3" max="3" width="9.28515625" style="12" customWidth="1"/>
    <col min="4" max="4" width="28" style="12" customWidth="1"/>
    <col min="5" max="5" width="33.85546875" style="12" customWidth="1"/>
    <col min="6" max="6" width="32.140625" style="12" customWidth="1"/>
    <col min="7" max="7" width="28.5703125" style="12" customWidth="1"/>
    <col min="8" max="16384" width="8.7109375" style="141"/>
  </cols>
  <sheetData>
    <row r="1" spans="1:7" ht="44.25" customHeight="1">
      <c r="A1" s="204" t="s">
        <v>583</v>
      </c>
      <c r="B1" s="204"/>
      <c r="C1" s="204"/>
      <c r="D1" s="204"/>
      <c r="E1" s="204"/>
      <c r="F1" s="204"/>
      <c r="G1" s="204"/>
    </row>
    <row r="2" spans="1:7" ht="59.25" customHeight="1">
      <c r="A2" s="205" t="s">
        <v>584</v>
      </c>
      <c r="B2" s="205"/>
      <c r="C2" s="205"/>
      <c r="D2" s="205"/>
      <c r="E2" s="205"/>
      <c r="F2" s="205"/>
      <c r="G2" s="205"/>
    </row>
    <row r="3" spans="1:7" ht="15" customHeight="1">
      <c r="A3" s="206" t="s">
        <v>532</v>
      </c>
      <c r="B3" s="206"/>
      <c r="C3" s="206"/>
      <c r="D3" s="206"/>
      <c r="E3" s="206"/>
      <c r="F3" s="206"/>
      <c r="G3" s="206"/>
    </row>
    <row r="4" spans="1:7" ht="27.4" customHeight="1">
      <c r="A4" s="206"/>
      <c r="B4" s="206"/>
      <c r="C4" s="206"/>
      <c r="D4" s="206"/>
      <c r="E4" s="206"/>
      <c r="F4" s="206"/>
      <c r="G4" s="206"/>
    </row>
    <row r="5" spans="1:7" ht="16.899999999999999" customHeight="1">
      <c r="A5" s="207" t="s">
        <v>1133</v>
      </c>
      <c r="B5" s="207"/>
      <c r="C5" s="207"/>
      <c r="D5" s="207"/>
      <c r="E5" s="207"/>
      <c r="F5" s="207"/>
      <c r="G5" s="207"/>
    </row>
    <row r="6" spans="1:7" ht="16.899999999999999" customHeight="1"/>
    <row r="7" spans="1:7" ht="16.899999999999999" customHeight="1">
      <c r="A7" s="112" t="s">
        <v>2</v>
      </c>
      <c r="C7" s="208" t="s">
        <v>1135</v>
      </c>
      <c r="D7" s="208"/>
      <c r="E7" s="208"/>
      <c r="F7" s="208"/>
      <c r="G7" s="208"/>
    </row>
    <row r="8" spans="1:7" ht="16.899999999999999" customHeight="1">
      <c r="A8" s="12" t="s">
        <v>15</v>
      </c>
      <c r="C8" s="203" t="s">
        <v>1136</v>
      </c>
      <c r="D8" s="203"/>
      <c r="E8" s="203"/>
      <c r="F8" s="203"/>
      <c r="G8" s="203"/>
    </row>
    <row r="9" spans="1:7" ht="16.899999999999999" customHeight="1">
      <c r="A9" s="112" t="s">
        <v>3</v>
      </c>
      <c r="C9" s="208" t="s">
        <v>1137</v>
      </c>
      <c r="D9" s="208"/>
      <c r="E9" s="208"/>
      <c r="F9" s="208"/>
      <c r="G9" s="208"/>
    </row>
    <row r="10" spans="1:7" ht="16.899999999999999" customHeight="1">
      <c r="A10" s="12" t="s">
        <v>4</v>
      </c>
      <c r="C10" s="203" t="s">
        <v>1138</v>
      </c>
      <c r="D10" s="203"/>
      <c r="E10" s="203"/>
      <c r="F10" s="203"/>
      <c r="G10" s="203"/>
    </row>
    <row r="11" spans="1:7" ht="16.899999999999999" customHeight="1">
      <c r="A11" s="112" t="s">
        <v>5</v>
      </c>
      <c r="C11" s="208" t="s">
        <v>590</v>
      </c>
      <c r="D11" s="208"/>
      <c r="E11" s="208"/>
      <c r="F11" s="208"/>
      <c r="G11" s="208"/>
    </row>
    <row r="12" spans="1:7" ht="16.899999999999999" customHeight="1">
      <c r="A12" s="12" t="s">
        <v>6</v>
      </c>
      <c r="C12" s="203" t="s">
        <v>1156</v>
      </c>
      <c r="D12" s="203"/>
      <c r="E12" s="203"/>
      <c r="F12" s="203"/>
      <c r="G12" s="203"/>
    </row>
    <row r="13" spans="1:7" ht="16.899999999999999" customHeight="1">
      <c r="A13" s="112" t="s">
        <v>7</v>
      </c>
      <c r="C13" s="208" t="s">
        <v>1139</v>
      </c>
      <c r="D13" s="208"/>
      <c r="E13" s="208"/>
      <c r="F13" s="208"/>
      <c r="G13" s="208"/>
    </row>
    <row r="14" spans="1:7" ht="16.899999999999999" customHeight="1">
      <c r="A14" s="12" t="s">
        <v>8</v>
      </c>
      <c r="C14" s="203" t="s">
        <v>1140</v>
      </c>
      <c r="D14" s="203"/>
      <c r="E14" s="203"/>
      <c r="F14" s="203"/>
      <c r="G14" s="203"/>
    </row>
    <row r="15" spans="1:7" ht="18" hidden="1" customHeight="1"/>
    <row r="16" spans="1:7" ht="16.899999999999999" customHeight="1">
      <c r="A16" s="106" t="s">
        <v>581</v>
      </c>
      <c r="B16" s="107" t="s">
        <v>582</v>
      </c>
    </row>
    <row r="17" spans="1:7" ht="16.899999999999999" customHeight="1">
      <c r="A17" s="19" t="s">
        <v>26</v>
      </c>
      <c r="B17" s="20" t="s">
        <v>534</v>
      </c>
    </row>
    <row r="18" spans="1:7" ht="75.400000000000006" customHeight="1">
      <c r="A18" s="31" t="s">
        <v>236</v>
      </c>
      <c r="B18" s="31" t="s">
        <v>107</v>
      </c>
      <c r="C18" s="31" t="s">
        <v>19</v>
      </c>
      <c r="D18" s="31" t="s">
        <v>108</v>
      </c>
      <c r="E18" s="31" t="s">
        <v>109</v>
      </c>
      <c r="F18" s="31" t="s">
        <v>110</v>
      </c>
      <c r="G18" s="31" t="s">
        <v>111</v>
      </c>
    </row>
    <row r="19" spans="1:7" ht="39" customHeight="1">
      <c r="A19" s="187" t="s">
        <v>599</v>
      </c>
      <c r="B19" s="186" t="s">
        <v>600</v>
      </c>
      <c r="C19" s="187"/>
      <c r="D19" s="189"/>
      <c r="E19" s="189"/>
      <c r="F19" s="189"/>
      <c r="G19" s="188"/>
    </row>
    <row r="20" spans="1:7" ht="39" customHeight="1">
      <c r="A20" s="182"/>
      <c r="B20" s="181"/>
      <c r="C20" s="183"/>
      <c r="D20" s="185"/>
      <c r="E20" s="191"/>
      <c r="F20" s="185"/>
      <c r="G20" s="184"/>
    </row>
    <row r="21" spans="1:7" ht="39" customHeight="1">
      <c r="A21" s="187"/>
      <c r="B21" s="186" t="s">
        <v>601</v>
      </c>
      <c r="C21" s="187" t="s">
        <v>602</v>
      </c>
      <c r="D21" s="189"/>
      <c r="E21" s="189"/>
      <c r="F21" s="189"/>
      <c r="G21" s="188"/>
    </row>
    <row r="22" spans="1:7" ht="39" customHeight="1">
      <c r="A22" s="187" t="s">
        <v>603</v>
      </c>
      <c r="B22" s="186" t="s">
        <v>604</v>
      </c>
      <c r="C22" s="187" t="s">
        <v>605</v>
      </c>
      <c r="D22" s="189"/>
      <c r="E22" s="189"/>
      <c r="F22" s="189"/>
      <c r="G22" s="188"/>
    </row>
    <row r="23" spans="1:7" ht="39" customHeight="1">
      <c r="A23" s="182"/>
      <c r="B23" s="181"/>
      <c r="C23" s="183"/>
      <c r="D23" s="185"/>
      <c r="E23" s="191"/>
      <c r="F23" s="185"/>
      <c r="G23" s="184"/>
    </row>
    <row r="24" spans="1:7" ht="33.950000000000003" customHeight="1">
      <c r="A24" s="182" t="s">
        <v>606</v>
      </c>
      <c r="B24" s="181" t="s">
        <v>607</v>
      </c>
      <c r="C24" s="183" t="s">
        <v>608</v>
      </c>
      <c r="D24" s="185">
        <v>670000</v>
      </c>
      <c r="E24" s="191">
        <v>24200</v>
      </c>
      <c r="F24" s="185">
        <v>16214000000</v>
      </c>
      <c r="G24" s="184">
        <v>4.4190148594091601E-2</v>
      </c>
    </row>
    <row r="25" spans="1:7" ht="33.950000000000003" customHeight="1">
      <c r="A25" s="182" t="s">
        <v>609</v>
      </c>
      <c r="B25" s="181" t="s">
        <v>610</v>
      </c>
      <c r="C25" s="183" t="s">
        <v>611</v>
      </c>
      <c r="D25" s="185">
        <v>230000</v>
      </c>
      <c r="E25" s="191">
        <v>43500</v>
      </c>
      <c r="F25" s="185">
        <v>10005000000</v>
      </c>
      <c r="G25" s="184">
        <v>2.7267943547791201E-2</v>
      </c>
    </row>
    <row r="26" spans="1:7" ht="33.950000000000003" customHeight="1">
      <c r="A26" s="182" t="s">
        <v>612</v>
      </c>
      <c r="B26" s="181" t="s">
        <v>613</v>
      </c>
      <c r="C26" s="183" t="s">
        <v>614</v>
      </c>
      <c r="D26" s="185">
        <v>250000</v>
      </c>
      <c r="E26" s="191">
        <v>16100</v>
      </c>
      <c r="F26" s="185">
        <v>4025000000</v>
      </c>
      <c r="G26" s="184">
        <v>1.0969862346812499E-2</v>
      </c>
    </row>
    <row r="27" spans="1:7" ht="33.950000000000003" customHeight="1">
      <c r="A27" s="182" t="s">
        <v>615</v>
      </c>
      <c r="B27" s="181" t="s">
        <v>616</v>
      </c>
      <c r="C27" s="183" t="s">
        <v>617</v>
      </c>
      <c r="D27" s="185">
        <v>180000</v>
      </c>
      <c r="E27" s="191">
        <v>25300</v>
      </c>
      <c r="F27" s="185">
        <v>4554000000</v>
      </c>
      <c r="G27" s="184">
        <v>1.2411615683822199E-2</v>
      </c>
    </row>
    <row r="28" spans="1:7" ht="33.950000000000003" customHeight="1">
      <c r="A28" s="182" t="s">
        <v>618</v>
      </c>
      <c r="B28" s="181" t="s">
        <v>619</v>
      </c>
      <c r="C28" s="183" t="s">
        <v>620</v>
      </c>
      <c r="D28" s="185">
        <v>300000</v>
      </c>
      <c r="E28" s="191">
        <v>28850</v>
      </c>
      <c r="F28" s="185">
        <v>8655000000</v>
      </c>
      <c r="G28" s="184">
        <v>2.35886108351957E-2</v>
      </c>
    </row>
    <row r="29" spans="1:7" ht="33.950000000000003" customHeight="1">
      <c r="A29" s="182" t="s">
        <v>621</v>
      </c>
      <c r="B29" s="181" t="s">
        <v>622</v>
      </c>
      <c r="C29" s="183" t="s">
        <v>623</v>
      </c>
      <c r="D29" s="185">
        <v>70000</v>
      </c>
      <c r="E29" s="191">
        <v>66500</v>
      </c>
      <c r="F29" s="185">
        <v>4655000000</v>
      </c>
      <c r="G29" s="184">
        <v>1.2686884279357101E-2</v>
      </c>
    </row>
    <row r="30" spans="1:7" ht="33.950000000000003" customHeight="1">
      <c r="A30" s="182" t="s">
        <v>624</v>
      </c>
      <c r="B30" s="181" t="s">
        <v>625</v>
      </c>
      <c r="C30" s="183" t="s">
        <v>626</v>
      </c>
      <c r="D30" s="185">
        <v>250000</v>
      </c>
      <c r="E30" s="191">
        <v>18700</v>
      </c>
      <c r="F30" s="185">
        <v>4675000000</v>
      </c>
      <c r="G30" s="184">
        <v>1.2741392912136299E-2</v>
      </c>
    </row>
    <row r="31" spans="1:7" ht="33.950000000000003" customHeight="1">
      <c r="A31" s="182" t="s">
        <v>627</v>
      </c>
      <c r="B31" s="181" t="s">
        <v>628</v>
      </c>
      <c r="C31" s="183" t="s">
        <v>629</v>
      </c>
      <c r="D31" s="185">
        <v>140000</v>
      </c>
      <c r="E31" s="191">
        <v>31950</v>
      </c>
      <c r="F31" s="185">
        <v>4473000000</v>
      </c>
      <c r="G31" s="184">
        <v>1.21908557210665E-2</v>
      </c>
    </row>
    <row r="32" spans="1:7" ht="33.950000000000003" customHeight="1">
      <c r="A32" s="182" t="s">
        <v>630</v>
      </c>
      <c r="B32" s="181" t="s">
        <v>631</v>
      </c>
      <c r="C32" s="183" t="s">
        <v>632</v>
      </c>
      <c r="D32" s="185">
        <v>350000</v>
      </c>
      <c r="E32" s="191">
        <v>13500</v>
      </c>
      <c r="F32" s="185">
        <v>4725000000</v>
      </c>
      <c r="G32" s="184">
        <v>1.28776644940843E-2</v>
      </c>
    </row>
    <row r="33" spans="1:7" ht="33.950000000000003" customHeight="1">
      <c r="A33" s="182" t="s">
        <v>633</v>
      </c>
      <c r="B33" s="181" t="s">
        <v>634</v>
      </c>
      <c r="C33" s="183" t="s">
        <v>635</v>
      </c>
      <c r="D33" s="185">
        <v>300000</v>
      </c>
      <c r="E33" s="191">
        <v>77500</v>
      </c>
      <c r="F33" s="185">
        <v>23250000000</v>
      </c>
      <c r="G33" s="184">
        <v>6.3366285605811604E-2</v>
      </c>
    </row>
    <row r="34" spans="1:7" ht="33.950000000000003" customHeight="1">
      <c r="A34" s="182" t="s">
        <v>636</v>
      </c>
      <c r="B34" s="181" t="s">
        <v>637</v>
      </c>
      <c r="C34" s="183" t="s">
        <v>638</v>
      </c>
      <c r="D34" s="185">
        <v>60000</v>
      </c>
      <c r="E34" s="191">
        <v>92800</v>
      </c>
      <c r="F34" s="185">
        <v>5568000000</v>
      </c>
      <c r="G34" s="184">
        <v>1.5175203365727301E-2</v>
      </c>
    </row>
    <row r="35" spans="1:7" ht="33.950000000000003" customHeight="1">
      <c r="A35" s="182" t="s">
        <v>639</v>
      </c>
      <c r="B35" s="181" t="s">
        <v>640</v>
      </c>
      <c r="C35" s="183" t="s">
        <v>641</v>
      </c>
      <c r="D35" s="185">
        <v>120000</v>
      </c>
      <c r="E35" s="191">
        <v>33700</v>
      </c>
      <c r="F35" s="185">
        <v>4044000000</v>
      </c>
      <c r="G35" s="184">
        <v>1.10216455479528E-2</v>
      </c>
    </row>
    <row r="36" spans="1:7" ht="33.950000000000003" customHeight="1">
      <c r="A36" s="182" t="s">
        <v>642</v>
      </c>
      <c r="B36" s="181" t="s">
        <v>643</v>
      </c>
      <c r="C36" s="183" t="s">
        <v>644</v>
      </c>
      <c r="D36" s="185">
        <v>700000</v>
      </c>
      <c r="E36" s="191">
        <v>21650</v>
      </c>
      <c r="F36" s="185">
        <v>15155000000</v>
      </c>
      <c r="G36" s="184">
        <v>4.1303916488433297E-2</v>
      </c>
    </row>
    <row r="37" spans="1:7" ht="33.950000000000003" customHeight="1">
      <c r="A37" s="182" t="s">
        <v>645</v>
      </c>
      <c r="B37" s="181" t="s">
        <v>646</v>
      </c>
      <c r="C37" s="183" t="s">
        <v>647</v>
      </c>
      <c r="D37" s="185">
        <v>300000</v>
      </c>
      <c r="E37" s="191">
        <v>15500</v>
      </c>
      <c r="F37" s="185">
        <v>4650000000</v>
      </c>
      <c r="G37" s="184">
        <v>1.2673257121162299E-2</v>
      </c>
    </row>
    <row r="38" spans="1:7" ht="33.950000000000003" customHeight="1">
      <c r="A38" s="182" t="s">
        <v>648</v>
      </c>
      <c r="B38" s="181" t="s">
        <v>649</v>
      </c>
      <c r="C38" s="183" t="s">
        <v>650</v>
      </c>
      <c r="D38" s="185">
        <v>200000</v>
      </c>
      <c r="E38" s="191">
        <v>25800</v>
      </c>
      <c r="F38" s="185">
        <v>5160000000</v>
      </c>
      <c r="G38" s="184">
        <v>1.4063227257031701E-2</v>
      </c>
    </row>
    <row r="39" spans="1:7" ht="33.950000000000003" customHeight="1">
      <c r="A39" s="182" t="s">
        <v>651</v>
      </c>
      <c r="B39" s="181" t="s">
        <v>652</v>
      </c>
      <c r="C39" s="183" t="s">
        <v>653</v>
      </c>
      <c r="D39" s="185">
        <v>200000</v>
      </c>
      <c r="E39" s="191">
        <v>29800</v>
      </c>
      <c r="F39" s="185">
        <v>5960000000</v>
      </c>
      <c r="G39" s="184">
        <v>1.6243572568199399E-2</v>
      </c>
    </row>
    <row r="40" spans="1:7" ht="33.950000000000003" customHeight="1">
      <c r="A40" s="182" t="s">
        <v>654</v>
      </c>
      <c r="B40" s="181" t="s">
        <v>655</v>
      </c>
      <c r="C40" s="183" t="s">
        <v>656</v>
      </c>
      <c r="D40" s="185">
        <v>650000</v>
      </c>
      <c r="E40" s="191">
        <v>18450</v>
      </c>
      <c r="F40" s="185">
        <v>11992500000</v>
      </c>
      <c r="G40" s="184">
        <v>3.2684738930223403E-2</v>
      </c>
    </row>
    <row r="41" spans="1:7" ht="33.950000000000003" customHeight="1">
      <c r="A41" s="182" t="s">
        <v>657</v>
      </c>
      <c r="B41" s="181" t="s">
        <v>658</v>
      </c>
      <c r="C41" s="183" t="s">
        <v>659</v>
      </c>
      <c r="D41" s="185">
        <v>100000</v>
      </c>
      <c r="E41" s="191">
        <v>73100</v>
      </c>
      <c r="F41" s="185">
        <v>7310000000</v>
      </c>
      <c r="G41" s="184">
        <v>1.9922905280794899E-2</v>
      </c>
    </row>
    <row r="42" spans="1:7" ht="33.950000000000003" customHeight="1">
      <c r="A42" s="182" t="s">
        <v>660</v>
      </c>
      <c r="B42" s="181" t="s">
        <v>661</v>
      </c>
      <c r="C42" s="183" t="s">
        <v>662</v>
      </c>
      <c r="D42" s="185">
        <v>300000</v>
      </c>
      <c r="E42" s="191">
        <v>39200</v>
      </c>
      <c r="F42" s="185">
        <v>11760000000</v>
      </c>
      <c r="G42" s="184">
        <v>3.2051076074165297E-2</v>
      </c>
    </row>
    <row r="43" spans="1:7" ht="33.950000000000003" customHeight="1">
      <c r="A43" s="182" t="s">
        <v>663</v>
      </c>
      <c r="B43" s="181" t="s">
        <v>664</v>
      </c>
      <c r="C43" s="183" t="s">
        <v>665</v>
      </c>
      <c r="D43" s="185">
        <v>150000</v>
      </c>
      <c r="E43" s="191">
        <v>33400</v>
      </c>
      <c r="F43" s="185">
        <v>5010000000</v>
      </c>
      <c r="G43" s="184">
        <v>1.36544125111878E-2</v>
      </c>
    </row>
    <row r="44" spans="1:7" ht="33.950000000000003" customHeight="1">
      <c r="A44" s="182" t="s">
        <v>666</v>
      </c>
      <c r="B44" s="181" t="s">
        <v>667</v>
      </c>
      <c r="C44" s="183" t="s">
        <v>668</v>
      </c>
      <c r="D44" s="185">
        <v>350000</v>
      </c>
      <c r="E44" s="191">
        <v>14150</v>
      </c>
      <c r="F44" s="185">
        <v>4952500000</v>
      </c>
      <c r="G44" s="184">
        <v>1.34977001919476E-2</v>
      </c>
    </row>
    <row r="45" spans="1:7" ht="33.950000000000003" customHeight="1">
      <c r="A45" s="182" t="s">
        <v>669</v>
      </c>
      <c r="B45" s="181" t="s">
        <v>670</v>
      </c>
      <c r="C45" s="183" t="s">
        <v>671</v>
      </c>
      <c r="D45" s="185">
        <v>100000</v>
      </c>
      <c r="E45" s="191">
        <v>37450</v>
      </c>
      <c r="F45" s="185">
        <v>3745000000</v>
      </c>
      <c r="G45" s="184">
        <v>1.0206741487903801E-2</v>
      </c>
    </row>
    <row r="46" spans="1:7" ht="33.950000000000003" customHeight="1">
      <c r="A46" s="182" t="s">
        <v>672</v>
      </c>
      <c r="B46" s="181" t="s">
        <v>673</v>
      </c>
      <c r="C46" s="183" t="s">
        <v>674</v>
      </c>
      <c r="D46" s="185">
        <v>70000</v>
      </c>
      <c r="E46" s="191">
        <v>77000</v>
      </c>
      <c r="F46" s="185">
        <v>5390000000</v>
      </c>
      <c r="G46" s="184">
        <v>1.46900765339924E-2</v>
      </c>
    </row>
    <row r="47" spans="1:7" ht="33.950000000000003" customHeight="1">
      <c r="A47" s="182" t="s">
        <v>675</v>
      </c>
      <c r="B47" s="181" t="s">
        <v>676</v>
      </c>
      <c r="C47" s="183" t="s">
        <v>677</v>
      </c>
      <c r="D47" s="185">
        <v>550000</v>
      </c>
      <c r="E47" s="191">
        <v>13100</v>
      </c>
      <c r="F47" s="185">
        <v>7205000000</v>
      </c>
      <c r="G47" s="184">
        <v>1.9636734958704199E-2</v>
      </c>
    </row>
    <row r="48" spans="1:7" ht="33.950000000000003" customHeight="1">
      <c r="A48" s="182" t="s">
        <v>678</v>
      </c>
      <c r="B48" s="181" t="s">
        <v>679</v>
      </c>
      <c r="C48" s="183" t="s">
        <v>680</v>
      </c>
      <c r="D48" s="185">
        <v>100000</v>
      </c>
      <c r="E48" s="191">
        <v>43800</v>
      </c>
      <c r="F48" s="185">
        <v>4380000000</v>
      </c>
      <c r="G48" s="184">
        <v>1.19373905786432E-2</v>
      </c>
    </row>
    <row r="49" spans="1:7" ht="33.950000000000003" customHeight="1">
      <c r="A49" s="182" t="s">
        <v>681</v>
      </c>
      <c r="B49" s="181" t="s">
        <v>682</v>
      </c>
      <c r="C49" s="183" t="s">
        <v>683</v>
      </c>
      <c r="D49" s="185">
        <v>250000</v>
      </c>
      <c r="E49" s="191">
        <v>20950</v>
      </c>
      <c r="F49" s="185">
        <v>5237500000</v>
      </c>
      <c r="G49" s="184">
        <v>1.42744482090511E-2</v>
      </c>
    </row>
    <row r="50" spans="1:7" ht="33.950000000000003" customHeight="1">
      <c r="A50" s="182" t="s">
        <v>684</v>
      </c>
      <c r="B50" s="181" t="s">
        <v>685</v>
      </c>
      <c r="C50" s="183" t="s">
        <v>686</v>
      </c>
      <c r="D50" s="185">
        <v>250000</v>
      </c>
      <c r="E50" s="191">
        <v>25300</v>
      </c>
      <c r="F50" s="185">
        <v>6325000000</v>
      </c>
      <c r="G50" s="184">
        <v>1.7238355116419701E-2</v>
      </c>
    </row>
    <row r="51" spans="1:7" ht="33.950000000000003" customHeight="1">
      <c r="A51" s="182" t="s">
        <v>687</v>
      </c>
      <c r="B51" s="181" t="s">
        <v>688</v>
      </c>
      <c r="C51" s="183" t="s">
        <v>689</v>
      </c>
      <c r="D51" s="185">
        <v>30000</v>
      </c>
      <c r="E51" s="191">
        <v>42500</v>
      </c>
      <c r="F51" s="185">
        <v>1275000000</v>
      </c>
      <c r="G51" s="184">
        <v>3.47492533967354E-3</v>
      </c>
    </row>
    <row r="52" spans="1:7" ht="33.950000000000003" customHeight="1">
      <c r="A52" s="182" t="s">
        <v>690</v>
      </c>
      <c r="B52" s="181" t="s">
        <v>691</v>
      </c>
      <c r="C52" s="183" t="s">
        <v>692</v>
      </c>
      <c r="D52" s="185">
        <v>20000</v>
      </c>
      <c r="E52" s="191">
        <v>172000</v>
      </c>
      <c r="F52" s="185">
        <v>3440000000</v>
      </c>
      <c r="G52" s="184">
        <v>9.3754848380211506E-3</v>
      </c>
    </row>
    <row r="53" spans="1:7" ht="33.950000000000003" customHeight="1">
      <c r="A53" s="182" t="s">
        <v>693</v>
      </c>
      <c r="B53" s="181" t="s">
        <v>694</v>
      </c>
      <c r="C53" s="183" t="s">
        <v>695</v>
      </c>
      <c r="D53" s="185">
        <v>250000</v>
      </c>
      <c r="E53" s="191">
        <v>21550</v>
      </c>
      <c r="F53" s="185">
        <v>5387500000</v>
      </c>
      <c r="G53" s="184">
        <v>1.4683262954895001E-2</v>
      </c>
    </row>
    <row r="54" spans="1:7" ht="33.950000000000003" customHeight="1">
      <c r="A54" s="182" t="s">
        <v>696</v>
      </c>
      <c r="B54" s="181" t="s">
        <v>697</v>
      </c>
      <c r="C54" s="183" t="s">
        <v>698</v>
      </c>
      <c r="D54" s="185">
        <v>700000</v>
      </c>
      <c r="E54" s="191">
        <v>25300</v>
      </c>
      <c r="F54" s="185">
        <v>17710000000</v>
      </c>
      <c r="G54" s="184">
        <v>4.8267394325975203E-2</v>
      </c>
    </row>
    <row r="55" spans="1:7" ht="33.950000000000003" customHeight="1">
      <c r="A55" s="182" t="s">
        <v>699</v>
      </c>
      <c r="B55" s="181" t="s">
        <v>700</v>
      </c>
      <c r="C55" s="183" t="s">
        <v>701</v>
      </c>
      <c r="D55" s="185">
        <v>300000</v>
      </c>
      <c r="E55" s="191">
        <v>29500</v>
      </c>
      <c r="F55" s="185">
        <v>8850000000</v>
      </c>
      <c r="G55" s="184">
        <v>2.4120070004792799E-2</v>
      </c>
    </row>
    <row r="56" spans="1:7" ht="33.950000000000003" customHeight="1">
      <c r="A56" s="182" t="s">
        <v>702</v>
      </c>
      <c r="B56" s="181" t="s">
        <v>703</v>
      </c>
      <c r="C56" s="183" t="s">
        <v>704</v>
      </c>
      <c r="D56" s="185">
        <v>220000</v>
      </c>
      <c r="E56" s="191">
        <v>19700</v>
      </c>
      <c r="F56" s="185">
        <v>4334000000</v>
      </c>
      <c r="G56" s="184">
        <v>1.1812020723251101E-2</v>
      </c>
    </row>
    <row r="57" spans="1:7" ht="33.950000000000003" customHeight="1">
      <c r="A57" s="182" t="s">
        <v>705</v>
      </c>
      <c r="B57" s="181" t="s">
        <v>706</v>
      </c>
      <c r="C57" s="183" t="s">
        <v>707</v>
      </c>
      <c r="D57" s="185">
        <v>310000</v>
      </c>
      <c r="E57" s="191">
        <v>90500</v>
      </c>
      <c r="F57" s="185">
        <v>28055000000</v>
      </c>
      <c r="G57" s="184">
        <v>7.64619846310126E-2</v>
      </c>
    </row>
    <row r="58" spans="1:7" ht="33.950000000000003" customHeight="1">
      <c r="A58" s="182" t="s">
        <v>708</v>
      </c>
      <c r="B58" s="181" t="s">
        <v>709</v>
      </c>
      <c r="C58" s="183" t="s">
        <v>710</v>
      </c>
      <c r="D58" s="185">
        <v>170000</v>
      </c>
      <c r="E58" s="191">
        <v>31800</v>
      </c>
      <c r="F58" s="185">
        <v>5406000000</v>
      </c>
      <c r="G58" s="184">
        <v>1.47336834402158E-2</v>
      </c>
    </row>
    <row r="59" spans="1:7" ht="33.950000000000003" customHeight="1">
      <c r="A59" s="182" t="s">
        <v>711</v>
      </c>
      <c r="B59" s="181" t="s">
        <v>712</v>
      </c>
      <c r="C59" s="183" t="s">
        <v>713</v>
      </c>
      <c r="D59" s="185">
        <v>70000</v>
      </c>
      <c r="E59" s="191">
        <v>60300</v>
      </c>
      <c r="F59" s="185">
        <v>4221000000</v>
      </c>
      <c r="G59" s="184">
        <v>1.15040469480486E-2</v>
      </c>
    </row>
    <row r="60" spans="1:7" ht="33.950000000000003" customHeight="1">
      <c r="A60" s="182" t="s">
        <v>714</v>
      </c>
      <c r="B60" s="181" t="s">
        <v>715</v>
      </c>
      <c r="C60" s="183" t="s">
        <v>716</v>
      </c>
      <c r="D60" s="185">
        <v>230000</v>
      </c>
      <c r="E60" s="191">
        <v>49500</v>
      </c>
      <c r="F60" s="185">
        <v>11385000000</v>
      </c>
      <c r="G60" s="184">
        <v>3.1029039209555499E-2</v>
      </c>
    </row>
    <row r="61" spans="1:7" ht="33.950000000000003" customHeight="1">
      <c r="A61" s="182" t="s">
        <v>717</v>
      </c>
      <c r="B61" s="181" t="s">
        <v>718</v>
      </c>
      <c r="C61" s="183" t="s">
        <v>719</v>
      </c>
      <c r="D61" s="185">
        <v>200000</v>
      </c>
      <c r="E61" s="191">
        <v>20500</v>
      </c>
      <c r="F61" s="185">
        <v>4100000000</v>
      </c>
      <c r="G61" s="184">
        <v>1.11742697197345E-2</v>
      </c>
    </row>
    <row r="62" spans="1:7" ht="33.950000000000003" customHeight="1">
      <c r="A62" s="182" t="s">
        <v>720</v>
      </c>
      <c r="B62" s="181" t="s">
        <v>721</v>
      </c>
      <c r="C62" s="183" t="s">
        <v>722</v>
      </c>
      <c r="D62" s="185">
        <v>800000</v>
      </c>
      <c r="E62" s="191">
        <v>19900</v>
      </c>
      <c r="F62" s="185">
        <v>15920000000</v>
      </c>
      <c r="G62" s="184">
        <v>4.3388871692237402E-2</v>
      </c>
    </row>
    <row r="63" spans="1:7" ht="33.950000000000003" customHeight="1">
      <c r="A63" s="182" t="s">
        <v>723</v>
      </c>
      <c r="B63" s="181" t="s">
        <v>724</v>
      </c>
      <c r="C63" s="183" t="s">
        <v>725</v>
      </c>
      <c r="D63" s="185">
        <v>180000</v>
      </c>
      <c r="E63" s="191">
        <v>27700</v>
      </c>
      <c r="F63" s="185">
        <v>4986000000</v>
      </c>
      <c r="G63" s="184">
        <v>1.35890021518527E-2</v>
      </c>
    </row>
    <row r="64" spans="1:7" ht="39" customHeight="1">
      <c r="A64" s="187"/>
      <c r="B64" s="186" t="s">
        <v>601</v>
      </c>
      <c r="C64" s="187" t="s">
        <v>726</v>
      </c>
      <c r="D64" s="189"/>
      <c r="E64" s="189"/>
      <c r="F64" s="189">
        <v>314145000000</v>
      </c>
      <c r="G64" s="188">
        <v>0.85618072222097497</v>
      </c>
    </row>
    <row r="65" spans="1:7" ht="39" customHeight="1">
      <c r="A65" s="187" t="s">
        <v>727</v>
      </c>
      <c r="B65" s="186" t="s">
        <v>728</v>
      </c>
      <c r="C65" s="187" t="s">
        <v>729</v>
      </c>
      <c r="D65" s="189"/>
      <c r="E65" s="189"/>
      <c r="F65" s="189"/>
      <c r="G65" s="188"/>
    </row>
    <row r="66" spans="1:7" ht="39" customHeight="1">
      <c r="A66" s="182"/>
      <c r="B66" s="181" t="s">
        <v>537</v>
      </c>
      <c r="C66" s="183"/>
      <c r="D66" s="185"/>
      <c r="E66" s="191"/>
      <c r="F66" s="185"/>
      <c r="G66" s="184"/>
    </row>
    <row r="67" spans="1:7" ht="39" customHeight="1">
      <c r="A67" s="187"/>
      <c r="B67" s="186" t="s">
        <v>601</v>
      </c>
      <c r="C67" s="187" t="s">
        <v>730</v>
      </c>
      <c r="D67" s="189"/>
      <c r="E67" s="189"/>
      <c r="F67" s="189">
        <v>0</v>
      </c>
      <c r="G67" s="188">
        <v>0</v>
      </c>
    </row>
    <row r="68" spans="1:7" ht="39" customHeight="1">
      <c r="A68" s="187" t="s">
        <v>731</v>
      </c>
      <c r="B68" s="186" t="s">
        <v>732</v>
      </c>
      <c r="C68" s="187" t="s">
        <v>733</v>
      </c>
      <c r="D68" s="189"/>
      <c r="E68" s="189"/>
      <c r="F68" s="189"/>
      <c r="G68" s="188"/>
    </row>
    <row r="69" spans="1:7" ht="39" customHeight="1">
      <c r="A69" s="182"/>
      <c r="B69" s="181" t="s">
        <v>537</v>
      </c>
      <c r="C69" s="183"/>
      <c r="D69" s="185"/>
      <c r="E69" s="191"/>
      <c r="F69" s="185"/>
      <c r="G69" s="184"/>
    </row>
    <row r="70" spans="1:7" ht="39" customHeight="1">
      <c r="A70" s="182" t="s">
        <v>734</v>
      </c>
      <c r="B70" s="181" t="s">
        <v>735</v>
      </c>
      <c r="C70" s="183" t="s">
        <v>736</v>
      </c>
      <c r="D70" s="185"/>
      <c r="E70" s="191"/>
      <c r="F70" s="185">
        <v>0</v>
      </c>
      <c r="G70" s="184">
        <v>0</v>
      </c>
    </row>
    <row r="71" spans="1:7" ht="39" customHeight="1">
      <c r="A71" s="182" t="s">
        <v>737</v>
      </c>
      <c r="B71" s="181" t="s">
        <v>738</v>
      </c>
      <c r="C71" s="183" t="s">
        <v>739</v>
      </c>
      <c r="D71" s="185"/>
      <c r="E71" s="191"/>
      <c r="F71" s="185">
        <v>0</v>
      </c>
      <c r="G71" s="184">
        <v>0</v>
      </c>
    </row>
    <row r="72" spans="1:7" ht="39" customHeight="1">
      <c r="A72" s="187"/>
      <c r="B72" s="186" t="s">
        <v>601</v>
      </c>
      <c r="C72" s="187" t="s">
        <v>740</v>
      </c>
      <c r="D72" s="189"/>
      <c r="E72" s="189"/>
      <c r="F72" s="189">
        <v>0</v>
      </c>
      <c r="G72" s="188">
        <v>0</v>
      </c>
    </row>
    <row r="73" spans="1:7" ht="39" customHeight="1">
      <c r="A73" s="187" t="s">
        <v>741</v>
      </c>
      <c r="B73" s="186" t="s">
        <v>742</v>
      </c>
      <c r="C73" s="187" t="s">
        <v>743</v>
      </c>
      <c r="D73" s="189"/>
      <c r="E73" s="189"/>
      <c r="F73" s="189"/>
      <c r="G73" s="188"/>
    </row>
    <row r="74" spans="1:7" ht="39" customHeight="1">
      <c r="A74" s="182"/>
      <c r="B74" s="181" t="s">
        <v>537</v>
      </c>
      <c r="C74" s="183"/>
      <c r="D74" s="185"/>
      <c r="E74" s="191"/>
      <c r="F74" s="185"/>
      <c r="G74" s="184"/>
    </row>
    <row r="75" spans="1:7" ht="39" customHeight="1">
      <c r="A75" s="182" t="s">
        <v>744</v>
      </c>
      <c r="B75" s="181" t="s">
        <v>306</v>
      </c>
      <c r="C75" s="183" t="s">
        <v>745</v>
      </c>
      <c r="D75" s="185"/>
      <c r="E75" s="191"/>
      <c r="F75" s="185">
        <v>0</v>
      </c>
      <c r="G75" s="184">
        <v>0</v>
      </c>
    </row>
    <row r="76" spans="1:7" ht="39" customHeight="1">
      <c r="A76" s="182" t="s">
        <v>746</v>
      </c>
      <c r="B76" s="181" t="s">
        <v>747</v>
      </c>
      <c r="C76" s="183" t="s">
        <v>748</v>
      </c>
      <c r="D76" s="185"/>
      <c r="E76" s="191"/>
      <c r="F76" s="185">
        <v>0</v>
      </c>
      <c r="G76" s="184">
        <v>0</v>
      </c>
    </row>
    <row r="77" spans="1:7" ht="33.950000000000003" customHeight="1">
      <c r="A77" s="187"/>
      <c r="B77" s="186" t="s">
        <v>601</v>
      </c>
      <c r="C77" s="187" t="s">
        <v>749</v>
      </c>
      <c r="D77" s="189"/>
      <c r="E77" s="189"/>
      <c r="F77" s="189">
        <v>0</v>
      </c>
      <c r="G77" s="188">
        <v>0</v>
      </c>
    </row>
    <row r="78" spans="1:7" ht="39" customHeight="1">
      <c r="A78" s="187"/>
      <c r="B78" s="186" t="s">
        <v>750</v>
      </c>
      <c r="C78" s="187" t="s">
        <v>751</v>
      </c>
      <c r="D78" s="189"/>
      <c r="E78" s="189"/>
      <c r="F78" s="189">
        <v>314145000000</v>
      </c>
      <c r="G78" s="188">
        <v>0.85618072222097497</v>
      </c>
    </row>
    <row r="79" spans="1:7" ht="39" customHeight="1">
      <c r="A79" s="187" t="s">
        <v>752</v>
      </c>
      <c r="B79" s="186" t="s">
        <v>753</v>
      </c>
      <c r="C79" s="187" t="s">
        <v>754</v>
      </c>
      <c r="D79" s="189"/>
      <c r="E79" s="189"/>
      <c r="F79" s="189"/>
      <c r="G79" s="188"/>
    </row>
    <row r="80" spans="1:7" ht="39" customHeight="1">
      <c r="A80" s="182"/>
      <c r="B80" s="181" t="s">
        <v>537</v>
      </c>
      <c r="C80" s="183"/>
      <c r="D80" s="185"/>
      <c r="E80" s="191"/>
      <c r="F80" s="185"/>
      <c r="G80" s="184"/>
    </row>
    <row r="81" spans="1:7" ht="39" customHeight="1">
      <c r="A81" s="182" t="s">
        <v>755</v>
      </c>
      <c r="B81" s="181" t="s">
        <v>756</v>
      </c>
      <c r="C81" s="183" t="s">
        <v>757</v>
      </c>
      <c r="D81" s="185"/>
      <c r="E81" s="191"/>
      <c r="F81" s="185">
        <v>100000000</v>
      </c>
      <c r="G81" s="184">
        <v>2.72543163895964E-4</v>
      </c>
    </row>
    <row r="82" spans="1:7" ht="39" customHeight="1">
      <c r="A82" s="182" t="s">
        <v>758</v>
      </c>
      <c r="B82" s="181" t="s">
        <v>759</v>
      </c>
      <c r="C82" s="183" t="s">
        <v>760</v>
      </c>
      <c r="D82" s="185"/>
      <c r="E82" s="191"/>
      <c r="F82" s="185">
        <v>0</v>
      </c>
      <c r="G82" s="184">
        <v>0</v>
      </c>
    </row>
    <row r="83" spans="1:7" ht="47.1" customHeight="1">
      <c r="A83" s="182" t="s">
        <v>761</v>
      </c>
      <c r="B83" s="181" t="s">
        <v>762</v>
      </c>
      <c r="C83" s="183" t="s">
        <v>763</v>
      </c>
      <c r="D83" s="185"/>
      <c r="E83" s="191"/>
      <c r="F83" s="185">
        <v>0</v>
      </c>
      <c r="G83" s="184">
        <v>0</v>
      </c>
    </row>
    <row r="84" spans="1:7" ht="45" customHeight="1">
      <c r="A84" s="182" t="s">
        <v>764</v>
      </c>
      <c r="B84" s="181" t="s">
        <v>765</v>
      </c>
      <c r="C84" s="183" t="s">
        <v>766</v>
      </c>
      <c r="D84" s="185"/>
      <c r="E84" s="191"/>
      <c r="F84" s="185">
        <v>15874365000</v>
      </c>
      <c r="G84" s="184">
        <v>4.3264496619393501E-2</v>
      </c>
    </row>
    <row r="85" spans="1:7" ht="57" customHeight="1">
      <c r="A85" s="182" t="s">
        <v>767</v>
      </c>
      <c r="B85" s="181" t="s">
        <v>401</v>
      </c>
      <c r="C85" s="183" t="s">
        <v>768</v>
      </c>
      <c r="D85" s="185"/>
      <c r="E85" s="191"/>
      <c r="F85" s="185">
        <v>0</v>
      </c>
      <c r="G85" s="184">
        <v>0</v>
      </c>
    </row>
    <row r="86" spans="1:7" ht="39" customHeight="1">
      <c r="A86" s="182" t="s">
        <v>769</v>
      </c>
      <c r="B86" s="181" t="s">
        <v>770</v>
      </c>
      <c r="C86" s="183" t="s">
        <v>771</v>
      </c>
      <c r="D86" s="185"/>
      <c r="E86" s="191"/>
      <c r="F86" s="185">
        <v>0</v>
      </c>
      <c r="G86" s="184">
        <v>0</v>
      </c>
    </row>
    <row r="87" spans="1:7" ht="39" customHeight="1">
      <c r="A87" s="182" t="s">
        <v>772</v>
      </c>
      <c r="B87" s="181" t="s">
        <v>773</v>
      </c>
      <c r="C87" s="183" t="s">
        <v>774</v>
      </c>
      <c r="D87" s="185"/>
      <c r="E87" s="191"/>
      <c r="F87" s="185">
        <v>0</v>
      </c>
      <c r="G87" s="184">
        <v>0</v>
      </c>
    </row>
    <row r="88" spans="1:7" ht="39" customHeight="1">
      <c r="A88" s="187"/>
      <c r="B88" s="186" t="s">
        <v>601</v>
      </c>
      <c r="C88" s="187" t="s">
        <v>775</v>
      </c>
      <c r="D88" s="189"/>
      <c r="E88" s="189"/>
      <c r="F88" s="189">
        <v>15974365000</v>
      </c>
      <c r="G88" s="188">
        <v>4.3537039783289502E-2</v>
      </c>
    </row>
    <row r="89" spans="1:7" ht="39" customHeight="1">
      <c r="A89" s="187" t="s">
        <v>776</v>
      </c>
      <c r="B89" s="186" t="s">
        <v>777</v>
      </c>
      <c r="C89" s="187" t="s">
        <v>778</v>
      </c>
      <c r="D89" s="189"/>
      <c r="E89" s="189"/>
      <c r="F89" s="189"/>
      <c r="G89" s="188"/>
    </row>
    <row r="90" spans="1:7" ht="39" customHeight="1">
      <c r="A90" s="182" t="s">
        <v>779</v>
      </c>
      <c r="B90" s="181" t="s">
        <v>780</v>
      </c>
      <c r="C90" s="183" t="s">
        <v>781</v>
      </c>
      <c r="D90" s="185"/>
      <c r="E90" s="191"/>
      <c r="F90" s="185">
        <v>36794992970</v>
      </c>
      <c r="G90" s="184">
        <v>0.100282237995735</v>
      </c>
    </row>
    <row r="91" spans="1:7" ht="39" customHeight="1">
      <c r="A91" s="182"/>
      <c r="B91" s="181" t="s">
        <v>537</v>
      </c>
      <c r="C91" s="183"/>
      <c r="D91" s="185"/>
      <c r="E91" s="191"/>
      <c r="F91" s="185"/>
      <c r="G91" s="184"/>
    </row>
    <row r="92" spans="1:7" ht="39" customHeight="1">
      <c r="A92" s="182" t="s">
        <v>782</v>
      </c>
      <c r="B92" s="181" t="s">
        <v>783</v>
      </c>
      <c r="C92" s="183" t="s">
        <v>784</v>
      </c>
      <c r="D92" s="185"/>
      <c r="E92" s="191"/>
      <c r="F92" s="185">
        <v>36794992970</v>
      </c>
      <c r="G92" s="184">
        <v>0.100282237995735</v>
      </c>
    </row>
    <row r="93" spans="1:7" ht="39" customHeight="1">
      <c r="A93" s="182" t="s">
        <v>785</v>
      </c>
      <c r="B93" s="181" t="s">
        <v>786</v>
      </c>
      <c r="C93" s="183" t="s">
        <v>787</v>
      </c>
      <c r="D93" s="185"/>
      <c r="E93" s="191"/>
      <c r="F93" s="185">
        <v>0</v>
      </c>
      <c r="G93" s="184">
        <v>0</v>
      </c>
    </row>
    <row r="94" spans="1:7" ht="39" customHeight="1">
      <c r="A94" s="182" t="s">
        <v>788</v>
      </c>
      <c r="B94" s="181" t="s">
        <v>789</v>
      </c>
      <c r="C94" s="183" t="s">
        <v>790</v>
      </c>
      <c r="D94" s="185"/>
      <c r="E94" s="191"/>
      <c r="F94" s="185">
        <v>0</v>
      </c>
      <c r="G94" s="184">
        <v>0</v>
      </c>
    </row>
    <row r="95" spans="1:7" ht="39" customHeight="1">
      <c r="A95" s="182"/>
      <c r="B95" s="181" t="s">
        <v>537</v>
      </c>
      <c r="C95" s="183"/>
      <c r="D95" s="185"/>
      <c r="E95" s="191"/>
      <c r="F95" s="185"/>
      <c r="G95" s="184"/>
    </row>
    <row r="96" spans="1:7" ht="39" customHeight="1">
      <c r="A96" s="182" t="s">
        <v>791</v>
      </c>
      <c r="B96" s="181" t="s">
        <v>792</v>
      </c>
      <c r="C96" s="183" t="s">
        <v>793</v>
      </c>
      <c r="D96" s="185"/>
      <c r="E96" s="191"/>
      <c r="F96" s="185">
        <v>0</v>
      </c>
      <c r="G96" s="184">
        <v>0</v>
      </c>
    </row>
    <row r="97" spans="1:7" ht="39" customHeight="1">
      <c r="A97" s="187"/>
      <c r="B97" s="186" t="s">
        <v>601</v>
      </c>
      <c r="C97" s="187" t="s">
        <v>794</v>
      </c>
      <c r="D97" s="189"/>
      <c r="E97" s="189"/>
      <c r="F97" s="189">
        <v>36794992970</v>
      </c>
      <c r="G97" s="188">
        <v>0.100282237995735</v>
      </c>
    </row>
    <row r="98" spans="1:7" ht="39" customHeight="1">
      <c r="A98" s="187" t="s">
        <v>795</v>
      </c>
      <c r="B98" s="186" t="s">
        <v>796</v>
      </c>
      <c r="C98" s="187" t="s">
        <v>797</v>
      </c>
      <c r="D98" s="189"/>
      <c r="E98" s="189"/>
      <c r="F98" s="189">
        <v>366914357970</v>
      </c>
      <c r="G98" s="188">
        <v>1</v>
      </c>
    </row>
    <row r="99" spans="1:7" ht="16.899999999999999" customHeight="1">
      <c r="A99" s="67"/>
      <c r="B99" s="32"/>
      <c r="C99" s="32"/>
      <c r="D99" s="32"/>
      <c r="E99" s="17"/>
      <c r="F99" s="32"/>
    </row>
    <row r="100" spans="1:7" ht="16.899999999999999" customHeight="1">
      <c r="A100" s="17" t="s">
        <v>10</v>
      </c>
      <c r="B100" s="32"/>
      <c r="C100" s="32"/>
      <c r="D100" s="32"/>
      <c r="E100" s="17" t="s">
        <v>11</v>
      </c>
      <c r="F100" s="32"/>
    </row>
    <row r="101" spans="1:7" ht="16.899999999999999" customHeight="1">
      <c r="A101" s="18" t="s">
        <v>12</v>
      </c>
      <c r="B101" s="32"/>
      <c r="C101" s="32"/>
      <c r="D101" s="32"/>
      <c r="E101" s="18" t="s">
        <v>13</v>
      </c>
      <c r="F101" s="32"/>
    </row>
    <row r="102" spans="1:7" ht="16.899999999999999" customHeight="1"/>
    <row r="103" spans="1:7" ht="16.899999999999999" customHeight="1">
      <c r="A103" s="25"/>
      <c r="E103" s="25"/>
    </row>
    <row r="104" spans="1:7" ht="16.899999999999999" customHeight="1"/>
    <row r="105" spans="1:7" ht="16.899999999999999" customHeight="1"/>
    <row r="106" spans="1:7" ht="16.899999999999999" customHeight="1"/>
    <row r="107" spans="1:7" ht="16.899999999999999" customHeight="1"/>
    <row r="108" spans="1:7" ht="16.899999999999999" customHeight="1"/>
    <row r="109" spans="1:7" ht="16.899999999999999" customHeight="1"/>
    <row r="110" spans="1:7" ht="16.899999999999999" customHeight="1">
      <c r="A110" s="33" t="s">
        <v>14</v>
      </c>
      <c r="B110" s="29"/>
      <c r="C110" s="29"/>
      <c r="E110" s="33" t="s">
        <v>1135</v>
      </c>
      <c r="F110" s="29"/>
      <c r="G110" s="29"/>
    </row>
    <row r="111" spans="1:7" ht="16.899999999999999" customHeight="1">
      <c r="A111" s="34" t="s">
        <v>1141</v>
      </c>
      <c r="E111" s="34" t="s">
        <v>1142</v>
      </c>
    </row>
    <row r="112" spans="1:7" ht="16.899999999999999" customHeight="1">
      <c r="A112" s="35" t="s">
        <v>1143</v>
      </c>
      <c r="E112" s="36" t="s">
        <v>1144</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58" zoomScale="90" zoomScaleNormal="100" zoomScaleSheetLayoutView="90" workbookViewId="0">
      <selection activeCell="A18" sqref="A18:A77"/>
    </sheetView>
  </sheetViews>
  <sheetFormatPr defaultColWidth="8.7109375" defaultRowHeight="12.75"/>
  <cols>
    <col min="1" max="1" width="69.85546875" style="12" customWidth="1"/>
    <col min="2" max="2" width="12" style="12" customWidth="1"/>
    <col min="3" max="3" width="12.5703125" style="12" customWidth="1"/>
    <col min="4" max="4" width="28" style="12" customWidth="1"/>
    <col min="5" max="5" width="25.5703125" style="12" customWidth="1"/>
    <col min="6" max="6" width="27.7109375" style="12" customWidth="1"/>
    <col min="7" max="7" width="28.85546875" style="12" customWidth="1"/>
    <col min="8" max="16384" width="8.7109375" style="30"/>
  </cols>
  <sheetData>
    <row r="1" spans="1:7" ht="57" customHeight="1">
      <c r="A1" s="204" t="s">
        <v>595</v>
      </c>
      <c r="B1" s="204"/>
      <c r="C1" s="204"/>
      <c r="D1" s="204"/>
      <c r="E1" s="204"/>
      <c r="F1" s="204"/>
      <c r="G1" s="204"/>
    </row>
    <row r="2" spans="1:7" ht="57" customHeight="1">
      <c r="A2" s="205" t="s">
        <v>594</v>
      </c>
      <c r="B2" s="205"/>
      <c r="C2" s="205"/>
      <c r="D2" s="205"/>
      <c r="E2" s="205"/>
      <c r="F2" s="205"/>
      <c r="G2" s="205"/>
    </row>
    <row r="3" spans="1:7" ht="43.9" customHeight="1">
      <c r="A3" s="206" t="s">
        <v>148</v>
      </c>
      <c r="B3" s="206"/>
      <c r="C3" s="206"/>
      <c r="D3" s="206"/>
      <c r="E3" s="206"/>
      <c r="F3" s="206"/>
      <c r="G3" s="206"/>
    </row>
    <row r="4" spans="1:7" ht="9.4" customHeight="1"/>
    <row r="5" spans="1:7">
      <c r="A5" s="207" t="s">
        <v>1134</v>
      </c>
      <c r="B5" s="207"/>
      <c r="C5" s="207"/>
      <c r="D5" s="207"/>
      <c r="E5" s="207"/>
      <c r="F5" s="207"/>
      <c r="G5" s="207"/>
    </row>
    <row r="7" spans="1:7" ht="16.899999999999999" customHeight="1">
      <c r="A7" s="147" t="s">
        <v>2</v>
      </c>
      <c r="D7" s="198" t="s">
        <v>1135</v>
      </c>
      <c r="E7" s="198"/>
      <c r="F7" s="198"/>
      <c r="G7" s="198"/>
    </row>
    <row r="8" spans="1:7" ht="16.899999999999999" customHeight="1">
      <c r="A8" s="152" t="s">
        <v>15</v>
      </c>
      <c r="D8" s="209" t="s">
        <v>1136</v>
      </c>
      <c r="E8" s="209"/>
      <c r="F8" s="209"/>
      <c r="G8" s="209"/>
    </row>
    <row r="9" spans="1:7" ht="16.899999999999999" customHeight="1">
      <c r="A9" s="147" t="s">
        <v>3</v>
      </c>
      <c r="D9" s="198" t="s">
        <v>1137</v>
      </c>
      <c r="E9" s="198"/>
      <c r="F9" s="198"/>
      <c r="G9" s="198"/>
    </row>
    <row r="10" spans="1:7" ht="16.899999999999999" customHeight="1">
      <c r="A10" s="152" t="s">
        <v>4</v>
      </c>
      <c r="D10" s="209" t="s">
        <v>1138</v>
      </c>
      <c r="E10" s="209"/>
      <c r="F10" s="209"/>
      <c r="G10" s="209"/>
    </row>
    <row r="11" spans="1:7" ht="16.899999999999999" customHeight="1">
      <c r="A11" s="147" t="s">
        <v>5</v>
      </c>
      <c r="D11" s="198" t="s">
        <v>590</v>
      </c>
      <c r="E11" s="198"/>
      <c r="F11" s="198"/>
      <c r="G11" s="198"/>
    </row>
    <row r="12" spans="1:7" ht="16.899999999999999" customHeight="1">
      <c r="A12" s="152" t="s">
        <v>6</v>
      </c>
      <c r="D12" s="209" t="s">
        <v>1156</v>
      </c>
      <c r="E12" s="209"/>
      <c r="F12" s="209"/>
      <c r="G12" s="209"/>
    </row>
    <row r="13" spans="1:7" ht="16.899999999999999" customHeight="1">
      <c r="A13" s="147" t="s">
        <v>7</v>
      </c>
      <c r="D13" s="198" t="s">
        <v>1139</v>
      </c>
      <c r="E13" s="198"/>
      <c r="F13" s="198"/>
      <c r="G13" s="198"/>
    </row>
    <row r="14" spans="1:7" ht="16.899999999999999" customHeight="1">
      <c r="A14" s="152" t="s">
        <v>8</v>
      </c>
      <c r="D14" s="209" t="s">
        <v>1140</v>
      </c>
      <c r="E14" s="209"/>
      <c r="F14" s="209"/>
      <c r="G14" s="209"/>
    </row>
    <row r="16" spans="1:7" ht="39" customHeight="1">
      <c r="A16" s="211" t="s">
        <v>149</v>
      </c>
      <c r="B16" s="213" t="s">
        <v>150</v>
      </c>
      <c r="C16" s="213" t="s">
        <v>151</v>
      </c>
      <c r="D16" s="216" t="s">
        <v>1149</v>
      </c>
      <c r="E16" s="217"/>
      <c r="F16" s="216" t="s">
        <v>1150</v>
      </c>
      <c r="G16" s="217"/>
    </row>
    <row r="17" spans="1:10" ht="39" customHeight="1">
      <c r="A17" s="212"/>
      <c r="B17" s="214"/>
      <c r="C17" s="215"/>
      <c r="D17" s="39" t="s">
        <v>1147</v>
      </c>
      <c r="E17" s="40" t="s">
        <v>152</v>
      </c>
      <c r="F17" s="9" t="s">
        <v>1151</v>
      </c>
      <c r="G17" s="40" t="s">
        <v>152</v>
      </c>
    </row>
    <row r="18" spans="1:10" s="37" customFormat="1" ht="25.5">
      <c r="A18" s="41" t="s">
        <v>294</v>
      </c>
      <c r="B18" s="42" t="s">
        <v>153</v>
      </c>
      <c r="C18" s="43"/>
      <c r="D18" s="22">
        <v>-1977593820</v>
      </c>
      <c r="E18" s="22">
        <v>11996809994</v>
      </c>
      <c r="F18" s="22">
        <v>-47267208389</v>
      </c>
      <c r="G18" s="22">
        <v>-58973762073</v>
      </c>
    </row>
    <row r="19" spans="1:10" ht="25.5">
      <c r="A19" s="44" t="s">
        <v>295</v>
      </c>
      <c r="B19" s="45" t="s">
        <v>154</v>
      </c>
      <c r="C19" s="46"/>
      <c r="D19" s="24">
        <v>100000000</v>
      </c>
      <c r="E19" s="24">
        <v>751000000</v>
      </c>
      <c r="F19" s="24">
        <v>0</v>
      </c>
      <c r="G19" s="24">
        <v>254000000</v>
      </c>
      <c r="J19" s="37"/>
    </row>
    <row r="20" spans="1:10" ht="25.5">
      <c r="A20" s="44" t="s">
        <v>296</v>
      </c>
      <c r="B20" s="45" t="s">
        <v>155</v>
      </c>
      <c r="C20" s="47"/>
      <c r="D20" s="24">
        <v>7356180</v>
      </c>
      <c r="E20" s="24">
        <v>12294994</v>
      </c>
      <c r="F20" s="24">
        <v>9011561</v>
      </c>
      <c r="G20" s="24">
        <v>25729427</v>
      </c>
      <c r="J20" s="37"/>
    </row>
    <row r="21" spans="1:10" ht="25.5">
      <c r="A21" s="44" t="s">
        <v>241</v>
      </c>
      <c r="B21" s="45" t="s">
        <v>156</v>
      </c>
      <c r="C21" s="47"/>
      <c r="D21" s="24">
        <v>7356180</v>
      </c>
      <c r="E21" s="24">
        <v>12294994</v>
      </c>
      <c r="F21" s="24">
        <v>9011561</v>
      </c>
      <c r="G21" s="24">
        <v>25729427</v>
      </c>
      <c r="J21" s="37"/>
    </row>
    <row r="22" spans="1:10" ht="25.5">
      <c r="A22" s="44" t="s">
        <v>249</v>
      </c>
      <c r="B22" s="45" t="s">
        <v>157</v>
      </c>
      <c r="C22" s="47"/>
      <c r="D22" s="24">
        <v>0</v>
      </c>
      <c r="E22" s="24">
        <v>0</v>
      </c>
      <c r="F22" s="24">
        <v>0</v>
      </c>
      <c r="G22" s="24">
        <v>0</v>
      </c>
      <c r="J22" s="37"/>
    </row>
    <row r="23" spans="1:10" ht="25.5">
      <c r="A23" s="44" t="s">
        <v>297</v>
      </c>
      <c r="B23" s="45" t="s">
        <v>237</v>
      </c>
      <c r="C23" s="47"/>
      <c r="D23" s="24">
        <v>0</v>
      </c>
      <c r="E23" s="24">
        <v>0</v>
      </c>
      <c r="F23" s="24">
        <v>0</v>
      </c>
      <c r="G23" s="24">
        <v>0</v>
      </c>
      <c r="J23" s="37"/>
    </row>
    <row r="24" spans="1:10" ht="25.5">
      <c r="A24" s="44" t="s">
        <v>240</v>
      </c>
      <c r="B24" s="45" t="s">
        <v>239</v>
      </c>
      <c r="C24" s="47"/>
      <c r="D24" s="24">
        <v>0</v>
      </c>
      <c r="E24" s="24">
        <v>0</v>
      </c>
      <c r="F24" s="24">
        <v>0</v>
      </c>
      <c r="G24" s="24">
        <v>0</v>
      </c>
      <c r="J24" s="37"/>
    </row>
    <row r="25" spans="1:10" ht="25.5">
      <c r="A25" s="44" t="s">
        <v>242</v>
      </c>
      <c r="B25" s="48" t="s">
        <v>158</v>
      </c>
      <c r="C25" s="47"/>
      <c r="D25" s="24">
        <v>5690602627</v>
      </c>
      <c r="E25" s="24">
        <v>4456280418</v>
      </c>
      <c r="F25" s="24">
        <v>12622374254</v>
      </c>
      <c r="G25" s="24">
        <v>20230188615</v>
      </c>
      <c r="J25" s="37"/>
    </row>
    <row r="26" spans="1:10" ht="25.5">
      <c r="A26" s="44" t="s">
        <v>243</v>
      </c>
      <c r="B26" s="48" t="s">
        <v>159</v>
      </c>
      <c r="C26" s="47"/>
      <c r="D26" s="24">
        <v>-7775552627</v>
      </c>
      <c r="E26" s="24">
        <v>6777234582</v>
      </c>
      <c r="F26" s="24">
        <v>-59898594204</v>
      </c>
      <c r="G26" s="24">
        <v>-79483680115</v>
      </c>
      <c r="J26" s="37"/>
    </row>
    <row r="27" spans="1:10" ht="25.5">
      <c r="A27" s="44" t="s">
        <v>298</v>
      </c>
      <c r="B27" s="48" t="s">
        <v>160</v>
      </c>
      <c r="C27" s="47"/>
      <c r="D27" s="24">
        <v>0</v>
      </c>
      <c r="E27" s="24">
        <v>0</v>
      </c>
      <c r="F27" s="24">
        <v>0</v>
      </c>
      <c r="G27" s="24">
        <v>0</v>
      </c>
      <c r="J27" s="37"/>
    </row>
    <row r="28" spans="1:10" ht="25.5">
      <c r="A28" s="44" t="s">
        <v>244</v>
      </c>
      <c r="B28" s="48" t="s">
        <v>161</v>
      </c>
      <c r="C28" s="47"/>
      <c r="D28" s="24">
        <v>0</v>
      </c>
      <c r="E28" s="24">
        <v>0</v>
      </c>
      <c r="F28" s="24">
        <v>0</v>
      </c>
      <c r="G28" s="24">
        <v>0</v>
      </c>
      <c r="J28" s="37"/>
    </row>
    <row r="29" spans="1:10" ht="25.5">
      <c r="A29" s="44" t="s">
        <v>299</v>
      </c>
      <c r="B29" s="48" t="s">
        <v>162</v>
      </c>
      <c r="C29" s="47"/>
      <c r="D29" s="24">
        <v>0</v>
      </c>
      <c r="E29" s="24">
        <v>0</v>
      </c>
      <c r="F29" s="24">
        <v>0</v>
      </c>
      <c r="G29" s="24">
        <v>0</v>
      </c>
      <c r="J29" s="37"/>
    </row>
    <row r="30" spans="1:10" ht="51">
      <c r="A30" s="44" t="s">
        <v>300</v>
      </c>
      <c r="B30" s="48" t="s">
        <v>163</v>
      </c>
      <c r="C30" s="47"/>
      <c r="D30" s="24">
        <v>0</v>
      </c>
      <c r="E30" s="24">
        <v>0</v>
      </c>
      <c r="F30" s="24">
        <v>0</v>
      </c>
      <c r="G30" s="24">
        <v>0</v>
      </c>
      <c r="J30" s="37"/>
    </row>
    <row r="31" spans="1:10" s="37" customFormat="1" ht="25.5">
      <c r="A31" s="41" t="s">
        <v>265</v>
      </c>
      <c r="B31" s="42" t="s">
        <v>164</v>
      </c>
      <c r="C31" s="43"/>
      <c r="D31" s="22">
        <v>210840611</v>
      </c>
      <c r="E31" s="22">
        <v>716234066</v>
      </c>
      <c r="F31" s="22">
        <v>406308563</v>
      </c>
      <c r="G31" s="22">
        <v>1026398810</v>
      </c>
    </row>
    <row r="32" spans="1:10" ht="25.5">
      <c r="A32" s="44" t="s">
        <v>165</v>
      </c>
      <c r="B32" s="48" t="s">
        <v>166</v>
      </c>
      <c r="C32" s="47"/>
      <c r="D32" s="24">
        <v>210840611</v>
      </c>
      <c r="E32" s="24">
        <v>716234066</v>
      </c>
      <c r="F32" s="24">
        <v>406308563</v>
      </c>
      <c r="G32" s="24">
        <v>1026398810</v>
      </c>
      <c r="J32" s="37"/>
    </row>
    <row r="33" spans="1:10" ht="25.5">
      <c r="A33" s="49" t="s">
        <v>167</v>
      </c>
      <c r="B33" s="45" t="s">
        <v>168</v>
      </c>
      <c r="C33" s="46"/>
      <c r="D33" s="24">
        <v>209904520</v>
      </c>
      <c r="E33" s="24">
        <v>713172692</v>
      </c>
      <c r="F33" s="24">
        <v>405925469</v>
      </c>
      <c r="G33" s="24">
        <v>1025198091</v>
      </c>
      <c r="J33" s="37"/>
    </row>
    <row r="34" spans="1:10" ht="25.5">
      <c r="A34" s="49" t="s">
        <v>42</v>
      </c>
      <c r="B34" s="45" t="s">
        <v>169</v>
      </c>
      <c r="C34" s="46"/>
      <c r="D34" s="24">
        <v>936091</v>
      </c>
      <c r="E34" s="24">
        <v>3061374</v>
      </c>
      <c r="F34" s="24">
        <v>383094</v>
      </c>
      <c r="G34" s="24">
        <v>1200719</v>
      </c>
      <c r="J34" s="37"/>
    </row>
    <row r="35" spans="1:10" ht="25.5">
      <c r="A35" s="49" t="s">
        <v>170</v>
      </c>
      <c r="B35" s="45" t="s">
        <v>171</v>
      </c>
      <c r="C35" s="47"/>
      <c r="D35" s="24">
        <v>0</v>
      </c>
      <c r="E35" s="24">
        <v>0</v>
      </c>
      <c r="F35" s="24">
        <v>0</v>
      </c>
      <c r="G35" s="24">
        <v>0</v>
      </c>
      <c r="J35" s="37"/>
    </row>
    <row r="36" spans="1:10" ht="25.5">
      <c r="A36" s="49" t="s">
        <v>172</v>
      </c>
      <c r="B36" s="45" t="s">
        <v>173</v>
      </c>
      <c r="C36" s="47"/>
      <c r="D36" s="24">
        <v>0</v>
      </c>
      <c r="E36" s="24">
        <v>0</v>
      </c>
      <c r="F36" s="24">
        <v>0</v>
      </c>
      <c r="G36" s="24">
        <v>0</v>
      </c>
      <c r="J36" s="37"/>
    </row>
    <row r="37" spans="1:10" ht="38.25">
      <c r="A37" s="49" t="s">
        <v>174</v>
      </c>
      <c r="B37" s="45" t="s">
        <v>175</v>
      </c>
      <c r="C37" s="47"/>
      <c r="D37" s="24">
        <v>0</v>
      </c>
      <c r="E37" s="24">
        <v>0</v>
      </c>
      <c r="F37" s="24">
        <v>0</v>
      </c>
      <c r="G37" s="24">
        <v>0</v>
      </c>
      <c r="J37" s="37"/>
    </row>
    <row r="38" spans="1:10" ht="25.5">
      <c r="A38" s="49" t="s">
        <v>266</v>
      </c>
      <c r="B38" s="45" t="s">
        <v>176</v>
      </c>
      <c r="C38" s="47"/>
      <c r="D38" s="24">
        <v>0</v>
      </c>
      <c r="E38" s="24">
        <v>0</v>
      </c>
      <c r="F38" s="24">
        <v>0</v>
      </c>
      <c r="G38" s="24">
        <v>0</v>
      </c>
      <c r="J38" s="37"/>
    </row>
    <row r="39" spans="1:10" s="37" customFormat="1" ht="25.5">
      <c r="A39" s="41" t="s">
        <v>267</v>
      </c>
      <c r="B39" s="42" t="s">
        <v>177</v>
      </c>
      <c r="C39" s="43"/>
      <c r="D39" s="22">
        <v>675082259</v>
      </c>
      <c r="E39" s="22">
        <v>2782210670</v>
      </c>
      <c r="F39" s="22">
        <v>1144756253</v>
      </c>
      <c r="G39" s="22">
        <v>4486700259</v>
      </c>
    </row>
    <row r="40" spans="1:10" ht="25.5">
      <c r="A40" s="49" t="s">
        <v>301</v>
      </c>
      <c r="B40" s="45" t="s">
        <v>178</v>
      </c>
      <c r="C40" s="47"/>
      <c r="D40" s="24">
        <v>553910448</v>
      </c>
      <c r="E40" s="24">
        <v>2315059611</v>
      </c>
      <c r="F40" s="24">
        <v>1025824660</v>
      </c>
      <c r="G40" s="24">
        <v>4005976282</v>
      </c>
      <c r="J40" s="37"/>
    </row>
    <row r="41" spans="1:10" ht="25.5">
      <c r="A41" s="49" t="s">
        <v>179</v>
      </c>
      <c r="B41" s="45" t="s">
        <v>180</v>
      </c>
      <c r="C41" s="46"/>
      <c r="D41" s="24">
        <v>35766790</v>
      </c>
      <c r="E41" s="24">
        <v>135289517</v>
      </c>
      <c r="F41" s="24">
        <v>30828836</v>
      </c>
      <c r="G41" s="24">
        <v>119666593</v>
      </c>
      <c r="J41" s="37"/>
    </row>
    <row r="42" spans="1:10" ht="25.5">
      <c r="A42" s="14" t="s">
        <v>23</v>
      </c>
      <c r="B42" s="50" t="s">
        <v>181</v>
      </c>
      <c r="C42" s="46"/>
      <c r="D42" s="24">
        <v>22000000</v>
      </c>
      <c r="E42" s="24">
        <v>88000000</v>
      </c>
      <c r="F42" s="24">
        <v>22058253</v>
      </c>
      <c r="G42" s="24">
        <v>88197027</v>
      </c>
      <c r="J42" s="37"/>
    </row>
    <row r="43" spans="1:10" ht="25.5">
      <c r="A43" s="14" t="s">
        <v>24</v>
      </c>
      <c r="B43" s="50" t="s">
        <v>182</v>
      </c>
      <c r="C43" s="46"/>
      <c r="D43" s="24">
        <v>10600000</v>
      </c>
      <c r="E43" s="24">
        <v>35400000</v>
      </c>
      <c r="F43" s="24">
        <v>5900000</v>
      </c>
      <c r="G43" s="24">
        <v>19100000</v>
      </c>
      <c r="J43" s="37"/>
    </row>
    <row r="44" spans="1:10" ht="51">
      <c r="A44" s="14" t="s">
        <v>277</v>
      </c>
      <c r="B44" s="50" t="s">
        <v>183</v>
      </c>
      <c r="C44" s="46"/>
      <c r="D44" s="24">
        <v>3166790</v>
      </c>
      <c r="E44" s="24">
        <v>11889517</v>
      </c>
      <c r="F44" s="24">
        <v>2870583</v>
      </c>
      <c r="G44" s="24">
        <v>12369566</v>
      </c>
      <c r="J44" s="37"/>
    </row>
    <row r="45" spans="1:10" ht="25.5">
      <c r="A45" s="49" t="s">
        <v>184</v>
      </c>
      <c r="B45" s="45" t="s">
        <v>185</v>
      </c>
      <c r="C45" s="46"/>
      <c r="D45" s="24">
        <v>25300000</v>
      </c>
      <c r="E45" s="24">
        <v>101200000</v>
      </c>
      <c r="F45" s="24">
        <v>25300000</v>
      </c>
      <c r="G45" s="24">
        <v>101200000</v>
      </c>
      <c r="J45" s="37"/>
    </row>
    <row r="46" spans="1:10" ht="25.5">
      <c r="A46" s="49" t="s">
        <v>186</v>
      </c>
      <c r="B46" s="45" t="s">
        <v>187</v>
      </c>
      <c r="C46" s="46"/>
      <c r="D46" s="24">
        <v>9526801</v>
      </c>
      <c r="E46" s="24">
        <v>39639712</v>
      </c>
      <c r="F46" s="24">
        <v>17540007</v>
      </c>
      <c r="G46" s="24">
        <v>68495964</v>
      </c>
      <c r="J46" s="37"/>
    </row>
    <row r="47" spans="1:10" ht="25.5">
      <c r="A47" s="49" t="s">
        <v>188</v>
      </c>
      <c r="B47" s="45" t="s">
        <v>189</v>
      </c>
      <c r="C47" s="46"/>
      <c r="D47" s="24">
        <v>13200000</v>
      </c>
      <c r="E47" s="24">
        <v>52800000</v>
      </c>
      <c r="F47" s="24">
        <v>11000000</v>
      </c>
      <c r="G47" s="24">
        <v>44000000</v>
      </c>
      <c r="J47" s="37"/>
    </row>
    <row r="48" spans="1:10" ht="25.5">
      <c r="A48" s="49" t="s">
        <v>190</v>
      </c>
      <c r="B48" s="45" t="s">
        <v>191</v>
      </c>
      <c r="C48" s="46"/>
      <c r="D48" s="24">
        <v>0</v>
      </c>
      <c r="E48" s="24">
        <v>0</v>
      </c>
      <c r="F48" s="24">
        <v>0</v>
      </c>
      <c r="G48" s="24">
        <v>0</v>
      </c>
      <c r="J48" s="37"/>
    </row>
    <row r="49" spans="1:10" ht="38.25">
      <c r="A49" s="15" t="s">
        <v>302</v>
      </c>
      <c r="B49" s="50" t="s">
        <v>192</v>
      </c>
      <c r="C49" s="46"/>
      <c r="D49" s="24">
        <v>0</v>
      </c>
      <c r="E49" s="24">
        <v>0</v>
      </c>
      <c r="F49" s="24">
        <v>0</v>
      </c>
      <c r="G49" s="24">
        <v>0</v>
      </c>
      <c r="J49" s="37"/>
    </row>
    <row r="50" spans="1:10" ht="25.5">
      <c r="A50" s="15" t="s">
        <v>303</v>
      </c>
      <c r="B50" s="50" t="s">
        <v>193</v>
      </c>
      <c r="C50" s="46"/>
      <c r="D50" s="24">
        <v>0</v>
      </c>
      <c r="E50" s="24">
        <v>0</v>
      </c>
      <c r="F50" s="24">
        <v>0</v>
      </c>
      <c r="G50" s="24">
        <v>0</v>
      </c>
      <c r="J50" s="37"/>
    </row>
    <row r="51" spans="1:10" ht="25.5">
      <c r="A51" s="49" t="s">
        <v>194</v>
      </c>
      <c r="B51" s="45" t="s">
        <v>195</v>
      </c>
      <c r="C51" s="46"/>
      <c r="D51" s="24">
        <v>0</v>
      </c>
      <c r="E51" s="24">
        <v>0</v>
      </c>
      <c r="F51" s="24">
        <v>0</v>
      </c>
      <c r="G51" s="24">
        <v>18317008</v>
      </c>
      <c r="J51" s="37"/>
    </row>
    <row r="52" spans="1:10" ht="25.5">
      <c r="A52" s="49" t="s">
        <v>268</v>
      </c>
      <c r="B52" s="45" t="s">
        <v>196</v>
      </c>
      <c r="C52" s="46"/>
      <c r="D52" s="24">
        <v>19741498</v>
      </c>
      <c r="E52" s="24">
        <v>64223690</v>
      </c>
      <c r="F52" s="24">
        <v>14013699</v>
      </c>
      <c r="G52" s="24">
        <v>56054795</v>
      </c>
      <c r="J52" s="37"/>
    </row>
    <row r="53" spans="1:10" ht="25.5">
      <c r="A53" s="49" t="s">
        <v>197</v>
      </c>
      <c r="B53" s="45" t="s">
        <v>198</v>
      </c>
      <c r="C53" s="46"/>
      <c r="D53" s="24">
        <v>0</v>
      </c>
      <c r="E53" s="24">
        <v>0</v>
      </c>
      <c r="F53" s="24">
        <v>0</v>
      </c>
      <c r="G53" s="24">
        <v>0</v>
      </c>
      <c r="J53" s="37"/>
    </row>
    <row r="54" spans="1:10" ht="25.5">
      <c r="A54" s="49" t="s">
        <v>269</v>
      </c>
      <c r="B54" s="51" t="s">
        <v>199</v>
      </c>
      <c r="C54" s="46"/>
      <c r="D54" s="24">
        <v>17636722</v>
      </c>
      <c r="E54" s="24">
        <v>73998140</v>
      </c>
      <c r="F54" s="24">
        <v>20249051</v>
      </c>
      <c r="G54" s="24">
        <v>72989617</v>
      </c>
      <c r="J54" s="37"/>
    </row>
    <row r="55" spans="1:10" ht="25.5">
      <c r="A55" s="15" t="s">
        <v>38</v>
      </c>
      <c r="B55" s="52" t="s">
        <v>200</v>
      </c>
      <c r="C55" s="46"/>
      <c r="D55" s="24">
        <v>8657534</v>
      </c>
      <c r="E55" s="24">
        <v>34630137</v>
      </c>
      <c r="F55" s="24">
        <v>12986301</v>
      </c>
      <c r="G55" s="24">
        <v>51945205</v>
      </c>
      <c r="J55" s="37"/>
    </row>
    <row r="56" spans="1:10" ht="25.5">
      <c r="A56" s="15" t="s">
        <v>201</v>
      </c>
      <c r="B56" s="52" t="s">
        <v>202</v>
      </c>
      <c r="C56" s="46"/>
      <c r="D56" s="24">
        <v>0</v>
      </c>
      <c r="E56" s="24">
        <v>0</v>
      </c>
      <c r="F56" s="24">
        <v>0</v>
      </c>
      <c r="G56" s="24">
        <v>0</v>
      </c>
      <c r="J56" s="37"/>
    </row>
    <row r="57" spans="1:10" ht="25.5">
      <c r="A57" s="15" t="s">
        <v>203</v>
      </c>
      <c r="B57" s="52" t="s">
        <v>204</v>
      </c>
      <c r="C57" s="47"/>
      <c r="D57" s="24">
        <v>0</v>
      </c>
      <c r="E57" s="24">
        <v>0</v>
      </c>
      <c r="F57" s="24">
        <v>0</v>
      </c>
      <c r="G57" s="24">
        <v>0</v>
      </c>
      <c r="J57" s="37"/>
    </row>
    <row r="58" spans="1:10" ht="25.5">
      <c r="A58" s="15" t="s">
        <v>270</v>
      </c>
      <c r="B58" s="52" t="s">
        <v>205</v>
      </c>
      <c r="C58" s="46"/>
      <c r="D58" s="24">
        <v>0</v>
      </c>
      <c r="E58" s="24">
        <v>0</v>
      </c>
      <c r="F58" s="24">
        <v>0</v>
      </c>
      <c r="G58" s="24">
        <v>0</v>
      </c>
      <c r="J58" s="37"/>
    </row>
    <row r="59" spans="1:10" ht="25.5">
      <c r="A59" s="15" t="s">
        <v>39</v>
      </c>
      <c r="B59" s="52" t="s">
        <v>206</v>
      </c>
      <c r="C59" s="47"/>
      <c r="D59" s="24">
        <v>0</v>
      </c>
      <c r="E59" s="24">
        <v>0</v>
      </c>
      <c r="F59" s="24">
        <v>0</v>
      </c>
      <c r="G59" s="24">
        <v>0</v>
      </c>
      <c r="J59" s="37"/>
    </row>
    <row r="60" spans="1:10" ht="25.5">
      <c r="A60" s="15" t="s">
        <v>271</v>
      </c>
      <c r="B60" s="52" t="s">
        <v>207</v>
      </c>
      <c r="C60" s="47"/>
      <c r="D60" s="24">
        <v>0</v>
      </c>
      <c r="E60" s="24">
        <v>0</v>
      </c>
      <c r="F60" s="24">
        <v>0</v>
      </c>
      <c r="G60" s="24">
        <v>0</v>
      </c>
      <c r="J60" s="37"/>
    </row>
    <row r="61" spans="1:10" ht="25.5">
      <c r="A61" s="15" t="s">
        <v>272</v>
      </c>
      <c r="B61" s="52" t="s">
        <v>208</v>
      </c>
      <c r="C61" s="47"/>
      <c r="D61" s="24">
        <v>616438</v>
      </c>
      <c r="E61" s="24">
        <v>2465753</v>
      </c>
      <c r="F61" s="24">
        <v>0</v>
      </c>
      <c r="G61" s="24">
        <v>0</v>
      </c>
      <c r="J61" s="37"/>
    </row>
    <row r="62" spans="1:10" ht="25.5">
      <c r="A62" s="15" t="s">
        <v>46</v>
      </c>
      <c r="B62" s="52" t="s">
        <v>209</v>
      </c>
      <c r="C62" s="47"/>
      <c r="D62" s="24">
        <v>7262750</v>
      </c>
      <c r="E62" s="24">
        <v>35802250</v>
      </c>
      <c r="F62" s="24">
        <v>6162750</v>
      </c>
      <c r="G62" s="24">
        <v>19944412</v>
      </c>
      <c r="J62" s="37"/>
    </row>
    <row r="63" spans="1:10" ht="25.5">
      <c r="A63" s="15" t="s">
        <v>40</v>
      </c>
      <c r="B63" s="52" t="s">
        <v>210</v>
      </c>
      <c r="C63" s="47"/>
      <c r="D63" s="24">
        <v>0</v>
      </c>
      <c r="E63" s="24">
        <v>0</v>
      </c>
      <c r="F63" s="24">
        <v>0</v>
      </c>
      <c r="G63" s="24">
        <v>0</v>
      </c>
      <c r="J63" s="37"/>
    </row>
    <row r="64" spans="1:10" ht="25.5">
      <c r="A64" s="15" t="s">
        <v>257</v>
      </c>
      <c r="B64" s="52" t="s">
        <v>211</v>
      </c>
      <c r="C64" s="46"/>
      <c r="D64" s="24">
        <v>0</v>
      </c>
      <c r="E64" s="24">
        <v>0</v>
      </c>
      <c r="F64" s="24">
        <v>0</v>
      </c>
      <c r="G64" s="24">
        <v>0</v>
      </c>
      <c r="J64" s="37"/>
    </row>
    <row r="65" spans="1:10" ht="25.5">
      <c r="A65" s="15" t="s">
        <v>286</v>
      </c>
      <c r="B65" s="52" t="s">
        <v>212</v>
      </c>
      <c r="C65" s="46"/>
      <c r="D65" s="24">
        <v>1100000</v>
      </c>
      <c r="E65" s="24">
        <v>1100000</v>
      </c>
      <c r="F65" s="24">
        <v>1100000</v>
      </c>
      <c r="G65" s="24">
        <v>1100000</v>
      </c>
      <c r="J65" s="37"/>
    </row>
    <row r="66" spans="1:10" ht="25.5">
      <c r="A66" s="15" t="s">
        <v>273</v>
      </c>
      <c r="B66" s="52" t="s">
        <v>213</v>
      </c>
      <c r="C66" s="46"/>
      <c r="D66" s="24">
        <v>0</v>
      </c>
      <c r="E66" s="24">
        <v>0</v>
      </c>
      <c r="F66" s="24">
        <v>0</v>
      </c>
      <c r="G66" s="24">
        <v>0</v>
      </c>
      <c r="J66" s="37"/>
    </row>
    <row r="67" spans="1:10" ht="25.5">
      <c r="A67" s="15" t="s">
        <v>274</v>
      </c>
      <c r="B67" s="52" t="s">
        <v>214</v>
      </c>
      <c r="C67" s="46"/>
      <c r="D67" s="24">
        <v>0</v>
      </c>
      <c r="E67" s="24">
        <v>0</v>
      </c>
      <c r="F67" s="24">
        <v>0</v>
      </c>
      <c r="G67" s="24">
        <v>0</v>
      </c>
      <c r="J67" s="37"/>
    </row>
    <row r="68" spans="1:10" ht="25.5">
      <c r="A68" s="15" t="s">
        <v>215</v>
      </c>
      <c r="B68" s="52" t="s">
        <v>216</v>
      </c>
      <c r="C68" s="46"/>
      <c r="D68" s="24">
        <v>0</v>
      </c>
      <c r="E68" s="24">
        <v>0</v>
      </c>
      <c r="F68" s="24">
        <v>0</v>
      </c>
      <c r="G68" s="24">
        <v>0</v>
      </c>
      <c r="J68" s="37"/>
    </row>
    <row r="69" spans="1:10" s="37" customFormat="1" ht="38.25">
      <c r="A69" s="41" t="s">
        <v>217</v>
      </c>
      <c r="B69" s="42" t="s">
        <v>218</v>
      </c>
      <c r="C69" s="43"/>
      <c r="D69" s="22">
        <v>-2863516690</v>
      </c>
      <c r="E69" s="22">
        <v>8498365258</v>
      </c>
      <c r="F69" s="22">
        <v>-48818273205</v>
      </c>
      <c r="G69" s="22">
        <v>-64486861142</v>
      </c>
    </row>
    <row r="70" spans="1:10" s="37" customFormat="1" ht="25.5">
      <c r="A70" s="41" t="s">
        <v>219</v>
      </c>
      <c r="B70" s="42" t="s">
        <v>220</v>
      </c>
      <c r="C70" s="43"/>
      <c r="D70" s="22">
        <v>0</v>
      </c>
      <c r="E70" s="22">
        <v>0</v>
      </c>
      <c r="F70" s="22">
        <v>0</v>
      </c>
      <c r="G70" s="22">
        <v>0</v>
      </c>
    </row>
    <row r="71" spans="1:10" ht="25.5">
      <c r="A71" s="44" t="s">
        <v>304</v>
      </c>
      <c r="B71" s="48" t="s">
        <v>221</v>
      </c>
      <c r="C71" s="47"/>
      <c r="D71" s="24">
        <v>0</v>
      </c>
      <c r="E71" s="24">
        <v>0</v>
      </c>
      <c r="F71" s="24">
        <v>0</v>
      </c>
      <c r="G71" s="24">
        <v>0</v>
      </c>
      <c r="J71" s="37"/>
    </row>
    <row r="72" spans="1:10" ht="25.5">
      <c r="A72" s="44" t="s">
        <v>275</v>
      </c>
      <c r="B72" s="48" t="s">
        <v>222</v>
      </c>
      <c r="C72" s="47"/>
      <c r="D72" s="24">
        <v>0</v>
      </c>
      <c r="E72" s="24">
        <v>0</v>
      </c>
      <c r="F72" s="24">
        <v>0</v>
      </c>
      <c r="G72" s="24">
        <v>0</v>
      </c>
      <c r="J72" s="37"/>
    </row>
    <row r="73" spans="1:10" s="37" customFormat="1" ht="38.25">
      <c r="A73" s="41" t="s">
        <v>223</v>
      </c>
      <c r="B73" s="42" t="s">
        <v>224</v>
      </c>
      <c r="C73" s="43"/>
      <c r="D73" s="22">
        <v>-2863516690</v>
      </c>
      <c r="E73" s="22">
        <v>8498365258</v>
      </c>
      <c r="F73" s="22">
        <v>-48818273205</v>
      </c>
      <c r="G73" s="22">
        <v>-64486861142</v>
      </c>
    </row>
    <row r="74" spans="1:10" ht="25.5">
      <c r="A74" s="49" t="s">
        <v>225</v>
      </c>
      <c r="B74" s="45" t="s">
        <v>226</v>
      </c>
      <c r="C74" s="47"/>
      <c r="D74" s="24">
        <v>4912035937</v>
      </c>
      <c r="E74" s="24">
        <v>1721130676</v>
      </c>
      <c r="F74" s="24">
        <v>11080320999</v>
      </c>
      <c r="G74" s="24">
        <v>14996818973</v>
      </c>
      <c r="J74" s="37"/>
    </row>
    <row r="75" spans="1:10" ht="25.5">
      <c r="A75" s="49" t="s">
        <v>227</v>
      </c>
      <c r="B75" s="45" t="s">
        <v>228</v>
      </c>
      <c r="C75" s="47"/>
      <c r="D75" s="24">
        <v>-7775552627</v>
      </c>
      <c r="E75" s="24">
        <v>6777234582</v>
      </c>
      <c r="F75" s="24">
        <v>-59898594204</v>
      </c>
      <c r="G75" s="24">
        <v>-79483680115</v>
      </c>
      <c r="J75" s="37"/>
    </row>
    <row r="76" spans="1:10" s="37" customFormat="1" ht="25.5">
      <c r="A76" s="41" t="s">
        <v>229</v>
      </c>
      <c r="B76" s="42" t="s">
        <v>230</v>
      </c>
      <c r="C76" s="43"/>
      <c r="D76" s="22">
        <v>0</v>
      </c>
      <c r="E76" s="22">
        <v>0</v>
      </c>
      <c r="F76" s="22">
        <v>0</v>
      </c>
      <c r="G76" s="22">
        <v>0</v>
      </c>
    </row>
    <row r="77" spans="1:10" s="37" customFormat="1" ht="38.25">
      <c r="A77" s="41" t="s">
        <v>231</v>
      </c>
      <c r="B77" s="42" t="s">
        <v>232</v>
      </c>
      <c r="C77" s="43"/>
      <c r="D77" s="22">
        <v>-2863516690</v>
      </c>
      <c r="E77" s="22">
        <v>8498365258</v>
      </c>
      <c r="F77" s="22">
        <v>-48818273205</v>
      </c>
      <c r="G77" s="22">
        <v>-64486861142</v>
      </c>
    </row>
    <row r="80" spans="1:10" s="37" customFormat="1" ht="16.899999999999999" customHeight="1">
      <c r="A80" s="149" t="s">
        <v>233</v>
      </c>
      <c r="B80" s="210" t="s">
        <v>234</v>
      </c>
      <c r="C80" s="210"/>
      <c r="D80" s="210"/>
      <c r="E80" s="210"/>
      <c r="F80" s="210"/>
      <c r="G80" s="210"/>
    </row>
    <row r="93" spans="1:7">
      <c r="A93" s="32" t="s">
        <v>527</v>
      </c>
      <c r="B93" s="218" t="s">
        <v>528</v>
      </c>
      <c r="C93" s="218"/>
      <c r="D93" s="218"/>
      <c r="E93" s="218"/>
      <c r="F93" s="218" t="s">
        <v>529</v>
      </c>
      <c r="G93" s="218"/>
    </row>
    <row r="94" spans="1:7" ht="16.899999999999999" customHeight="1">
      <c r="A94" s="150" t="s">
        <v>1152</v>
      </c>
      <c r="B94" s="219" t="s">
        <v>1153</v>
      </c>
      <c r="C94" s="219"/>
      <c r="D94" s="219"/>
      <c r="E94" s="219"/>
      <c r="F94" s="219" t="s">
        <v>1142</v>
      </c>
      <c r="G94" s="219"/>
    </row>
    <row r="95" spans="1:7" ht="16.899999999999999" customHeight="1">
      <c r="A95" s="151" t="s">
        <v>1154</v>
      </c>
      <c r="B95" s="220" t="s">
        <v>1155</v>
      </c>
      <c r="C95" s="220"/>
      <c r="D95" s="220"/>
      <c r="E95" s="220"/>
      <c r="F95" s="220" t="s">
        <v>1144</v>
      </c>
      <c r="G95" s="220"/>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49" zoomScaleNormal="100" zoomScaleSheetLayoutView="100" workbookViewId="0">
      <selection activeCell="D65" sqref="D65"/>
    </sheetView>
  </sheetViews>
  <sheetFormatPr defaultColWidth="8.7109375" defaultRowHeight="53.25" customHeight="1"/>
  <cols>
    <col min="1" max="1" width="8.7109375" style="12"/>
    <col min="2" max="2" width="59.85546875" style="12" customWidth="1"/>
    <col min="3" max="3" width="10.7109375" style="12" bestFit="1" customWidth="1"/>
    <col min="4" max="4" width="41.7109375" style="12" customWidth="1"/>
    <col min="5" max="5" width="39.5703125" style="12" customWidth="1"/>
    <col min="6" max="6" width="8.42578125" style="141" customWidth="1"/>
    <col min="7" max="16384" width="8.7109375" style="141"/>
  </cols>
  <sheetData>
    <row r="1" spans="1:6" ht="53.25" customHeight="1">
      <c r="A1" s="204" t="s">
        <v>583</v>
      </c>
      <c r="B1" s="204"/>
      <c r="C1" s="204"/>
      <c r="D1" s="204"/>
      <c r="E1" s="204"/>
      <c r="F1" s="142"/>
    </row>
    <row r="2" spans="1:6" ht="66" customHeight="1">
      <c r="A2" s="205" t="s">
        <v>584</v>
      </c>
      <c r="B2" s="205"/>
      <c r="C2" s="205"/>
      <c r="D2" s="205"/>
      <c r="E2" s="205"/>
      <c r="F2" s="143"/>
    </row>
    <row r="3" spans="1:6" ht="40.5" customHeight="1">
      <c r="A3" s="206" t="s">
        <v>532</v>
      </c>
      <c r="B3" s="206"/>
      <c r="C3" s="206"/>
      <c r="D3" s="206"/>
      <c r="E3" s="206"/>
      <c r="F3" s="142"/>
    </row>
    <row r="4" spans="1:6" ht="12.75" hidden="1">
      <c r="A4" s="206"/>
      <c r="B4" s="206"/>
      <c r="C4" s="206"/>
      <c r="D4" s="206"/>
      <c r="E4" s="206"/>
      <c r="F4" s="142"/>
    </row>
    <row r="5" spans="1:6" ht="12.75">
      <c r="A5" s="207" t="s">
        <v>1134</v>
      </c>
      <c r="B5" s="207"/>
      <c r="C5" s="207"/>
      <c r="D5" s="207"/>
      <c r="E5" s="207"/>
      <c r="F5" s="144"/>
    </row>
    <row r="6" spans="1:6" ht="12.75"/>
    <row r="7" spans="1:6" ht="12.75">
      <c r="A7" s="112" t="s">
        <v>2</v>
      </c>
      <c r="C7" s="208" t="s">
        <v>1135</v>
      </c>
      <c r="D7" s="208"/>
      <c r="E7" s="208"/>
    </row>
    <row r="8" spans="1:6" ht="12.75">
      <c r="A8" s="12" t="s">
        <v>15</v>
      </c>
      <c r="C8" s="203" t="s">
        <v>1136</v>
      </c>
      <c r="D8" s="203"/>
      <c r="E8" s="203"/>
    </row>
    <row r="9" spans="1:6" ht="12.75">
      <c r="A9" s="112" t="s">
        <v>3</v>
      </c>
      <c r="C9" s="208" t="s">
        <v>1137</v>
      </c>
      <c r="D9" s="208"/>
      <c r="E9" s="208"/>
    </row>
    <row r="10" spans="1:6" ht="12.75">
      <c r="A10" s="12" t="s">
        <v>4</v>
      </c>
      <c r="C10" s="203" t="s">
        <v>1138</v>
      </c>
      <c r="D10" s="203"/>
      <c r="E10" s="203"/>
    </row>
    <row r="11" spans="1:6" ht="12.75">
      <c r="A11" s="112" t="s">
        <v>5</v>
      </c>
      <c r="C11" s="208" t="s">
        <v>590</v>
      </c>
      <c r="D11" s="208"/>
      <c r="E11" s="208"/>
    </row>
    <row r="12" spans="1:6" ht="12.75">
      <c r="A12" s="12" t="s">
        <v>6</v>
      </c>
      <c r="C12" s="203" t="s">
        <v>1156</v>
      </c>
      <c r="D12" s="203"/>
      <c r="E12" s="203"/>
    </row>
    <row r="13" spans="1:6" ht="12.75">
      <c r="A13" s="112" t="s">
        <v>7</v>
      </c>
      <c r="C13" s="208" t="s">
        <v>1139</v>
      </c>
      <c r="D13" s="208"/>
      <c r="E13" s="208"/>
    </row>
    <row r="14" spans="1:6" ht="12.75">
      <c r="A14" s="12" t="s">
        <v>8</v>
      </c>
      <c r="C14" s="203" t="s">
        <v>1140</v>
      </c>
      <c r="D14" s="203"/>
      <c r="E14" s="203"/>
    </row>
    <row r="15" spans="1:6" ht="12.75"/>
    <row r="16" spans="1:6" ht="12.75">
      <c r="A16" s="106" t="s">
        <v>581</v>
      </c>
      <c r="B16" s="107" t="s">
        <v>582</v>
      </c>
    </row>
    <row r="17" spans="1:5" ht="12.75">
      <c r="A17" s="19" t="s">
        <v>28</v>
      </c>
      <c r="B17" s="20" t="s">
        <v>291</v>
      </c>
    </row>
    <row r="18" spans="1:5" ht="38.25">
      <c r="A18" s="163" t="s">
        <v>17</v>
      </c>
      <c r="B18" s="163" t="s">
        <v>571</v>
      </c>
      <c r="C18" s="163" t="s">
        <v>19</v>
      </c>
      <c r="D18" s="164" t="s">
        <v>1147</v>
      </c>
      <c r="E18" s="164" t="s">
        <v>1148</v>
      </c>
    </row>
    <row r="19" spans="1:5" s="145" customFormat="1" ht="25.5">
      <c r="A19" s="53" t="s">
        <v>16</v>
      </c>
      <c r="B19" s="100" t="s">
        <v>112</v>
      </c>
      <c r="C19" s="101" t="s">
        <v>113</v>
      </c>
      <c r="D19" s="184"/>
      <c r="E19" s="184"/>
    </row>
    <row r="20" spans="1:5" ht="51">
      <c r="A20" s="113">
        <v>1</v>
      </c>
      <c r="B20" s="102" t="s">
        <v>556</v>
      </c>
      <c r="C20" s="103" t="s">
        <v>114</v>
      </c>
      <c r="D20" s="184">
        <v>1.8926187733741801E-2</v>
      </c>
      <c r="E20" s="184">
        <v>1.9672163973281E-2</v>
      </c>
    </row>
    <row r="21" spans="1:5" ht="51">
      <c r="A21" s="113">
        <v>2</v>
      </c>
      <c r="B21" s="102" t="s">
        <v>557</v>
      </c>
      <c r="C21" s="103" t="s">
        <v>115</v>
      </c>
      <c r="D21" s="184">
        <v>1.9783455497911998E-3</v>
      </c>
      <c r="E21" s="184">
        <v>1.8898132786434501E-3</v>
      </c>
    </row>
    <row r="22" spans="1:5" ht="63.75">
      <c r="A22" s="113">
        <v>3</v>
      </c>
      <c r="B22" s="102" t="s">
        <v>558</v>
      </c>
      <c r="C22" s="103" t="s">
        <v>116</v>
      </c>
      <c r="D22" s="184">
        <v>8.8474042353995697E-4</v>
      </c>
      <c r="E22" s="184">
        <v>9.0657935324290403E-4</v>
      </c>
    </row>
    <row r="23" spans="1:5" ht="38.25">
      <c r="A23" s="113">
        <v>4</v>
      </c>
      <c r="B23" s="102" t="s">
        <v>292</v>
      </c>
      <c r="C23" s="103" t="s">
        <v>117</v>
      </c>
      <c r="D23" s="184">
        <v>6.7453376018155296E-4</v>
      </c>
      <c r="E23" s="184">
        <v>5.2171254561887996E-4</v>
      </c>
    </row>
    <row r="24" spans="1:5" ht="51">
      <c r="A24" s="113">
        <v>5</v>
      </c>
      <c r="B24" s="102" t="s">
        <v>559</v>
      </c>
      <c r="C24" s="103" t="s">
        <v>560</v>
      </c>
      <c r="D24" s="105"/>
      <c r="E24" s="105"/>
    </row>
    <row r="25" spans="1:5" ht="76.5">
      <c r="A25" s="113">
        <v>6</v>
      </c>
      <c r="B25" s="102" t="s">
        <v>561</v>
      </c>
      <c r="C25" s="103" t="s">
        <v>525</v>
      </c>
      <c r="D25" s="105"/>
      <c r="E25" s="105"/>
    </row>
    <row r="26" spans="1:5" ht="76.5">
      <c r="A26" s="113">
        <v>7</v>
      </c>
      <c r="B26" s="102" t="s">
        <v>293</v>
      </c>
      <c r="C26" s="103" t="s">
        <v>118</v>
      </c>
      <c r="D26" s="184">
        <v>2.95813365476097E-4</v>
      </c>
      <c r="E26" s="184">
        <v>2.9554132686393698E-4</v>
      </c>
    </row>
    <row r="27" spans="1:5" ht="25.5">
      <c r="A27" s="113">
        <v>8</v>
      </c>
      <c r="B27" s="102" t="s">
        <v>562</v>
      </c>
      <c r="C27" s="103" t="s">
        <v>119</v>
      </c>
      <c r="D27" s="192">
        <v>2.3386791581990501E-2</v>
      </c>
      <c r="E27" s="184">
        <v>2.3099999999999999E-2</v>
      </c>
    </row>
    <row r="28" spans="1:5" ht="18" customHeight="1">
      <c r="A28" s="113">
        <v>9</v>
      </c>
      <c r="B28" s="102" t="s">
        <v>596</v>
      </c>
      <c r="C28" s="103" t="s">
        <v>120</v>
      </c>
      <c r="D28" s="192">
        <v>2.2981658490263199</v>
      </c>
      <c r="E28" s="184">
        <v>2.1151</v>
      </c>
    </row>
    <row r="29" spans="1:5" ht="51">
      <c r="A29" s="113">
        <v>10</v>
      </c>
      <c r="B29" s="102" t="s">
        <v>563</v>
      </c>
      <c r="C29" s="103" t="s">
        <v>525</v>
      </c>
      <c r="D29" s="105"/>
      <c r="E29" s="105"/>
    </row>
    <row r="30" spans="1:5" s="145" customFormat="1" ht="25.5">
      <c r="A30" s="53" t="s">
        <v>22</v>
      </c>
      <c r="B30" s="100" t="s">
        <v>121</v>
      </c>
      <c r="C30" s="101" t="s">
        <v>122</v>
      </c>
      <c r="D30" s="104"/>
      <c r="E30" s="104"/>
    </row>
    <row r="31" spans="1:5" ht="38.25">
      <c r="A31" s="222">
        <v>1</v>
      </c>
      <c r="B31" s="102" t="s">
        <v>123</v>
      </c>
      <c r="C31" s="103" t="s">
        <v>124</v>
      </c>
      <c r="D31" s="115">
        <v>168310127300</v>
      </c>
      <c r="E31" s="115">
        <v>169578777300</v>
      </c>
    </row>
    <row r="32" spans="1:5" ht="25.5">
      <c r="A32" s="223"/>
      <c r="B32" s="102" t="s">
        <v>125</v>
      </c>
      <c r="C32" s="103" t="s">
        <v>126</v>
      </c>
      <c r="D32" s="115">
        <v>168310127300</v>
      </c>
      <c r="E32" s="115">
        <v>169578777300</v>
      </c>
    </row>
    <row r="33" spans="1:5" ht="38.25">
      <c r="A33" s="224"/>
      <c r="B33" s="102" t="s">
        <v>564</v>
      </c>
      <c r="C33" s="103" t="s">
        <v>127</v>
      </c>
      <c r="D33" s="105">
        <v>16831012.73</v>
      </c>
      <c r="E33" s="105">
        <v>16957877.73</v>
      </c>
    </row>
    <row r="34" spans="1:5" ht="38.25">
      <c r="A34" s="221">
        <v>2</v>
      </c>
      <c r="B34" s="102" t="s">
        <v>128</v>
      </c>
      <c r="C34" s="103" t="s">
        <v>129</v>
      </c>
      <c r="D34" s="115">
        <v>-839349900</v>
      </c>
      <c r="E34" s="115">
        <v>-1268650000</v>
      </c>
    </row>
    <row r="35" spans="1:5" ht="25.5">
      <c r="A35" s="221"/>
      <c r="B35" s="102" t="s">
        <v>130</v>
      </c>
      <c r="C35" s="103" t="s">
        <v>565</v>
      </c>
      <c r="D35" s="105">
        <v>-83934.99</v>
      </c>
      <c r="E35" s="105">
        <v>-126865</v>
      </c>
    </row>
    <row r="36" spans="1:5" ht="25.5">
      <c r="A36" s="221"/>
      <c r="B36" s="102" t="s">
        <v>131</v>
      </c>
      <c r="C36" s="103" t="s">
        <v>566</v>
      </c>
      <c r="D36" s="115">
        <v>-839349900</v>
      </c>
      <c r="E36" s="115">
        <v>-1268650000</v>
      </c>
    </row>
    <row r="37" spans="1:5" ht="25.5">
      <c r="A37" s="221"/>
      <c r="B37" s="102" t="s">
        <v>567</v>
      </c>
      <c r="C37" s="103" t="s">
        <v>132</v>
      </c>
      <c r="D37" s="105">
        <v>194498.65</v>
      </c>
      <c r="E37" s="105">
        <v>158738.99</v>
      </c>
    </row>
    <row r="38" spans="1:5" ht="25.5">
      <c r="A38" s="221"/>
      <c r="B38" s="102" t="s">
        <v>261</v>
      </c>
      <c r="C38" s="103" t="s">
        <v>133</v>
      </c>
      <c r="D38" s="115">
        <v>1944986500</v>
      </c>
      <c r="E38" s="115">
        <v>1587389900</v>
      </c>
    </row>
    <row r="39" spans="1:5" ht="25.5">
      <c r="A39" s="221"/>
      <c r="B39" s="102" t="s">
        <v>589</v>
      </c>
      <c r="C39" s="103" t="s">
        <v>134</v>
      </c>
      <c r="D39" s="105">
        <v>-278433.64</v>
      </c>
      <c r="E39" s="105">
        <v>-285603.99</v>
      </c>
    </row>
    <row r="40" spans="1:5" ht="38.25">
      <c r="A40" s="221"/>
      <c r="B40" s="102" t="s">
        <v>262</v>
      </c>
      <c r="C40" s="103" t="s">
        <v>135</v>
      </c>
      <c r="D40" s="115">
        <v>-2784336400</v>
      </c>
      <c r="E40" s="115">
        <v>-2856039900</v>
      </c>
    </row>
    <row r="41" spans="1:5" ht="25.5">
      <c r="A41" s="221">
        <v>3</v>
      </c>
      <c r="B41" s="102" t="s">
        <v>263</v>
      </c>
      <c r="C41" s="103" t="s">
        <v>136</v>
      </c>
      <c r="D41" s="115">
        <v>167470777400</v>
      </c>
      <c r="E41" s="115">
        <v>168310127300</v>
      </c>
    </row>
    <row r="42" spans="1:5" ht="38.25">
      <c r="A42" s="221"/>
      <c r="B42" s="102" t="s">
        <v>568</v>
      </c>
      <c r="C42" s="103" t="s">
        <v>137</v>
      </c>
      <c r="D42" s="115">
        <v>167470777400</v>
      </c>
      <c r="E42" s="115">
        <v>168310127300</v>
      </c>
    </row>
    <row r="43" spans="1:5" ht="25.5">
      <c r="A43" s="221"/>
      <c r="B43" s="102" t="s">
        <v>569</v>
      </c>
      <c r="C43" s="103" t="s">
        <v>138</v>
      </c>
      <c r="D43" s="105">
        <v>16747077.74</v>
      </c>
      <c r="E43" s="105">
        <v>16831012.73</v>
      </c>
    </row>
    <row r="44" spans="1:5" ht="51">
      <c r="A44" s="113">
        <v>4</v>
      </c>
      <c r="B44" s="102" t="s">
        <v>139</v>
      </c>
      <c r="C44" s="103" t="s">
        <v>140</v>
      </c>
      <c r="D44" s="184">
        <v>1.0830301430248201E-3</v>
      </c>
      <c r="E44" s="184">
        <v>1.05756975444935E-3</v>
      </c>
    </row>
    <row r="45" spans="1:5" ht="25.5">
      <c r="A45" s="113">
        <v>5</v>
      </c>
      <c r="B45" s="102" t="s">
        <v>141</v>
      </c>
      <c r="C45" s="103" t="s">
        <v>142</v>
      </c>
      <c r="D45" s="184">
        <v>0.2296</v>
      </c>
      <c r="E45" s="184">
        <v>0.22889999999999999</v>
      </c>
    </row>
    <row r="46" spans="1:5" ht="25.5">
      <c r="A46" s="113">
        <v>6</v>
      </c>
      <c r="B46" s="102" t="s">
        <v>143</v>
      </c>
      <c r="C46" s="103" t="s">
        <v>144</v>
      </c>
      <c r="D46" s="184">
        <v>0.11899999999999999</v>
      </c>
      <c r="E46" s="184">
        <v>0.11609999999999999</v>
      </c>
    </row>
    <row r="47" spans="1:5" ht="25.5">
      <c r="A47" s="113">
        <v>7</v>
      </c>
      <c r="B47" s="102" t="s">
        <v>145</v>
      </c>
      <c r="C47" s="103" t="s">
        <v>146</v>
      </c>
      <c r="D47" s="115">
        <v>12966</v>
      </c>
      <c r="E47" s="115">
        <v>13089</v>
      </c>
    </row>
    <row r="48" spans="1:5" ht="25.5">
      <c r="A48" s="113">
        <v>8</v>
      </c>
      <c r="B48" s="102" t="s">
        <v>264</v>
      </c>
      <c r="C48" s="103" t="s">
        <v>147</v>
      </c>
      <c r="D48" s="105">
        <v>20936.82</v>
      </c>
      <c r="E48" s="105">
        <v>21111.39</v>
      </c>
    </row>
    <row r="49" spans="1:5" ht="38.25">
      <c r="A49" s="113">
        <v>9</v>
      </c>
      <c r="B49" s="102" t="s">
        <v>570</v>
      </c>
      <c r="C49" s="103" t="s">
        <v>526</v>
      </c>
      <c r="D49" s="105"/>
      <c r="E49" s="105"/>
    </row>
    <row r="50" spans="1:5" ht="31.5" customHeight="1">
      <c r="A50" s="209" t="s">
        <v>591</v>
      </c>
      <c r="B50" s="203"/>
      <c r="C50" s="203"/>
      <c r="D50" s="203"/>
      <c r="E50" s="203"/>
    </row>
    <row r="51" spans="1:5" ht="95.25" customHeight="1">
      <c r="A51" s="209" t="s">
        <v>1157</v>
      </c>
      <c r="B51" s="203"/>
      <c r="C51" s="203"/>
      <c r="D51" s="203"/>
      <c r="E51" s="203"/>
    </row>
    <row r="52" spans="1:5" ht="12.75">
      <c r="A52" s="25" t="s">
        <v>10</v>
      </c>
      <c r="D52" s="25" t="s">
        <v>11</v>
      </c>
    </row>
    <row r="53" spans="1:5" s="146" customFormat="1" ht="12.75">
      <c r="A53" s="26" t="s">
        <v>12</v>
      </c>
      <c r="B53" s="26"/>
      <c r="C53" s="26"/>
      <c r="D53" s="26" t="s">
        <v>13</v>
      </c>
      <c r="E53" s="26"/>
    </row>
    <row r="54" spans="1:5" ht="12.75"/>
    <row r="55" spans="1:5" ht="12.75"/>
    <row r="56" spans="1:5" ht="12.75"/>
    <row r="57" spans="1:5" ht="12.75"/>
    <row r="58" spans="1:5" ht="12.75"/>
    <row r="59" spans="1:5" ht="12.75"/>
    <row r="60" spans="1:5" ht="12.75"/>
    <row r="61" spans="1:5" ht="12.75"/>
    <row r="62" spans="1:5" ht="12.75">
      <c r="A62" s="38"/>
      <c r="B62" s="38"/>
      <c r="D62" s="38"/>
      <c r="E62" s="38"/>
    </row>
    <row r="63" spans="1:5" ht="12.75">
      <c r="A63" s="25" t="s">
        <v>14</v>
      </c>
      <c r="D63" s="25" t="s">
        <v>1135</v>
      </c>
    </row>
    <row r="64" spans="1:5" ht="12.75">
      <c r="A64" s="25" t="s">
        <v>1141</v>
      </c>
      <c r="D64" s="25" t="s">
        <v>1142</v>
      </c>
    </row>
    <row r="65" spans="1:4" ht="12.75">
      <c r="A65" s="12" t="s">
        <v>1143</v>
      </c>
      <c r="D65" s="12" t="s">
        <v>1144</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&amp;L&amp;"Arial"&amp;9&amp;K317100PUBLIC&amp;1#</oddHeader>
  </headerFooter>
  <rowBreaks count="2" manualBreakCount="2">
    <brk id="28" max="16383" man="1"/>
    <brk id="57"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138"/>
  <sheetViews>
    <sheetView view="pageBreakPreview" zoomScale="98" zoomScaleNormal="100" zoomScaleSheetLayoutView="98" workbookViewId="0">
      <selection activeCell="B16" sqref="B16:B120"/>
    </sheetView>
  </sheetViews>
  <sheetFormatPr defaultColWidth="8.7109375" defaultRowHeight="12.75"/>
  <cols>
    <col min="1" max="1" width="7.140625" style="12" customWidth="1"/>
    <col min="2" max="2" width="84" style="12" customWidth="1"/>
    <col min="3" max="3" width="10.5703125" style="12" customWidth="1"/>
    <col min="4" max="4" width="15.140625" style="12" customWidth="1"/>
    <col min="5" max="5" width="28.7109375" style="12" customWidth="1"/>
    <col min="6" max="6" width="28" style="12" bestFit="1" customWidth="1"/>
    <col min="7" max="16384" width="8.7109375" style="30"/>
  </cols>
  <sheetData>
    <row r="1" spans="1:6" ht="65.25" customHeight="1">
      <c r="A1" s="204" t="s">
        <v>592</v>
      </c>
      <c r="B1" s="204"/>
      <c r="C1" s="204"/>
      <c r="D1" s="204"/>
      <c r="E1" s="204"/>
      <c r="F1" s="204"/>
    </row>
    <row r="2" spans="1:6" ht="64.5" customHeight="1">
      <c r="A2" s="205" t="s">
        <v>593</v>
      </c>
      <c r="B2" s="205"/>
      <c r="C2" s="205"/>
      <c r="D2" s="205"/>
      <c r="E2" s="205"/>
      <c r="F2" s="205"/>
    </row>
    <row r="3" spans="1:6" ht="31.15" customHeight="1">
      <c r="A3" s="206" t="s">
        <v>235</v>
      </c>
      <c r="B3" s="206"/>
      <c r="C3" s="206"/>
      <c r="D3" s="206"/>
      <c r="E3" s="206"/>
      <c r="F3" s="206"/>
    </row>
    <row r="4" spans="1:6" ht="6" customHeight="1"/>
    <row r="5" spans="1:6" ht="16.899999999999999" customHeight="1">
      <c r="A5" s="207" t="s">
        <v>1133</v>
      </c>
      <c r="B5" s="207"/>
      <c r="C5" s="207"/>
      <c r="D5" s="207"/>
      <c r="E5" s="207"/>
      <c r="F5" s="207"/>
    </row>
    <row r="6" spans="1:6" ht="16.899999999999999" customHeight="1"/>
    <row r="7" spans="1:6" ht="16.899999999999999" customHeight="1">
      <c r="A7" s="148" t="s">
        <v>2</v>
      </c>
      <c r="C7" s="198" t="s">
        <v>1135</v>
      </c>
      <c r="D7" s="198"/>
      <c r="E7" s="198"/>
      <c r="F7" s="198"/>
    </row>
    <row r="8" spans="1:6" ht="16.899999999999999" customHeight="1">
      <c r="A8" s="12" t="s">
        <v>15</v>
      </c>
      <c r="C8" s="209" t="s">
        <v>1136</v>
      </c>
      <c r="D8" s="209"/>
      <c r="E8" s="209"/>
      <c r="F8" s="209"/>
    </row>
    <row r="9" spans="1:6" ht="16.899999999999999" customHeight="1">
      <c r="A9" s="148" t="s">
        <v>3</v>
      </c>
      <c r="C9" s="198" t="s">
        <v>1137</v>
      </c>
      <c r="D9" s="198"/>
      <c r="E9" s="198"/>
      <c r="F9" s="198"/>
    </row>
    <row r="10" spans="1:6" ht="16.899999999999999" customHeight="1">
      <c r="A10" s="12" t="s">
        <v>4</v>
      </c>
      <c r="C10" s="209" t="s">
        <v>1138</v>
      </c>
      <c r="D10" s="209"/>
      <c r="E10" s="209"/>
      <c r="F10" s="209"/>
    </row>
    <row r="11" spans="1:6" ht="16.899999999999999" customHeight="1">
      <c r="A11" s="148" t="s">
        <v>5</v>
      </c>
      <c r="C11" s="198" t="s">
        <v>590</v>
      </c>
      <c r="D11" s="198"/>
      <c r="E11" s="198"/>
      <c r="F11" s="198"/>
    </row>
    <row r="12" spans="1:6" ht="16.899999999999999" customHeight="1">
      <c r="A12" s="12" t="s">
        <v>6</v>
      </c>
      <c r="C12" s="209" t="s">
        <v>1156</v>
      </c>
      <c r="D12" s="209"/>
      <c r="E12" s="209"/>
      <c r="F12" s="209"/>
    </row>
    <row r="13" spans="1:6" ht="16.899999999999999" customHeight="1">
      <c r="A13" s="148" t="s">
        <v>7</v>
      </c>
      <c r="C13" s="198" t="s">
        <v>1139</v>
      </c>
      <c r="D13" s="198"/>
      <c r="E13" s="198"/>
      <c r="F13" s="198"/>
    </row>
    <row r="14" spans="1:6" ht="16.899999999999999" customHeight="1">
      <c r="A14" s="12" t="s">
        <v>8</v>
      </c>
      <c r="C14" s="209" t="s">
        <v>1140</v>
      </c>
      <c r="D14" s="209"/>
      <c r="E14" s="209"/>
      <c r="F14" s="209"/>
    </row>
    <row r="15" spans="1:6" ht="16.899999999999999" customHeight="1"/>
    <row r="16" spans="1:6" ht="46.9" customHeight="1">
      <c r="A16" s="31" t="s">
        <v>236</v>
      </c>
      <c r="B16" s="31" t="s">
        <v>149</v>
      </c>
      <c r="C16" s="31" t="s">
        <v>150</v>
      </c>
      <c r="D16" s="31" t="s">
        <v>151</v>
      </c>
      <c r="E16" s="31" t="s">
        <v>1145</v>
      </c>
      <c r="F16" s="31" t="s">
        <v>1146</v>
      </c>
    </row>
    <row r="17" spans="1:6" ht="25.5">
      <c r="A17" s="13" t="s">
        <v>16</v>
      </c>
      <c r="B17" s="54" t="s">
        <v>318</v>
      </c>
      <c r="C17" s="8" t="s">
        <v>16</v>
      </c>
      <c r="D17" s="22"/>
      <c r="E17" s="22"/>
      <c r="F17" s="22"/>
    </row>
    <row r="18" spans="1:6" ht="25.5">
      <c r="A18" s="56" t="s">
        <v>319</v>
      </c>
      <c r="B18" s="57" t="s">
        <v>320</v>
      </c>
      <c r="C18" s="58" t="s">
        <v>321</v>
      </c>
      <c r="D18" s="56"/>
      <c r="E18" s="55">
        <v>36794992970</v>
      </c>
      <c r="F18" s="55">
        <v>38535725726</v>
      </c>
    </row>
    <row r="19" spans="1:6" ht="25.5">
      <c r="A19" s="56" t="s">
        <v>322</v>
      </c>
      <c r="B19" s="57" t="s">
        <v>323</v>
      </c>
      <c r="C19" s="58" t="s">
        <v>324</v>
      </c>
      <c r="D19" s="56"/>
      <c r="E19" s="55">
        <v>36794992970</v>
      </c>
      <c r="F19" s="55">
        <v>38535725726</v>
      </c>
    </row>
    <row r="20" spans="1:6" s="61" customFormat="1" ht="25.5">
      <c r="A20" s="56" t="s">
        <v>325</v>
      </c>
      <c r="B20" s="59" t="s">
        <v>326</v>
      </c>
      <c r="C20" s="60" t="s">
        <v>327</v>
      </c>
      <c r="D20" s="56"/>
      <c r="E20" s="55">
        <v>234260398</v>
      </c>
      <c r="F20" s="55">
        <v>181812445</v>
      </c>
    </row>
    <row r="21" spans="1:6" s="61" customFormat="1" ht="25.5">
      <c r="A21" s="56" t="s">
        <v>325</v>
      </c>
      <c r="B21" s="59" t="s">
        <v>328</v>
      </c>
      <c r="C21" s="60" t="s">
        <v>329</v>
      </c>
      <c r="D21" s="56"/>
      <c r="E21" s="55">
        <v>1016323</v>
      </c>
      <c r="F21" s="55">
        <v>12345169</v>
      </c>
    </row>
    <row r="22" spans="1:6" s="61" customFormat="1" ht="25.5">
      <c r="A22" s="56" t="s">
        <v>325</v>
      </c>
      <c r="B22" s="59" t="s">
        <v>330</v>
      </c>
      <c r="C22" s="60" t="s">
        <v>331</v>
      </c>
      <c r="D22" s="56"/>
      <c r="E22" s="55">
        <v>36559716249</v>
      </c>
      <c r="F22" s="55">
        <v>38341568112</v>
      </c>
    </row>
    <row r="23" spans="1:6" ht="25.5">
      <c r="A23" s="56" t="s">
        <v>325</v>
      </c>
      <c r="B23" s="59" t="s">
        <v>21</v>
      </c>
      <c r="C23" s="60" t="s">
        <v>332</v>
      </c>
      <c r="D23" s="56"/>
      <c r="E23" s="55">
        <v>0</v>
      </c>
      <c r="F23" s="55">
        <v>0</v>
      </c>
    </row>
    <row r="24" spans="1:6" ht="25.5">
      <c r="A24" s="56" t="s">
        <v>333</v>
      </c>
      <c r="B24" s="57" t="s">
        <v>334</v>
      </c>
      <c r="C24" s="58" t="s">
        <v>335</v>
      </c>
      <c r="D24" s="56"/>
      <c r="E24" s="55">
        <v>0</v>
      </c>
      <c r="F24" s="55">
        <v>0</v>
      </c>
    </row>
    <row r="25" spans="1:6" ht="25.5">
      <c r="A25" s="56" t="s">
        <v>336</v>
      </c>
      <c r="B25" s="57" t="s">
        <v>337</v>
      </c>
      <c r="C25" s="58" t="s">
        <v>338</v>
      </c>
      <c r="D25" s="56"/>
      <c r="E25" s="55">
        <v>314145000000</v>
      </c>
      <c r="F25" s="55">
        <v>320179900000</v>
      </c>
    </row>
    <row r="26" spans="1:6" ht="25.5">
      <c r="A26" s="56" t="s">
        <v>339</v>
      </c>
      <c r="B26" s="57" t="s">
        <v>340</v>
      </c>
      <c r="C26" s="58" t="s">
        <v>341</v>
      </c>
      <c r="D26" s="56"/>
      <c r="E26" s="55">
        <v>314145000000</v>
      </c>
      <c r="F26" s="55">
        <v>320179900000</v>
      </c>
    </row>
    <row r="27" spans="1:6" ht="25.5">
      <c r="A27" s="56" t="s">
        <v>325</v>
      </c>
      <c r="B27" s="59" t="s">
        <v>597</v>
      </c>
      <c r="C27" s="60" t="s">
        <v>342</v>
      </c>
      <c r="D27" s="56"/>
      <c r="E27" s="55">
        <v>314145000000</v>
      </c>
      <c r="F27" s="55">
        <v>320179900000</v>
      </c>
    </row>
    <row r="28" spans="1:6" ht="25.5">
      <c r="A28" s="56" t="s">
        <v>325</v>
      </c>
      <c r="B28" s="59" t="s">
        <v>598</v>
      </c>
      <c r="C28" s="60" t="s">
        <v>343</v>
      </c>
      <c r="D28" s="56"/>
      <c r="E28" s="55">
        <v>0</v>
      </c>
      <c r="F28" s="55">
        <v>0</v>
      </c>
    </row>
    <row r="29" spans="1:6" ht="25.5">
      <c r="A29" s="56" t="s">
        <v>325</v>
      </c>
      <c r="B29" s="59" t="s">
        <v>344</v>
      </c>
      <c r="C29" s="60" t="s">
        <v>345</v>
      </c>
      <c r="D29" s="56"/>
      <c r="E29" s="55">
        <v>0</v>
      </c>
      <c r="F29" s="55">
        <v>0</v>
      </c>
    </row>
    <row r="30" spans="1:6" ht="25.5">
      <c r="A30" s="56" t="s">
        <v>325</v>
      </c>
      <c r="B30" s="59" t="s">
        <v>346</v>
      </c>
      <c r="C30" s="60" t="s">
        <v>347</v>
      </c>
      <c r="D30" s="56"/>
      <c r="E30" s="55">
        <v>0</v>
      </c>
      <c r="F30" s="55">
        <v>0</v>
      </c>
    </row>
    <row r="31" spans="1:6" ht="25.5">
      <c r="A31" s="56" t="s">
        <v>325</v>
      </c>
      <c r="B31" s="59" t="s">
        <v>348</v>
      </c>
      <c r="C31" s="60" t="s">
        <v>349</v>
      </c>
      <c r="D31" s="56"/>
      <c r="E31" s="55">
        <v>0</v>
      </c>
      <c r="F31" s="55">
        <v>0</v>
      </c>
    </row>
    <row r="32" spans="1:6" ht="25.5">
      <c r="A32" s="56" t="s">
        <v>325</v>
      </c>
      <c r="B32" s="59" t="s">
        <v>305</v>
      </c>
      <c r="C32" s="60" t="s">
        <v>350</v>
      </c>
      <c r="D32" s="56"/>
      <c r="E32" s="55">
        <v>0</v>
      </c>
      <c r="F32" s="55">
        <v>0</v>
      </c>
    </row>
    <row r="33" spans="1:6" ht="25.5">
      <c r="A33" s="56" t="s">
        <v>325</v>
      </c>
      <c r="B33" s="59" t="s">
        <v>306</v>
      </c>
      <c r="C33" s="60" t="s">
        <v>351</v>
      </c>
      <c r="D33" s="56"/>
      <c r="E33" s="55">
        <v>0</v>
      </c>
      <c r="F33" s="55">
        <v>0</v>
      </c>
    </row>
    <row r="34" spans="1:6" ht="25.5">
      <c r="A34" s="56" t="s">
        <v>325</v>
      </c>
      <c r="B34" s="59" t="s">
        <v>307</v>
      </c>
      <c r="C34" s="60" t="s">
        <v>352</v>
      </c>
      <c r="D34" s="56"/>
      <c r="E34" s="55">
        <v>0</v>
      </c>
      <c r="F34" s="55">
        <v>0</v>
      </c>
    </row>
    <row r="35" spans="1:6" ht="25.5">
      <c r="A35" s="56" t="s">
        <v>325</v>
      </c>
      <c r="B35" s="59" t="s">
        <v>353</v>
      </c>
      <c r="C35" s="60" t="s">
        <v>354</v>
      </c>
      <c r="D35" s="56"/>
      <c r="E35" s="55">
        <v>0</v>
      </c>
      <c r="F35" s="55">
        <v>0</v>
      </c>
    </row>
    <row r="36" spans="1:6" ht="25.5">
      <c r="A36" s="56" t="s">
        <v>325</v>
      </c>
      <c r="B36" s="59" t="s">
        <v>308</v>
      </c>
      <c r="C36" s="60" t="s">
        <v>355</v>
      </c>
      <c r="D36" s="56"/>
      <c r="E36" s="55">
        <v>0</v>
      </c>
      <c r="F36" s="55">
        <v>0</v>
      </c>
    </row>
    <row r="37" spans="1:6" ht="25.5">
      <c r="A37" s="56" t="s">
        <v>356</v>
      </c>
      <c r="B37" s="57" t="s">
        <v>357</v>
      </c>
      <c r="C37" s="58" t="s">
        <v>358</v>
      </c>
      <c r="D37" s="56"/>
      <c r="E37" s="55">
        <v>0</v>
      </c>
      <c r="F37" s="55">
        <v>0</v>
      </c>
    </row>
    <row r="38" spans="1:6" ht="25.5">
      <c r="A38" s="56" t="s">
        <v>359</v>
      </c>
      <c r="B38" s="57" t="s">
        <v>360</v>
      </c>
      <c r="C38" s="58" t="s">
        <v>361</v>
      </c>
      <c r="D38" s="56"/>
      <c r="E38" s="55">
        <v>15974365000</v>
      </c>
      <c r="F38" s="55">
        <v>3357810000</v>
      </c>
    </row>
    <row r="39" spans="1:6" ht="25.5">
      <c r="A39" s="56" t="s">
        <v>362</v>
      </c>
      <c r="B39" s="57" t="s">
        <v>363</v>
      </c>
      <c r="C39" s="58" t="s">
        <v>364</v>
      </c>
      <c r="D39" s="56"/>
      <c r="E39" s="55">
        <v>15874365000</v>
      </c>
      <c r="F39" s="55">
        <v>3357810000</v>
      </c>
    </row>
    <row r="40" spans="1:6" ht="25.5">
      <c r="A40" s="56" t="s">
        <v>325</v>
      </c>
      <c r="B40" s="59" t="s">
        <v>365</v>
      </c>
      <c r="C40" s="60" t="s">
        <v>366</v>
      </c>
      <c r="D40" s="56"/>
      <c r="E40" s="55">
        <v>0</v>
      </c>
      <c r="F40" s="55">
        <v>0</v>
      </c>
    </row>
    <row r="41" spans="1:6" ht="25.5">
      <c r="A41" s="56" t="s">
        <v>367</v>
      </c>
      <c r="B41" s="57" t="s">
        <v>368</v>
      </c>
      <c r="C41" s="58" t="s">
        <v>369</v>
      </c>
      <c r="D41" s="56"/>
      <c r="E41" s="55">
        <v>100000000</v>
      </c>
      <c r="F41" s="55">
        <v>0</v>
      </c>
    </row>
    <row r="42" spans="1:6" ht="25.5">
      <c r="A42" s="56" t="s">
        <v>370</v>
      </c>
      <c r="B42" s="57" t="s">
        <v>371</v>
      </c>
      <c r="C42" s="58" t="s">
        <v>372</v>
      </c>
      <c r="D42" s="56"/>
      <c r="E42" s="55">
        <v>0</v>
      </c>
      <c r="F42" s="55">
        <v>0</v>
      </c>
    </row>
    <row r="43" spans="1:6" ht="25.5">
      <c r="A43" s="56" t="s">
        <v>325</v>
      </c>
      <c r="B43" s="59" t="s">
        <v>309</v>
      </c>
      <c r="C43" s="60" t="s">
        <v>373</v>
      </c>
      <c r="D43" s="56"/>
      <c r="E43" s="55">
        <v>0</v>
      </c>
      <c r="F43" s="55">
        <v>0</v>
      </c>
    </row>
    <row r="44" spans="1:6" ht="25.5">
      <c r="A44" s="56" t="s">
        <v>325</v>
      </c>
      <c r="B44" s="59" t="s">
        <v>310</v>
      </c>
      <c r="C44" s="60" t="s">
        <v>374</v>
      </c>
      <c r="D44" s="56"/>
      <c r="E44" s="55">
        <v>0</v>
      </c>
      <c r="F44" s="55">
        <v>0</v>
      </c>
    </row>
    <row r="45" spans="1:6" ht="25.5">
      <c r="A45" s="56" t="s">
        <v>325</v>
      </c>
      <c r="B45" s="59" t="s">
        <v>375</v>
      </c>
      <c r="C45" s="60" t="s">
        <v>376</v>
      </c>
      <c r="D45" s="56"/>
      <c r="E45" s="55">
        <v>0</v>
      </c>
      <c r="F45" s="55">
        <v>0</v>
      </c>
    </row>
    <row r="46" spans="1:6" ht="25.5">
      <c r="A46" s="56" t="s">
        <v>325</v>
      </c>
      <c r="B46" s="59" t="s">
        <v>377</v>
      </c>
      <c r="C46" s="60" t="s">
        <v>378</v>
      </c>
      <c r="D46" s="56"/>
      <c r="E46" s="55">
        <v>0</v>
      </c>
      <c r="F46" s="55">
        <v>0</v>
      </c>
    </row>
    <row r="47" spans="1:6" ht="25.5">
      <c r="A47" s="56" t="s">
        <v>325</v>
      </c>
      <c r="B47" s="59" t="s">
        <v>379</v>
      </c>
      <c r="C47" s="60" t="s">
        <v>380</v>
      </c>
      <c r="D47" s="56"/>
      <c r="E47" s="55">
        <v>0</v>
      </c>
      <c r="F47" s="55">
        <v>0</v>
      </c>
    </row>
    <row r="48" spans="1:6" ht="25.5">
      <c r="A48" s="56" t="s">
        <v>325</v>
      </c>
      <c r="B48" s="57" t="s">
        <v>381</v>
      </c>
      <c r="C48" s="58" t="s">
        <v>382</v>
      </c>
      <c r="D48" s="56"/>
      <c r="E48" s="55">
        <v>0</v>
      </c>
      <c r="F48" s="55">
        <v>0</v>
      </c>
    </row>
    <row r="49" spans="1:6" ht="25.5">
      <c r="A49" s="56" t="s">
        <v>383</v>
      </c>
      <c r="B49" s="57" t="s">
        <v>384</v>
      </c>
      <c r="C49" s="58" t="s">
        <v>385</v>
      </c>
      <c r="D49" s="56"/>
      <c r="E49" s="55">
        <v>100000000</v>
      </c>
      <c r="F49" s="55">
        <v>0</v>
      </c>
    </row>
    <row r="50" spans="1:6" ht="25.5">
      <c r="A50" s="56" t="s">
        <v>325</v>
      </c>
      <c r="B50" s="59" t="s">
        <v>386</v>
      </c>
      <c r="C50" s="60" t="s">
        <v>387</v>
      </c>
      <c r="D50" s="56"/>
      <c r="E50" s="55">
        <v>100000000</v>
      </c>
      <c r="F50" s="55">
        <v>0</v>
      </c>
    </row>
    <row r="51" spans="1:6" ht="25.5">
      <c r="A51" s="56" t="s">
        <v>325</v>
      </c>
      <c r="B51" s="59" t="s">
        <v>388</v>
      </c>
      <c r="C51" s="60" t="s">
        <v>389</v>
      </c>
      <c r="D51" s="56"/>
      <c r="E51" s="55">
        <v>0</v>
      </c>
      <c r="F51" s="55">
        <v>0</v>
      </c>
    </row>
    <row r="52" spans="1:6" ht="25.5">
      <c r="A52" s="56" t="s">
        <v>325</v>
      </c>
      <c r="B52" s="59" t="s">
        <v>390</v>
      </c>
      <c r="C52" s="60" t="s">
        <v>391</v>
      </c>
      <c r="D52" s="56"/>
      <c r="E52" s="55">
        <v>0</v>
      </c>
      <c r="F52" s="55">
        <v>0</v>
      </c>
    </row>
    <row r="53" spans="1:6" ht="25.5">
      <c r="A53" s="56" t="s">
        <v>325</v>
      </c>
      <c r="B53" s="59" t="s">
        <v>392</v>
      </c>
      <c r="C53" s="60" t="s">
        <v>393</v>
      </c>
      <c r="D53" s="56"/>
      <c r="E53" s="55">
        <v>0</v>
      </c>
      <c r="F53" s="55">
        <v>0</v>
      </c>
    </row>
    <row r="54" spans="1:6" ht="25.5">
      <c r="A54" s="56" t="s">
        <v>325</v>
      </c>
      <c r="B54" s="59" t="s">
        <v>394</v>
      </c>
      <c r="C54" s="60" t="s">
        <v>395</v>
      </c>
      <c r="D54" s="56"/>
      <c r="E54" s="55">
        <v>0</v>
      </c>
      <c r="F54" s="55">
        <v>0</v>
      </c>
    </row>
    <row r="55" spans="1:6" ht="25.5">
      <c r="A55" s="56" t="s">
        <v>325</v>
      </c>
      <c r="B55" s="59" t="s">
        <v>396</v>
      </c>
      <c r="C55" s="60" t="s">
        <v>397</v>
      </c>
      <c r="D55" s="56"/>
      <c r="E55" s="55">
        <v>0</v>
      </c>
      <c r="F55" s="55">
        <v>0</v>
      </c>
    </row>
    <row r="56" spans="1:6" ht="25.5">
      <c r="A56" s="56" t="s">
        <v>398</v>
      </c>
      <c r="B56" s="57" t="s">
        <v>399</v>
      </c>
      <c r="C56" s="58" t="s">
        <v>400</v>
      </c>
      <c r="D56" s="56"/>
      <c r="E56" s="55">
        <v>0</v>
      </c>
      <c r="F56" s="55">
        <v>0</v>
      </c>
    </row>
    <row r="57" spans="1:6" s="61" customFormat="1" ht="25.5">
      <c r="A57" s="56" t="s">
        <v>325</v>
      </c>
      <c r="B57" s="59" t="s">
        <v>401</v>
      </c>
      <c r="C57" s="60" t="s">
        <v>402</v>
      </c>
      <c r="D57" s="56"/>
      <c r="E57" s="55">
        <v>0</v>
      </c>
      <c r="F57" s="55">
        <v>0</v>
      </c>
    </row>
    <row r="58" spans="1:6" ht="25.5">
      <c r="A58" s="56" t="s">
        <v>325</v>
      </c>
      <c r="B58" s="59" t="s">
        <v>403</v>
      </c>
      <c r="C58" s="60" t="s">
        <v>404</v>
      </c>
      <c r="D58" s="56"/>
      <c r="E58" s="55">
        <v>0</v>
      </c>
      <c r="F58" s="55">
        <v>0</v>
      </c>
    </row>
    <row r="59" spans="1:6" ht="25.5">
      <c r="A59" s="56" t="s">
        <v>325</v>
      </c>
      <c r="B59" s="59" t="s">
        <v>405</v>
      </c>
      <c r="C59" s="60" t="s">
        <v>406</v>
      </c>
      <c r="D59" s="56"/>
      <c r="E59" s="55">
        <v>0</v>
      </c>
      <c r="F59" s="55">
        <v>0</v>
      </c>
    </row>
    <row r="60" spans="1:6" ht="25.5">
      <c r="A60" s="56" t="s">
        <v>407</v>
      </c>
      <c r="B60" s="57" t="s">
        <v>408</v>
      </c>
      <c r="C60" s="58" t="s">
        <v>409</v>
      </c>
      <c r="D60" s="56"/>
      <c r="E60" s="55">
        <v>0</v>
      </c>
      <c r="F60" s="55">
        <v>0</v>
      </c>
    </row>
    <row r="61" spans="1:6" ht="25.5">
      <c r="A61" s="13" t="s">
        <v>325</v>
      </c>
      <c r="B61" s="54" t="s">
        <v>311</v>
      </c>
      <c r="C61" s="8" t="s">
        <v>410</v>
      </c>
      <c r="D61" s="22"/>
      <c r="E61" s="22">
        <v>366914357970</v>
      </c>
      <c r="F61" s="22">
        <v>362073435726</v>
      </c>
    </row>
    <row r="62" spans="1:6" ht="25.5">
      <c r="A62" s="13" t="s">
        <v>22</v>
      </c>
      <c r="B62" s="54" t="s">
        <v>411</v>
      </c>
      <c r="C62" s="8" t="s">
        <v>22</v>
      </c>
      <c r="D62" s="22"/>
      <c r="E62" s="22"/>
      <c r="F62" s="22"/>
    </row>
    <row r="63" spans="1:6" ht="25.5">
      <c r="A63" s="56" t="s">
        <v>319</v>
      </c>
      <c r="B63" s="57" t="s">
        <v>412</v>
      </c>
      <c r="C63" s="58" t="s">
        <v>413</v>
      </c>
      <c r="D63" s="56"/>
      <c r="E63" s="55">
        <v>0</v>
      </c>
      <c r="F63" s="55">
        <v>0</v>
      </c>
    </row>
    <row r="64" spans="1:6" ht="25.5">
      <c r="A64" s="56" t="s">
        <v>325</v>
      </c>
      <c r="B64" s="59" t="s">
        <v>414</v>
      </c>
      <c r="C64" s="60" t="s">
        <v>415</v>
      </c>
      <c r="D64" s="56"/>
      <c r="E64" s="55">
        <v>0</v>
      </c>
      <c r="F64" s="55">
        <v>0</v>
      </c>
    </row>
    <row r="65" spans="1:6" ht="25.5">
      <c r="A65" s="56" t="s">
        <v>325</v>
      </c>
      <c r="B65" s="59" t="s">
        <v>416</v>
      </c>
      <c r="C65" s="60" t="s">
        <v>417</v>
      </c>
      <c r="D65" s="56"/>
      <c r="E65" s="55">
        <v>0</v>
      </c>
      <c r="F65" s="55">
        <v>0</v>
      </c>
    </row>
    <row r="66" spans="1:6" ht="25.5">
      <c r="A66" s="56" t="s">
        <v>336</v>
      </c>
      <c r="B66" s="57" t="s">
        <v>418</v>
      </c>
      <c r="C66" s="58" t="s">
        <v>419</v>
      </c>
      <c r="D66" s="56"/>
      <c r="E66" s="55">
        <v>15023785000</v>
      </c>
      <c r="F66" s="55">
        <v>5038140000</v>
      </c>
    </row>
    <row r="67" spans="1:6" ht="25.5">
      <c r="A67" s="56" t="s">
        <v>359</v>
      </c>
      <c r="B67" s="57" t="s">
        <v>420</v>
      </c>
      <c r="C67" s="58" t="s">
        <v>421</v>
      </c>
      <c r="D67" s="56"/>
      <c r="E67" s="55">
        <v>50682519</v>
      </c>
      <c r="F67" s="55">
        <v>57544566</v>
      </c>
    </row>
    <row r="68" spans="1:6" ht="25.5">
      <c r="A68" s="56" t="s">
        <v>325</v>
      </c>
      <c r="B68" s="59" t="s">
        <v>422</v>
      </c>
      <c r="C68" s="60" t="s">
        <v>423</v>
      </c>
      <c r="D68" s="56"/>
      <c r="E68" s="55">
        <v>0</v>
      </c>
      <c r="F68" s="55">
        <v>0</v>
      </c>
    </row>
    <row r="69" spans="1:6" ht="25.5">
      <c r="A69" s="56" t="s">
        <v>325</v>
      </c>
      <c r="B69" s="59" t="s">
        <v>424</v>
      </c>
      <c r="C69" s="60" t="s">
        <v>425</v>
      </c>
      <c r="D69" s="56"/>
      <c r="E69" s="55">
        <v>50682519</v>
      </c>
      <c r="F69" s="55">
        <v>57544566</v>
      </c>
    </row>
    <row r="70" spans="1:6" ht="25.5">
      <c r="A70" s="56" t="s">
        <v>426</v>
      </c>
      <c r="B70" s="57" t="s">
        <v>427</v>
      </c>
      <c r="C70" s="58" t="s">
        <v>428</v>
      </c>
      <c r="D70" s="56"/>
      <c r="E70" s="55">
        <v>5352486</v>
      </c>
      <c r="F70" s="55">
        <v>5591827</v>
      </c>
    </row>
    <row r="71" spans="1:6" ht="25.5">
      <c r="A71" s="56" t="s">
        <v>429</v>
      </c>
      <c r="B71" s="57" t="s">
        <v>430</v>
      </c>
      <c r="C71" s="58" t="s">
        <v>431</v>
      </c>
      <c r="D71" s="56"/>
      <c r="E71" s="55">
        <v>83000000</v>
      </c>
      <c r="F71" s="55">
        <v>83000000</v>
      </c>
    </row>
    <row r="72" spans="1:6" ht="25.5">
      <c r="A72" s="56" t="s">
        <v>432</v>
      </c>
      <c r="B72" s="57" t="s">
        <v>433</v>
      </c>
      <c r="C72" s="58" t="s">
        <v>434</v>
      </c>
      <c r="D72" s="56"/>
      <c r="E72" s="55">
        <v>103645218</v>
      </c>
      <c r="F72" s="55">
        <v>155608720</v>
      </c>
    </row>
    <row r="73" spans="1:6" ht="25.5">
      <c r="A73" s="56" t="s">
        <v>325</v>
      </c>
      <c r="B73" s="59" t="s">
        <v>314</v>
      </c>
      <c r="C73" s="60" t="s">
        <v>435</v>
      </c>
      <c r="D73" s="56"/>
      <c r="E73" s="55">
        <v>33705492</v>
      </c>
      <c r="F73" s="55">
        <v>12593925</v>
      </c>
    </row>
    <row r="74" spans="1:6" ht="25.5">
      <c r="A74" s="56" t="s">
        <v>325</v>
      </c>
      <c r="B74" s="59" t="s">
        <v>436</v>
      </c>
      <c r="C74" s="60" t="s">
        <v>437</v>
      </c>
      <c r="D74" s="56"/>
      <c r="E74" s="55">
        <v>33705492</v>
      </c>
      <c r="F74" s="55">
        <v>12593925</v>
      </c>
    </row>
    <row r="75" spans="1:6" ht="25.5">
      <c r="A75" s="56" t="s">
        <v>325</v>
      </c>
      <c r="B75" s="59" t="s">
        <v>438</v>
      </c>
      <c r="C75" s="60" t="s">
        <v>439</v>
      </c>
      <c r="D75" s="56"/>
      <c r="E75" s="55">
        <v>0</v>
      </c>
      <c r="F75" s="55">
        <v>0</v>
      </c>
    </row>
    <row r="76" spans="1:6" ht="25.5">
      <c r="A76" s="56" t="s">
        <v>325</v>
      </c>
      <c r="B76" s="59" t="s">
        <v>440</v>
      </c>
      <c r="C76" s="60" t="s">
        <v>441</v>
      </c>
      <c r="D76" s="56"/>
      <c r="E76" s="55">
        <v>59309589</v>
      </c>
      <c r="F76" s="55">
        <v>133042192</v>
      </c>
    </row>
    <row r="77" spans="1:6" ht="25.5">
      <c r="A77" s="56" t="s">
        <v>325</v>
      </c>
      <c r="B77" s="59" t="s">
        <v>442</v>
      </c>
      <c r="C77" s="60" t="s">
        <v>443</v>
      </c>
      <c r="D77" s="56"/>
      <c r="E77" s="55">
        <v>0</v>
      </c>
      <c r="F77" s="55">
        <v>0</v>
      </c>
    </row>
    <row r="78" spans="1:6" ht="25.5">
      <c r="A78" s="56" t="s">
        <v>325</v>
      </c>
      <c r="B78" s="59" t="s">
        <v>444</v>
      </c>
      <c r="C78" s="60" t="s">
        <v>445</v>
      </c>
      <c r="D78" s="56"/>
      <c r="E78" s="55">
        <v>0</v>
      </c>
      <c r="F78" s="55">
        <v>0</v>
      </c>
    </row>
    <row r="79" spans="1:6" ht="25.5">
      <c r="A79" s="56" t="s">
        <v>325</v>
      </c>
      <c r="B79" s="59" t="s">
        <v>446</v>
      </c>
      <c r="C79" s="60" t="s">
        <v>447</v>
      </c>
      <c r="D79" s="56"/>
      <c r="E79" s="55">
        <v>10630137</v>
      </c>
      <c r="F79" s="55">
        <v>9972603</v>
      </c>
    </row>
    <row r="80" spans="1:6" ht="25.5">
      <c r="A80" s="56" t="s">
        <v>325</v>
      </c>
      <c r="B80" s="59" t="s">
        <v>448</v>
      </c>
      <c r="C80" s="60" t="s">
        <v>449</v>
      </c>
      <c r="D80" s="56"/>
      <c r="E80" s="55">
        <v>0</v>
      </c>
      <c r="F80" s="55">
        <v>0</v>
      </c>
    </row>
    <row r="81" spans="1:6" ht="25.5">
      <c r="A81" s="56" t="s">
        <v>325</v>
      </c>
      <c r="B81" s="59" t="s">
        <v>450</v>
      </c>
      <c r="C81" s="60" t="s">
        <v>451</v>
      </c>
      <c r="D81" s="56"/>
      <c r="E81" s="55">
        <v>0</v>
      </c>
      <c r="F81" s="55">
        <v>0</v>
      </c>
    </row>
    <row r="82" spans="1:6" ht="25.5">
      <c r="A82" s="56" t="s">
        <v>452</v>
      </c>
      <c r="B82" s="57" t="s">
        <v>453</v>
      </c>
      <c r="C82" s="58" t="s">
        <v>454</v>
      </c>
      <c r="D82" s="56"/>
      <c r="E82" s="55">
        <v>234260398</v>
      </c>
      <c r="F82" s="55">
        <v>181812445</v>
      </c>
    </row>
    <row r="83" spans="1:6" ht="25.5">
      <c r="A83" s="56" t="s">
        <v>325</v>
      </c>
      <c r="B83" s="59" t="s">
        <v>312</v>
      </c>
      <c r="C83" s="60" t="s">
        <v>455</v>
      </c>
      <c r="D83" s="56"/>
      <c r="E83" s="55">
        <v>234260398</v>
      </c>
      <c r="F83" s="55">
        <v>181812445</v>
      </c>
    </row>
    <row r="84" spans="1:6" ht="25.5">
      <c r="A84" s="56" t="s">
        <v>325</v>
      </c>
      <c r="B84" s="59" t="s">
        <v>313</v>
      </c>
      <c r="C84" s="60" t="s">
        <v>456</v>
      </c>
      <c r="D84" s="56"/>
      <c r="E84" s="55">
        <v>0</v>
      </c>
      <c r="F84" s="55">
        <v>0</v>
      </c>
    </row>
    <row r="85" spans="1:6" ht="25.5">
      <c r="A85" s="56" t="s">
        <v>457</v>
      </c>
      <c r="B85" s="57" t="s">
        <v>458</v>
      </c>
      <c r="C85" s="58" t="s">
        <v>459</v>
      </c>
      <c r="D85" s="56"/>
      <c r="E85" s="55">
        <v>137864145</v>
      </c>
      <c r="F85" s="55">
        <v>559448234</v>
      </c>
    </row>
    <row r="86" spans="1:6" ht="25.5">
      <c r="A86" s="56" t="s">
        <v>460</v>
      </c>
      <c r="B86" s="57" t="s">
        <v>461</v>
      </c>
      <c r="C86" s="58" t="s">
        <v>462</v>
      </c>
      <c r="D86" s="56"/>
      <c r="E86" s="55">
        <v>635437249</v>
      </c>
      <c r="F86" s="55">
        <v>657110048</v>
      </c>
    </row>
    <row r="87" spans="1:6" ht="25.5">
      <c r="A87" s="56" t="s">
        <v>325</v>
      </c>
      <c r="B87" s="59" t="s">
        <v>463</v>
      </c>
      <c r="C87" s="60" t="s">
        <v>464</v>
      </c>
      <c r="D87" s="56"/>
      <c r="E87" s="55">
        <v>553910448</v>
      </c>
      <c r="F87" s="55">
        <v>577731733</v>
      </c>
    </row>
    <row r="88" spans="1:6" ht="25.5">
      <c r="A88" s="56" t="s">
        <v>325</v>
      </c>
      <c r="B88" s="59" t="s">
        <v>465</v>
      </c>
      <c r="C88" s="60" t="s">
        <v>466</v>
      </c>
      <c r="D88" s="56"/>
      <c r="E88" s="55">
        <v>33500000</v>
      </c>
      <c r="F88" s="55">
        <v>31000000</v>
      </c>
    </row>
    <row r="89" spans="1:6" ht="25.5">
      <c r="A89" s="56" t="s">
        <v>325</v>
      </c>
      <c r="B89" s="59" t="s">
        <v>23</v>
      </c>
      <c r="C89" s="60" t="s">
        <v>467</v>
      </c>
      <c r="D89" s="56"/>
      <c r="E89" s="55">
        <v>22000000</v>
      </c>
      <c r="F89" s="55">
        <v>22000000</v>
      </c>
    </row>
    <row r="90" spans="1:6" ht="25.5">
      <c r="A90" s="56" t="s">
        <v>325</v>
      </c>
      <c r="B90" s="59" t="s">
        <v>35</v>
      </c>
      <c r="C90" s="60" t="s">
        <v>468</v>
      </c>
      <c r="D90" s="56"/>
      <c r="E90" s="55">
        <v>11500000</v>
      </c>
      <c r="F90" s="55">
        <v>9000000</v>
      </c>
    </row>
    <row r="91" spans="1:6" ht="25.5">
      <c r="A91" s="56" t="s">
        <v>325</v>
      </c>
      <c r="B91" s="59" t="s">
        <v>277</v>
      </c>
      <c r="C91" s="60" t="s">
        <v>469</v>
      </c>
      <c r="D91" s="56"/>
      <c r="E91" s="55">
        <v>0</v>
      </c>
      <c r="F91" s="55">
        <v>0</v>
      </c>
    </row>
    <row r="92" spans="1:6" ht="25.5">
      <c r="A92" s="56" t="s">
        <v>325</v>
      </c>
      <c r="B92" s="59" t="s">
        <v>470</v>
      </c>
      <c r="C92" s="60" t="s">
        <v>471</v>
      </c>
      <c r="D92" s="56"/>
      <c r="E92" s="55">
        <v>9526801</v>
      </c>
      <c r="F92" s="55">
        <v>9878315</v>
      </c>
    </row>
    <row r="93" spans="1:6" ht="25.5">
      <c r="A93" s="56" t="s">
        <v>325</v>
      </c>
      <c r="B93" s="59" t="s">
        <v>472</v>
      </c>
      <c r="C93" s="60" t="s">
        <v>473</v>
      </c>
      <c r="D93" s="56"/>
      <c r="E93" s="55">
        <v>25300000</v>
      </c>
      <c r="F93" s="55">
        <v>25300000</v>
      </c>
    </row>
    <row r="94" spans="1:6" ht="25.5">
      <c r="A94" s="56" t="s">
        <v>325</v>
      </c>
      <c r="B94" s="59" t="s">
        <v>474</v>
      </c>
      <c r="C94" s="60" t="s">
        <v>475</v>
      </c>
      <c r="D94" s="56"/>
      <c r="E94" s="55">
        <v>13200000</v>
      </c>
      <c r="F94" s="55">
        <v>13200000</v>
      </c>
    </row>
    <row r="95" spans="1:6" ht="25.5">
      <c r="A95" s="56" t="s">
        <v>325</v>
      </c>
      <c r="B95" s="59" t="s">
        <v>476</v>
      </c>
      <c r="C95" s="60" t="s">
        <v>477</v>
      </c>
      <c r="D95" s="56"/>
      <c r="E95" s="55">
        <v>0</v>
      </c>
      <c r="F95" s="55">
        <v>0</v>
      </c>
    </row>
    <row r="96" spans="1:6" ht="25.5">
      <c r="A96" s="56" t="s">
        <v>325</v>
      </c>
      <c r="B96" s="59" t="s">
        <v>478</v>
      </c>
      <c r="C96" s="60" t="s">
        <v>479</v>
      </c>
      <c r="D96" s="56"/>
      <c r="E96" s="55">
        <v>0</v>
      </c>
      <c r="F96" s="55">
        <v>0</v>
      </c>
    </row>
    <row r="97" spans="1:6" ht="25.5">
      <c r="A97" s="56" t="s">
        <v>164</v>
      </c>
      <c r="B97" s="57" t="s">
        <v>480</v>
      </c>
      <c r="C97" s="58" t="s">
        <v>481</v>
      </c>
      <c r="D97" s="56"/>
      <c r="E97" s="55">
        <v>9657003</v>
      </c>
      <c r="F97" s="55">
        <v>9040565</v>
      </c>
    </row>
    <row r="98" spans="1:6" ht="25.5">
      <c r="A98" s="56" t="s">
        <v>325</v>
      </c>
      <c r="B98" s="59" t="s">
        <v>316</v>
      </c>
      <c r="C98" s="60" t="s">
        <v>482</v>
      </c>
      <c r="D98" s="56"/>
      <c r="E98" s="55">
        <v>0</v>
      </c>
      <c r="F98" s="55">
        <v>0</v>
      </c>
    </row>
    <row r="99" spans="1:6" ht="25.5">
      <c r="A99" s="56" t="s">
        <v>325</v>
      </c>
      <c r="B99" s="59" t="s">
        <v>317</v>
      </c>
      <c r="C99" s="60" t="s">
        <v>483</v>
      </c>
      <c r="D99" s="56"/>
      <c r="E99" s="55">
        <v>0</v>
      </c>
      <c r="F99" s="55">
        <v>0</v>
      </c>
    </row>
    <row r="100" spans="1:6" ht="25.5">
      <c r="A100" s="56" t="s">
        <v>325</v>
      </c>
      <c r="B100" s="59" t="s">
        <v>484</v>
      </c>
      <c r="C100" s="60" t="s">
        <v>485</v>
      </c>
      <c r="D100" s="56"/>
      <c r="E100" s="55">
        <v>2465753</v>
      </c>
      <c r="F100" s="55">
        <v>1849315</v>
      </c>
    </row>
    <row r="101" spans="1:6" ht="25.5">
      <c r="A101" s="56" t="s">
        <v>325</v>
      </c>
      <c r="B101" s="59" t="s">
        <v>486</v>
      </c>
      <c r="C101" s="60" t="s">
        <v>487</v>
      </c>
      <c r="D101" s="56"/>
      <c r="E101" s="55">
        <v>7191250</v>
      </c>
      <c r="F101" s="55">
        <v>7191250</v>
      </c>
    </row>
    <row r="102" spans="1:6" ht="25.5">
      <c r="A102" s="56" t="s">
        <v>325</v>
      </c>
      <c r="B102" s="59" t="s">
        <v>315</v>
      </c>
      <c r="C102" s="60" t="s">
        <v>488</v>
      </c>
      <c r="D102" s="56"/>
      <c r="E102" s="55">
        <v>0</v>
      </c>
      <c r="F102" s="55">
        <v>0</v>
      </c>
    </row>
    <row r="103" spans="1:6" ht="25.5">
      <c r="A103" s="13" t="s">
        <v>325</v>
      </c>
      <c r="B103" s="54" t="s">
        <v>489</v>
      </c>
      <c r="C103" s="8" t="s">
        <v>490</v>
      </c>
      <c r="D103" s="22"/>
      <c r="E103" s="22">
        <v>16283684018</v>
      </c>
      <c r="F103" s="22">
        <v>6747296405</v>
      </c>
    </row>
    <row r="104" spans="1:6" ht="38.25">
      <c r="A104" s="13" t="s">
        <v>26</v>
      </c>
      <c r="B104" s="54" t="s">
        <v>491</v>
      </c>
      <c r="C104" s="8" t="s">
        <v>492</v>
      </c>
      <c r="D104" s="22"/>
      <c r="E104" s="22">
        <v>350630673952</v>
      </c>
      <c r="F104" s="22">
        <v>355326139321</v>
      </c>
    </row>
    <row r="105" spans="1:6" ht="25.5">
      <c r="A105" s="56" t="s">
        <v>319</v>
      </c>
      <c r="B105" s="57" t="s">
        <v>493</v>
      </c>
      <c r="C105" s="58" t="s">
        <v>494</v>
      </c>
      <c r="D105" s="56"/>
      <c r="E105" s="55">
        <v>167470777400</v>
      </c>
      <c r="F105" s="55">
        <v>168310127300</v>
      </c>
    </row>
    <row r="106" spans="1:6" ht="25.5">
      <c r="A106" s="56" t="s">
        <v>322</v>
      </c>
      <c r="B106" s="57" t="s">
        <v>495</v>
      </c>
      <c r="C106" s="58" t="s">
        <v>496</v>
      </c>
      <c r="D106" s="56"/>
      <c r="E106" s="55">
        <v>2867214234100</v>
      </c>
      <c r="F106" s="55">
        <v>2865269247600</v>
      </c>
    </row>
    <row r="107" spans="1:6" ht="25.5">
      <c r="A107" s="56" t="s">
        <v>333</v>
      </c>
      <c r="B107" s="57" t="s">
        <v>497</v>
      </c>
      <c r="C107" s="58" t="s">
        <v>498</v>
      </c>
      <c r="D107" s="56"/>
      <c r="E107" s="55">
        <v>-2699743456700</v>
      </c>
      <c r="F107" s="55">
        <v>-2696959120300</v>
      </c>
    </row>
    <row r="108" spans="1:6" ht="25.5">
      <c r="A108" s="56" t="s">
        <v>336</v>
      </c>
      <c r="B108" s="57" t="s">
        <v>499</v>
      </c>
      <c r="C108" s="58" t="s">
        <v>500</v>
      </c>
      <c r="D108" s="56"/>
      <c r="E108" s="55">
        <v>148021732734</v>
      </c>
      <c r="F108" s="55">
        <v>149014331513</v>
      </c>
    </row>
    <row r="109" spans="1:6" ht="25.5">
      <c r="A109" s="56" t="s">
        <v>359</v>
      </c>
      <c r="B109" s="57" t="s">
        <v>501</v>
      </c>
      <c r="C109" s="58" t="s">
        <v>502</v>
      </c>
      <c r="D109" s="56"/>
      <c r="E109" s="55">
        <v>35138163818</v>
      </c>
      <c r="F109" s="55">
        <v>38001680508</v>
      </c>
    </row>
    <row r="110" spans="1:6" ht="25.5">
      <c r="A110" s="56" t="s">
        <v>362</v>
      </c>
      <c r="B110" s="57" t="s">
        <v>503</v>
      </c>
      <c r="C110" s="58" t="s">
        <v>504</v>
      </c>
      <c r="D110" s="56"/>
      <c r="E110" s="55">
        <v>38001680508</v>
      </c>
      <c r="F110" s="55">
        <v>25116741030</v>
      </c>
    </row>
    <row r="111" spans="1:6" ht="25.5">
      <c r="A111" s="56" t="s">
        <v>367</v>
      </c>
      <c r="B111" s="57" t="s">
        <v>505</v>
      </c>
      <c r="C111" s="58" t="s">
        <v>506</v>
      </c>
      <c r="D111" s="56"/>
      <c r="E111" s="55">
        <v>-2863516690</v>
      </c>
      <c r="F111" s="55">
        <v>12884939478</v>
      </c>
    </row>
    <row r="112" spans="1:6" ht="25.5">
      <c r="A112" s="13" t="s">
        <v>27</v>
      </c>
      <c r="B112" s="54" t="s">
        <v>507</v>
      </c>
      <c r="C112" s="8" t="s">
        <v>508</v>
      </c>
      <c r="D112" s="22"/>
      <c r="E112" s="65">
        <v>20936.82</v>
      </c>
      <c r="F112" s="65">
        <v>21111.39</v>
      </c>
    </row>
    <row r="113" spans="1:6" ht="25.5">
      <c r="A113" s="13" t="s">
        <v>28</v>
      </c>
      <c r="B113" s="54" t="s">
        <v>509</v>
      </c>
      <c r="C113" s="8" t="s">
        <v>510</v>
      </c>
      <c r="D113" s="22"/>
      <c r="E113" s="22">
        <v>0</v>
      </c>
      <c r="F113" s="22">
        <v>0</v>
      </c>
    </row>
    <row r="114" spans="1:6" ht="25.5">
      <c r="A114" s="56" t="s">
        <v>319</v>
      </c>
      <c r="B114" s="57" t="s">
        <v>511</v>
      </c>
      <c r="C114" s="58" t="s">
        <v>512</v>
      </c>
      <c r="D114" s="56"/>
      <c r="E114" s="55">
        <v>0</v>
      </c>
      <c r="F114" s="55">
        <v>0</v>
      </c>
    </row>
    <row r="115" spans="1:6" ht="25.5">
      <c r="A115" s="56" t="s">
        <v>336</v>
      </c>
      <c r="B115" s="57" t="s">
        <v>513</v>
      </c>
      <c r="C115" s="58" t="s">
        <v>514</v>
      </c>
      <c r="D115" s="56"/>
      <c r="E115" s="55">
        <v>0</v>
      </c>
      <c r="F115" s="55">
        <v>0</v>
      </c>
    </row>
    <row r="116" spans="1:6" ht="25.5">
      <c r="A116" s="13" t="s">
        <v>29</v>
      </c>
      <c r="B116" s="54" t="s">
        <v>515</v>
      </c>
      <c r="C116" s="8" t="s">
        <v>29</v>
      </c>
      <c r="D116" s="22"/>
      <c r="E116" s="22"/>
      <c r="F116" s="22"/>
    </row>
    <row r="117" spans="1:6" ht="25.5">
      <c r="A117" s="56" t="s">
        <v>319</v>
      </c>
      <c r="B117" s="57" t="s">
        <v>516</v>
      </c>
      <c r="C117" s="58" t="s">
        <v>517</v>
      </c>
      <c r="D117" s="56"/>
      <c r="E117" s="55">
        <v>0</v>
      </c>
      <c r="F117" s="55">
        <v>0</v>
      </c>
    </row>
    <row r="118" spans="1:6" ht="25.5">
      <c r="A118" s="56" t="s">
        <v>336</v>
      </c>
      <c r="B118" s="57" t="s">
        <v>518</v>
      </c>
      <c r="C118" s="58" t="s">
        <v>519</v>
      </c>
      <c r="D118" s="56"/>
      <c r="E118" s="55">
        <v>0</v>
      </c>
      <c r="F118" s="55">
        <v>0</v>
      </c>
    </row>
    <row r="119" spans="1:6" ht="25.5">
      <c r="A119" s="56" t="s">
        <v>359</v>
      </c>
      <c r="B119" s="57" t="s">
        <v>520</v>
      </c>
      <c r="C119" s="58" t="s">
        <v>521</v>
      </c>
      <c r="D119" s="56"/>
      <c r="E119" s="55">
        <v>0</v>
      </c>
      <c r="F119" s="55">
        <v>0</v>
      </c>
    </row>
    <row r="120" spans="1:6" ht="25.5">
      <c r="A120" s="62" t="s">
        <v>426</v>
      </c>
      <c r="B120" s="63" t="s">
        <v>522</v>
      </c>
      <c r="C120" s="58" t="s">
        <v>523</v>
      </c>
      <c r="D120" s="62"/>
      <c r="E120" s="64">
        <v>16747077.74</v>
      </c>
      <c r="F120" s="64">
        <v>16831012.73</v>
      </c>
    </row>
    <row r="121" spans="1:6" s="37" customFormat="1">
      <c r="A121" s="12"/>
      <c r="B121" s="12"/>
      <c r="C121" s="12"/>
      <c r="D121" s="12"/>
      <c r="E121" s="12"/>
      <c r="F121" s="12"/>
    </row>
    <row r="123" spans="1:6" ht="16.899999999999999" customHeight="1">
      <c r="A123" s="210" t="s">
        <v>233</v>
      </c>
      <c r="B123" s="210"/>
      <c r="C123" s="210" t="s">
        <v>234</v>
      </c>
      <c r="D123" s="210"/>
      <c r="E123" s="210"/>
      <c r="F123" s="210"/>
    </row>
    <row r="136" spans="1:6">
      <c r="A136" s="220" t="s">
        <v>529</v>
      </c>
      <c r="B136" s="220"/>
      <c r="C136" s="220" t="s">
        <v>530</v>
      </c>
      <c r="D136" s="220"/>
      <c r="E136" s="220"/>
      <c r="F136" s="12" t="s">
        <v>531</v>
      </c>
    </row>
    <row r="137" spans="1:6" ht="16.899999999999999" customHeight="1">
      <c r="A137" s="219" t="s">
        <v>1152</v>
      </c>
      <c r="B137" s="219"/>
      <c r="C137" s="219" t="s">
        <v>1153</v>
      </c>
      <c r="D137" s="219"/>
      <c r="E137" s="219"/>
      <c r="F137" s="150" t="s">
        <v>1142</v>
      </c>
    </row>
    <row r="138" spans="1:6" ht="16.899999999999999" customHeight="1">
      <c r="A138" s="220" t="s">
        <v>1154</v>
      </c>
      <c r="B138" s="220"/>
      <c r="C138" s="220" t="s">
        <v>1155</v>
      </c>
      <c r="D138" s="220"/>
      <c r="E138" s="220"/>
      <c r="F138" s="151" t="s">
        <v>1144</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6"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tabSelected="1" view="pageBreakPreview" topLeftCell="A16" zoomScaleNormal="85" zoomScaleSheetLayoutView="100" workbookViewId="0">
      <selection activeCell="G36" sqref="G36"/>
    </sheetView>
  </sheetViews>
  <sheetFormatPr defaultColWidth="9.140625" defaultRowHeight="12.75"/>
  <cols>
    <col min="1" max="1" width="4.85546875" style="161" customWidth="1"/>
    <col min="2" max="2" width="34.42578125" style="158" customWidth="1"/>
    <col min="3" max="3" width="14.42578125" style="158" customWidth="1"/>
    <col min="4" max="4" width="11.85546875" style="158" customWidth="1"/>
    <col min="5" max="5" width="12.28515625" style="158" customWidth="1"/>
    <col min="6" max="6" width="12.5703125" style="158" customWidth="1"/>
    <col min="7" max="7" width="16.42578125" style="158" customWidth="1"/>
    <col min="8" max="9" width="19" style="158" customWidth="1"/>
    <col min="10" max="10" width="43.5703125" style="158" customWidth="1"/>
    <col min="11" max="16384" width="9.140625" style="158"/>
  </cols>
  <sheetData>
    <row r="1" spans="1:10" s="157" customFormat="1" ht="46.5" customHeight="1">
      <c r="A1" s="225" t="s">
        <v>583</v>
      </c>
      <c r="B1" s="225"/>
      <c r="C1" s="225"/>
      <c r="D1" s="225"/>
      <c r="E1" s="225"/>
      <c r="F1" s="225"/>
      <c r="G1" s="225"/>
      <c r="H1" s="225"/>
      <c r="I1" s="225"/>
      <c r="J1" s="225"/>
    </row>
    <row r="2" spans="1:10" ht="48.95" customHeight="1">
      <c r="A2" s="226" t="s">
        <v>585</v>
      </c>
      <c r="B2" s="226"/>
      <c r="C2" s="226"/>
      <c r="D2" s="226"/>
      <c r="E2" s="226"/>
      <c r="F2" s="226"/>
      <c r="G2" s="226"/>
      <c r="H2" s="226"/>
      <c r="I2" s="226"/>
      <c r="J2" s="226"/>
    </row>
    <row r="3" spans="1:10" ht="19.149999999999999" customHeight="1">
      <c r="A3" s="227" t="s">
        <v>532</v>
      </c>
      <c r="B3" s="227"/>
      <c r="C3" s="227"/>
      <c r="D3" s="227"/>
      <c r="E3" s="227"/>
      <c r="F3" s="227"/>
      <c r="G3" s="227"/>
      <c r="H3" s="227"/>
      <c r="I3" s="227"/>
      <c r="J3" s="227"/>
    </row>
    <row r="4" spans="1:10" ht="21.6" customHeight="1">
      <c r="A4" s="227"/>
      <c r="B4" s="227"/>
      <c r="C4" s="227"/>
      <c r="D4" s="227"/>
      <c r="E4" s="227"/>
      <c r="F4" s="227"/>
      <c r="G4" s="227"/>
      <c r="H4" s="227"/>
      <c r="I4" s="227"/>
      <c r="J4" s="227"/>
    </row>
    <row r="5" spans="1:10">
      <c r="A5" s="228" t="str">
        <f>TONGQUAN!C2</f>
        <v>Tháng 04 năm 2023
/ Apr 2023</v>
      </c>
      <c r="B5" s="228"/>
      <c r="C5" s="228"/>
      <c r="D5" s="228"/>
      <c r="E5" s="228"/>
      <c r="F5" s="228"/>
      <c r="G5" s="228"/>
      <c r="H5" s="228"/>
      <c r="I5" s="228"/>
      <c r="J5" s="228"/>
    </row>
    <row r="6" spans="1:10">
      <c r="A6" s="153"/>
      <c r="B6" s="153"/>
      <c r="C6" s="153"/>
      <c r="D6" s="153"/>
      <c r="E6" s="153"/>
      <c r="F6" s="68"/>
      <c r="G6" s="159"/>
      <c r="H6" s="159"/>
      <c r="I6" s="159"/>
      <c r="J6" s="159"/>
    </row>
    <row r="7" spans="1:10">
      <c r="A7" s="229" t="s">
        <v>2</v>
      </c>
      <c r="B7" s="230"/>
      <c r="C7" s="159"/>
      <c r="D7" s="159"/>
      <c r="E7" s="159"/>
      <c r="F7" s="159"/>
      <c r="G7" s="231" t="str">
        <f>TONGQUAN!D5</f>
        <v>Công ty Cổ phần Quản lý Quỹ Đầu tư Dragon Capital Việt Nam</v>
      </c>
      <c r="H7" s="231"/>
      <c r="I7" s="231"/>
      <c r="J7" s="231"/>
    </row>
    <row r="8" spans="1:10" ht="15" customHeight="1">
      <c r="A8" s="232" t="s">
        <v>15</v>
      </c>
      <c r="B8" s="232"/>
      <c r="C8" s="159"/>
      <c r="D8" s="159"/>
      <c r="E8" s="159"/>
      <c r="F8" s="159"/>
      <c r="G8" s="233" t="str">
        <f>TONGQUAN!D6</f>
        <v>Dragon Capital Vietfund Management Joint Stock Company</v>
      </c>
      <c r="H8" s="233"/>
      <c r="I8" s="233"/>
      <c r="J8" s="233"/>
    </row>
    <row r="9" spans="1:10">
      <c r="A9" s="234" t="s">
        <v>3</v>
      </c>
      <c r="B9" s="235"/>
      <c r="C9" s="159"/>
      <c r="D9" s="159"/>
      <c r="E9" s="159"/>
      <c r="F9" s="159"/>
      <c r="G9" s="236" t="str">
        <f>TONGQUAN!D7</f>
        <v>Ngân hàng TNHH Một thành viên Standard Chartered (Việt Nam)</v>
      </c>
      <c r="H9" s="236"/>
      <c r="I9" s="236"/>
      <c r="J9" s="236"/>
    </row>
    <row r="10" spans="1:10" ht="15" customHeight="1">
      <c r="A10" s="235" t="s">
        <v>4</v>
      </c>
      <c r="B10" s="235"/>
      <c r="C10" s="159"/>
      <c r="D10" s="159"/>
      <c r="E10" s="159"/>
      <c r="F10" s="159"/>
      <c r="G10" s="233" t="str">
        <f>TONGQUAN!D8</f>
        <v>Standard Chartered Bank (Vietnam) Limited</v>
      </c>
      <c r="H10" s="233"/>
      <c r="I10" s="233"/>
      <c r="J10" s="233"/>
    </row>
    <row r="11" spans="1:10" ht="15" customHeight="1">
      <c r="A11" s="234" t="s">
        <v>5</v>
      </c>
      <c r="B11" s="237"/>
      <c r="C11" s="159"/>
      <c r="D11" s="159"/>
      <c r="E11" s="159"/>
      <c r="F11" s="159"/>
      <c r="G11" s="231" t="str">
        <f>TONGQUAN!D9</f>
        <v>Quỹ Đầu tư Doanh nghiệp Hàng đầu DC</v>
      </c>
      <c r="H11" s="231"/>
      <c r="I11" s="231"/>
      <c r="J11" s="231"/>
    </row>
    <row r="12" spans="1:10" ht="15" customHeight="1">
      <c r="A12" s="69" t="s">
        <v>524</v>
      </c>
      <c r="B12" s="154"/>
      <c r="C12" s="159"/>
      <c r="D12" s="159"/>
      <c r="E12" s="159"/>
      <c r="F12" s="159"/>
      <c r="G12" s="233" t="str">
        <f>TONGQUAN!D10</f>
        <v>DC Blue Chip Fund(DCBC)</v>
      </c>
      <c r="H12" s="233"/>
      <c r="I12" s="233"/>
      <c r="J12" s="233"/>
    </row>
    <row r="13" spans="1:10" ht="15" customHeight="1">
      <c r="A13" s="70" t="s">
        <v>7</v>
      </c>
      <c r="B13" s="71"/>
      <c r="C13" s="159"/>
      <c r="D13" s="159"/>
      <c r="E13" s="159"/>
      <c r="F13" s="159"/>
      <c r="G13" s="231" t="str">
        <f>TONGQUAN!D11</f>
        <v>Ngày 05 tháng 05 năm 2023</v>
      </c>
      <c r="H13" s="231"/>
      <c r="I13" s="231"/>
      <c r="J13" s="231"/>
    </row>
    <row r="14" spans="1:10">
      <c r="A14" s="72" t="s">
        <v>8</v>
      </c>
      <c r="B14" s="72"/>
      <c r="C14" s="74"/>
      <c r="D14" s="74"/>
      <c r="E14" s="74"/>
      <c r="F14" s="74"/>
      <c r="G14" s="238" t="str">
        <f>TONGQUAN!D12</f>
        <v>05 May 2023</v>
      </c>
      <c r="H14" s="238"/>
      <c r="I14" s="238"/>
      <c r="J14" s="238"/>
    </row>
    <row r="15" spans="1:10">
      <c r="A15" s="106" t="s">
        <v>581</v>
      </c>
      <c r="B15" s="107" t="s">
        <v>582</v>
      </c>
      <c r="C15" s="74"/>
      <c r="D15" s="74"/>
      <c r="E15" s="74"/>
      <c r="F15" s="74"/>
      <c r="G15" s="155"/>
      <c r="H15" s="155"/>
      <c r="I15" s="155"/>
      <c r="J15" s="155"/>
    </row>
    <row r="16" spans="1:10">
      <c r="A16" s="84" t="s">
        <v>27</v>
      </c>
      <c r="B16" s="85" t="s">
        <v>535</v>
      </c>
      <c r="C16" s="74"/>
      <c r="D16" s="74"/>
      <c r="E16" s="74"/>
      <c r="F16" s="74"/>
      <c r="G16" s="74"/>
      <c r="H16" s="74"/>
      <c r="I16" s="74"/>
      <c r="J16" s="74"/>
    </row>
    <row r="17" spans="1:10" s="73" customFormat="1" ht="36" customHeight="1">
      <c r="A17" s="240" t="s">
        <v>236</v>
      </c>
      <c r="B17" s="240" t="s">
        <v>572</v>
      </c>
      <c r="C17" s="240" t="s">
        <v>573</v>
      </c>
      <c r="D17" s="240" t="s">
        <v>574</v>
      </c>
      <c r="E17" s="240" t="s">
        <v>575</v>
      </c>
      <c r="F17" s="240" t="s">
        <v>576</v>
      </c>
      <c r="G17" s="240" t="s">
        <v>577</v>
      </c>
      <c r="H17" s="241"/>
      <c r="I17" s="240" t="s">
        <v>586</v>
      </c>
      <c r="J17" s="241"/>
    </row>
    <row r="18" spans="1:10" s="73" customFormat="1" ht="87" customHeight="1">
      <c r="A18" s="241"/>
      <c r="B18" s="241"/>
      <c r="C18" s="241"/>
      <c r="D18" s="241"/>
      <c r="E18" s="241"/>
      <c r="F18" s="241"/>
      <c r="G18" s="156" t="s">
        <v>578</v>
      </c>
      <c r="H18" s="156" t="s">
        <v>579</v>
      </c>
      <c r="I18" s="156" t="s">
        <v>578</v>
      </c>
      <c r="J18" s="156" t="s">
        <v>580</v>
      </c>
    </row>
    <row r="19" spans="1:10" s="73" customFormat="1" ht="45.75" customHeight="1">
      <c r="A19" s="182" t="s">
        <v>798</v>
      </c>
      <c r="B19" s="182" t="s">
        <v>799</v>
      </c>
      <c r="C19" s="182"/>
      <c r="D19" s="182"/>
      <c r="E19" s="182"/>
      <c r="F19" s="185"/>
      <c r="G19" s="182"/>
      <c r="H19" s="184"/>
      <c r="I19" s="182"/>
      <c r="J19" s="184"/>
    </row>
    <row r="20" spans="1:10">
      <c r="A20" s="182" t="s">
        <v>800</v>
      </c>
      <c r="B20" s="182" t="s">
        <v>801</v>
      </c>
      <c r="C20" s="182" t="s">
        <v>802</v>
      </c>
      <c r="D20" s="182" t="s">
        <v>803</v>
      </c>
      <c r="E20" s="182" t="s">
        <v>804</v>
      </c>
      <c r="F20" s="185" t="s">
        <v>805</v>
      </c>
      <c r="G20" s="182" t="s">
        <v>806</v>
      </c>
      <c r="H20" s="184" t="s">
        <v>807</v>
      </c>
      <c r="I20" s="182" t="s">
        <v>808</v>
      </c>
      <c r="J20" s="184" t="s">
        <v>809</v>
      </c>
    </row>
    <row r="21" spans="1:10" ht="25.5">
      <c r="A21" s="187" t="s">
        <v>810</v>
      </c>
      <c r="B21" s="187" t="s">
        <v>811</v>
      </c>
      <c r="C21" s="187"/>
      <c r="D21" s="187"/>
      <c r="E21" s="187"/>
      <c r="F21" s="189">
        <v>0</v>
      </c>
      <c r="G21" s="187"/>
      <c r="H21" s="188">
        <v>0</v>
      </c>
      <c r="I21" s="187"/>
      <c r="J21" s="188">
        <v>0</v>
      </c>
    </row>
    <row r="22" spans="1:10" ht="25.5">
      <c r="A22" s="182" t="s">
        <v>812</v>
      </c>
      <c r="B22" s="182" t="s">
        <v>813</v>
      </c>
      <c r="C22" s="182"/>
      <c r="D22" s="182"/>
      <c r="E22" s="182"/>
      <c r="F22" s="185"/>
      <c r="G22" s="182"/>
      <c r="H22" s="184"/>
      <c r="I22" s="182"/>
      <c r="J22" s="184"/>
    </row>
    <row r="23" spans="1:10">
      <c r="A23" s="182" t="s">
        <v>814</v>
      </c>
      <c r="B23" s="182" t="s">
        <v>815</v>
      </c>
      <c r="C23" s="182" t="s">
        <v>816</v>
      </c>
      <c r="D23" s="182" t="s">
        <v>817</v>
      </c>
      <c r="E23" s="182" t="s">
        <v>818</v>
      </c>
      <c r="F23" s="185" t="s">
        <v>819</v>
      </c>
      <c r="G23" s="182" t="s">
        <v>820</v>
      </c>
      <c r="H23" s="184" t="s">
        <v>821</v>
      </c>
      <c r="I23" s="182" t="s">
        <v>822</v>
      </c>
      <c r="J23" s="184" t="s">
        <v>823</v>
      </c>
    </row>
    <row r="24" spans="1:10" ht="25.5">
      <c r="A24" s="187" t="s">
        <v>824</v>
      </c>
      <c r="B24" s="187" t="s">
        <v>825</v>
      </c>
      <c r="C24" s="187"/>
      <c r="D24" s="187"/>
      <c r="E24" s="187"/>
      <c r="F24" s="189">
        <v>0</v>
      </c>
      <c r="G24" s="187"/>
      <c r="H24" s="188">
        <v>0</v>
      </c>
      <c r="I24" s="187"/>
      <c r="J24" s="188">
        <v>0</v>
      </c>
    </row>
    <row r="25" spans="1:10" ht="25.5">
      <c r="A25" s="187" t="s">
        <v>826</v>
      </c>
      <c r="B25" s="187" t="s">
        <v>827</v>
      </c>
      <c r="C25" s="187"/>
      <c r="D25" s="187"/>
      <c r="E25" s="187"/>
      <c r="F25" s="189">
        <v>0</v>
      </c>
      <c r="G25" s="187"/>
      <c r="H25" s="188">
        <v>0</v>
      </c>
      <c r="I25" s="187"/>
      <c r="J25" s="188">
        <v>0</v>
      </c>
    </row>
    <row r="26" spans="1:10" ht="25.5">
      <c r="A26" s="182" t="s">
        <v>828</v>
      </c>
      <c r="B26" s="182" t="s">
        <v>829</v>
      </c>
      <c r="C26" s="182"/>
      <c r="D26" s="182"/>
      <c r="E26" s="182"/>
      <c r="F26" s="185"/>
      <c r="G26" s="182"/>
      <c r="H26" s="184"/>
      <c r="I26" s="182"/>
      <c r="J26" s="184"/>
    </row>
    <row r="27" spans="1:10">
      <c r="A27" s="182" t="s">
        <v>830</v>
      </c>
      <c r="B27" s="182" t="s">
        <v>831</v>
      </c>
      <c r="C27" s="182" t="s">
        <v>832</v>
      </c>
      <c r="D27" s="182" t="s">
        <v>833</v>
      </c>
      <c r="E27" s="182" t="s">
        <v>834</v>
      </c>
      <c r="F27" s="185" t="s">
        <v>835</v>
      </c>
      <c r="G27" s="182" t="s">
        <v>836</v>
      </c>
      <c r="H27" s="184" t="s">
        <v>837</v>
      </c>
      <c r="I27" s="182" t="s">
        <v>838</v>
      </c>
      <c r="J27" s="184" t="s">
        <v>839</v>
      </c>
    </row>
    <row r="28" spans="1:10" ht="25.5">
      <c r="A28" s="187" t="s">
        <v>840</v>
      </c>
      <c r="B28" s="187" t="s">
        <v>841</v>
      </c>
      <c r="C28" s="187"/>
      <c r="D28" s="187"/>
      <c r="E28" s="187"/>
      <c r="F28" s="189">
        <v>0</v>
      </c>
      <c r="G28" s="187"/>
      <c r="H28" s="188">
        <v>0</v>
      </c>
      <c r="I28" s="187"/>
      <c r="J28" s="188">
        <v>0</v>
      </c>
    </row>
    <row r="29" spans="1:10" ht="25.5">
      <c r="A29" s="182" t="s">
        <v>842</v>
      </c>
      <c r="B29" s="182" t="s">
        <v>843</v>
      </c>
      <c r="C29" s="182"/>
      <c r="D29" s="182"/>
      <c r="E29" s="182"/>
      <c r="F29" s="185"/>
      <c r="G29" s="182"/>
      <c r="H29" s="184"/>
      <c r="I29" s="182"/>
      <c r="J29" s="184"/>
    </row>
    <row r="30" spans="1:10">
      <c r="A30" s="182" t="s">
        <v>844</v>
      </c>
      <c r="B30" s="182" t="s">
        <v>845</v>
      </c>
      <c r="C30" s="182" t="s">
        <v>846</v>
      </c>
      <c r="D30" s="182" t="s">
        <v>847</v>
      </c>
      <c r="E30" s="182" t="s">
        <v>848</v>
      </c>
      <c r="F30" s="185" t="s">
        <v>849</v>
      </c>
      <c r="G30" s="182" t="s">
        <v>850</v>
      </c>
      <c r="H30" s="184" t="s">
        <v>851</v>
      </c>
      <c r="I30" s="182" t="s">
        <v>852</v>
      </c>
      <c r="J30" s="184" t="s">
        <v>853</v>
      </c>
    </row>
    <row r="31" spans="1:10" ht="25.5">
      <c r="A31" s="187" t="s">
        <v>854</v>
      </c>
      <c r="B31" s="187" t="s">
        <v>855</v>
      </c>
      <c r="C31" s="187"/>
      <c r="D31" s="187"/>
      <c r="E31" s="187"/>
      <c r="F31" s="189">
        <v>0</v>
      </c>
      <c r="G31" s="187"/>
      <c r="H31" s="188">
        <v>0</v>
      </c>
      <c r="I31" s="187"/>
      <c r="J31" s="188">
        <v>0</v>
      </c>
    </row>
    <row r="32" spans="1:10" ht="25.5">
      <c r="A32" s="187" t="s">
        <v>856</v>
      </c>
      <c r="B32" s="187" t="s">
        <v>857</v>
      </c>
      <c r="C32" s="187"/>
      <c r="D32" s="187"/>
      <c r="E32" s="187"/>
      <c r="F32" s="189">
        <v>0</v>
      </c>
      <c r="G32" s="187"/>
      <c r="H32" s="188">
        <v>0</v>
      </c>
      <c r="I32" s="187"/>
      <c r="J32" s="188">
        <v>0</v>
      </c>
    </row>
    <row r="33" spans="1:10" s="160" customFormat="1" ht="45.75" customHeight="1">
      <c r="A33" s="75" t="s">
        <v>10</v>
      </c>
      <c r="B33" s="76"/>
      <c r="C33" s="77"/>
      <c r="D33" s="74"/>
      <c r="E33" s="74"/>
      <c r="F33" s="74"/>
      <c r="G33" s="74"/>
      <c r="H33" s="74"/>
      <c r="I33" s="78" t="s">
        <v>11</v>
      </c>
      <c r="J33" s="74"/>
    </row>
    <row r="34" spans="1:10">
      <c r="A34" s="79" t="s">
        <v>12</v>
      </c>
      <c r="B34" s="76"/>
      <c r="C34" s="77"/>
      <c r="D34" s="74"/>
      <c r="E34" s="74"/>
      <c r="F34" s="74"/>
      <c r="G34" s="74"/>
      <c r="H34" s="74"/>
      <c r="I34" s="80" t="s">
        <v>13</v>
      </c>
      <c r="J34" s="74"/>
    </row>
    <row r="35" spans="1:10">
      <c r="A35" s="76"/>
      <c r="B35" s="76"/>
      <c r="C35" s="77"/>
      <c r="D35" s="159"/>
      <c r="E35" s="159"/>
      <c r="F35" s="159"/>
      <c r="G35" s="159"/>
      <c r="H35" s="159"/>
      <c r="I35" s="77"/>
      <c r="J35" s="159"/>
    </row>
    <row r="36" spans="1:10">
      <c r="A36" s="162"/>
      <c r="B36" s="159"/>
      <c r="C36" s="159"/>
      <c r="D36" s="159"/>
      <c r="E36" s="159"/>
      <c r="F36" s="159"/>
      <c r="G36" s="74"/>
      <c r="H36" s="159"/>
      <c r="I36" s="159"/>
      <c r="J36" s="159"/>
    </row>
    <row r="37" spans="1:10">
      <c r="A37" s="162"/>
      <c r="B37" s="159"/>
      <c r="C37" s="159"/>
      <c r="D37" s="159"/>
      <c r="E37" s="159"/>
      <c r="F37" s="159"/>
      <c r="G37" s="159"/>
      <c r="H37" s="159"/>
      <c r="I37" s="159"/>
      <c r="J37" s="159"/>
    </row>
    <row r="38" spans="1:10">
      <c r="A38" s="162"/>
      <c r="B38" s="159"/>
      <c r="C38" s="159"/>
      <c r="D38" s="159"/>
      <c r="E38" s="159"/>
      <c r="F38" s="159"/>
      <c r="G38" s="159"/>
      <c r="H38" s="159"/>
      <c r="I38" s="159"/>
      <c r="J38" s="159"/>
    </row>
    <row r="39" spans="1:10">
      <c r="A39" s="162"/>
      <c r="B39" s="159"/>
      <c r="C39" s="159"/>
      <c r="D39" s="159"/>
      <c r="E39" s="159"/>
      <c r="F39" s="159"/>
      <c r="G39" s="159"/>
      <c r="H39" s="159"/>
      <c r="I39" s="159"/>
      <c r="J39" s="159"/>
    </row>
    <row r="40" spans="1:10" s="73" customFormat="1">
      <c r="A40" s="239" t="s">
        <v>14</v>
      </c>
      <c r="B40" s="239"/>
      <c r="C40" s="74"/>
      <c r="D40" s="74"/>
      <c r="E40" s="74"/>
      <c r="F40" s="74"/>
      <c r="G40" s="74"/>
      <c r="H40" s="74"/>
      <c r="I40" s="179" t="s">
        <v>1135</v>
      </c>
      <c r="J40" s="180"/>
    </row>
    <row r="41" spans="1:10" s="73" customFormat="1">
      <c r="A41" s="178" t="s">
        <v>1141</v>
      </c>
      <c r="B41" s="176"/>
      <c r="C41" s="74"/>
      <c r="D41" s="74"/>
      <c r="E41" s="74"/>
      <c r="F41" s="74"/>
      <c r="G41" s="74"/>
      <c r="H41" s="74"/>
      <c r="I41" s="85" t="s">
        <v>1142</v>
      </c>
      <c r="J41" s="74"/>
    </row>
    <row r="42" spans="1:10" s="73" customFormat="1">
      <c r="A42" s="176" t="s">
        <v>1143</v>
      </c>
      <c r="B42" s="176"/>
      <c r="C42" s="74"/>
      <c r="D42" s="74"/>
      <c r="E42" s="74"/>
      <c r="F42" s="74"/>
      <c r="G42" s="74"/>
      <c r="H42" s="74"/>
      <c r="I42" s="74" t="s">
        <v>1144</v>
      </c>
      <c r="J42" s="74"/>
    </row>
    <row r="43" spans="1:10" s="73" customFormat="1">
      <c r="A43" s="177"/>
      <c r="B43" s="74"/>
      <c r="C43" s="74"/>
      <c r="D43" s="74"/>
      <c r="E43" s="74"/>
      <c r="F43" s="74"/>
      <c r="G43" s="74"/>
      <c r="H43" s="74"/>
      <c r="I43" s="74"/>
      <c r="J43" s="74"/>
    </row>
    <row r="44" spans="1:10" s="73" customFormat="1">
      <c r="A44" s="177"/>
      <c r="B44" s="74"/>
      <c r="C44" s="74"/>
      <c r="D44" s="74"/>
      <c r="E44" s="74"/>
      <c r="F44" s="74"/>
      <c r="G44" s="74"/>
      <c r="H44" s="74"/>
      <c r="I44" s="74"/>
      <c r="J44" s="74"/>
    </row>
    <row r="45" spans="1:10">
      <c r="A45" s="162"/>
      <c r="B45" s="159"/>
      <c r="C45" s="159"/>
      <c r="D45" s="159"/>
      <c r="E45" s="159"/>
      <c r="F45" s="159"/>
      <c r="G45" s="159"/>
      <c r="H45" s="159"/>
      <c r="I45" s="159"/>
      <c r="J45" s="159"/>
    </row>
    <row r="46" spans="1:10">
      <c r="A46" s="162"/>
      <c r="B46" s="159"/>
      <c r="C46" s="159"/>
      <c r="D46" s="159"/>
      <c r="E46" s="159"/>
      <c r="F46" s="159"/>
      <c r="G46" s="159"/>
      <c r="H46" s="159"/>
      <c r="I46" s="159"/>
      <c r="J46" s="159"/>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psdICwi2ruejFI8luH1WfB1UEy4=</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BvoTVm/OiWGhidPuIjOrCLlojL8=</DigestValue>
    </Reference>
  </SignedInfo>
  <SignatureValue>Y5yUv5Frbgo4xvoBTloJXcA5dohPk8EhOSRj3DumZcjHA7tJsS6eJf8RAXVdgEnRhQMnEC7Q73I0
EJMoUwQShNgVFA3+POnCch9jvydyAF9Hko/ua2sEEaG+1M4g8sCnwOSZ+POnib3rqOQlIehgvHJS
U42y0QUYVJnHCqv8b1E=</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EQCQ1owCM9q3zhS2PcLF8hRqIe8=</DigestValue>
      </Reference>
      <Reference URI="/xl/calcChain.xml?ContentType=application/vnd.openxmlformats-officedocument.spreadsheetml.calcChain+xml">
        <DigestMethod Algorithm="http://www.w3.org/2000/09/xmldsig#sha1"/>
        <DigestValue>i1ZkqnxveDDSflHj0YApWkQDSUY=</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4oqCNrFh+78nO4p2MYGtqScG/4s=</DigestValue>
      </Reference>
      <Reference URI="/xl/drawings/drawing2.xml?ContentType=application/vnd.openxmlformats-officedocument.drawing+xml">
        <DigestMethod Algorithm="http://www.w3.org/2000/09/xmldsig#sha1"/>
        <DigestValue>Stkkg35qQJE+xajXZc+gK8osFyc=</DigestValue>
      </Reference>
      <Reference URI="/xl/drawings/drawing3.xml?ContentType=application/vnd.openxmlformats-officedocument.drawing+xml">
        <DigestMethod Algorithm="http://www.w3.org/2000/09/xmldsig#sha1"/>
        <DigestValue>WMkNEkYII6zEkTOtuBqk5/RLipE=</DigestValue>
      </Reference>
      <Reference URI="/xl/drawings/drawing4.xml?ContentType=application/vnd.openxmlformats-officedocument.drawing+xml">
        <DigestMethod Algorithm="http://www.w3.org/2000/09/xmldsig#sha1"/>
        <DigestValue>r5SynSyxoST965UmfWbRs6fOzrU=</DigestValue>
      </Reference>
      <Reference URI="/xl/drawings/drawing5.xml?ContentType=application/vnd.openxmlformats-officedocument.drawing+xml">
        <DigestMethod Algorithm="http://www.w3.org/2000/09/xmldsig#sha1"/>
        <DigestValue>LFn71dxWNhzQ1LPB8wrX53nOK+Y=</DigestValue>
      </Reference>
      <Reference URI="/xl/drawings/drawing6.xml?ContentType=application/vnd.openxmlformats-officedocument.drawing+xml">
        <DigestMethod Algorithm="http://www.w3.org/2000/09/xmldsig#sha1"/>
        <DigestValue>gikN4NbcvG6g4g1qRhk6zi+xAf0=</DigestValue>
      </Reference>
      <Reference URI="/xl/drawings/drawing7.xml?ContentType=application/vnd.openxmlformats-officedocument.drawing+xml">
        <DigestMethod Algorithm="http://www.w3.org/2000/09/xmldsig#sha1"/>
        <DigestValue>vXx9U+IUeNZhYOZp7nBg/MYj7ZM=</DigestValue>
      </Reference>
      <Reference URI="/xl/drawings/vmlDrawing1.vml?ContentType=application/vnd.openxmlformats-officedocument.vmlDrawing">
        <DigestMethod Algorithm="http://www.w3.org/2000/09/xmldsig#sha1"/>
        <DigestValue>6296KzWNMCniS4W7PuId+9SnrQ0=</DigestValue>
      </Reference>
      <Reference URI="/xl/drawings/vmlDrawing2.vml?ContentType=application/vnd.openxmlformats-officedocument.vmlDrawing">
        <DigestMethod Algorithm="http://www.w3.org/2000/09/xmldsig#sha1"/>
        <DigestValue>haV2n4IHIsVTGRHBlD24gwNXR2Y=</DigestValue>
      </Reference>
      <Reference URI="/xl/drawings/vmlDrawing3.vml?ContentType=application/vnd.openxmlformats-officedocument.vmlDrawing">
        <DigestMethod Algorithm="http://www.w3.org/2000/09/xmldsig#sha1"/>
        <DigestValue>SXtA/jJR31G9b8Ju1+SVj086AdY=</DigestValue>
      </Reference>
      <Reference URI="/xl/drawings/vmlDrawing4.vml?ContentType=application/vnd.openxmlformats-officedocument.vmlDrawing">
        <DigestMethod Algorithm="http://www.w3.org/2000/09/xmldsig#sha1"/>
        <DigestValue>+PAR6H9V6c+tIcUsvnbVqsv6uUA=</DigestValue>
      </Reference>
      <Reference URI="/xl/drawings/vmlDrawing5.vml?ContentType=application/vnd.openxmlformats-officedocument.vmlDrawing">
        <DigestMethod Algorithm="http://www.w3.org/2000/09/xmldsig#sha1"/>
        <DigestValue>7XFyrJ8GhJwKrW3ip/DvIuR7m/I=</DigestValue>
      </Reference>
      <Reference URI="/xl/drawings/vmlDrawing6.vml?ContentType=application/vnd.openxmlformats-officedocument.vmlDrawing">
        <DigestMethod Algorithm="http://www.w3.org/2000/09/xmldsig#sha1"/>
        <DigestValue>AuWZ0zr3hlPxHA01Zqalv/XtkG0=</DigestValue>
      </Reference>
      <Reference URI="/xl/drawings/vmlDrawing7.vml?ContentType=application/vnd.openxmlformats-officedocument.vmlDrawing">
        <DigestMethod Algorithm="http://www.w3.org/2000/09/xmldsig#sha1"/>
        <DigestValue>TVmhRtztGQyDCRVLL/8A+AHiXos=</DigestValue>
      </Reference>
      <Reference URI="/xl/media/image1.emf?ContentType=image/x-emf">
        <DigestMethod Algorithm="http://www.w3.org/2000/09/xmldsig#sha1"/>
        <DigestValue>HfaFS7FNbspKbw7uSeLyRkRi570=</DigestValue>
      </Reference>
      <Reference URI="/xl/media/image2.emf?ContentType=image/x-emf">
        <DigestMethod Algorithm="http://www.w3.org/2000/09/xmldsig#sha1"/>
        <DigestValue>HfaFS7FNbspKbw7uSeLyRkRi570=</DigestValue>
      </Reference>
      <Reference URI="/xl/printerSettings/printerSettings1.bin?ContentType=application/vnd.openxmlformats-officedocument.spreadsheetml.printerSettings">
        <DigestMethod Algorithm="http://www.w3.org/2000/09/xmldsig#sha1"/>
        <DigestValue>vnYQDCRRRkkahj0aHBF6b2g3g5Q=</DigestValue>
      </Reference>
      <Reference URI="/xl/printerSettings/printerSettings2.bin?ContentType=application/vnd.openxmlformats-officedocument.spreadsheetml.printerSettings">
        <DigestMethod Algorithm="http://www.w3.org/2000/09/xmldsig#sha1"/>
        <DigestValue>MpKsSW64Pa7ulnRvVszKJF1VI7w=</DigestValue>
      </Reference>
      <Reference URI="/xl/printerSettings/printerSettings3.bin?ContentType=application/vnd.openxmlformats-officedocument.spreadsheetml.printerSettings">
        <DigestMethod Algorithm="http://www.w3.org/2000/09/xmldsig#sha1"/>
        <DigestValue>MpKsSW64Pa7ulnRvVszKJF1VI7w=</DigestValue>
      </Reference>
      <Reference URI="/xl/printerSettings/printerSettings4.bin?ContentType=application/vnd.openxmlformats-officedocument.spreadsheetml.printerSettings">
        <DigestMethod Algorithm="http://www.w3.org/2000/09/xmldsig#sha1"/>
        <DigestValue>MpKsSW64Pa7ulnRvVszKJF1VI7w=</DigestValue>
      </Reference>
      <Reference URI="/xl/printerSettings/printerSettings5.bin?ContentType=application/vnd.openxmlformats-officedocument.spreadsheetml.printerSettings">
        <DigestMethod Algorithm="http://www.w3.org/2000/09/xmldsig#sha1"/>
        <DigestValue>MpKsSW64Pa7ulnRvVszKJF1VI7w=</DigestValue>
      </Reference>
      <Reference URI="/xl/printerSettings/printerSettings6.bin?ContentType=application/vnd.openxmlformats-officedocument.spreadsheetml.printerSettings">
        <DigestMethod Algorithm="http://www.w3.org/2000/09/xmldsig#sha1"/>
        <DigestValue>MpKsSW64Pa7ulnRvVszKJF1VI7w=</DigestValue>
      </Reference>
      <Reference URI="/xl/printerSettings/printerSettings7.bin?ContentType=application/vnd.openxmlformats-officedocument.spreadsheetml.printerSettings">
        <DigestMethod Algorithm="http://www.w3.org/2000/09/xmldsig#sha1"/>
        <DigestValue>MpKsSW64Pa7ulnRvVszKJF1VI7w=</DigestValue>
      </Reference>
      <Reference URI="/xl/printerSettings/printerSettings8.bin?ContentType=application/vnd.openxmlformats-officedocument.spreadsheetml.printerSettings">
        <DigestMethod Algorithm="http://www.w3.org/2000/09/xmldsig#sha1"/>
        <DigestValue>2CfJSDP1lt4VnXDvd7txa/CLRus=</DigestValue>
      </Reference>
      <Reference URI="/xl/sharedStrings.xml?ContentType=application/vnd.openxmlformats-officedocument.spreadsheetml.sharedStrings+xml">
        <DigestMethod Algorithm="http://www.w3.org/2000/09/xmldsig#sha1"/>
        <DigestValue>82948g59exUdaOxceKnx8EiSycc=</DigestValue>
      </Reference>
      <Reference URI="/xl/styles.xml?ContentType=application/vnd.openxmlformats-officedocument.spreadsheetml.styles+xml">
        <DigestMethod Algorithm="http://www.w3.org/2000/09/xmldsig#sha1"/>
        <DigestValue>gdnWRj0qUBY9zpipMJ/Gx2A6oSY=</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r38EdpLdhi2Nq5ZeLd362XABFpQ=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EpAm4cKwCrLDSHLleEtfjyakQoc=</DigestValue>
      </Reference>
      <Reference URI="/xl/worksheets/sheet1.xml?ContentType=application/vnd.openxmlformats-officedocument.spreadsheetml.worksheet+xml">
        <DigestMethod Algorithm="http://www.w3.org/2000/09/xmldsig#sha1"/>
        <DigestValue>TlmJZqMiR0ZEH34UtazKjzwhdB8=</DigestValue>
      </Reference>
      <Reference URI="/xl/worksheets/sheet2.xml?ContentType=application/vnd.openxmlformats-officedocument.spreadsheetml.worksheet+xml">
        <DigestMethod Algorithm="http://www.w3.org/2000/09/xmldsig#sha1"/>
        <DigestValue>fw+nEtztgSMOyKV8RTViUHRlrMA=</DigestValue>
      </Reference>
      <Reference URI="/xl/worksheets/sheet3.xml?ContentType=application/vnd.openxmlformats-officedocument.spreadsheetml.worksheet+xml">
        <DigestMethod Algorithm="http://www.w3.org/2000/09/xmldsig#sha1"/>
        <DigestValue>8hjjmU+peHNuTWNHB2bJzZ+lOAc=</DigestValue>
      </Reference>
      <Reference URI="/xl/worksheets/sheet4.xml?ContentType=application/vnd.openxmlformats-officedocument.spreadsheetml.worksheet+xml">
        <DigestMethod Algorithm="http://www.w3.org/2000/09/xmldsig#sha1"/>
        <DigestValue>Z4BwcWcirBMYTfoPH0EYVgksXio=</DigestValue>
      </Reference>
      <Reference URI="/xl/worksheets/sheet5.xml?ContentType=application/vnd.openxmlformats-officedocument.spreadsheetml.worksheet+xml">
        <DigestMethod Algorithm="http://www.w3.org/2000/09/xmldsig#sha1"/>
        <DigestValue>u5X+eenqu3WFA4KCAlHJswmacXM=</DigestValue>
      </Reference>
      <Reference URI="/xl/worksheets/sheet6.xml?ContentType=application/vnd.openxmlformats-officedocument.spreadsheetml.worksheet+xml">
        <DigestMethod Algorithm="http://www.w3.org/2000/09/xmldsig#sha1"/>
        <DigestValue>1GmXGKq3+NqOJ86egtjSRsFffrI=</DigestValue>
      </Reference>
      <Reference URI="/xl/worksheets/sheet7.xml?ContentType=application/vnd.openxmlformats-officedocument.spreadsheetml.worksheet+xml">
        <DigestMethod Algorithm="http://www.w3.org/2000/09/xmldsig#sha1"/>
        <DigestValue>ZDN1ImD+SexgtSydI+6KHQwndYM=</DigestValue>
      </Reference>
      <Reference URI="/xl/worksheets/sheet8.xml?ContentType=application/vnd.openxmlformats-officedocument.spreadsheetml.worksheet+xml">
        <DigestMethod Algorithm="http://www.w3.org/2000/09/xmldsig#sha1"/>
        <DigestValue>olm8jJJGI8sYzuxGhJi/ZnBf7cU=</DigestValue>
      </Reference>
    </Manifest>
    <SignatureProperties>
      <SignatureProperty Id="idSignatureTime" Target="#idPackageSignature">
        <mdssi:SignatureTime xmlns:mdssi="http://schemas.openxmlformats.org/package/2006/digital-signature">
          <mdssi:Format>YYYY-MM-DDThh:mm:ssTZD</mdssi:Format>
          <mdssi:Value>2023-05-09T06:53:20Z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2023-05-09T06:53:20Z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TONGQUAN</vt:lpstr>
      <vt:lpstr>BCTaiSan_06027</vt:lpstr>
      <vt:lpstr>BCKetQuaHoatDong_06028</vt:lpstr>
      <vt:lpstr>BCDanhMucDauTu_06029</vt:lpstr>
      <vt:lpstr>BCThuNhap_06203</vt:lpstr>
      <vt:lpstr>Khac_06030</vt:lpstr>
      <vt:lpstr>BCTinhHinhTaiChinh_06105</vt:lpstr>
      <vt:lpstr>BCHoatDongVay_06026</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Tran Anh, Cuong</cp:lastModifiedBy>
  <cp:lastPrinted>2023-05-08T09:40:28Z</cp:lastPrinted>
  <dcterms:created xsi:type="dcterms:W3CDTF">2019-03-13T13:30:00Z</dcterms:created>
  <dcterms:modified xsi:type="dcterms:W3CDTF">2023-05-09T03:38:11Z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2023-05-09T03:38:10Z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21362a89-2011-4801-b4bc-725e209fe75e</vt:lpwstr>
  </property>
  <property fmtid="{D5CDD505-2E9C-101B-9397-08002B2CF9AE}" pid="8" name="MSIP_Label_ebbfc019-7f88-4fb6-96d6-94ffadd4b772_ContentBits">
    <vt:lpwstr>1</vt:lpwstr>
  </property>
</Properties>
</file>