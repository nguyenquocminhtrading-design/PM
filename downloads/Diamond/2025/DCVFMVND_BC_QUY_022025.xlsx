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19200" windowHeight="6930"/>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BCLCGT_06262" sheetId="13" r:id="rId9"/>
  </sheets>
  <definedNames>
    <definedName name="_xlnm.Print_Area" localSheetId="4">BCHDVay_GDMuaBanLai!$A$1:$K$36</definedName>
    <definedName name="_xlnm.Print_Area" localSheetId="0">TONGQUAN!$A$1:$I$47</definedName>
  </definedNames>
  <calcPr calcId="162913"/>
</workbook>
</file>

<file path=xl/calcChain.xml><?xml version="1.0" encoding="utf-8"?>
<calcChain xmlns="http://schemas.openxmlformats.org/spreadsheetml/2006/main">
  <c r="C13" i="17" l="1"/>
  <c r="E13" i="16"/>
  <c r="F120" i="15" l="1"/>
  <c r="E120" i="15"/>
  <c r="F116" i="15"/>
  <c r="E116" i="15"/>
  <c r="F112" i="15"/>
  <c r="E112" i="15"/>
  <c r="F104" i="15"/>
  <c r="F101" i="15" s="1"/>
  <c r="E104" i="15"/>
  <c r="E101" i="15" s="1"/>
  <c r="F90" i="15"/>
  <c r="F88" i="15" s="1"/>
  <c r="E90" i="15"/>
  <c r="E88" i="15" s="1"/>
  <c r="F78" i="15"/>
  <c r="E78" i="15"/>
  <c r="F73" i="15"/>
  <c r="E73" i="15"/>
  <c r="F56" i="15"/>
  <c r="E56" i="15"/>
  <c r="F50" i="15"/>
  <c r="E50" i="15"/>
  <c r="F43" i="15"/>
  <c r="F42" i="15" s="1"/>
  <c r="F39" i="15" s="1"/>
  <c r="E43" i="15"/>
  <c r="E42" i="15"/>
  <c r="F28" i="15"/>
  <c r="F27" i="15" s="1"/>
  <c r="E28" i="15"/>
  <c r="E27" i="15" s="1"/>
  <c r="F20" i="15"/>
  <c r="E20" i="15"/>
  <c r="E19" i="15" s="1"/>
  <c r="F19" i="15"/>
  <c r="E39" i="15" l="1"/>
  <c r="E67" i="15" s="1"/>
  <c r="F110" i="15"/>
  <c r="F67" i="15"/>
  <c r="E110" i="15"/>
  <c r="F111" i="15" l="1"/>
  <c r="E111" i="15"/>
</calcChain>
</file>

<file path=xl/sharedStrings.xml><?xml version="1.0" encoding="utf-8"?>
<sst xmlns="http://schemas.openxmlformats.org/spreadsheetml/2006/main" count="1515" uniqueCount="1123">
  <si>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</si>
  <si>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</si>
  <si>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</si>
  <si>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</si>
  <si>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</si>
  <si>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</si>
  <si>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</si>
  <si>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</si>
  <si>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</si>
  <si>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</si>
  <si>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</si>
  <si>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</si>
  <si>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</si>
  <si>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</si>
  <si>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</si>
  <si>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</si>
  <si>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</si>
  <si>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</si>
  <si>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</si>
  <si>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</si>
  <si>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</si>
  <si>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</si>
  <si>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</si>
  <si>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</si>
  <si>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</si>
  <si>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</si>
  <si>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</si>
  <si>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Tại ngày 31 tháng 03  năm 2025 
As at 31 Mar 2025</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</si>
  <si>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</si>
  <si>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</si>
  <si>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</si>
  <si>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</si>
  <si>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</si>
  <si>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</si>
  <si>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</si>
  <si>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</si>
  <si>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</si>
  <si>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</si>
  <si>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</si>
  <si>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</si>
  <si>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</si>
  <si>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</si>
  <si>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</si>
  <si>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</si>
  <si>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</si>
  <si>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</si>
  <si>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</si>
  <si>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</si>
  <si>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</si>
  <si>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</si>
  <si>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</si>
  <si>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</si>
  <si>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</si>
  <si>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</si>
  <si>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</si>
  <si>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</si>
  <si>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</si>
  <si>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</si>
  <si>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</si>
  <si>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</si>
  <si>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</si>
  <si>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</si>
  <si>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</si>
  <si>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</si>
  <si>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</si>
  <si>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</si>
  <si>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</si>
  <si>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</si>
  <si>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</si>
  <si>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</si>
  <si>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</si>
  <si>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</si>
  <si>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</si>
  <si>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</si>
  <si>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</si>
  <si>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</si>
  <si>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</si>
  <si>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</si>
  <si>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</si>
  <si>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</si>
  <si>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</si>
  <si>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</si>
  <si>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</si>
  <si>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</si>
  <si>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</si>
  <si>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</si>
  <si>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</si>
  <si>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</si>
  <si>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</si>
  <si>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</si>
  <si>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</si>
  <si>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</si>
  <si>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</si>
  <si>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</si>
  <si>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</si>
  <si>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</si>
  <si>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</si>
  <si>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</si>
  <si>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</si>
  <si>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</si>
  <si>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</si>
  <si>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</si>
  <si>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</si>
  <si>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</si>
  <si>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</si>
  <si>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</si>
  <si>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</si>
  <si>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</si>
  <si>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</si>
  <si>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</si>
  <si>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</si>
  <si>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</si>
  <si>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</si>
  <si>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</si>
  <si>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</si>
  <si>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</si>
  <si>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Trả trước phí kiểm toán
Prepaid for audit fee</t>
  </si>
  <si>
    <t>2211.6</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</si>
  <si>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</si>
  <si>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</si>
  <si>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</si>
  <si>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</si>
  <si>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</si>
  <si>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</si>
  <si>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</si>
  <si>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</si>
  <si>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</si>
  <si>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</si>
  <si>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</si>
  <si>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</si>
  <si>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</si>
  <si>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</si>
  <si>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</si>
  <si>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</si>
  <si>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</si>
  <si>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</si>
  <si>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</si>
  <si>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</si>
  <si>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</si>
  <si>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</si>
  <si>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</si>
  <si>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</si>
  <si>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</si>
  <si>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</si>
  <si>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</si>
  <si>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</si>
  <si>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</si>
  <si>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</si>
  <si>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</si>
  <si>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</si>
  <si>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</si>
  <si>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</si>
  <si>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</si>
  <si>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</si>
  <si>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</si>
  <si>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</si>
  <si>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</si>
  <si>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</si>
  <si>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</si>
  <si>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</si>
  <si>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</si>
  <si>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</si>
  <si>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</si>
  <si>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</si>
  <si>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</si>
  <si>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</si>
  <si>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</si>
  <si>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</si>
  <si>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</si>
  <si>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</si>
  <si>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</si>
  <si>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</si>
  <si>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</si>
  <si>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</si>
  <si>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</si>
  <si>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</si>
  <si>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</si>
  <si>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</si>
  <si>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</si>
  <si>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</si>
  <si>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</si>
  <si>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</si>
  <si>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</si>
  <si>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</si>
  <si>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</si>
  <si>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</si>
  <si>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</si>
  <si>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</si>
  <si>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</si>
  <si>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</si>
  <si>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</si>
  <si>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</si>
  <si>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</si>
  <si>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</si>
  <si>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</si>
  <si>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</si>
  <si>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</si>
  <si>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</si>
  <si>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</si>
  <si>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</si>
  <si>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</si>
  <si>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</si>
  <si>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</si>
  <si>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</si>
  <si>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</si>
  <si>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</si>
  <si>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Phải trả giá dịch vụ đăng ký niêm yết gửi HOSE  
Accrued expense for listed registration at HOSE</t>
  </si>
  <si>
    <t>2215.18.9</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</si>
  <si>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</si>
  <si>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</si>
  <si>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</si>
  <si>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</si>
  <si>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</si>
  <si>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</si>
  <si>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</si>
  <si>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</si>
  <si>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</si>
  <si>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</si>
  <si>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</si>
  <si>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</si>
  <si>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</si>
  <si>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</si>
  <si>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</si>
  <si>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</si>
  <si>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</si>
  <si>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</si>
  <si>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</si>
  <si>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</si>
  <si>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</si>
  <si>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Quyền Giám đốc Nghiệp vụ hỗ trợ đầu tư</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</si>
  <si>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</si>
  <si>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</si>
  <si>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</si>
  <si>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</si>
  <si>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</si>
  <si>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</si>
  <si>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</si>
  <si>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</si>
  <si>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</si>
  <si>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</si>
  <si>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</si>
  <si>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</si>
  <si>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</si>
  <si>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</si>
  <si>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</si>
  <si>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</si>
  <si>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</si>
  <si>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</si>
  <si>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</si>
  <si>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</si>
  <si>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</si>
  <si>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</si>
  <si>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</si>
  <si>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</si>
  <si>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</si>
  <si>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</si>
  <si>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</si>
  <si>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</si>
  <si>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</si>
  <si>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</si>
  <si>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</si>
  <si>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</si>
  <si>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</si>
  <si>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</si>
  <si>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</si>
  <si>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</si>
  <si>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</si>
  <si>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</si>
  <si>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</si>
  <si>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</si>
  <si>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</si>
  <si>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</si>
  <si>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</si>
  <si>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</si>
  <si>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</si>
  <si>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</si>
  <si>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</si>
  <si>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</si>
  <si>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</si>
  <si>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</si>
  <si>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</si>
  <si>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</si>
  <si>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</si>
  <si>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</si>
  <si>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</si>
  <si>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</si>
  <si>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</si>
  <si>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</si>
  <si>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</si>
  <si>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</si>
  <si>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</si>
  <si>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</si>
  <si>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</si>
  <si>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</si>
  <si>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</si>
  <si>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</si>
  <si>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</si>
  <si>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</si>
  <si>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</si>
  <si>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</si>
  <si>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</si>
  <si>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</si>
  <si>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</si>
  <si>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</si>
  <si>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</si>
  <si>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</si>
  <si>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</si>
  <si>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</si>
  <si>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</si>
  <si>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</si>
  <si>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</si>
  <si>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</si>
  <si>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</si>
  <si>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</si>
  <si>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</si>
  <si>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</si>
  <si>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</si>
  <si>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</si>
  <si>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</si>
  <si>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</si>
  <si>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</si>
  <si>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</si>
  <si>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</si>
  <si>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</si>
  <si>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</si>
  <si>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</si>
  <si>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</si>
  <si>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</si>
  <si>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</si>
  <si>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</si>
  <si>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</si>
  <si>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</si>
  <si>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</si>
  <si>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</si>
  <si>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</si>
  <si>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</si>
  <si>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</si>
  <si>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</si>
  <si>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</si>
  <si>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</si>
  <si>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</si>
  <si>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</si>
  <si>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</si>
  <si>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</si>
  <si>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</si>
  <si>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</si>
  <si>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</si>
  <si>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</si>
  <si>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</si>
  <si>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</si>
  <si>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</si>
  <si>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</si>
  <si>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</si>
  <si>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</si>
  <si>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</si>
  <si>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</si>
  <si>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</si>
  <si>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</si>
  <si>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</si>
  <si>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</si>
  <si>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</si>
  <si>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</si>
  <si>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</si>
  <si>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</si>
  <si>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</si>
  <si>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</si>
  <si>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</si>
  <si>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</si>
  <si>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</si>
  <si>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</si>
  <si>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</si>
  <si>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</si>
  <si>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</si>
  <si>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</si>
  <si>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</si>
  <si>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</si>
  <si>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</si>
  <si>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</si>
  <si>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</si>
  <si>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</si>
  <si>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</si>
  <si>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</si>
  <si>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Tại ngày 30 tháng 06 năm 2025 / As at 30 Jun 2025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</si>
  <si>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</si>
  <si>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</si>
  <si>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</si>
  <si>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</si>
  <si>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</si>
  <si>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</si>
  <si>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</si>
  <si>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</si>
  <si>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</si>
  <si>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</si>
  <si>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</si>
  <si>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</si>
  <si>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</si>
  <si>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</si>
  <si>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</si>
  <si>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</si>
  <si>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</si>
  <si>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</si>
  <si>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</si>
  <si>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</si>
  <si>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FPT</t>
  </si>
  <si>
    <t>2246.5</t>
  </si>
  <si>
    <t>GMD</t>
  </si>
  <si>
    <t>2246.6</t>
  </si>
  <si>
    <t>HDB</t>
  </si>
  <si>
    <t>2246.7</t>
  </si>
  <si>
    <t>KDH</t>
  </si>
  <si>
    <t>2246.8</t>
  </si>
  <si>
    <t>MBB</t>
  </si>
  <si>
    <t>2246.9</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</si>
  <si>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</si>
  <si>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</si>
  <si>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</si>
  <si>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</si>
  <si>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</si>
  <si>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</si>
  <si>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</si>
  <si>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</si>
  <si>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</si>
  <si>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</si>
  <si>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</si>
  <si>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</si>
  <si>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</si>
  <si>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</si>
  <si>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</si>
  <si>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</si>
  <si>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</si>
  <si>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</si>
  <si>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</si>
  <si>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</si>
  <si>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</si>
  <si>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</si>
  <si>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</si>
  <si>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</si>
  <si>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VIB</t>
  </si>
  <si>
    <t>2246.18</t>
  </si>
  <si>
    <t>19</t>
  </si>
  <si>
    <t>VPB</t>
  </si>
  <si>
    <t>2246.19</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</si>
  <si>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</si>
  <si>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</si>
  <si>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</si>
  <si>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</si>
  <si>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</si>
  <si>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</si>
  <si>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</si>
  <si>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</si>
  <si>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</si>
  <si>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</si>
  <si>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</si>
  <si>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</si>
  <si>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</si>
  <si>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</si>
  <si>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</si>
  <si>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</si>
  <si>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</si>
  <si>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</si>
  <si>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</si>
  <si>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</si>
  <si>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</si>
  <si>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</si>
  <si>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</si>
  <si>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</si>
  <si>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</si>
  <si>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</si>
  <si>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</si>
  <si>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</si>
  <si>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</si>
  <si>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</si>
  <si>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</si>
  <si>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</si>
  <si>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</si>
  <si>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</si>
  <si>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</si>
  <si>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</si>
  <si>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</si>
  <si>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</si>
  <si>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</si>
  <si>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</si>
  <si>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</si>
  <si>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</si>
  <si>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</si>
  <si>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</si>
  <si>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</si>
  <si>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</si>
  <si>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</si>
  <si>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</si>
  <si>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</si>
  <si>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</si>
  <si>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</si>
  <si>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</si>
  <si>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</si>
  <si>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</si>
  <si>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</si>
  <si>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</si>
  <si>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</si>
  <si>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</si>
  <si>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</si>
  <si>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</si>
  <si>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</si>
  <si>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</si>
  <si>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</si>
  <si>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</si>
  <si>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</si>
  <si>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</si>
  <si>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</si>
  <si>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</si>
  <si>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</si>
  <si>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</si>
  <si>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</si>
  <si>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</si>
  <si>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</si>
  <si>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</si>
  <si>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</si>
  <si>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</si>
  <si>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</si>
  <si>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</si>
  <si>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</si>
  <si>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</si>
  <si>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</si>
  <si>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</si>
  <si>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</si>
  <si>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</si>
  <si>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</si>
  <si>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</si>
  <si>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</si>
  <si>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</si>
  <si>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</si>
  <si>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</si>
  <si>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</si>
  <si>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</si>
  <si>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</si>
  <si>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</si>
  <si>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</si>
  <si>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</si>
  <si>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</si>
  <si>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</si>
  <si>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</si>
  <si>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</si>
  <si>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</si>
  <si>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</si>
  <si>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</si>
  <si>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</si>
  <si>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</si>
  <si>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</si>
  <si>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</si>
  <si>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</si>
  <si>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</si>
  <si>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</si>
  <si>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</si>
  <si>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</si>
  <si>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</si>
  <si>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</si>
  <si>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</si>
  <si>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</si>
  <si>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</si>
  <si>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</si>
  <si>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</si>
  <si>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</si>
  <si>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</si>
  <si>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</si>
  <si>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</si>
  <si>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</si>
  <si>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</si>
  <si>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</si>
  <si>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</si>
  <si>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</si>
  <si>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</si>
  <si>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</si>
  <si>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</si>
  <si>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</si>
  <si>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</si>
  <si>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</si>
  <si>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</si>
  <si>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</si>
  <si>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</si>
  <si>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</si>
  <si>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</si>
  <si>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</si>
  <si>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</si>
  <si>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</si>
  <si>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Người lập biểu</t>
  </si>
  <si>
    <t>(Ký, họ tên)</t>
  </si>
  <si>
    <t>(Ký, họ tên, đóng dấu)</t>
  </si>
  <si>
    <t>Mẫu số B05 - ETF. Báo cáo lưu chuyển tiền tệ
Template B05 - ETF. Cash flow statement</t>
  </si>
  <si>
    <t>BÁO CÁO LƯU CHUYỂN TIỀN TỆ</t>
  </si>
  <si>
    <t>CASH FLOW STATEMENT</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</si>
  <si>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</si>
  <si>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</si>
  <si>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</si>
  <si>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</si>
  <si>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</si>
  <si>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</si>
  <si>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</si>
  <si>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</si>
  <si>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</si>
  <si>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</si>
  <si>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</si>
  <si>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</si>
  <si>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</si>
  <si>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</si>
  <si>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</si>
  <si>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</si>
  <si>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</si>
  <si>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</si>
  <si>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</si>
  <si>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</si>
  <si>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</si>
  <si>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</si>
  <si>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</si>
  <si>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</si>
  <si>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</si>
  <si>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</si>
  <si>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</si>
  <si>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</si>
  <si>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</si>
  <si>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</si>
  <si>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</si>
  <si>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</si>
  <si>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</si>
  <si>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</si>
  <si>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</si>
  <si>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</si>
  <si>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</si>
  <si>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</si>
  <si>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</si>
  <si>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</si>
  <si>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</si>
  <si>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</si>
  <si>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</si>
  <si>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</si>
  <si>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</si>
  <si>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</si>
  <si>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</si>
  <si>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33</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</si>
  <si>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</si>
  <si>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</si>
  <si>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</si>
  <si>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</si>
  <si>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</si>
  <si>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</si>
  <si>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</si>
  <si>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</si>
  <si>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</si>
  <si>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</si>
  <si>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</si>
  <si>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</si>
  <si>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</si>
  <si>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</si>
  <si>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</si>
  <si>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</si>
  <si>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</si>
  <si>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</si>
  <si>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</si>
  <si>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</si>
  <si>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</si>
  <si>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</si>
  <si>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</si>
  <si>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</si>
  <si>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</si>
  <si>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</si>
  <si>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</si>
  <si>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</si>
  <si>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</si>
  <si>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</si>
  <si>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</si>
  <si>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</si>
  <si>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</si>
  <si>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</si>
  <si>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</si>
  <si>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</si>
  <si>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</si>
  <si>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</si>
  <si>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NĂM 2025
YEAR 2025</t>
  </si>
  <si>
    <t>NĂM 2024
YEAR 2024</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</si>
  <si>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</si>
  <si>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</si>
  <si>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</si>
  <si>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</si>
  <si>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</si>
  <si>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</si>
  <si>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</si>
  <si>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</si>
  <si>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</si>
  <si>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</si>
  <si>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</si>
  <si>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</si>
  <si>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</si>
  <si>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</si>
  <si>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</si>
  <si>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</si>
  <si>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</si>
  <si>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</si>
  <si>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</si>
  <si>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</si>
  <si>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</si>
  <si>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</si>
  <si>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</si>
  <si>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</si>
  <si>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</si>
  <si>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</si>
  <si>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</si>
  <si>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</si>
  <si>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</si>
  <si>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</si>
  <si>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</si>
  <si>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</si>
  <si>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</si>
  <si>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</si>
  <si>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</si>
  <si>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</si>
  <si>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</si>
  <si>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</si>
  <si>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</si>
  <si>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</si>
  <si>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</si>
  <si>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</si>
  <si>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</si>
  <si>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</si>
  <si>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</si>
  <si>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</si>
  <si>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</si>
  <si>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</si>
  <si>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</si>
  <si>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</si>
  <si>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</si>
  <si>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</si>
  <si>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</si>
  <si>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</si>
  <si>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</si>
  <si>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</si>
  <si>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</si>
  <si>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</si>
  <si>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</si>
  <si>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</si>
  <si>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</si>
  <si>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</si>
  <si>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</si>
  <si>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</si>
  <si>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</si>
  <si>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</si>
  <si>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</si>
  <si>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</si>
  <si>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</si>
  <si>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</si>
  <si>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</si>
  <si>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</si>
  <si>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</si>
  <si>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</si>
  <si>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</si>
  <si>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</si>
  <si>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</si>
  <si>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</si>
  <si>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</si>
  <si>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</si>
  <si>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</si>
  <si>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</si>
  <si>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</si>
  <si>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</si>
  <si>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</si>
  <si>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</si>
  <si>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</si>
  <si>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</si>
  <si>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</si>
  <si>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</si>
  <si>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</si>
  <si>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</si>
  <si>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</si>
  <si>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</si>
  <si>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</si>
  <si>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</si>
  <si>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</si>
  <si>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</si>
  <si>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</si>
  <si>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</si>
  <si>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</si>
  <si>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</si>
  <si>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</si>
  <si>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</si>
  <si>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</si>
  <si>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</si>
  <si>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</si>
  <si>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</si>
  <si>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</si>
  <si>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</si>
  <si>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Tại ngày: 30 tháng 06 năm 2025 / As at 30 Jun 2025</t>
  </si>
  <si>
    <t>CHỈ TIÊU
Indicators</t>
  </si>
  <si>
    <t>Thuyết minh
Notes</t>
  </si>
  <si>
    <t>Tại ngày 30 tháng 06  năm 2025 
As at 30 Jun 2025</t>
  </si>
  <si>
    <t>Tại ngày 31 tháng 03  năm 2025 
As at 31 Mar 2025</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</si>
  <si>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</si>
  <si>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</si>
  <si>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</si>
  <si>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</si>
  <si>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</si>
  <si>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</si>
  <si>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</si>
  <si>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</si>
  <si>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</si>
  <si>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</si>
  <si>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</si>
  <si>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</si>
  <si>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</si>
  <si>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</si>
  <si>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</si>
  <si>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</si>
  <si>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</si>
  <si>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</si>
  <si>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</si>
  <si>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</si>
  <si>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</si>
  <si>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</si>
  <si>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</si>
  <si>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</si>
  <si>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</si>
  <si>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</si>
  <si>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</si>
  <si>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</si>
  <si>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</si>
  <si>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</si>
  <si>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</si>
  <si>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</si>
  <si>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</si>
  <si>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</si>
  <si>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</si>
  <si>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</si>
  <si>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</si>
  <si>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</si>
  <si>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</si>
  <si>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</si>
  <si>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</si>
  <si>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</si>
  <si>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</si>
  <si>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</si>
  <si>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</si>
  <si>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</si>
  <si>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</si>
  <si>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</si>
  <si>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</si>
  <si>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</si>
  <si>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</si>
  <si>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</si>
  <si>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</si>
  <si>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</si>
  <si>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</si>
  <si>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</si>
  <si>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</si>
  <si>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</si>
  <si>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</si>
  <si>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</si>
  <si>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</si>
  <si>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</si>
  <si>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</si>
  <si>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</si>
  <si>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</si>
  <si>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</si>
  <si>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</si>
  <si>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</si>
  <si>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</si>
  <si>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</si>
  <si>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</si>
  <si>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</si>
  <si>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</si>
  <si>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</si>
  <si>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</si>
  <si>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</si>
  <si>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</si>
  <si>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</si>
  <si>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</si>
  <si>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</si>
  <si>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</si>
  <si>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</si>
  <si>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</si>
  <si>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</si>
  <si>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</si>
  <si>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</si>
  <si>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</si>
  <si>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</si>
  <si>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</si>
  <si>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</si>
  <si>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</si>
  <si>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</si>
  <si>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</si>
  <si>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</si>
  <si>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</si>
  <si>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Trả trước phí kiểm toán
Prepaid expense for audit fee</t>
  </si>
  <si>
    <t>137.2.6</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</si>
  <si>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</si>
  <si>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</si>
  <si>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</si>
  <si>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</si>
  <si>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</si>
  <si>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</si>
  <si>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</si>
  <si>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</si>
  <si>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</si>
  <si>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</si>
  <si>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</si>
  <si>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</si>
  <si>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</si>
  <si>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</si>
  <si>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</si>
  <si>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</si>
  <si>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</si>
  <si>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</si>
  <si>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</si>
  <si>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</si>
  <si>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</si>
  <si>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</si>
  <si>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</si>
  <si>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</si>
  <si>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</si>
  <si>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</si>
  <si>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</si>
  <si>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</si>
  <si>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</si>
  <si>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</si>
  <si>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</si>
  <si>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</si>
  <si>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</si>
  <si>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</si>
  <si>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</si>
  <si>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</si>
  <si>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</si>
  <si>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</si>
  <si>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</si>
  <si>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</si>
  <si>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</si>
  <si>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</si>
  <si>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</si>
  <si>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</si>
  <si>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</si>
  <si>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</si>
  <si>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</si>
  <si>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</si>
  <si>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</si>
  <si>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</si>
  <si>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</si>
  <si>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</si>
  <si>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</si>
  <si>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</si>
  <si>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</si>
  <si>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</si>
  <si>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</si>
  <si>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</si>
  <si>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</si>
  <si>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</si>
  <si>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</si>
  <si>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</si>
  <si>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</si>
  <si>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</si>
  <si>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</si>
  <si>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</si>
  <si>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</si>
  <si>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</si>
  <si>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</si>
  <si>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</si>
  <si>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</si>
  <si>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</si>
  <si>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</si>
  <si>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</si>
  <si>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</si>
  <si>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</si>
  <si>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</si>
  <si>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</si>
  <si>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</si>
  <si>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</si>
  <si>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</si>
  <si>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</si>
  <si>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</si>
  <si>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</si>
  <si>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</si>
  <si>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</si>
  <si>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</si>
  <si>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</si>
  <si>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</si>
  <si>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</si>
  <si>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</si>
  <si>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</si>
  <si>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</si>
  <si>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</si>
  <si>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</si>
  <si>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</si>
  <si>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</si>
  <si>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</si>
  <si>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</si>
  <si>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</si>
  <si>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</si>
  <si>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</si>
  <si>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</si>
  <si>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</si>
  <si>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</si>
  <si>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</si>
  <si>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</si>
  <si>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</si>
  <si>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</si>
  <si>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</si>
  <si>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</si>
  <si>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</si>
  <si>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</si>
  <si>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</si>
  <si>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</si>
  <si>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</si>
  <si>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</si>
  <si>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</si>
  <si>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</si>
  <si>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</si>
  <si>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</si>
  <si>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</si>
  <si>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</si>
  <si>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</si>
  <si>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</si>
  <si>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</si>
  <si>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</si>
  <si>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</si>
  <si>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</si>
  <si>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</si>
  <si>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</si>
  <si>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</si>
  <si>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</si>
  <si>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</si>
  <si>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</si>
  <si>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</si>
  <si>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</si>
  <si>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</si>
  <si>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</si>
  <si>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</si>
  <si>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</si>
  <si>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</si>
  <si>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</si>
  <si>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</si>
  <si>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NGUYỄN THỊ PHƯƠNG MỸ</t>
  </si>
  <si>
    <t>LÊ HOÀNG ANH</t>
  </si>
  <si>
    <t>Phó Trưởng Phòng DVKHTC2</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</si>
  <si>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</si>
  <si>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</si>
  <si>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</si>
  <si>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</si>
  <si>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</si>
  <si>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</si>
  <si>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</si>
  <si>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</si>
  <si>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</si>
  <si>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</si>
  <si>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</si>
  <si>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</si>
  <si>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</si>
  <si>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</si>
  <si>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</si>
  <si>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</si>
  <si>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</si>
  <si>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</si>
  <si>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</si>
  <si>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</si>
  <si>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</si>
  <si>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</si>
  <si>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</si>
  <si>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</si>
  <si>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</si>
  <si>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</si>
  <si>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</si>
  <si>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</si>
  <si>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</si>
  <si>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</si>
  <si>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</si>
  <si>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</si>
  <si>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</si>
  <si>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</si>
  <si>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</si>
  <si>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</si>
  <si>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</si>
  <si>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</si>
  <si>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</si>
  <si>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</si>
  <si>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</si>
  <si>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</si>
  <si>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</si>
  <si>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</si>
  <si>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</si>
  <si>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</si>
  <si>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</si>
  <si>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</si>
  <si>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</si>
  <si>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</si>
  <si>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</si>
  <si>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</si>
  <si>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</si>
  <si>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</si>
  <si>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</si>
  <si>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</si>
  <si>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</si>
  <si>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</si>
  <si>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</si>
  <si>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</si>
  <si>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</si>
  <si>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</si>
  <si>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</si>
  <si>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</si>
  <si>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</si>
  <si>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</si>
  <si>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</si>
  <si>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</si>
  <si>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</si>
  <si>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</si>
  <si>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</si>
  <si>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Nguyễn Thị Phương Mỹ</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</si>
  <si>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366 / số ngày kỳ dữ liệu;
• Kỳ dữ liệu là từ ngày 01 tháng 01 năm tài chính đến ngày cuối cùng kỳ báo cáo;
• Tổng chi phí không bao gồm phí môi giới
(**) Indicators 8 through 9 of "Operating Performance Indicators" are annualized to reflect a rate that is based on a full year of operation by: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366 / number of data period days;
• The data period is from January 1 of the fiscal year to the last day of the reporting period;
• Total expense is not including brokerage fees.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</si>
  <si>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</si>
  <si>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Trưởng phòng Kế toán quỹ</t>
  </si>
  <si>
    <t>Ninh Thị Tuệ Minh</t>
  </si>
  <si>
    <t>Quý I năm 2025
Quarter I 2025</t>
  </si>
  <si>
    <t>Quý II năm 2025
Quarter II 2025</t>
  </si>
  <si>
    <t>Quý II năm 2025 / Quarter II 2025</t>
  </si>
  <si>
    <t>Tại ngày 30 tháng 06 năm 2025/ As at 30 June 2025</t>
  </si>
  <si>
    <t>Tại ngày 30 tháng 06  năm 2025 
As at 30 Jun 2025</t>
  </si>
  <si>
    <t>Quý II năm 2024
Quarter II 2024</t>
  </si>
  <si>
    <t>Trưởng phòng Kế toán Quỹ</t>
  </si>
  <si>
    <t>3. Tiền vay gốc
Principle borrowings</t>
  </si>
  <si>
    <t>4. Tiền chi trả nợ gốc vay
Repayments of borrowings</t>
  </si>
  <si>
    <t>Mai Thùy Sâm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</si>
</sst>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 numFmtId="174" formatCode="0.000000000000000000%"/>
  </numFmts>
  <fonts count="35" x14ac:knownFonts="1">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i/>
      <sz val="8"/>
      <color theme="1"/>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2">
    <xf numFmtId="0" fontId="0" fillId="0" borderId="0"/>
    <xf numFmtId="0" fontId="1" fillId="0" borderId="0"/>
    <xf numFmtId="43" fontId="2" fillId="0" borderId="0" applyFont="0" applyFill="0" applyBorder="0" applyAlignment="0" applyProtection="0"/>
    <xf numFmtId="9" fontId="2" fillId="0" borderId="0" applyFont="0" applyFill="0" applyBorder="0" applyAlignment="0" applyProtection="0"/>
    <xf numFmtId="0" fontId="3" fillId="0" borderId="0">
      <alignment vertical="center"/>
    </xf>
    <xf numFmtId="0" fontId="13" fillId="0" borderId="0">
      <alignment vertical="center"/>
    </xf>
    <xf numFmtId="0" fontId="16" fillId="0" borderId="0"/>
    <xf numFmtId="0" fontId="20"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6" fillId="0" borderId="0"/>
  </cellStyleXfs>
  <cellXfs count="399">
    <xf numFmtId="0" fontId="0" fillId="0" borderId="0" xfId="0"/>
    <xf numFmtId="0" fontId="11" fillId="4" borderId="0" xfId="0" applyFont="1" applyFill="1"/>
    <xf numFmtId="0" fontId="11" fillId="4" borderId="0" xfId="0" applyFont="1" applyFill="1" applyAlignment="1">
      <alignment horizontal="left"/>
    </xf>
    <xf numFmtId="0" fontId="10" fillId="5" borderId="12" xfId="0" applyFont="1" applyFill="1" applyBorder="1" applyAlignment="1">
      <alignment vertical="center"/>
    </xf>
    <xf numFmtId="0" fontId="10" fillId="5" borderId="12" xfId="0" applyFont="1" applyFill="1" applyBorder="1" applyAlignment="1">
      <alignment vertical="center" wrapText="1"/>
    </xf>
    <xf numFmtId="0" fontId="10" fillId="5" borderId="13" xfId="0" applyFont="1" applyFill="1" applyBorder="1" applyAlignment="1">
      <alignment vertical="center" wrapText="1"/>
    </xf>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0" fontId="12" fillId="4" borderId="0" xfId="0" applyFont="1" applyFill="1" applyBorder="1"/>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8" xfId="0" applyFont="1" applyFill="1" applyBorder="1" applyAlignment="1">
      <alignment vertical="center" wrapText="1"/>
    </xf>
    <xf numFmtId="166" fontId="10" fillId="5" borderId="0" xfId="0" applyNumberFormat="1" applyFont="1" applyFill="1" applyBorder="1" applyAlignment="1">
      <alignment horizontal="left" vertical="center"/>
    </xf>
    <xf numFmtId="169" fontId="11" fillId="5" borderId="16" xfId="0" applyNumberFormat="1" applyFont="1" applyFill="1" applyBorder="1" applyAlignment="1"/>
    <xf numFmtId="0" fontId="15" fillId="4" borderId="0" xfId="0" applyFont="1" applyFill="1"/>
    <xf numFmtId="0" fontId="11" fillId="4" borderId="0" xfId="0" applyFont="1" applyFill="1" applyBorder="1"/>
    <xf numFmtId="0" fontId="11" fillId="4" borderId="15" xfId="0" applyFont="1" applyFill="1" applyBorder="1"/>
    <xf numFmtId="0" fontId="19" fillId="4" borderId="0" xfId="6" applyFont="1" applyFill="1" applyBorder="1" applyAlignment="1">
      <alignment horizontal="center" vertical="center"/>
    </xf>
    <xf numFmtId="0" fontId="18" fillId="4" borderId="0" xfId="6" applyFont="1" applyFill="1" applyBorder="1" applyAlignment="1">
      <alignment horizontal="center" vertical="center"/>
    </xf>
    <xf numFmtId="0" fontId="10" fillId="4" borderId="19" xfId="0" applyFont="1" applyFill="1" applyBorder="1" applyAlignment="1">
      <alignment horizontal="center" vertical="center"/>
    </xf>
    <xf numFmtId="0" fontId="10" fillId="4" borderId="19" xfId="0" applyFont="1" applyFill="1" applyBorder="1" applyAlignment="1">
      <alignment horizontal="left" vertical="center"/>
    </xf>
    <xf numFmtId="0" fontId="11" fillId="4" borderId="19" xfId="0" applyFont="1" applyFill="1" applyBorder="1" applyAlignment="1">
      <alignment horizontal="center" vertical="center"/>
    </xf>
    <xf numFmtId="0" fontId="21" fillId="4" borderId="19" xfId="7" applyFont="1" applyFill="1" applyBorder="1" applyAlignment="1">
      <alignment horizontal="center" vertical="center"/>
    </xf>
    <xf numFmtId="0" fontId="21" fillId="4" borderId="19" xfId="7" quotePrefix="1" applyFont="1" applyFill="1" applyBorder="1" applyAlignment="1">
      <alignment horizontal="center" vertical="center"/>
    </xf>
    <xf numFmtId="0" fontId="18" fillId="4" borderId="19" xfId="6" applyFont="1" applyFill="1" applyBorder="1" applyAlignment="1">
      <alignment horizontal="center" vertical="center"/>
    </xf>
    <xf numFmtId="0" fontId="22" fillId="4" borderId="0" xfId="0" applyFont="1" applyFill="1" applyBorder="1"/>
    <xf numFmtId="0" fontId="15" fillId="4" borderId="0" xfId="0" applyFont="1" applyFill="1" applyBorder="1" applyAlignment="1">
      <alignment vertical="center"/>
    </xf>
    <xf numFmtId="0" fontId="23" fillId="5" borderId="0" xfId="8" applyFont="1" applyFill="1"/>
    <xf numFmtId="0" fontId="9" fillId="5" borderId="0" xfId="8" applyFont="1" applyFill="1" applyAlignment="1">
      <alignment wrapText="1"/>
    </xf>
    <xf numFmtId="0" fontId="8" fillId="5" borderId="0" xfId="8" applyFont="1" applyFill="1" applyAlignment="1">
      <alignment horizontal="center"/>
    </xf>
    <xf numFmtId="0" fontId="4" fillId="5" borderId="0" xfId="8" applyFont="1" applyFill="1" applyAlignment="1">
      <alignment horizontal="center"/>
    </xf>
    <xf numFmtId="171" fontId="4" fillId="5" borderId="0" xfId="9" applyNumberFormat="1" applyFont="1" applyFill="1" applyAlignment="1">
      <alignment horizontal="center"/>
    </xf>
    <xf numFmtId="0" fontId="4" fillId="5" borderId="0" xfId="8" applyFont="1" applyFill="1" applyAlignment="1">
      <alignment horizontal="center" vertical="center" wrapText="1"/>
    </xf>
    <xf numFmtId="0" fontId="4" fillId="5" borderId="0" xfId="8" applyFont="1" applyFill="1" applyAlignment="1">
      <alignment horizontal="left" vertical="center"/>
    </xf>
    <xf numFmtId="0" fontId="7" fillId="5" borderId="0" xfId="8" applyFont="1" applyFill="1" applyAlignment="1">
      <alignment horizontal="left" vertical="center"/>
    </xf>
    <xf numFmtId="171" fontId="7" fillId="5" borderId="0" xfId="9" applyNumberFormat="1" applyFont="1" applyFill="1" applyAlignment="1">
      <alignment horizontal="center"/>
    </xf>
    <xf numFmtId="0" fontId="7" fillId="5" borderId="0" xfId="8" applyFont="1" applyFill="1" applyAlignment="1">
      <alignment horizontal="center"/>
    </xf>
    <xf numFmtId="0" fontId="4" fillId="5" borderId="0" xfId="8" applyFont="1" applyFill="1" applyAlignment="1">
      <alignment horizontal="center" vertical="center"/>
    </xf>
    <xf numFmtId="0" fontId="4" fillId="5" borderId="0" xfId="8" applyFont="1" applyFill="1" applyAlignment="1">
      <alignment horizontal="left" wrapText="1"/>
    </xf>
    <xf numFmtId="0" fontId="4" fillId="5" borderId="0" xfId="8" applyFont="1" applyFill="1" applyAlignment="1">
      <alignment vertical="center"/>
    </xf>
    <xf numFmtId="48" fontId="7" fillId="5" borderId="0" xfId="8" applyNumberFormat="1" applyFont="1" applyFill="1" applyAlignment="1" applyProtection="1">
      <alignment horizontal="left" vertical="center" wrapText="1"/>
      <protection locked="0"/>
    </xf>
    <xf numFmtId="0" fontId="7" fillId="5" borderId="0" xfId="8" applyFont="1" applyFill="1" applyAlignment="1">
      <alignment horizontal="left" wrapText="1"/>
    </xf>
    <xf numFmtId="0" fontId="25" fillId="6" borderId="0" xfId="10" applyNumberFormat="1" applyFont="1" applyFill="1" applyBorder="1" applyAlignment="1" applyProtection="1">
      <alignment vertical="top"/>
    </xf>
    <xf numFmtId="0" fontId="7" fillId="5" borderId="0" xfId="8" applyFont="1" applyFill="1" applyAlignment="1">
      <alignment vertical="center"/>
    </xf>
    <xf numFmtId="3" fontId="7" fillId="5" borderId="0" xfId="8" applyNumberFormat="1" applyFont="1" applyFill="1" applyAlignment="1">
      <alignment horizontal="left" vertical="center" wrapText="1"/>
    </xf>
    <xf numFmtId="48" fontId="4" fillId="5" borderId="0" xfId="8" applyNumberFormat="1" applyFont="1" applyFill="1" applyAlignment="1" applyProtection="1">
      <alignment horizontal="left" vertical="center" wrapText="1"/>
      <protection locked="0"/>
    </xf>
    <xf numFmtId="48" fontId="7" fillId="5" borderId="0" xfId="8"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8" applyNumberFormat="1" applyFont="1" applyFill="1" applyAlignment="1">
      <alignment horizontal="left" vertical="center" wrapText="1"/>
    </xf>
    <xf numFmtId="0" fontId="7" fillId="5" borderId="0" xfId="8" applyFont="1" applyFill="1" applyAlignment="1">
      <alignment horizontal="left" vertical="center" wrapText="1"/>
    </xf>
    <xf numFmtId="0" fontId="23" fillId="5" borderId="0" xfId="8" applyFont="1" applyFill="1" applyAlignment="1">
      <alignment horizontal="left"/>
    </xf>
    <xf numFmtId="3" fontId="7" fillId="5" borderId="0" xfId="8" applyNumberFormat="1" applyFont="1" applyFill="1" applyAlignment="1">
      <alignment wrapText="1"/>
    </xf>
    <xf numFmtId="3" fontId="4" fillId="5" borderId="0" xfId="8" applyNumberFormat="1" applyFont="1" applyFill="1" applyAlignment="1">
      <alignment wrapText="1"/>
    </xf>
    <xf numFmtId="0" fontId="27" fillId="5" borderId="0" xfId="8" applyFont="1" applyFill="1"/>
    <xf numFmtId="0" fontId="26" fillId="7" borderId="19" xfId="8" applyFont="1" applyFill="1" applyBorder="1" applyAlignment="1">
      <alignment horizontal="center" vertical="center" wrapText="1"/>
    </xf>
    <xf numFmtId="0" fontId="23" fillId="0" borderId="19" xfId="8" applyFont="1" applyFill="1" applyBorder="1" applyAlignment="1">
      <alignment horizontal="center" vertical="center"/>
    </xf>
    <xf numFmtId="49" fontId="23" fillId="0" borderId="19" xfId="8" applyNumberFormat="1" applyFont="1" applyFill="1" applyBorder="1" applyAlignment="1" applyProtection="1">
      <alignment horizontal="left" vertical="center" wrapText="1"/>
    </xf>
    <xf numFmtId="49" fontId="29" fillId="0" borderId="19" xfId="8" applyNumberFormat="1" applyFont="1" applyFill="1" applyBorder="1" applyAlignment="1" applyProtection="1">
      <alignment horizontal="center" vertical="center" wrapText="1"/>
    </xf>
    <xf numFmtId="49" fontId="27" fillId="0" borderId="19" xfId="8" applyNumberFormat="1" applyFont="1" applyFill="1" applyBorder="1" applyAlignment="1" applyProtection="1">
      <alignment horizontal="left" vertical="center" wrapText="1"/>
    </xf>
    <xf numFmtId="49" fontId="23" fillId="0" borderId="19" xfId="8" applyNumberFormat="1" applyFont="1" applyFill="1" applyBorder="1" applyAlignment="1" applyProtection="1">
      <alignment horizontal="center" vertical="center" wrapText="1"/>
    </xf>
    <xf numFmtId="0" fontId="8" fillId="5" borderId="0" xfId="8" applyFont="1" applyFill="1"/>
    <xf numFmtId="173" fontId="28" fillId="5" borderId="0" xfId="11" applyNumberFormat="1" applyFont="1" applyFill="1" applyAlignment="1">
      <alignment vertical="center" wrapText="1"/>
    </xf>
    <xf numFmtId="0" fontId="27" fillId="5" borderId="0" xfId="11" applyFont="1" applyFill="1" applyBorder="1" applyAlignment="1">
      <alignment vertical="center"/>
    </xf>
    <xf numFmtId="171" fontId="28" fillId="5" borderId="0" xfId="9" applyNumberFormat="1" applyFont="1" applyFill="1" applyBorder="1" applyAlignment="1">
      <alignment vertical="center" wrapText="1"/>
    </xf>
    <xf numFmtId="0" fontId="28" fillId="5" borderId="0" xfId="11" applyFont="1" applyFill="1" applyBorder="1" applyAlignment="1">
      <alignment vertical="center"/>
    </xf>
    <xf numFmtId="0" fontId="28" fillId="5" borderId="0" xfId="11" applyFont="1" applyFill="1" applyBorder="1" applyAlignment="1">
      <alignment vertical="center" wrapText="1"/>
    </xf>
    <xf numFmtId="171" fontId="28" fillId="5" borderId="0" xfId="9" applyNumberFormat="1" applyFont="1" applyFill="1" applyBorder="1" applyAlignment="1">
      <alignment horizontal="right" vertical="center" wrapText="1"/>
    </xf>
    <xf numFmtId="171" fontId="28" fillId="5" borderId="0" xfId="9" applyNumberFormat="1" applyFont="1" applyFill="1" applyBorder="1" applyAlignment="1">
      <alignment horizontal="left" vertical="center"/>
    </xf>
    <xf numFmtId="2" fontId="27" fillId="5" borderId="0" xfId="11" applyNumberFormat="1" applyFont="1" applyFill="1" applyAlignment="1">
      <alignment vertical="center"/>
    </xf>
    <xf numFmtId="171" fontId="28" fillId="5" borderId="0" xfId="9" applyNumberFormat="1" applyFont="1" applyFill="1" applyBorder="1" applyAlignment="1">
      <alignment horizontal="right" vertical="center"/>
    </xf>
    <xf numFmtId="171" fontId="28" fillId="5" borderId="0" xfId="9" applyNumberFormat="1" applyFont="1" applyFill="1" applyAlignment="1">
      <alignment horizontal="right" vertical="center"/>
    </xf>
    <xf numFmtId="2" fontId="27" fillId="5" borderId="0" xfId="11" applyNumberFormat="1" applyFont="1" applyFill="1" applyAlignment="1">
      <alignment horizontal="right" vertical="center"/>
    </xf>
    <xf numFmtId="171" fontId="27" fillId="5" borderId="0" xfId="9" applyNumberFormat="1" applyFont="1" applyFill="1" applyAlignment="1">
      <alignment horizontal="right" vertical="center"/>
    </xf>
    <xf numFmtId="2" fontId="28" fillId="5" borderId="0" xfId="11" applyNumberFormat="1" applyFont="1" applyFill="1" applyAlignment="1">
      <alignment vertical="center"/>
    </xf>
    <xf numFmtId="2" fontId="27" fillId="5" borderId="15" xfId="11" applyNumberFormat="1" applyFont="1" applyFill="1" applyBorder="1" applyAlignment="1">
      <alignment vertical="center"/>
    </xf>
    <xf numFmtId="171" fontId="27" fillId="5" borderId="15" xfId="9" applyNumberFormat="1" applyFont="1" applyFill="1" applyBorder="1" applyAlignment="1">
      <alignment horizontal="right" vertical="center"/>
    </xf>
    <xf numFmtId="2" fontId="27" fillId="5" borderId="0" xfId="11" applyNumberFormat="1" applyFont="1" applyFill="1" applyBorder="1" applyAlignment="1">
      <alignment horizontal="right" vertical="center"/>
    </xf>
    <xf numFmtId="0" fontId="23" fillId="5" borderId="0" xfId="8" applyFont="1" applyFill="1" applyBorder="1"/>
    <xf numFmtId="2" fontId="27" fillId="5" borderId="0" xfId="11" applyNumberFormat="1" applyFont="1" applyFill="1" applyBorder="1" applyAlignment="1">
      <alignment vertical="center"/>
    </xf>
    <xf numFmtId="0" fontId="23" fillId="5" borderId="0" xfId="8" applyFont="1" applyFill="1" applyAlignment="1">
      <alignment vertical="center"/>
    </xf>
    <xf numFmtId="2" fontId="23" fillId="5" borderId="0" xfId="11" applyNumberFormat="1" applyFont="1" applyFill="1" applyAlignment="1">
      <alignment vertical="center"/>
    </xf>
    <xf numFmtId="0" fontId="28" fillId="0" borderId="0" xfId="8" applyFont="1" applyFill="1" applyAlignment="1">
      <alignment vertical="center"/>
    </xf>
    <xf numFmtId="0" fontId="28" fillId="5" borderId="0" xfId="8" applyFont="1" applyFill="1" applyAlignment="1">
      <alignment vertical="center"/>
    </xf>
    <xf numFmtId="0" fontId="30" fillId="6" borderId="0" xfId="0" applyFont="1" applyFill="1" applyAlignment="1">
      <alignment horizontal="right" vertical="center"/>
    </xf>
    <xf numFmtId="0" fontId="23"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24" xfId="0" applyFont="1" applyFill="1" applyBorder="1" applyAlignment="1">
      <alignment horizontal="left" vertical="top"/>
    </xf>
    <xf numFmtId="0" fontId="25" fillId="6" borderId="24" xfId="0" applyFont="1" applyFill="1" applyBorder="1" applyAlignment="1">
      <alignment horizontal="right" vertical="top"/>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25" fillId="6" borderId="28" xfId="0" applyFont="1" applyFill="1" applyBorder="1" applyAlignment="1">
      <alignment horizontal="center" vertical="center"/>
    </xf>
    <xf numFmtId="0" fontId="25" fillId="6" borderId="6" xfId="0" applyFont="1" applyFill="1" applyBorder="1" applyAlignment="1">
      <alignment horizontal="left" vertical="center" wrapText="1"/>
    </xf>
    <xf numFmtId="0" fontId="25" fillId="6" borderId="6" xfId="0" applyFont="1" applyFill="1" applyBorder="1" applyAlignment="1">
      <alignment horizontal="center" vertical="center"/>
    </xf>
    <xf numFmtId="171" fontId="30" fillId="6" borderId="6" xfId="2" applyNumberFormat="1" applyFont="1" applyFill="1" applyBorder="1" applyAlignment="1">
      <alignment horizontal="right" vertical="center"/>
    </xf>
    <xf numFmtId="164" fontId="25" fillId="6" borderId="29" xfId="0" applyNumberFormat="1" applyFont="1" applyFill="1" applyBorder="1" applyAlignment="1">
      <alignment horizontal="right" vertical="center"/>
    </xf>
    <xf numFmtId="171" fontId="25" fillId="6" borderId="6" xfId="2" applyNumberFormat="1" applyFont="1" applyFill="1" applyBorder="1" applyAlignment="1">
      <alignment horizontal="right" vertical="center"/>
    </xf>
    <xf numFmtId="171" fontId="23" fillId="0" borderId="0" xfId="0" applyNumberFormat="1" applyFont="1"/>
    <xf numFmtId="171" fontId="33" fillId="6" borderId="6" xfId="2" applyNumberFormat="1" applyFont="1" applyFill="1" applyBorder="1" applyAlignment="1">
      <alignment horizontal="right" vertical="center"/>
    </xf>
    <xf numFmtId="0" fontId="30" fillId="6" borderId="28" xfId="0" applyFont="1" applyFill="1" applyBorder="1" applyAlignment="1">
      <alignment horizontal="center" vertical="center"/>
    </xf>
    <xf numFmtId="0" fontId="30" fillId="6" borderId="6" xfId="0" applyFont="1" applyFill="1" applyBorder="1" applyAlignment="1">
      <alignment horizontal="left" vertical="center" wrapText="1"/>
    </xf>
    <xf numFmtId="0" fontId="30" fillId="6" borderId="6" xfId="0" applyFont="1" applyFill="1" applyBorder="1" applyAlignment="1">
      <alignment horizontal="center" vertical="center"/>
    </xf>
    <xf numFmtId="164" fontId="30" fillId="6" borderId="29" xfId="0" applyNumberFormat="1" applyFont="1" applyFill="1" applyBorder="1" applyAlignment="1">
      <alignment horizontal="right" vertical="center"/>
    </xf>
    <xf numFmtId="0" fontId="26" fillId="0" borderId="0" xfId="0" applyFont="1"/>
    <xf numFmtId="171" fontId="25" fillId="0" borderId="6" xfId="2" applyNumberFormat="1" applyFont="1" applyFill="1" applyBorder="1" applyAlignment="1">
      <alignment horizontal="right" vertical="center"/>
    </xf>
    <xf numFmtId="164" fontId="25" fillId="0" borderId="29" xfId="0" applyNumberFormat="1" applyFont="1" applyFill="1" applyBorder="1" applyAlignment="1">
      <alignment horizontal="right" vertical="center"/>
    </xf>
    <xf numFmtId="171" fontId="33" fillId="0" borderId="6" xfId="2" applyNumberFormat="1" applyFont="1" applyFill="1" applyBorder="1" applyAlignment="1">
      <alignment horizontal="right" vertical="center"/>
    </xf>
    <xf numFmtId="0" fontId="25" fillId="6" borderId="30" xfId="0" applyFont="1" applyFill="1" applyBorder="1" applyAlignment="1">
      <alignment horizontal="center" vertical="center"/>
    </xf>
    <xf numFmtId="0" fontId="25" fillId="6" borderId="31" xfId="0" applyFont="1" applyFill="1" applyBorder="1" applyAlignment="1">
      <alignment horizontal="left" vertical="center" wrapText="1"/>
    </xf>
    <xf numFmtId="0" fontId="25" fillId="6" borderId="31" xfId="0" applyFont="1" applyFill="1" applyBorder="1" applyAlignment="1">
      <alignment horizontal="center" vertical="center"/>
    </xf>
    <xf numFmtId="164" fontId="25" fillId="6" borderId="32" xfId="0" applyNumberFormat="1" applyFont="1" applyFill="1" applyBorder="1" applyAlignment="1">
      <alignment horizontal="right" vertical="center"/>
    </xf>
    <xf numFmtId="0" fontId="33" fillId="6" borderId="0" xfId="0" applyFont="1" applyFill="1" applyAlignment="1">
      <alignment horizontal="center"/>
    </xf>
    <xf numFmtId="0" fontId="30" fillId="6" borderId="0" xfId="0" applyFont="1" applyFill="1" applyAlignment="1">
      <alignment horizontal="center" vertical="top"/>
    </xf>
    <xf numFmtId="171" fontId="23" fillId="0" borderId="0" xfId="2" applyNumberFormat="1" applyFont="1"/>
    <xf numFmtId="171" fontId="23" fillId="0" borderId="0" xfId="2" applyNumberFormat="1" applyFont="1" applyAlignment="1">
      <alignment vertical="top"/>
    </xf>
    <xf numFmtId="0" fontId="23" fillId="0" borderId="0" xfId="0" applyFont="1" applyAlignment="1">
      <alignment vertical="top"/>
    </xf>
    <xf numFmtId="0" fontId="30" fillId="6" borderId="0" xfId="0" applyFont="1" applyFill="1" applyAlignment="1">
      <alignment horizontal="center" vertical="center"/>
    </xf>
    <xf numFmtId="171" fontId="23" fillId="0" borderId="0" xfId="2" applyNumberFormat="1" applyFont="1" applyAlignment="1">
      <alignment vertical="center"/>
    </xf>
    <xf numFmtId="0" fontId="23" fillId="0" borderId="0" xfId="0" applyFont="1" applyAlignment="1">
      <alignment vertical="center"/>
    </xf>
    <xf numFmtId="165" fontId="30" fillId="6" borderId="28" xfId="0" applyNumberFormat="1" applyFont="1" applyFill="1" applyBorder="1" applyAlignment="1">
      <alignment horizontal="center" vertical="center"/>
    </xf>
    <xf numFmtId="165" fontId="30" fillId="6" borderId="6" xfId="0" applyNumberFormat="1" applyFont="1" applyFill="1" applyBorder="1" applyAlignment="1">
      <alignment horizontal="left" vertical="center" wrapText="1"/>
    </xf>
    <xf numFmtId="165" fontId="30" fillId="6" borderId="6" xfId="0" applyNumberFormat="1" applyFont="1" applyFill="1" applyBorder="1" applyAlignment="1">
      <alignment horizontal="center" vertical="center"/>
    </xf>
    <xf numFmtId="171" fontId="30" fillId="6" borderId="29" xfId="2" applyNumberFormat="1" applyFont="1" applyFill="1" applyBorder="1" applyAlignment="1">
      <alignment horizontal="right" vertical="center"/>
    </xf>
    <xf numFmtId="171" fontId="23" fillId="0" borderId="0" xfId="0" applyNumberFormat="1" applyFont="1" applyAlignment="1">
      <alignment vertical="center"/>
    </xf>
    <xf numFmtId="165" fontId="25" fillId="6" borderId="28" xfId="0" applyNumberFormat="1" applyFont="1" applyFill="1" applyBorder="1" applyAlignment="1">
      <alignment horizontal="center" vertical="center"/>
    </xf>
    <xf numFmtId="165" fontId="25" fillId="6" borderId="6" xfId="0" applyNumberFormat="1" applyFont="1" applyFill="1" applyBorder="1" applyAlignment="1">
      <alignment horizontal="left" vertical="center" wrapText="1"/>
    </xf>
    <xf numFmtId="165" fontId="25" fillId="6" borderId="6" xfId="0" applyNumberFormat="1" applyFont="1" applyFill="1" applyBorder="1" applyAlignment="1">
      <alignment horizontal="center" vertical="center"/>
    </xf>
    <xf numFmtId="171" fontId="25" fillId="6" borderId="29" xfId="2" applyNumberFormat="1" applyFont="1" applyFill="1" applyBorder="1" applyAlignment="1">
      <alignment horizontal="right" vertical="center"/>
    </xf>
    <xf numFmtId="165" fontId="33" fillId="6" borderId="28" xfId="0" applyNumberFormat="1" applyFont="1" applyFill="1" applyBorder="1" applyAlignment="1">
      <alignment horizontal="center" vertical="center"/>
    </xf>
    <xf numFmtId="165" fontId="33" fillId="6" borderId="6" xfId="0" applyNumberFormat="1" applyFont="1" applyFill="1" applyBorder="1" applyAlignment="1">
      <alignment horizontal="left" vertical="center" wrapText="1"/>
    </xf>
    <xf numFmtId="165" fontId="33" fillId="6" borderId="6" xfId="0" applyNumberFormat="1" applyFont="1" applyFill="1" applyBorder="1" applyAlignment="1">
      <alignment horizontal="center" vertical="center"/>
    </xf>
    <xf numFmtId="171" fontId="33" fillId="6" borderId="29" xfId="2" applyNumberFormat="1" applyFont="1" applyFill="1" applyBorder="1" applyAlignment="1">
      <alignment horizontal="right" vertical="center"/>
    </xf>
    <xf numFmtId="165" fontId="25" fillId="6" borderId="30" xfId="0" applyNumberFormat="1" applyFont="1" applyFill="1" applyBorder="1" applyAlignment="1">
      <alignment horizontal="center" vertical="center"/>
    </xf>
    <xf numFmtId="165" fontId="25" fillId="6" borderId="31" xfId="0" applyNumberFormat="1" applyFont="1" applyFill="1" applyBorder="1" applyAlignment="1">
      <alignment horizontal="left" vertical="center" wrapText="1"/>
    </xf>
    <xf numFmtId="165" fontId="25" fillId="6" borderId="31" xfId="0" applyNumberFormat="1" applyFont="1" applyFill="1" applyBorder="1" applyAlignment="1">
      <alignment horizontal="center" vertical="center"/>
    </xf>
    <xf numFmtId="171" fontId="25" fillId="6" borderId="31" xfId="2" applyNumberFormat="1" applyFont="1" applyFill="1" applyBorder="1" applyAlignment="1">
      <alignment horizontal="right" vertical="center"/>
    </xf>
    <xf numFmtId="171" fontId="25" fillId="6" borderId="32"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24" xfId="0" applyFont="1" applyFill="1" applyBorder="1" applyAlignment="1">
      <alignment horizontal="left" vertical="center"/>
    </xf>
    <xf numFmtId="0" fontId="25" fillId="6" borderId="24" xfId="0" applyFont="1" applyFill="1" applyBorder="1" applyAlignment="1">
      <alignment horizontal="right" vertical="center"/>
    </xf>
    <xf numFmtId="4" fontId="25" fillId="6" borderId="6" xfId="0" applyNumberFormat="1" applyFont="1" applyFill="1" applyBorder="1" applyAlignment="1">
      <alignment horizontal="right" vertical="center"/>
    </xf>
    <xf numFmtId="165" fontId="25" fillId="6" borderId="6" xfId="0" applyNumberFormat="1" applyFont="1" applyFill="1" applyBorder="1" applyAlignment="1">
      <alignment horizontal="right" vertical="center"/>
    </xf>
    <xf numFmtId="43" fontId="25" fillId="6" borderId="29" xfId="2" applyFont="1" applyFill="1" applyBorder="1" applyAlignment="1">
      <alignment horizontal="right" vertical="center"/>
    </xf>
    <xf numFmtId="43" fontId="25" fillId="6" borderId="6" xfId="2" applyFont="1" applyFill="1" applyBorder="1" applyAlignment="1">
      <alignment horizontal="right" vertical="center"/>
    </xf>
    <xf numFmtId="10" fontId="25" fillId="6" borderId="29" xfId="3" applyNumberFormat="1" applyFont="1" applyFill="1" applyBorder="1" applyAlignment="1">
      <alignment horizontal="right" vertical="center"/>
    </xf>
    <xf numFmtId="165" fontId="23" fillId="0" borderId="0" xfId="0" applyNumberFormat="1" applyFont="1" applyAlignment="1">
      <alignment vertical="center"/>
    </xf>
    <xf numFmtId="0" fontId="30" fillId="3" borderId="33" xfId="0" applyFont="1" applyFill="1" applyBorder="1" applyAlignment="1">
      <alignment horizontal="center" vertical="center" wrapText="1"/>
    </xf>
    <xf numFmtId="0" fontId="30" fillId="3" borderId="34" xfId="0" applyFont="1" applyFill="1" applyBorder="1" applyAlignment="1">
      <alignment horizontal="center" vertical="center" wrapText="1"/>
    </xf>
    <xf numFmtId="0" fontId="30" fillId="3" borderId="35" xfId="0" applyFont="1" applyFill="1" applyBorder="1" applyAlignment="1">
      <alignment horizontal="center" vertical="center" wrapText="1"/>
    </xf>
    <xf numFmtId="0" fontId="33" fillId="6" borderId="24" xfId="0" applyFont="1" applyFill="1" applyBorder="1" applyAlignment="1">
      <alignment horizontal="right" vertical="center"/>
    </xf>
    <xf numFmtId="3" fontId="30" fillId="6" borderId="6" xfId="0" applyNumberFormat="1" applyFont="1" applyFill="1" applyBorder="1" applyAlignment="1">
      <alignment horizontal="right" vertical="center"/>
    </xf>
    <xf numFmtId="3" fontId="30" fillId="6" borderId="29" xfId="0" applyNumberFormat="1" applyFont="1" applyFill="1" applyBorder="1" applyAlignment="1">
      <alignment horizontal="right" vertical="center"/>
    </xf>
    <xf numFmtId="164" fontId="25" fillId="6" borderId="6" xfId="0" applyNumberFormat="1" applyFont="1" applyFill="1" applyBorder="1" applyAlignment="1">
      <alignment horizontal="right" vertical="center"/>
    </xf>
    <xf numFmtId="10" fontId="23" fillId="0" borderId="0" xfId="0" applyNumberFormat="1" applyFont="1" applyAlignment="1">
      <alignment vertical="center"/>
    </xf>
    <xf numFmtId="174" fontId="23" fillId="0" borderId="0" xfId="0" applyNumberFormat="1" applyFont="1" applyAlignment="1">
      <alignment vertical="center"/>
    </xf>
    <xf numFmtId="171" fontId="25" fillId="6" borderId="6" xfId="2" applyNumberFormat="1" applyFont="1" applyFill="1" applyBorder="1" applyAlignment="1" applyProtection="1">
      <alignment horizontal="right" vertical="center"/>
    </xf>
    <xf numFmtId="171" fontId="25" fillId="6" borderId="29" xfId="2" applyNumberFormat="1" applyFont="1" applyFill="1" applyBorder="1" applyAlignment="1" applyProtection="1">
      <alignment horizontal="right" vertical="center"/>
    </xf>
    <xf numFmtId="164" fontId="27" fillId="0" borderId="6" xfId="0" applyNumberFormat="1" applyFont="1" applyFill="1" applyBorder="1" applyAlignment="1">
      <alignment horizontal="right" vertical="center"/>
    </xf>
    <xf numFmtId="4" fontId="25" fillId="0" borderId="6" xfId="0" applyNumberFormat="1" applyFont="1" applyFill="1" applyBorder="1" applyAlignment="1">
      <alignment horizontal="right" vertical="center"/>
    </xf>
    <xf numFmtId="4" fontId="25" fillId="0" borderId="29" xfId="0" applyNumberFormat="1" applyFont="1" applyFill="1" applyBorder="1" applyAlignment="1">
      <alignment horizontal="right" vertical="center"/>
    </xf>
    <xf numFmtId="3" fontId="25" fillId="0" borderId="6" xfId="0" applyNumberFormat="1" applyFont="1" applyFill="1" applyBorder="1" applyAlignment="1">
      <alignment horizontal="right" vertical="center"/>
    </xf>
    <xf numFmtId="3" fontId="25" fillId="0" borderId="29" xfId="0" applyNumberFormat="1" applyFont="1" applyFill="1" applyBorder="1" applyAlignment="1">
      <alignment horizontal="right" vertical="center"/>
    </xf>
    <xf numFmtId="3" fontId="25" fillId="0" borderId="31" xfId="0" applyNumberFormat="1" applyFont="1" applyFill="1" applyBorder="1" applyAlignment="1">
      <alignment horizontal="right" vertical="center" wrapText="1"/>
    </xf>
    <xf numFmtId="3" fontId="25" fillId="0" borderId="32" xfId="0" applyNumberFormat="1" applyFont="1" applyFill="1" applyBorder="1" applyAlignment="1">
      <alignment horizontal="right" vertical="center"/>
    </xf>
    <xf numFmtId="0" fontId="25" fillId="0" borderId="0" xfId="0" applyFont="1" applyAlignment="1">
      <alignment horizontal="left" vertical="center"/>
    </xf>
    <xf numFmtId="0" fontId="33" fillId="6" borderId="0" xfId="0" applyFont="1" applyFill="1" applyAlignment="1">
      <alignment horizontal="center" vertical="center"/>
    </xf>
    <xf numFmtId="0" fontId="11" fillId="0" borderId="0" xfId="0" applyFont="1"/>
    <xf numFmtId="0" fontId="23" fillId="0" borderId="0" xfId="0" applyFont="1" applyAlignment="1">
      <alignment horizontal="center" vertical="center"/>
    </xf>
    <xf numFmtId="0" fontId="30" fillId="3" borderId="10" xfId="0" applyNumberFormat="1" applyFont="1" applyFill="1" applyBorder="1" applyAlignment="1" applyProtection="1">
      <alignment horizontal="center" vertical="center" wrapText="1"/>
    </xf>
    <xf numFmtId="0" fontId="30" fillId="3" borderId="40" xfId="0" applyNumberFormat="1" applyFont="1" applyFill="1" applyBorder="1" applyAlignment="1" applyProtection="1">
      <alignment horizontal="center" vertical="center" wrapText="1"/>
    </xf>
    <xf numFmtId="0" fontId="30" fillId="6" borderId="28" xfId="0" applyFont="1" applyFill="1" applyBorder="1" applyAlignment="1">
      <alignment horizontal="left" vertical="center" wrapText="1"/>
    </xf>
    <xf numFmtId="0" fontId="30" fillId="6" borderId="6"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6" xfId="0" applyFont="1" applyFill="1" applyBorder="1" applyAlignment="1">
      <alignment horizontal="center" vertical="center" wrapText="1"/>
    </xf>
    <xf numFmtId="0" fontId="33" fillId="6" borderId="28" xfId="0" applyFont="1" applyFill="1" applyBorder="1" applyAlignment="1">
      <alignment horizontal="left" vertical="center" wrapText="1"/>
    </xf>
    <xf numFmtId="0" fontId="33" fillId="6" borderId="6" xfId="0" applyFont="1" applyFill="1" applyBorder="1" applyAlignment="1">
      <alignment horizontal="center" vertical="center" wrapText="1"/>
    </xf>
    <xf numFmtId="0" fontId="33" fillId="6" borderId="6" xfId="0" applyFont="1" applyFill="1" applyBorder="1" applyAlignment="1">
      <alignment horizontal="center" vertical="center"/>
    </xf>
    <xf numFmtId="0" fontId="30" fillId="6" borderId="30" xfId="0" applyFont="1" applyFill="1" applyBorder="1" applyAlignment="1">
      <alignment horizontal="left" vertical="center" wrapText="1"/>
    </xf>
    <xf numFmtId="0" fontId="30" fillId="6" borderId="31" xfId="0" applyFont="1" applyFill="1" applyBorder="1" applyAlignment="1">
      <alignment horizontal="center" vertical="center" wrapText="1"/>
    </xf>
    <xf numFmtId="0" fontId="30" fillId="6" borderId="31" xfId="0" applyFont="1" applyFill="1" applyBorder="1" applyAlignment="1">
      <alignment horizontal="center" vertical="center"/>
    </xf>
    <xf numFmtId="171" fontId="30" fillId="6" borderId="31" xfId="2" applyNumberFormat="1" applyFont="1" applyFill="1" applyBorder="1" applyAlignment="1">
      <alignment horizontal="right" vertical="center"/>
    </xf>
    <xf numFmtId="171" fontId="30" fillId="6" borderId="32" xfId="2" applyNumberFormat="1" applyFont="1" applyFill="1" applyBorder="1" applyAlignment="1">
      <alignment horizontal="right" vertical="center"/>
    </xf>
    <xf numFmtId="0" fontId="23" fillId="0" borderId="0" xfId="0" applyFont="1" applyAlignment="1">
      <alignment wrapText="1"/>
    </xf>
    <xf numFmtId="0" fontId="33" fillId="6" borderId="0" xfId="0" applyFont="1" applyFill="1" applyAlignment="1">
      <alignment horizontal="right" vertical="top"/>
    </xf>
    <xf numFmtId="14" fontId="30" fillId="3" borderId="26" xfId="0" applyNumberFormat="1" applyFont="1" applyFill="1" applyBorder="1" applyAlignment="1">
      <alignment horizontal="center" vertical="center" wrapText="1"/>
    </xf>
    <xf numFmtId="167" fontId="30" fillId="6" borderId="28" xfId="0" applyNumberFormat="1" applyFont="1" applyFill="1" applyBorder="1" applyAlignment="1">
      <alignment horizontal="center" vertical="top"/>
    </xf>
    <xf numFmtId="167" fontId="30" fillId="6" borderId="6" xfId="0" applyNumberFormat="1" applyFont="1" applyFill="1" applyBorder="1" applyAlignment="1">
      <alignment horizontal="left" vertical="top" wrapText="1"/>
    </xf>
    <xf numFmtId="167" fontId="30" fillId="6" borderId="6" xfId="0" applyNumberFormat="1" applyFont="1" applyFill="1" applyBorder="1" applyAlignment="1">
      <alignment horizontal="center" vertical="top"/>
    </xf>
    <xf numFmtId="167" fontId="30" fillId="6" borderId="6" xfId="0" applyNumberFormat="1" applyFont="1" applyFill="1" applyBorder="1" applyAlignment="1">
      <alignment horizontal="right" vertical="top"/>
    </xf>
    <xf numFmtId="167" fontId="30" fillId="6" borderId="29" xfId="0" applyNumberFormat="1" applyFont="1" applyFill="1" applyBorder="1" applyAlignment="1">
      <alignment horizontal="right" vertical="top"/>
    </xf>
    <xf numFmtId="171" fontId="30" fillId="6" borderId="6" xfId="2" applyNumberFormat="1" applyFont="1" applyFill="1" applyBorder="1" applyAlignment="1">
      <alignment horizontal="right" vertical="top"/>
    </xf>
    <xf numFmtId="171" fontId="30" fillId="6" borderId="29" xfId="2" applyNumberFormat="1" applyFont="1" applyFill="1" applyBorder="1" applyAlignment="1">
      <alignment horizontal="right" vertical="top"/>
    </xf>
    <xf numFmtId="167" fontId="25" fillId="6" borderId="28" xfId="0" applyNumberFormat="1" applyFont="1" applyFill="1" applyBorder="1" applyAlignment="1">
      <alignment horizontal="center" vertical="top"/>
    </xf>
    <xf numFmtId="167" fontId="25" fillId="6" borderId="6" xfId="0" applyNumberFormat="1" applyFont="1" applyFill="1" applyBorder="1" applyAlignment="1">
      <alignment horizontal="left" vertical="top" wrapText="1"/>
    </xf>
    <xf numFmtId="167" fontId="25" fillId="6" borderId="6" xfId="0" applyNumberFormat="1" applyFont="1" applyFill="1" applyBorder="1" applyAlignment="1">
      <alignment horizontal="center" vertical="top"/>
    </xf>
    <xf numFmtId="171" fontId="25" fillId="6" borderId="6" xfId="2" applyNumberFormat="1" applyFont="1" applyFill="1" applyBorder="1" applyAlignment="1">
      <alignment horizontal="right" vertical="top"/>
    </xf>
    <xf numFmtId="171" fontId="25" fillId="6" borderId="29" xfId="2" applyNumberFormat="1" applyFont="1" applyFill="1" applyBorder="1" applyAlignment="1">
      <alignment horizontal="right" vertical="top"/>
    </xf>
    <xf numFmtId="167" fontId="33" fillId="6" borderId="28" xfId="0" applyNumberFormat="1" applyFont="1" applyFill="1" applyBorder="1" applyAlignment="1">
      <alignment horizontal="center" vertical="top"/>
    </xf>
    <xf numFmtId="167" fontId="33" fillId="6" borderId="6" xfId="0" applyNumberFormat="1" applyFont="1" applyFill="1" applyBorder="1" applyAlignment="1">
      <alignment horizontal="left" vertical="top" wrapText="1"/>
    </xf>
    <xf numFmtId="167" fontId="33" fillId="6" borderId="6" xfId="0" applyNumberFormat="1" applyFont="1" applyFill="1" applyBorder="1" applyAlignment="1">
      <alignment horizontal="center" vertical="top"/>
    </xf>
    <xf numFmtId="171" fontId="33" fillId="6" borderId="6" xfId="2" applyNumberFormat="1" applyFont="1" applyFill="1" applyBorder="1" applyAlignment="1">
      <alignment horizontal="right" vertical="top"/>
    </xf>
    <xf numFmtId="171" fontId="33" fillId="6" borderId="29" xfId="2" applyNumberFormat="1" applyFont="1" applyFill="1" applyBorder="1" applyAlignment="1">
      <alignment horizontal="right" vertical="top"/>
    </xf>
    <xf numFmtId="167" fontId="25" fillId="6" borderId="30" xfId="0" applyNumberFormat="1" applyFont="1" applyFill="1" applyBorder="1" applyAlignment="1">
      <alignment horizontal="center" vertical="top"/>
    </xf>
    <xf numFmtId="167" fontId="25" fillId="6" borderId="31" xfId="0" applyNumberFormat="1" applyFont="1" applyFill="1" applyBorder="1" applyAlignment="1">
      <alignment horizontal="left" vertical="top" wrapText="1"/>
    </xf>
    <xf numFmtId="49" fontId="25" fillId="6" borderId="31" xfId="0" applyNumberFormat="1" applyFont="1" applyFill="1" applyBorder="1" applyAlignment="1">
      <alignment horizontal="center" vertical="top"/>
    </xf>
    <xf numFmtId="171" fontId="25" fillId="6" borderId="31" xfId="2" applyNumberFormat="1" applyFont="1" applyFill="1" applyBorder="1" applyAlignment="1">
      <alignment horizontal="right" vertical="top"/>
    </xf>
    <xf numFmtId="171" fontId="25" fillId="6" borderId="32"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3" fillId="6" borderId="0" xfId="0" applyFont="1" applyFill="1" applyAlignment="1">
      <alignment horizontal="center" vertical="top"/>
    </xf>
    <xf numFmtId="0" fontId="7" fillId="0" borderId="0" xfId="4" applyFont="1">
      <alignment vertical="center"/>
    </xf>
    <xf numFmtId="0" fontId="7" fillId="2" borderId="0" xfId="4" applyFont="1" applyFill="1" applyAlignment="1">
      <alignment horizontal="left" vertical="center"/>
    </xf>
    <xf numFmtId="0" fontId="7" fillId="2" borderId="1" xfId="4" applyFont="1" applyFill="1" applyBorder="1" applyAlignment="1">
      <alignment horizontal="left" vertical="center"/>
    </xf>
    <xf numFmtId="0" fontId="4" fillId="3" borderId="3" xfId="4" applyFont="1" applyFill="1" applyBorder="1" applyAlignment="1">
      <alignment horizontal="center" vertical="center" wrapText="1"/>
    </xf>
    <xf numFmtId="0" fontId="4" fillId="3" borderId="4" xfId="4" applyFont="1" applyFill="1" applyBorder="1" applyAlignment="1">
      <alignment horizontal="center" vertical="center" wrapText="1"/>
    </xf>
    <xf numFmtId="0" fontId="4" fillId="2" borderId="6" xfId="4"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0" fontId="7" fillId="2" borderId="6" xfId="4"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9" fillId="2" borderId="6" xfId="4" applyFont="1" applyFill="1" applyBorder="1" applyAlignment="1">
      <alignment horizontal="center" vertical="center"/>
    </xf>
    <xf numFmtId="171" fontId="9" fillId="2" borderId="6" xfId="2" applyNumberFormat="1" applyFont="1" applyFill="1" applyBorder="1" applyAlignment="1" applyProtection="1">
      <alignment horizontal="right" vertical="center"/>
    </xf>
    <xf numFmtId="171" fontId="9" fillId="2" borderId="7" xfId="2" applyNumberFormat="1" applyFont="1" applyFill="1" applyBorder="1" applyAlignment="1" applyProtection="1">
      <alignment horizontal="right" vertical="center"/>
    </xf>
    <xf numFmtId="0" fontId="4" fillId="0" borderId="0" xfId="4" applyFont="1">
      <alignment vertical="center"/>
    </xf>
    <xf numFmtId="0" fontId="8" fillId="2" borderId="6" xfId="4"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0" fontId="8" fillId="0" borderId="0" xfId="4" applyFont="1">
      <alignment vertical="center"/>
    </xf>
    <xf numFmtId="0" fontId="7" fillId="2" borderId="8" xfId="4"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4" applyFont="1" applyFill="1" applyAlignment="1">
      <alignment horizontal="left" vertical="center" wrapText="1"/>
    </xf>
    <xf numFmtId="0" fontId="7" fillId="2" borderId="0" xfId="4"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4" applyFont="1" applyFill="1" applyAlignment="1">
      <alignment horizontal="center" vertical="center"/>
    </xf>
    <xf numFmtId="0" fontId="7" fillId="2" borderId="0" xfId="4" applyFont="1" applyFill="1" applyAlignment="1">
      <alignment horizontal="center" vertical="top"/>
    </xf>
    <xf numFmtId="0" fontId="7" fillId="0" borderId="0" xfId="4" applyFont="1" applyAlignment="1">
      <alignment vertical="top"/>
    </xf>
    <xf numFmtId="0" fontId="8" fillId="2" borderId="0" xfId="4" applyFont="1" applyFill="1" applyAlignment="1">
      <alignment vertical="center"/>
    </xf>
    <xf numFmtId="0" fontId="7" fillId="2" borderId="0" xfId="4" applyFont="1" applyFill="1" applyAlignment="1">
      <alignment vertical="center"/>
    </xf>
    <xf numFmtId="0" fontId="8" fillId="2" borderId="0" xfId="4" applyFont="1" applyFill="1">
      <alignment vertical="center"/>
    </xf>
    <xf numFmtId="0" fontId="4" fillId="2" borderId="0" xfId="4" applyFont="1" applyFill="1" applyAlignment="1">
      <alignment horizontal="center"/>
    </xf>
    <xf numFmtId="0" fontId="7" fillId="0" borderId="0" xfId="4" applyFont="1" applyAlignment="1">
      <alignment horizontal="center" vertical="center"/>
    </xf>
    <xf numFmtId="171" fontId="7" fillId="0" borderId="0" xfId="2" applyNumberFormat="1" applyFont="1" applyAlignment="1">
      <alignment vertical="center"/>
    </xf>
    <xf numFmtId="171" fontId="26" fillId="0" borderId="0" xfId="0" applyNumberFormat="1" applyFont="1"/>
    <xf numFmtId="0" fontId="30" fillId="6" borderId="30" xfId="0" applyFont="1" applyFill="1" applyBorder="1" applyAlignment="1">
      <alignment horizontal="center" vertical="center"/>
    </xf>
    <xf numFmtId="0" fontId="30" fillId="6" borderId="31" xfId="0" applyFont="1" applyFill="1" applyBorder="1" applyAlignment="1">
      <alignment horizontal="left" vertical="center" wrapText="1"/>
    </xf>
    <xf numFmtId="164" fontId="30" fillId="6" borderId="32" xfId="0" applyNumberFormat="1" applyFont="1" applyFill="1" applyBorder="1" applyAlignment="1">
      <alignment horizontal="right" vertical="center"/>
    </xf>
    <xf numFmtId="0" fontId="30" fillId="6" borderId="0" xfId="0" applyFont="1" applyFill="1" applyBorder="1" applyAlignment="1">
      <alignment horizontal="center" vertical="center"/>
    </xf>
    <xf numFmtId="0" fontId="30" fillId="6" borderId="0" xfId="0" applyFont="1" applyFill="1" applyBorder="1" applyAlignment="1">
      <alignment horizontal="left" vertical="center" wrapText="1"/>
    </xf>
    <xf numFmtId="171" fontId="30" fillId="6" borderId="0" xfId="2" applyNumberFormat="1" applyFont="1" applyFill="1" applyBorder="1" applyAlignment="1">
      <alignment horizontal="right" vertical="center"/>
    </xf>
    <xf numFmtId="164" fontId="30" fillId="6" borderId="0" xfId="0" applyNumberFormat="1" applyFont="1" applyFill="1" applyBorder="1" applyAlignment="1">
      <alignment horizontal="right" vertical="center"/>
    </xf>
    <xf numFmtId="43" fontId="30" fillId="6" borderId="31" xfId="2" applyNumberFormat="1" applyFont="1" applyFill="1" applyBorder="1" applyAlignment="1">
      <alignment horizontal="right" vertical="center"/>
    </xf>
    <xf numFmtId="43" fontId="25" fillId="6" borderId="6" xfId="2" applyNumberFormat="1" applyFont="1" applyFill="1" applyBorder="1" applyAlignment="1">
      <alignment horizontal="right" vertical="top"/>
    </xf>
    <xf numFmtId="43" fontId="25" fillId="6" borderId="29" xfId="2" applyNumberFormat="1" applyFont="1" applyFill="1" applyBorder="1" applyAlignment="1">
      <alignment horizontal="right" vertical="top"/>
    </xf>
    <xf numFmtId="0" fontId="34" fillId="0" borderId="0" xfId="0" applyFont="1"/>
    <xf numFmtId="171" fontId="34" fillId="0" borderId="0" xfId="0" applyNumberFormat="1" applyFont="1"/>
    <xf numFmtId="171" fontId="33" fillId="6" borderId="6" xfId="2" applyNumberFormat="1" applyFont="1" applyFill="1" applyBorder="1" applyAlignment="1" applyProtection="1">
      <alignment horizontal="right" vertical="top"/>
    </xf>
    <xf numFmtId="171" fontId="33" fillId="6" borderId="29" xfId="2" applyNumberFormat="1" applyFont="1" applyFill="1" applyBorder="1" applyAlignment="1" applyProtection="1">
      <alignment horizontal="right" vertical="top"/>
    </xf>
    <xf numFmtId="4" fontId="33" fillId="6" borderId="28" xfId="0" applyNumberFormat="1" applyFont="1" applyFill="1" applyBorder="1" applyAlignment="1">
      <alignment horizontal="center" vertical="top"/>
    </xf>
    <xf numFmtId="4" fontId="33" fillId="6" borderId="6" xfId="0" applyNumberFormat="1" applyFont="1" applyFill="1" applyBorder="1" applyAlignment="1">
      <alignment horizontal="left" vertical="top" wrapText="1"/>
    </xf>
    <xf numFmtId="4" fontId="33" fillId="6" borderId="6" xfId="0" applyNumberFormat="1" applyFont="1" applyFill="1" applyBorder="1" applyAlignment="1">
      <alignment horizontal="center" vertical="top"/>
    </xf>
    <xf numFmtId="43" fontId="33" fillId="6" borderId="6" xfId="2" applyFont="1" applyFill="1" applyBorder="1" applyAlignment="1">
      <alignment horizontal="right" vertical="top"/>
    </xf>
    <xf numFmtId="43" fontId="33" fillId="6" borderId="29" xfId="2" applyFont="1" applyFill="1" applyBorder="1" applyAlignment="1">
      <alignment horizontal="right" vertical="top"/>
    </xf>
    <xf numFmtId="0" fontId="10" fillId="4" borderId="19" xfId="0" applyFont="1" applyFill="1" applyBorder="1" applyAlignment="1">
      <alignment horizontal="left" wrapText="1"/>
    </xf>
    <xf numFmtId="0" fontId="11" fillId="4" borderId="19" xfId="0" applyFont="1" applyFill="1" applyBorder="1" applyAlignment="1">
      <alignment horizontal="left" vertical="center"/>
    </xf>
    <xf numFmtId="0" fontId="17" fillId="5" borderId="17" xfId="6" applyFont="1" applyFill="1" applyBorder="1" applyAlignment="1">
      <alignment horizontal="center" vertical="center"/>
    </xf>
    <xf numFmtId="0" fontId="17" fillId="5" borderId="0" xfId="6" applyFont="1" applyFill="1" applyBorder="1" applyAlignment="1">
      <alignment horizontal="center" vertical="center"/>
    </xf>
    <xf numFmtId="0" fontId="17" fillId="5" borderId="18" xfId="6" applyFont="1" applyFill="1" applyBorder="1" applyAlignment="1">
      <alignment horizontal="center" vertical="center"/>
    </xf>
    <xf numFmtId="0" fontId="18" fillId="5" borderId="17" xfId="6" applyFont="1" applyFill="1" applyBorder="1" applyAlignment="1">
      <alignment horizontal="center" vertical="center"/>
    </xf>
    <xf numFmtId="0" fontId="18" fillId="5" borderId="0" xfId="6" applyFont="1" applyFill="1" applyBorder="1" applyAlignment="1">
      <alignment horizontal="center" vertical="center"/>
    </xf>
    <xf numFmtId="0" fontId="18" fillId="5" borderId="18" xfId="6" applyFont="1" applyFill="1" applyBorder="1" applyAlignment="1">
      <alignment horizontal="center" vertical="center"/>
    </xf>
    <xf numFmtId="0" fontId="19" fillId="5" borderId="17" xfId="6" applyFont="1" applyFill="1" applyBorder="1" applyAlignment="1">
      <alignment horizontal="center" vertical="center"/>
    </xf>
    <xf numFmtId="0" fontId="19" fillId="5" borderId="0" xfId="6" applyFont="1" applyFill="1" applyBorder="1" applyAlignment="1">
      <alignment horizontal="center" vertical="center"/>
    </xf>
    <xf numFmtId="0" fontId="19" fillId="5" borderId="18" xfId="6" applyFont="1" applyFill="1" applyBorder="1" applyAlignment="1">
      <alignment horizontal="center" vertical="center"/>
    </xf>
    <xf numFmtId="0" fontId="19" fillId="5" borderId="14" xfId="6" applyFont="1" applyFill="1" applyBorder="1" applyAlignment="1">
      <alignment horizontal="center" vertical="center"/>
    </xf>
    <xf numFmtId="0" fontId="19" fillId="5" borderId="15" xfId="6" applyFont="1" applyFill="1" applyBorder="1" applyAlignment="1">
      <alignment horizontal="center" vertical="center"/>
    </xf>
    <xf numFmtId="0" fontId="19" fillId="5" borderId="16" xfId="6" applyFont="1" applyFill="1" applyBorder="1" applyAlignment="1">
      <alignment horizontal="center" vertical="center"/>
    </xf>
    <xf numFmtId="0" fontId="10" fillId="4" borderId="19" xfId="0" applyFont="1" applyFill="1" applyBorder="1" applyAlignment="1">
      <alignment horizontal="left" vertical="center"/>
    </xf>
    <xf numFmtId="168" fontId="14" fillId="2" borderId="15" xfId="5" applyNumberFormat="1" applyFont="1" applyFill="1" applyBorder="1" applyAlignment="1" applyProtection="1">
      <alignment horizontal="left" vertical="top"/>
    </xf>
    <xf numFmtId="0" fontId="10" fillId="4" borderId="0" xfId="0" applyFont="1" applyFill="1" applyAlignment="1">
      <alignment horizontal="left"/>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1" fillId="5" borderId="14" xfId="0" applyFont="1" applyFill="1" applyBorder="1" applyAlignment="1">
      <alignment horizontal="left"/>
    </xf>
    <xf numFmtId="0" fontId="11" fillId="5" borderId="15" xfId="0" applyFont="1" applyFill="1" applyBorder="1" applyAlignment="1">
      <alignment horizontal="left"/>
    </xf>
    <xf numFmtId="0" fontId="10" fillId="5" borderId="17"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0" fontId="10" fillId="4" borderId="0" xfId="0" applyFont="1" applyFill="1" applyBorder="1" applyAlignment="1">
      <alignment horizontal="left"/>
    </xf>
    <xf numFmtId="0" fontId="11" fillId="5" borderId="11" xfId="0" applyFont="1" applyFill="1" applyBorder="1" applyAlignment="1">
      <alignment horizontal="left" wrapText="1"/>
    </xf>
    <xf numFmtId="0" fontId="11" fillId="5" borderId="12" xfId="0" applyFont="1" applyFill="1" applyBorder="1" applyAlignment="1">
      <alignment horizontal="left" wrapText="1"/>
    </xf>
    <xf numFmtId="0" fontId="11" fillId="5" borderId="13" xfId="0" applyFont="1" applyFill="1" applyBorder="1" applyAlignment="1">
      <alignment horizontal="left" wrapText="1"/>
    </xf>
    <xf numFmtId="0" fontId="11" fillId="5" borderId="14" xfId="0" applyFont="1" applyFill="1" applyBorder="1" applyAlignment="1">
      <alignment horizontal="left" wrapText="1"/>
    </xf>
    <xf numFmtId="0" fontId="11" fillId="5" borderId="15" xfId="0" applyFont="1" applyFill="1" applyBorder="1" applyAlignment="1">
      <alignment horizontal="left" wrapText="1"/>
    </xf>
    <xf numFmtId="0" fontId="11" fillId="5" borderId="16" xfId="0" applyFont="1" applyFill="1" applyBorder="1" applyAlignment="1">
      <alignment horizontal="left" wrapText="1"/>
    </xf>
    <xf numFmtId="0" fontId="10" fillId="5" borderId="11" xfId="0" applyFont="1" applyFill="1" applyBorder="1" applyAlignment="1">
      <alignment horizontal="left" vertical="center" wrapText="1"/>
    </xf>
    <xf numFmtId="0" fontId="10" fillId="5" borderId="12" xfId="0" applyFont="1" applyFill="1" applyBorder="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top"/>
    </xf>
    <xf numFmtId="0" fontId="25" fillId="6" borderId="0" xfId="0" applyFont="1" applyFill="1" applyAlignment="1">
      <alignment horizontal="center" vertical="center"/>
    </xf>
    <xf numFmtId="0" fontId="30" fillId="6" borderId="0" xfId="0" applyFont="1" applyFill="1" applyAlignment="1">
      <alignment horizontal="center" vertical="center" wrapText="1"/>
    </xf>
    <xf numFmtId="168" fontId="7" fillId="2" borderId="0" xfId="5"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30" fillId="6" borderId="0" xfId="0" applyFont="1" applyFill="1" applyAlignment="1">
      <alignment horizontal="left" vertical="top"/>
    </xf>
    <xf numFmtId="0" fontId="25" fillId="6" borderId="24" xfId="0" applyFont="1" applyFill="1" applyBorder="1" applyAlignment="1">
      <alignment horizontal="right" vertical="top"/>
    </xf>
    <xf numFmtId="166" fontId="26" fillId="5" borderId="0" xfId="0" applyNumberFormat="1" applyFont="1" applyFill="1" applyBorder="1" applyAlignment="1">
      <alignment horizontal="left" vertical="center"/>
    </xf>
    <xf numFmtId="0" fontId="25" fillId="6" borderId="0" xfId="0" applyFont="1" applyFill="1" applyAlignment="1">
      <alignment horizontal="left" vertical="top"/>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0" borderId="0" xfId="0" applyFont="1" applyFill="1" applyAlignment="1">
      <alignment horizontal="center" vertical="top"/>
    </xf>
    <xf numFmtId="0" fontId="30" fillId="6" borderId="0" xfId="0" applyFont="1" applyFill="1" applyAlignment="1">
      <alignment horizontal="center"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0" fillId="6" borderId="0" xfId="0" applyFont="1" applyFill="1" applyAlignment="1">
      <alignment horizontal="left" vertical="center" wrapText="1"/>
    </xf>
    <xf numFmtId="0" fontId="25" fillId="6" borderId="24"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8" fillId="5" borderId="0" xfId="11" applyFont="1" applyFill="1" applyBorder="1" applyAlignment="1">
      <alignment horizontal="center" vertical="center"/>
    </xf>
    <xf numFmtId="0" fontId="4" fillId="2" borderId="0" xfId="4" applyNumberFormat="1" applyFont="1" applyFill="1" applyBorder="1" applyAlignment="1" applyProtection="1">
      <alignment horizontal="center" vertical="center"/>
    </xf>
    <xf numFmtId="171" fontId="28" fillId="5" borderId="0" xfId="9" applyNumberFormat="1" applyFont="1" applyFill="1" applyBorder="1" applyAlignment="1">
      <alignment horizontal="center" vertical="center"/>
    </xf>
    <xf numFmtId="0" fontId="28" fillId="5" borderId="12" xfId="11" applyFont="1" applyFill="1" applyBorder="1" applyAlignment="1">
      <alignment horizontal="center" vertical="center"/>
    </xf>
    <xf numFmtId="0" fontId="26" fillId="7" borderId="20" xfId="8" applyFont="1" applyFill="1" applyBorder="1" applyAlignment="1">
      <alignment horizontal="center" vertical="center" wrapText="1"/>
    </xf>
    <xf numFmtId="0" fontId="26" fillId="7" borderId="23" xfId="8" applyFont="1" applyFill="1" applyBorder="1" applyAlignment="1">
      <alignment horizontal="center" vertical="center" wrapText="1"/>
    </xf>
    <xf numFmtId="0" fontId="26" fillId="7" borderId="21" xfId="8" applyFont="1" applyFill="1" applyBorder="1" applyAlignment="1">
      <alignment horizontal="center" vertical="center" wrapText="1"/>
    </xf>
    <xf numFmtId="0" fontId="26" fillId="7" borderId="22" xfId="8" applyFont="1" applyFill="1" applyBorder="1" applyAlignment="1">
      <alignment horizontal="center" vertical="center" wrapText="1"/>
    </xf>
    <xf numFmtId="0" fontId="23" fillId="0" borderId="11" xfId="8" applyFont="1" applyBorder="1" applyAlignment="1">
      <alignment horizontal="center" vertical="center" wrapText="1"/>
    </xf>
    <xf numFmtId="0" fontId="23" fillId="0" borderId="12" xfId="8" applyFont="1" applyBorder="1" applyAlignment="1">
      <alignment horizontal="center" vertical="center" wrapText="1"/>
    </xf>
    <xf numFmtId="0" fontId="23" fillId="0" borderId="13" xfId="8" applyFont="1" applyBorder="1" applyAlignment="1">
      <alignment horizontal="center" vertical="center" wrapText="1"/>
    </xf>
    <xf numFmtId="0" fontId="23" fillId="0" borderId="17" xfId="8" applyFont="1" applyBorder="1" applyAlignment="1">
      <alignment horizontal="center" vertical="center" wrapText="1"/>
    </xf>
    <xf numFmtId="0" fontId="23" fillId="0" borderId="0" xfId="8" applyFont="1" applyBorder="1" applyAlignment="1">
      <alignment horizontal="center" vertical="center" wrapText="1"/>
    </xf>
    <xf numFmtId="0" fontId="23" fillId="0" borderId="18" xfId="8" applyFont="1" applyBorder="1" applyAlignment="1">
      <alignment horizontal="center" vertical="center" wrapText="1"/>
    </xf>
    <xf numFmtId="0" fontId="23" fillId="0" borderId="14" xfId="8" applyFont="1" applyBorder="1" applyAlignment="1">
      <alignment horizontal="center" vertical="center" wrapText="1"/>
    </xf>
    <xf numFmtId="0" fontId="23" fillId="0" borderId="15" xfId="8" applyFont="1" applyBorder="1" applyAlignment="1">
      <alignment horizontal="center" vertical="center" wrapText="1"/>
    </xf>
    <xf numFmtId="0" fontId="23" fillId="0" borderId="16" xfId="8" applyFont="1" applyBorder="1" applyAlignment="1">
      <alignment horizontal="center" vertical="center" wrapText="1"/>
    </xf>
    <xf numFmtId="0" fontId="28" fillId="5" borderId="0" xfId="11" applyFont="1" applyFill="1" applyAlignment="1">
      <alignment horizontal="center" vertical="center"/>
    </xf>
    <xf numFmtId="173" fontId="28" fillId="5" borderId="0" xfId="11" applyNumberFormat="1" applyFont="1" applyFill="1" applyAlignment="1">
      <alignment horizontal="center" vertical="center"/>
    </xf>
    <xf numFmtId="0" fontId="28" fillId="7" borderId="20" xfId="8" applyFont="1" applyFill="1" applyBorder="1" applyAlignment="1" applyProtection="1">
      <alignment horizontal="center" vertical="center" wrapText="1"/>
    </xf>
    <xf numFmtId="0" fontId="28" fillId="7" borderId="23" xfId="8" applyFont="1" applyFill="1" applyBorder="1" applyAlignment="1" applyProtection="1">
      <alignment horizontal="center" vertical="center" wrapText="1"/>
    </xf>
    <xf numFmtId="0" fontId="23" fillId="5" borderId="0" xfId="8" applyFont="1" applyFill="1" applyAlignment="1">
      <alignment horizontal="left"/>
    </xf>
    <xf numFmtId="0" fontId="9" fillId="5" borderId="0" xfId="8" applyFont="1" applyFill="1" applyAlignment="1">
      <alignment horizontal="center" vertical="center" wrapText="1"/>
    </xf>
    <xf numFmtId="0" fontId="5" fillId="5" borderId="0" xfId="8" applyFont="1" applyFill="1" applyAlignment="1">
      <alignment horizontal="center" vertical="center" wrapText="1"/>
    </xf>
    <xf numFmtId="0" fontId="4" fillId="5" borderId="0" xfId="8" applyFont="1" applyFill="1" applyAlignment="1">
      <alignment horizontal="center" vertical="center" wrapText="1"/>
    </xf>
    <xf numFmtId="3" fontId="9" fillId="5" borderId="0" xfId="8" applyNumberFormat="1" applyFont="1" applyFill="1" applyAlignment="1">
      <alignment horizontal="center" vertical="center" wrapText="1"/>
    </xf>
    <xf numFmtId="0" fontId="9" fillId="5" borderId="0" xfId="8" applyFont="1" applyFill="1" applyAlignment="1">
      <alignment horizontal="center" vertical="center"/>
    </xf>
    <xf numFmtId="0" fontId="25" fillId="6" borderId="6" xfId="0" applyFont="1" applyFill="1" applyBorder="1" applyAlignment="1">
      <alignment horizontal="left" vertical="center" wrapText="1"/>
    </xf>
    <xf numFmtId="0" fontId="25" fillId="6" borderId="31" xfId="0" applyFont="1" applyFill="1" applyBorder="1" applyAlignment="1">
      <alignment horizontal="left" vertical="center" wrapText="1"/>
    </xf>
    <xf numFmtId="0" fontId="25" fillId="6" borderId="0" xfId="0" applyFont="1" applyFill="1" applyAlignment="1">
      <alignment horizontal="left" vertical="center" wrapText="1"/>
    </xf>
    <xf numFmtId="0" fontId="25" fillId="6" borderId="36" xfId="0" applyFont="1" applyFill="1" applyBorder="1" applyAlignment="1">
      <alignment horizontal="left" vertical="center" wrapText="1"/>
    </xf>
    <xf numFmtId="0" fontId="25" fillId="6" borderId="37" xfId="0" applyFont="1" applyFill="1" applyBorder="1" applyAlignment="1">
      <alignment horizontal="left" vertical="center" wrapText="1"/>
    </xf>
    <xf numFmtId="0" fontId="25" fillId="6" borderId="38" xfId="0" applyFont="1" applyFill="1" applyBorder="1" applyAlignment="1">
      <alignment horizontal="left" vertical="center" wrapText="1"/>
    </xf>
    <xf numFmtId="0" fontId="30" fillId="3" borderId="26" xfId="0" applyFont="1" applyFill="1" applyBorder="1" applyAlignment="1">
      <alignment horizontal="center" vertical="center" wrapText="1"/>
    </xf>
    <xf numFmtId="0" fontId="33" fillId="6" borderId="0" xfId="0" applyFont="1" applyFill="1" applyAlignment="1">
      <alignment horizontal="right" vertical="center"/>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24" xfId="0" applyFont="1" applyFill="1" applyBorder="1" applyAlignment="1">
      <alignment horizontal="left" vertical="top"/>
    </xf>
    <xf numFmtId="0" fontId="30" fillId="6" borderId="0" xfId="0" applyFont="1" applyFill="1" applyAlignment="1">
      <alignment horizontal="center" wrapText="1"/>
    </xf>
    <xf numFmtId="0" fontId="30" fillId="3" borderId="25" xfId="0" applyFont="1" applyFill="1" applyBorder="1" applyAlignment="1">
      <alignment horizontal="center" vertical="center" wrapText="1"/>
    </xf>
    <xf numFmtId="0" fontId="30" fillId="3" borderId="39" xfId="0" applyFont="1" applyFill="1" applyBorder="1" applyAlignment="1">
      <alignment horizontal="center" vertical="center" wrapText="1"/>
    </xf>
    <xf numFmtId="0" fontId="30" fillId="3" borderId="10" xfId="0" applyFont="1" applyFill="1" applyBorder="1" applyAlignment="1">
      <alignment horizontal="center" vertical="center" wrapText="1"/>
    </xf>
    <xf numFmtId="0" fontId="30" fillId="3" borderId="26" xfId="0" applyNumberFormat="1" applyFont="1" applyFill="1" applyBorder="1" applyAlignment="1" applyProtection="1">
      <alignment horizontal="center" vertical="center" wrapText="1"/>
    </xf>
    <xf numFmtId="0" fontId="30" fillId="3" borderId="27" xfId="0" applyNumberFormat="1" applyFont="1" applyFill="1" applyBorder="1" applyAlignment="1" applyProtection="1">
      <alignment horizontal="center" vertical="center"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1" fillId="6" borderId="0" xfId="0" applyFont="1" applyFill="1" applyAlignment="1">
      <alignment horizontal="center" vertical="top"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4" fillId="2" borderId="0" xfId="4" applyFont="1" applyFill="1" applyAlignment="1">
      <alignment horizontal="center"/>
    </xf>
    <xf numFmtId="0" fontId="4" fillId="2" borderId="5" xfId="4" applyFont="1" applyFill="1" applyBorder="1" applyAlignment="1">
      <alignment horizontal="left" vertical="center" wrapText="1"/>
    </xf>
    <xf numFmtId="0" fontId="4" fillId="2" borderId="6" xfId="4" applyFont="1" applyFill="1" applyBorder="1" applyAlignment="1">
      <alignment horizontal="left" vertical="center" wrapText="1"/>
    </xf>
    <xf numFmtId="0" fontId="4" fillId="2" borderId="0" xfId="4" applyFont="1" applyFill="1" applyAlignment="1">
      <alignment horizontal="center" vertical="center"/>
    </xf>
    <xf numFmtId="0" fontId="7" fillId="2" borderId="41" xfId="4" applyFont="1" applyFill="1" applyBorder="1" applyAlignment="1">
      <alignment horizontal="left" vertical="center" wrapText="1"/>
    </xf>
    <xf numFmtId="0" fontId="7" fillId="2" borderId="42" xfId="4" applyFont="1" applyFill="1" applyBorder="1" applyAlignment="1">
      <alignment horizontal="left" vertical="center" wrapText="1"/>
    </xf>
    <xf numFmtId="0" fontId="7" fillId="2" borderId="0" xfId="4" applyFont="1" applyFill="1" applyAlignment="1">
      <alignment horizontal="center" vertical="top"/>
    </xf>
    <xf numFmtId="0" fontId="8" fillId="2" borderId="5" xfId="4" applyFont="1" applyFill="1" applyBorder="1" applyAlignment="1">
      <alignment horizontal="left" vertical="center" wrapText="1"/>
    </xf>
    <xf numFmtId="0" fontId="8" fillId="2" borderId="6" xfId="4" applyFont="1" applyFill="1" applyBorder="1" applyAlignment="1">
      <alignment horizontal="left" vertical="center" wrapText="1"/>
    </xf>
    <xf numFmtId="0" fontId="7" fillId="2" borderId="5" xfId="4" applyFont="1" applyFill="1" applyBorder="1" applyAlignment="1">
      <alignment horizontal="left" vertical="center" wrapText="1"/>
    </xf>
    <xf numFmtId="0" fontId="7" fillId="2" borderId="6" xfId="4" applyFont="1" applyFill="1" applyBorder="1" applyAlignment="1">
      <alignment horizontal="left" vertical="center" wrapText="1"/>
    </xf>
    <xf numFmtId="0" fontId="9" fillId="2" borderId="5" xfId="4" applyFont="1" applyFill="1" applyBorder="1" applyAlignment="1">
      <alignment horizontal="left" vertical="center" wrapText="1"/>
    </xf>
    <xf numFmtId="0" fontId="9" fillId="2" borderId="6" xfId="4" applyFont="1" applyFill="1" applyBorder="1" applyAlignment="1">
      <alignment horizontal="left" vertical="center" wrapText="1"/>
    </xf>
    <xf numFmtId="0" fontId="7" fillId="2" borderId="0" xfId="4" applyFont="1" applyFill="1" applyAlignment="1">
      <alignment horizontal="left" vertical="center"/>
    </xf>
    <xf numFmtId="0" fontId="4" fillId="2" borderId="0" xfId="4" applyFont="1" applyFill="1" applyAlignment="1">
      <alignment horizontal="left" vertical="center"/>
    </xf>
    <xf numFmtId="0" fontId="7" fillId="2" borderId="1" xfId="4" applyFont="1" applyFill="1" applyBorder="1" applyAlignment="1">
      <alignment horizontal="left" vertical="center"/>
    </xf>
    <xf numFmtId="0" fontId="7" fillId="2" borderId="1" xfId="4" applyFont="1" applyFill="1" applyBorder="1" applyAlignment="1">
      <alignment horizontal="right" vertical="center"/>
    </xf>
    <xf numFmtId="0" fontId="4" fillId="3" borderId="2" xfId="4" applyFont="1" applyFill="1" applyBorder="1" applyAlignment="1">
      <alignment horizontal="center" vertical="center" wrapText="1"/>
    </xf>
    <xf numFmtId="0" fontId="4" fillId="3" borderId="3" xfId="4" applyFont="1" applyFill="1" applyBorder="1" applyAlignment="1">
      <alignment horizontal="center" vertical="center" wrapText="1"/>
    </xf>
    <xf numFmtId="0" fontId="4" fillId="2" borderId="0" xfId="4" applyFont="1" applyFill="1" applyAlignment="1">
      <alignment horizontal="center" vertical="center" wrapText="1"/>
    </xf>
    <xf numFmtId="0" fontId="5" fillId="2" borderId="0" xfId="4" applyFont="1" applyFill="1" applyAlignment="1">
      <alignment horizontal="center" vertical="center" wrapText="1"/>
    </xf>
    <xf numFmtId="0" fontId="7" fillId="2" borderId="0" xfId="4" applyFont="1" applyFill="1" applyAlignment="1">
      <alignment horizontal="center" vertical="center"/>
    </xf>
    <xf numFmtId="0" fontId="8" fillId="2" borderId="0" xfId="4" applyFont="1" applyFill="1" applyAlignment="1">
      <alignment horizontal="right" vertical="center"/>
    </xf>
  </cellXfs>
  <cellStyles count="12">
    <cellStyle name="Comma" xfId="2" builtinId="3"/>
    <cellStyle name="Comma 4" xfId="9"/>
    <cellStyle name="Hyperlink" xfId="7" builtinId="8"/>
    <cellStyle name="Normal" xfId="0" builtinId="0"/>
    <cellStyle name="Normal 2" xfId="1"/>
    <cellStyle name="Normal 3" xfId="4"/>
    <cellStyle name="Normal 3 2 3" xfId="8"/>
    <cellStyle name="Normal 5" xfId="10"/>
    <cellStyle name="Normal 6" xfId="5"/>
    <cellStyle name="Normal_Bao cao tai chinh 280405" xfId="6"/>
    <cellStyle name="Normal_Bao cao tai chinh 280405 2" xfId="11"/>
    <cellStyle name="Percent" xfId="3"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1695450</xdr:colOff>
      <xdr:row>0</xdr:row>
      <xdr:rowOff>340593</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076450" cy="264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76200</xdr:rowOff>
    </xdr:from>
    <xdr:to>
      <xdr:col>1</xdr:col>
      <xdr:colOff>1790700</xdr:colOff>
      <xdr:row>0</xdr:row>
      <xdr:rowOff>338218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76200"/>
          <a:ext cx="2047875" cy="262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0</xdr:row>
      <xdr:rowOff>66675</xdr:rowOff>
    </xdr:from>
    <xdr:to>
      <xdr:col>1</xdr:col>
      <xdr:colOff>1790700</xdr:colOff>
      <xdr:row>0</xdr:row>
      <xdr:rowOff>328693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66675"/>
          <a:ext cx="2047875" cy="2620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2</xdr:col>
      <xdr:colOff>942975</xdr:colOff>
      <xdr:row>0</xdr:row>
      <xdr:rowOff>285750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3810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38100</xdr:colOff>
      <xdr:row>0</xdr:row>
      <xdr:rowOff>302167</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8100"/>
          <a:ext cx="2095500" cy="2640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76200</xdr:colOff>
      <xdr:row>0</xdr:row>
      <xdr:rowOff>38100</xdr:rowOff>
    </xdr:from>
    <xdr:to>
      <xdr:col>1</xdr:col>
      <xdr:colOff>1628775</xdr:colOff>
      <xdr:row>0</xdr:row>
      <xdr:rowOff>285862</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0"/>
          <a:ext cx="1914525" cy="2477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0</xdr:col>
      <xdr:colOff>2047875</xdr:colOff>
      <xdr:row>0</xdr:row>
      <xdr:rowOff>304800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topLeftCell="A4" zoomScaleNormal="50" zoomScaleSheetLayoutView="100" workbookViewId="0">
      <selection activeCell="E13" sqref="E13:H13"/>
    </sheetView>
  </sheetViews>
  <sheetFormatPr defaultRowHeight="12.5" x14ac:dyDescent="0.25"/>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256" width="9.1796875" style="1"/>
    <col min="257" max="257" width="11.81640625" style="1" customWidth="1"/>
    <col min="258" max="258" width="6.1796875" style="1" customWidth="1"/>
    <col min="259" max="259" width="11.453125" style="1" customWidth="1"/>
    <col min="260" max="260" width="24.26953125" style="1" customWidth="1"/>
    <col min="261" max="261" width="23.1796875" style="1" customWidth="1"/>
    <col min="262" max="262" width="5.26953125" style="1" customWidth="1"/>
    <col min="263" max="263" width="24.54296875" style="1" customWidth="1"/>
    <col min="264" max="264" width="21.453125" style="1" customWidth="1"/>
    <col min="265" max="265" width="12.81640625" style="1" customWidth="1"/>
    <col min="266" max="512" width="9.1796875" style="1"/>
    <col min="513" max="513" width="11.81640625" style="1" customWidth="1"/>
    <col min="514" max="514" width="6.1796875" style="1" customWidth="1"/>
    <col min="515" max="515" width="11.453125" style="1" customWidth="1"/>
    <col min="516" max="516" width="24.26953125" style="1" customWidth="1"/>
    <col min="517" max="517" width="23.1796875" style="1" customWidth="1"/>
    <col min="518" max="518" width="5.26953125" style="1" customWidth="1"/>
    <col min="519" max="519" width="24.54296875" style="1" customWidth="1"/>
    <col min="520" max="520" width="21.453125" style="1" customWidth="1"/>
    <col min="521" max="521" width="12.81640625" style="1" customWidth="1"/>
    <col min="522" max="768" width="9.1796875" style="1"/>
    <col min="769" max="769" width="11.81640625" style="1" customWidth="1"/>
    <col min="770" max="770" width="6.1796875" style="1" customWidth="1"/>
    <col min="771" max="771" width="11.453125" style="1" customWidth="1"/>
    <col min="772" max="772" width="24.26953125" style="1" customWidth="1"/>
    <col min="773" max="773" width="23.1796875" style="1" customWidth="1"/>
    <col min="774" max="774" width="5.26953125" style="1" customWidth="1"/>
    <col min="775" max="775" width="24.54296875" style="1" customWidth="1"/>
    <col min="776" max="776" width="21.453125" style="1" customWidth="1"/>
    <col min="777" max="777" width="12.81640625" style="1" customWidth="1"/>
    <col min="778" max="1024" width="9.1796875" style="1"/>
    <col min="1025" max="1025" width="11.81640625" style="1" customWidth="1"/>
    <col min="1026" max="1026" width="6.1796875" style="1" customWidth="1"/>
    <col min="1027" max="1027" width="11.453125" style="1" customWidth="1"/>
    <col min="1028" max="1028" width="24.26953125" style="1" customWidth="1"/>
    <col min="1029" max="1029" width="23.1796875" style="1" customWidth="1"/>
    <col min="1030" max="1030" width="5.26953125" style="1" customWidth="1"/>
    <col min="1031" max="1031" width="24.54296875" style="1" customWidth="1"/>
    <col min="1032" max="1032" width="21.453125" style="1" customWidth="1"/>
    <col min="1033" max="1033" width="12.81640625" style="1" customWidth="1"/>
    <col min="1034" max="1280" width="9.1796875" style="1"/>
    <col min="1281" max="1281" width="11.81640625" style="1" customWidth="1"/>
    <col min="1282" max="1282" width="6.1796875" style="1" customWidth="1"/>
    <col min="1283" max="1283" width="11.453125" style="1" customWidth="1"/>
    <col min="1284" max="1284" width="24.26953125" style="1" customWidth="1"/>
    <col min="1285" max="1285" width="23.1796875" style="1" customWidth="1"/>
    <col min="1286" max="1286" width="5.26953125" style="1" customWidth="1"/>
    <col min="1287" max="1287" width="24.54296875" style="1" customWidth="1"/>
    <col min="1288" max="1288" width="21.453125" style="1" customWidth="1"/>
    <col min="1289" max="1289" width="12.81640625" style="1" customWidth="1"/>
    <col min="1290" max="1536" width="9.1796875" style="1"/>
    <col min="1537" max="1537" width="11.81640625" style="1" customWidth="1"/>
    <col min="1538" max="1538" width="6.1796875" style="1" customWidth="1"/>
    <col min="1539" max="1539" width="11.453125" style="1" customWidth="1"/>
    <col min="1540" max="1540" width="24.26953125" style="1" customWidth="1"/>
    <col min="1541" max="1541" width="23.1796875" style="1" customWidth="1"/>
    <col min="1542" max="1542" width="5.26953125" style="1" customWidth="1"/>
    <col min="1543" max="1543" width="24.54296875" style="1" customWidth="1"/>
    <col min="1544" max="1544" width="21.453125" style="1" customWidth="1"/>
    <col min="1545" max="1545" width="12.81640625" style="1" customWidth="1"/>
    <col min="1546" max="1792" width="9.1796875" style="1"/>
    <col min="1793" max="1793" width="11.81640625" style="1" customWidth="1"/>
    <col min="1794" max="1794" width="6.1796875" style="1" customWidth="1"/>
    <col min="1795" max="1795" width="11.453125" style="1" customWidth="1"/>
    <col min="1796" max="1796" width="24.26953125" style="1" customWidth="1"/>
    <col min="1797" max="1797" width="23.1796875" style="1" customWidth="1"/>
    <col min="1798" max="1798" width="5.26953125" style="1" customWidth="1"/>
    <col min="1799" max="1799" width="24.54296875" style="1" customWidth="1"/>
    <col min="1800" max="1800" width="21.453125" style="1" customWidth="1"/>
    <col min="1801" max="1801" width="12.81640625" style="1" customWidth="1"/>
    <col min="1802" max="2048" width="9.1796875" style="1"/>
    <col min="2049" max="2049" width="11.81640625" style="1" customWidth="1"/>
    <col min="2050" max="2050" width="6.1796875" style="1" customWidth="1"/>
    <col min="2051" max="2051" width="11.453125" style="1" customWidth="1"/>
    <col min="2052" max="2052" width="24.26953125" style="1" customWidth="1"/>
    <col min="2053" max="2053" width="23.1796875" style="1" customWidth="1"/>
    <col min="2054" max="2054" width="5.26953125" style="1" customWidth="1"/>
    <col min="2055" max="2055" width="24.54296875" style="1" customWidth="1"/>
    <col min="2056" max="2056" width="21.453125" style="1" customWidth="1"/>
    <col min="2057" max="2057" width="12.81640625" style="1" customWidth="1"/>
    <col min="2058" max="2304" width="9.1796875" style="1"/>
    <col min="2305" max="2305" width="11.81640625" style="1" customWidth="1"/>
    <col min="2306" max="2306" width="6.1796875" style="1" customWidth="1"/>
    <col min="2307" max="2307" width="11.453125" style="1" customWidth="1"/>
    <col min="2308" max="2308" width="24.26953125" style="1" customWidth="1"/>
    <col min="2309" max="2309" width="23.1796875" style="1" customWidth="1"/>
    <col min="2310" max="2310" width="5.26953125" style="1" customWidth="1"/>
    <col min="2311" max="2311" width="24.54296875" style="1" customWidth="1"/>
    <col min="2312" max="2312" width="21.453125" style="1" customWidth="1"/>
    <col min="2313" max="2313" width="12.81640625" style="1" customWidth="1"/>
    <col min="2314" max="2560" width="9.1796875" style="1"/>
    <col min="2561" max="2561" width="11.81640625" style="1" customWidth="1"/>
    <col min="2562" max="2562" width="6.1796875" style="1" customWidth="1"/>
    <col min="2563" max="2563" width="11.453125" style="1" customWidth="1"/>
    <col min="2564" max="2564" width="24.26953125" style="1" customWidth="1"/>
    <col min="2565" max="2565" width="23.1796875" style="1" customWidth="1"/>
    <col min="2566" max="2566" width="5.26953125" style="1" customWidth="1"/>
    <col min="2567" max="2567" width="24.54296875" style="1" customWidth="1"/>
    <col min="2568" max="2568" width="21.453125" style="1" customWidth="1"/>
    <col min="2569" max="2569" width="12.81640625" style="1" customWidth="1"/>
    <col min="2570" max="2816" width="9.1796875" style="1"/>
    <col min="2817" max="2817" width="11.81640625" style="1" customWidth="1"/>
    <col min="2818" max="2818" width="6.1796875" style="1" customWidth="1"/>
    <col min="2819" max="2819" width="11.453125" style="1" customWidth="1"/>
    <col min="2820" max="2820" width="24.26953125" style="1" customWidth="1"/>
    <col min="2821" max="2821" width="23.1796875" style="1" customWidth="1"/>
    <col min="2822" max="2822" width="5.26953125" style="1" customWidth="1"/>
    <col min="2823" max="2823" width="24.54296875" style="1" customWidth="1"/>
    <col min="2824" max="2824" width="21.453125" style="1" customWidth="1"/>
    <col min="2825" max="2825" width="12.81640625" style="1" customWidth="1"/>
    <col min="2826" max="3072" width="9.1796875" style="1"/>
    <col min="3073" max="3073" width="11.81640625" style="1" customWidth="1"/>
    <col min="3074" max="3074" width="6.1796875" style="1" customWidth="1"/>
    <col min="3075" max="3075" width="11.453125" style="1" customWidth="1"/>
    <col min="3076" max="3076" width="24.26953125" style="1" customWidth="1"/>
    <col min="3077" max="3077" width="23.1796875" style="1" customWidth="1"/>
    <col min="3078" max="3078" width="5.26953125" style="1" customWidth="1"/>
    <col min="3079" max="3079" width="24.54296875" style="1" customWidth="1"/>
    <col min="3080" max="3080" width="21.453125" style="1" customWidth="1"/>
    <col min="3081" max="3081" width="12.81640625" style="1" customWidth="1"/>
    <col min="3082" max="3328" width="9.1796875" style="1"/>
    <col min="3329" max="3329" width="11.81640625" style="1" customWidth="1"/>
    <col min="3330" max="3330" width="6.1796875" style="1" customWidth="1"/>
    <col min="3331" max="3331" width="11.453125" style="1" customWidth="1"/>
    <col min="3332" max="3332" width="24.26953125" style="1" customWidth="1"/>
    <col min="3333" max="3333" width="23.1796875" style="1" customWidth="1"/>
    <col min="3334" max="3334" width="5.26953125" style="1" customWidth="1"/>
    <col min="3335" max="3335" width="24.54296875" style="1" customWidth="1"/>
    <col min="3336" max="3336" width="21.453125" style="1" customWidth="1"/>
    <col min="3337" max="3337" width="12.81640625" style="1" customWidth="1"/>
    <col min="3338" max="3584" width="9.1796875" style="1"/>
    <col min="3585" max="3585" width="11.81640625" style="1" customWidth="1"/>
    <col min="3586" max="3586" width="6.1796875" style="1" customWidth="1"/>
    <col min="3587" max="3587" width="11.453125" style="1" customWidth="1"/>
    <col min="3588" max="3588" width="24.26953125" style="1" customWidth="1"/>
    <col min="3589" max="3589" width="23.1796875" style="1" customWidth="1"/>
    <col min="3590" max="3590" width="5.26953125" style="1" customWidth="1"/>
    <col min="3591" max="3591" width="24.54296875" style="1" customWidth="1"/>
    <col min="3592" max="3592" width="21.453125" style="1" customWidth="1"/>
    <col min="3593" max="3593" width="12.81640625" style="1" customWidth="1"/>
    <col min="3594" max="3840" width="9.1796875" style="1"/>
    <col min="3841" max="3841" width="11.81640625" style="1" customWidth="1"/>
    <col min="3842" max="3842" width="6.1796875" style="1" customWidth="1"/>
    <col min="3843" max="3843" width="11.453125" style="1" customWidth="1"/>
    <col min="3844" max="3844" width="24.26953125" style="1" customWidth="1"/>
    <col min="3845" max="3845" width="23.1796875" style="1" customWidth="1"/>
    <col min="3846" max="3846" width="5.26953125" style="1" customWidth="1"/>
    <col min="3847" max="3847" width="24.54296875" style="1" customWidth="1"/>
    <col min="3848" max="3848" width="21.453125" style="1" customWidth="1"/>
    <col min="3849" max="3849" width="12.81640625" style="1" customWidth="1"/>
    <col min="3850" max="4096" width="9.1796875" style="1"/>
    <col min="4097" max="4097" width="11.81640625" style="1" customWidth="1"/>
    <col min="4098" max="4098" width="6.1796875" style="1" customWidth="1"/>
    <col min="4099" max="4099" width="11.453125" style="1" customWidth="1"/>
    <col min="4100" max="4100" width="24.26953125" style="1" customWidth="1"/>
    <col min="4101" max="4101" width="23.1796875" style="1" customWidth="1"/>
    <col min="4102" max="4102" width="5.26953125" style="1" customWidth="1"/>
    <col min="4103" max="4103" width="24.54296875" style="1" customWidth="1"/>
    <col min="4104" max="4104" width="21.453125" style="1" customWidth="1"/>
    <col min="4105" max="4105" width="12.81640625" style="1" customWidth="1"/>
    <col min="4106" max="4352" width="9.1796875" style="1"/>
    <col min="4353" max="4353" width="11.81640625" style="1" customWidth="1"/>
    <col min="4354" max="4354" width="6.1796875" style="1" customWidth="1"/>
    <col min="4355" max="4355" width="11.453125" style="1" customWidth="1"/>
    <col min="4356" max="4356" width="24.26953125" style="1" customWidth="1"/>
    <col min="4357" max="4357" width="23.1796875" style="1" customWidth="1"/>
    <col min="4358" max="4358" width="5.26953125" style="1" customWidth="1"/>
    <col min="4359" max="4359" width="24.54296875" style="1" customWidth="1"/>
    <col min="4360" max="4360" width="21.453125" style="1" customWidth="1"/>
    <col min="4361" max="4361" width="12.81640625" style="1" customWidth="1"/>
    <col min="4362" max="4608" width="9.1796875" style="1"/>
    <col min="4609" max="4609" width="11.81640625" style="1" customWidth="1"/>
    <col min="4610" max="4610" width="6.1796875" style="1" customWidth="1"/>
    <col min="4611" max="4611" width="11.453125" style="1" customWidth="1"/>
    <col min="4612" max="4612" width="24.26953125" style="1" customWidth="1"/>
    <col min="4613" max="4613" width="23.1796875" style="1" customWidth="1"/>
    <col min="4614" max="4614" width="5.26953125" style="1" customWidth="1"/>
    <col min="4615" max="4615" width="24.54296875" style="1" customWidth="1"/>
    <col min="4616" max="4616" width="21.453125" style="1" customWidth="1"/>
    <col min="4617" max="4617" width="12.81640625" style="1" customWidth="1"/>
    <col min="4618" max="4864" width="9.1796875" style="1"/>
    <col min="4865" max="4865" width="11.81640625" style="1" customWidth="1"/>
    <col min="4866" max="4866" width="6.1796875" style="1" customWidth="1"/>
    <col min="4867" max="4867" width="11.453125" style="1" customWidth="1"/>
    <col min="4868" max="4868" width="24.26953125" style="1" customWidth="1"/>
    <col min="4869" max="4869" width="23.1796875" style="1" customWidth="1"/>
    <col min="4870" max="4870" width="5.26953125" style="1" customWidth="1"/>
    <col min="4871" max="4871" width="24.54296875" style="1" customWidth="1"/>
    <col min="4872" max="4872" width="21.453125" style="1" customWidth="1"/>
    <col min="4873" max="4873" width="12.81640625" style="1" customWidth="1"/>
    <col min="4874" max="5120" width="9.1796875" style="1"/>
    <col min="5121" max="5121" width="11.81640625" style="1" customWidth="1"/>
    <col min="5122" max="5122" width="6.1796875" style="1" customWidth="1"/>
    <col min="5123" max="5123" width="11.453125" style="1" customWidth="1"/>
    <col min="5124" max="5124" width="24.26953125" style="1" customWidth="1"/>
    <col min="5125" max="5125" width="23.1796875" style="1" customWidth="1"/>
    <col min="5126" max="5126" width="5.26953125" style="1" customWidth="1"/>
    <col min="5127" max="5127" width="24.54296875" style="1" customWidth="1"/>
    <col min="5128" max="5128" width="21.453125" style="1" customWidth="1"/>
    <col min="5129" max="5129" width="12.81640625" style="1" customWidth="1"/>
    <col min="5130" max="5376" width="9.1796875" style="1"/>
    <col min="5377" max="5377" width="11.81640625" style="1" customWidth="1"/>
    <col min="5378" max="5378" width="6.1796875" style="1" customWidth="1"/>
    <col min="5379" max="5379" width="11.453125" style="1" customWidth="1"/>
    <col min="5380" max="5380" width="24.26953125" style="1" customWidth="1"/>
    <col min="5381" max="5381" width="23.1796875" style="1" customWidth="1"/>
    <col min="5382" max="5382" width="5.26953125" style="1" customWidth="1"/>
    <col min="5383" max="5383" width="24.54296875" style="1" customWidth="1"/>
    <col min="5384" max="5384" width="21.453125" style="1" customWidth="1"/>
    <col min="5385" max="5385" width="12.81640625" style="1" customWidth="1"/>
    <col min="5386" max="5632" width="9.1796875" style="1"/>
    <col min="5633" max="5633" width="11.81640625" style="1" customWidth="1"/>
    <col min="5634" max="5634" width="6.1796875" style="1" customWidth="1"/>
    <col min="5635" max="5635" width="11.453125" style="1" customWidth="1"/>
    <col min="5636" max="5636" width="24.26953125" style="1" customWidth="1"/>
    <col min="5637" max="5637" width="23.1796875" style="1" customWidth="1"/>
    <col min="5638" max="5638" width="5.26953125" style="1" customWidth="1"/>
    <col min="5639" max="5639" width="24.54296875" style="1" customWidth="1"/>
    <col min="5640" max="5640" width="21.453125" style="1" customWidth="1"/>
    <col min="5641" max="5641" width="12.81640625" style="1" customWidth="1"/>
    <col min="5642" max="5888" width="9.1796875" style="1"/>
    <col min="5889" max="5889" width="11.81640625" style="1" customWidth="1"/>
    <col min="5890" max="5890" width="6.1796875" style="1" customWidth="1"/>
    <col min="5891" max="5891" width="11.453125" style="1" customWidth="1"/>
    <col min="5892" max="5892" width="24.26953125" style="1" customWidth="1"/>
    <col min="5893" max="5893" width="23.1796875" style="1" customWidth="1"/>
    <col min="5894" max="5894" width="5.26953125" style="1" customWidth="1"/>
    <col min="5895" max="5895" width="24.54296875" style="1" customWidth="1"/>
    <col min="5896" max="5896" width="21.453125" style="1" customWidth="1"/>
    <col min="5897" max="5897" width="12.81640625" style="1" customWidth="1"/>
    <col min="5898" max="6144" width="9.1796875" style="1"/>
    <col min="6145" max="6145" width="11.81640625" style="1" customWidth="1"/>
    <col min="6146" max="6146" width="6.1796875" style="1" customWidth="1"/>
    <col min="6147" max="6147" width="11.453125" style="1" customWidth="1"/>
    <col min="6148" max="6148" width="24.26953125" style="1" customWidth="1"/>
    <col min="6149" max="6149" width="23.1796875" style="1" customWidth="1"/>
    <col min="6150" max="6150" width="5.26953125" style="1" customWidth="1"/>
    <col min="6151" max="6151" width="24.54296875" style="1" customWidth="1"/>
    <col min="6152" max="6152" width="21.453125" style="1" customWidth="1"/>
    <col min="6153" max="6153" width="12.81640625" style="1" customWidth="1"/>
    <col min="6154" max="6400" width="9.1796875" style="1"/>
    <col min="6401" max="6401" width="11.81640625" style="1" customWidth="1"/>
    <col min="6402" max="6402" width="6.1796875" style="1" customWidth="1"/>
    <col min="6403" max="6403" width="11.453125" style="1" customWidth="1"/>
    <col min="6404" max="6404" width="24.26953125" style="1" customWidth="1"/>
    <col min="6405" max="6405" width="23.1796875" style="1" customWidth="1"/>
    <col min="6406" max="6406" width="5.26953125" style="1" customWidth="1"/>
    <col min="6407" max="6407" width="24.54296875" style="1" customWidth="1"/>
    <col min="6408" max="6408" width="21.453125" style="1" customWidth="1"/>
    <col min="6409" max="6409" width="12.81640625" style="1" customWidth="1"/>
    <col min="6410" max="6656" width="9.1796875" style="1"/>
    <col min="6657" max="6657" width="11.81640625" style="1" customWidth="1"/>
    <col min="6658" max="6658" width="6.1796875" style="1" customWidth="1"/>
    <col min="6659" max="6659" width="11.453125" style="1" customWidth="1"/>
    <col min="6660" max="6660" width="24.26953125" style="1" customWidth="1"/>
    <col min="6661" max="6661" width="23.1796875" style="1" customWidth="1"/>
    <col min="6662" max="6662" width="5.26953125" style="1" customWidth="1"/>
    <col min="6663" max="6663" width="24.54296875" style="1" customWidth="1"/>
    <col min="6664" max="6664" width="21.453125" style="1" customWidth="1"/>
    <col min="6665" max="6665" width="12.81640625" style="1" customWidth="1"/>
    <col min="6666" max="6912" width="9.1796875" style="1"/>
    <col min="6913" max="6913" width="11.81640625" style="1" customWidth="1"/>
    <col min="6914" max="6914" width="6.1796875" style="1" customWidth="1"/>
    <col min="6915" max="6915" width="11.453125" style="1" customWidth="1"/>
    <col min="6916" max="6916" width="24.26953125" style="1" customWidth="1"/>
    <col min="6917" max="6917" width="23.1796875" style="1" customWidth="1"/>
    <col min="6918" max="6918" width="5.26953125" style="1" customWidth="1"/>
    <col min="6919" max="6919" width="24.54296875" style="1" customWidth="1"/>
    <col min="6920" max="6920" width="21.453125" style="1" customWidth="1"/>
    <col min="6921" max="6921" width="12.81640625" style="1" customWidth="1"/>
    <col min="6922" max="7168" width="9.1796875" style="1"/>
    <col min="7169" max="7169" width="11.81640625" style="1" customWidth="1"/>
    <col min="7170" max="7170" width="6.1796875" style="1" customWidth="1"/>
    <col min="7171" max="7171" width="11.453125" style="1" customWidth="1"/>
    <col min="7172" max="7172" width="24.26953125" style="1" customWidth="1"/>
    <col min="7173" max="7173" width="23.1796875" style="1" customWidth="1"/>
    <col min="7174" max="7174" width="5.26953125" style="1" customWidth="1"/>
    <col min="7175" max="7175" width="24.54296875" style="1" customWidth="1"/>
    <col min="7176" max="7176" width="21.453125" style="1" customWidth="1"/>
    <col min="7177" max="7177" width="12.81640625" style="1" customWidth="1"/>
    <col min="7178" max="7424" width="9.1796875" style="1"/>
    <col min="7425" max="7425" width="11.81640625" style="1" customWidth="1"/>
    <col min="7426" max="7426" width="6.1796875" style="1" customWidth="1"/>
    <col min="7427" max="7427" width="11.453125" style="1" customWidth="1"/>
    <col min="7428" max="7428" width="24.26953125" style="1" customWidth="1"/>
    <col min="7429" max="7429" width="23.1796875" style="1" customWidth="1"/>
    <col min="7430" max="7430" width="5.26953125" style="1" customWidth="1"/>
    <col min="7431" max="7431" width="24.54296875" style="1" customWidth="1"/>
    <col min="7432" max="7432" width="21.453125" style="1" customWidth="1"/>
    <col min="7433" max="7433" width="12.81640625" style="1" customWidth="1"/>
    <col min="7434" max="7680" width="9.1796875" style="1"/>
    <col min="7681" max="7681" width="11.81640625" style="1" customWidth="1"/>
    <col min="7682" max="7682" width="6.1796875" style="1" customWidth="1"/>
    <col min="7683" max="7683" width="11.453125" style="1" customWidth="1"/>
    <col min="7684" max="7684" width="24.26953125" style="1" customWidth="1"/>
    <col min="7685" max="7685" width="23.1796875" style="1" customWidth="1"/>
    <col min="7686" max="7686" width="5.26953125" style="1" customWidth="1"/>
    <col min="7687" max="7687" width="24.54296875" style="1" customWidth="1"/>
    <col min="7688" max="7688" width="21.453125" style="1" customWidth="1"/>
    <col min="7689" max="7689" width="12.81640625" style="1" customWidth="1"/>
    <col min="7690" max="7936" width="9.1796875" style="1"/>
    <col min="7937" max="7937" width="11.81640625" style="1" customWidth="1"/>
    <col min="7938" max="7938" width="6.1796875" style="1" customWidth="1"/>
    <col min="7939" max="7939" width="11.453125" style="1" customWidth="1"/>
    <col min="7940" max="7940" width="24.26953125" style="1" customWidth="1"/>
    <col min="7941" max="7941" width="23.1796875" style="1" customWidth="1"/>
    <col min="7942" max="7942" width="5.26953125" style="1" customWidth="1"/>
    <col min="7943" max="7943" width="24.54296875" style="1" customWidth="1"/>
    <col min="7944" max="7944" width="21.453125" style="1" customWidth="1"/>
    <col min="7945" max="7945" width="12.81640625" style="1" customWidth="1"/>
    <col min="7946" max="8192" width="9.1796875" style="1"/>
    <col min="8193" max="8193" width="11.81640625" style="1" customWidth="1"/>
    <col min="8194" max="8194" width="6.1796875" style="1" customWidth="1"/>
    <col min="8195" max="8195" width="11.453125" style="1" customWidth="1"/>
    <col min="8196" max="8196" width="24.26953125" style="1" customWidth="1"/>
    <col min="8197" max="8197" width="23.1796875" style="1" customWidth="1"/>
    <col min="8198" max="8198" width="5.26953125" style="1" customWidth="1"/>
    <col min="8199" max="8199" width="24.54296875" style="1" customWidth="1"/>
    <col min="8200" max="8200" width="21.453125" style="1" customWidth="1"/>
    <col min="8201" max="8201" width="12.81640625" style="1" customWidth="1"/>
    <col min="8202" max="8448" width="9.1796875" style="1"/>
    <col min="8449" max="8449" width="11.81640625" style="1" customWidth="1"/>
    <col min="8450" max="8450" width="6.1796875" style="1" customWidth="1"/>
    <col min="8451" max="8451" width="11.453125" style="1" customWidth="1"/>
    <col min="8452" max="8452" width="24.26953125" style="1" customWidth="1"/>
    <col min="8453" max="8453" width="23.1796875" style="1" customWidth="1"/>
    <col min="8454" max="8454" width="5.26953125" style="1" customWidth="1"/>
    <col min="8455" max="8455" width="24.54296875" style="1" customWidth="1"/>
    <col min="8456" max="8456" width="21.453125" style="1" customWidth="1"/>
    <col min="8457" max="8457" width="12.81640625" style="1" customWidth="1"/>
    <col min="8458" max="8704" width="9.1796875" style="1"/>
    <col min="8705" max="8705" width="11.81640625" style="1" customWidth="1"/>
    <col min="8706" max="8706" width="6.1796875" style="1" customWidth="1"/>
    <col min="8707" max="8707" width="11.453125" style="1" customWidth="1"/>
    <col min="8708" max="8708" width="24.26953125" style="1" customWidth="1"/>
    <col min="8709" max="8709" width="23.1796875" style="1" customWidth="1"/>
    <col min="8710" max="8710" width="5.26953125" style="1" customWidth="1"/>
    <col min="8711" max="8711" width="24.54296875" style="1" customWidth="1"/>
    <col min="8712" max="8712" width="21.453125" style="1" customWidth="1"/>
    <col min="8713" max="8713" width="12.81640625" style="1" customWidth="1"/>
    <col min="8714" max="8960" width="9.1796875" style="1"/>
    <col min="8961" max="8961" width="11.81640625" style="1" customWidth="1"/>
    <col min="8962" max="8962" width="6.1796875" style="1" customWidth="1"/>
    <col min="8963" max="8963" width="11.453125" style="1" customWidth="1"/>
    <col min="8964" max="8964" width="24.26953125" style="1" customWidth="1"/>
    <col min="8965" max="8965" width="23.1796875" style="1" customWidth="1"/>
    <col min="8966" max="8966" width="5.26953125" style="1" customWidth="1"/>
    <col min="8967" max="8967" width="24.54296875" style="1" customWidth="1"/>
    <col min="8968" max="8968" width="21.453125" style="1" customWidth="1"/>
    <col min="8969" max="8969" width="12.81640625" style="1" customWidth="1"/>
    <col min="8970" max="9216" width="9.1796875" style="1"/>
    <col min="9217" max="9217" width="11.81640625" style="1" customWidth="1"/>
    <col min="9218" max="9218" width="6.1796875" style="1" customWidth="1"/>
    <col min="9219" max="9219" width="11.453125" style="1" customWidth="1"/>
    <col min="9220" max="9220" width="24.26953125" style="1" customWidth="1"/>
    <col min="9221" max="9221" width="23.1796875" style="1" customWidth="1"/>
    <col min="9222" max="9222" width="5.26953125" style="1" customWidth="1"/>
    <col min="9223" max="9223" width="24.54296875" style="1" customWidth="1"/>
    <col min="9224" max="9224" width="21.453125" style="1" customWidth="1"/>
    <col min="9225" max="9225" width="12.81640625" style="1" customWidth="1"/>
    <col min="9226" max="9472" width="9.1796875" style="1"/>
    <col min="9473" max="9473" width="11.81640625" style="1" customWidth="1"/>
    <col min="9474" max="9474" width="6.1796875" style="1" customWidth="1"/>
    <col min="9475" max="9475" width="11.453125" style="1" customWidth="1"/>
    <col min="9476" max="9476" width="24.26953125" style="1" customWidth="1"/>
    <col min="9477" max="9477" width="23.1796875" style="1" customWidth="1"/>
    <col min="9478" max="9478" width="5.26953125" style="1" customWidth="1"/>
    <col min="9479" max="9479" width="24.54296875" style="1" customWidth="1"/>
    <col min="9480" max="9480" width="21.453125" style="1" customWidth="1"/>
    <col min="9481" max="9481" width="12.81640625" style="1" customWidth="1"/>
    <col min="9482" max="9728" width="9.1796875" style="1"/>
    <col min="9729" max="9729" width="11.81640625" style="1" customWidth="1"/>
    <col min="9730" max="9730" width="6.1796875" style="1" customWidth="1"/>
    <col min="9731" max="9731" width="11.453125" style="1" customWidth="1"/>
    <col min="9732" max="9732" width="24.26953125" style="1" customWidth="1"/>
    <col min="9733" max="9733" width="23.1796875" style="1" customWidth="1"/>
    <col min="9734" max="9734" width="5.26953125" style="1" customWidth="1"/>
    <col min="9735" max="9735" width="24.54296875" style="1" customWidth="1"/>
    <col min="9736" max="9736" width="21.453125" style="1" customWidth="1"/>
    <col min="9737" max="9737" width="12.81640625" style="1" customWidth="1"/>
    <col min="9738" max="9984" width="9.1796875" style="1"/>
    <col min="9985" max="9985" width="11.81640625" style="1" customWidth="1"/>
    <col min="9986" max="9986" width="6.1796875" style="1" customWidth="1"/>
    <col min="9987" max="9987" width="11.453125" style="1" customWidth="1"/>
    <col min="9988" max="9988" width="24.26953125" style="1" customWidth="1"/>
    <col min="9989" max="9989" width="23.1796875" style="1" customWidth="1"/>
    <col min="9990" max="9990" width="5.26953125" style="1" customWidth="1"/>
    <col min="9991" max="9991" width="24.54296875" style="1" customWidth="1"/>
    <col min="9992" max="9992" width="21.453125" style="1" customWidth="1"/>
    <col min="9993" max="9993" width="12.81640625" style="1" customWidth="1"/>
    <col min="9994" max="10240" width="9.1796875" style="1"/>
    <col min="10241" max="10241" width="11.81640625" style="1" customWidth="1"/>
    <col min="10242" max="10242" width="6.1796875" style="1" customWidth="1"/>
    <col min="10243" max="10243" width="11.453125" style="1" customWidth="1"/>
    <col min="10244" max="10244" width="24.26953125" style="1" customWidth="1"/>
    <col min="10245" max="10245" width="23.1796875" style="1" customWidth="1"/>
    <col min="10246" max="10246" width="5.26953125" style="1" customWidth="1"/>
    <col min="10247" max="10247" width="24.54296875" style="1" customWidth="1"/>
    <col min="10248" max="10248" width="21.453125" style="1" customWidth="1"/>
    <col min="10249" max="10249" width="12.81640625" style="1" customWidth="1"/>
    <col min="10250" max="10496" width="9.1796875" style="1"/>
    <col min="10497" max="10497" width="11.81640625" style="1" customWidth="1"/>
    <col min="10498" max="10498" width="6.1796875" style="1" customWidth="1"/>
    <col min="10499" max="10499" width="11.453125" style="1" customWidth="1"/>
    <col min="10500" max="10500" width="24.26953125" style="1" customWidth="1"/>
    <col min="10501" max="10501" width="23.1796875" style="1" customWidth="1"/>
    <col min="10502" max="10502" width="5.26953125" style="1" customWidth="1"/>
    <col min="10503" max="10503" width="24.54296875" style="1" customWidth="1"/>
    <col min="10504" max="10504" width="21.453125" style="1" customWidth="1"/>
    <col min="10505" max="10505" width="12.81640625" style="1" customWidth="1"/>
    <col min="10506" max="10752" width="9.1796875" style="1"/>
    <col min="10753" max="10753" width="11.81640625" style="1" customWidth="1"/>
    <col min="10754" max="10754" width="6.1796875" style="1" customWidth="1"/>
    <col min="10755" max="10755" width="11.453125" style="1" customWidth="1"/>
    <col min="10756" max="10756" width="24.26953125" style="1" customWidth="1"/>
    <col min="10757" max="10757" width="23.1796875" style="1" customWidth="1"/>
    <col min="10758" max="10758" width="5.26953125" style="1" customWidth="1"/>
    <col min="10759" max="10759" width="24.54296875" style="1" customWidth="1"/>
    <col min="10760" max="10760" width="21.453125" style="1" customWidth="1"/>
    <col min="10761" max="10761" width="12.81640625" style="1" customWidth="1"/>
    <col min="10762" max="11008" width="9.1796875" style="1"/>
    <col min="11009" max="11009" width="11.81640625" style="1" customWidth="1"/>
    <col min="11010" max="11010" width="6.1796875" style="1" customWidth="1"/>
    <col min="11011" max="11011" width="11.453125" style="1" customWidth="1"/>
    <col min="11012" max="11012" width="24.26953125" style="1" customWidth="1"/>
    <col min="11013" max="11013" width="23.1796875" style="1" customWidth="1"/>
    <col min="11014" max="11014" width="5.26953125" style="1" customWidth="1"/>
    <col min="11015" max="11015" width="24.54296875" style="1" customWidth="1"/>
    <col min="11016" max="11016" width="21.453125" style="1" customWidth="1"/>
    <col min="11017" max="11017" width="12.81640625" style="1" customWidth="1"/>
    <col min="11018" max="11264" width="9.1796875" style="1"/>
    <col min="11265" max="11265" width="11.81640625" style="1" customWidth="1"/>
    <col min="11266" max="11266" width="6.1796875" style="1" customWidth="1"/>
    <col min="11267" max="11267" width="11.453125" style="1" customWidth="1"/>
    <col min="11268" max="11268" width="24.26953125" style="1" customWidth="1"/>
    <col min="11269" max="11269" width="23.1796875" style="1" customWidth="1"/>
    <col min="11270" max="11270" width="5.26953125" style="1" customWidth="1"/>
    <col min="11271" max="11271" width="24.54296875" style="1" customWidth="1"/>
    <col min="11272" max="11272" width="21.453125" style="1" customWidth="1"/>
    <col min="11273" max="11273" width="12.81640625" style="1" customWidth="1"/>
    <col min="11274" max="11520" width="9.1796875" style="1"/>
    <col min="11521" max="11521" width="11.81640625" style="1" customWidth="1"/>
    <col min="11522" max="11522" width="6.1796875" style="1" customWidth="1"/>
    <col min="11523" max="11523" width="11.453125" style="1" customWidth="1"/>
    <col min="11524" max="11524" width="24.26953125" style="1" customWidth="1"/>
    <col min="11525" max="11525" width="23.1796875" style="1" customWidth="1"/>
    <col min="11526" max="11526" width="5.26953125" style="1" customWidth="1"/>
    <col min="11527" max="11527" width="24.54296875" style="1" customWidth="1"/>
    <col min="11528" max="11528" width="21.453125" style="1" customWidth="1"/>
    <col min="11529" max="11529" width="12.81640625" style="1" customWidth="1"/>
    <col min="11530" max="11776" width="9.1796875" style="1"/>
    <col min="11777" max="11777" width="11.81640625" style="1" customWidth="1"/>
    <col min="11778" max="11778" width="6.1796875" style="1" customWidth="1"/>
    <col min="11779" max="11779" width="11.453125" style="1" customWidth="1"/>
    <col min="11780" max="11780" width="24.26953125" style="1" customWidth="1"/>
    <col min="11781" max="11781" width="23.1796875" style="1" customWidth="1"/>
    <col min="11782" max="11782" width="5.26953125" style="1" customWidth="1"/>
    <col min="11783" max="11783" width="24.54296875" style="1" customWidth="1"/>
    <col min="11784" max="11784" width="21.453125" style="1" customWidth="1"/>
    <col min="11785" max="11785" width="12.81640625" style="1" customWidth="1"/>
    <col min="11786" max="12032" width="9.1796875" style="1"/>
    <col min="12033" max="12033" width="11.81640625" style="1" customWidth="1"/>
    <col min="12034" max="12034" width="6.1796875" style="1" customWidth="1"/>
    <col min="12035" max="12035" width="11.453125" style="1" customWidth="1"/>
    <col min="12036" max="12036" width="24.26953125" style="1" customWidth="1"/>
    <col min="12037" max="12037" width="23.1796875" style="1" customWidth="1"/>
    <col min="12038" max="12038" width="5.26953125" style="1" customWidth="1"/>
    <col min="12039" max="12039" width="24.54296875" style="1" customWidth="1"/>
    <col min="12040" max="12040" width="21.453125" style="1" customWidth="1"/>
    <col min="12041" max="12041" width="12.81640625" style="1" customWidth="1"/>
    <col min="12042" max="12288" width="9.1796875" style="1"/>
    <col min="12289" max="12289" width="11.81640625" style="1" customWidth="1"/>
    <col min="12290" max="12290" width="6.1796875" style="1" customWidth="1"/>
    <col min="12291" max="12291" width="11.453125" style="1" customWidth="1"/>
    <col min="12292" max="12292" width="24.26953125" style="1" customWidth="1"/>
    <col min="12293" max="12293" width="23.1796875" style="1" customWidth="1"/>
    <col min="12294" max="12294" width="5.26953125" style="1" customWidth="1"/>
    <col min="12295" max="12295" width="24.54296875" style="1" customWidth="1"/>
    <col min="12296" max="12296" width="21.453125" style="1" customWidth="1"/>
    <col min="12297" max="12297" width="12.81640625" style="1" customWidth="1"/>
    <col min="12298" max="12544" width="9.1796875" style="1"/>
    <col min="12545" max="12545" width="11.81640625" style="1" customWidth="1"/>
    <col min="12546" max="12546" width="6.1796875" style="1" customWidth="1"/>
    <col min="12547" max="12547" width="11.453125" style="1" customWidth="1"/>
    <col min="12548" max="12548" width="24.26953125" style="1" customWidth="1"/>
    <col min="12549" max="12549" width="23.1796875" style="1" customWidth="1"/>
    <col min="12550" max="12550" width="5.26953125" style="1" customWidth="1"/>
    <col min="12551" max="12551" width="24.54296875" style="1" customWidth="1"/>
    <col min="12552" max="12552" width="21.453125" style="1" customWidth="1"/>
    <col min="12553" max="12553" width="12.81640625" style="1" customWidth="1"/>
    <col min="12554" max="12800" width="9.1796875" style="1"/>
    <col min="12801" max="12801" width="11.81640625" style="1" customWidth="1"/>
    <col min="12802" max="12802" width="6.1796875" style="1" customWidth="1"/>
    <col min="12803" max="12803" width="11.453125" style="1" customWidth="1"/>
    <col min="12804" max="12804" width="24.26953125" style="1" customWidth="1"/>
    <col min="12805" max="12805" width="23.1796875" style="1" customWidth="1"/>
    <col min="12806" max="12806" width="5.26953125" style="1" customWidth="1"/>
    <col min="12807" max="12807" width="24.54296875" style="1" customWidth="1"/>
    <col min="12808" max="12808" width="21.453125" style="1" customWidth="1"/>
    <col min="12809" max="12809" width="12.81640625" style="1" customWidth="1"/>
    <col min="12810" max="13056" width="9.1796875" style="1"/>
    <col min="13057" max="13057" width="11.81640625" style="1" customWidth="1"/>
    <col min="13058" max="13058" width="6.1796875" style="1" customWidth="1"/>
    <col min="13059" max="13059" width="11.453125" style="1" customWidth="1"/>
    <col min="13060" max="13060" width="24.26953125" style="1" customWidth="1"/>
    <col min="13061" max="13061" width="23.1796875" style="1" customWidth="1"/>
    <col min="13062" max="13062" width="5.26953125" style="1" customWidth="1"/>
    <col min="13063" max="13063" width="24.54296875" style="1" customWidth="1"/>
    <col min="13064" max="13064" width="21.453125" style="1" customWidth="1"/>
    <col min="13065" max="13065" width="12.81640625" style="1" customWidth="1"/>
    <col min="13066" max="13312" width="9.1796875" style="1"/>
    <col min="13313" max="13313" width="11.81640625" style="1" customWidth="1"/>
    <col min="13314" max="13314" width="6.1796875" style="1" customWidth="1"/>
    <col min="13315" max="13315" width="11.453125" style="1" customWidth="1"/>
    <col min="13316" max="13316" width="24.26953125" style="1" customWidth="1"/>
    <col min="13317" max="13317" width="23.1796875" style="1" customWidth="1"/>
    <col min="13318" max="13318" width="5.26953125" style="1" customWidth="1"/>
    <col min="13319" max="13319" width="24.54296875" style="1" customWidth="1"/>
    <col min="13320" max="13320" width="21.453125" style="1" customWidth="1"/>
    <col min="13321" max="13321" width="12.81640625" style="1" customWidth="1"/>
    <col min="13322" max="13568" width="9.1796875" style="1"/>
    <col min="13569" max="13569" width="11.81640625" style="1" customWidth="1"/>
    <col min="13570" max="13570" width="6.1796875" style="1" customWidth="1"/>
    <col min="13571" max="13571" width="11.453125" style="1" customWidth="1"/>
    <col min="13572" max="13572" width="24.26953125" style="1" customWidth="1"/>
    <col min="13573" max="13573" width="23.1796875" style="1" customWidth="1"/>
    <col min="13574" max="13574" width="5.26953125" style="1" customWidth="1"/>
    <col min="13575" max="13575" width="24.54296875" style="1" customWidth="1"/>
    <col min="13576" max="13576" width="21.453125" style="1" customWidth="1"/>
    <col min="13577" max="13577" width="12.81640625" style="1" customWidth="1"/>
    <col min="13578" max="13824" width="9.1796875" style="1"/>
    <col min="13825" max="13825" width="11.81640625" style="1" customWidth="1"/>
    <col min="13826" max="13826" width="6.1796875" style="1" customWidth="1"/>
    <col min="13827" max="13827" width="11.453125" style="1" customWidth="1"/>
    <col min="13828" max="13828" width="24.26953125" style="1" customWidth="1"/>
    <col min="13829" max="13829" width="23.1796875" style="1" customWidth="1"/>
    <col min="13830" max="13830" width="5.26953125" style="1" customWidth="1"/>
    <col min="13831" max="13831" width="24.54296875" style="1" customWidth="1"/>
    <col min="13832" max="13832" width="21.453125" style="1" customWidth="1"/>
    <col min="13833" max="13833" width="12.81640625" style="1" customWidth="1"/>
    <col min="13834" max="14080" width="9.1796875" style="1"/>
    <col min="14081" max="14081" width="11.81640625" style="1" customWidth="1"/>
    <col min="14082" max="14082" width="6.1796875" style="1" customWidth="1"/>
    <col min="14083" max="14083" width="11.453125" style="1" customWidth="1"/>
    <col min="14084" max="14084" width="24.26953125" style="1" customWidth="1"/>
    <col min="14085" max="14085" width="23.1796875" style="1" customWidth="1"/>
    <col min="14086" max="14086" width="5.26953125" style="1" customWidth="1"/>
    <col min="14087" max="14087" width="24.54296875" style="1" customWidth="1"/>
    <col min="14088" max="14088" width="21.453125" style="1" customWidth="1"/>
    <col min="14089" max="14089" width="12.81640625" style="1" customWidth="1"/>
    <col min="14090" max="14336" width="9.1796875" style="1"/>
    <col min="14337" max="14337" width="11.81640625" style="1" customWidth="1"/>
    <col min="14338" max="14338" width="6.1796875" style="1" customWidth="1"/>
    <col min="14339" max="14339" width="11.453125" style="1" customWidth="1"/>
    <col min="14340" max="14340" width="24.26953125" style="1" customWidth="1"/>
    <col min="14341" max="14341" width="23.1796875" style="1" customWidth="1"/>
    <col min="14342" max="14342" width="5.26953125" style="1" customWidth="1"/>
    <col min="14343" max="14343" width="24.54296875" style="1" customWidth="1"/>
    <col min="14344" max="14344" width="21.453125" style="1" customWidth="1"/>
    <col min="14345" max="14345" width="12.81640625" style="1" customWidth="1"/>
    <col min="14346" max="14592" width="9.1796875" style="1"/>
    <col min="14593" max="14593" width="11.81640625" style="1" customWidth="1"/>
    <col min="14594" max="14594" width="6.1796875" style="1" customWidth="1"/>
    <col min="14595" max="14595" width="11.453125" style="1" customWidth="1"/>
    <col min="14596" max="14596" width="24.26953125" style="1" customWidth="1"/>
    <col min="14597" max="14597" width="23.1796875" style="1" customWidth="1"/>
    <col min="14598" max="14598" width="5.26953125" style="1" customWidth="1"/>
    <col min="14599" max="14599" width="24.54296875" style="1" customWidth="1"/>
    <col min="14600" max="14600" width="21.453125" style="1" customWidth="1"/>
    <col min="14601" max="14601" width="12.81640625" style="1" customWidth="1"/>
    <col min="14602" max="14848" width="9.1796875" style="1"/>
    <col min="14849" max="14849" width="11.81640625" style="1" customWidth="1"/>
    <col min="14850" max="14850" width="6.1796875" style="1" customWidth="1"/>
    <col min="14851" max="14851" width="11.453125" style="1" customWidth="1"/>
    <col min="14852" max="14852" width="24.26953125" style="1" customWidth="1"/>
    <col min="14853" max="14853" width="23.1796875" style="1" customWidth="1"/>
    <col min="14854" max="14854" width="5.26953125" style="1" customWidth="1"/>
    <col min="14855" max="14855" width="24.54296875" style="1" customWidth="1"/>
    <col min="14856" max="14856" width="21.453125" style="1" customWidth="1"/>
    <col min="14857" max="14857" width="12.81640625" style="1" customWidth="1"/>
    <col min="14858" max="15104" width="9.1796875" style="1"/>
    <col min="15105" max="15105" width="11.81640625" style="1" customWidth="1"/>
    <col min="15106" max="15106" width="6.1796875" style="1" customWidth="1"/>
    <col min="15107" max="15107" width="11.453125" style="1" customWidth="1"/>
    <col min="15108" max="15108" width="24.26953125" style="1" customWidth="1"/>
    <col min="15109" max="15109" width="23.1796875" style="1" customWidth="1"/>
    <col min="15110" max="15110" width="5.26953125" style="1" customWidth="1"/>
    <col min="15111" max="15111" width="24.54296875" style="1" customWidth="1"/>
    <col min="15112" max="15112" width="21.453125" style="1" customWidth="1"/>
    <col min="15113" max="15113" width="12.81640625" style="1" customWidth="1"/>
    <col min="15114" max="15360" width="9.1796875" style="1"/>
    <col min="15361" max="15361" width="11.81640625" style="1" customWidth="1"/>
    <col min="15362" max="15362" width="6.1796875" style="1" customWidth="1"/>
    <col min="15363" max="15363" width="11.453125" style="1" customWidth="1"/>
    <col min="15364" max="15364" width="24.26953125" style="1" customWidth="1"/>
    <col min="15365" max="15365" width="23.1796875" style="1" customWidth="1"/>
    <col min="15366" max="15366" width="5.26953125" style="1" customWidth="1"/>
    <col min="15367" max="15367" width="24.54296875" style="1" customWidth="1"/>
    <col min="15368" max="15368" width="21.453125" style="1" customWidth="1"/>
    <col min="15369" max="15369" width="12.81640625" style="1" customWidth="1"/>
    <col min="15370" max="15616" width="9.1796875" style="1"/>
    <col min="15617" max="15617" width="11.81640625" style="1" customWidth="1"/>
    <col min="15618" max="15618" width="6.1796875" style="1" customWidth="1"/>
    <col min="15619" max="15619" width="11.453125" style="1" customWidth="1"/>
    <col min="15620" max="15620" width="24.26953125" style="1" customWidth="1"/>
    <col min="15621" max="15621" width="23.1796875" style="1" customWidth="1"/>
    <col min="15622" max="15622" width="5.26953125" style="1" customWidth="1"/>
    <col min="15623" max="15623" width="24.54296875" style="1" customWidth="1"/>
    <col min="15624" max="15624" width="21.453125" style="1" customWidth="1"/>
    <col min="15625" max="15625" width="12.81640625" style="1" customWidth="1"/>
    <col min="15626" max="15872" width="9.1796875" style="1"/>
    <col min="15873" max="15873" width="11.81640625" style="1" customWidth="1"/>
    <col min="15874" max="15874" width="6.1796875" style="1" customWidth="1"/>
    <col min="15875" max="15875" width="11.453125" style="1" customWidth="1"/>
    <col min="15876" max="15876" width="24.26953125" style="1" customWidth="1"/>
    <col min="15877" max="15877" width="23.1796875" style="1" customWidth="1"/>
    <col min="15878" max="15878" width="5.26953125" style="1" customWidth="1"/>
    <col min="15879" max="15879" width="24.54296875" style="1" customWidth="1"/>
    <col min="15880" max="15880" width="21.453125" style="1" customWidth="1"/>
    <col min="15881" max="15881" width="12.81640625" style="1" customWidth="1"/>
    <col min="15882" max="16128" width="9.1796875" style="1"/>
    <col min="16129" max="16129" width="11.81640625" style="1" customWidth="1"/>
    <col min="16130" max="16130" width="6.1796875" style="1" customWidth="1"/>
    <col min="16131" max="16131" width="11.453125" style="1" customWidth="1"/>
    <col min="16132" max="16132" width="24.26953125" style="1" customWidth="1"/>
    <col min="16133" max="16133" width="23.1796875" style="1" customWidth="1"/>
    <col min="16134" max="16134" width="5.26953125" style="1" customWidth="1"/>
    <col min="16135" max="16135" width="24.54296875" style="1" customWidth="1"/>
    <col min="16136" max="16136" width="21.453125" style="1" customWidth="1"/>
    <col min="16137" max="16137" width="12.81640625" style="1" customWidth="1"/>
    <col min="16138" max="16384" width="9.1796875" style="1"/>
  </cols>
  <sheetData>
    <row r="1" spans="1:10" x14ac:dyDescent="0.25">
      <c r="A1" s="298" t="s">
        <v>1024</v>
      </c>
      <c r="B1" s="298"/>
    </row>
    <row r="2" spans="1:10" ht="15.75" customHeight="1" x14ac:dyDescent="0.25">
      <c r="C2" s="299" t="s">
        <v>1116</v>
      </c>
      <c r="D2" s="300"/>
      <c r="E2" s="301"/>
    </row>
    <row r="3" spans="1:10" ht="15.75" customHeight="1" x14ac:dyDescent="0.25">
      <c r="A3" s="2"/>
      <c r="B3" s="2"/>
      <c r="C3" s="302" t="s">
        <v>1115</v>
      </c>
      <c r="D3" s="303"/>
      <c r="E3" s="304"/>
    </row>
    <row r="4" spans="1:10" x14ac:dyDescent="0.25">
      <c r="A4" s="2"/>
      <c r="B4" s="2"/>
    </row>
    <row r="5" spans="1:10" x14ac:dyDescent="0.25">
      <c r="A5" s="288" t="s">
        <v>1025</v>
      </c>
      <c r="B5" s="288"/>
    </row>
    <row r="6" spans="1:10" x14ac:dyDescent="0.25">
      <c r="A6" s="2"/>
      <c r="B6" s="2"/>
      <c r="C6" s="305" t="s">
        <v>9</v>
      </c>
      <c r="D6" s="306"/>
      <c r="E6" s="3" t="s">
        <v>1026</v>
      </c>
      <c r="F6" s="4"/>
      <c r="G6" s="4"/>
      <c r="H6" s="4"/>
      <c r="I6" s="5"/>
    </row>
    <row r="7" spans="1:10" x14ac:dyDescent="0.25">
      <c r="A7" s="2"/>
      <c r="B7" s="2"/>
      <c r="C7" s="296" t="s">
        <v>11</v>
      </c>
      <c r="D7" s="297"/>
      <c r="E7" s="6" t="s">
        <v>12</v>
      </c>
      <c r="F7" s="7"/>
      <c r="G7" s="7"/>
      <c r="H7" s="7"/>
      <c r="I7" s="8"/>
      <c r="J7" s="9"/>
    </row>
    <row r="8" spans="1:10" x14ac:dyDescent="0.25">
      <c r="A8" s="2"/>
      <c r="B8" s="2"/>
      <c r="C8" s="294" t="s">
        <v>383</v>
      </c>
      <c r="D8" s="295"/>
      <c r="E8" s="10" t="s">
        <v>1027</v>
      </c>
      <c r="F8" s="11"/>
      <c r="G8" s="11"/>
      <c r="H8" s="11"/>
      <c r="I8" s="12"/>
      <c r="J8" s="9"/>
    </row>
    <row r="9" spans="1:10" x14ac:dyDescent="0.25">
      <c r="A9" s="2"/>
      <c r="B9" s="2"/>
      <c r="C9" s="296" t="s">
        <v>1028</v>
      </c>
      <c r="D9" s="297"/>
      <c r="E9" s="6" t="s">
        <v>674</v>
      </c>
      <c r="F9" s="7"/>
      <c r="G9" s="7"/>
      <c r="H9" s="7"/>
      <c r="I9" s="8"/>
      <c r="J9" s="9"/>
    </row>
    <row r="10" spans="1:10" x14ac:dyDescent="0.25">
      <c r="A10" s="2"/>
      <c r="B10" s="2"/>
      <c r="C10" s="294" t="s">
        <v>4</v>
      </c>
      <c r="D10" s="295"/>
      <c r="E10" s="10" t="s">
        <v>1029</v>
      </c>
      <c r="F10" s="11"/>
      <c r="G10" s="11"/>
      <c r="H10" s="11"/>
      <c r="I10" s="12"/>
      <c r="J10" s="9"/>
    </row>
    <row r="11" spans="1:10" x14ac:dyDescent="0.25">
      <c r="A11" s="2"/>
      <c r="B11" s="2"/>
      <c r="C11" s="296" t="s">
        <v>1030</v>
      </c>
      <c r="D11" s="297"/>
      <c r="E11" s="6" t="s">
        <v>1031</v>
      </c>
      <c r="F11" s="7"/>
      <c r="G11" s="7"/>
      <c r="H11" s="7"/>
      <c r="I11" s="8"/>
      <c r="J11" s="9"/>
    </row>
    <row r="12" spans="1:10" x14ac:dyDescent="0.25">
      <c r="A12" s="2"/>
      <c r="B12" s="2"/>
      <c r="C12" s="294" t="s">
        <v>19</v>
      </c>
      <c r="D12" s="295"/>
      <c r="E12" s="13">
        <v>45853</v>
      </c>
      <c r="F12" s="11"/>
      <c r="G12" s="11"/>
      <c r="H12" s="11"/>
      <c r="I12" s="12"/>
      <c r="J12" s="9"/>
    </row>
    <row r="13" spans="1:10" x14ac:dyDescent="0.25">
      <c r="A13" s="2"/>
      <c r="B13" s="2"/>
      <c r="C13" s="292" t="s">
        <v>20</v>
      </c>
      <c r="D13" s="293"/>
      <c r="E13" s="287">
        <f>+E12</f>
        <v>45853</v>
      </c>
      <c r="F13" s="287"/>
      <c r="G13" s="287"/>
      <c r="H13" s="287"/>
      <c r="I13" s="14"/>
      <c r="J13" s="9"/>
    </row>
    <row r="14" spans="1:10" x14ac:dyDescent="0.25">
      <c r="D14" s="15"/>
    </row>
    <row r="15" spans="1:10" x14ac:dyDescent="0.25">
      <c r="A15" s="288" t="s">
        <v>1032</v>
      </c>
      <c r="B15" s="288"/>
    </row>
    <row r="16" spans="1:10" x14ac:dyDescent="0.25">
      <c r="C16" s="289" t="s">
        <v>223</v>
      </c>
      <c r="D16" s="290"/>
      <c r="E16" s="291"/>
      <c r="G16" s="289" t="s">
        <v>1033</v>
      </c>
      <c r="H16" s="290"/>
      <c r="I16" s="291"/>
    </row>
    <row r="17" spans="3:9" x14ac:dyDescent="0.25">
      <c r="C17" s="274" t="s">
        <v>225</v>
      </c>
      <c r="D17" s="275"/>
      <c r="E17" s="276"/>
      <c r="G17" s="274" t="s">
        <v>226</v>
      </c>
      <c r="H17" s="275"/>
      <c r="I17" s="276"/>
    </row>
    <row r="18" spans="3:9" x14ac:dyDescent="0.25">
      <c r="C18" s="274"/>
      <c r="D18" s="275"/>
      <c r="E18" s="276"/>
      <c r="G18" s="277"/>
      <c r="H18" s="278"/>
      <c r="I18" s="279"/>
    </row>
    <row r="19" spans="3:9" ht="27" customHeight="1" x14ac:dyDescent="0.25">
      <c r="C19" s="274"/>
      <c r="D19" s="275"/>
      <c r="E19" s="276"/>
      <c r="G19" s="277"/>
      <c r="H19" s="278"/>
      <c r="I19" s="279"/>
    </row>
    <row r="20" spans="3:9" x14ac:dyDescent="0.25">
      <c r="C20" s="274"/>
      <c r="D20" s="275"/>
      <c r="E20" s="276"/>
      <c r="G20" s="277"/>
      <c r="H20" s="278"/>
      <c r="I20" s="279"/>
    </row>
    <row r="21" spans="3:9" x14ac:dyDescent="0.25">
      <c r="C21" s="274"/>
      <c r="D21" s="275"/>
      <c r="E21" s="276"/>
      <c r="G21" s="277"/>
      <c r="H21" s="278"/>
      <c r="I21" s="279"/>
    </row>
    <row r="22" spans="3:9" x14ac:dyDescent="0.25">
      <c r="C22" s="274"/>
      <c r="D22" s="275"/>
      <c r="E22" s="276"/>
      <c r="G22" s="277"/>
      <c r="H22" s="278"/>
      <c r="I22" s="279"/>
    </row>
    <row r="23" spans="3:9" x14ac:dyDescent="0.25">
      <c r="C23" s="274"/>
      <c r="D23" s="275"/>
      <c r="E23" s="276"/>
      <c r="G23" s="277"/>
      <c r="H23" s="278"/>
      <c r="I23" s="279"/>
    </row>
    <row r="24" spans="3:9" x14ac:dyDescent="0.25">
      <c r="C24" s="280" t="s">
        <v>1027</v>
      </c>
      <c r="D24" s="281"/>
      <c r="E24" s="282"/>
      <c r="G24" s="280" t="s">
        <v>1026</v>
      </c>
      <c r="H24" s="281"/>
      <c r="I24" s="282"/>
    </row>
    <row r="25" spans="3:9" x14ac:dyDescent="0.25">
      <c r="C25" s="280" t="s">
        <v>1034</v>
      </c>
      <c r="D25" s="281"/>
      <c r="E25" s="282"/>
      <c r="F25" s="16"/>
      <c r="G25" s="280" t="s">
        <v>1035</v>
      </c>
      <c r="H25" s="281"/>
      <c r="I25" s="282"/>
    </row>
    <row r="26" spans="3:9" x14ac:dyDescent="0.25">
      <c r="C26" s="283" t="s">
        <v>1036</v>
      </c>
      <c r="D26" s="284"/>
      <c r="E26" s="285"/>
      <c r="F26" s="17"/>
      <c r="G26" s="283" t="s">
        <v>1037</v>
      </c>
      <c r="H26" s="284"/>
      <c r="I26" s="285"/>
    </row>
    <row r="27" spans="3:9" x14ac:dyDescent="0.25">
      <c r="C27" s="18"/>
      <c r="D27" s="18"/>
      <c r="E27" s="18"/>
      <c r="G27" s="19"/>
      <c r="H27" s="19"/>
      <c r="I27" s="19"/>
    </row>
    <row r="28" spans="3:9" x14ac:dyDescent="0.25">
      <c r="C28" s="18"/>
      <c r="D28" s="18"/>
      <c r="E28" s="18"/>
      <c r="G28" s="19"/>
      <c r="H28" s="19"/>
      <c r="I28" s="19"/>
    </row>
    <row r="29" spans="3:9" x14ac:dyDescent="0.25">
      <c r="C29" s="20" t="s">
        <v>507</v>
      </c>
      <c r="D29" s="286" t="s">
        <v>1038</v>
      </c>
      <c r="E29" s="286"/>
      <c r="F29" s="286"/>
      <c r="G29" s="286"/>
      <c r="H29" s="21" t="s">
        <v>1039</v>
      </c>
      <c r="I29" s="19"/>
    </row>
    <row r="30" spans="3:9" x14ac:dyDescent="0.25">
      <c r="C30" s="20" t="s">
        <v>1040</v>
      </c>
      <c r="D30" s="286" t="s">
        <v>1041</v>
      </c>
      <c r="E30" s="286"/>
      <c r="F30" s="286"/>
      <c r="G30" s="286"/>
      <c r="H30" s="21"/>
      <c r="I30" s="19"/>
    </row>
    <row r="31" spans="3:9" x14ac:dyDescent="0.25">
      <c r="C31" s="22" t="s">
        <v>1042</v>
      </c>
      <c r="D31" s="273" t="s">
        <v>1043</v>
      </c>
      <c r="E31" s="273"/>
      <c r="F31" s="273"/>
      <c r="G31" s="273"/>
      <c r="H31" s="23" t="s">
        <v>1044</v>
      </c>
      <c r="I31" s="19"/>
    </row>
    <row r="32" spans="3:9" x14ac:dyDescent="0.25">
      <c r="C32" s="22" t="s">
        <v>1045</v>
      </c>
      <c r="D32" s="273" t="s">
        <v>1046</v>
      </c>
      <c r="E32" s="273"/>
      <c r="F32" s="273"/>
      <c r="G32" s="273"/>
      <c r="H32" s="23" t="s">
        <v>1047</v>
      </c>
      <c r="I32" s="19"/>
    </row>
    <row r="33" spans="3:9" x14ac:dyDescent="0.25">
      <c r="C33" s="22" t="s">
        <v>1048</v>
      </c>
      <c r="D33" s="273" t="s">
        <v>1049</v>
      </c>
      <c r="E33" s="273"/>
      <c r="F33" s="273"/>
      <c r="G33" s="273"/>
      <c r="H33" s="23" t="s">
        <v>1050</v>
      </c>
      <c r="I33" s="19"/>
    </row>
    <row r="34" spans="3:9" x14ac:dyDescent="0.25">
      <c r="C34" s="22" t="s">
        <v>1051</v>
      </c>
      <c r="D34" s="273" t="s">
        <v>1052</v>
      </c>
      <c r="E34" s="273"/>
      <c r="F34" s="273"/>
      <c r="G34" s="273"/>
      <c r="H34" s="23" t="s">
        <v>1053</v>
      </c>
      <c r="I34" s="19"/>
    </row>
    <row r="35" spans="3:9" x14ac:dyDescent="0.25">
      <c r="C35" s="22" t="s">
        <v>1054</v>
      </c>
      <c r="D35" s="273" t="s">
        <v>1055</v>
      </c>
      <c r="E35" s="273"/>
      <c r="F35" s="273"/>
      <c r="G35" s="273"/>
      <c r="H35" s="23" t="s">
        <v>1056</v>
      </c>
      <c r="I35" s="19"/>
    </row>
    <row r="36" spans="3:9" x14ac:dyDescent="0.25">
      <c r="C36" s="22" t="s">
        <v>1057</v>
      </c>
      <c r="D36" s="273" t="s">
        <v>1058</v>
      </c>
      <c r="E36" s="273"/>
      <c r="F36" s="273"/>
      <c r="G36" s="273"/>
      <c r="H36" s="24" t="s">
        <v>1059</v>
      </c>
      <c r="I36" s="19"/>
    </row>
    <row r="37" spans="3:9" x14ac:dyDescent="0.25">
      <c r="C37" s="22" t="s">
        <v>1060</v>
      </c>
      <c r="D37" s="273" t="s">
        <v>1061</v>
      </c>
      <c r="E37" s="273"/>
      <c r="F37" s="273"/>
      <c r="G37" s="273"/>
      <c r="H37" s="25" t="s">
        <v>1062</v>
      </c>
      <c r="I37" s="19"/>
    </row>
    <row r="38" spans="3:9" x14ac:dyDescent="0.25">
      <c r="C38" s="22" t="s">
        <v>1063</v>
      </c>
      <c r="D38" s="273" t="s">
        <v>1064</v>
      </c>
      <c r="E38" s="273"/>
      <c r="F38" s="273"/>
      <c r="G38" s="273"/>
      <c r="H38" s="25" t="s">
        <v>1062</v>
      </c>
      <c r="I38" s="19"/>
    </row>
    <row r="39" spans="3:9" x14ac:dyDescent="0.25">
      <c r="C39" s="20" t="s">
        <v>1065</v>
      </c>
      <c r="D39" s="272" t="s">
        <v>1066</v>
      </c>
      <c r="E39" s="272"/>
      <c r="F39" s="272"/>
      <c r="G39" s="272"/>
      <c r="H39" s="25" t="s">
        <v>1062</v>
      </c>
      <c r="I39" s="19"/>
    </row>
    <row r="40" spans="3:9" x14ac:dyDescent="0.25">
      <c r="C40" s="22">
        <v>6</v>
      </c>
      <c r="D40" s="273" t="s">
        <v>1067</v>
      </c>
      <c r="E40" s="273"/>
      <c r="F40" s="273"/>
      <c r="G40" s="273"/>
      <c r="H40" s="23" t="s">
        <v>1068</v>
      </c>
      <c r="I40" s="19"/>
    </row>
    <row r="41" spans="3:9" x14ac:dyDescent="0.25">
      <c r="C41" s="22">
        <v>7</v>
      </c>
      <c r="D41" s="273" t="s">
        <v>1069</v>
      </c>
      <c r="E41" s="273"/>
      <c r="F41" s="273"/>
      <c r="G41" s="273"/>
      <c r="H41" s="23" t="s">
        <v>1070</v>
      </c>
      <c r="I41" s="19"/>
    </row>
    <row r="42" spans="3:9" x14ac:dyDescent="0.25">
      <c r="C42" s="22">
        <v>8</v>
      </c>
      <c r="D42" s="273" t="s">
        <v>1071</v>
      </c>
      <c r="E42" s="273"/>
      <c r="F42" s="273"/>
      <c r="G42" s="273"/>
      <c r="H42" s="23" t="s">
        <v>1072</v>
      </c>
      <c r="I42" s="19"/>
    </row>
    <row r="43" spans="3:9" x14ac:dyDescent="0.25">
      <c r="C43" s="18"/>
      <c r="D43" s="18"/>
      <c r="E43" s="18"/>
      <c r="G43" s="19"/>
      <c r="H43" s="19"/>
      <c r="I43" s="19"/>
    </row>
    <row r="44" spans="3:9" x14ac:dyDescent="0.25">
      <c r="C44" s="18"/>
      <c r="D44" s="18"/>
      <c r="E44" s="18"/>
      <c r="G44" s="19"/>
      <c r="H44" s="19"/>
      <c r="I44" s="19"/>
    </row>
    <row r="45" spans="3:9" x14ac:dyDescent="0.25">
      <c r="C45" s="18"/>
      <c r="D45" s="18"/>
      <c r="E45" s="18"/>
      <c r="G45" s="19"/>
      <c r="H45" s="19"/>
      <c r="I45" s="19"/>
    </row>
    <row r="46" spans="3:9" x14ac:dyDescent="0.25">
      <c r="C46" s="18"/>
      <c r="D46" s="18"/>
      <c r="E46" s="18"/>
      <c r="G46" s="19"/>
      <c r="H46" s="19"/>
      <c r="I46" s="19"/>
    </row>
    <row r="47" spans="3:9" x14ac:dyDescent="0.25">
      <c r="C47" s="18"/>
      <c r="D47" s="18"/>
      <c r="E47" s="18"/>
      <c r="G47" s="19"/>
      <c r="H47" s="19"/>
      <c r="I47" s="19"/>
    </row>
    <row r="48" spans="3:9" x14ac:dyDescent="0.25">
      <c r="C48" s="18"/>
      <c r="D48" s="18"/>
      <c r="E48" s="18"/>
      <c r="G48" s="19"/>
      <c r="H48" s="19"/>
      <c r="I48" s="19"/>
    </row>
    <row r="49" spans="2:9" x14ac:dyDescent="0.25">
      <c r="C49" s="18"/>
      <c r="D49" s="18"/>
      <c r="E49" s="18"/>
      <c r="G49" s="19"/>
      <c r="H49" s="19"/>
      <c r="I49" s="19"/>
    </row>
    <row r="50" spans="2:9" x14ac:dyDescent="0.25">
      <c r="C50" s="18"/>
      <c r="D50" s="18"/>
      <c r="E50" s="18"/>
      <c r="G50" s="19"/>
      <c r="H50" s="19"/>
      <c r="I50" s="19"/>
    </row>
    <row r="51" spans="2:9" x14ac:dyDescent="0.25">
      <c r="B51" s="26"/>
      <c r="C51" s="27"/>
    </row>
    <row r="68"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120"/>
  <sheetViews>
    <sheetView showGridLines="0" showZeros="0" showOutlineSymbols="0" view="pageBreakPreview" topLeftCell="A100" zoomScaleNormal="100" zoomScaleSheetLayoutView="100" workbookViewId="0">
      <selection activeCell="B20" sqref="B20:F108"/>
    </sheetView>
  </sheetViews>
  <sheetFormatPr defaultColWidth="9.1796875" defaultRowHeight="10" x14ac:dyDescent="0.2"/>
  <cols>
    <col min="1" max="1" width="6" style="85" customWidth="1"/>
    <col min="2" max="2" width="45.1796875" style="85" customWidth="1"/>
    <col min="3" max="3" width="8.1796875" style="85" bestFit="1" customWidth="1"/>
    <col min="4" max="5" width="19.54296875" style="85" customWidth="1"/>
    <col min="6" max="6" width="12" style="85" bestFit="1" customWidth="1"/>
    <col min="7" max="16384" width="9.1796875" style="85"/>
  </cols>
  <sheetData>
    <row r="1" spans="1:6" ht="36" customHeight="1" x14ac:dyDescent="0.2">
      <c r="A1" s="316"/>
      <c r="B1" s="316"/>
      <c r="C1" s="84"/>
      <c r="D1" s="310" t="s">
        <v>0</v>
      </c>
      <c r="E1" s="310"/>
      <c r="F1" s="310"/>
    </row>
    <row r="2" spans="1:6" ht="27.75" customHeight="1" x14ac:dyDescent="0.2">
      <c r="A2" s="317" t="s">
        <v>1</v>
      </c>
      <c r="B2" s="317"/>
      <c r="C2" s="317"/>
      <c r="D2" s="317"/>
      <c r="E2" s="317"/>
      <c r="F2" s="317"/>
    </row>
    <row r="3" spans="1:6" ht="7.5" customHeight="1" x14ac:dyDescent="0.2">
      <c r="A3" s="86"/>
      <c r="B3" s="86"/>
      <c r="C3" s="86"/>
      <c r="D3" s="86"/>
      <c r="E3" s="86"/>
      <c r="F3" s="86"/>
    </row>
    <row r="4" spans="1:6" ht="27" customHeight="1" x14ac:dyDescent="0.2">
      <c r="A4" s="318" t="s">
        <v>2</v>
      </c>
      <c r="B4" s="318"/>
      <c r="C4" s="318"/>
      <c r="D4" s="318"/>
      <c r="E4" s="318"/>
      <c r="F4" s="318"/>
    </row>
    <row r="5" spans="1:6" ht="18" customHeight="1" x14ac:dyDescent="0.2">
      <c r="A5" s="319" t="s">
        <v>1115</v>
      </c>
      <c r="B5" s="319"/>
      <c r="C5" s="319"/>
      <c r="D5" s="319"/>
      <c r="E5" s="319"/>
      <c r="F5" s="319"/>
    </row>
    <row r="6" spans="1:6" ht="12.75" customHeight="1" x14ac:dyDescent="0.2">
      <c r="A6" s="87" t="s">
        <v>3</v>
      </c>
      <c r="B6" s="88" t="s">
        <v>4</v>
      </c>
      <c r="C6" s="313" t="s">
        <v>5</v>
      </c>
      <c r="D6" s="313"/>
      <c r="E6" s="313"/>
      <c r="F6" s="313"/>
    </row>
    <row r="7" spans="1:6" ht="12.75" customHeight="1" x14ac:dyDescent="0.2">
      <c r="A7" s="86"/>
      <c r="B7" s="86" t="s">
        <v>6</v>
      </c>
      <c r="C7" s="316" t="s">
        <v>7</v>
      </c>
      <c r="D7" s="316"/>
      <c r="E7" s="316"/>
      <c r="F7" s="316"/>
    </row>
    <row r="8" spans="1:6" ht="12.75" customHeight="1" x14ac:dyDescent="0.2">
      <c r="A8" s="87" t="s">
        <v>8</v>
      </c>
      <c r="B8" s="88" t="s">
        <v>9</v>
      </c>
      <c r="C8" s="313" t="s">
        <v>10</v>
      </c>
      <c r="D8" s="313"/>
      <c r="E8" s="313"/>
      <c r="F8" s="313"/>
    </row>
    <row r="9" spans="1:6" ht="12.75" customHeight="1" x14ac:dyDescent="0.2">
      <c r="A9" s="86"/>
      <c r="B9" s="86" t="s">
        <v>11</v>
      </c>
      <c r="C9" s="316" t="s">
        <v>12</v>
      </c>
      <c r="D9" s="316"/>
      <c r="E9" s="316"/>
      <c r="F9" s="316"/>
    </row>
    <row r="10" spans="1:6" ht="12.75" customHeight="1" x14ac:dyDescent="0.2">
      <c r="A10" s="87" t="s">
        <v>13</v>
      </c>
      <c r="B10" s="88" t="s">
        <v>14</v>
      </c>
      <c r="C10" s="313" t="s">
        <v>15</v>
      </c>
      <c r="D10" s="313"/>
      <c r="E10" s="313"/>
      <c r="F10" s="313"/>
    </row>
    <row r="11" spans="1:6" ht="12.75" customHeight="1" x14ac:dyDescent="0.2">
      <c r="A11" s="86"/>
      <c r="B11" s="86" t="s">
        <v>16</v>
      </c>
      <c r="C11" s="316" t="s">
        <v>17</v>
      </c>
      <c r="D11" s="316"/>
      <c r="E11" s="316"/>
      <c r="F11" s="316"/>
    </row>
    <row r="12" spans="1:6" ht="12.75" customHeight="1" x14ac:dyDescent="0.2">
      <c r="A12" s="87" t="s">
        <v>18</v>
      </c>
      <c r="B12" s="88" t="s">
        <v>19</v>
      </c>
      <c r="C12" s="315">
        <v>45853</v>
      </c>
      <c r="D12" s="315"/>
      <c r="E12" s="315"/>
      <c r="F12" s="315"/>
    </row>
    <row r="13" spans="1:6" ht="12.75" customHeight="1" x14ac:dyDescent="0.2">
      <c r="A13" s="86"/>
      <c r="B13" s="86" t="s">
        <v>20</v>
      </c>
      <c r="C13" s="311">
        <v>45853</v>
      </c>
      <c r="D13" s="311"/>
      <c r="E13" s="311"/>
      <c r="F13" s="311"/>
    </row>
    <row r="14" spans="1:6" ht="12.75" customHeight="1" x14ac:dyDescent="0.2">
      <c r="A14" s="86"/>
      <c r="B14" s="86"/>
      <c r="C14" s="86"/>
      <c r="D14" s="86"/>
      <c r="E14" s="86"/>
      <c r="F14" s="86"/>
    </row>
    <row r="15" spans="1:6" ht="12.75" customHeight="1" x14ac:dyDescent="0.2">
      <c r="A15" s="312" t="s">
        <v>21</v>
      </c>
      <c r="B15" s="312"/>
      <c r="C15" s="312"/>
      <c r="D15" s="312"/>
      <c r="E15" s="312"/>
      <c r="F15" s="312"/>
    </row>
    <row r="16" spans="1:6" ht="12.75" customHeight="1" x14ac:dyDescent="0.2">
      <c r="A16" s="313" t="s">
        <v>22</v>
      </c>
      <c r="B16" s="313"/>
      <c r="C16" s="313"/>
      <c r="D16" s="313"/>
      <c r="E16" s="313"/>
      <c r="F16" s="313"/>
    </row>
    <row r="17" spans="1:11" ht="12.75" customHeight="1" x14ac:dyDescent="0.2">
      <c r="A17" s="89"/>
      <c r="B17" s="90"/>
      <c r="C17" s="89"/>
      <c r="D17" s="89"/>
      <c r="E17" s="314" t="s">
        <v>23</v>
      </c>
      <c r="F17" s="314"/>
    </row>
    <row r="18" spans="1:11" ht="40" x14ac:dyDescent="0.2">
      <c r="A18" s="91" t="s">
        <v>24</v>
      </c>
      <c r="B18" s="92" t="s">
        <v>25</v>
      </c>
      <c r="C18" s="92" t="s">
        <v>26</v>
      </c>
      <c r="D18" s="92" t="s">
        <v>1117</v>
      </c>
      <c r="E18" s="92" t="s">
        <v>27</v>
      </c>
      <c r="F18" s="93" t="s">
        <v>28</v>
      </c>
    </row>
    <row r="19" spans="1:11" ht="23.15" customHeight="1" x14ac:dyDescent="0.2">
      <c r="A19" s="94" t="s">
        <v>29</v>
      </c>
      <c r="B19" s="95" t="s">
        <v>30</v>
      </c>
      <c r="C19" s="96" t="s">
        <v>31</v>
      </c>
      <c r="D19" s="97"/>
      <c r="E19" s="97"/>
      <c r="F19" s="98">
        <v>0</v>
      </c>
    </row>
    <row r="20" spans="1:11" ht="23.15" customHeight="1" x14ac:dyDescent="0.2">
      <c r="A20" s="94" t="s">
        <v>32</v>
      </c>
      <c r="B20" s="95" t="s">
        <v>33</v>
      </c>
      <c r="C20" s="96" t="s">
        <v>34</v>
      </c>
      <c r="D20" s="99">
        <v>44087599449</v>
      </c>
      <c r="E20" s="99">
        <v>82469624423</v>
      </c>
      <c r="F20" s="98">
        <v>0.31630000000000003</v>
      </c>
      <c r="H20" s="100"/>
      <c r="K20" s="100"/>
    </row>
    <row r="21" spans="1:11" ht="23.15" customHeight="1" x14ac:dyDescent="0.2">
      <c r="A21" s="94"/>
      <c r="B21" s="95" t="s">
        <v>35</v>
      </c>
      <c r="C21" s="96" t="s">
        <v>36</v>
      </c>
      <c r="D21" s="99">
        <v>0</v>
      </c>
      <c r="E21" s="99">
        <v>0</v>
      </c>
      <c r="F21" s="98">
        <v>0</v>
      </c>
      <c r="H21" s="100"/>
      <c r="K21" s="100"/>
    </row>
    <row r="22" spans="1:11" ht="23.15" customHeight="1" x14ac:dyDescent="0.2">
      <c r="A22" s="94"/>
      <c r="B22" s="95" t="s">
        <v>37</v>
      </c>
      <c r="C22" s="96" t="s">
        <v>38</v>
      </c>
      <c r="D22" s="99">
        <v>44087599449</v>
      </c>
      <c r="E22" s="99">
        <v>82469624423</v>
      </c>
      <c r="F22" s="98">
        <v>0.31630000000000003</v>
      </c>
      <c r="H22" s="100"/>
      <c r="K22" s="100"/>
    </row>
    <row r="23" spans="1:11" ht="23.15" customHeight="1" x14ac:dyDescent="0.2">
      <c r="A23" s="94"/>
      <c r="B23" s="95" t="s">
        <v>39</v>
      </c>
      <c r="C23" s="96" t="s">
        <v>40</v>
      </c>
      <c r="D23" s="99">
        <v>0</v>
      </c>
      <c r="E23" s="99">
        <v>0</v>
      </c>
      <c r="F23" s="98">
        <v>0</v>
      </c>
      <c r="H23" s="100"/>
      <c r="K23" s="100"/>
    </row>
    <row r="24" spans="1:11" ht="23.15" customHeight="1" x14ac:dyDescent="0.2">
      <c r="A24" s="94"/>
      <c r="B24" s="95" t="s">
        <v>41</v>
      </c>
      <c r="C24" s="96" t="s">
        <v>42</v>
      </c>
      <c r="D24" s="101">
        <v>0</v>
      </c>
      <c r="E24" s="101">
        <v>0</v>
      </c>
      <c r="F24" s="98">
        <v>0</v>
      </c>
      <c r="H24" s="100"/>
      <c r="K24" s="100"/>
    </row>
    <row r="25" spans="1:11" ht="23.15" customHeight="1" x14ac:dyDescent="0.2">
      <c r="A25" s="94"/>
      <c r="B25" s="95" t="s">
        <v>43</v>
      </c>
      <c r="C25" s="96" t="s">
        <v>44</v>
      </c>
      <c r="D25" s="101">
        <v>44087599449</v>
      </c>
      <c r="E25" s="101">
        <v>82469624423</v>
      </c>
      <c r="F25" s="98">
        <v>0.31630000000000003</v>
      </c>
      <c r="H25" s="100"/>
      <c r="K25" s="100"/>
    </row>
    <row r="26" spans="1:11" ht="23.15" customHeight="1" x14ac:dyDescent="0.2">
      <c r="A26" s="94"/>
      <c r="B26" s="95" t="s">
        <v>45</v>
      </c>
      <c r="C26" s="96" t="s">
        <v>46</v>
      </c>
      <c r="D26" s="99">
        <v>0</v>
      </c>
      <c r="E26" s="99">
        <v>0</v>
      </c>
      <c r="F26" s="98">
        <v>0</v>
      </c>
      <c r="H26" s="100"/>
      <c r="K26" s="100"/>
    </row>
    <row r="27" spans="1:11" ht="23.15" customHeight="1" x14ac:dyDescent="0.2">
      <c r="A27" s="94"/>
      <c r="B27" s="95" t="s">
        <v>47</v>
      </c>
      <c r="C27" s="96" t="s">
        <v>48</v>
      </c>
      <c r="D27" s="101">
        <v>0</v>
      </c>
      <c r="E27" s="101">
        <v>0</v>
      </c>
      <c r="F27" s="98">
        <v>0</v>
      </c>
      <c r="H27" s="100"/>
      <c r="K27" s="100"/>
    </row>
    <row r="28" spans="1:11" ht="23.15" customHeight="1" x14ac:dyDescent="0.2">
      <c r="A28" s="94"/>
      <c r="B28" s="95" t="s">
        <v>49</v>
      </c>
      <c r="C28" s="96" t="s">
        <v>50</v>
      </c>
      <c r="D28" s="99">
        <v>0</v>
      </c>
      <c r="E28" s="99">
        <v>0</v>
      </c>
      <c r="F28" s="98">
        <v>0</v>
      </c>
      <c r="H28" s="100"/>
      <c r="K28" s="100"/>
    </row>
    <row r="29" spans="1:11" ht="23.15" customHeight="1" x14ac:dyDescent="0.2">
      <c r="A29" s="94" t="s">
        <v>51</v>
      </c>
      <c r="B29" s="95" t="s">
        <v>52</v>
      </c>
      <c r="C29" s="96" t="s">
        <v>53</v>
      </c>
      <c r="D29" s="99">
        <v>11380304706100</v>
      </c>
      <c r="E29" s="99">
        <v>11379581813250</v>
      </c>
      <c r="F29" s="98">
        <v>0.85899999999999999</v>
      </c>
      <c r="H29" s="100"/>
      <c r="K29" s="100"/>
    </row>
    <row r="30" spans="1:11" ht="23.15" customHeight="1" x14ac:dyDescent="0.2">
      <c r="A30" s="94"/>
      <c r="B30" s="95" t="s">
        <v>54</v>
      </c>
      <c r="C30" s="96" t="s">
        <v>55</v>
      </c>
      <c r="D30" s="99">
        <v>11380304706100</v>
      </c>
      <c r="E30" s="99">
        <v>11379581813250</v>
      </c>
      <c r="F30" s="98">
        <v>0.85899999999999999</v>
      </c>
      <c r="H30" s="100"/>
      <c r="K30" s="100"/>
    </row>
    <row r="31" spans="1:11" ht="23.15" customHeight="1" x14ac:dyDescent="0.2">
      <c r="A31" s="94"/>
      <c r="B31" s="95" t="s">
        <v>56</v>
      </c>
      <c r="C31" s="96" t="s">
        <v>57</v>
      </c>
      <c r="D31" s="99">
        <v>0</v>
      </c>
      <c r="E31" s="99">
        <v>0</v>
      </c>
      <c r="F31" s="98">
        <v>0</v>
      </c>
      <c r="H31" s="100"/>
      <c r="K31" s="100"/>
    </row>
    <row r="32" spans="1:11" ht="23.15" customHeight="1" x14ac:dyDescent="0.2">
      <c r="A32" s="94"/>
      <c r="B32" s="95" t="s">
        <v>58</v>
      </c>
      <c r="C32" s="96" t="s">
        <v>59</v>
      </c>
      <c r="D32" s="99">
        <v>0</v>
      </c>
      <c r="E32" s="99">
        <v>0</v>
      </c>
      <c r="F32" s="98">
        <v>0</v>
      </c>
      <c r="H32" s="100"/>
      <c r="K32" s="100"/>
    </row>
    <row r="33" spans="1:11" ht="23.15" customHeight="1" x14ac:dyDescent="0.2">
      <c r="A33" s="94"/>
      <c r="B33" s="95" t="s">
        <v>60</v>
      </c>
      <c r="C33" s="96" t="s">
        <v>61</v>
      </c>
      <c r="D33" s="99">
        <v>0</v>
      </c>
      <c r="E33" s="99">
        <v>0</v>
      </c>
      <c r="F33" s="98">
        <v>0</v>
      </c>
      <c r="H33" s="100"/>
      <c r="K33" s="100"/>
    </row>
    <row r="34" spans="1:11" ht="23.15" customHeight="1" x14ac:dyDescent="0.2">
      <c r="A34" s="94"/>
      <c r="B34" s="95" t="s">
        <v>62</v>
      </c>
      <c r="C34" s="96" t="s">
        <v>63</v>
      </c>
      <c r="D34" s="99">
        <v>0</v>
      </c>
      <c r="E34" s="99">
        <v>0</v>
      </c>
      <c r="F34" s="98">
        <v>0</v>
      </c>
      <c r="H34" s="100"/>
      <c r="K34" s="100"/>
    </row>
    <row r="35" spans="1:11" ht="23.15" customHeight="1" x14ac:dyDescent="0.2">
      <c r="A35" s="94"/>
      <c r="B35" s="95" t="s">
        <v>64</v>
      </c>
      <c r="C35" s="96" t="s">
        <v>65</v>
      </c>
      <c r="D35" s="99">
        <v>0</v>
      </c>
      <c r="E35" s="99">
        <v>0</v>
      </c>
      <c r="F35" s="98">
        <v>0</v>
      </c>
      <c r="H35" s="100"/>
      <c r="K35" s="100"/>
    </row>
    <row r="36" spans="1:11" ht="23.15" customHeight="1" x14ac:dyDescent="0.2">
      <c r="A36" s="94"/>
      <c r="B36" s="95" t="s">
        <v>66</v>
      </c>
      <c r="C36" s="96" t="s">
        <v>67</v>
      </c>
      <c r="D36" s="99">
        <v>0</v>
      </c>
      <c r="E36" s="99">
        <v>0</v>
      </c>
      <c r="F36" s="98">
        <v>0</v>
      </c>
      <c r="H36" s="100"/>
      <c r="K36" s="100"/>
    </row>
    <row r="37" spans="1:11" ht="23.15" customHeight="1" x14ac:dyDescent="0.2">
      <c r="A37" s="94"/>
      <c r="B37" s="95" t="s">
        <v>68</v>
      </c>
      <c r="C37" s="96" t="s">
        <v>69</v>
      </c>
      <c r="D37" s="99">
        <v>0</v>
      </c>
      <c r="E37" s="99">
        <v>0</v>
      </c>
      <c r="F37" s="98">
        <v>0</v>
      </c>
      <c r="H37" s="100"/>
      <c r="K37" s="100"/>
    </row>
    <row r="38" spans="1:11" ht="23.15" customHeight="1" x14ac:dyDescent="0.2">
      <c r="A38" s="94" t="s">
        <v>70</v>
      </c>
      <c r="B38" s="95" t="s">
        <v>71</v>
      </c>
      <c r="C38" s="96"/>
      <c r="D38" s="99">
        <v>0</v>
      </c>
      <c r="E38" s="99">
        <v>0</v>
      </c>
      <c r="F38" s="98">
        <v>0</v>
      </c>
      <c r="H38" s="100"/>
      <c r="K38" s="100"/>
    </row>
    <row r="39" spans="1:11" ht="23.15" customHeight="1" x14ac:dyDescent="0.2">
      <c r="A39" s="94" t="s">
        <v>72</v>
      </c>
      <c r="B39" s="95" t="s">
        <v>73</v>
      </c>
      <c r="C39" s="96" t="s">
        <v>74</v>
      </c>
      <c r="D39" s="99">
        <v>0</v>
      </c>
      <c r="E39" s="99">
        <v>7483655000</v>
      </c>
      <c r="F39" s="98">
        <v>0</v>
      </c>
      <c r="H39" s="100"/>
      <c r="K39" s="100"/>
    </row>
    <row r="40" spans="1:11" ht="23.15" customHeight="1" x14ac:dyDescent="0.2">
      <c r="A40" s="94"/>
      <c r="B40" s="95" t="s">
        <v>75</v>
      </c>
      <c r="C40" s="96" t="s">
        <v>76</v>
      </c>
      <c r="D40" s="99">
        <v>0</v>
      </c>
      <c r="E40" s="99">
        <v>7483655000</v>
      </c>
      <c r="F40" s="98">
        <v>0</v>
      </c>
      <c r="H40" s="100"/>
      <c r="K40" s="100"/>
    </row>
    <row r="41" spans="1:11" ht="23.15" customHeight="1" x14ac:dyDescent="0.2">
      <c r="A41" s="94"/>
      <c r="B41" s="95" t="s">
        <v>77</v>
      </c>
      <c r="C41" s="96" t="s">
        <v>78</v>
      </c>
      <c r="D41" s="99">
        <v>0</v>
      </c>
      <c r="E41" s="99">
        <v>0</v>
      </c>
      <c r="F41" s="98">
        <v>0</v>
      </c>
      <c r="H41" s="100"/>
      <c r="K41" s="100"/>
    </row>
    <row r="42" spans="1:11" ht="23.15" customHeight="1" x14ac:dyDescent="0.2">
      <c r="A42" s="94" t="s">
        <v>79</v>
      </c>
      <c r="B42" s="95" t="s">
        <v>80</v>
      </c>
      <c r="C42" s="96" t="s">
        <v>81</v>
      </c>
      <c r="D42" s="99">
        <v>0</v>
      </c>
      <c r="E42" s="99">
        <v>0</v>
      </c>
      <c r="F42" s="98">
        <v>0</v>
      </c>
      <c r="H42" s="100"/>
      <c r="K42" s="100"/>
    </row>
    <row r="43" spans="1:11" ht="33" customHeight="1" x14ac:dyDescent="0.2">
      <c r="A43" s="94"/>
      <c r="B43" s="95" t="s">
        <v>82</v>
      </c>
      <c r="C43" s="96" t="s">
        <v>83</v>
      </c>
      <c r="D43" s="99">
        <v>0</v>
      </c>
      <c r="E43" s="99">
        <v>0</v>
      </c>
      <c r="F43" s="98">
        <v>0</v>
      </c>
      <c r="H43" s="100"/>
      <c r="K43" s="100"/>
    </row>
    <row r="44" spans="1:11" ht="33" customHeight="1" x14ac:dyDescent="0.2">
      <c r="A44" s="94"/>
      <c r="B44" s="95" t="s">
        <v>84</v>
      </c>
      <c r="C44" s="96" t="s">
        <v>85</v>
      </c>
      <c r="D44" s="99">
        <v>0</v>
      </c>
      <c r="E44" s="99">
        <v>0</v>
      </c>
      <c r="F44" s="98">
        <v>0</v>
      </c>
      <c r="H44" s="100"/>
      <c r="K44" s="100"/>
    </row>
    <row r="45" spans="1:11" ht="23.15" customHeight="1" x14ac:dyDescent="0.2">
      <c r="A45" s="94"/>
      <c r="B45" s="95" t="s">
        <v>86</v>
      </c>
      <c r="C45" s="96" t="s">
        <v>87</v>
      </c>
      <c r="D45" s="99">
        <v>0</v>
      </c>
      <c r="E45" s="99">
        <v>0</v>
      </c>
      <c r="F45" s="98">
        <v>0</v>
      </c>
      <c r="H45" s="100"/>
      <c r="K45" s="100"/>
    </row>
    <row r="46" spans="1:11" ht="23.15" customHeight="1" x14ac:dyDescent="0.2">
      <c r="A46" s="94" t="s">
        <v>88</v>
      </c>
      <c r="B46" s="95" t="s">
        <v>89</v>
      </c>
      <c r="C46" s="96" t="s">
        <v>90</v>
      </c>
      <c r="D46" s="99">
        <v>0</v>
      </c>
      <c r="E46" s="99">
        <v>0</v>
      </c>
      <c r="F46" s="98">
        <v>0</v>
      </c>
      <c r="H46" s="100"/>
      <c r="K46" s="100"/>
    </row>
    <row r="47" spans="1:11" ht="23.15" customHeight="1" x14ac:dyDescent="0.2">
      <c r="A47" s="94" t="s">
        <v>91</v>
      </c>
      <c r="B47" s="95" t="s">
        <v>92</v>
      </c>
      <c r="C47" s="96" t="s">
        <v>93</v>
      </c>
      <c r="D47" s="99">
        <v>0</v>
      </c>
      <c r="E47" s="99">
        <v>40653863400</v>
      </c>
      <c r="F47" s="98">
        <v>0</v>
      </c>
      <c r="H47" s="100"/>
      <c r="K47" s="100"/>
    </row>
    <row r="48" spans="1:11" ht="23.15" customHeight="1" x14ac:dyDescent="0.2">
      <c r="A48" s="94" t="s">
        <v>94</v>
      </c>
      <c r="B48" s="95" t="s">
        <v>95</v>
      </c>
      <c r="C48" s="96" t="s">
        <v>96</v>
      </c>
      <c r="D48" s="99">
        <v>0</v>
      </c>
      <c r="E48" s="99">
        <v>0</v>
      </c>
      <c r="F48" s="98">
        <v>0</v>
      </c>
      <c r="H48" s="100"/>
      <c r="K48" s="100"/>
    </row>
    <row r="49" spans="1:11" ht="23.15" customHeight="1" x14ac:dyDescent="0.2">
      <c r="A49" s="94"/>
      <c r="B49" s="95" t="s">
        <v>97</v>
      </c>
      <c r="C49" s="96" t="s">
        <v>98</v>
      </c>
      <c r="D49" s="99">
        <v>0</v>
      </c>
      <c r="E49" s="99">
        <v>0</v>
      </c>
      <c r="F49" s="98">
        <v>0</v>
      </c>
      <c r="H49" s="100"/>
      <c r="K49" s="100"/>
    </row>
    <row r="50" spans="1:11" ht="23.15" customHeight="1" x14ac:dyDescent="0.2">
      <c r="A50" s="94"/>
      <c r="B50" s="95" t="s">
        <v>99</v>
      </c>
      <c r="C50" s="96" t="s">
        <v>100</v>
      </c>
      <c r="D50" s="99">
        <v>0</v>
      </c>
      <c r="E50" s="99">
        <v>0</v>
      </c>
      <c r="F50" s="98">
        <v>0</v>
      </c>
      <c r="H50" s="100"/>
      <c r="K50" s="100"/>
    </row>
    <row r="51" spans="1:11" ht="23.15" customHeight="1" x14ac:dyDescent="0.2">
      <c r="A51" s="94"/>
      <c r="B51" s="95" t="s">
        <v>101</v>
      </c>
      <c r="C51" s="96" t="s">
        <v>102</v>
      </c>
      <c r="D51" s="99">
        <v>0</v>
      </c>
      <c r="E51" s="99">
        <v>0</v>
      </c>
      <c r="F51" s="98">
        <v>0</v>
      </c>
      <c r="H51" s="100"/>
      <c r="K51" s="100"/>
    </row>
    <row r="52" spans="1:11" ht="23.15" customHeight="1" x14ac:dyDescent="0.2">
      <c r="A52" s="94" t="s">
        <v>103</v>
      </c>
      <c r="B52" s="95" t="s">
        <v>104</v>
      </c>
      <c r="C52" s="96" t="s">
        <v>105</v>
      </c>
      <c r="D52" s="99">
        <v>0</v>
      </c>
      <c r="E52" s="99">
        <v>0</v>
      </c>
      <c r="F52" s="98">
        <v>0</v>
      </c>
      <c r="H52" s="100"/>
      <c r="K52" s="100"/>
    </row>
    <row r="53" spans="1:11" ht="23.15" customHeight="1" x14ac:dyDescent="0.2">
      <c r="A53" s="94"/>
      <c r="B53" s="95" t="s">
        <v>106</v>
      </c>
      <c r="C53" s="96" t="s">
        <v>107</v>
      </c>
      <c r="D53" s="99">
        <v>0</v>
      </c>
      <c r="E53" s="99">
        <v>0</v>
      </c>
      <c r="F53" s="98">
        <v>0</v>
      </c>
      <c r="H53" s="100"/>
      <c r="K53" s="100"/>
    </row>
    <row r="54" spans="1:11" ht="23.15" customHeight="1" x14ac:dyDescent="0.2">
      <c r="A54" s="94"/>
      <c r="B54" s="95" t="s">
        <v>108</v>
      </c>
      <c r="C54" s="96" t="s">
        <v>109</v>
      </c>
      <c r="D54" s="99">
        <v>0</v>
      </c>
      <c r="E54" s="99">
        <v>0</v>
      </c>
      <c r="F54" s="98">
        <v>0</v>
      </c>
      <c r="H54" s="100"/>
      <c r="K54" s="100"/>
    </row>
    <row r="55" spans="1:11" ht="23.15" customHeight="1" x14ac:dyDescent="0.2">
      <c r="A55" s="94"/>
      <c r="B55" s="95" t="s">
        <v>110</v>
      </c>
      <c r="C55" s="96" t="s">
        <v>111</v>
      </c>
      <c r="D55" s="99">
        <v>0</v>
      </c>
      <c r="E55" s="99">
        <v>0</v>
      </c>
      <c r="F55" s="98">
        <v>0</v>
      </c>
      <c r="H55" s="100"/>
      <c r="K55" s="100"/>
    </row>
    <row r="56" spans="1:11" ht="23.15" customHeight="1" x14ac:dyDescent="0.2">
      <c r="A56" s="94"/>
      <c r="B56" s="95" t="s">
        <v>112</v>
      </c>
      <c r="C56" s="96" t="s">
        <v>113</v>
      </c>
      <c r="D56" s="99">
        <v>0</v>
      </c>
      <c r="E56" s="99">
        <v>0</v>
      </c>
      <c r="F56" s="98">
        <v>0</v>
      </c>
      <c r="H56" s="100"/>
      <c r="K56" s="100"/>
    </row>
    <row r="57" spans="1:11" ht="34.5" customHeight="1" x14ac:dyDescent="0.2">
      <c r="A57" s="94"/>
      <c r="B57" s="95" t="s">
        <v>114</v>
      </c>
      <c r="C57" s="96" t="s">
        <v>115</v>
      </c>
      <c r="D57" s="99">
        <v>0</v>
      </c>
      <c r="E57" s="99">
        <v>0</v>
      </c>
      <c r="F57" s="98">
        <v>0</v>
      </c>
      <c r="H57" s="100"/>
      <c r="K57" s="100"/>
    </row>
    <row r="58" spans="1:11" ht="23.15" customHeight="1" x14ac:dyDescent="0.2">
      <c r="A58" s="94"/>
      <c r="B58" s="95" t="s">
        <v>116</v>
      </c>
      <c r="C58" s="96" t="s">
        <v>117</v>
      </c>
      <c r="D58" s="99">
        <v>0</v>
      </c>
      <c r="E58" s="99">
        <v>0</v>
      </c>
      <c r="F58" s="98">
        <v>0</v>
      </c>
      <c r="H58" s="100"/>
      <c r="K58" s="100"/>
    </row>
    <row r="59" spans="1:11" ht="23.15" customHeight="1" x14ac:dyDescent="0.2">
      <c r="A59" s="94" t="s">
        <v>118</v>
      </c>
      <c r="B59" s="95" t="s">
        <v>119</v>
      </c>
      <c r="C59" s="96" t="s">
        <v>120</v>
      </c>
      <c r="D59" s="99">
        <v>11424392305549</v>
      </c>
      <c r="E59" s="99">
        <v>11510188956073</v>
      </c>
      <c r="F59" s="98">
        <v>0.84940000000000004</v>
      </c>
      <c r="H59" s="100"/>
      <c r="K59" s="100"/>
    </row>
    <row r="60" spans="1:11" ht="23.15" customHeight="1" x14ac:dyDescent="0.2">
      <c r="A60" s="94" t="s">
        <v>121</v>
      </c>
      <c r="B60" s="95" t="s">
        <v>122</v>
      </c>
      <c r="C60" s="96" t="s">
        <v>123</v>
      </c>
      <c r="D60" s="99">
        <v>0</v>
      </c>
      <c r="E60" s="99">
        <v>0</v>
      </c>
      <c r="F60" s="98">
        <v>0</v>
      </c>
      <c r="H60" s="100"/>
      <c r="K60" s="100"/>
    </row>
    <row r="61" spans="1:11" ht="23.15" customHeight="1" x14ac:dyDescent="0.2">
      <c r="A61" s="94" t="s">
        <v>124</v>
      </c>
      <c r="B61" s="95" t="s">
        <v>125</v>
      </c>
      <c r="C61" s="96"/>
      <c r="D61" s="99">
        <v>0</v>
      </c>
      <c r="E61" s="99">
        <v>0</v>
      </c>
      <c r="F61" s="98">
        <v>0</v>
      </c>
      <c r="H61" s="100"/>
      <c r="K61" s="100"/>
    </row>
    <row r="62" spans="1:11" ht="23.15" customHeight="1" x14ac:dyDescent="0.2">
      <c r="A62" s="94" t="s">
        <v>126</v>
      </c>
      <c r="B62" s="95" t="s">
        <v>127</v>
      </c>
      <c r="C62" s="96" t="s">
        <v>128</v>
      </c>
      <c r="D62" s="99">
        <v>0</v>
      </c>
      <c r="E62" s="99">
        <v>0</v>
      </c>
      <c r="F62" s="98">
        <v>0</v>
      </c>
      <c r="H62" s="100"/>
      <c r="K62" s="100"/>
    </row>
    <row r="63" spans="1:11" ht="23.15" customHeight="1" x14ac:dyDescent="0.2">
      <c r="A63" s="94" t="s">
        <v>129</v>
      </c>
      <c r="B63" s="95" t="s">
        <v>130</v>
      </c>
      <c r="C63" s="96" t="s">
        <v>131</v>
      </c>
      <c r="D63" s="99">
        <v>15023215868</v>
      </c>
      <c r="E63" s="99">
        <v>27005177423</v>
      </c>
      <c r="F63" s="98">
        <v>0.39269999999999999</v>
      </c>
      <c r="H63" s="100"/>
      <c r="K63" s="100"/>
    </row>
    <row r="64" spans="1:11" ht="23.15" customHeight="1" x14ac:dyDescent="0.2">
      <c r="A64" s="94"/>
      <c r="B64" s="95" t="s">
        <v>132</v>
      </c>
      <c r="C64" s="96" t="s">
        <v>133</v>
      </c>
      <c r="D64" s="101">
        <v>177619570</v>
      </c>
      <c r="E64" s="101">
        <v>13594155455</v>
      </c>
      <c r="F64" s="98">
        <v>9.5999999999999992E-3</v>
      </c>
      <c r="H64" s="100"/>
      <c r="K64" s="100"/>
    </row>
    <row r="65" spans="1:11" ht="23.15" customHeight="1" x14ac:dyDescent="0.2">
      <c r="A65" s="94"/>
      <c r="B65" s="95" t="s">
        <v>134</v>
      </c>
      <c r="C65" s="96" t="s">
        <v>135</v>
      </c>
      <c r="D65" s="101">
        <v>0</v>
      </c>
      <c r="E65" s="101">
        <v>0</v>
      </c>
      <c r="F65" s="98">
        <v>0</v>
      </c>
      <c r="H65" s="100"/>
      <c r="K65" s="100"/>
    </row>
    <row r="66" spans="1:11" ht="23.15" customHeight="1" x14ac:dyDescent="0.2">
      <c r="A66" s="94"/>
      <c r="B66" s="95" t="s">
        <v>136</v>
      </c>
      <c r="C66" s="96" t="s">
        <v>137</v>
      </c>
      <c r="D66" s="101">
        <v>0</v>
      </c>
      <c r="E66" s="101">
        <v>0</v>
      </c>
      <c r="F66" s="98">
        <v>0</v>
      </c>
      <c r="H66" s="100"/>
      <c r="K66" s="100"/>
    </row>
    <row r="67" spans="1:11" ht="23.15" customHeight="1" x14ac:dyDescent="0.2">
      <c r="A67" s="94"/>
      <c r="B67" s="95" t="s">
        <v>138</v>
      </c>
      <c r="C67" s="96" t="s">
        <v>139</v>
      </c>
      <c r="D67" s="99">
        <v>177619570</v>
      </c>
      <c r="E67" s="99">
        <v>13594155455</v>
      </c>
      <c r="F67" s="98">
        <v>9.5999999999999992E-3</v>
      </c>
      <c r="H67" s="100"/>
      <c r="K67" s="100"/>
    </row>
    <row r="68" spans="1:11" ht="23.15" customHeight="1" x14ac:dyDescent="0.2">
      <c r="A68" s="94"/>
      <c r="B68" s="95" t="s">
        <v>140</v>
      </c>
      <c r="C68" s="96" t="s">
        <v>141</v>
      </c>
      <c r="D68" s="99">
        <v>0</v>
      </c>
      <c r="E68" s="99">
        <v>0</v>
      </c>
      <c r="F68" s="98">
        <v>0</v>
      </c>
      <c r="H68" s="100"/>
      <c r="K68" s="100"/>
    </row>
    <row r="69" spans="1:11" ht="48" customHeight="1" x14ac:dyDescent="0.2">
      <c r="A69" s="94"/>
      <c r="B69" s="95" t="s">
        <v>142</v>
      </c>
      <c r="C69" s="96" t="s">
        <v>143</v>
      </c>
      <c r="D69" s="99">
        <v>0</v>
      </c>
      <c r="E69" s="99">
        <v>0</v>
      </c>
      <c r="F69" s="98">
        <v>0</v>
      </c>
      <c r="H69" s="100"/>
      <c r="K69" s="100"/>
    </row>
    <row r="70" spans="1:11" ht="23.15" customHeight="1" x14ac:dyDescent="0.2">
      <c r="A70" s="94"/>
      <c r="B70" s="95" t="s">
        <v>144</v>
      </c>
      <c r="C70" s="96" t="s">
        <v>145</v>
      </c>
      <c r="D70" s="99">
        <v>0</v>
      </c>
      <c r="E70" s="99">
        <v>0</v>
      </c>
      <c r="F70" s="98">
        <v>0</v>
      </c>
      <c r="H70" s="100"/>
      <c r="K70" s="100"/>
    </row>
    <row r="71" spans="1:11" ht="33.75" customHeight="1" x14ac:dyDescent="0.2">
      <c r="A71" s="94"/>
      <c r="B71" s="95" t="s">
        <v>146</v>
      </c>
      <c r="C71" s="96" t="s">
        <v>147</v>
      </c>
      <c r="D71" s="99">
        <v>0</v>
      </c>
      <c r="E71" s="99">
        <v>0</v>
      </c>
      <c r="F71" s="98">
        <v>0</v>
      </c>
      <c r="H71" s="100"/>
      <c r="K71" s="100"/>
    </row>
    <row r="72" spans="1:11" ht="23.15" customHeight="1" x14ac:dyDescent="0.2">
      <c r="A72" s="94"/>
      <c r="B72" s="95" t="s">
        <v>148</v>
      </c>
      <c r="C72" s="96" t="s">
        <v>149</v>
      </c>
      <c r="D72" s="99">
        <v>0</v>
      </c>
      <c r="E72" s="99">
        <v>0</v>
      </c>
      <c r="F72" s="98">
        <v>0</v>
      </c>
      <c r="H72" s="100"/>
      <c r="K72" s="100"/>
    </row>
    <row r="73" spans="1:11" ht="23.15" customHeight="1" x14ac:dyDescent="0.2">
      <c r="A73" s="94"/>
      <c r="B73" s="95" t="s">
        <v>150</v>
      </c>
      <c r="C73" s="96" t="s">
        <v>151</v>
      </c>
      <c r="D73" s="99">
        <v>13462969</v>
      </c>
      <c r="E73" s="99">
        <v>11219156</v>
      </c>
      <c r="F73" s="98">
        <v>0.99909999999999999</v>
      </c>
      <c r="H73" s="100"/>
      <c r="K73" s="100"/>
    </row>
    <row r="74" spans="1:11" ht="23.15" customHeight="1" x14ac:dyDescent="0.2">
      <c r="A74" s="94"/>
      <c r="B74" s="95" t="s">
        <v>152</v>
      </c>
      <c r="C74" s="96" t="s">
        <v>153</v>
      </c>
      <c r="D74" s="99">
        <v>7384313431</v>
      </c>
      <c r="E74" s="99">
        <v>8114558615</v>
      </c>
      <c r="F74" s="98">
        <v>0.78420000000000001</v>
      </c>
      <c r="H74" s="100"/>
      <c r="K74" s="100"/>
    </row>
    <row r="75" spans="1:11" ht="23.15" customHeight="1" x14ac:dyDescent="0.2">
      <c r="A75" s="94"/>
      <c r="B75" s="95" t="s">
        <v>154</v>
      </c>
      <c r="C75" s="96" t="s">
        <v>155</v>
      </c>
      <c r="D75" s="99">
        <v>203068620</v>
      </c>
      <c r="E75" s="99">
        <v>223150359</v>
      </c>
      <c r="F75" s="98">
        <v>0.78420000000000001</v>
      </c>
      <c r="H75" s="100"/>
      <c r="K75" s="100"/>
    </row>
    <row r="76" spans="1:11" ht="23.15" customHeight="1" x14ac:dyDescent="0.2">
      <c r="A76" s="94"/>
      <c r="B76" s="95" t="s">
        <v>156</v>
      </c>
      <c r="C76" s="96" t="s">
        <v>157</v>
      </c>
      <c r="D76" s="107">
        <v>406137239</v>
      </c>
      <c r="E76" s="107">
        <v>446300724</v>
      </c>
      <c r="F76" s="108">
        <v>0.78420000000000001</v>
      </c>
      <c r="H76" s="100"/>
      <c r="K76" s="100"/>
    </row>
    <row r="77" spans="1:11" ht="23.15" customHeight="1" x14ac:dyDescent="0.2">
      <c r="A77" s="94"/>
      <c r="B77" s="95" t="s">
        <v>158</v>
      </c>
      <c r="C77" s="96" t="s">
        <v>159</v>
      </c>
      <c r="D77" s="101">
        <v>0</v>
      </c>
      <c r="E77" s="101">
        <v>35326110</v>
      </c>
      <c r="F77" s="98">
        <v>0</v>
      </c>
      <c r="H77" s="100"/>
      <c r="K77" s="100"/>
    </row>
    <row r="78" spans="1:11" ht="23.15" customHeight="1" x14ac:dyDescent="0.2">
      <c r="A78" s="94"/>
      <c r="B78" s="95" t="s">
        <v>160</v>
      </c>
      <c r="C78" s="96" t="s">
        <v>161</v>
      </c>
      <c r="D78" s="109">
        <v>0</v>
      </c>
      <c r="E78" s="101">
        <v>35326110</v>
      </c>
      <c r="F78" s="98">
        <v>0</v>
      </c>
      <c r="H78" s="100"/>
      <c r="K78" s="100"/>
    </row>
    <row r="79" spans="1:11" ht="23.15" customHeight="1" x14ac:dyDescent="0.2">
      <c r="A79" s="94"/>
      <c r="B79" s="95" t="s">
        <v>162</v>
      </c>
      <c r="C79" s="96" t="s">
        <v>163</v>
      </c>
      <c r="D79" s="99">
        <v>0</v>
      </c>
      <c r="E79" s="99">
        <v>0</v>
      </c>
      <c r="F79" s="98">
        <v>0</v>
      </c>
      <c r="H79" s="100"/>
      <c r="K79" s="100"/>
    </row>
    <row r="80" spans="1:11" ht="23.15" customHeight="1" x14ac:dyDescent="0.2">
      <c r="A80" s="94"/>
      <c r="B80" s="95" t="s">
        <v>164</v>
      </c>
      <c r="C80" s="96" t="s">
        <v>165</v>
      </c>
      <c r="D80" s="101">
        <v>186607836</v>
      </c>
      <c r="E80" s="101">
        <v>208663963</v>
      </c>
      <c r="F80" s="98">
        <v>0.76659999999999995</v>
      </c>
      <c r="H80" s="100"/>
      <c r="K80" s="100"/>
    </row>
    <row r="81" spans="1:11" ht="23.15" customHeight="1" x14ac:dyDescent="0.2">
      <c r="A81" s="94"/>
      <c r="B81" s="95" t="s">
        <v>166</v>
      </c>
      <c r="C81" s="96" t="s">
        <v>167</v>
      </c>
      <c r="D81" s="101">
        <v>184607836</v>
      </c>
      <c r="E81" s="101">
        <v>202863963</v>
      </c>
      <c r="F81" s="98">
        <v>0.78420000000000001</v>
      </c>
      <c r="H81" s="100"/>
      <c r="K81" s="100"/>
    </row>
    <row r="82" spans="1:11" ht="23.15" customHeight="1" x14ac:dyDescent="0.2">
      <c r="A82" s="94"/>
      <c r="B82" s="95" t="s">
        <v>168</v>
      </c>
      <c r="C82" s="96" t="s">
        <v>169</v>
      </c>
      <c r="D82" s="101">
        <v>2000000</v>
      </c>
      <c r="E82" s="101">
        <v>5800000</v>
      </c>
      <c r="F82" s="98">
        <v>0.25</v>
      </c>
      <c r="H82" s="100"/>
      <c r="K82" s="100"/>
    </row>
    <row r="83" spans="1:11" ht="23.15" customHeight="1" x14ac:dyDescent="0.2">
      <c r="A83" s="94"/>
      <c r="B83" s="95" t="s">
        <v>170</v>
      </c>
      <c r="C83" s="96" t="s">
        <v>171</v>
      </c>
      <c r="D83" s="101">
        <v>0</v>
      </c>
      <c r="E83" s="101">
        <v>0</v>
      </c>
      <c r="F83" s="98">
        <v>0</v>
      </c>
      <c r="H83" s="100"/>
      <c r="K83" s="100"/>
    </row>
    <row r="84" spans="1:11" ht="45" customHeight="1" x14ac:dyDescent="0.2">
      <c r="A84" s="94"/>
      <c r="B84" s="95" t="s">
        <v>172</v>
      </c>
      <c r="C84" s="96" t="s">
        <v>173</v>
      </c>
      <c r="D84" s="101">
        <v>0</v>
      </c>
      <c r="E84" s="101">
        <v>0</v>
      </c>
      <c r="F84" s="98">
        <v>0</v>
      </c>
      <c r="H84" s="100"/>
      <c r="K84" s="100"/>
    </row>
    <row r="85" spans="1:11" ht="23.15" customHeight="1" x14ac:dyDescent="0.2">
      <c r="A85" s="94"/>
      <c r="B85" s="95" t="s">
        <v>174</v>
      </c>
      <c r="C85" s="96" t="s">
        <v>175</v>
      </c>
      <c r="D85" s="99">
        <v>152809203</v>
      </c>
      <c r="E85" s="99">
        <v>257445225</v>
      </c>
      <c r="F85" s="98">
        <v>0.97670000000000001</v>
      </c>
      <c r="H85" s="100"/>
      <c r="K85" s="100"/>
    </row>
    <row r="86" spans="1:11" ht="23.15" customHeight="1" x14ac:dyDescent="0.2">
      <c r="A86" s="94"/>
      <c r="B86" s="95" t="s">
        <v>176</v>
      </c>
      <c r="C86" s="96" t="s">
        <v>177</v>
      </c>
      <c r="D86" s="99">
        <v>0</v>
      </c>
      <c r="E86" s="99">
        <v>0</v>
      </c>
      <c r="F86" s="98">
        <v>0</v>
      </c>
      <c r="H86" s="100"/>
      <c r="K86" s="100"/>
    </row>
    <row r="87" spans="1:11" ht="23.15" customHeight="1" x14ac:dyDescent="0.2">
      <c r="A87" s="94"/>
      <c r="B87" s="95" t="s">
        <v>178</v>
      </c>
      <c r="C87" s="96" t="s">
        <v>179</v>
      </c>
      <c r="D87" s="99">
        <v>0</v>
      </c>
      <c r="E87" s="99">
        <v>0</v>
      </c>
      <c r="F87" s="98">
        <v>0</v>
      </c>
      <c r="H87" s="100"/>
      <c r="K87" s="100"/>
    </row>
    <row r="88" spans="1:11" ht="23.15" customHeight="1" x14ac:dyDescent="0.2">
      <c r="A88" s="94"/>
      <c r="B88" s="95" t="s">
        <v>180</v>
      </c>
      <c r="C88" s="96" t="s">
        <v>181</v>
      </c>
      <c r="D88" s="99">
        <v>16500000</v>
      </c>
      <c r="E88" s="99">
        <v>16500000</v>
      </c>
      <c r="F88" s="98">
        <v>1</v>
      </c>
      <c r="H88" s="100"/>
      <c r="K88" s="100"/>
    </row>
    <row r="89" spans="1:11" ht="33" customHeight="1" x14ac:dyDescent="0.2">
      <c r="A89" s="94"/>
      <c r="B89" s="95" t="s">
        <v>182</v>
      </c>
      <c r="C89" s="96" t="s">
        <v>183</v>
      </c>
      <c r="D89" s="99">
        <v>2837153464</v>
      </c>
      <c r="E89" s="99">
        <v>1503804627</v>
      </c>
      <c r="F89" s="98">
        <v>0.71889999999999998</v>
      </c>
      <c r="H89" s="100"/>
      <c r="K89" s="100"/>
    </row>
    <row r="90" spans="1:11" ht="23.15" customHeight="1" x14ac:dyDescent="0.2">
      <c r="A90" s="94"/>
      <c r="B90" s="95" t="s">
        <v>184</v>
      </c>
      <c r="C90" s="96" t="s">
        <v>185</v>
      </c>
      <c r="D90" s="99">
        <v>2269722776</v>
      </c>
      <c r="E90" s="99">
        <v>1203043701</v>
      </c>
      <c r="F90" s="98">
        <v>0.71889999999999998</v>
      </c>
      <c r="H90" s="100"/>
      <c r="K90" s="100"/>
    </row>
    <row r="91" spans="1:11" ht="23.15" customHeight="1" x14ac:dyDescent="0.2">
      <c r="A91" s="94"/>
      <c r="B91" s="95" t="s">
        <v>186</v>
      </c>
      <c r="C91" s="96" t="s">
        <v>187</v>
      </c>
      <c r="D91" s="99">
        <v>1375820760</v>
      </c>
      <c r="E91" s="99">
        <v>1391009488</v>
      </c>
      <c r="F91" s="98">
        <v>0.73880000000000001</v>
      </c>
      <c r="H91" s="100"/>
      <c r="K91" s="100"/>
    </row>
    <row r="92" spans="1:11" ht="23.15" customHeight="1" x14ac:dyDescent="0.2">
      <c r="A92" s="94"/>
      <c r="B92" s="95" t="s">
        <v>188</v>
      </c>
      <c r="C92" s="96" t="s">
        <v>189</v>
      </c>
      <c r="D92" s="101">
        <v>0</v>
      </c>
      <c r="E92" s="101">
        <v>0</v>
      </c>
      <c r="F92" s="98">
        <v>0</v>
      </c>
      <c r="H92" s="100"/>
      <c r="K92" s="100"/>
    </row>
    <row r="93" spans="1:11" ht="23.15" customHeight="1" x14ac:dyDescent="0.2">
      <c r="A93" s="94"/>
      <c r="B93" s="95" t="s">
        <v>190</v>
      </c>
      <c r="C93" s="96" t="s">
        <v>191</v>
      </c>
      <c r="D93" s="101">
        <v>0</v>
      </c>
      <c r="E93" s="101">
        <v>0</v>
      </c>
      <c r="F93" s="98">
        <v>0</v>
      </c>
      <c r="H93" s="100"/>
      <c r="K93" s="100"/>
    </row>
    <row r="94" spans="1:11" ht="33" customHeight="1" x14ac:dyDescent="0.2">
      <c r="A94" s="94"/>
      <c r="B94" s="95" t="s">
        <v>192</v>
      </c>
      <c r="C94" s="96" t="s">
        <v>193</v>
      </c>
      <c r="D94" s="99">
        <v>0</v>
      </c>
      <c r="E94" s="99">
        <v>0</v>
      </c>
      <c r="F94" s="98">
        <v>0</v>
      </c>
      <c r="H94" s="100"/>
      <c r="K94" s="100"/>
    </row>
    <row r="95" spans="1:11" ht="23.15" customHeight="1" x14ac:dyDescent="0.2">
      <c r="A95" s="94"/>
      <c r="B95" s="95" t="s">
        <v>194</v>
      </c>
      <c r="C95" s="96" t="s">
        <v>195</v>
      </c>
      <c r="D95" s="101">
        <v>0</v>
      </c>
      <c r="E95" s="101">
        <v>0</v>
      </c>
      <c r="F95" s="98">
        <v>0</v>
      </c>
      <c r="H95" s="100"/>
      <c r="K95" s="100"/>
    </row>
    <row r="96" spans="1:11" ht="23.15" customHeight="1" x14ac:dyDescent="0.2">
      <c r="A96" s="94"/>
      <c r="B96" s="95" t="s">
        <v>196</v>
      </c>
      <c r="C96" s="96" t="s">
        <v>197</v>
      </c>
      <c r="D96" s="101">
        <v>0</v>
      </c>
      <c r="E96" s="101">
        <v>0</v>
      </c>
      <c r="F96" s="98">
        <v>0</v>
      </c>
      <c r="H96" s="100"/>
      <c r="K96" s="100"/>
    </row>
    <row r="97" spans="1:11" ht="23.15" customHeight="1" x14ac:dyDescent="0.2">
      <c r="A97" s="94"/>
      <c r="B97" s="95" t="s">
        <v>198</v>
      </c>
      <c r="C97" s="96" t="s">
        <v>199</v>
      </c>
      <c r="D97" s="101">
        <v>0</v>
      </c>
      <c r="E97" s="101">
        <v>0</v>
      </c>
      <c r="F97" s="98">
        <v>0</v>
      </c>
      <c r="H97" s="100"/>
      <c r="K97" s="100"/>
    </row>
    <row r="98" spans="1:11" ht="23.15" customHeight="1" x14ac:dyDescent="0.2">
      <c r="A98" s="94"/>
      <c r="B98" s="95" t="s">
        <v>200</v>
      </c>
      <c r="C98" s="96" t="s">
        <v>201</v>
      </c>
      <c r="D98" s="101">
        <v>0</v>
      </c>
      <c r="E98" s="101">
        <v>0</v>
      </c>
      <c r="F98" s="98">
        <v>0</v>
      </c>
      <c r="H98" s="100"/>
      <c r="K98" s="100"/>
    </row>
    <row r="99" spans="1:11" ht="23.15" customHeight="1" x14ac:dyDescent="0.2">
      <c r="A99" s="94"/>
      <c r="B99" s="95" t="s">
        <v>202</v>
      </c>
      <c r="C99" s="96" t="s">
        <v>203</v>
      </c>
      <c r="D99" s="101">
        <v>0</v>
      </c>
      <c r="E99" s="101">
        <v>0</v>
      </c>
      <c r="F99" s="98">
        <v>0</v>
      </c>
      <c r="H99" s="100"/>
      <c r="K99" s="100"/>
    </row>
    <row r="100" spans="1:11" ht="23.15" customHeight="1" x14ac:dyDescent="0.2">
      <c r="A100" s="94"/>
      <c r="B100" s="95" t="s">
        <v>204</v>
      </c>
      <c r="C100" s="96" t="s">
        <v>205</v>
      </c>
      <c r="D100" s="99">
        <v>0</v>
      </c>
      <c r="E100" s="99">
        <v>0</v>
      </c>
      <c r="F100" s="98">
        <v>0</v>
      </c>
      <c r="H100" s="100"/>
      <c r="K100" s="100"/>
    </row>
    <row r="101" spans="1:11" ht="23.15" customHeight="1" x14ac:dyDescent="0.2">
      <c r="A101" s="94"/>
      <c r="B101" s="95" t="s">
        <v>206</v>
      </c>
      <c r="C101" s="96" t="s">
        <v>207</v>
      </c>
      <c r="D101" s="101">
        <v>0</v>
      </c>
      <c r="E101" s="101">
        <v>0</v>
      </c>
      <c r="F101" s="98">
        <v>0</v>
      </c>
      <c r="H101" s="100"/>
      <c r="K101" s="100"/>
    </row>
    <row r="102" spans="1:11" ht="23.15" customHeight="1" x14ac:dyDescent="0.2">
      <c r="A102" s="94"/>
      <c r="B102" s="95" t="s">
        <v>208</v>
      </c>
      <c r="C102" s="96" t="s">
        <v>209</v>
      </c>
      <c r="D102" s="101">
        <v>0</v>
      </c>
      <c r="E102" s="101">
        <v>0</v>
      </c>
      <c r="F102" s="98">
        <v>0</v>
      </c>
      <c r="H102" s="100"/>
      <c r="K102" s="100"/>
    </row>
    <row r="103" spans="1:11" ht="23.15" customHeight="1" x14ac:dyDescent="0.2">
      <c r="A103" s="94"/>
      <c r="B103" s="95" t="s">
        <v>210</v>
      </c>
      <c r="C103" s="96" t="s">
        <v>211</v>
      </c>
      <c r="D103" s="99">
        <v>0</v>
      </c>
      <c r="E103" s="99">
        <v>0</v>
      </c>
      <c r="F103" s="98">
        <v>0</v>
      </c>
      <c r="H103" s="100"/>
      <c r="K103" s="100"/>
    </row>
    <row r="104" spans="1:11" ht="23.15" customHeight="1" x14ac:dyDescent="0.2">
      <c r="A104" s="94"/>
      <c r="B104" s="95" t="s">
        <v>212</v>
      </c>
      <c r="C104" s="96" t="s">
        <v>213</v>
      </c>
      <c r="D104" s="99">
        <v>0</v>
      </c>
      <c r="E104" s="99">
        <v>0</v>
      </c>
      <c r="F104" s="98">
        <v>0</v>
      </c>
      <c r="H104" s="100"/>
      <c r="K104" s="100"/>
    </row>
    <row r="105" spans="1:11" ht="23.15" customHeight="1" x14ac:dyDescent="0.2">
      <c r="A105" s="94" t="s">
        <v>214</v>
      </c>
      <c r="B105" s="95" t="s">
        <v>215</v>
      </c>
      <c r="C105" s="96" t="s">
        <v>216</v>
      </c>
      <c r="D105" s="99">
        <v>15023215868</v>
      </c>
      <c r="E105" s="99">
        <v>27005177423</v>
      </c>
      <c r="F105" s="98">
        <v>0.16589999999999999</v>
      </c>
      <c r="H105" s="100"/>
      <c r="K105" s="100"/>
    </row>
    <row r="106" spans="1:11" ht="23.15" customHeight="1" x14ac:dyDescent="0.2">
      <c r="A106" s="94"/>
      <c r="B106" s="95" t="s">
        <v>217</v>
      </c>
      <c r="C106" s="96" t="s">
        <v>218</v>
      </c>
      <c r="D106" s="99">
        <v>11409369089681</v>
      </c>
      <c r="E106" s="99">
        <v>11483183778650</v>
      </c>
      <c r="F106" s="98">
        <v>0.85399999999999998</v>
      </c>
      <c r="H106" s="100"/>
      <c r="K106" s="100"/>
    </row>
    <row r="107" spans="1:11" s="106" customFormat="1" ht="23.15" customHeight="1" x14ac:dyDescent="0.2">
      <c r="A107" s="102"/>
      <c r="B107" s="103" t="s">
        <v>219</v>
      </c>
      <c r="C107" s="104" t="s">
        <v>220</v>
      </c>
      <c r="D107" s="97">
        <v>342500000</v>
      </c>
      <c r="E107" s="97">
        <v>362200000</v>
      </c>
      <c r="F107" s="105">
        <v>0.82550000000000001</v>
      </c>
      <c r="H107" s="100"/>
      <c r="I107" s="85"/>
      <c r="J107" s="85"/>
      <c r="K107" s="100"/>
    </row>
    <row r="108" spans="1:11" s="106" customFormat="1" ht="20" x14ac:dyDescent="0.2">
      <c r="A108" s="253"/>
      <c r="B108" s="254" t="s">
        <v>221</v>
      </c>
      <c r="C108" s="185" t="s">
        <v>222</v>
      </c>
      <c r="D108" s="260">
        <v>33312.019999999997</v>
      </c>
      <c r="E108" s="260">
        <v>31703.98</v>
      </c>
      <c r="F108" s="255">
        <v>1.0345</v>
      </c>
      <c r="H108" s="252"/>
      <c r="K108" s="100"/>
    </row>
    <row r="109" spans="1:11" s="106" customFormat="1" ht="3.75" customHeight="1" x14ac:dyDescent="0.2">
      <c r="A109" s="256"/>
      <c r="B109" s="257"/>
      <c r="C109" s="256"/>
      <c r="D109" s="258"/>
      <c r="E109" s="258"/>
      <c r="F109" s="259"/>
      <c r="H109" s="252"/>
    </row>
    <row r="110" spans="1:11" s="106" customFormat="1" ht="3.75" customHeight="1" x14ac:dyDescent="0.2">
      <c r="A110" s="256"/>
      <c r="B110" s="257"/>
      <c r="C110" s="256"/>
      <c r="D110" s="258"/>
      <c r="E110" s="258"/>
      <c r="F110" s="259"/>
      <c r="H110" s="252"/>
    </row>
    <row r="111" spans="1:11" ht="12.75" customHeight="1" x14ac:dyDescent="0.2">
      <c r="A111" s="310" t="s">
        <v>223</v>
      </c>
      <c r="B111" s="310"/>
      <c r="C111" s="310"/>
      <c r="D111" s="310" t="s">
        <v>224</v>
      </c>
      <c r="E111" s="310"/>
      <c r="F111" s="310"/>
    </row>
    <row r="112" spans="1:11" ht="12.75" customHeight="1" x14ac:dyDescent="0.2">
      <c r="A112" s="308" t="s">
        <v>225</v>
      </c>
      <c r="B112" s="308"/>
      <c r="C112" s="308"/>
      <c r="D112" s="309" t="s">
        <v>226</v>
      </c>
      <c r="E112" s="309"/>
      <c r="F112" s="309"/>
    </row>
    <row r="113" spans="1:6" ht="18" customHeight="1" x14ac:dyDescent="0.2">
      <c r="A113" s="86"/>
      <c r="B113" s="86"/>
      <c r="C113" s="86"/>
      <c r="D113" s="86"/>
      <c r="E113" s="86"/>
      <c r="F113" s="86"/>
    </row>
    <row r="114" spans="1:6" ht="18" customHeight="1" x14ac:dyDescent="0.2">
      <c r="A114" s="86"/>
      <c r="B114" s="86"/>
      <c r="C114" s="86"/>
      <c r="D114" s="86"/>
      <c r="E114" s="86"/>
      <c r="F114" s="86"/>
    </row>
    <row r="115" spans="1:6" ht="18" customHeight="1" x14ac:dyDescent="0.2">
      <c r="A115" s="86"/>
      <c r="B115" s="86"/>
      <c r="C115" s="86"/>
      <c r="D115" s="86"/>
      <c r="E115" s="86"/>
      <c r="F115" s="86"/>
    </row>
    <row r="116" spans="1:6" ht="18" customHeight="1" x14ac:dyDescent="0.2">
      <c r="A116" s="86"/>
      <c r="B116" s="86"/>
      <c r="C116" s="86"/>
      <c r="D116" s="86"/>
      <c r="E116" s="86"/>
      <c r="F116" s="86"/>
    </row>
    <row r="117" spans="1:6" ht="18" customHeight="1" x14ac:dyDescent="0.2">
      <c r="A117" s="86"/>
      <c r="B117" s="86"/>
      <c r="C117" s="86"/>
      <c r="D117" s="86"/>
      <c r="E117" s="86"/>
      <c r="F117" s="86"/>
    </row>
    <row r="118" spans="1:6" ht="12.75" customHeight="1" x14ac:dyDescent="0.2">
      <c r="A118" s="310" t="s">
        <v>227</v>
      </c>
      <c r="B118" s="310"/>
      <c r="C118" s="310"/>
      <c r="D118" s="310" t="s">
        <v>228</v>
      </c>
      <c r="E118" s="310"/>
      <c r="F118" s="310"/>
    </row>
    <row r="119" spans="1:6" ht="12.75" customHeight="1" x14ac:dyDescent="0.2">
      <c r="A119" s="307" t="s">
        <v>1108</v>
      </c>
      <c r="B119" s="307"/>
      <c r="C119" s="307"/>
      <c r="D119" s="307" t="s">
        <v>230</v>
      </c>
      <c r="E119" s="307"/>
      <c r="F119" s="307"/>
    </row>
    <row r="120" spans="1:6" ht="12.75" customHeight="1" x14ac:dyDescent="0.2">
      <c r="A120" s="307" t="s">
        <v>1036</v>
      </c>
      <c r="B120" s="307"/>
      <c r="C120" s="307"/>
      <c r="D120" s="307" t="s">
        <v>229</v>
      </c>
      <c r="E120" s="307"/>
      <c r="F120" s="30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111:C111"/>
    <mergeCell ref="D111:F111"/>
    <mergeCell ref="A120:C120"/>
    <mergeCell ref="D120:F120"/>
    <mergeCell ref="A112:C112"/>
    <mergeCell ref="D112:F112"/>
    <mergeCell ref="A118:C118"/>
    <mergeCell ref="D118:F118"/>
    <mergeCell ref="A119:C119"/>
    <mergeCell ref="D119:F119"/>
  </mergeCells>
  <printOptions horizontalCentered="1"/>
  <pageMargins left="0.39370078740157483" right="0.39370078740157483" top="0.39370078740157483" bottom="0.39370078740157483" header="0.31496062992125984" footer="0.31496062992125984"/>
  <pageSetup paperSize="9" scale="86"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796875" defaultRowHeight="10" x14ac:dyDescent="0.2"/>
  <cols>
    <col min="1" max="1" width="4.1796875" style="85" customWidth="1"/>
    <col min="2" max="2" width="42.54296875" style="85" customWidth="1"/>
    <col min="3" max="3" width="6.54296875" style="85" bestFit="1" customWidth="1"/>
    <col min="4" max="6" width="18.453125" style="85" bestFit="1" customWidth="1"/>
    <col min="7" max="7" width="19" style="116" bestFit="1" customWidth="1"/>
    <col min="8" max="8" width="9.81640625" style="85" bestFit="1" customWidth="1"/>
    <col min="9" max="16384" width="9.1796875" style="85"/>
  </cols>
  <sheetData>
    <row r="1" spans="1:7" ht="36.75" customHeight="1" x14ac:dyDescent="0.2">
      <c r="A1" s="316"/>
      <c r="B1" s="316"/>
      <c r="C1" s="84"/>
      <c r="D1" s="310" t="s">
        <v>0</v>
      </c>
      <c r="E1" s="310"/>
      <c r="F1" s="310"/>
    </row>
    <row r="2" spans="1:7" ht="27.75" customHeight="1" x14ac:dyDescent="0.2">
      <c r="A2" s="317" t="s">
        <v>1</v>
      </c>
      <c r="B2" s="317"/>
      <c r="C2" s="317"/>
      <c r="D2" s="317"/>
      <c r="E2" s="317"/>
      <c r="F2" s="317"/>
    </row>
    <row r="3" spans="1:7" ht="4.5" customHeight="1" x14ac:dyDescent="0.2">
      <c r="A3" s="86"/>
      <c r="B3" s="86"/>
      <c r="C3" s="86"/>
      <c r="D3" s="86"/>
      <c r="E3" s="86"/>
      <c r="F3" s="86"/>
    </row>
    <row r="4" spans="1:7" ht="28.5" customHeight="1" x14ac:dyDescent="0.2">
      <c r="A4" s="318" t="s">
        <v>231</v>
      </c>
      <c r="B4" s="318"/>
      <c r="C4" s="318"/>
      <c r="D4" s="318"/>
      <c r="E4" s="318"/>
      <c r="F4" s="318"/>
    </row>
    <row r="5" spans="1:7" s="118" customFormat="1" ht="16.5" customHeight="1" x14ac:dyDescent="0.35">
      <c r="A5" s="319" t="s">
        <v>1115</v>
      </c>
      <c r="B5" s="319"/>
      <c r="C5" s="319"/>
      <c r="D5" s="319"/>
      <c r="E5" s="319"/>
      <c r="F5" s="319"/>
      <c r="G5" s="117"/>
    </row>
    <row r="6" spans="1:7" ht="12" customHeight="1" x14ac:dyDescent="0.2">
      <c r="A6" s="119" t="s">
        <v>3</v>
      </c>
      <c r="B6" s="88" t="s">
        <v>232</v>
      </c>
      <c r="C6" s="313" t="s">
        <v>5</v>
      </c>
      <c r="D6" s="313"/>
      <c r="E6" s="313"/>
      <c r="F6" s="313"/>
    </row>
    <row r="7" spans="1:7" ht="12" customHeight="1" x14ac:dyDescent="0.2">
      <c r="A7" s="86"/>
      <c r="B7" s="86" t="s">
        <v>6</v>
      </c>
      <c r="C7" s="316" t="s">
        <v>7</v>
      </c>
      <c r="D7" s="316"/>
      <c r="E7" s="316"/>
      <c r="F7" s="316"/>
    </row>
    <row r="8" spans="1:7" ht="12" customHeight="1" x14ac:dyDescent="0.2">
      <c r="A8" s="87" t="s">
        <v>8</v>
      </c>
      <c r="B8" s="88" t="s">
        <v>9</v>
      </c>
      <c r="C8" s="313" t="s">
        <v>10</v>
      </c>
      <c r="D8" s="313"/>
      <c r="E8" s="313"/>
      <c r="F8" s="313"/>
    </row>
    <row r="9" spans="1:7" ht="12" customHeight="1" x14ac:dyDescent="0.2">
      <c r="A9" s="86"/>
      <c r="B9" s="86" t="s">
        <v>11</v>
      </c>
      <c r="C9" s="316" t="s">
        <v>12</v>
      </c>
      <c r="D9" s="316"/>
      <c r="E9" s="316"/>
      <c r="F9" s="316"/>
    </row>
    <row r="10" spans="1:7" ht="12" customHeight="1" x14ac:dyDescent="0.2">
      <c r="A10" s="87" t="s">
        <v>13</v>
      </c>
      <c r="B10" s="88" t="s">
        <v>14</v>
      </c>
      <c r="C10" s="313" t="s">
        <v>15</v>
      </c>
      <c r="D10" s="313"/>
      <c r="E10" s="313"/>
      <c r="F10" s="313"/>
    </row>
    <row r="11" spans="1:7" ht="12" customHeight="1" x14ac:dyDescent="0.2">
      <c r="A11" s="86"/>
      <c r="B11" s="86" t="s">
        <v>16</v>
      </c>
      <c r="C11" s="316" t="s">
        <v>17</v>
      </c>
      <c r="D11" s="316"/>
      <c r="E11" s="316"/>
      <c r="F11" s="316"/>
    </row>
    <row r="12" spans="1:7" ht="12" customHeight="1" x14ac:dyDescent="0.2">
      <c r="A12" s="87" t="s">
        <v>18</v>
      </c>
      <c r="B12" s="88" t="s">
        <v>19</v>
      </c>
      <c r="C12" s="315">
        <v>45853</v>
      </c>
      <c r="D12" s="315"/>
      <c r="E12" s="315"/>
      <c r="F12" s="315"/>
    </row>
    <row r="13" spans="1:7" ht="12" customHeight="1" x14ac:dyDescent="0.2">
      <c r="A13" s="86"/>
      <c r="B13" s="86" t="s">
        <v>20</v>
      </c>
      <c r="C13" s="311">
        <v>45853</v>
      </c>
      <c r="D13" s="311"/>
      <c r="E13" s="311"/>
      <c r="F13" s="311"/>
    </row>
    <row r="14" spans="1:7" x14ac:dyDescent="0.2">
      <c r="A14" s="86"/>
      <c r="B14" s="86"/>
      <c r="C14" s="86"/>
      <c r="D14" s="86"/>
      <c r="E14" s="86"/>
      <c r="F14" s="86"/>
    </row>
    <row r="15" spans="1:7" ht="12" customHeight="1" x14ac:dyDescent="0.2">
      <c r="A15" s="312" t="s">
        <v>21</v>
      </c>
      <c r="B15" s="312"/>
      <c r="C15" s="312"/>
      <c r="D15" s="312"/>
      <c r="E15" s="312"/>
      <c r="F15" s="312"/>
    </row>
    <row r="16" spans="1:7" ht="12" customHeight="1" x14ac:dyDescent="0.2">
      <c r="A16" s="313" t="s">
        <v>233</v>
      </c>
      <c r="B16" s="313"/>
      <c r="C16" s="313"/>
      <c r="D16" s="313"/>
      <c r="E16" s="313"/>
      <c r="F16" s="313"/>
    </row>
    <row r="17" spans="1:8" x14ac:dyDescent="0.2">
      <c r="A17" s="89"/>
      <c r="B17" s="90"/>
      <c r="C17" s="89"/>
      <c r="D17" s="89"/>
      <c r="E17" s="314" t="s">
        <v>23</v>
      </c>
      <c r="F17" s="314"/>
    </row>
    <row r="18" spans="1:8" s="121" customFormat="1" ht="48" customHeight="1" x14ac:dyDescent="0.35">
      <c r="A18" s="91" t="s">
        <v>24</v>
      </c>
      <c r="B18" s="92" t="s">
        <v>25</v>
      </c>
      <c r="C18" s="92" t="s">
        <v>26</v>
      </c>
      <c r="D18" s="92" t="s">
        <v>1114</v>
      </c>
      <c r="E18" s="92" t="s">
        <v>1113</v>
      </c>
      <c r="F18" s="93" t="s">
        <v>234</v>
      </c>
      <c r="G18" s="120"/>
    </row>
    <row r="19" spans="1:8" s="121" customFormat="1" ht="20" x14ac:dyDescent="0.35">
      <c r="A19" s="122" t="s">
        <v>29</v>
      </c>
      <c r="B19" s="123" t="s">
        <v>235</v>
      </c>
      <c r="C19" s="124" t="s">
        <v>236</v>
      </c>
      <c r="D19" s="97">
        <v>83327819484</v>
      </c>
      <c r="E19" s="97">
        <v>15532653683</v>
      </c>
      <c r="F19" s="125">
        <v>98860473167</v>
      </c>
      <c r="G19" s="120"/>
      <c r="H19" s="126"/>
    </row>
    <row r="20" spans="1:8" s="121" customFormat="1" ht="20" x14ac:dyDescent="0.35">
      <c r="A20" s="127" t="s">
        <v>3</v>
      </c>
      <c r="B20" s="128" t="s">
        <v>237</v>
      </c>
      <c r="C20" s="129"/>
      <c r="D20" s="99">
        <v>0</v>
      </c>
      <c r="E20" s="99">
        <v>0</v>
      </c>
      <c r="F20" s="130">
        <v>0</v>
      </c>
      <c r="G20" s="120"/>
      <c r="H20" s="126"/>
    </row>
    <row r="21" spans="1:8" s="121" customFormat="1" ht="20" x14ac:dyDescent="0.35">
      <c r="A21" s="127" t="s">
        <v>8</v>
      </c>
      <c r="B21" s="128" t="s">
        <v>238</v>
      </c>
      <c r="C21" s="129" t="s">
        <v>239</v>
      </c>
      <c r="D21" s="99">
        <v>83261985812</v>
      </c>
      <c r="E21" s="99">
        <v>15437090400</v>
      </c>
      <c r="F21" s="130">
        <v>98699076212</v>
      </c>
      <c r="G21" s="120"/>
      <c r="H21" s="126"/>
    </row>
    <row r="22" spans="1:8" s="121" customFormat="1" ht="20" x14ac:dyDescent="0.35">
      <c r="A22" s="131"/>
      <c r="B22" s="132" t="s">
        <v>240</v>
      </c>
      <c r="C22" s="133" t="s">
        <v>241</v>
      </c>
      <c r="D22" s="101">
        <v>83261985812</v>
      </c>
      <c r="E22" s="101">
        <v>15437090400</v>
      </c>
      <c r="F22" s="134">
        <v>98699076212</v>
      </c>
      <c r="G22" s="120"/>
      <c r="H22" s="126"/>
    </row>
    <row r="23" spans="1:8" s="121" customFormat="1" ht="20" x14ac:dyDescent="0.35">
      <c r="A23" s="131"/>
      <c r="B23" s="132" t="s">
        <v>242</v>
      </c>
      <c r="C23" s="133" t="s">
        <v>243</v>
      </c>
      <c r="D23" s="101">
        <v>0</v>
      </c>
      <c r="E23" s="101">
        <v>0</v>
      </c>
      <c r="F23" s="134">
        <v>0</v>
      </c>
      <c r="G23" s="120"/>
      <c r="H23" s="126"/>
    </row>
    <row r="24" spans="1:8" s="121" customFormat="1" ht="20" x14ac:dyDescent="0.35">
      <c r="A24" s="127" t="s">
        <v>13</v>
      </c>
      <c r="B24" s="128" t="s">
        <v>244</v>
      </c>
      <c r="C24" s="129" t="s">
        <v>245</v>
      </c>
      <c r="D24" s="99">
        <v>65833672</v>
      </c>
      <c r="E24" s="99">
        <v>95563283</v>
      </c>
      <c r="F24" s="130">
        <v>161396955</v>
      </c>
      <c r="G24" s="120"/>
      <c r="H24" s="126"/>
    </row>
    <row r="25" spans="1:8" s="121" customFormat="1" ht="20" x14ac:dyDescent="0.35">
      <c r="A25" s="131"/>
      <c r="B25" s="132" t="s">
        <v>246</v>
      </c>
      <c r="C25" s="133" t="s">
        <v>247</v>
      </c>
      <c r="D25" s="101">
        <v>65833672</v>
      </c>
      <c r="E25" s="101">
        <v>95563283</v>
      </c>
      <c r="F25" s="134">
        <v>161396955</v>
      </c>
      <c r="G25" s="120"/>
      <c r="H25" s="126"/>
    </row>
    <row r="26" spans="1:8" s="121" customFormat="1" ht="20" x14ac:dyDescent="0.35">
      <c r="A26" s="131"/>
      <c r="B26" s="132" t="s">
        <v>248</v>
      </c>
      <c r="C26" s="133" t="s">
        <v>249</v>
      </c>
      <c r="D26" s="101">
        <v>0</v>
      </c>
      <c r="E26" s="101">
        <v>0</v>
      </c>
      <c r="F26" s="134">
        <v>0</v>
      </c>
      <c r="G26" s="120"/>
      <c r="H26" s="126"/>
    </row>
    <row r="27" spans="1:8" s="121" customFormat="1" ht="20" x14ac:dyDescent="0.35">
      <c r="A27" s="127" t="s">
        <v>18</v>
      </c>
      <c r="B27" s="128" t="s">
        <v>250</v>
      </c>
      <c r="C27" s="129" t="s">
        <v>251</v>
      </c>
      <c r="D27" s="99">
        <v>0</v>
      </c>
      <c r="E27" s="99">
        <v>0</v>
      </c>
      <c r="F27" s="130">
        <v>0</v>
      </c>
      <c r="G27" s="120"/>
      <c r="H27" s="126"/>
    </row>
    <row r="28" spans="1:8" s="121" customFormat="1" ht="20" x14ac:dyDescent="0.35">
      <c r="A28" s="131"/>
      <c r="B28" s="132" t="s">
        <v>252</v>
      </c>
      <c r="C28" s="133" t="s">
        <v>253</v>
      </c>
      <c r="D28" s="101">
        <v>0</v>
      </c>
      <c r="E28" s="101">
        <v>0</v>
      </c>
      <c r="F28" s="134">
        <v>0</v>
      </c>
      <c r="G28" s="120"/>
      <c r="H28" s="126"/>
    </row>
    <row r="29" spans="1:8" s="121" customFormat="1" ht="20" x14ac:dyDescent="0.35">
      <c r="A29" s="131"/>
      <c r="B29" s="132" t="s">
        <v>254</v>
      </c>
      <c r="C29" s="133" t="s">
        <v>255</v>
      </c>
      <c r="D29" s="101">
        <v>0</v>
      </c>
      <c r="E29" s="101">
        <v>0</v>
      </c>
      <c r="F29" s="134">
        <v>0</v>
      </c>
      <c r="G29" s="120"/>
      <c r="H29" s="126"/>
    </row>
    <row r="30" spans="1:8" s="121" customFormat="1" ht="53.25" customHeight="1" x14ac:dyDescent="0.35">
      <c r="A30" s="131"/>
      <c r="B30" s="132" t="s">
        <v>256</v>
      </c>
      <c r="C30" s="133" t="s">
        <v>257</v>
      </c>
      <c r="D30" s="101">
        <v>0</v>
      </c>
      <c r="E30" s="101">
        <v>0</v>
      </c>
      <c r="F30" s="134">
        <v>0</v>
      </c>
      <c r="G30" s="120"/>
      <c r="H30" s="126"/>
    </row>
    <row r="31" spans="1:8" s="121" customFormat="1" ht="20" x14ac:dyDescent="0.35">
      <c r="A31" s="122" t="s">
        <v>121</v>
      </c>
      <c r="B31" s="123" t="s">
        <v>258</v>
      </c>
      <c r="C31" s="124" t="s">
        <v>259</v>
      </c>
      <c r="D31" s="97">
        <v>29517632885</v>
      </c>
      <c r="E31" s="97">
        <v>33181017835</v>
      </c>
      <c r="F31" s="125">
        <v>62698650720</v>
      </c>
      <c r="G31" s="120"/>
      <c r="H31" s="126"/>
    </row>
    <row r="32" spans="1:8" s="121" customFormat="1" ht="20" x14ac:dyDescent="0.35">
      <c r="A32" s="127" t="s">
        <v>3</v>
      </c>
      <c r="B32" s="128" t="s">
        <v>260</v>
      </c>
      <c r="C32" s="129" t="s">
        <v>261</v>
      </c>
      <c r="D32" s="99">
        <v>21333581385</v>
      </c>
      <c r="E32" s="99">
        <v>24060873965</v>
      </c>
      <c r="F32" s="130">
        <v>45394455350</v>
      </c>
      <c r="G32" s="120"/>
      <c r="H32" s="126"/>
    </row>
    <row r="33" spans="1:8" s="121" customFormat="1" ht="20" x14ac:dyDescent="0.35">
      <c r="A33" s="127" t="s">
        <v>8</v>
      </c>
      <c r="B33" s="128" t="s">
        <v>262</v>
      </c>
      <c r="C33" s="129" t="s">
        <v>263</v>
      </c>
      <c r="D33" s="99">
        <v>1970914007</v>
      </c>
      <c r="E33" s="99">
        <v>2199238756</v>
      </c>
      <c r="F33" s="130">
        <v>4170152763</v>
      </c>
      <c r="G33" s="120"/>
      <c r="H33" s="126"/>
    </row>
    <row r="34" spans="1:8" s="121" customFormat="1" ht="20" x14ac:dyDescent="0.35">
      <c r="A34" s="131"/>
      <c r="B34" s="132" t="s">
        <v>264</v>
      </c>
      <c r="C34" s="133" t="s">
        <v>265</v>
      </c>
      <c r="D34" s="101">
        <v>533339537</v>
      </c>
      <c r="E34" s="101">
        <v>601521845</v>
      </c>
      <c r="F34" s="134">
        <v>1134861382</v>
      </c>
      <c r="G34" s="120"/>
      <c r="H34" s="126"/>
    </row>
    <row r="35" spans="1:8" s="121" customFormat="1" ht="20" x14ac:dyDescent="0.35">
      <c r="A35" s="131"/>
      <c r="B35" s="132" t="s">
        <v>266</v>
      </c>
      <c r="C35" s="133" t="s">
        <v>267</v>
      </c>
      <c r="D35" s="101">
        <v>7600000</v>
      </c>
      <c r="E35" s="101">
        <v>14500000</v>
      </c>
      <c r="F35" s="134">
        <v>22100000</v>
      </c>
      <c r="G35" s="120"/>
      <c r="H35" s="126"/>
    </row>
    <row r="36" spans="1:8" s="121" customFormat="1" ht="20" x14ac:dyDescent="0.35">
      <c r="A36" s="131"/>
      <c r="B36" s="132" t="s">
        <v>170</v>
      </c>
      <c r="C36" s="133" t="s">
        <v>268</v>
      </c>
      <c r="D36" s="101">
        <v>256627488</v>
      </c>
      <c r="E36" s="101">
        <v>259868840</v>
      </c>
      <c r="F36" s="134">
        <v>516496328</v>
      </c>
      <c r="G36" s="120"/>
      <c r="H36" s="126"/>
    </row>
    <row r="37" spans="1:8" s="121" customFormat="1" ht="20" x14ac:dyDescent="0.35">
      <c r="A37" s="131"/>
      <c r="B37" s="132" t="s">
        <v>269</v>
      </c>
      <c r="C37" s="133" t="s">
        <v>270</v>
      </c>
      <c r="D37" s="101">
        <v>1173346982</v>
      </c>
      <c r="E37" s="101">
        <v>1323348071</v>
      </c>
      <c r="F37" s="134">
        <v>2496695053</v>
      </c>
      <c r="G37" s="120"/>
      <c r="H37" s="126"/>
    </row>
    <row r="38" spans="1:8" s="121" customFormat="1" ht="40" x14ac:dyDescent="0.35">
      <c r="A38" s="131"/>
      <c r="B38" s="132" t="s">
        <v>172</v>
      </c>
      <c r="C38" s="133" t="s">
        <v>271</v>
      </c>
      <c r="D38" s="101">
        <v>0</v>
      </c>
      <c r="E38" s="101">
        <v>0</v>
      </c>
      <c r="F38" s="134">
        <v>0</v>
      </c>
      <c r="G38" s="120"/>
      <c r="H38" s="126"/>
    </row>
    <row r="39" spans="1:8" s="121" customFormat="1" ht="42" customHeight="1" x14ac:dyDescent="0.35">
      <c r="A39" s="127" t="s">
        <v>13</v>
      </c>
      <c r="B39" s="128" t="s">
        <v>272</v>
      </c>
      <c r="C39" s="129" t="s">
        <v>273</v>
      </c>
      <c r="D39" s="99">
        <v>4379022163</v>
      </c>
      <c r="E39" s="99">
        <v>4776031845</v>
      </c>
      <c r="F39" s="130">
        <v>9155054008</v>
      </c>
      <c r="G39" s="120"/>
      <c r="H39" s="126"/>
    </row>
    <row r="40" spans="1:8" s="121" customFormat="1" ht="20" x14ac:dyDescent="0.35">
      <c r="A40" s="131"/>
      <c r="B40" s="132" t="s">
        <v>274</v>
      </c>
      <c r="C40" s="133" t="s">
        <v>275</v>
      </c>
      <c r="D40" s="101">
        <v>586673491</v>
      </c>
      <c r="E40" s="101">
        <v>661674029</v>
      </c>
      <c r="F40" s="134">
        <v>1248347520</v>
      </c>
      <c r="G40" s="120"/>
      <c r="H40" s="126"/>
    </row>
    <row r="41" spans="1:8" s="121" customFormat="1" ht="20" x14ac:dyDescent="0.35">
      <c r="A41" s="131"/>
      <c r="B41" s="132" t="s">
        <v>276</v>
      </c>
      <c r="C41" s="133" t="s">
        <v>277</v>
      </c>
      <c r="D41" s="101">
        <v>16500000</v>
      </c>
      <c r="E41" s="101">
        <v>16500000</v>
      </c>
      <c r="F41" s="134">
        <v>33000000</v>
      </c>
      <c r="G41" s="120"/>
      <c r="H41" s="126"/>
    </row>
    <row r="42" spans="1:8" s="121" customFormat="1" ht="30" x14ac:dyDescent="0.35">
      <c r="A42" s="131"/>
      <c r="B42" s="132" t="s">
        <v>278</v>
      </c>
      <c r="C42" s="133" t="s">
        <v>279</v>
      </c>
      <c r="D42" s="101">
        <v>1333348837</v>
      </c>
      <c r="E42" s="101">
        <v>1503804627</v>
      </c>
      <c r="F42" s="134">
        <v>2837153464</v>
      </c>
      <c r="G42" s="120"/>
      <c r="H42" s="126"/>
    </row>
    <row r="43" spans="1:8" s="121" customFormat="1" ht="20" x14ac:dyDescent="0.35">
      <c r="A43" s="131"/>
      <c r="B43" s="132" t="s">
        <v>280</v>
      </c>
      <c r="C43" s="133" t="s">
        <v>281</v>
      </c>
      <c r="D43" s="101">
        <v>1066679075</v>
      </c>
      <c r="E43" s="101">
        <v>1203043701</v>
      </c>
      <c r="F43" s="134">
        <v>2269722776</v>
      </c>
      <c r="G43" s="120"/>
      <c r="H43" s="126"/>
    </row>
    <row r="44" spans="1:8" s="121" customFormat="1" ht="20" x14ac:dyDescent="0.35">
      <c r="A44" s="131"/>
      <c r="B44" s="132" t="s">
        <v>282</v>
      </c>
      <c r="C44" s="133" t="s">
        <v>283</v>
      </c>
      <c r="D44" s="101">
        <v>1375820760</v>
      </c>
      <c r="E44" s="101">
        <v>1391009488</v>
      </c>
      <c r="F44" s="134">
        <v>2766830248</v>
      </c>
      <c r="G44" s="120"/>
      <c r="H44" s="126"/>
    </row>
    <row r="45" spans="1:8" s="121" customFormat="1" ht="20" x14ac:dyDescent="0.35">
      <c r="A45" s="127" t="s">
        <v>18</v>
      </c>
      <c r="B45" s="128" t="s">
        <v>284</v>
      </c>
      <c r="C45" s="129"/>
      <c r="D45" s="99">
        <v>0</v>
      </c>
      <c r="E45" s="99">
        <v>0</v>
      </c>
      <c r="F45" s="130">
        <v>0</v>
      </c>
      <c r="G45" s="120"/>
      <c r="H45" s="126"/>
    </row>
    <row r="46" spans="1:8" s="121" customFormat="1" ht="20" x14ac:dyDescent="0.35">
      <c r="A46" s="127" t="s">
        <v>285</v>
      </c>
      <c r="B46" s="128" t="s">
        <v>286</v>
      </c>
      <c r="C46" s="129"/>
      <c r="D46" s="99">
        <v>0</v>
      </c>
      <c r="E46" s="99">
        <v>0</v>
      </c>
      <c r="F46" s="130">
        <v>0</v>
      </c>
      <c r="G46" s="120"/>
      <c r="H46" s="126"/>
    </row>
    <row r="47" spans="1:8" s="121" customFormat="1" ht="20" x14ac:dyDescent="0.35">
      <c r="A47" s="127" t="s">
        <v>287</v>
      </c>
      <c r="B47" s="128" t="s">
        <v>288</v>
      </c>
      <c r="C47" s="129" t="s">
        <v>289</v>
      </c>
      <c r="D47" s="99">
        <v>73563978</v>
      </c>
      <c r="E47" s="99">
        <v>75945225</v>
      </c>
      <c r="F47" s="130">
        <v>149509203</v>
      </c>
      <c r="G47" s="120"/>
      <c r="H47" s="126"/>
    </row>
    <row r="48" spans="1:8" s="121" customFormat="1" ht="40" x14ac:dyDescent="0.35">
      <c r="A48" s="127" t="s">
        <v>290</v>
      </c>
      <c r="B48" s="128" t="s">
        <v>291</v>
      </c>
      <c r="C48" s="129" t="s">
        <v>292</v>
      </c>
      <c r="D48" s="99">
        <v>29243813</v>
      </c>
      <c r="E48" s="99">
        <v>29219156</v>
      </c>
      <c r="F48" s="130">
        <v>58462969</v>
      </c>
      <c r="G48" s="120"/>
      <c r="H48" s="126"/>
    </row>
    <row r="49" spans="1:8" s="121" customFormat="1" ht="20" x14ac:dyDescent="0.35">
      <c r="A49" s="131"/>
      <c r="B49" s="132" t="s">
        <v>293</v>
      </c>
      <c r="C49" s="133" t="s">
        <v>294</v>
      </c>
      <c r="D49" s="101">
        <v>29243813</v>
      </c>
      <c r="E49" s="101">
        <v>29219156</v>
      </c>
      <c r="F49" s="134">
        <v>58462969</v>
      </c>
      <c r="G49" s="120"/>
      <c r="H49" s="126"/>
    </row>
    <row r="50" spans="1:8" s="121" customFormat="1" ht="20" x14ac:dyDescent="0.35">
      <c r="A50" s="131"/>
      <c r="B50" s="132" t="s">
        <v>295</v>
      </c>
      <c r="C50" s="133" t="s">
        <v>296</v>
      </c>
      <c r="D50" s="101">
        <v>0</v>
      </c>
      <c r="E50" s="101">
        <v>0</v>
      </c>
      <c r="F50" s="134">
        <v>0</v>
      </c>
      <c r="G50" s="120"/>
      <c r="H50" s="126"/>
    </row>
    <row r="51" spans="1:8" s="121" customFormat="1" ht="20" x14ac:dyDescent="0.35">
      <c r="A51" s="131"/>
      <c r="B51" s="132" t="s">
        <v>297</v>
      </c>
      <c r="C51" s="133" t="s">
        <v>298</v>
      </c>
      <c r="D51" s="101">
        <v>0</v>
      </c>
      <c r="E51" s="101">
        <v>0</v>
      </c>
      <c r="F51" s="134">
        <v>0</v>
      </c>
      <c r="G51" s="120"/>
      <c r="H51" s="126"/>
    </row>
    <row r="52" spans="1:8" s="121" customFormat="1" ht="90" x14ac:dyDescent="0.35">
      <c r="A52" s="127" t="s">
        <v>299</v>
      </c>
      <c r="B52" s="128" t="s">
        <v>300</v>
      </c>
      <c r="C52" s="129" t="s">
        <v>301</v>
      </c>
      <c r="D52" s="99">
        <v>62820801</v>
      </c>
      <c r="E52" s="99">
        <v>0</v>
      </c>
      <c r="F52" s="130">
        <v>62820801</v>
      </c>
      <c r="G52" s="120"/>
      <c r="H52" s="126"/>
    </row>
    <row r="53" spans="1:8" s="121" customFormat="1" ht="20" x14ac:dyDescent="0.35">
      <c r="A53" s="131"/>
      <c r="B53" s="132" t="s">
        <v>302</v>
      </c>
      <c r="C53" s="133" t="s">
        <v>303</v>
      </c>
      <c r="D53" s="101">
        <v>37422000</v>
      </c>
      <c r="E53" s="101">
        <v>0</v>
      </c>
      <c r="F53" s="134">
        <v>37422000</v>
      </c>
      <c r="G53" s="120"/>
      <c r="H53" s="126"/>
    </row>
    <row r="54" spans="1:8" s="121" customFormat="1" ht="20" x14ac:dyDescent="0.35">
      <c r="A54" s="131"/>
      <c r="B54" s="132" t="s">
        <v>304</v>
      </c>
      <c r="C54" s="133" t="s">
        <v>305</v>
      </c>
      <c r="D54" s="101">
        <v>0</v>
      </c>
      <c r="E54" s="101">
        <v>0</v>
      </c>
      <c r="F54" s="134">
        <v>0</v>
      </c>
      <c r="G54" s="120"/>
      <c r="H54" s="126"/>
    </row>
    <row r="55" spans="1:8" s="121" customFormat="1" ht="20" x14ac:dyDescent="0.35">
      <c r="A55" s="131"/>
      <c r="B55" s="132" t="s">
        <v>306</v>
      </c>
      <c r="C55" s="133" t="s">
        <v>307</v>
      </c>
      <c r="D55" s="101">
        <v>0</v>
      </c>
      <c r="E55" s="101">
        <v>0</v>
      </c>
      <c r="F55" s="134">
        <v>0</v>
      </c>
      <c r="G55" s="120"/>
      <c r="H55" s="126"/>
    </row>
    <row r="56" spans="1:8" s="121" customFormat="1" ht="20" x14ac:dyDescent="0.35">
      <c r="A56" s="131"/>
      <c r="B56" s="132" t="s">
        <v>308</v>
      </c>
      <c r="C56" s="133" t="s">
        <v>309</v>
      </c>
      <c r="D56" s="101">
        <v>0</v>
      </c>
      <c r="E56" s="101">
        <v>0</v>
      </c>
      <c r="F56" s="134">
        <v>0</v>
      </c>
      <c r="G56" s="120"/>
      <c r="H56" s="126"/>
    </row>
    <row r="57" spans="1:8" s="121" customFormat="1" ht="20" x14ac:dyDescent="0.35">
      <c r="A57" s="131"/>
      <c r="B57" s="132" t="s">
        <v>310</v>
      </c>
      <c r="C57" s="133" t="s">
        <v>311</v>
      </c>
      <c r="D57" s="101">
        <v>25398801</v>
      </c>
      <c r="E57" s="101">
        <v>0</v>
      </c>
      <c r="F57" s="134">
        <v>25398801</v>
      </c>
      <c r="G57" s="120"/>
      <c r="H57" s="126"/>
    </row>
    <row r="58" spans="1:8" s="121" customFormat="1" ht="20" x14ac:dyDescent="0.35">
      <c r="A58" s="127" t="s">
        <v>312</v>
      </c>
      <c r="B58" s="128" t="s">
        <v>313</v>
      </c>
      <c r="C58" s="129" t="s">
        <v>314</v>
      </c>
      <c r="D58" s="99">
        <v>1644059955</v>
      </c>
      <c r="E58" s="99">
        <v>1976207063</v>
      </c>
      <c r="F58" s="130">
        <v>3620267018</v>
      </c>
      <c r="G58" s="120"/>
      <c r="H58" s="126"/>
    </row>
    <row r="59" spans="1:8" s="121" customFormat="1" ht="20" x14ac:dyDescent="0.35">
      <c r="A59" s="131"/>
      <c r="B59" s="132" t="s">
        <v>315</v>
      </c>
      <c r="C59" s="133" t="s">
        <v>316</v>
      </c>
      <c r="D59" s="101">
        <v>1636504122</v>
      </c>
      <c r="E59" s="101">
        <v>1962117429</v>
      </c>
      <c r="F59" s="134">
        <v>3598621551</v>
      </c>
      <c r="G59" s="120"/>
      <c r="H59" s="126"/>
    </row>
    <row r="60" spans="1:8" s="121" customFormat="1" ht="20" x14ac:dyDescent="0.35">
      <c r="A60" s="131"/>
      <c r="B60" s="132" t="s">
        <v>317</v>
      </c>
      <c r="C60" s="133" t="s">
        <v>318</v>
      </c>
      <c r="D60" s="101">
        <v>7555833</v>
      </c>
      <c r="E60" s="101">
        <v>14089634</v>
      </c>
      <c r="F60" s="134">
        <v>21645467</v>
      </c>
      <c r="G60" s="120"/>
      <c r="H60" s="126"/>
    </row>
    <row r="61" spans="1:8" s="121" customFormat="1" ht="20" x14ac:dyDescent="0.35">
      <c r="A61" s="127" t="s">
        <v>319</v>
      </c>
      <c r="B61" s="128" t="s">
        <v>320</v>
      </c>
      <c r="C61" s="129" t="s">
        <v>321</v>
      </c>
      <c r="D61" s="99">
        <v>24426783</v>
      </c>
      <c r="E61" s="99">
        <v>63501825</v>
      </c>
      <c r="F61" s="130">
        <v>87928608</v>
      </c>
      <c r="G61" s="120"/>
      <c r="H61" s="126"/>
    </row>
    <row r="62" spans="1:8" s="121" customFormat="1" ht="20" x14ac:dyDescent="0.35">
      <c r="A62" s="131"/>
      <c r="B62" s="132" t="s">
        <v>322</v>
      </c>
      <c r="C62" s="133" t="s">
        <v>323</v>
      </c>
      <c r="D62" s="101">
        <v>0</v>
      </c>
      <c r="E62" s="101">
        <v>0</v>
      </c>
      <c r="F62" s="134">
        <v>0</v>
      </c>
      <c r="G62" s="120"/>
      <c r="H62" s="126"/>
    </row>
    <row r="63" spans="1:8" s="121" customFormat="1" ht="20" x14ac:dyDescent="0.35">
      <c r="A63" s="131"/>
      <c r="B63" s="132" t="s">
        <v>324</v>
      </c>
      <c r="C63" s="133" t="s">
        <v>325</v>
      </c>
      <c r="D63" s="101">
        <v>0</v>
      </c>
      <c r="E63" s="101">
        <v>30000000</v>
      </c>
      <c r="F63" s="134">
        <v>30000000</v>
      </c>
      <c r="G63" s="120"/>
      <c r="H63" s="126"/>
    </row>
    <row r="64" spans="1:8" s="121" customFormat="1" ht="20" x14ac:dyDescent="0.35">
      <c r="A64" s="131"/>
      <c r="B64" s="132" t="s">
        <v>326</v>
      </c>
      <c r="C64" s="133" t="s">
        <v>327</v>
      </c>
      <c r="D64" s="101">
        <v>0</v>
      </c>
      <c r="E64" s="101">
        <v>0</v>
      </c>
      <c r="F64" s="134">
        <v>0</v>
      </c>
      <c r="G64" s="120"/>
      <c r="H64" s="126"/>
    </row>
    <row r="65" spans="1:8" s="121" customFormat="1" ht="20" x14ac:dyDescent="0.35">
      <c r="A65" s="131"/>
      <c r="B65" s="132" t="s">
        <v>328</v>
      </c>
      <c r="C65" s="133" t="s">
        <v>329</v>
      </c>
      <c r="D65" s="101">
        <v>926783</v>
      </c>
      <c r="E65" s="101">
        <v>1501825</v>
      </c>
      <c r="F65" s="134">
        <v>2428608</v>
      </c>
      <c r="G65" s="120"/>
      <c r="H65" s="126"/>
    </row>
    <row r="66" spans="1:8" s="121" customFormat="1" ht="20" x14ac:dyDescent="0.35">
      <c r="A66" s="131"/>
      <c r="B66" s="132" t="s">
        <v>330</v>
      </c>
      <c r="C66" s="133" t="s">
        <v>331</v>
      </c>
      <c r="D66" s="101">
        <v>0</v>
      </c>
      <c r="E66" s="101">
        <v>0</v>
      </c>
      <c r="F66" s="134">
        <v>0</v>
      </c>
      <c r="G66" s="120"/>
      <c r="H66" s="126"/>
    </row>
    <row r="67" spans="1:8" s="121" customFormat="1" ht="20" x14ac:dyDescent="0.35">
      <c r="A67" s="131"/>
      <c r="B67" s="132" t="s">
        <v>332</v>
      </c>
      <c r="C67" s="133" t="s">
        <v>333</v>
      </c>
      <c r="D67" s="101">
        <v>0</v>
      </c>
      <c r="E67" s="101">
        <v>0</v>
      </c>
      <c r="F67" s="134">
        <v>0</v>
      </c>
      <c r="G67" s="120"/>
      <c r="H67" s="126"/>
    </row>
    <row r="68" spans="1:8" s="121" customFormat="1" ht="20" x14ac:dyDescent="0.35">
      <c r="A68" s="131"/>
      <c r="B68" s="132" t="s">
        <v>334</v>
      </c>
      <c r="C68" s="133" t="s">
        <v>335</v>
      </c>
      <c r="D68" s="101">
        <v>0</v>
      </c>
      <c r="E68" s="101">
        <v>14000000</v>
      </c>
      <c r="F68" s="134">
        <v>14000000</v>
      </c>
      <c r="G68" s="120"/>
      <c r="H68" s="126"/>
    </row>
    <row r="69" spans="1:8" s="121" customFormat="1" ht="40" x14ac:dyDescent="0.35">
      <c r="A69" s="131"/>
      <c r="B69" s="132" t="s">
        <v>336</v>
      </c>
      <c r="C69" s="133" t="s">
        <v>337</v>
      </c>
      <c r="D69" s="101">
        <v>23500000</v>
      </c>
      <c r="E69" s="101">
        <v>18000000</v>
      </c>
      <c r="F69" s="134">
        <v>41500000</v>
      </c>
      <c r="G69" s="120"/>
      <c r="H69" s="126"/>
    </row>
    <row r="70" spans="1:8" s="121" customFormat="1" ht="20" x14ac:dyDescent="0.35">
      <c r="A70" s="122" t="s">
        <v>338</v>
      </c>
      <c r="B70" s="123" t="s">
        <v>339</v>
      </c>
      <c r="C70" s="124" t="s">
        <v>340</v>
      </c>
      <c r="D70" s="97">
        <v>53810186599</v>
      </c>
      <c r="E70" s="97">
        <v>-17648364152</v>
      </c>
      <c r="F70" s="125">
        <v>36161822447</v>
      </c>
      <c r="G70" s="120"/>
      <c r="H70" s="126"/>
    </row>
    <row r="71" spans="1:8" s="121" customFormat="1" ht="20" x14ac:dyDescent="0.35">
      <c r="A71" s="122" t="s">
        <v>341</v>
      </c>
      <c r="B71" s="123" t="s">
        <v>342</v>
      </c>
      <c r="C71" s="124" t="s">
        <v>343</v>
      </c>
      <c r="D71" s="97">
        <v>431831121850</v>
      </c>
      <c r="E71" s="97">
        <v>-693838490200</v>
      </c>
      <c r="F71" s="125">
        <v>-262007368350</v>
      </c>
      <c r="G71" s="120"/>
      <c r="H71" s="126"/>
    </row>
    <row r="72" spans="1:8" s="121" customFormat="1" ht="40" x14ac:dyDescent="0.35">
      <c r="A72" s="127" t="s">
        <v>3</v>
      </c>
      <c r="B72" s="128" t="s">
        <v>344</v>
      </c>
      <c r="C72" s="129" t="s">
        <v>345</v>
      </c>
      <c r="D72" s="99">
        <v>88079023975</v>
      </c>
      <c r="E72" s="99">
        <v>218450183239</v>
      </c>
      <c r="F72" s="130">
        <v>306529207214</v>
      </c>
      <c r="G72" s="120"/>
      <c r="H72" s="126"/>
    </row>
    <row r="73" spans="1:8" s="121" customFormat="1" ht="20" x14ac:dyDescent="0.35">
      <c r="A73" s="131"/>
      <c r="B73" s="132" t="s">
        <v>346</v>
      </c>
      <c r="C73" s="133" t="s">
        <v>347</v>
      </c>
      <c r="D73" s="101">
        <v>40547767996</v>
      </c>
      <c r="E73" s="101">
        <v>123885558561</v>
      </c>
      <c r="F73" s="134">
        <v>164433326557</v>
      </c>
      <c r="G73" s="120"/>
      <c r="H73" s="126"/>
    </row>
    <row r="74" spans="1:8" s="121" customFormat="1" ht="20" x14ac:dyDescent="0.35">
      <c r="A74" s="131"/>
      <c r="B74" s="132" t="s">
        <v>348</v>
      </c>
      <c r="C74" s="133" t="s">
        <v>349</v>
      </c>
      <c r="D74" s="101">
        <v>47531255979</v>
      </c>
      <c r="E74" s="101">
        <v>94564624678</v>
      </c>
      <c r="F74" s="134">
        <v>142095880657</v>
      </c>
      <c r="G74" s="120"/>
      <c r="H74" s="126"/>
    </row>
    <row r="75" spans="1:8" s="121" customFormat="1" ht="33" customHeight="1" x14ac:dyDescent="0.35">
      <c r="A75" s="131"/>
      <c r="B75" s="132" t="s">
        <v>350</v>
      </c>
      <c r="C75" s="133" t="s">
        <v>351</v>
      </c>
      <c r="D75" s="101">
        <v>0</v>
      </c>
      <c r="E75" s="101">
        <v>0</v>
      </c>
      <c r="F75" s="134">
        <v>0</v>
      </c>
      <c r="G75" s="120"/>
      <c r="H75" s="126"/>
    </row>
    <row r="76" spans="1:8" s="121" customFormat="1" ht="20" x14ac:dyDescent="0.35">
      <c r="A76" s="127" t="s">
        <v>8</v>
      </c>
      <c r="B76" s="128" t="s">
        <v>352</v>
      </c>
      <c r="C76" s="129" t="s">
        <v>353</v>
      </c>
      <c r="D76" s="99">
        <v>343752097875</v>
      </c>
      <c r="E76" s="99">
        <v>-912288673439</v>
      </c>
      <c r="F76" s="130">
        <v>-568536575564</v>
      </c>
      <c r="G76" s="120"/>
      <c r="H76" s="126"/>
    </row>
    <row r="77" spans="1:8" s="121" customFormat="1" ht="47.25" customHeight="1" x14ac:dyDescent="0.35">
      <c r="A77" s="122" t="s">
        <v>354</v>
      </c>
      <c r="B77" s="123" t="s">
        <v>355</v>
      </c>
      <c r="C77" s="124" t="s">
        <v>356</v>
      </c>
      <c r="D77" s="97">
        <v>485641308449</v>
      </c>
      <c r="E77" s="97">
        <v>-711486854352</v>
      </c>
      <c r="F77" s="125">
        <v>-225845545903</v>
      </c>
      <c r="G77" s="120"/>
      <c r="H77" s="126"/>
    </row>
    <row r="78" spans="1:8" s="121" customFormat="1" ht="20" x14ac:dyDescent="0.35">
      <c r="A78" s="122" t="s">
        <v>357</v>
      </c>
      <c r="B78" s="123" t="s">
        <v>358</v>
      </c>
      <c r="C78" s="124" t="s">
        <v>359</v>
      </c>
      <c r="D78" s="97">
        <v>11483183778650</v>
      </c>
      <c r="E78" s="97">
        <v>12665923659404</v>
      </c>
      <c r="F78" s="125">
        <v>12665923659404</v>
      </c>
      <c r="G78" s="120"/>
      <c r="H78" s="126"/>
    </row>
    <row r="79" spans="1:8" s="121" customFormat="1" ht="30" x14ac:dyDescent="0.35">
      <c r="A79" s="122" t="s">
        <v>360</v>
      </c>
      <c r="B79" s="123" t="s">
        <v>361</v>
      </c>
      <c r="C79" s="124" t="s">
        <v>362</v>
      </c>
      <c r="D79" s="97">
        <v>-73814688969</v>
      </c>
      <c r="E79" s="97">
        <v>-1182739880754</v>
      </c>
      <c r="F79" s="125">
        <v>-1256554569723</v>
      </c>
      <c r="G79" s="120"/>
      <c r="H79" s="126"/>
    </row>
    <row r="80" spans="1:8" s="121" customFormat="1" ht="20" x14ac:dyDescent="0.35">
      <c r="A80" s="127"/>
      <c r="B80" s="128" t="s">
        <v>363</v>
      </c>
      <c r="C80" s="129" t="s">
        <v>364</v>
      </c>
      <c r="D80" s="99">
        <v>0</v>
      </c>
      <c r="E80" s="99">
        <v>0</v>
      </c>
      <c r="F80" s="130">
        <v>0</v>
      </c>
      <c r="G80" s="120"/>
      <c r="H80" s="126"/>
    </row>
    <row r="81" spans="1:8" s="121" customFormat="1" ht="40" x14ac:dyDescent="0.35">
      <c r="A81" s="127" t="s">
        <v>3</v>
      </c>
      <c r="B81" s="128" t="s">
        <v>365</v>
      </c>
      <c r="C81" s="129" t="s">
        <v>366</v>
      </c>
      <c r="D81" s="99">
        <v>485641308449</v>
      </c>
      <c r="E81" s="99">
        <v>-711486854352</v>
      </c>
      <c r="F81" s="130">
        <v>-225845545903</v>
      </c>
      <c r="G81" s="120"/>
      <c r="H81" s="126"/>
    </row>
    <row r="82" spans="1:8" s="121" customFormat="1" ht="40" x14ac:dyDescent="0.35">
      <c r="A82" s="127" t="s">
        <v>8</v>
      </c>
      <c r="B82" s="128" t="s">
        <v>367</v>
      </c>
      <c r="C82" s="129"/>
      <c r="D82" s="99">
        <v>0</v>
      </c>
      <c r="E82" s="99">
        <v>0</v>
      </c>
      <c r="F82" s="130">
        <v>0</v>
      </c>
      <c r="G82" s="120"/>
      <c r="H82" s="126"/>
    </row>
    <row r="83" spans="1:8" s="121" customFormat="1" ht="40" x14ac:dyDescent="0.35">
      <c r="A83" s="127" t="s">
        <v>13</v>
      </c>
      <c r="B83" s="128" t="s">
        <v>368</v>
      </c>
      <c r="C83" s="129" t="s">
        <v>369</v>
      </c>
      <c r="D83" s="99">
        <v>-559455997418</v>
      </c>
      <c r="E83" s="99">
        <v>-471253026402</v>
      </c>
      <c r="F83" s="130">
        <v>-1030709023820</v>
      </c>
      <c r="G83" s="120"/>
      <c r="H83" s="126"/>
    </row>
    <row r="84" spans="1:8" s="121" customFormat="1" ht="30" x14ac:dyDescent="0.35">
      <c r="A84" s="131"/>
      <c r="B84" s="132" t="s">
        <v>370</v>
      </c>
      <c r="C84" s="133" t="s">
        <v>371</v>
      </c>
      <c r="D84" s="101">
        <v>590420943048</v>
      </c>
      <c r="E84" s="101">
        <v>266440860368</v>
      </c>
      <c r="F84" s="134">
        <v>856861803416</v>
      </c>
      <c r="G84" s="120"/>
      <c r="H84" s="126"/>
    </row>
    <row r="85" spans="1:8" s="121" customFormat="1" ht="30" x14ac:dyDescent="0.35">
      <c r="A85" s="131"/>
      <c r="B85" s="132" t="s">
        <v>372</v>
      </c>
      <c r="C85" s="133" t="s">
        <v>373</v>
      </c>
      <c r="D85" s="101">
        <v>-1149876940466</v>
      </c>
      <c r="E85" s="101">
        <v>-737693886770</v>
      </c>
      <c r="F85" s="134">
        <v>-1887570827236</v>
      </c>
      <c r="G85" s="120"/>
      <c r="H85" s="126"/>
    </row>
    <row r="86" spans="1:8" s="121" customFormat="1" ht="20" x14ac:dyDescent="0.35">
      <c r="A86" s="122" t="s">
        <v>374</v>
      </c>
      <c r="B86" s="123" t="s">
        <v>375</v>
      </c>
      <c r="C86" s="124" t="s">
        <v>376</v>
      </c>
      <c r="D86" s="97">
        <v>11409369089681</v>
      </c>
      <c r="E86" s="97">
        <v>11483183778650</v>
      </c>
      <c r="F86" s="125">
        <v>11409369089681</v>
      </c>
      <c r="G86" s="120"/>
      <c r="H86" s="126"/>
    </row>
    <row r="87" spans="1:8" s="121" customFormat="1" ht="40" x14ac:dyDescent="0.35">
      <c r="A87" s="122" t="s">
        <v>377</v>
      </c>
      <c r="B87" s="123" t="s">
        <v>378</v>
      </c>
      <c r="C87" s="124" t="s">
        <v>379</v>
      </c>
      <c r="D87" s="97"/>
      <c r="E87" s="97"/>
      <c r="F87" s="125"/>
      <c r="G87" s="120"/>
      <c r="H87" s="126"/>
    </row>
    <row r="88" spans="1:8" s="121" customFormat="1" ht="30" x14ac:dyDescent="0.35">
      <c r="A88" s="135"/>
      <c r="B88" s="136" t="s">
        <v>380</v>
      </c>
      <c r="C88" s="137" t="s">
        <v>381</v>
      </c>
      <c r="D88" s="138"/>
      <c r="E88" s="138"/>
      <c r="F88" s="139"/>
      <c r="G88" s="120"/>
      <c r="H88" s="126"/>
    </row>
    <row r="89" spans="1:8" ht="9" customHeight="1" x14ac:dyDescent="0.2">
      <c r="A89" s="86"/>
      <c r="B89" s="86"/>
      <c r="C89" s="114"/>
      <c r="D89" s="86"/>
      <c r="E89" s="86"/>
      <c r="F89" s="86"/>
    </row>
    <row r="90" spans="1:8" ht="12.75" customHeight="1" x14ac:dyDescent="0.2">
      <c r="A90" s="310" t="s">
        <v>223</v>
      </c>
      <c r="B90" s="310"/>
      <c r="C90" s="310"/>
      <c r="D90" s="310" t="s">
        <v>224</v>
      </c>
      <c r="E90" s="310"/>
      <c r="F90" s="310"/>
    </row>
    <row r="91" spans="1:8" ht="12.75" customHeight="1" x14ac:dyDescent="0.2">
      <c r="A91" s="308" t="s">
        <v>225</v>
      </c>
      <c r="B91" s="308"/>
      <c r="C91" s="308"/>
      <c r="D91" s="309" t="s">
        <v>226</v>
      </c>
      <c r="E91" s="309"/>
      <c r="F91" s="309"/>
    </row>
    <row r="92" spans="1:8" ht="12.75" customHeight="1" x14ac:dyDescent="0.2">
      <c r="A92" s="86"/>
      <c r="B92" s="86"/>
      <c r="C92" s="86"/>
      <c r="D92" s="86"/>
      <c r="E92" s="86"/>
      <c r="F92" s="86"/>
    </row>
    <row r="93" spans="1:8" ht="12.75" customHeight="1" x14ac:dyDescent="0.2">
      <c r="A93" s="86"/>
      <c r="B93" s="86"/>
      <c r="C93" s="86"/>
      <c r="D93" s="86"/>
      <c r="E93" s="86"/>
      <c r="F93" s="86"/>
    </row>
    <row r="94" spans="1:8" ht="12.75" customHeight="1" x14ac:dyDescent="0.2">
      <c r="A94" s="86"/>
      <c r="B94" s="86"/>
      <c r="C94" s="86"/>
      <c r="D94" s="86"/>
      <c r="E94" s="86"/>
      <c r="F94" s="86"/>
    </row>
    <row r="95" spans="1:8" ht="12.75" customHeight="1" x14ac:dyDescent="0.2">
      <c r="A95" s="86"/>
      <c r="B95" s="86"/>
      <c r="C95" s="86"/>
      <c r="D95" s="86"/>
      <c r="E95" s="86"/>
      <c r="F95" s="86"/>
    </row>
    <row r="96" spans="1:8" ht="12.75" customHeight="1" x14ac:dyDescent="0.2">
      <c r="A96" s="86"/>
      <c r="B96" s="86"/>
      <c r="C96" s="86"/>
      <c r="D96" s="86"/>
      <c r="E96" s="86"/>
      <c r="F96" s="86"/>
    </row>
    <row r="97" spans="1:6" ht="12.75" customHeight="1" x14ac:dyDescent="0.2">
      <c r="A97" s="310" t="s">
        <v>227</v>
      </c>
      <c r="B97" s="310"/>
      <c r="C97" s="310"/>
      <c r="D97" s="310" t="s">
        <v>228</v>
      </c>
      <c r="E97" s="310"/>
      <c r="F97" s="310"/>
    </row>
    <row r="98" spans="1:6" ht="12.75" customHeight="1" x14ac:dyDescent="0.2">
      <c r="A98" s="307" t="s">
        <v>1108</v>
      </c>
      <c r="B98" s="307"/>
      <c r="C98" s="307"/>
      <c r="D98" s="307" t="s">
        <v>230</v>
      </c>
      <c r="E98" s="307"/>
      <c r="F98" s="307"/>
    </row>
    <row r="99" spans="1:6" ht="12.75" customHeight="1" x14ac:dyDescent="0.2">
      <c r="A99" s="307" t="s">
        <v>1036</v>
      </c>
      <c r="B99" s="307"/>
      <c r="C99" s="307"/>
      <c r="D99" s="307" t="s">
        <v>229</v>
      </c>
      <c r="E99" s="307"/>
      <c r="F99" s="307"/>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39370078740157483" right="0.39370078740157483" top="0.39370078740157483" bottom="0.39370078740157483" header="0.31496062992125984" footer="0.31496062992125984"/>
  <pageSetup paperSize="9" scale="8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9"/>
  <sheetViews>
    <sheetView showGridLines="0" showZeros="0" showOutlineSymbols="0" view="pageBreakPreview" topLeftCell="A64" zoomScaleNormal="100" zoomScaleSheetLayoutView="100" workbookViewId="0">
      <selection activeCell="F73" sqref="F73:G73"/>
    </sheetView>
  </sheetViews>
  <sheetFormatPr defaultColWidth="9.1796875" defaultRowHeight="10" x14ac:dyDescent="0.35"/>
  <cols>
    <col min="1" max="1" width="4.54296875" style="121" customWidth="1"/>
    <col min="2" max="2" width="43.54296875" style="121" customWidth="1"/>
    <col min="3" max="3" width="9.1796875" style="121"/>
    <col min="4" max="4" width="12.453125" style="121" bestFit="1" customWidth="1"/>
    <col min="5" max="5" width="12.26953125" style="121" customWidth="1"/>
    <col min="6" max="6" width="17.1796875" style="121" customWidth="1"/>
    <col min="7" max="7" width="10.81640625" style="121" customWidth="1"/>
    <col min="8" max="8" width="9.1796875" style="121"/>
    <col min="9" max="9" width="16.54296875" style="121" bestFit="1" customWidth="1"/>
    <col min="10" max="16384" width="9.1796875" style="121"/>
  </cols>
  <sheetData>
    <row r="1" spans="1:7" ht="30.75" customHeight="1" x14ac:dyDescent="0.35">
      <c r="A1" s="140"/>
      <c r="B1" s="140"/>
      <c r="C1" s="84"/>
      <c r="D1" s="310" t="s">
        <v>0</v>
      </c>
      <c r="E1" s="310"/>
      <c r="F1" s="310"/>
      <c r="G1" s="310"/>
    </row>
    <row r="2" spans="1:7" ht="27.75" customHeight="1" x14ac:dyDescent="0.35">
      <c r="A2" s="317" t="s">
        <v>1</v>
      </c>
      <c r="B2" s="317"/>
      <c r="C2" s="317"/>
      <c r="D2" s="317"/>
      <c r="E2" s="317"/>
      <c r="F2" s="317"/>
      <c r="G2" s="317"/>
    </row>
    <row r="3" spans="1:7" ht="6" customHeight="1" x14ac:dyDescent="0.35">
      <c r="A3" s="140"/>
      <c r="B3" s="140"/>
      <c r="C3" s="140"/>
      <c r="D3" s="140"/>
      <c r="E3" s="140"/>
      <c r="F3" s="140"/>
      <c r="G3" s="140"/>
    </row>
    <row r="4" spans="1:7" ht="30" customHeight="1" x14ac:dyDescent="0.35">
      <c r="A4" s="318" t="s">
        <v>231</v>
      </c>
      <c r="B4" s="318"/>
      <c r="C4" s="318"/>
      <c r="D4" s="318"/>
      <c r="E4" s="318"/>
      <c r="F4" s="318"/>
      <c r="G4" s="318"/>
    </row>
    <row r="5" spans="1:7" ht="12.75" customHeight="1" x14ac:dyDescent="0.35">
      <c r="A5" s="309" t="s">
        <v>382</v>
      </c>
      <c r="B5" s="309"/>
      <c r="C5" s="309"/>
      <c r="D5" s="309"/>
      <c r="E5" s="309"/>
      <c r="F5" s="309"/>
      <c r="G5" s="309"/>
    </row>
    <row r="6" spans="1:7" ht="12.75" customHeight="1" x14ac:dyDescent="0.35">
      <c r="A6" s="119" t="s">
        <v>3</v>
      </c>
      <c r="B6" s="141" t="s">
        <v>232</v>
      </c>
      <c r="C6" s="321" t="s">
        <v>5</v>
      </c>
      <c r="D6" s="321"/>
      <c r="E6" s="321"/>
      <c r="F6" s="321"/>
      <c r="G6" s="321"/>
    </row>
    <row r="7" spans="1:7" ht="12.75" customHeight="1" x14ac:dyDescent="0.35">
      <c r="A7" s="140"/>
      <c r="B7" s="140" t="s">
        <v>6</v>
      </c>
      <c r="C7" s="322" t="s">
        <v>7</v>
      </c>
      <c r="D7" s="322"/>
      <c r="E7" s="322"/>
      <c r="F7" s="322"/>
      <c r="G7" s="322"/>
    </row>
    <row r="8" spans="1:7" ht="12.75" customHeight="1" x14ac:dyDescent="0.35">
      <c r="A8" s="119" t="s">
        <v>8</v>
      </c>
      <c r="B8" s="141" t="s">
        <v>9</v>
      </c>
      <c r="C8" s="321" t="s">
        <v>10</v>
      </c>
      <c r="D8" s="321"/>
      <c r="E8" s="321"/>
      <c r="F8" s="321"/>
      <c r="G8" s="321"/>
    </row>
    <row r="9" spans="1:7" ht="12.75" customHeight="1" x14ac:dyDescent="0.35">
      <c r="A9" s="140"/>
      <c r="B9" s="140" t="s">
        <v>11</v>
      </c>
      <c r="C9" s="322" t="s">
        <v>12</v>
      </c>
      <c r="D9" s="322"/>
      <c r="E9" s="322"/>
      <c r="F9" s="322"/>
      <c r="G9" s="322"/>
    </row>
    <row r="10" spans="1:7" ht="12.75" customHeight="1" x14ac:dyDescent="0.35">
      <c r="A10" s="119" t="s">
        <v>13</v>
      </c>
      <c r="B10" s="141" t="s">
        <v>383</v>
      </c>
      <c r="C10" s="321" t="s">
        <v>15</v>
      </c>
      <c r="D10" s="321"/>
      <c r="E10" s="321"/>
      <c r="F10" s="321"/>
      <c r="G10" s="321"/>
    </row>
    <row r="11" spans="1:7" ht="12.75" customHeight="1" x14ac:dyDescent="0.35">
      <c r="A11" s="140"/>
      <c r="B11" s="140" t="s">
        <v>16</v>
      </c>
      <c r="C11" s="322" t="s">
        <v>17</v>
      </c>
      <c r="D11" s="322"/>
      <c r="E11" s="322"/>
      <c r="F11" s="322"/>
      <c r="G11" s="322"/>
    </row>
    <row r="12" spans="1:7" ht="12.75" customHeight="1" x14ac:dyDescent="0.35">
      <c r="A12" s="119" t="s">
        <v>18</v>
      </c>
      <c r="B12" s="141" t="s">
        <v>19</v>
      </c>
      <c r="C12" s="315">
        <v>45853</v>
      </c>
      <c r="D12" s="315"/>
      <c r="E12" s="315"/>
      <c r="F12" s="315"/>
      <c r="G12" s="315"/>
    </row>
    <row r="13" spans="1:7" ht="12.75" customHeight="1" x14ac:dyDescent="0.35">
      <c r="A13" s="140"/>
      <c r="B13" s="140" t="s">
        <v>20</v>
      </c>
      <c r="C13" s="311">
        <v>45853</v>
      </c>
      <c r="D13" s="311"/>
      <c r="E13" s="311"/>
      <c r="F13" s="311"/>
      <c r="G13" s="311"/>
    </row>
    <row r="14" spans="1:7" ht="9" customHeight="1" x14ac:dyDescent="0.35">
      <c r="A14" s="140"/>
      <c r="B14" s="140"/>
      <c r="C14" s="143"/>
      <c r="D14" s="140"/>
      <c r="E14" s="140"/>
      <c r="F14" s="140"/>
      <c r="G14" s="140"/>
    </row>
    <row r="15" spans="1:7" ht="12.75" customHeight="1" x14ac:dyDescent="0.35">
      <c r="A15" s="323" t="s">
        <v>384</v>
      </c>
      <c r="B15" s="323"/>
      <c r="C15" s="323"/>
      <c r="D15" s="323"/>
      <c r="E15" s="323"/>
      <c r="F15" s="323"/>
      <c r="G15" s="323"/>
    </row>
    <row r="16" spans="1:7" ht="12.75" customHeight="1" x14ac:dyDescent="0.35">
      <c r="A16" s="321" t="s">
        <v>385</v>
      </c>
      <c r="B16" s="321"/>
      <c r="C16" s="321"/>
      <c r="D16" s="321"/>
      <c r="E16" s="321"/>
      <c r="F16" s="321"/>
      <c r="G16" s="321"/>
    </row>
    <row r="17" spans="1:15" ht="12.75" customHeight="1" x14ac:dyDescent="0.35">
      <c r="A17" s="144"/>
      <c r="B17" s="144"/>
      <c r="C17" s="145"/>
      <c r="D17" s="144"/>
      <c r="E17" s="144"/>
      <c r="F17" s="324" t="s">
        <v>23</v>
      </c>
      <c r="G17" s="324"/>
    </row>
    <row r="18" spans="1:15" ht="79.5" customHeight="1" x14ac:dyDescent="0.35">
      <c r="A18" s="91" t="s">
        <v>386</v>
      </c>
      <c r="B18" s="92" t="s">
        <v>387</v>
      </c>
      <c r="C18" s="92" t="s">
        <v>26</v>
      </c>
      <c r="D18" s="92" t="s">
        <v>388</v>
      </c>
      <c r="E18" s="92" t="s">
        <v>389</v>
      </c>
      <c r="F18" s="92" t="s">
        <v>390</v>
      </c>
      <c r="G18" s="93" t="s">
        <v>391</v>
      </c>
    </row>
    <row r="19" spans="1:15" ht="20" x14ac:dyDescent="0.35">
      <c r="A19" s="94" t="s">
        <v>29</v>
      </c>
      <c r="B19" s="95" t="s">
        <v>392</v>
      </c>
      <c r="C19" s="96"/>
      <c r="D19" s="146">
        <v>0</v>
      </c>
      <c r="E19" s="147">
        <v>0</v>
      </c>
      <c r="F19" s="147">
        <v>0</v>
      </c>
      <c r="G19" s="98">
        <v>0</v>
      </c>
    </row>
    <row r="20" spans="1:15" ht="35.25" customHeight="1" x14ac:dyDescent="0.35">
      <c r="A20" s="94" t="s">
        <v>121</v>
      </c>
      <c r="B20" s="95" t="s">
        <v>393</v>
      </c>
      <c r="C20" s="96" t="s">
        <v>394</v>
      </c>
      <c r="D20" s="146">
        <v>0</v>
      </c>
      <c r="E20" s="147">
        <v>0</v>
      </c>
      <c r="F20" s="147">
        <v>0</v>
      </c>
      <c r="G20" s="98">
        <v>0</v>
      </c>
    </row>
    <row r="21" spans="1:15" ht="15" customHeight="1" x14ac:dyDescent="0.35">
      <c r="A21" s="94" t="s">
        <v>3</v>
      </c>
      <c r="B21" s="95" t="s">
        <v>395</v>
      </c>
      <c r="C21" s="96" t="s">
        <v>396</v>
      </c>
      <c r="D21" s="99">
        <v>31105136</v>
      </c>
      <c r="E21" s="99">
        <v>21300</v>
      </c>
      <c r="F21" s="99">
        <v>662539396800</v>
      </c>
      <c r="G21" s="98">
        <v>5.8000000000000003E-2</v>
      </c>
      <c r="L21" s="126"/>
      <c r="M21" s="126"/>
      <c r="N21" s="126"/>
      <c r="O21" s="126"/>
    </row>
    <row r="22" spans="1:15" ht="15" customHeight="1" x14ac:dyDescent="0.35">
      <c r="A22" s="94" t="s">
        <v>8</v>
      </c>
      <c r="B22" s="95" t="s">
        <v>397</v>
      </c>
      <c r="C22" s="96" t="s">
        <v>398</v>
      </c>
      <c r="D22" s="99">
        <v>1145200</v>
      </c>
      <c r="E22" s="99">
        <v>140300</v>
      </c>
      <c r="F22" s="99">
        <v>160671560000</v>
      </c>
      <c r="G22" s="98">
        <v>1.41E-2</v>
      </c>
      <c r="L22" s="126"/>
      <c r="M22" s="126"/>
      <c r="N22" s="126"/>
      <c r="O22" s="126"/>
    </row>
    <row r="23" spans="1:15" ht="15" customHeight="1" x14ac:dyDescent="0.35">
      <c r="A23" s="94" t="s">
        <v>13</v>
      </c>
      <c r="B23" s="95" t="s">
        <v>399</v>
      </c>
      <c r="C23" s="96" t="s">
        <v>400</v>
      </c>
      <c r="D23" s="99">
        <v>1009700</v>
      </c>
      <c r="E23" s="99">
        <v>85500</v>
      </c>
      <c r="F23" s="99">
        <v>86329350000</v>
      </c>
      <c r="G23" s="98">
        <v>7.6E-3</v>
      </c>
      <c r="L23" s="126"/>
      <c r="M23" s="126"/>
      <c r="N23" s="126"/>
      <c r="O23" s="126"/>
    </row>
    <row r="24" spans="1:15" ht="15" customHeight="1" x14ac:dyDescent="0.35">
      <c r="A24" s="94" t="s">
        <v>18</v>
      </c>
      <c r="B24" s="95" t="s">
        <v>401</v>
      </c>
      <c r="C24" s="96" t="s">
        <v>402</v>
      </c>
      <c r="D24" s="99">
        <v>5584536</v>
      </c>
      <c r="E24" s="99">
        <v>41900</v>
      </c>
      <c r="F24" s="99">
        <v>233992058400</v>
      </c>
      <c r="G24" s="98">
        <v>2.0500000000000001E-2</v>
      </c>
      <c r="L24" s="126"/>
      <c r="M24" s="126"/>
      <c r="N24" s="126"/>
      <c r="O24" s="126"/>
    </row>
    <row r="25" spans="1:15" ht="15" customHeight="1" x14ac:dyDescent="0.35">
      <c r="A25" s="94" t="s">
        <v>285</v>
      </c>
      <c r="B25" s="95" t="s">
        <v>403</v>
      </c>
      <c r="C25" s="96" t="s">
        <v>404</v>
      </c>
      <c r="D25" s="99">
        <v>13438149</v>
      </c>
      <c r="E25" s="99">
        <v>118200</v>
      </c>
      <c r="F25" s="99">
        <v>1588389211800</v>
      </c>
      <c r="G25" s="98">
        <v>0.13900000000000001</v>
      </c>
      <c r="L25" s="126"/>
      <c r="M25" s="126"/>
      <c r="N25" s="126"/>
      <c r="O25" s="126"/>
    </row>
    <row r="26" spans="1:15" ht="15" customHeight="1" x14ac:dyDescent="0.35">
      <c r="A26" s="94" t="s">
        <v>287</v>
      </c>
      <c r="B26" s="95" t="s">
        <v>405</v>
      </c>
      <c r="C26" s="96" t="s">
        <v>406</v>
      </c>
      <c r="D26" s="99">
        <v>15254866</v>
      </c>
      <c r="E26" s="99">
        <v>57900</v>
      </c>
      <c r="F26" s="99">
        <v>883256741400</v>
      </c>
      <c r="G26" s="98">
        <v>7.7299999999999994E-2</v>
      </c>
      <c r="L26" s="126"/>
      <c r="M26" s="126"/>
      <c r="N26" s="126"/>
      <c r="O26" s="126"/>
    </row>
    <row r="27" spans="1:15" ht="15" customHeight="1" x14ac:dyDescent="0.35">
      <c r="A27" s="94" t="s">
        <v>290</v>
      </c>
      <c r="B27" s="95" t="s">
        <v>407</v>
      </c>
      <c r="C27" s="96" t="s">
        <v>408</v>
      </c>
      <c r="D27" s="99">
        <v>17726400</v>
      </c>
      <c r="E27" s="99">
        <v>21800</v>
      </c>
      <c r="F27" s="99">
        <v>386435520000</v>
      </c>
      <c r="G27" s="98">
        <v>3.3799999999999997E-2</v>
      </c>
      <c r="L27" s="126"/>
      <c r="M27" s="126"/>
      <c r="N27" s="126"/>
      <c r="O27" s="126"/>
    </row>
    <row r="28" spans="1:15" ht="15" customHeight="1" x14ac:dyDescent="0.35">
      <c r="A28" s="94" t="s">
        <v>299</v>
      </c>
      <c r="B28" s="95" t="s">
        <v>409</v>
      </c>
      <c r="C28" s="96" t="s">
        <v>410</v>
      </c>
      <c r="D28" s="99">
        <v>12957051</v>
      </c>
      <c r="E28" s="99">
        <v>29400</v>
      </c>
      <c r="F28" s="99">
        <v>380937299400</v>
      </c>
      <c r="G28" s="98">
        <v>3.3300000000000003E-2</v>
      </c>
      <c r="L28" s="126"/>
      <c r="M28" s="126"/>
      <c r="N28" s="126"/>
      <c r="O28" s="126"/>
    </row>
    <row r="29" spans="1:15" ht="15" customHeight="1" x14ac:dyDescent="0.35">
      <c r="A29" s="94" t="s">
        <v>312</v>
      </c>
      <c r="B29" s="95" t="s">
        <v>411</v>
      </c>
      <c r="C29" s="96" t="s">
        <v>412</v>
      </c>
      <c r="D29" s="99">
        <v>30103285</v>
      </c>
      <c r="E29" s="99">
        <v>25800</v>
      </c>
      <c r="F29" s="99">
        <v>776664753000</v>
      </c>
      <c r="G29" s="98">
        <v>6.8000000000000005E-2</v>
      </c>
      <c r="L29" s="126"/>
      <c r="M29" s="126"/>
      <c r="N29" s="126"/>
      <c r="O29" s="126"/>
    </row>
    <row r="30" spans="1:15" ht="15" customHeight="1" x14ac:dyDescent="0.35">
      <c r="A30" s="94" t="s">
        <v>319</v>
      </c>
      <c r="B30" s="95" t="s">
        <v>413</v>
      </c>
      <c r="C30" s="96" t="s">
        <v>414</v>
      </c>
      <c r="D30" s="99">
        <v>20857233</v>
      </c>
      <c r="E30" s="99">
        <v>12000</v>
      </c>
      <c r="F30" s="99">
        <v>250286796000</v>
      </c>
      <c r="G30" s="98">
        <v>2.1899999999999999E-2</v>
      </c>
      <c r="L30" s="126"/>
      <c r="M30" s="126"/>
      <c r="N30" s="126"/>
      <c r="O30" s="126"/>
    </row>
    <row r="31" spans="1:15" ht="15" customHeight="1" x14ac:dyDescent="0.35">
      <c r="A31" s="94" t="s">
        <v>415</v>
      </c>
      <c r="B31" s="95" t="s">
        <v>416</v>
      </c>
      <c r="C31" s="96" t="s">
        <v>417</v>
      </c>
      <c r="D31" s="99">
        <v>26771200</v>
      </c>
      <c r="E31" s="99">
        <v>65500</v>
      </c>
      <c r="F31" s="99">
        <v>1753513600000</v>
      </c>
      <c r="G31" s="98">
        <v>0.1535</v>
      </c>
      <c r="L31" s="126"/>
      <c r="M31" s="126"/>
      <c r="N31" s="126"/>
      <c r="O31" s="126"/>
    </row>
    <row r="32" spans="1:15" ht="15" customHeight="1" x14ac:dyDescent="0.35">
      <c r="A32" s="94" t="s">
        <v>418</v>
      </c>
      <c r="B32" s="95" t="s">
        <v>419</v>
      </c>
      <c r="C32" s="96" t="s">
        <v>420</v>
      </c>
      <c r="D32" s="99">
        <v>12326488</v>
      </c>
      <c r="E32" s="99">
        <v>39100</v>
      </c>
      <c r="F32" s="99">
        <v>481965680800</v>
      </c>
      <c r="G32" s="98">
        <v>4.2200000000000001E-2</v>
      </c>
      <c r="L32" s="126"/>
      <c r="M32" s="126"/>
      <c r="N32" s="126"/>
      <c r="O32" s="126"/>
    </row>
    <row r="33" spans="1:15" ht="15" customHeight="1" x14ac:dyDescent="0.35">
      <c r="A33" s="94" t="s">
        <v>421</v>
      </c>
      <c r="B33" s="95" t="s">
        <v>422</v>
      </c>
      <c r="C33" s="96" t="s">
        <v>423</v>
      </c>
      <c r="D33" s="99">
        <v>9891980</v>
      </c>
      <c r="E33" s="99">
        <v>11700</v>
      </c>
      <c r="F33" s="99">
        <v>115736166000</v>
      </c>
      <c r="G33" s="98">
        <v>1.01E-2</v>
      </c>
      <c r="L33" s="126"/>
      <c r="M33" s="126"/>
      <c r="N33" s="126"/>
      <c r="O33" s="126"/>
    </row>
    <row r="34" spans="1:15" ht="15" customHeight="1" x14ac:dyDescent="0.35">
      <c r="A34" s="94" t="s">
        <v>424</v>
      </c>
      <c r="B34" s="95" t="s">
        <v>425</v>
      </c>
      <c r="C34" s="96" t="s">
        <v>426</v>
      </c>
      <c r="D34" s="99">
        <v>11546504</v>
      </c>
      <c r="E34" s="99">
        <v>83100</v>
      </c>
      <c r="F34" s="99">
        <v>959514482400</v>
      </c>
      <c r="G34" s="98">
        <v>8.4000000000000005E-2</v>
      </c>
      <c r="L34" s="126"/>
      <c r="M34" s="126"/>
      <c r="N34" s="126"/>
      <c r="O34" s="126"/>
    </row>
    <row r="35" spans="1:15" ht="15" customHeight="1" x14ac:dyDescent="0.35">
      <c r="A35" s="94" t="s">
        <v>427</v>
      </c>
      <c r="B35" s="95" t="s">
        <v>428</v>
      </c>
      <c r="C35" s="96" t="s">
        <v>429</v>
      </c>
      <c r="D35" s="99">
        <v>8100066</v>
      </c>
      <c r="E35" s="99">
        <v>68100</v>
      </c>
      <c r="F35" s="99">
        <v>551614494600</v>
      </c>
      <c r="G35" s="98">
        <v>4.8300000000000003E-2</v>
      </c>
      <c r="L35" s="126"/>
      <c r="M35" s="126"/>
      <c r="N35" s="126"/>
      <c r="O35" s="126"/>
    </row>
    <row r="36" spans="1:15" ht="15" customHeight="1" x14ac:dyDescent="0.35">
      <c r="A36" s="94" t="s">
        <v>430</v>
      </c>
      <c r="B36" s="95" t="s">
        <v>431</v>
      </c>
      <c r="C36" s="96" t="s">
        <v>432</v>
      </c>
      <c r="D36" s="99">
        <v>41127300</v>
      </c>
      <c r="E36" s="99">
        <v>34200</v>
      </c>
      <c r="F36" s="99">
        <v>1406553660000</v>
      </c>
      <c r="G36" s="98">
        <v>0.1231</v>
      </c>
      <c r="L36" s="126"/>
      <c r="M36" s="126"/>
      <c r="N36" s="126"/>
      <c r="O36" s="126"/>
    </row>
    <row r="37" spans="1:15" ht="15" customHeight="1" x14ac:dyDescent="0.35">
      <c r="A37" s="94" t="s">
        <v>433</v>
      </c>
      <c r="B37" s="95" t="s">
        <v>434</v>
      </c>
      <c r="C37" s="96" t="s">
        <v>435</v>
      </c>
      <c r="D37" s="99">
        <v>11975348</v>
      </c>
      <c r="E37" s="99">
        <v>13450</v>
      </c>
      <c r="F37" s="99">
        <v>161068430600</v>
      </c>
      <c r="G37" s="98">
        <v>1.41E-2</v>
      </c>
      <c r="L37" s="126"/>
      <c r="M37" s="126"/>
      <c r="N37" s="126"/>
      <c r="O37" s="126"/>
    </row>
    <row r="38" spans="1:15" ht="15" customHeight="1" x14ac:dyDescent="0.35">
      <c r="A38" s="94" t="s">
        <v>436</v>
      </c>
      <c r="B38" s="95" t="s">
        <v>437</v>
      </c>
      <c r="C38" s="96" t="s">
        <v>438</v>
      </c>
      <c r="D38" s="99">
        <v>2538883</v>
      </c>
      <c r="E38" s="99">
        <v>18300</v>
      </c>
      <c r="F38" s="99">
        <v>46461558900</v>
      </c>
      <c r="G38" s="98">
        <v>4.1000000000000003E-3</v>
      </c>
      <c r="L38" s="126"/>
      <c r="M38" s="126"/>
      <c r="N38" s="126"/>
      <c r="O38" s="126"/>
    </row>
    <row r="39" spans="1:15" ht="15" customHeight="1" x14ac:dyDescent="0.35">
      <c r="A39" s="94" t="s">
        <v>439</v>
      </c>
      <c r="B39" s="95" t="s">
        <v>440</v>
      </c>
      <c r="C39" s="96" t="s">
        <v>441</v>
      </c>
      <c r="D39" s="99">
        <v>26722916</v>
      </c>
      <c r="E39" s="99">
        <v>18500</v>
      </c>
      <c r="F39" s="99">
        <v>494373946000</v>
      </c>
      <c r="G39" s="98">
        <v>4.3299999999999998E-2</v>
      </c>
      <c r="L39" s="126"/>
      <c r="M39" s="126"/>
      <c r="N39" s="126"/>
      <c r="O39" s="126"/>
    </row>
    <row r="40" spans="1:15" x14ac:dyDescent="0.35">
      <c r="A40" s="94"/>
      <c r="B40" s="95" t="s">
        <v>442</v>
      </c>
      <c r="C40" s="96" t="s">
        <v>443</v>
      </c>
      <c r="D40" s="99"/>
      <c r="E40" s="99"/>
      <c r="F40" s="99">
        <v>11380304706100</v>
      </c>
      <c r="G40" s="98">
        <v>0.99609999999999999</v>
      </c>
      <c r="L40" s="126"/>
      <c r="M40" s="126"/>
      <c r="N40" s="126"/>
      <c r="O40" s="126"/>
    </row>
    <row r="41" spans="1:15" ht="30" x14ac:dyDescent="0.35">
      <c r="A41" s="94" t="s">
        <v>338</v>
      </c>
      <c r="B41" s="95" t="s">
        <v>444</v>
      </c>
      <c r="C41" s="96" t="s">
        <v>445</v>
      </c>
      <c r="D41" s="99"/>
      <c r="E41" s="99"/>
      <c r="F41" s="99">
        <v>0</v>
      </c>
      <c r="G41" s="98">
        <v>0</v>
      </c>
      <c r="L41" s="126"/>
      <c r="M41" s="126"/>
      <c r="N41" s="126"/>
      <c r="O41" s="126"/>
    </row>
    <row r="42" spans="1:15" ht="20" x14ac:dyDescent="0.35">
      <c r="A42" s="94"/>
      <c r="B42" s="95" t="s">
        <v>446</v>
      </c>
      <c r="C42" s="96" t="s">
        <v>447</v>
      </c>
      <c r="D42" s="99"/>
      <c r="E42" s="99"/>
      <c r="F42" s="99">
        <v>0</v>
      </c>
      <c r="G42" s="148">
        <v>0</v>
      </c>
      <c r="L42" s="126"/>
      <c r="M42" s="126"/>
      <c r="N42" s="126"/>
      <c r="O42" s="126"/>
    </row>
    <row r="43" spans="1:15" ht="20" x14ac:dyDescent="0.35">
      <c r="A43" s="94"/>
      <c r="B43" s="95" t="s">
        <v>448</v>
      </c>
      <c r="C43" s="96" t="s">
        <v>449</v>
      </c>
      <c r="D43" s="99"/>
      <c r="E43" s="99"/>
      <c r="F43" s="99">
        <v>11380304706100</v>
      </c>
      <c r="G43" s="98">
        <v>0.99609999999999999</v>
      </c>
      <c r="L43" s="126"/>
      <c r="M43" s="126"/>
      <c r="N43" s="126"/>
      <c r="O43" s="126"/>
    </row>
    <row r="44" spans="1:15" ht="20" x14ac:dyDescent="0.35">
      <c r="A44" s="94" t="s">
        <v>341</v>
      </c>
      <c r="B44" s="95" t="s">
        <v>450</v>
      </c>
      <c r="C44" s="96" t="s">
        <v>451</v>
      </c>
      <c r="D44" s="99"/>
      <c r="E44" s="99"/>
      <c r="F44" s="99">
        <v>0</v>
      </c>
      <c r="G44" s="98">
        <v>0</v>
      </c>
      <c r="L44" s="126"/>
      <c r="M44" s="126"/>
      <c r="N44" s="126"/>
      <c r="O44" s="126"/>
    </row>
    <row r="45" spans="1:15" x14ac:dyDescent="0.35">
      <c r="A45" s="94"/>
      <c r="B45" s="95" t="s">
        <v>442</v>
      </c>
      <c r="C45" s="96" t="s">
        <v>452</v>
      </c>
      <c r="D45" s="99"/>
      <c r="E45" s="99"/>
      <c r="F45" s="149">
        <v>0</v>
      </c>
      <c r="G45" s="148">
        <v>0</v>
      </c>
      <c r="L45" s="126"/>
      <c r="M45" s="126"/>
      <c r="N45" s="126"/>
      <c r="O45" s="126"/>
    </row>
    <row r="46" spans="1:15" ht="20" x14ac:dyDescent="0.35">
      <c r="A46" s="94" t="s">
        <v>354</v>
      </c>
      <c r="B46" s="95" t="s">
        <v>453</v>
      </c>
      <c r="C46" s="96" t="s">
        <v>454</v>
      </c>
      <c r="D46" s="99"/>
      <c r="E46" s="99"/>
      <c r="F46" s="149">
        <v>0</v>
      </c>
      <c r="G46" s="148">
        <v>0</v>
      </c>
      <c r="L46" s="126"/>
      <c r="M46" s="126"/>
      <c r="N46" s="126"/>
      <c r="O46" s="126"/>
    </row>
    <row r="47" spans="1:15" ht="20" x14ac:dyDescent="0.35">
      <c r="A47" s="94" t="s">
        <v>3</v>
      </c>
      <c r="B47" s="95" t="s">
        <v>455</v>
      </c>
      <c r="C47" s="96" t="s">
        <v>456</v>
      </c>
      <c r="D47" s="99"/>
      <c r="E47" s="99"/>
      <c r="F47" s="149">
        <v>0</v>
      </c>
      <c r="G47" s="148">
        <v>0</v>
      </c>
      <c r="L47" s="126"/>
      <c r="M47" s="126"/>
      <c r="N47" s="126"/>
      <c r="O47" s="126"/>
    </row>
    <row r="48" spans="1:15" ht="20" x14ac:dyDescent="0.35">
      <c r="A48" s="94" t="s">
        <v>8</v>
      </c>
      <c r="B48" s="95" t="s">
        <v>457</v>
      </c>
      <c r="C48" s="96" t="s">
        <v>458</v>
      </c>
      <c r="D48" s="99"/>
      <c r="E48" s="99"/>
      <c r="F48" s="149">
        <v>0</v>
      </c>
      <c r="G48" s="148">
        <v>0</v>
      </c>
      <c r="L48" s="126"/>
      <c r="M48" s="126"/>
      <c r="N48" s="126"/>
      <c r="O48" s="126"/>
    </row>
    <row r="49" spans="1:15" ht="20" x14ac:dyDescent="0.35">
      <c r="A49" s="94"/>
      <c r="B49" s="95" t="s">
        <v>446</v>
      </c>
      <c r="C49" s="96" t="s">
        <v>459</v>
      </c>
      <c r="D49" s="99"/>
      <c r="E49" s="99"/>
      <c r="F49" s="149">
        <v>0</v>
      </c>
      <c r="G49" s="148">
        <v>0</v>
      </c>
      <c r="L49" s="126"/>
      <c r="M49" s="126"/>
      <c r="N49" s="126"/>
      <c r="O49" s="126"/>
    </row>
    <row r="50" spans="1:15" ht="20" x14ac:dyDescent="0.35">
      <c r="A50" s="94"/>
      <c r="B50" s="95" t="s">
        <v>460</v>
      </c>
      <c r="C50" s="96" t="s">
        <v>461</v>
      </c>
      <c r="D50" s="99"/>
      <c r="E50" s="99"/>
      <c r="F50" s="99">
        <v>11380304706100</v>
      </c>
      <c r="G50" s="98">
        <v>0.99609999999999999</v>
      </c>
      <c r="L50" s="126"/>
      <c r="M50" s="126"/>
      <c r="N50" s="126"/>
      <c r="O50" s="126"/>
    </row>
    <row r="51" spans="1:15" ht="20" x14ac:dyDescent="0.35">
      <c r="A51" s="94" t="s">
        <v>357</v>
      </c>
      <c r="B51" s="95" t="s">
        <v>462</v>
      </c>
      <c r="C51" s="96" t="s">
        <v>463</v>
      </c>
      <c r="D51" s="99"/>
      <c r="E51" s="99"/>
      <c r="F51" s="99">
        <v>0</v>
      </c>
      <c r="G51" s="98">
        <v>0</v>
      </c>
      <c r="L51" s="126"/>
      <c r="M51" s="126"/>
      <c r="N51" s="126"/>
      <c r="O51" s="126"/>
    </row>
    <row r="52" spans="1:15" ht="20" x14ac:dyDescent="0.35">
      <c r="A52" s="94" t="s">
        <v>3</v>
      </c>
      <c r="B52" s="95" t="s">
        <v>464</v>
      </c>
      <c r="C52" s="96" t="s">
        <v>465</v>
      </c>
      <c r="D52" s="99"/>
      <c r="E52" s="99"/>
      <c r="F52" s="99">
        <v>0</v>
      </c>
      <c r="G52" s="98">
        <v>0</v>
      </c>
      <c r="L52" s="126"/>
      <c r="M52" s="126"/>
      <c r="N52" s="126"/>
      <c r="O52" s="126"/>
    </row>
    <row r="53" spans="1:15" ht="20" x14ac:dyDescent="0.35">
      <c r="A53" s="94" t="s">
        <v>8</v>
      </c>
      <c r="B53" s="95" t="s">
        <v>466</v>
      </c>
      <c r="C53" s="96" t="s">
        <v>467</v>
      </c>
      <c r="D53" s="99"/>
      <c r="E53" s="99"/>
      <c r="F53" s="149">
        <v>0</v>
      </c>
      <c r="G53" s="148">
        <v>0</v>
      </c>
      <c r="L53" s="126"/>
      <c r="M53" s="126"/>
      <c r="N53" s="126"/>
      <c r="O53" s="126"/>
    </row>
    <row r="54" spans="1:15" ht="20" x14ac:dyDescent="0.35">
      <c r="A54" s="94" t="s">
        <v>13</v>
      </c>
      <c r="B54" s="95" t="s">
        <v>468</v>
      </c>
      <c r="C54" s="96" t="s">
        <v>469</v>
      </c>
      <c r="D54" s="99"/>
      <c r="E54" s="99"/>
      <c r="F54" s="149">
        <v>0</v>
      </c>
      <c r="G54" s="148">
        <v>0</v>
      </c>
      <c r="L54" s="126"/>
      <c r="M54" s="126"/>
      <c r="N54" s="126"/>
      <c r="O54" s="126"/>
    </row>
    <row r="55" spans="1:15" ht="33" customHeight="1" x14ac:dyDescent="0.35">
      <c r="A55" s="94" t="s">
        <v>18</v>
      </c>
      <c r="B55" s="95" t="s">
        <v>470</v>
      </c>
      <c r="C55" s="96" t="s">
        <v>471</v>
      </c>
      <c r="D55" s="99"/>
      <c r="E55" s="99"/>
      <c r="F55" s="99">
        <v>0</v>
      </c>
      <c r="G55" s="150">
        <v>0</v>
      </c>
      <c r="L55" s="126"/>
      <c r="M55" s="126"/>
      <c r="N55" s="126"/>
      <c r="O55" s="126"/>
    </row>
    <row r="56" spans="1:15" ht="20" x14ac:dyDescent="0.35">
      <c r="A56" s="94" t="s">
        <v>285</v>
      </c>
      <c r="B56" s="95" t="s">
        <v>472</v>
      </c>
      <c r="C56" s="96" t="s">
        <v>473</v>
      </c>
      <c r="D56" s="99"/>
      <c r="E56" s="99"/>
      <c r="F56" s="149">
        <v>0</v>
      </c>
      <c r="G56" s="148">
        <v>0</v>
      </c>
      <c r="L56" s="126"/>
      <c r="M56" s="126"/>
      <c r="N56" s="126"/>
      <c r="O56" s="126"/>
    </row>
    <row r="57" spans="1:15" ht="20" x14ac:dyDescent="0.35">
      <c r="A57" s="94" t="s">
        <v>287</v>
      </c>
      <c r="B57" s="95" t="s">
        <v>474</v>
      </c>
      <c r="C57" s="96" t="s">
        <v>475</v>
      </c>
      <c r="D57" s="99"/>
      <c r="E57" s="99"/>
      <c r="F57" s="149">
        <v>0</v>
      </c>
      <c r="G57" s="148">
        <v>0</v>
      </c>
      <c r="L57" s="126"/>
      <c r="M57" s="126"/>
      <c r="N57" s="126"/>
      <c r="O57" s="126"/>
    </row>
    <row r="58" spans="1:15" ht="20" x14ac:dyDescent="0.35">
      <c r="A58" s="94" t="s">
        <v>290</v>
      </c>
      <c r="B58" s="95" t="s">
        <v>476</v>
      </c>
      <c r="C58" s="96" t="s">
        <v>477</v>
      </c>
      <c r="D58" s="99"/>
      <c r="E58" s="99"/>
      <c r="F58" s="149">
        <v>0</v>
      </c>
      <c r="G58" s="148">
        <v>0</v>
      </c>
      <c r="L58" s="126"/>
      <c r="M58" s="126"/>
      <c r="N58" s="126"/>
      <c r="O58" s="126"/>
    </row>
    <row r="59" spans="1:15" ht="20" x14ac:dyDescent="0.35">
      <c r="A59" s="94" t="s">
        <v>299</v>
      </c>
      <c r="B59" s="95" t="s">
        <v>478</v>
      </c>
      <c r="C59" s="96" t="s">
        <v>479</v>
      </c>
      <c r="D59" s="99"/>
      <c r="E59" s="99"/>
      <c r="F59" s="149">
        <v>0</v>
      </c>
      <c r="G59" s="148">
        <v>0</v>
      </c>
      <c r="L59" s="126"/>
      <c r="M59" s="126"/>
      <c r="N59" s="126"/>
      <c r="O59" s="126"/>
    </row>
    <row r="60" spans="1:15" ht="20" x14ac:dyDescent="0.35">
      <c r="A60" s="94" t="s">
        <v>312</v>
      </c>
      <c r="B60" s="95" t="s">
        <v>480</v>
      </c>
      <c r="C60" s="96" t="s">
        <v>481</v>
      </c>
      <c r="D60" s="99"/>
      <c r="E60" s="99"/>
      <c r="F60" s="149">
        <v>0</v>
      </c>
      <c r="G60" s="148">
        <v>0</v>
      </c>
      <c r="L60" s="126"/>
      <c r="M60" s="126"/>
      <c r="N60" s="126"/>
      <c r="O60" s="126"/>
    </row>
    <row r="61" spans="1:15" ht="21" customHeight="1" x14ac:dyDescent="0.35">
      <c r="A61" s="94" t="s">
        <v>319</v>
      </c>
      <c r="B61" s="95" t="s">
        <v>482</v>
      </c>
      <c r="C61" s="96" t="s">
        <v>483</v>
      </c>
      <c r="D61" s="99"/>
      <c r="E61" s="99"/>
      <c r="F61" s="149">
        <v>0</v>
      </c>
      <c r="G61" s="148">
        <v>0</v>
      </c>
      <c r="L61" s="126"/>
      <c r="M61" s="126"/>
      <c r="N61" s="126"/>
      <c r="O61" s="126"/>
    </row>
    <row r="62" spans="1:15" ht="20" x14ac:dyDescent="0.35">
      <c r="A62" s="94" t="s">
        <v>415</v>
      </c>
      <c r="B62" s="95" t="s">
        <v>484</v>
      </c>
      <c r="C62" s="96" t="s">
        <v>485</v>
      </c>
      <c r="D62" s="99"/>
      <c r="E62" s="99"/>
      <c r="F62" s="99">
        <v>0</v>
      </c>
      <c r="G62" s="98">
        <v>0</v>
      </c>
      <c r="L62" s="126"/>
      <c r="M62" s="126"/>
      <c r="N62" s="126"/>
      <c r="O62" s="126"/>
    </row>
    <row r="63" spans="1:15" ht="20" x14ac:dyDescent="0.35">
      <c r="A63" s="94"/>
      <c r="B63" s="95" t="s">
        <v>446</v>
      </c>
      <c r="C63" s="96" t="s">
        <v>486</v>
      </c>
      <c r="D63" s="99"/>
      <c r="E63" s="99"/>
      <c r="F63" s="99">
        <v>0</v>
      </c>
      <c r="G63" s="98">
        <v>0</v>
      </c>
      <c r="L63" s="126"/>
      <c r="M63" s="126"/>
      <c r="N63" s="126"/>
      <c r="O63" s="126"/>
    </row>
    <row r="64" spans="1:15" ht="20" x14ac:dyDescent="0.35">
      <c r="A64" s="94" t="s">
        <v>360</v>
      </c>
      <c r="B64" s="95" t="s">
        <v>35</v>
      </c>
      <c r="C64" s="96" t="s">
        <v>487</v>
      </c>
      <c r="D64" s="99"/>
      <c r="E64" s="99"/>
      <c r="F64" s="99">
        <v>0</v>
      </c>
      <c r="G64" s="98">
        <v>0</v>
      </c>
      <c r="L64" s="126"/>
      <c r="M64" s="126"/>
      <c r="N64" s="126"/>
      <c r="O64" s="126"/>
    </row>
    <row r="65" spans="1:15" ht="20" x14ac:dyDescent="0.35">
      <c r="A65" s="94" t="s">
        <v>3</v>
      </c>
      <c r="B65" s="95" t="s">
        <v>488</v>
      </c>
      <c r="C65" s="96" t="s">
        <v>489</v>
      </c>
      <c r="D65" s="99"/>
      <c r="E65" s="99"/>
      <c r="F65" s="99">
        <v>44087599449</v>
      </c>
      <c r="G65" s="98">
        <v>3.8999999999999998E-3</v>
      </c>
      <c r="L65" s="126"/>
      <c r="M65" s="126"/>
      <c r="N65" s="126"/>
      <c r="O65" s="126"/>
    </row>
    <row r="66" spans="1:15" ht="20" x14ac:dyDescent="0.35">
      <c r="A66" s="94"/>
      <c r="B66" s="95" t="s">
        <v>490</v>
      </c>
      <c r="C66" s="96" t="s">
        <v>491</v>
      </c>
      <c r="D66" s="99"/>
      <c r="E66" s="99"/>
      <c r="F66" s="99">
        <v>0</v>
      </c>
      <c r="G66" s="98">
        <v>0</v>
      </c>
      <c r="L66" s="126"/>
      <c r="M66" s="126"/>
      <c r="N66" s="126"/>
      <c r="O66" s="126"/>
    </row>
    <row r="67" spans="1:15" ht="20" x14ac:dyDescent="0.35">
      <c r="A67" s="94"/>
      <c r="B67" s="95" t="s">
        <v>492</v>
      </c>
      <c r="C67" s="96" t="s">
        <v>493</v>
      </c>
      <c r="D67" s="99"/>
      <c r="E67" s="99"/>
      <c r="F67" s="99">
        <v>44087599449</v>
      </c>
      <c r="G67" s="150">
        <v>3.8999999999999998E-3</v>
      </c>
      <c r="L67" s="126"/>
      <c r="M67" s="126"/>
      <c r="N67" s="126"/>
      <c r="O67" s="126"/>
    </row>
    <row r="68" spans="1:15" ht="20" x14ac:dyDescent="0.35">
      <c r="A68" s="94"/>
      <c r="B68" s="95" t="s">
        <v>494</v>
      </c>
      <c r="C68" s="96" t="s">
        <v>495</v>
      </c>
      <c r="D68" s="99"/>
      <c r="E68" s="99"/>
      <c r="F68" s="149">
        <v>0</v>
      </c>
      <c r="G68" s="148">
        <v>0</v>
      </c>
      <c r="L68" s="126"/>
      <c r="M68" s="126"/>
      <c r="N68" s="126"/>
      <c r="O68" s="126"/>
    </row>
    <row r="69" spans="1:15" ht="20" x14ac:dyDescent="0.35">
      <c r="A69" s="94" t="s">
        <v>8</v>
      </c>
      <c r="B69" s="95" t="s">
        <v>496</v>
      </c>
      <c r="C69" s="96" t="s">
        <v>497</v>
      </c>
      <c r="D69" s="99"/>
      <c r="E69" s="99"/>
      <c r="F69" s="149">
        <v>0</v>
      </c>
      <c r="G69" s="148">
        <v>0</v>
      </c>
      <c r="L69" s="126"/>
      <c r="M69" s="126"/>
      <c r="N69" s="126"/>
      <c r="O69" s="126"/>
    </row>
    <row r="70" spans="1:15" ht="20" x14ac:dyDescent="0.35">
      <c r="A70" s="94" t="s">
        <v>13</v>
      </c>
      <c r="B70" s="95" t="s">
        <v>498</v>
      </c>
      <c r="C70" s="96" t="s">
        <v>499</v>
      </c>
      <c r="D70" s="99"/>
      <c r="E70" s="99"/>
      <c r="F70" s="149">
        <v>0</v>
      </c>
      <c r="G70" s="148">
        <v>0</v>
      </c>
      <c r="L70" s="126"/>
      <c r="M70" s="126"/>
      <c r="N70" s="126"/>
      <c r="O70" s="126"/>
    </row>
    <row r="71" spans="1:15" ht="20" x14ac:dyDescent="0.35">
      <c r="A71" s="94" t="s">
        <v>18</v>
      </c>
      <c r="B71" s="95" t="s">
        <v>500</v>
      </c>
      <c r="C71" s="96" t="s">
        <v>501</v>
      </c>
      <c r="D71" s="99"/>
      <c r="E71" s="99"/>
      <c r="F71" s="99">
        <v>0</v>
      </c>
      <c r="G71" s="98">
        <v>0</v>
      </c>
      <c r="L71" s="126"/>
      <c r="M71" s="126"/>
      <c r="N71" s="126"/>
      <c r="O71" s="126"/>
    </row>
    <row r="72" spans="1:15" ht="20" x14ac:dyDescent="0.35">
      <c r="A72" s="94"/>
      <c r="B72" s="95" t="s">
        <v>446</v>
      </c>
      <c r="C72" s="96" t="s">
        <v>502</v>
      </c>
      <c r="D72" s="99"/>
      <c r="E72" s="99"/>
      <c r="F72" s="99">
        <v>44087599449</v>
      </c>
      <c r="G72" s="98">
        <v>3.8999999999999998E-3</v>
      </c>
      <c r="L72" s="126"/>
      <c r="M72" s="126"/>
      <c r="N72" s="126"/>
      <c r="O72" s="126"/>
    </row>
    <row r="73" spans="1:15" ht="20" x14ac:dyDescent="0.35">
      <c r="A73" s="110" t="s">
        <v>374</v>
      </c>
      <c r="B73" s="111" t="s">
        <v>503</v>
      </c>
      <c r="C73" s="112" t="s">
        <v>504</v>
      </c>
      <c r="D73" s="138"/>
      <c r="E73" s="138"/>
      <c r="F73" s="138">
        <v>11424392305549</v>
      </c>
      <c r="G73" s="113">
        <v>1</v>
      </c>
      <c r="I73" s="151"/>
    </row>
    <row r="74" spans="1:15" x14ac:dyDescent="0.35">
      <c r="A74" s="140"/>
      <c r="B74" s="140"/>
      <c r="C74" s="140"/>
      <c r="D74" s="140"/>
      <c r="E74" s="140"/>
      <c r="F74" s="140"/>
      <c r="G74" s="140"/>
    </row>
    <row r="75" spans="1:15" x14ac:dyDescent="0.35">
      <c r="A75" s="325" t="s">
        <v>505</v>
      </c>
      <c r="B75" s="325"/>
      <c r="C75" s="140"/>
      <c r="D75" s="140"/>
      <c r="E75" s="140"/>
      <c r="F75" s="140"/>
      <c r="G75" s="140"/>
    </row>
    <row r="76" spans="1:15" ht="24" customHeight="1" x14ac:dyDescent="0.35">
      <c r="A76" s="326" t="s">
        <v>506</v>
      </c>
      <c r="B76" s="326"/>
      <c r="C76" s="326"/>
      <c r="D76" s="326"/>
      <c r="E76" s="326"/>
      <c r="F76" s="326"/>
      <c r="G76" s="326"/>
    </row>
    <row r="77" spans="1:15" ht="7.5" customHeight="1" x14ac:dyDescent="0.35">
      <c r="A77" s="144"/>
      <c r="B77" s="144"/>
      <c r="C77" s="144"/>
      <c r="D77" s="144"/>
      <c r="E77" s="144"/>
      <c r="F77" s="144"/>
      <c r="G77" s="144"/>
    </row>
    <row r="78" spans="1:15" ht="51" customHeight="1" x14ac:dyDescent="0.35">
      <c r="A78" s="152" t="s">
        <v>507</v>
      </c>
      <c r="B78" s="153" t="s">
        <v>508</v>
      </c>
      <c r="C78" s="153" t="s">
        <v>509</v>
      </c>
      <c r="D78" s="153" t="s">
        <v>510</v>
      </c>
      <c r="E78" s="153" t="s">
        <v>511</v>
      </c>
      <c r="F78" s="153" t="s">
        <v>512</v>
      </c>
      <c r="G78" s="154" t="s">
        <v>513</v>
      </c>
    </row>
    <row r="79" spans="1:15" ht="15" customHeight="1" x14ac:dyDescent="0.35">
      <c r="A79" s="140"/>
      <c r="B79" s="140"/>
      <c r="C79" s="140"/>
      <c r="D79" s="140"/>
      <c r="E79" s="140"/>
      <c r="F79" s="140"/>
      <c r="G79" s="140"/>
    </row>
    <row r="80" spans="1:15" ht="15" customHeight="1" x14ac:dyDescent="0.35">
      <c r="A80" s="320" t="s">
        <v>223</v>
      </c>
      <c r="B80" s="320"/>
      <c r="C80" s="320"/>
      <c r="D80" s="320" t="s">
        <v>224</v>
      </c>
      <c r="E80" s="320"/>
      <c r="F80" s="320"/>
      <c r="G80" s="320"/>
    </row>
    <row r="81" spans="1:7" ht="15" customHeight="1" x14ac:dyDescent="0.35">
      <c r="A81" s="309" t="s">
        <v>225</v>
      </c>
      <c r="B81" s="309"/>
      <c r="C81" s="309"/>
      <c r="D81" s="309" t="s">
        <v>226</v>
      </c>
      <c r="E81" s="309"/>
      <c r="F81" s="309"/>
      <c r="G81" s="309"/>
    </row>
    <row r="82" spans="1:7" ht="15" customHeight="1" x14ac:dyDescent="0.35">
      <c r="A82" s="142"/>
      <c r="B82" s="142"/>
      <c r="C82" s="142"/>
      <c r="D82" s="142"/>
      <c r="E82" s="142"/>
      <c r="F82" s="142"/>
      <c r="G82" s="142"/>
    </row>
    <row r="83" spans="1:7" ht="15" customHeight="1" x14ac:dyDescent="0.35">
      <c r="A83" s="142"/>
      <c r="B83" s="142"/>
      <c r="C83" s="142"/>
      <c r="D83" s="142"/>
      <c r="E83" s="142"/>
      <c r="F83" s="142"/>
      <c r="G83" s="142"/>
    </row>
    <row r="84" spans="1:7" ht="15.75" customHeight="1" x14ac:dyDescent="0.35">
      <c r="A84" s="142"/>
      <c r="B84" s="142"/>
      <c r="C84" s="142"/>
      <c r="D84" s="142"/>
      <c r="E84" s="142"/>
      <c r="F84" s="142"/>
      <c r="G84" s="142"/>
    </row>
    <row r="85" spans="1:7" ht="15.75" customHeight="1" x14ac:dyDescent="0.35">
      <c r="A85" s="142"/>
      <c r="B85" s="142"/>
      <c r="C85" s="142"/>
      <c r="D85" s="142"/>
      <c r="E85" s="142"/>
      <c r="F85" s="142"/>
      <c r="G85" s="142"/>
    </row>
    <row r="86" spans="1:7" ht="15.75" customHeight="1" x14ac:dyDescent="0.35">
      <c r="A86" s="142"/>
      <c r="B86" s="142"/>
      <c r="C86" s="142"/>
      <c r="D86" s="142"/>
      <c r="E86" s="142"/>
      <c r="F86" s="142"/>
      <c r="G86" s="142"/>
    </row>
    <row r="87" spans="1:7" ht="15" customHeight="1" x14ac:dyDescent="0.35">
      <c r="A87" s="320" t="s">
        <v>227</v>
      </c>
      <c r="B87" s="320"/>
      <c r="C87" s="320"/>
      <c r="D87" s="320" t="s">
        <v>228</v>
      </c>
      <c r="E87" s="320"/>
      <c r="F87" s="320"/>
      <c r="G87" s="320"/>
    </row>
    <row r="88" spans="1:7" ht="15.75" customHeight="1" x14ac:dyDescent="0.35">
      <c r="A88" s="320" t="s">
        <v>1108</v>
      </c>
      <c r="B88" s="320"/>
      <c r="C88" s="320"/>
      <c r="D88" s="320" t="s">
        <v>230</v>
      </c>
      <c r="E88" s="320"/>
      <c r="F88" s="320"/>
      <c r="G88" s="320"/>
    </row>
    <row r="89" spans="1:7" ht="15" customHeight="1" x14ac:dyDescent="0.35">
      <c r="A89" s="320" t="s">
        <v>1036</v>
      </c>
      <c r="B89" s="320"/>
      <c r="C89" s="320"/>
      <c r="D89" s="320" t="s">
        <v>229</v>
      </c>
      <c r="E89" s="320"/>
      <c r="F89" s="320"/>
      <c r="G89" s="320"/>
    </row>
  </sheetData>
  <mergeCells count="27">
    <mergeCell ref="C7:G7"/>
    <mergeCell ref="D1:G1"/>
    <mergeCell ref="A2:G2"/>
    <mergeCell ref="A4:G4"/>
    <mergeCell ref="A5:G5"/>
    <mergeCell ref="C6:G6"/>
    <mergeCell ref="A80:C80"/>
    <mergeCell ref="D80:G80"/>
    <mergeCell ref="C8:G8"/>
    <mergeCell ref="C9:G9"/>
    <mergeCell ref="C10:G10"/>
    <mergeCell ref="C11:G11"/>
    <mergeCell ref="C12:G12"/>
    <mergeCell ref="C13:G13"/>
    <mergeCell ref="A15:G15"/>
    <mergeCell ref="A16:G16"/>
    <mergeCell ref="F17:G17"/>
    <mergeCell ref="A75:B75"/>
    <mergeCell ref="A76:G76"/>
    <mergeCell ref="A89:C89"/>
    <mergeCell ref="D89:G89"/>
    <mergeCell ref="A81:C81"/>
    <mergeCell ref="D81:G81"/>
    <mergeCell ref="A87:C87"/>
    <mergeCell ref="D87:G87"/>
    <mergeCell ref="A88:C88"/>
    <mergeCell ref="D88:G88"/>
  </mergeCells>
  <printOptions horizontalCentered="1"/>
  <pageMargins left="0.39370078740157483" right="0.39370078740157483" top="0.39370078740157483" bottom="0.39370078740157483" header="0.31496062992125984" footer="0.31496062992125984"/>
  <pageSetup paperSize="9" scale="86"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6953125" defaultRowHeight="10" x14ac:dyDescent="0.2"/>
  <cols>
    <col min="1" max="1" width="5.453125" style="28" customWidth="1"/>
    <col min="2" max="2" width="42.81640625" style="28" customWidth="1"/>
    <col min="3" max="3" width="7.26953125" style="28" customWidth="1"/>
    <col min="4" max="4" width="20.26953125" style="28" customWidth="1"/>
    <col min="5" max="5" width="14.54296875" style="28" customWidth="1"/>
    <col min="6" max="6" width="11.7265625" style="28" customWidth="1"/>
    <col min="7" max="7" width="17.54296875" style="28" customWidth="1"/>
    <col min="8" max="8" width="8.26953125" style="28" customWidth="1"/>
    <col min="9" max="9" width="16.26953125" style="28" customWidth="1"/>
    <col min="10" max="10" width="8.54296875" style="28" customWidth="1"/>
    <col min="11" max="11" width="18.54296875" style="28" customWidth="1"/>
    <col min="12" max="256" width="9.26953125" style="28"/>
    <col min="257" max="257" width="5.453125" style="28" customWidth="1"/>
    <col min="258" max="258" width="42.81640625" style="28" customWidth="1"/>
    <col min="259" max="259" width="7.26953125" style="28" customWidth="1"/>
    <col min="260" max="260" width="20.26953125" style="28" customWidth="1"/>
    <col min="261" max="261" width="14.54296875" style="28" customWidth="1"/>
    <col min="262" max="262" width="11.7265625" style="28" customWidth="1"/>
    <col min="263" max="263" width="17.54296875" style="28" customWidth="1"/>
    <col min="264" max="264" width="8.26953125" style="28" customWidth="1"/>
    <col min="265" max="265" width="16.26953125" style="28" customWidth="1"/>
    <col min="266" max="266" width="8.54296875" style="28" customWidth="1"/>
    <col min="267" max="267" width="18.54296875" style="28" customWidth="1"/>
    <col min="268" max="512" width="9.26953125" style="28"/>
    <col min="513" max="513" width="5.453125" style="28" customWidth="1"/>
    <col min="514" max="514" width="42.81640625" style="28" customWidth="1"/>
    <col min="515" max="515" width="7.26953125" style="28" customWidth="1"/>
    <col min="516" max="516" width="20.26953125" style="28" customWidth="1"/>
    <col min="517" max="517" width="14.54296875" style="28" customWidth="1"/>
    <col min="518" max="518" width="11.7265625" style="28" customWidth="1"/>
    <col min="519" max="519" width="17.54296875" style="28" customWidth="1"/>
    <col min="520" max="520" width="8.26953125" style="28" customWidth="1"/>
    <col min="521" max="521" width="16.26953125" style="28" customWidth="1"/>
    <col min="522" max="522" width="8.54296875" style="28" customWidth="1"/>
    <col min="523" max="523" width="18.54296875" style="28" customWidth="1"/>
    <col min="524" max="768" width="9.26953125" style="28"/>
    <col min="769" max="769" width="5.453125" style="28" customWidth="1"/>
    <col min="770" max="770" width="42.81640625" style="28" customWidth="1"/>
    <col min="771" max="771" width="7.26953125" style="28" customWidth="1"/>
    <col min="772" max="772" width="20.26953125" style="28" customWidth="1"/>
    <col min="773" max="773" width="14.54296875" style="28" customWidth="1"/>
    <col min="774" max="774" width="11.7265625" style="28" customWidth="1"/>
    <col min="775" max="775" width="17.54296875" style="28" customWidth="1"/>
    <col min="776" max="776" width="8.26953125" style="28" customWidth="1"/>
    <col min="777" max="777" width="16.26953125" style="28" customWidth="1"/>
    <col min="778" max="778" width="8.54296875" style="28" customWidth="1"/>
    <col min="779" max="779" width="18.54296875" style="28" customWidth="1"/>
    <col min="780" max="1024" width="9.26953125" style="28"/>
    <col min="1025" max="1025" width="5.453125" style="28" customWidth="1"/>
    <col min="1026" max="1026" width="42.81640625" style="28" customWidth="1"/>
    <col min="1027" max="1027" width="7.26953125" style="28" customWidth="1"/>
    <col min="1028" max="1028" width="20.26953125" style="28" customWidth="1"/>
    <col min="1029" max="1029" width="14.54296875" style="28" customWidth="1"/>
    <col min="1030" max="1030" width="11.7265625" style="28" customWidth="1"/>
    <col min="1031" max="1031" width="17.54296875" style="28" customWidth="1"/>
    <col min="1032" max="1032" width="8.26953125" style="28" customWidth="1"/>
    <col min="1033" max="1033" width="16.26953125" style="28" customWidth="1"/>
    <col min="1034" max="1034" width="8.54296875" style="28" customWidth="1"/>
    <col min="1035" max="1035" width="18.54296875" style="28" customWidth="1"/>
    <col min="1036" max="1280" width="9.26953125" style="28"/>
    <col min="1281" max="1281" width="5.453125" style="28" customWidth="1"/>
    <col min="1282" max="1282" width="42.81640625" style="28" customWidth="1"/>
    <col min="1283" max="1283" width="7.26953125" style="28" customWidth="1"/>
    <col min="1284" max="1284" width="20.26953125" style="28" customWidth="1"/>
    <col min="1285" max="1285" width="14.54296875" style="28" customWidth="1"/>
    <col min="1286" max="1286" width="11.7265625" style="28" customWidth="1"/>
    <col min="1287" max="1287" width="17.54296875" style="28" customWidth="1"/>
    <col min="1288" max="1288" width="8.26953125" style="28" customWidth="1"/>
    <col min="1289" max="1289" width="16.26953125" style="28" customWidth="1"/>
    <col min="1290" max="1290" width="8.54296875" style="28" customWidth="1"/>
    <col min="1291" max="1291" width="18.54296875" style="28" customWidth="1"/>
    <col min="1292" max="1536" width="9.26953125" style="28"/>
    <col min="1537" max="1537" width="5.453125" style="28" customWidth="1"/>
    <col min="1538" max="1538" width="42.81640625" style="28" customWidth="1"/>
    <col min="1539" max="1539" width="7.26953125" style="28" customWidth="1"/>
    <col min="1540" max="1540" width="20.26953125" style="28" customWidth="1"/>
    <col min="1541" max="1541" width="14.54296875" style="28" customWidth="1"/>
    <col min="1542" max="1542" width="11.7265625" style="28" customWidth="1"/>
    <col min="1543" max="1543" width="17.54296875" style="28" customWidth="1"/>
    <col min="1544" max="1544" width="8.26953125" style="28" customWidth="1"/>
    <col min="1545" max="1545" width="16.26953125" style="28" customWidth="1"/>
    <col min="1546" max="1546" width="8.54296875" style="28" customWidth="1"/>
    <col min="1547" max="1547" width="18.54296875" style="28" customWidth="1"/>
    <col min="1548" max="1792" width="9.26953125" style="28"/>
    <col min="1793" max="1793" width="5.453125" style="28" customWidth="1"/>
    <col min="1794" max="1794" width="42.81640625" style="28" customWidth="1"/>
    <col min="1795" max="1795" width="7.26953125" style="28" customWidth="1"/>
    <col min="1796" max="1796" width="20.26953125" style="28" customWidth="1"/>
    <col min="1797" max="1797" width="14.54296875" style="28" customWidth="1"/>
    <col min="1798" max="1798" width="11.7265625" style="28" customWidth="1"/>
    <col min="1799" max="1799" width="17.54296875" style="28" customWidth="1"/>
    <col min="1800" max="1800" width="8.26953125" style="28" customWidth="1"/>
    <col min="1801" max="1801" width="16.26953125" style="28" customWidth="1"/>
    <col min="1802" max="1802" width="8.54296875" style="28" customWidth="1"/>
    <col min="1803" max="1803" width="18.54296875" style="28" customWidth="1"/>
    <col min="1804" max="2048" width="9.26953125" style="28"/>
    <col min="2049" max="2049" width="5.453125" style="28" customWidth="1"/>
    <col min="2050" max="2050" width="42.81640625" style="28" customWidth="1"/>
    <col min="2051" max="2051" width="7.26953125" style="28" customWidth="1"/>
    <col min="2052" max="2052" width="20.26953125" style="28" customWidth="1"/>
    <col min="2053" max="2053" width="14.54296875" style="28" customWidth="1"/>
    <col min="2054" max="2054" width="11.7265625" style="28" customWidth="1"/>
    <col min="2055" max="2055" width="17.54296875" style="28" customWidth="1"/>
    <col min="2056" max="2056" width="8.26953125" style="28" customWidth="1"/>
    <col min="2057" max="2057" width="16.26953125" style="28" customWidth="1"/>
    <col min="2058" max="2058" width="8.54296875" style="28" customWidth="1"/>
    <col min="2059" max="2059" width="18.54296875" style="28" customWidth="1"/>
    <col min="2060" max="2304" width="9.26953125" style="28"/>
    <col min="2305" max="2305" width="5.453125" style="28" customWidth="1"/>
    <col min="2306" max="2306" width="42.81640625" style="28" customWidth="1"/>
    <col min="2307" max="2307" width="7.26953125" style="28" customWidth="1"/>
    <col min="2308" max="2308" width="20.26953125" style="28" customWidth="1"/>
    <col min="2309" max="2309" width="14.54296875" style="28" customWidth="1"/>
    <col min="2310" max="2310" width="11.7265625" style="28" customWidth="1"/>
    <col min="2311" max="2311" width="17.54296875" style="28" customWidth="1"/>
    <col min="2312" max="2312" width="8.26953125" style="28" customWidth="1"/>
    <col min="2313" max="2313" width="16.26953125" style="28" customWidth="1"/>
    <col min="2314" max="2314" width="8.54296875" style="28" customWidth="1"/>
    <col min="2315" max="2315" width="18.54296875" style="28" customWidth="1"/>
    <col min="2316" max="2560" width="9.26953125" style="28"/>
    <col min="2561" max="2561" width="5.453125" style="28" customWidth="1"/>
    <col min="2562" max="2562" width="42.81640625" style="28" customWidth="1"/>
    <col min="2563" max="2563" width="7.26953125" style="28" customWidth="1"/>
    <col min="2564" max="2564" width="20.26953125" style="28" customWidth="1"/>
    <col min="2565" max="2565" width="14.54296875" style="28" customWidth="1"/>
    <col min="2566" max="2566" width="11.7265625" style="28" customWidth="1"/>
    <col min="2567" max="2567" width="17.54296875" style="28" customWidth="1"/>
    <col min="2568" max="2568" width="8.26953125" style="28" customWidth="1"/>
    <col min="2569" max="2569" width="16.26953125" style="28" customWidth="1"/>
    <col min="2570" max="2570" width="8.54296875" style="28" customWidth="1"/>
    <col min="2571" max="2571" width="18.54296875" style="28" customWidth="1"/>
    <col min="2572" max="2816" width="9.26953125" style="28"/>
    <col min="2817" max="2817" width="5.453125" style="28" customWidth="1"/>
    <col min="2818" max="2818" width="42.81640625" style="28" customWidth="1"/>
    <col min="2819" max="2819" width="7.26953125" style="28" customWidth="1"/>
    <col min="2820" max="2820" width="20.26953125" style="28" customWidth="1"/>
    <col min="2821" max="2821" width="14.54296875" style="28" customWidth="1"/>
    <col min="2822" max="2822" width="11.7265625" style="28" customWidth="1"/>
    <col min="2823" max="2823" width="17.54296875" style="28" customWidth="1"/>
    <col min="2824" max="2824" width="8.26953125" style="28" customWidth="1"/>
    <col min="2825" max="2825" width="16.26953125" style="28" customWidth="1"/>
    <col min="2826" max="2826" width="8.54296875" style="28" customWidth="1"/>
    <col min="2827" max="2827" width="18.54296875" style="28" customWidth="1"/>
    <col min="2828" max="3072" width="9.26953125" style="28"/>
    <col min="3073" max="3073" width="5.453125" style="28" customWidth="1"/>
    <col min="3074" max="3074" width="42.81640625" style="28" customWidth="1"/>
    <col min="3075" max="3075" width="7.26953125" style="28" customWidth="1"/>
    <col min="3076" max="3076" width="20.26953125" style="28" customWidth="1"/>
    <col min="3077" max="3077" width="14.54296875" style="28" customWidth="1"/>
    <col min="3078" max="3078" width="11.7265625" style="28" customWidth="1"/>
    <col min="3079" max="3079" width="17.54296875" style="28" customWidth="1"/>
    <col min="3080" max="3080" width="8.26953125" style="28" customWidth="1"/>
    <col min="3081" max="3081" width="16.26953125" style="28" customWidth="1"/>
    <col min="3082" max="3082" width="8.54296875" style="28" customWidth="1"/>
    <col min="3083" max="3083" width="18.54296875" style="28" customWidth="1"/>
    <col min="3084" max="3328" width="9.26953125" style="28"/>
    <col min="3329" max="3329" width="5.453125" style="28" customWidth="1"/>
    <col min="3330" max="3330" width="42.81640625" style="28" customWidth="1"/>
    <col min="3331" max="3331" width="7.26953125" style="28" customWidth="1"/>
    <col min="3332" max="3332" width="20.26953125" style="28" customWidth="1"/>
    <col min="3333" max="3333" width="14.54296875" style="28" customWidth="1"/>
    <col min="3334" max="3334" width="11.7265625" style="28" customWidth="1"/>
    <col min="3335" max="3335" width="17.54296875" style="28" customWidth="1"/>
    <col min="3336" max="3336" width="8.26953125" style="28" customWidth="1"/>
    <col min="3337" max="3337" width="16.26953125" style="28" customWidth="1"/>
    <col min="3338" max="3338" width="8.54296875" style="28" customWidth="1"/>
    <col min="3339" max="3339" width="18.54296875" style="28" customWidth="1"/>
    <col min="3340" max="3584" width="9.26953125" style="28"/>
    <col min="3585" max="3585" width="5.453125" style="28" customWidth="1"/>
    <col min="3586" max="3586" width="42.81640625" style="28" customWidth="1"/>
    <col min="3587" max="3587" width="7.26953125" style="28" customWidth="1"/>
    <col min="3588" max="3588" width="20.26953125" style="28" customWidth="1"/>
    <col min="3589" max="3589" width="14.54296875" style="28" customWidth="1"/>
    <col min="3590" max="3590" width="11.7265625" style="28" customWidth="1"/>
    <col min="3591" max="3591" width="17.54296875" style="28" customWidth="1"/>
    <col min="3592" max="3592" width="8.26953125" style="28" customWidth="1"/>
    <col min="3593" max="3593" width="16.26953125" style="28" customWidth="1"/>
    <col min="3594" max="3594" width="8.54296875" style="28" customWidth="1"/>
    <col min="3595" max="3595" width="18.54296875" style="28" customWidth="1"/>
    <col min="3596" max="3840" width="9.26953125" style="28"/>
    <col min="3841" max="3841" width="5.453125" style="28" customWidth="1"/>
    <col min="3842" max="3842" width="42.81640625" style="28" customWidth="1"/>
    <col min="3843" max="3843" width="7.26953125" style="28" customWidth="1"/>
    <col min="3844" max="3844" width="20.26953125" style="28" customWidth="1"/>
    <col min="3845" max="3845" width="14.54296875" style="28" customWidth="1"/>
    <col min="3846" max="3846" width="11.7265625" style="28" customWidth="1"/>
    <col min="3847" max="3847" width="17.54296875" style="28" customWidth="1"/>
    <col min="3848" max="3848" width="8.26953125" style="28" customWidth="1"/>
    <col min="3849" max="3849" width="16.26953125" style="28" customWidth="1"/>
    <col min="3850" max="3850" width="8.54296875" style="28" customWidth="1"/>
    <col min="3851" max="3851" width="18.54296875" style="28" customWidth="1"/>
    <col min="3852" max="4096" width="9.26953125" style="28"/>
    <col min="4097" max="4097" width="5.453125" style="28" customWidth="1"/>
    <col min="4098" max="4098" width="42.81640625" style="28" customWidth="1"/>
    <col min="4099" max="4099" width="7.26953125" style="28" customWidth="1"/>
    <col min="4100" max="4100" width="20.26953125" style="28" customWidth="1"/>
    <col min="4101" max="4101" width="14.54296875" style="28" customWidth="1"/>
    <col min="4102" max="4102" width="11.7265625" style="28" customWidth="1"/>
    <col min="4103" max="4103" width="17.54296875" style="28" customWidth="1"/>
    <col min="4104" max="4104" width="8.26953125" style="28" customWidth="1"/>
    <col min="4105" max="4105" width="16.26953125" style="28" customWidth="1"/>
    <col min="4106" max="4106" width="8.54296875" style="28" customWidth="1"/>
    <col min="4107" max="4107" width="18.54296875" style="28" customWidth="1"/>
    <col min="4108" max="4352" width="9.26953125" style="28"/>
    <col min="4353" max="4353" width="5.453125" style="28" customWidth="1"/>
    <col min="4354" max="4354" width="42.81640625" style="28" customWidth="1"/>
    <col min="4355" max="4355" width="7.26953125" style="28" customWidth="1"/>
    <col min="4356" max="4356" width="20.26953125" style="28" customWidth="1"/>
    <col min="4357" max="4357" width="14.54296875" style="28" customWidth="1"/>
    <col min="4358" max="4358" width="11.7265625" style="28" customWidth="1"/>
    <col min="4359" max="4359" width="17.54296875" style="28" customWidth="1"/>
    <col min="4360" max="4360" width="8.26953125" style="28" customWidth="1"/>
    <col min="4361" max="4361" width="16.26953125" style="28" customWidth="1"/>
    <col min="4362" max="4362" width="8.54296875" style="28" customWidth="1"/>
    <col min="4363" max="4363" width="18.54296875" style="28" customWidth="1"/>
    <col min="4364" max="4608" width="9.26953125" style="28"/>
    <col min="4609" max="4609" width="5.453125" style="28" customWidth="1"/>
    <col min="4610" max="4610" width="42.81640625" style="28" customWidth="1"/>
    <col min="4611" max="4611" width="7.26953125" style="28" customWidth="1"/>
    <col min="4612" max="4612" width="20.26953125" style="28" customWidth="1"/>
    <col min="4613" max="4613" width="14.54296875" style="28" customWidth="1"/>
    <col min="4614" max="4614" width="11.7265625" style="28" customWidth="1"/>
    <col min="4615" max="4615" width="17.54296875" style="28" customWidth="1"/>
    <col min="4616" max="4616" width="8.26953125" style="28" customWidth="1"/>
    <col min="4617" max="4617" width="16.26953125" style="28" customWidth="1"/>
    <col min="4618" max="4618" width="8.54296875" style="28" customWidth="1"/>
    <col min="4619" max="4619" width="18.54296875" style="28" customWidth="1"/>
    <col min="4620" max="4864" width="9.26953125" style="28"/>
    <col min="4865" max="4865" width="5.453125" style="28" customWidth="1"/>
    <col min="4866" max="4866" width="42.81640625" style="28" customWidth="1"/>
    <col min="4867" max="4867" width="7.26953125" style="28" customWidth="1"/>
    <col min="4868" max="4868" width="20.26953125" style="28" customWidth="1"/>
    <col min="4869" max="4869" width="14.54296875" style="28" customWidth="1"/>
    <col min="4870" max="4870" width="11.7265625" style="28" customWidth="1"/>
    <col min="4871" max="4871" width="17.54296875" style="28" customWidth="1"/>
    <col min="4872" max="4872" width="8.26953125" style="28" customWidth="1"/>
    <col min="4873" max="4873" width="16.26953125" style="28" customWidth="1"/>
    <col min="4874" max="4874" width="8.54296875" style="28" customWidth="1"/>
    <col min="4875" max="4875" width="18.54296875" style="28" customWidth="1"/>
    <col min="4876" max="5120" width="9.26953125" style="28"/>
    <col min="5121" max="5121" width="5.453125" style="28" customWidth="1"/>
    <col min="5122" max="5122" width="42.81640625" style="28" customWidth="1"/>
    <col min="5123" max="5123" width="7.26953125" style="28" customWidth="1"/>
    <col min="5124" max="5124" width="20.26953125" style="28" customWidth="1"/>
    <col min="5125" max="5125" width="14.54296875" style="28" customWidth="1"/>
    <col min="5126" max="5126" width="11.7265625" style="28" customWidth="1"/>
    <col min="5127" max="5127" width="17.54296875" style="28" customWidth="1"/>
    <col min="5128" max="5128" width="8.26953125" style="28" customWidth="1"/>
    <col min="5129" max="5129" width="16.26953125" style="28" customWidth="1"/>
    <col min="5130" max="5130" width="8.54296875" style="28" customWidth="1"/>
    <col min="5131" max="5131" width="18.54296875" style="28" customWidth="1"/>
    <col min="5132" max="5376" width="9.26953125" style="28"/>
    <col min="5377" max="5377" width="5.453125" style="28" customWidth="1"/>
    <col min="5378" max="5378" width="42.81640625" style="28" customWidth="1"/>
    <col min="5379" max="5379" width="7.26953125" style="28" customWidth="1"/>
    <col min="5380" max="5380" width="20.26953125" style="28" customWidth="1"/>
    <col min="5381" max="5381" width="14.54296875" style="28" customWidth="1"/>
    <col min="5382" max="5382" width="11.7265625" style="28" customWidth="1"/>
    <col min="5383" max="5383" width="17.54296875" style="28" customWidth="1"/>
    <col min="5384" max="5384" width="8.26953125" style="28" customWidth="1"/>
    <col min="5385" max="5385" width="16.26953125" style="28" customWidth="1"/>
    <col min="5386" max="5386" width="8.54296875" style="28" customWidth="1"/>
    <col min="5387" max="5387" width="18.54296875" style="28" customWidth="1"/>
    <col min="5388" max="5632" width="9.26953125" style="28"/>
    <col min="5633" max="5633" width="5.453125" style="28" customWidth="1"/>
    <col min="5634" max="5634" width="42.81640625" style="28" customWidth="1"/>
    <col min="5635" max="5635" width="7.26953125" style="28" customWidth="1"/>
    <col min="5636" max="5636" width="20.26953125" style="28" customWidth="1"/>
    <col min="5637" max="5637" width="14.54296875" style="28" customWidth="1"/>
    <col min="5638" max="5638" width="11.7265625" style="28" customWidth="1"/>
    <col min="5639" max="5639" width="17.54296875" style="28" customWidth="1"/>
    <col min="5640" max="5640" width="8.26953125" style="28" customWidth="1"/>
    <col min="5641" max="5641" width="16.26953125" style="28" customWidth="1"/>
    <col min="5642" max="5642" width="8.54296875" style="28" customWidth="1"/>
    <col min="5643" max="5643" width="18.54296875" style="28" customWidth="1"/>
    <col min="5644" max="5888" width="9.26953125" style="28"/>
    <col min="5889" max="5889" width="5.453125" style="28" customWidth="1"/>
    <col min="5890" max="5890" width="42.81640625" style="28" customWidth="1"/>
    <col min="5891" max="5891" width="7.26953125" style="28" customWidth="1"/>
    <col min="5892" max="5892" width="20.26953125" style="28" customWidth="1"/>
    <col min="5893" max="5893" width="14.54296875" style="28" customWidth="1"/>
    <col min="5894" max="5894" width="11.7265625" style="28" customWidth="1"/>
    <col min="5895" max="5895" width="17.54296875" style="28" customWidth="1"/>
    <col min="5896" max="5896" width="8.26953125" style="28" customWidth="1"/>
    <col min="5897" max="5897" width="16.26953125" style="28" customWidth="1"/>
    <col min="5898" max="5898" width="8.54296875" style="28" customWidth="1"/>
    <col min="5899" max="5899" width="18.54296875" style="28" customWidth="1"/>
    <col min="5900" max="6144" width="9.26953125" style="28"/>
    <col min="6145" max="6145" width="5.453125" style="28" customWidth="1"/>
    <col min="6146" max="6146" width="42.81640625" style="28" customWidth="1"/>
    <col min="6147" max="6147" width="7.26953125" style="28" customWidth="1"/>
    <col min="6148" max="6148" width="20.26953125" style="28" customWidth="1"/>
    <col min="6149" max="6149" width="14.54296875" style="28" customWidth="1"/>
    <col min="6150" max="6150" width="11.7265625" style="28" customWidth="1"/>
    <col min="6151" max="6151" width="17.54296875" style="28" customWidth="1"/>
    <col min="6152" max="6152" width="8.26953125" style="28" customWidth="1"/>
    <col min="6153" max="6153" width="16.26953125" style="28" customWidth="1"/>
    <col min="6154" max="6154" width="8.54296875" style="28" customWidth="1"/>
    <col min="6155" max="6155" width="18.54296875" style="28" customWidth="1"/>
    <col min="6156" max="6400" width="9.26953125" style="28"/>
    <col min="6401" max="6401" width="5.453125" style="28" customWidth="1"/>
    <col min="6402" max="6402" width="42.81640625" style="28" customWidth="1"/>
    <col min="6403" max="6403" width="7.26953125" style="28" customWidth="1"/>
    <col min="6404" max="6404" width="20.26953125" style="28" customWidth="1"/>
    <col min="6405" max="6405" width="14.54296875" style="28" customWidth="1"/>
    <col min="6406" max="6406" width="11.7265625" style="28" customWidth="1"/>
    <col min="6407" max="6407" width="17.54296875" style="28" customWidth="1"/>
    <col min="6408" max="6408" width="8.26953125" style="28" customWidth="1"/>
    <col min="6409" max="6409" width="16.26953125" style="28" customWidth="1"/>
    <col min="6410" max="6410" width="8.54296875" style="28" customWidth="1"/>
    <col min="6411" max="6411" width="18.54296875" style="28" customWidth="1"/>
    <col min="6412" max="6656" width="9.26953125" style="28"/>
    <col min="6657" max="6657" width="5.453125" style="28" customWidth="1"/>
    <col min="6658" max="6658" width="42.81640625" style="28" customWidth="1"/>
    <col min="6659" max="6659" width="7.26953125" style="28" customWidth="1"/>
    <col min="6660" max="6660" width="20.26953125" style="28" customWidth="1"/>
    <col min="6661" max="6661" width="14.54296875" style="28" customWidth="1"/>
    <col min="6662" max="6662" width="11.7265625" style="28" customWidth="1"/>
    <col min="6663" max="6663" width="17.54296875" style="28" customWidth="1"/>
    <col min="6664" max="6664" width="8.26953125" style="28" customWidth="1"/>
    <col min="6665" max="6665" width="16.26953125" style="28" customWidth="1"/>
    <col min="6666" max="6666" width="8.54296875" style="28" customWidth="1"/>
    <col min="6667" max="6667" width="18.54296875" style="28" customWidth="1"/>
    <col min="6668" max="6912" width="9.26953125" style="28"/>
    <col min="6913" max="6913" width="5.453125" style="28" customWidth="1"/>
    <col min="6914" max="6914" width="42.81640625" style="28" customWidth="1"/>
    <col min="6915" max="6915" width="7.26953125" style="28" customWidth="1"/>
    <col min="6916" max="6916" width="20.26953125" style="28" customWidth="1"/>
    <col min="6917" max="6917" width="14.54296875" style="28" customWidth="1"/>
    <col min="6918" max="6918" width="11.7265625" style="28" customWidth="1"/>
    <col min="6919" max="6919" width="17.54296875" style="28" customWidth="1"/>
    <col min="6920" max="6920" width="8.26953125" style="28" customWidth="1"/>
    <col min="6921" max="6921" width="16.26953125" style="28" customWidth="1"/>
    <col min="6922" max="6922" width="8.54296875" style="28" customWidth="1"/>
    <col min="6923" max="6923" width="18.54296875" style="28" customWidth="1"/>
    <col min="6924" max="7168" width="9.26953125" style="28"/>
    <col min="7169" max="7169" width="5.453125" style="28" customWidth="1"/>
    <col min="7170" max="7170" width="42.81640625" style="28" customWidth="1"/>
    <col min="7171" max="7171" width="7.26953125" style="28" customWidth="1"/>
    <col min="7172" max="7172" width="20.26953125" style="28" customWidth="1"/>
    <col min="7173" max="7173" width="14.54296875" style="28" customWidth="1"/>
    <col min="7174" max="7174" width="11.7265625" style="28" customWidth="1"/>
    <col min="7175" max="7175" width="17.54296875" style="28" customWidth="1"/>
    <col min="7176" max="7176" width="8.26953125" style="28" customWidth="1"/>
    <col min="7177" max="7177" width="16.26953125" style="28" customWidth="1"/>
    <col min="7178" max="7178" width="8.54296875" style="28" customWidth="1"/>
    <col min="7179" max="7179" width="18.54296875" style="28" customWidth="1"/>
    <col min="7180" max="7424" width="9.26953125" style="28"/>
    <col min="7425" max="7425" width="5.453125" style="28" customWidth="1"/>
    <col min="7426" max="7426" width="42.81640625" style="28" customWidth="1"/>
    <col min="7427" max="7427" width="7.26953125" style="28" customWidth="1"/>
    <col min="7428" max="7428" width="20.26953125" style="28" customWidth="1"/>
    <col min="7429" max="7429" width="14.54296875" style="28" customWidth="1"/>
    <col min="7430" max="7430" width="11.7265625" style="28" customWidth="1"/>
    <col min="7431" max="7431" width="17.54296875" style="28" customWidth="1"/>
    <col min="7432" max="7432" width="8.26953125" style="28" customWidth="1"/>
    <col min="7433" max="7433" width="16.26953125" style="28" customWidth="1"/>
    <col min="7434" max="7434" width="8.54296875" style="28" customWidth="1"/>
    <col min="7435" max="7435" width="18.54296875" style="28" customWidth="1"/>
    <col min="7436" max="7680" width="9.26953125" style="28"/>
    <col min="7681" max="7681" width="5.453125" style="28" customWidth="1"/>
    <col min="7682" max="7682" width="42.81640625" style="28" customWidth="1"/>
    <col min="7683" max="7683" width="7.26953125" style="28" customWidth="1"/>
    <col min="7684" max="7684" width="20.26953125" style="28" customWidth="1"/>
    <col min="7685" max="7685" width="14.54296875" style="28" customWidth="1"/>
    <col min="7686" max="7686" width="11.7265625" style="28" customWidth="1"/>
    <col min="7687" max="7687" width="17.54296875" style="28" customWidth="1"/>
    <col min="7688" max="7688" width="8.26953125" style="28" customWidth="1"/>
    <col min="7689" max="7689" width="16.26953125" style="28" customWidth="1"/>
    <col min="7690" max="7690" width="8.54296875" style="28" customWidth="1"/>
    <col min="7691" max="7691" width="18.54296875" style="28" customWidth="1"/>
    <col min="7692" max="7936" width="9.26953125" style="28"/>
    <col min="7937" max="7937" width="5.453125" style="28" customWidth="1"/>
    <col min="7938" max="7938" width="42.81640625" style="28" customWidth="1"/>
    <col min="7939" max="7939" width="7.26953125" style="28" customWidth="1"/>
    <col min="7940" max="7940" width="20.26953125" style="28" customWidth="1"/>
    <col min="7941" max="7941" width="14.54296875" style="28" customWidth="1"/>
    <col min="7942" max="7942" width="11.7265625" style="28" customWidth="1"/>
    <col min="7943" max="7943" width="17.54296875" style="28" customWidth="1"/>
    <col min="7944" max="7944" width="8.26953125" style="28" customWidth="1"/>
    <col min="7945" max="7945" width="16.26953125" style="28" customWidth="1"/>
    <col min="7946" max="7946" width="8.54296875" style="28" customWidth="1"/>
    <col min="7947" max="7947" width="18.54296875" style="28" customWidth="1"/>
    <col min="7948" max="8192" width="9.26953125" style="28"/>
    <col min="8193" max="8193" width="5.453125" style="28" customWidth="1"/>
    <col min="8194" max="8194" width="42.81640625" style="28" customWidth="1"/>
    <col min="8195" max="8195" width="7.26953125" style="28" customWidth="1"/>
    <col min="8196" max="8196" width="20.26953125" style="28" customWidth="1"/>
    <col min="8197" max="8197" width="14.54296875" style="28" customWidth="1"/>
    <col min="8198" max="8198" width="11.7265625" style="28" customWidth="1"/>
    <col min="8199" max="8199" width="17.54296875" style="28" customWidth="1"/>
    <col min="8200" max="8200" width="8.26953125" style="28" customWidth="1"/>
    <col min="8201" max="8201" width="16.26953125" style="28" customWidth="1"/>
    <col min="8202" max="8202" width="8.54296875" style="28" customWidth="1"/>
    <col min="8203" max="8203" width="18.54296875" style="28" customWidth="1"/>
    <col min="8204" max="8448" width="9.26953125" style="28"/>
    <col min="8449" max="8449" width="5.453125" style="28" customWidth="1"/>
    <col min="8450" max="8450" width="42.81640625" style="28" customWidth="1"/>
    <col min="8451" max="8451" width="7.26953125" style="28" customWidth="1"/>
    <col min="8452" max="8452" width="20.26953125" style="28" customWidth="1"/>
    <col min="8453" max="8453" width="14.54296875" style="28" customWidth="1"/>
    <col min="8454" max="8454" width="11.7265625" style="28" customWidth="1"/>
    <col min="8455" max="8455" width="17.54296875" style="28" customWidth="1"/>
    <col min="8456" max="8456" width="8.26953125" style="28" customWidth="1"/>
    <col min="8457" max="8457" width="16.26953125" style="28" customWidth="1"/>
    <col min="8458" max="8458" width="8.54296875" style="28" customWidth="1"/>
    <col min="8459" max="8459" width="18.54296875" style="28" customWidth="1"/>
    <col min="8460" max="8704" width="9.26953125" style="28"/>
    <col min="8705" max="8705" width="5.453125" style="28" customWidth="1"/>
    <col min="8706" max="8706" width="42.81640625" style="28" customWidth="1"/>
    <col min="8707" max="8707" width="7.26953125" style="28" customWidth="1"/>
    <col min="8708" max="8708" width="20.26953125" style="28" customWidth="1"/>
    <col min="8709" max="8709" width="14.54296875" style="28" customWidth="1"/>
    <col min="8710" max="8710" width="11.7265625" style="28" customWidth="1"/>
    <col min="8711" max="8711" width="17.54296875" style="28" customWidth="1"/>
    <col min="8712" max="8712" width="8.26953125" style="28" customWidth="1"/>
    <col min="8713" max="8713" width="16.26953125" style="28" customWidth="1"/>
    <col min="8714" max="8714" width="8.54296875" style="28" customWidth="1"/>
    <col min="8715" max="8715" width="18.54296875" style="28" customWidth="1"/>
    <col min="8716" max="8960" width="9.26953125" style="28"/>
    <col min="8961" max="8961" width="5.453125" style="28" customWidth="1"/>
    <col min="8962" max="8962" width="42.81640625" style="28" customWidth="1"/>
    <col min="8963" max="8963" width="7.26953125" style="28" customWidth="1"/>
    <col min="8964" max="8964" width="20.26953125" style="28" customWidth="1"/>
    <col min="8965" max="8965" width="14.54296875" style="28" customWidth="1"/>
    <col min="8966" max="8966" width="11.7265625" style="28" customWidth="1"/>
    <col min="8967" max="8967" width="17.54296875" style="28" customWidth="1"/>
    <col min="8968" max="8968" width="8.26953125" style="28" customWidth="1"/>
    <col min="8969" max="8969" width="16.26953125" style="28" customWidth="1"/>
    <col min="8970" max="8970" width="8.54296875" style="28" customWidth="1"/>
    <col min="8971" max="8971" width="18.54296875" style="28" customWidth="1"/>
    <col min="8972" max="9216" width="9.26953125" style="28"/>
    <col min="9217" max="9217" width="5.453125" style="28" customWidth="1"/>
    <col min="9218" max="9218" width="42.81640625" style="28" customWidth="1"/>
    <col min="9219" max="9219" width="7.26953125" style="28" customWidth="1"/>
    <col min="9220" max="9220" width="20.26953125" style="28" customWidth="1"/>
    <col min="9221" max="9221" width="14.54296875" style="28" customWidth="1"/>
    <col min="9222" max="9222" width="11.7265625" style="28" customWidth="1"/>
    <col min="9223" max="9223" width="17.54296875" style="28" customWidth="1"/>
    <col min="9224" max="9224" width="8.26953125" style="28" customWidth="1"/>
    <col min="9225" max="9225" width="16.26953125" style="28" customWidth="1"/>
    <col min="9226" max="9226" width="8.54296875" style="28" customWidth="1"/>
    <col min="9227" max="9227" width="18.54296875" style="28" customWidth="1"/>
    <col min="9228" max="9472" width="9.26953125" style="28"/>
    <col min="9473" max="9473" width="5.453125" style="28" customWidth="1"/>
    <col min="9474" max="9474" width="42.81640625" style="28" customWidth="1"/>
    <col min="9475" max="9475" width="7.26953125" style="28" customWidth="1"/>
    <col min="9476" max="9476" width="20.26953125" style="28" customWidth="1"/>
    <col min="9477" max="9477" width="14.54296875" style="28" customWidth="1"/>
    <col min="9478" max="9478" width="11.7265625" style="28" customWidth="1"/>
    <col min="9479" max="9479" width="17.54296875" style="28" customWidth="1"/>
    <col min="9480" max="9480" width="8.26953125" style="28" customWidth="1"/>
    <col min="9481" max="9481" width="16.26953125" style="28" customWidth="1"/>
    <col min="9482" max="9482" width="8.54296875" style="28" customWidth="1"/>
    <col min="9483" max="9483" width="18.54296875" style="28" customWidth="1"/>
    <col min="9484" max="9728" width="9.26953125" style="28"/>
    <col min="9729" max="9729" width="5.453125" style="28" customWidth="1"/>
    <col min="9730" max="9730" width="42.81640625" style="28" customWidth="1"/>
    <col min="9731" max="9731" width="7.26953125" style="28" customWidth="1"/>
    <col min="9732" max="9732" width="20.26953125" style="28" customWidth="1"/>
    <col min="9733" max="9733" width="14.54296875" style="28" customWidth="1"/>
    <col min="9734" max="9734" width="11.7265625" style="28" customWidth="1"/>
    <col min="9735" max="9735" width="17.54296875" style="28" customWidth="1"/>
    <col min="9736" max="9736" width="8.26953125" style="28" customWidth="1"/>
    <col min="9737" max="9737" width="16.26953125" style="28" customWidth="1"/>
    <col min="9738" max="9738" width="8.54296875" style="28" customWidth="1"/>
    <col min="9739" max="9739" width="18.54296875" style="28" customWidth="1"/>
    <col min="9740" max="9984" width="9.26953125" style="28"/>
    <col min="9985" max="9985" width="5.453125" style="28" customWidth="1"/>
    <col min="9986" max="9986" width="42.81640625" style="28" customWidth="1"/>
    <col min="9987" max="9987" width="7.26953125" style="28" customWidth="1"/>
    <col min="9988" max="9988" width="20.26953125" style="28" customWidth="1"/>
    <col min="9989" max="9989" width="14.54296875" style="28" customWidth="1"/>
    <col min="9990" max="9990" width="11.7265625" style="28" customWidth="1"/>
    <col min="9991" max="9991" width="17.54296875" style="28" customWidth="1"/>
    <col min="9992" max="9992" width="8.26953125" style="28" customWidth="1"/>
    <col min="9993" max="9993" width="16.26953125" style="28" customWidth="1"/>
    <col min="9994" max="9994" width="8.54296875" style="28" customWidth="1"/>
    <col min="9995" max="9995" width="18.54296875" style="28" customWidth="1"/>
    <col min="9996" max="10240" width="9.26953125" style="28"/>
    <col min="10241" max="10241" width="5.453125" style="28" customWidth="1"/>
    <col min="10242" max="10242" width="42.81640625" style="28" customWidth="1"/>
    <col min="10243" max="10243" width="7.26953125" style="28" customWidth="1"/>
    <col min="10244" max="10244" width="20.26953125" style="28" customWidth="1"/>
    <col min="10245" max="10245" width="14.54296875" style="28" customWidth="1"/>
    <col min="10246" max="10246" width="11.7265625" style="28" customWidth="1"/>
    <col min="10247" max="10247" width="17.54296875" style="28" customWidth="1"/>
    <col min="10248" max="10248" width="8.26953125" style="28" customWidth="1"/>
    <col min="10249" max="10249" width="16.26953125" style="28" customWidth="1"/>
    <col min="10250" max="10250" width="8.54296875" style="28" customWidth="1"/>
    <col min="10251" max="10251" width="18.54296875" style="28" customWidth="1"/>
    <col min="10252" max="10496" width="9.26953125" style="28"/>
    <col min="10497" max="10497" width="5.453125" style="28" customWidth="1"/>
    <col min="10498" max="10498" width="42.81640625" style="28" customWidth="1"/>
    <col min="10499" max="10499" width="7.26953125" style="28" customWidth="1"/>
    <col min="10500" max="10500" width="20.26953125" style="28" customWidth="1"/>
    <col min="10501" max="10501" width="14.54296875" style="28" customWidth="1"/>
    <col min="10502" max="10502" width="11.7265625" style="28" customWidth="1"/>
    <col min="10503" max="10503" width="17.54296875" style="28" customWidth="1"/>
    <col min="10504" max="10504" width="8.26953125" style="28" customWidth="1"/>
    <col min="10505" max="10505" width="16.26953125" style="28" customWidth="1"/>
    <col min="10506" max="10506" width="8.54296875" style="28" customWidth="1"/>
    <col min="10507" max="10507" width="18.54296875" style="28" customWidth="1"/>
    <col min="10508" max="10752" width="9.26953125" style="28"/>
    <col min="10753" max="10753" width="5.453125" style="28" customWidth="1"/>
    <col min="10754" max="10754" width="42.81640625" style="28" customWidth="1"/>
    <col min="10755" max="10755" width="7.26953125" style="28" customWidth="1"/>
    <col min="10756" max="10756" width="20.26953125" style="28" customWidth="1"/>
    <col min="10757" max="10757" width="14.54296875" style="28" customWidth="1"/>
    <col min="10758" max="10758" width="11.7265625" style="28" customWidth="1"/>
    <col min="10759" max="10759" width="17.54296875" style="28" customWidth="1"/>
    <col min="10760" max="10760" width="8.26953125" style="28" customWidth="1"/>
    <col min="10761" max="10761" width="16.26953125" style="28" customWidth="1"/>
    <col min="10762" max="10762" width="8.54296875" style="28" customWidth="1"/>
    <col min="10763" max="10763" width="18.54296875" style="28" customWidth="1"/>
    <col min="10764" max="11008" width="9.26953125" style="28"/>
    <col min="11009" max="11009" width="5.453125" style="28" customWidth="1"/>
    <col min="11010" max="11010" width="42.81640625" style="28" customWidth="1"/>
    <col min="11011" max="11011" width="7.26953125" style="28" customWidth="1"/>
    <col min="11012" max="11012" width="20.26953125" style="28" customWidth="1"/>
    <col min="11013" max="11013" width="14.54296875" style="28" customWidth="1"/>
    <col min="11014" max="11014" width="11.7265625" style="28" customWidth="1"/>
    <col min="11015" max="11015" width="17.54296875" style="28" customWidth="1"/>
    <col min="11016" max="11016" width="8.26953125" style="28" customWidth="1"/>
    <col min="11017" max="11017" width="16.26953125" style="28" customWidth="1"/>
    <col min="11018" max="11018" width="8.54296875" style="28" customWidth="1"/>
    <col min="11019" max="11019" width="18.54296875" style="28" customWidth="1"/>
    <col min="11020" max="11264" width="9.26953125" style="28"/>
    <col min="11265" max="11265" width="5.453125" style="28" customWidth="1"/>
    <col min="11266" max="11266" width="42.81640625" style="28" customWidth="1"/>
    <col min="11267" max="11267" width="7.26953125" style="28" customWidth="1"/>
    <col min="11268" max="11268" width="20.26953125" style="28" customWidth="1"/>
    <col min="11269" max="11269" width="14.54296875" style="28" customWidth="1"/>
    <col min="11270" max="11270" width="11.7265625" style="28" customWidth="1"/>
    <col min="11271" max="11271" width="17.54296875" style="28" customWidth="1"/>
    <col min="11272" max="11272" width="8.26953125" style="28" customWidth="1"/>
    <col min="11273" max="11273" width="16.26953125" style="28" customWidth="1"/>
    <col min="11274" max="11274" width="8.54296875" style="28" customWidth="1"/>
    <col min="11275" max="11275" width="18.54296875" style="28" customWidth="1"/>
    <col min="11276" max="11520" width="9.26953125" style="28"/>
    <col min="11521" max="11521" width="5.453125" style="28" customWidth="1"/>
    <col min="11522" max="11522" width="42.81640625" style="28" customWidth="1"/>
    <col min="11523" max="11523" width="7.26953125" style="28" customWidth="1"/>
    <col min="11524" max="11524" width="20.26953125" style="28" customWidth="1"/>
    <col min="11525" max="11525" width="14.54296875" style="28" customWidth="1"/>
    <col min="11526" max="11526" width="11.7265625" style="28" customWidth="1"/>
    <col min="11527" max="11527" width="17.54296875" style="28" customWidth="1"/>
    <col min="11528" max="11528" width="8.26953125" style="28" customWidth="1"/>
    <col min="11529" max="11529" width="16.26953125" style="28" customWidth="1"/>
    <col min="11530" max="11530" width="8.54296875" style="28" customWidth="1"/>
    <col min="11531" max="11531" width="18.54296875" style="28" customWidth="1"/>
    <col min="11532" max="11776" width="9.26953125" style="28"/>
    <col min="11777" max="11777" width="5.453125" style="28" customWidth="1"/>
    <col min="11778" max="11778" width="42.81640625" style="28" customWidth="1"/>
    <col min="11779" max="11779" width="7.26953125" style="28" customWidth="1"/>
    <col min="11780" max="11780" width="20.26953125" style="28" customWidth="1"/>
    <col min="11781" max="11781" width="14.54296875" style="28" customWidth="1"/>
    <col min="11782" max="11782" width="11.7265625" style="28" customWidth="1"/>
    <col min="11783" max="11783" width="17.54296875" style="28" customWidth="1"/>
    <col min="11784" max="11784" width="8.26953125" style="28" customWidth="1"/>
    <col min="11785" max="11785" width="16.26953125" style="28" customWidth="1"/>
    <col min="11786" max="11786" width="8.54296875" style="28" customWidth="1"/>
    <col min="11787" max="11787" width="18.54296875" style="28" customWidth="1"/>
    <col min="11788" max="12032" width="9.26953125" style="28"/>
    <col min="12033" max="12033" width="5.453125" style="28" customWidth="1"/>
    <col min="12034" max="12034" width="42.81640625" style="28" customWidth="1"/>
    <col min="12035" max="12035" width="7.26953125" style="28" customWidth="1"/>
    <col min="12036" max="12036" width="20.26953125" style="28" customWidth="1"/>
    <col min="12037" max="12037" width="14.54296875" style="28" customWidth="1"/>
    <col min="12038" max="12038" width="11.7265625" style="28" customWidth="1"/>
    <col min="12039" max="12039" width="17.54296875" style="28" customWidth="1"/>
    <col min="12040" max="12040" width="8.26953125" style="28" customWidth="1"/>
    <col min="12041" max="12041" width="16.26953125" style="28" customWidth="1"/>
    <col min="12042" max="12042" width="8.54296875" style="28" customWidth="1"/>
    <col min="12043" max="12043" width="18.54296875" style="28" customWidth="1"/>
    <col min="12044" max="12288" width="9.26953125" style="28"/>
    <col min="12289" max="12289" width="5.453125" style="28" customWidth="1"/>
    <col min="12290" max="12290" width="42.81640625" style="28" customWidth="1"/>
    <col min="12291" max="12291" width="7.26953125" style="28" customWidth="1"/>
    <col min="12292" max="12292" width="20.26953125" style="28" customWidth="1"/>
    <col min="12293" max="12293" width="14.54296875" style="28" customWidth="1"/>
    <col min="12294" max="12294" width="11.7265625" style="28" customWidth="1"/>
    <col min="12295" max="12295" width="17.54296875" style="28" customWidth="1"/>
    <col min="12296" max="12296" width="8.26953125" style="28" customWidth="1"/>
    <col min="12297" max="12297" width="16.26953125" style="28" customWidth="1"/>
    <col min="12298" max="12298" width="8.54296875" style="28" customWidth="1"/>
    <col min="12299" max="12299" width="18.54296875" style="28" customWidth="1"/>
    <col min="12300" max="12544" width="9.26953125" style="28"/>
    <col min="12545" max="12545" width="5.453125" style="28" customWidth="1"/>
    <col min="12546" max="12546" width="42.81640625" style="28" customWidth="1"/>
    <col min="12547" max="12547" width="7.26953125" style="28" customWidth="1"/>
    <col min="12548" max="12548" width="20.26953125" style="28" customWidth="1"/>
    <col min="12549" max="12549" width="14.54296875" style="28" customWidth="1"/>
    <col min="12550" max="12550" width="11.7265625" style="28" customWidth="1"/>
    <col min="12551" max="12551" width="17.54296875" style="28" customWidth="1"/>
    <col min="12552" max="12552" width="8.26953125" style="28" customWidth="1"/>
    <col min="12553" max="12553" width="16.26953125" style="28" customWidth="1"/>
    <col min="12554" max="12554" width="8.54296875" style="28" customWidth="1"/>
    <col min="12555" max="12555" width="18.54296875" style="28" customWidth="1"/>
    <col min="12556" max="12800" width="9.26953125" style="28"/>
    <col min="12801" max="12801" width="5.453125" style="28" customWidth="1"/>
    <col min="12802" max="12802" width="42.81640625" style="28" customWidth="1"/>
    <col min="12803" max="12803" width="7.26953125" style="28" customWidth="1"/>
    <col min="12804" max="12804" width="20.26953125" style="28" customWidth="1"/>
    <col min="12805" max="12805" width="14.54296875" style="28" customWidth="1"/>
    <col min="12806" max="12806" width="11.7265625" style="28" customWidth="1"/>
    <col min="12807" max="12807" width="17.54296875" style="28" customWidth="1"/>
    <col min="12808" max="12808" width="8.26953125" style="28" customWidth="1"/>
    <col min="12809" max="12809" width="16.26953125" style="28" customWidth="1"/>
    <col min="12810" max="12810" width="8.54296875" style="28" customWidth="1"/>
    <col min="12811" max="12811" width="18.54296875" style="28" customWidth="1"/>
    <col min="12812" max="13056" width="9.26953125" style="28"/>
    <col min="13057" max="13057" width="5.453125" style="28" customWidth="1"/>
    <col min="13058" max="13058" width="42.81640625" style="28" customWidth="1"/>
    <col min="13059" max="13059" width="7.26953125" style="28" customWidth="1"/>
    <col min="13060" max="13060" width="20.26953125" style="28" customWidth="1"/>
    <col min="13061" max="13061" width="14.54296875" style="28" customWidth="1"/>
    <col min="13062" max="13062" width="11.7265625" style="28" customWidth="1"/>
    <col min="13063" max="13063" width="17.54296875" style="28" customWidth="1"/>
    <col min="13064" max="13064" width="8.26953125" style="28" customWidth="1"/>
    <col min="13065" max="13065" width="16.26953125" style="28" customWidth="1"/>
    <col min="13066" max="13066" width="8.54296875" style="28" customWidth="1"/>
    <col min="13067" max="13067" width="18.54296875" style="28" customWidth="1"/>
    <col min="13068" max="13312" width="9.26953125" style="28"/>
    <col min="13313" max="13313" width="5.453125" style="28" customWidth="1"/>
    <col min="13314" max="13314" width="42.81640625" style="28" customWidth="1"/>
    <col min="13315" max="13315" width="7.26953125" style="28" customWidth="1"/>
    <col min="13316" max="13316" width="20.26953125" style="28" customWidth="1"/>
    <col min="13317" max="13317" width="14.54296875" style="28" customWidth="1"/>
    <col min="13318" max="13318" width="11.7265625" style="28" customWidth="1"/>
    <col min="13319" max="13319" width="17.54296875" style="28" customWidth="1"/>
    <col min="13320" max="13320" width="8.26953125" style="28" customWidth="1"/>
    <col min="13321" max="13321" width="16.26953125" style="28" customWidth="1"/>
    <col min="13322" max="13322" width="8.54296875" style="28" customWidth="1"/>
    <col min="13323" max="13323" width="18.54296875" style="28" customWidth="1"/>
    <col min="13324" max="13568" width="9.26953125" style="28"/>
    <col min="13569" max="13569" width="5.453125" style="28" customWidth="1"/>
    <col min="13570" max="13570" width="42.81640625" style="28" customWidth="1"/>
    <col min="13571" max="13571" width="7.26953125" style="28" customWidth="1"/>
    <col min="13572" max="13572" width="20.26953125" style="28" customWidth="1"/>
    <col min="13573" max="13573" width="14.54296875" style="28" customWidth="1"/>
    <col min="13574" max="13574" width="11.7265625" style="28" customWidth="1"/>
    <col min="13575" max="13575" width="17.54296875" style="28" customWidth="1"/>
    <col min="13576" max="13576" width="8.26953125" style="28" customWidth="1"/>
    <col min="13577" max="13577" width="16.26953125" style="28" customWidth="1"/>
    <col min="13578" max="13578" width="8.54296875" style="28" customWidth="1"/>
    <col min="13579" max="13579" width="18.54296875" style="28" customWidth="1"/>
    <col min="13580" max="13824" width="9.26953125" style="28"/>
    <col min="13825" max="13825" width="5.453125" style="28" customWidth="1"/>
    <col min="13826" max="13826" width="42.81640625" style="28" customWidth="1"/>
    <col min="13827" max="13827" width="7.26953125" style="28" customWidth="1"/>
    <col min="13828" max="13828" width="20.26953125" style="28" customWidth="1"/>
    <col min="13829" max="13829" width="14.54296875" style="28" customWidth="1"/>
    <col min="13830" max="13830" width="11.7265625" style="28" customWidth="1"/>
    <col min="13831" max="13831" width="17.54296875" style="28" customWidth="1"/>
    <col min="13832" max="13832" width="8.26953125" style="28" customWidth="1"/>
    <col min="13833" max="13833" width="16.26953125" style="28" customWidth="1"/>
    <col min="13834" max="13834" width="8.54296875" style="28" customWidth="1"/>
    <col min="13835" max="13835" width="18.54296875" style="28" customWidth="1"/>
    <col min="13836" max="14080" width="9.26953125" style="28"/>
    <col min="14081" max="14081" width="5.453125" style="28" customWidth="1"/>
    <col min="14082" max="14082" width="42.81640625" style="28" customWidth="1"/>
    <col min="14083" max="14083" width="7.26953125" style="28" customWidth="1"/>
    <col min="14084" max="14084" width="20.26953125" style="28" customWidth="1"/>
    <col min="14085" max="14085" width="14.54296875" style="28" customWidth="1"/>
    <col min="14086" max="14086" width="11.7265625" style="28" customWidth="1"/>
    <col min="14087" max="14087" width="17.54296875" style="28" customWidth="1"/>
    <col min="14088" max="14088" width="8.26953125" style="28" customWidth="1"/>
    <col min="14089" max="14089" width="16.26953125" style="28" customWidth="1"/>
    <col min="14090" max="14090" width="8.54296875" style="28" customWidth="1"/>
    <col min="14091" max="14091" width="18.54296875" style="28" customWidth="1"/>
    <col min="14092" max="14336" width="9.26953125" style="28"/>
    <col min="14337" max="14337" width="5.453125" style="28" customWidth="1"/>
    <col min="14338" max="14338" width="42.81640625" style="28" customWidth="1"/>
    <col min="14339" max="14339" width="7.26953125" style="28" customWidth="1"/>
    <col min="14340" max="14340" width="20.26953125" style="28" customWidth="1"/>
    <col min="14341" max="14341" width="14.54296875" style="28" customWidth="1"/>
    <col min="14342" max="14342" width="11.7265625" style="28" customWidth="1"/>
    <col min="14343" max="14343" width="17.54296875" style="28" customWidth="1"/>
    <col min="14344" max="14344" width="8.26953125" style="28" customWidth="1"/>
    <col min="14345" max="14345" width="16.26953125" style="28" customWidth="1"/>
    <col min="14346" max="14346" width="8.54296875" style="28" customWidth="1"/>
    <col min="14347" max="14347" width="18.54296875" style="28" customWidth="1"/>
    <col min="14348" max="14592" width="9.26953125" style="28"/>
    <col min="14593" max="14593" width="5.453125" style="28" customWidth="1"/>
    <col min="14594" max="14594" width="42.81640625" style="28" customWidth="1"/>
    <col min="14595" max="14595" width="7.26953125" style="28" customWidth="1"/>
    <col min="14596" max="14596" width="20.26953125" style="28" customWidth="1"/>
    <col min="14597" max="14597" width="14.54296875" style="28" customWidth="1"/>
    <col min="14598" max="14598" width="11.7265625" style="28" customWidth="1"/>
    <col min="14599" max="14599" width="17.54296875" style="28" customWidth="1"/>
    <col min="14600" max="14600" width="8.26953125" style="28" customWidth="1"/>
    <col min="14601" max="14601" width="16.26953125" style="28" customWidth="1"/>
    <col min="14602" max="14602" width="8.54296875" style="28" customWidth="1"/>
    <col min="14603" max="14603" width="18.54296875" style="28" customWidth="1"/>
    <col min="14604" max="14848" width="9.26953125" style="28"/>
    <col min="14849" max="14849" width="5.453125" style="28" customWidth="1"/>
    <col min="14850" max="14850" width="42.81640625" style="28" customWidth="1"/>
    <col min="14851" max="14851" width="7.26953125" style="28" customWidth="1"/>
    <col min="14852" max="14852" width="20.26953125" style="28" customWidth="1"/>
    <col min="14853" max="14853" width="14.54296875" style="28" customWidth="1"/>
    <col min="14854" max="14854" width="11.7265625" style="28" customWidth="1"/>
    <col min="14855" max="14855" width="17.54296875" style="28" customWidth="1"/>
    <col min="14856" max="14856" width="8.26953125" style="28" customWidth="1"/>
    <col min="14857" max="14857" width="16.26953125" style="28" customWidth="1"/>
    <col min="14858" max="14858" width="8.54296875" style="28" customWidth="1"/>
    <col min="14859" max="14859" width="18.54296875" style="28" customWidth="1"/>
    <col min="14860" max="15104" width="9.26953125" style="28"/>
    <col min="15105" max="15105" width="5.453125" style="28" customWidth="1"/>
    <col min="15106" max="15106" width="42.81640625" style="28" customWidth="1"/>
    <col min="15107" max="15107" width="7.26953125" style="28" customWidth="1"/>
    <col min="15108" max="15108" width="20.26953125" style="28" customWidth="1"/>
    <col min="15109" max="15109" width="14.54296875" style="28" customWidth="1"/>
    <col min="15110" max="15110" width="11.7265625" style="28" customWidth="1"/>
    <col min="15111" max="15111" width="17.54296875" style="28" customWidth="1"/>
    <col min="15112" max="15112" width="8.26953125" style="28" customWidth="1"/>
    <col min="15113" max="15113" width="16.26953125" style="28" customWidth="1"/>
    <col min="15114" max="15114" width="8.54296875" style="28" customWidth="1"/>
    <col min="15115" max="15115" width="18.54296875" style="28" customWidth="1"/>
    <col min="15116" max="15360" width="9.26953125" style="28"/>
    <col min="15361" max="15361" width="5.453125" style="28" customWidth="1"/>
    <col min="15362" max="15362" width="42.81640625" style="28" customWidth="1"/>
    <col min="15363" max="15363" width="7.26953125" style="28" customWidth="1"/>
    <col min="15364" max="15364" width="20.26953125" style="28" customWidth="1"/>
    <col min="15365" max="15365" width="14.54296875" style="28" customWidth="1"/>
    <col min="15366" max="15366" width="11.7265625" style="28" customWidth="1"/>
    <col min="15367" max="15367" width="17.54296875" style="28" customWidth="1"/>
    <col min="15368" max="15368" width="8.26953125" style="28" customWidth="1"/>
    <col min="15369" max="15369" width="16.26953125" style="28" customWidth="1"/>
    <col min="15370" max="15370" width="8.54296875" style="28" customWidth="1"/>
    <col min="15371" max="15371" width="18.54296875" style="28" customWidth="1"/>
    <col min="15372" max="15616" width="9.26953125" style="28"/>
    <col min="15617" max="15617" width="5.453125" style="28" customWidth="1"/>
    <col min="15618" max="15618" width="42.81640625" style="28" customWidth="1"/>
    <col min="15619" max="15619" width="7.26953125" style="28" customWidth="1"/>
    <col min="15620" max="15620" width="20.26953125" style="28" customWidth="1"/>
    <col min="15621" max="15621" width="14.54296875" style="28" customWidth="1"/>
    <col min="15622" max="15622" width="11.7265625" style="28" customWidth="1"/>
    <col min="15623" max="15623" width="17.54296875" style="28" customWidth="1"/>
    <col min="15624" max="15624" width="8.26953125" style="28" customWidth="1"/>
    <col min="15625" max="15625" width="16.26953125" style="28" customWidth="1"/>
    <col min="15626" max="15626" width="8.54296875" style="28" customWidth="1"/>
    <col min="15627" max="15627" width="18.54296875" style="28" customWidth="1"/>
    <col min="15628" max="15872" width="9.26953125" style="28"/>
    <col min="15873" max="15873" width="5.453125" style="28" customWidth="1"/>
    <col min="15874" max="15874" width="42.81640625" style="28" customWidth="1"/>
    <col min="15875" max="15875" width="7.26953125" style="28" customWidth="1"/>
    <col min="15876" max="15876" width="20.26953125" style="28" customWidth="1"/>
    <col min="15877" max="15877" width="14.54296875" style="28" customWidth="1"/>
    <col min="15878" max="15878" width="11.7265625" style="28" customWidth="1"/>
    <col min="15879" max="15879" width="17.54296875" style="28" customWidth="1"/>
    <col min="15880" max="15880" width="8.26953125" style="28" customWidth="1"/>
    <col min="15881" max="15881" width="16.26953125" style="28" customWidth="1"/>
    <col min="15882" max="15882" width="8.54296875" style="28" customWidth="1"/>
    <col min="15883" max="15883" width="18.54296875" style="28" customWidth="1"/>
    <col min="15884" max="16128" width="9.26953125" style="28"/>
    <col min="16129" max="16129" width="5.453125" style="28" customWidth="1"/>
    <col min="16130" max="16130" width="42.81640625" style="28" customWidth="1"/>
    <col min="16131" max="16131" width="7.26953125" style="28" customWidth="1"/>
    <col min="16132" max="16132" width="20.26953125" style="28" customWidth="1"/>
    <col min="16133" max="16133" width="14.54296875" style="28" customWidth="1"/>
    <col min="16134" max="16134" width="11.7265625" style="28" customWidth="1"/>
    <col min="16135" max="16135" width="17.54296875" style="28" customWidth="1"/>
    <col min="16136" max="16136" width="8.26953125" style="28" customWidth="1"/>
    <col min="16137" max="16137" width="16.26953125" style="28" customWidth="1"/>
    <col min="16138" max="16138" width="8.54296875" style="28" customWidth="1"/>
    <col min="16139" max="16139" width="18.54296875" style="28" customWidth="1"/>
    <col min="16140" max="16384" width="9.26953125" style="28"/>
  </cols>
  <sheetData>
    <row r="1" spans="1:11" ht="24" customHeight="1" x14ac:dyDescent="0.2">
      <c r="B1" s="29"/>
      <c r="C1" s="29"/>
      <c r="D1" s="29"/>
      <c r="E1" s="29"/>
      <c r="F1" s="29"/>
      <c r="G1" s="29"/>
      <c r="H1" s="349" t="s">
        <v>514</v>
      </c>
      <c r="I1" s="349"/>
      <c r="J1" s="349"/>
      <c r="K1" s="349"/>
    </row>
    <row r="2" spans="1:11" ht="26.25" customHeight="1" x14ac:dyDescent="0.2">
      <c r="A2" s="350" t="s">
        <v>1073</v>
      </c>
      <c r="B2" s="350"/>
      <c r="C2" s="350"/>
      <c r="D2" s="350"/>
      <c r="E2" s="350"/>
      <c r="F2" s="350"/>
      <c r="G2" s="350"/>
      <c r="H2" s="350"/>
      <c r="I2" s="350"/>
      <c r="J2" s="350"/>
      <c r="K2" s="350"/>
    </row>
    <row r="3" spans="1:11" ht="28.5" customHeight="1" x14ac:dyDescent="0.2">
      <c r="A3" s="351" t="s">
        <v>1074</v>
      </c>
      <c r="B3" s="351"/>
      <c r="C3" s="351"/>
      <c r="D3" s="351"/>
      <c r="E3" s="351"/>
      <c r="F3" s="351"/>
      <c r="G3" s="351"/>
      <c r="H3" s="351"/>
      <c r="I3" s="351"/>
      <c r="J3" s="351"/>
      <c r="K3" s="351"/>
    </row>
    <row r="4" spans="1:11" ht="18" customHeight="1" x14ac:dyDescent="0.2">
      <c r="A4" s="352" t="s">
        <v>1115</v>
      </c>
      <c r="B4" s="353"/>
      <c r="C4" s="353"/>
      <c r="D4" s="353"/>
      <c r="E4" s="353"/>
      <c r="F4" s="353"/>
      <c r="G4" s="353"/>
      <c r="H4" s="353"/>
      <c r="I4" s="353"/>
      <c r="J4" s="353"/>
      <c r="K4" s="353"/>
    </row>
    <row r="5" spans="1:11" x14ac:dyDescent="0.2">
      <c r="A5" s="30"/>
      <c r="B5" s="31"/>
      <c r="C5" s="31"/>
      <c r="D5" s="32"/>
      <c r="E5" s="32"/>
      <c r="F5" s="31"/>
      <c r="G5" s="31"/>
      <c r="H5" s="31"/>
      <c r="I5" s="31"/>
      <c r="J5" s="31"/>
      <c r="K5" s="31"/>
    </row>
    <row r="6" spans="1:11" x14ac:dyDescent="0.2">
      <c r="A6" s="33">
        <v>1</v>
      </c>
      <c r="B6" s="34" t="s">
        <v>9</v>
      </c>
      <c r="C6" s="34" t="s">
        <v>1075</v>
      </c>
      <c r="D6" s="32"/>
      <c r="E6" s="32"/>
      <c r="F6" s="31"/>
      <c r="G6" s="31"/>
      <c r="H6" s="31"/>
      <c r="I6" s="31"/>
      <c r="J6" s="31"/>
      <c r="K6" s="31"/>
    </row>
    <row r="7" spans="1:11" x14ac:dyDescent="0.2">
      <c r="A7" s="33"/>
      <c r="B7" s="35" t="s">
        <v>11</v>
      </c>
      <c r="C7" s="35" t="s">
        <v>12</v>
      </c>
      <c r="D7" s="36"/>
      <c r="E7" s="36"/>
      <c r="F7" s="37"/>
      <c r="G7" s="37"/>
      <c r="H7" s="37"/>
      <c r="I7" s="37"/>
      <c r="J7" s="37"/>
      <c r="K7" s="37"/>
    </row>
    <row r="8" spans="1:11" ht="12.75" customHeight="1" x14ac:dyDescent="0.2">
      <c r="A8" s="38">
        <v>2</v>
      </c>
      <c r="B8" s="39" t="s">
        <v>383</v>
      </c>
      <c r="C8" s="40" t="s">
        <v>1027</v>
      </c>
      <c r="D8" s="40"/>
      <c r="E8" s="40"/>
      <c r="F8" s="40"/>
      <c r="G8" s="40"/>
      <c r="H8" s="40"/>
      <c r="I8" s="41"/>
      <c r="J8" s="41"/>
      <c r="K8" s="41"/>
    </row>
    <row r="9" spans="1:11" ht="12.75" customHeight="1" x14ac:dyDescent="0.2">
      <c r="A9" s="38"/>
      <c r="B9" s="42" t="s">
        <v>1028</v>
      </c>
      <c r="C9" s="43" t="s">
        <v>674</v>
      </c>
      <c r="D9" s="44"/>
      <c r="E9" s="44"/>
      <c r="F9" s="44"/>
      <c r="G9" s="44"/>
      <c r="H9" s="44"/>
      <c r="I9" s="45"/>
      <c r="J9" s="45"/>
      <c r="K9" s="45"/>
    </row>
    <row r="10" spans="1:11" ht="12.75" customHeight="1" x14ac:dyDescent="0.2">
      <c r="A10" s="38">
        <v>3</v>
      </c>
      <c r="B10" s="39" t="s">
        <v>4</v>
      </c>
      <c r="C10" s="40" t="s">
        <v>1029</v>
      </c>
      <c r="D10" s="40"/>
      <c r="E10" s="40"/>
      <c r="F10" s="40"/>
      <c r="G10" s="40"/>
      <c r="H10" s="40"/>
      <c r="I10" s="41"/>
      <c r="J10" s="41"/>
      <c r="K10" s="41"/>
    </row>
    <row r="11" spans="1:11" ht="12.75" customHeight="1" x14ac:dyDescent="0.2">
      <c r="A11" s="38"/>
      <c r="B11" s="42" t="s">
        <v>1030</v>
      </c>
      <c r="C11" s="44" t="s">
        <v>1031</v>
      </c>
      <c r="D11" s="44"/>
      <c r="E11" s="44"/>
      <c r="F11" s="44"/>
      <c r="G11" s="44"/>
      <c r="H11" s="44"/>
      <c r="I11" s="41"/>
      <c r="J11" s="41"/>
      <c r="K11" s="41"/>
    </row>
    <row r="12" spans="1:11" ht="13.5" customHeight="1" x14ac:dyDescent="0.2">
      <c r="A12" s="38">
        <v>4</v>
      </c>
      <c r="B12" s="39" t="s">
        <v>19</v>
      </c>
      <c r="C12" s="315">
        <v>45853</v>
      </c>
      <c r="D12" s="315"/>
      <c r="E12" s="315"/>
      <c r="F12" s="315"/>
      <c r="G12" s="40"/>
      <c r="H12" s="40"/>
      <c r="I12" s="46"/>
      <c r="J12" s="46"/>
      <c r="K12" s="46"/>
    </row>
    <row r="13" spans="1:11" ht="13.5" customHeight="1" x14ac:dyDescent="0.2">
      <c r="A13" s="44"/>
      <c r="B13" s="42" t="s">
        <v>20</v>
      </c>
      <c r="C13" s="311">
        <f>+C12</f>
        <v>45853</v>
      </c>
      <c r="D13" s="311"/>
      <c r="E13" s="311"/>
      <c r="F13" s="311"/>
      <c r="G13" s="348"/>
      <c r="H13" s="348"/>
      <c r="I13" s="47"/>
      <c r="J13" s="47"/>
      <c r="K13" s="47"/>
    </row>
    <row r="14" spans="1:11" x14ac:dyDescent="0.2">
      <c r="A14" s="48" t="s">
        <v>1040</v>
      </c>
      <c r="B14" s="48" t="s">
        <v>1076</v>
      </c>
      <c r="C14" s="49"/>
      <c r="D14" s="50"/>
      <c r="E14" s="50"/>
      <c r="F14" s="50"/>
      <c r="G14" s="51"/>
      <c r="H14" s="51"/>
      <c r="I14" s="47"/>
      <c r="J14" s="47"/>
      <c r="K14" s="47"/>
    </row>
    <row r="15" spans="1:11" x14ac:dyDescent="0.2">
      <c r="A15" s="34" t="s">
        <v>341</v>
      </c>
      <c r="B15" s="34" t="s">
        <v>1077</v>
      </c>
      <c r="C15" s="52"/>
      <c r="D15" s="53"/>
      <c r="E15" s="53"/>
      <c r="F15" s="54"/>
      <c r="G15" s="54"/>
      <c r="H15" s="54"/>
      <c r="I15" s="54"/>
      <c r="J15" s="54"/>
      <c r="K15" s="54"/>
    </row>
    <row r="16" spans="1:11" ht="24.75" customHeight="1" x14ac:dyDescent="0.2">
      <c r="A16" s="331" t="s">
        <v>386</v>
      </c>
      <c r="B16" s="331" t="s">
        <v>1078</v>
      </c>
      <c r="C16" s="346" t="s">
        <v>26</v>
      </c>
      <c r="D16" s="331" t="s">
        <v>1079</v>
      </c>
      <c r="E16" s="331" t="s">
        <v>1080</v>
      </c>
      <c r="F16" s="331" t="s">
        <v>1081</v>
      </c>
      <c r="G16" s="331" t="s">
        <v>1082</v>
      </c>
      <c r="H16" s="333" t="s">
        <v>1083</v>
      </c>
      <c r="I16" s="334"/>
      <c r="J16" s="333" t="s">
        <v>1084</v>
      </c>
      <c r="K16" s="334"/>
    </row>
    <row r="17" spans="1:11" ht="58.5" customHeight="1" x14ac:dyDescent="0.2">
      <c r="A17" s="332"/>
      <c r="B17" s="332"/>
      <c r="C17" s="347"/>
      <c r="D17" s="332"/>
      <c r="E17" s="332"/>
      <c r="F17" s="332"/>
      <c r="G17" s="332"/>
      <c r="H17" s="55" t="s">
        <v>1085</v>
      </c>
      <c r="I17" s="55" t="s">
        <v>1086</v>
      </c>
      <c r="J17" s="55" t="s">
        <v>1087</v>
      </c>
      <c r="K17" s="55" t="s">
        <v>1088</v>
      </c>
    </row>
    <row r="18" spans="1:11" ht="20" x14ac:dyDescent="0.2">
      <c r="A18" s="56">
        <v>1</v>
      </c>
      <c r="B18" s="57" t="s">
        <v>1089</v>
      </c>
      <c r="C18" s="58" t="s">
        <v>580</v>
      </c>
      <c r="D18" s="335"/>
      <c r="E18" s="336"/>
      <c r="F18" s="336"/>
      <c r="G18" s="336"/>
      <c r="H18" s="336"/>
      <c r="I18" s="336"/>
      <c r="J18" s="336"/>
      <c r="K18" s="337"/>
    </row>
    <row r="19" spans="1:11" ht="20" x14ac:dyDescent="0.2">
      <c r="A19" s="56" t="s">
        <v>29</v>
      </c>
      <c r="B19" s="57" t="s">
        <v>1090</v>
      </c>
      <c r="C19" s="58" t="s">
        <v>1091</v>
      </c>
      <c r="D19" s="338"/>
      <c r="E19" s="339"/>
      <c r="F19" s="339"/>
      <c r="G19" s="339"/>
      <c r="H19" s="339"/>
      <c r="I19" s="339"/>
      <c r="J19" s="339"/>
      <c r="K19" s="340"/>
    </row>
    <row r="20" spans="1:11" ht="20" x14ac:dyDescent="0.2">
      <c r="A20" s="56">
        <v>2</v>
      </c>
      <c r="B20" s="57" t="s">
        <v>1092</v>
      </c>
      <c r="C20" s="58" t="s">
        <v>1093</v>
      </c>
      <c r="D20" s="338"/>
      <c r="E20" s="339"/>
      <c r="F20" s="339"/>
      <c r="G20" s="339"/>
      <c r="H20" s="339"/>
      <c r="I20" s="339"/>
      <c r="J20" s="339"/>
      <c r="K20" s="340"/>
    </row>
    <row r="21" spans="1:11" ht="20" x14ac:dyDescent="0.2">
      <c r="A21" s="56" t="s">
        <v>121</v>
      </c>
      <c r="B21" s="57" t="s">
        <v>1094</v>
      </c>
      <c r="C21" s="58" t="s">
        <v>1095</v>
      </c>
      <c r="D21" s="338"/>
      <c r="E21" s="339"/>
      <c r="F21" s="339"/>
      <c r="G21" s="339"/>
      <c r="H21" s="339"/>
      <c r="I21" s="339"/>
      <c r="J21" s="339"/>
      <c r="K21" s="340"/>
    </row>
    <row r="22" spans="1:11" ht="20" x14ac:dyDescent="0.2">
      <c r="A22" s="56" t="s">
        <v>1040</v>
      </c>
      <c r="B22" s="59" t="s">
        <v>1096</v>
      </c>
      <c r="C22" s="58" t="s">
        <v>1097</v>
      </c>
      <c r="D22" s="338"/>
      <c r="E22" s="339"/>
      <c r="F22" s="339"/>
      <c r="G22" s="339"/>
      <c r="H22" s="339"/>
      <c r="I22" s="339"/>
      <c r="J22" s="339"/>
      <c r="K22" s="340"/>
    </row>
    <row r="23" spans="1:11" ht="20" x14ac:dyDescent="0.2">
      <c r="A23" s="60" t="s">
        <v>13</v>
      </c>
      <c r="B23" s="59" t="s">
        <v>1098</v>
      </c>
      <c r="C23" s="58" t="s">
        <v>1099</v>
      </c>
      <c r="D23" s="338"/>
      <c r="E23" s="339"/>
      <c r="F23" s="339"/>
      <c r="G23" s="339"/>
      <c r="H23" s="339"/>
      <c r="I23" s="339"/>
      <c r="J23" s="339"/>
      <c r="K23" s="340"/>
    </row>
    <row r="24" spans="1:11" ht="20" x14ac:dyDescent="0.2">
      <c r="A24" s="60" t="s">
        <v>338</v>
      </c>
      <c r="B24" s="57" t="s">
        <v>1100</v>
      </c>
      <c r="C24" s="58" t="s">
        <v>1101</v>
      </c>
      <c r="D24" s="338"/>
      <c r="E24" s="339"/>
      <c r="F24" s="339"/>
      <c r="G24" s="339"/>
      <c r="H24" s="339"/>
      <c r="I24" s="339"/>
      <c r="J24" s="339"/>
      <c r="K24" s="340"/>
    </row>
    <row r="25" spans="1:11" ht="20" x14ac:dyDescent="0.2">
      <c r="A25" s="60" t="s">
        <v>18</v>
      </c>
      <c r="B25" s="57" t="s">
        <v>1102</v>
      </c>
      <c r="C25" s="58" t="s">
        <v>1103</v>
      </c>
      <c r="D25" s="338"/>
      <c r="E25" s="339"/>
      <c r="F25" s="339"/>
      <c r="G25" s="339"/>
      <c r="H25" s="339"/>
      <c r="I25" s="339"/>
      <c r="J25" s="339"/>
      <c r="K25" s="340"/>
    </row>
    <row r="26" spans="1:11" ht="20" x14ac:dyDescent="0.2">
      <c r="A26" s="60" t="s">
        <v>341</v>
      </c>
      <c r="B26" s="57" t="s">
        <v>1100</v>
      </c>
      <c r="C26" s="58" t="s">
        <v>1104</v>
      </c>
      <c r="D26" s="338"/>
      <c r="E26" s="339"/>
      <c r="F26" s="339"/>
      <c r="G26" s="339"/>
      <c r="H26" s="339"/>
      <c r="I26" s="339"/>
      <c r="J26" s="339"/>
      <c r="K26" s="340"/>
    </row>
    <row r="27" spans="1:11" ht="25.5" customHeight="1" x14ac:dyDescent="0.2">
      <c r="A27" s="56" t="s">
        <v>1065</v>
      </c>
      <c r="B27" s="59" t="s">
        <v>1105</v>
      </c>
      <c r="C27" s="58" t="s">
        <v>1106</v>
      </c>
      <c r="D27" s="341"/>
      <c r="E27" s="342"/>
      <c r="F27" s="342"/>
      <c r="G27" s="342"/>
      <c r="H27" s="342"/>
      <c r="I27" s="342"/>
      <c r="J27" s="342"/>
      <c r="K27" s="343"/>
    </row>
    <row r="28" spans="1:11" ht="9" customHeight="1" x14ac:dyDescent="0.2">
      <c r="A28" s="54"/>
      <c r="B28" s="61"/>
      <c r="C28" s="61"/>
      <c r="D28" s="54"/>
      <c r="E28" s="54"/>
      <c r="F28" s="54"/>
      <c r="G28" s="54"/>
      <c r="H28" s="54"/>
      <c r="I28" s="54"/>
      <c r="J28" s="54"/>
      <c r="K28" s="54"/>
    </row>
    <row r="29" spans="1:11" x14ac:dyDescent="0.2">
      <c r="A29" s="344" t="s">
        <v>223</v>
      </c>
      <c r="B29" s="344"/>
      <c r="C29" s="344"/>
      <c r="E29" s="62"/>
      <c r="F29" s="63"/>
      <c r="G29" s="63"/>
      <c r="H29" s="345" t="s">
        <v>224</v>
      </c>
      <c r="I29" s="345"/>
      <c r="J29" s="345"/>
      <c r="K29" s="345"/>
    </row>
    <row r="30" spans="1:11" x14ac:dyDescent="0.2">
      <c r="A30" s="327" t="s">
        <v>225</v>
      </c>
      <c r="B30" s="327"/>
      <c r="C30" s="327"/>
      <c r="E30" s="64"/>
      <c r="F30" s="65"/>
      <c r="G30" s="65"/>
      <c r="H30" s="329" t="s">
        <v>226</v>
      </c>
      <c r="I30" s="329"/>
      <c r="J30" s="329"/>
      <c r="K30" s="329"/>
    </row>
    <row r="31" spans="1:11" ht="36.75" customHeight="1" x14ac:dyDescent="0.2">
      <c r="A31" s="65"/>
      <c r="B31" s="66"/>
      <c r="C31" s="67"/>
      <c r="E31" s="64"/>
      <c r="F31" s="65"/>
      <c r="G31" s="65"/>
      <c r="H31" s="68"/>
      <c r="J31" s="69"/>
      <c r="K31" s="70"/>
    </row>
    <row r="32" spans="1:11" ht="36.75" customHeight="1" x14ac:dyDescent="0.2">
      <c r="A32" s="66"/>
      <c r="B32" s="66"/>
      <c r="C32" s="71"/>
      <c r="D32" s="72"/>
      <c r="E32" s="73"/>
      <c r="F32" s="74"/>
      <c r="G32" s="69"/>
      <c r="H32" s="69"/>
      <c r="J32" s="69"/>
      <c r="K32" s="69"/>
    </row>
    <row r="33" spans="1:11" x14ac:dyDescent="0.2">
      <c r="A33" s="75"/>
      <c r="B33" s="75"/>
      <c r="C33" s="76"/>
      <c r="D33" s="77"/>
      <c r="E33" s="78"/>
      <c r="F33" s="74"/>
      <c r="G33" s="79"/>
      <c r="H33" s="75"/>
      <c r="I33" s="75"/>
      <c r="J33" s="76"/>
      <c r="K33" s="69"/>
    </row>
    <row r="34" spans="1:11" s="80" customFormat="1" ht="12.75" customHeight="1" x14ac:dyDescent="0.35">
      <c r="A34" s="327" t="s">
        <v>1107</v>
      </c>
      <c r="B34" s="327"/>
      <c r="C34" s="327"/>
      <c r="E34" s="65"/>
      <c r="F34" s="65"/>
      <c r="G34" s="81"/>
      <c r="H34" s="330" t="s">
        <v>1026</v>
      </c>
      <c r="I34" s="330"/>
      <c r="J34" s="330"/>
      <c r="K34" s="330"/>
    </row>
    <row r="35" spans="1:11" s="80" customFormat="1" ht="12.75" customHeight="1" x14ac:dyDescent="0.35">
      <c r="A35" s="327" t="s">
        <v>1108</v>
      </c>
      <c r="B35" s="327"/>
      <c r="C35" s="327"/>
      <c r="H35" s="328" t="s">
        <v>230</v>
      </c>
      <c r="I35" s="328"/>
      <c r="J35" s="328"/>
      <c r="K35" s="328"/>
    </row>
    <row r="36" spans="1:11" s="80" customFormat="1" ht="12.75" customHeight="1" x14ac:dyDescent="0.35">
      <c r="A36" s="327" t="s">
        <v>1036</v>
      </c>
      <c r="B36" s="327"/>
      <c r="C36" s="327"/>
      <c r="E36" s="82"/>
      <c r="F36" s="83"/>
      <c r="G36" s="81"/>
      <c r="H36" s="328" t="s">
        <v>229</v>
      </c>
      <c r="I36" s="328"/>
      <c r="J36" s="328"/>
      <c r="K36" s="328"/>
    </row>
  </sheetData>
  <mergeCells count="27">
    <mergeCell ref="C13:F13"/>
    <mergeCell ref="G13:H13"/>
    <mergeCell ref="H1:K1"/>
    <mergeCell ref="A2:K2"/>
    <mergeCell ref="A3:K3"/>
    <mergeCell ref="A4:K4"/>
    <mergeCell ref="C12:F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65"/>
  <sheetViews>
    <sheetView showGridLines="0" showZeros="0" showOutlineSymbols="0" view="pageBreakPreview" zoomScaleNormal="100" zoomScaleSheetLayoutView="100" workbookViewId="0">
      <selection sqref="A1:B1"/>
    </sheetView>
  </sheetViews>
  <sheetFormatPr defaultColWidth="9.1796875" defaultRowHeight="10" x14ac:dyDescent="0.35"/>
  <cols>
    <col min="1" max="1" width="4.26953125" style="121" customWidth="1"/>
    <col min="2" max="2" width="12.54296875" style="121" customWidth="1"/>
    <col min="3" max="3" width="16.26953125" style="121" customWidth="1"/>
    <col min="4" max="4" width="24.453125" style="121" customWidth="1"/>
    <col min="5" max="5" width="9.1796875" style="121"/>
    <col min="6" max="6" width="19.26953125" style="121" customWidth="1"/>
    <col min="7" max="7" width="20.54296875" style="121" customWidth="1"/>
    <col min="8" max="8" width="9.1796875" style="121"/>
    <col min="9" max="9" width="19.7265625" style="121" bestFit="1" customWidth="1"/>
    <col min="10" max="16384" width="9.1796875" style="121"/>
  </cols>
  <sheetData>
    <row r="1" spans="1:7" ht="30.75" customHeight="1" x14ac:dyDescent="0.35">
      <c r="A1" s="322"/>
      <c r="B1" s="322"/>
      <c r="C1" s="140"/>
      <c r="D1" s="140"/>
      <c r="E1" s="310" t="s">
        <v>514</v>
      </c>
      <c r="F1" s="310"/>
      <c r="G1" s="310"/>
    </row>
    <row r="2" spans="1:7" ht="27" customHeight="1" x14ac:dyDescent="0.35">
      <c r="A2" s="317" t="s">
        <v>1</v>
      </c>
      <c r="B2" s="317"/>
      <c r="C2" s="317"/>
      <c r="D2" s="317"/>
      <c r="E2" s="317"/>
      <c r="F2" s="317"/>
      <c r="G2" s="317"/>
    </row>
    <row r="3" spans="1:7" ht="6.75" customHeight="1" x14ac:dyDescent="0.35">
      <c r="A3" s="140"/>
      <c r="B3" s="140"/>
      <c r="C3" s="140"/>
      <c r="D3" s="140"/>
      <c r="E3" s="140"/>
      <c r="F3" s="140"/>
      <c r="G3" s="140"/>
    </row>
    <row r="4" spans="1:7" ht="24.75" customHeight="1" x14ac:dyDescent="0.35">
      <c r="A4" s="318" t="s">
        <v>231</v>
      </c>
      <c r="B4" s="318"/>
      <c r="C4" s="318"/>
      <c r="D4" s="318"/>
      <c r="E4" s="318"/>
      <c r="F4" s="318"/>
      <c r="G4" s="318"/>
    </row>
    <row r="5" spans="1:7" ht="18.75" customHeight="1" x14ac:dyDescent="0.35">
      <c r="A5" s="309" t="s">
        <v>1115</v>
      </c>
      <c r="B5" s="309"/>
      <c r="C5" s="309"/>
      <c r="D5" s="309"/>
      <c r="E5" s="309"/>
      <c r="F5" s="309"/>
      <c r="G5" s="309"/>
    </row>
    <row r="6" spans="1:7" ht="12.75" customHeight="1" x14ac:dyDescent="0.35">
      <c r="A6" s="119" t="s">
        <v>3</v>
      </c>
      <c r="B6" s="321" t="s">
        <v>232</v>
      </c>
      <c r="C6" s="321"/>
      <c r="D6" s="321" t="s">
        <v>5</v>
      </c>
      <c r="E6" s="321"/>
      <c r="F6" s="321"/>
      <c r="G6" s="321"/>
    </row>
    <row r="7" spans="1:7" ht="12.75" customHeight="1" x14ac:dyDescent="0.35">
      <c r="A7" s="140"/>
      <c r="B7" s="322" t="s">
        <v>6</v>
      </c>
      <c r="C7" s="322"/>
      <c r="D7" s="322" t="s">
        <v>7</v>
      </c>
      <c r="E7" s="322"/>
      <c r="F7" s="322"/>
      <c r="G7" s="322"/>
    </row>
    <row r="8" spans="1:7" ht="12.75" customHeight="1" x14ac:dyDescent="0.35">
      <c r="A8" s="119" t="s">
        <v>8</v>
      </c>
      <c r="B8" s="321" t="s">
        <v>9</v>
      </c>
      <c r="C8" s="321"/>
      <c r="D8" s="321" t="s">
        <v>10</v>
      </c>
      <c r="E8" s="321"/>
      <c r="F8" s="321"/>
      <c r="G8" s="321"/>
    </row>
    <row r="9" spans="1:7" ht="12.75" customHeight="1" x14ac:dyDescent="0.35">
      <c r="A9" s="140"/>
      <c r="B9" s="322" t="s">
        <v>11</v>
      </c>
      <c r="C9" s="322"/>
      <c r="D9" s="322" t="s">
        <v>12</v>
      </c>
      <c r="E9" s="322"/>
      <c r="F9" s="322"/>
      <c r="G9" s="322"/>
    </row>
    <row r="10" spans="1:7" ht="12.75" customHeight="1" x14ac:dyDescent="0.35">
      <c r="A10" s="119" t="s">
        <v>13</v>
      </c>
      <c r="B10" s="321" t="s">
        <v>14</v>
      </c>
      <c r="C10" s="321"/>
      <c r="D10" s="321" t="s">
        <v>15</v>
      </c>
      <c r="E10" s="321"/>
      <c r="F10" s="321"/>
      <c r="G10" s="321"/>
    </row>
    <row r="11" spans="1:7" ht="12.75" customHeight="1" x14ac:dyDescent="0.35">
      <c r="A11" s="140"/>
      <c r="B11" s="322" t="s">
        <v>16</v>
      </c>
      <c r="C11" s="322"/>
      <c r="D11" s="322" t="s">
        <v>17</v>
      </c>
      <c r="E11" s="322"/>
      <c r="F11" s="322"/>
      <c r="G11" s="322"/>
    </row>
    <row r="12" spans="1:7" ht="12.75" customHeight="1" x14ac:dyDescent="0.35">
      <c r="A12" s="119" t="s">
        <v>18</v>
      </c>
      <c r="B12" s="321" t="s">
        <v>19</v>
      </c>
      <c r="C12" s="321"/>
      <c r="D12" s="315">
        <v>45853</v>
      </c>
      <c r="E12" s="315"/>
      <c r="F12" s="315"/>
      <c r="G12" s="315"/>
    </row>
    <row r="13" spans="1:7" ht="12.75" customHeight="1" x14ac:dyDescent="0.35">
      <c r="A13" s="140"/>
      <c r="B13" s="322" t="s">
        <v>20</v>
      </c>
      <c r="C13" s="322"/>
      <c r="D13" s="311">
        <v>45853</v>
      </c>
      <c r="E13" s="311"/>
      <c r="F13" s="311"/>
      <c r="G13" s="311"/>
    </row>
    <row r="14" spans="1:7" ht="9" customHeight="1" x14ac:dyDescent="0.35">
      <c r="A14" s="140"/>
      <c r="B14" s="140"/>
      <c r="C14" s="140"/>
      <c r="D14" s="140"/>
      <c r="E14" s="361"/>
      <c r="F14" s="361"/>
      <c r="G14" s="361"/>
    </row>
    <row r="15" spans="1:7" ht="15.75" customHeight="1" x14ac:dyDescent="0.35">
      <c r="A15" s="323" t="s">
        <v>21</v>
      </c>
      <c r="B15" s="323"/>
      <c r="C15" s="323"/>
      <c r="D15" s="323"/>
      <c r="E15" s="323"/>
      <c r="F15" s="323"/>
      <c r="G15" s="323"/>
    </row>
    <row r="16" spans="1:7" ht="15.75" customHeight="1" x14ac:dyDescent="0.35">
      <c r="A16" s="321" t="s">
        <v>515</v>
      </c>
      <c r="B16" s="321"/>
      <c r="C16" s="321"/>
      <c r="D16" s="321"/>
      <c r="E16" s="321"/>
      <c r="F16" s="321"/>
      <c r="G16" s="321"/>
    </row>
    <row r="17" spans="1:11" ht="11.25" customHeight="1" x14ac:dyDescent="0.35">
      <c r="A17" s="144"/>
      <c r="B17" s="155"/>
      <c r="C17" s="144"/>
      <c r="D17" s="324" t="s">
        <v>23</v>
      </c>
      <c r="E17" s="324"/>
      <c r="F17" s="324"/>
      <c r="G17" s="324"/>
    </row>
    <row r="18" spans="1:11" ht="32.25" customHeight="1" x14ac:dyDescent="0.35">
      <c r="A18" s="91" t="s">
        <v>516</v>
      </c>
      <c r="B18" s="360" t="s">
        <v>25</v>
      </c>
      <c r="C18" s="360"/>
      <c r="D18" s="360"/>
      <c r="E18" s="92" t="s">
        <v>26</v>
      </c>
      <c r="F18" s="92" t="s">
        <v>1114</v>
      </c>
      <c r="G18" s="93" t="s">
        <v>1113</v>
      </c>
    </row>
    <row r="19" spans="1:11" ht="22" customHeight="1" x14ac:dyDescent="0.35">
      <c r="A19" s="94" t="s">
        <v>29</v>
      </c>
      <c r="B19" s="354" t="s">
        <v>517</v>
      </c>
      <c r="C19" s="354"/>
      <c r="D19" s="354"/>
      <c r="E19" s="96" t="s">
        <v>518</v>
      </c>
      <c r="F19" s="156">
        <v>0</v>
      </c>
      <c r="G19" s="157">
        <v>0</v>
      </c>
    </row>
    <row r="20" spans="1:11" ht="33" customHeight="1" x14ac:dyDescent="0.35">
      <c r="A20" s="94" t="s">
        <v>3</v>
      </c>
      <c r="B20" s="354" t="s">
        <v>519</v>
      </c>
      <c r="C20" s="354"/>
      <c r="D20" s="354"/>
      <c r="E20" s="96" t="s">
        <v>520</v>
      </c>
      <c r="F20" s="158">
        <v>7.979E-3</v>
      </c>
      <c r="G20" s="98">
        <v>7.8910000000000004E-3</v>
      </c>
      <c r="H20" s="159"/>
      <c r="I20" s="160"/>
      <c r="J20" s="159"/>
      <c r="K20" s="159"/>
    </row>
    <row r="21" spans="1:11" ht="33" customHeight="1" x14ac:dyDescent="0.35">
      <c r="A21" s="94" t="s">
        <v>8</v>
      </c>
      <c r="B21" s="354" t="s">
        <v>521</v>
      </c>
      <c r="C21" s="354"/>
      <c r="D21" s="354"/>
      <c r="E21" s="96" t="s">
        <v>522</v>
      </c>
      <c r="F21" s="158">
        <v>7.3700000000000002E-4</v>
      </c>
      <c r="G21" s="98">
        <v>7.2099999999999996E-4</v>
      </c>
      <c r="H21" s="159"/>
      <c r="I21" s="160"/>
      <c r="J21" s="159"/>
      <c r="K21" s="159"/>
    </row>
    <row r="22" spans="1:11" ht="41.25" customHeight="1" x14ac:dyDescent="0.35">
      <c r="A22" s="94" t="s">
        <v>13</v>
      </c>
      <c r="B22" s="354" t="s">
        <v>524</v>
      </c>
      <c r="C22" s="354"/>
      <c r="D22" s="354"/>
      <c r="E22" s="96" t="s">
        <v>525</v>
      </c>
      <c r="F22" s="158">
        <v>1.6379999999999999E-3</v>
      </c>
      <c r="G22" s="98">
        <v>1.5659999999999999E-3</v>
      </c>
      <c r="H22" s="159"/>
      <c r="I22" s="160"/>
      <c r="J22" s="159"/>
      <c r="K22" s="159"/>
    </row>
    <row r="23" spans="1:11" ht="33" customHeight="1" x14ac:dyDescent="0.35">
      <c r="A23" s="94" t="s">
        <v>18</v>
      </c>
      <c r="B23" s="354" t="s">
        <v>527</v>
      </c>
      <c r="C23" s="354"/>
      <c r="D23" s="354"/>
      <c r="E23" s="96" t="s">
        <v>528</v>
      </c>
      <c r="F23" s="158">
        <v>2.8E-5</v>
      </c>
      <c r="G23" s="98">
        <v>2.5000000000000001E-5</v>
      </c>
      <c r="H23" s="159"/>
      <c r="I23" s="160"/>
      <c r="J23" s="159"/>
      <c r="K23" s="159"/>
    </row>
    <row r="24" spans="1:11" ht="41.25" customHeight="1" x14ac:dyDescent="0.35">
      <c r="A24" s="94" t="s">
        <v>285</v>
      </c>
      <c r="B24" s="354" t="s">
        <v>530</v>
      </c>
      <c r="C24" s="354"/>
      <c r="D24" s="354"/>
      <c r="E24" s="96"/>
      <c r="F24" s="158">
        <v>0</v>
      </c>
      <c r="G24" s="98"/>
      <c r="H24" s="159"/>
      <c r="I24" s="160"/>
      <c r="J24" s="159"/>
      <c r="K24" s="159"/>
    </row>
    <row r="25" spans="1:11" ht="42.75" customHeight="1" x14ac:dyDescent="0.35">
      <c r="A25" s="94" t="s">
        <v>287</v>
      </c>
      <c r="B25" s="354" t="s">
        <v>531</v>
      </c>
      <c r="C25" s="354"/>
      <c r="D25" s="354"/>
      <c r="E25" s="96"/>
      <c r="F25" s="158">
        <v>0</v>
      </c>
      <c r="G25" s="98"/>
      <c r="H25" s="159"/>
      <c r="I25" s="160"/>
      <c r="J25" s="159"/>
      <c r="K25" s="159"/>
    </row>
    <row r="26" spans="1:11" ht="42.75" customHeight="1" x14ac:dyDescent="0.35">
      <c r="A26" s="94" t="s">
        <v>290</v>
      </c>
      <c r="B26" s="354" t="s">
        <v>532</v>
      </c>
      <c r="C26" s="354"/>
      <c r="D26" s="354"/>
      <c r="E26" s="96" t="s">
        <v>533</v>
      </c>
      <c r="F26" s="158">
        <v>1.1E-5</v>
      </c>
      <c r="G26" s="98">
        <v>1.0000000000000001E-5</v>
      </c>
      <c r="H26" s="159"/>
      <c r="I26" s="160"/>
      <c r="J26" s="159"/>
      <c r="K26" s="159"/>
    </row>
    <row r="27" spans="1:11" ht="22" customHeight="1" x14ac:dyDescent="0.35">
      <c r="A27" s="94" t="s">
        <v>299</v>
      </c>
      <c r="B27" s="354" t="s">
        <v>535</v>
      </c>
      <c r="C27" s="354"/>
      <c r="D27" s="354"/>
      <c r="E27" s="96" t="s">
        <v>536</v>
      </c>
      <c r="F27" s="158">
        <v>1.0411999999999999E-2</v>
      </c>
      <c r="G27" s="98">
        <v>1.0376E-2</v>
      </c>
      <c r="H27" s="159"/>
      <c r="I27" s="160"/>
      <c r="J27" s="159"/>
      <c r="K27" s="159"/>
    </row>
    <row r="28" spans="1:11" ht="42.75" customHeight="1" x14ac:dyDescent="0.35">
      <c r="A28" s="94" t="s">
        <v>312</v>
      </c>
      <c r="B28" s="354" t="s">
        <v>538</v>
      </c>
      <c r="C28" s="354"/>
      <c r="D28" s="354"/>
      <c r="E28" s="96" t="s">
        <v>539</v>
      </c>
      <c r="F28" s="158">
        <v>0.27244800000000002</v>
      </c>
      <c r="G28" s="98">
        <v>0.28542299999999998</v>
      </c>
      <c r="H28" s="159"/>
      <c r="I28" s="160"/>
      <c r="J28" s="159"/>
      <c r="K28" s="159"/>
    </row>
    <row r="29" spans="1:11" ht="42.75" customHeight="1" x14ac:dyDescent="0.35">
      <c r="A29" s="94" t="s">
        <v>319</v>
      </c>
      <c r="B29" s="354" t="s">
        <v>540</v>
      </c>
      <c r="C29" s="354"/>
      <c r="D29" s="354"/>
      <c r="E29" s="96"/>
      <c r="F29" s="158">
        <v>0</v>
      </c>
      <c r="G29" s="98"/>
      <c r="H29" s="159"/>
      <c r="I29" s="160"/>
      <c r="J29" s="159"/>
      <c r="K29" s="159"/>
    </row>
    <row r="30" spans="1:11" ht="22" customHeight="1" x14ac:dyDescent="0.35">
      <c r="A30" s="94" t="s">
        <v>121</v>
      </c>
      <c r="B30" s="354" t="s">
        <v>541</v>
      </c>
      <c r="C30" s="354"/>
      <c r="D30" s="354"/>
      <c r="E30" s="96" t="s">
        <v>542</v>
      </c>
      <c r="F30" s="156">
        <v>0</v>
      </c>
      <c r="G30" s="157"/>
      <c r="H30" s="159"/>
      <c r="I30" s="160"/>
      <c r="J30" s="159"/>
      <c r="K30" s="159"/>
    </row>
    <row r="31" spans="1:11" ht="22" customHeight="1" x14ac:dyDescent="0.35">
      <c r="A31" s="94" t="s">
        <v>3</v>
      </c>
      <c r="B31" s="354" t="s">
        <v>543</v>
      </c>
      <c r="C31" s="354"/>
      <c r="D31" s="354"/>
      <c r="E31" s="96" t="s">
        <v>544</v>
      </c>
      <c r="F31" s="161">
        <v>3622000000000</v>
      </c>
      <c r="G31" s="162">
        <v>3765000000000</v>
      </c>
      <c r="H31" s="159"/>
      <c r="I31" s="160"/>
      <c r="J31" s="159"/>
      <c r="K31" s="159"/>
    </row>
    <row r="32" spans="1:11" ht="22" customHeight="1" x14ac:dyDescent="0.35">
      <c r="A32" s="94"/>
      <c r="B32" s="354" t="s">
        <v>545</v>
      </c>
      <c r="C32" s="354"/>
      <c r="D32" s="354"/>
      <c r="E32" s="96" t="s">
        <v>546</v>
      </c>
      <c r="F32" s="161">
        <v>3622000000000</v>
      </c>
      <c r="G32" s="162">
        <v>3765000000000</v>
      </c>
      <c r="H32" s="159"/>
      <c r="I32" s="160"/>
      <c r="J32" s="159"/>
      <c r="K32" s="159"/>
    </row>
    <row r="33" spans="1:11" ht="22" customHeight="1" x14ac:dyDescent="0.35">
      <c r="A33" s="94"/>
      <c r="B33" s="354" t="s">
        <v>547</v>
      </c>
      <c r="C33" s="354"/>
      <c r="D33" s="354"/>
      <c r="E33" s="96" t="s">
        <v>548</v>
      </c>
      <c r="F33" s="161">
        <v>362200000</v>
      </c>
      <c r="G33" s="162">
        <v>376500000</v>
      </c>
      <c r="H33" s="159"/>
      <c r="I33" s="160"/>
      <c r="J33" s="159"/>
      <c r="K33" s="159"/>
    </row>
    <row r="34" spans="1:11" ht="22" customHeight="1" x14ac:dyDescent="0.35">
      <c r="A34" s="94" t="s">
        <v>8</v>
      </c>
      <c r="B34" s="354" t="s">
        <v>549</v>
      </c>
      <c r="C34" s="354"/>
      <c r="D34" s="354"/>
      <c r="E34" s="96" t="s">
        <v>550</v>
      </c>
      <c r="F34" s="161">
        <v>-197000000000</v>
      </c>
      <c r="G34" s="162">
        <v>-143000000000</v>
      </c>
      <c r="H34" s="159"/>
      <c r="I34" s="160"/>
      <c r="J34" s="159"/>
      <c r="K34" s="159"/>
    </row>
    <row r="35" spans="1:11" ht="22" customHeight="1" x14ac:dyDescent="0.35">
      <c r="A35" s="94"/>
      <c r="B35" s="354" t="s">
        <v>551</v>
      </c>
      <c r="C35" s="354"/>
      <c r="D35" s="354"/>
      <c r="E35" s="96" t="s">
        <v>552</v>
      </c>
      <c r="F35" s="161">
        <v>-19700000</v>
      </c>
      <c r="G35" s="162">
        <v>-14300000</v>
      </c>
      <c r="H35" s="159"/>
      <c r="I35" s="160"/>
      <c r="J35" s="159"/>
      <c r="K35" s="159"/>
    </row>
    <row r="36" spans="1:11" ht="22" customHeight="1" x14ac:dyDescent="0.35">
      <c r="A36" s="94"/>
      <c r="B36" s="354" t="s">
        <v>553</v>
      </c>
      <c r="C36" s="354"/>
      <c r="D36" s="354"/>
      <c r="E36" s="96" t="s">
        <v>554</v>
      </c>
      <c r="F36" s="161">
        <v>-197000000000</v>
      </c>
      <c r="G36" s="162">
        <v>-143000000000</v>
      </c>
      <c r="H36" s="159"/>
      <c r="I36" s="160"/>
      <c r="J36" s="159"/>
      <c r="K36" s="159"/>
    </row>
    <row r="37" spans="1:11" ht="22" customHeight="1" x14ac:dyDescent="0.35">
      <c r="A37" s="94"/>
      <c r="B37" s="354" t="s">
        <v>555</v>
      </c>
      <c r="C37" s="354"/>
      <c r="D37" s="354"/>
      <c r="E37" s="96" t="s">
        <v>556</v>
      </c>
      <c r="F37" s="161">
        <v>18600000</v>
      </c>
      <c r="G37" s="162">
        <v>8200000</v>
      </c>
      <c r="H37" s="159"/>
      <c r="I37" s="160"/>
      <c r="J37" s="159"/>
      <c r="K37" s="159"/>
    </row>
    <row r="38" spans="1:11" ht="22" customHeight="1" x14ac:dyDescent="0.35">
      <c r="A38" s="94"/>
      <c r="B38" s="354" t="s">
        <v>557</v>
      </c>
      <c r="C38" s="354"/>
      <c r="D38" s="354"/>
      <c r="E38" s="96" t="s">
        <v>558</v>
      </c>
      <c r="F38" s="161">
        <v>186000000000</v>
      </c>
      <c r="G38" s="162">
        <v>82000000000</v>
      </c>
      <c r="H38" s="159"/>
      <c r="I38" s="160"/>
      <c r="J38" s="159"/>
      <c r="K38" s="159"/>
    </row>
    <row r="39" spans="1:11" ht="22" customHeight="1" x14ac:dyDescent="0.35">
      <c r="A39" s="94"/>
      <c r="B39" s="354" t="s">
        <v>559</v>
      </c>
      <c r="C39" s="354"/>
      <c r="D39" s="354"/>
      <c r="E39" s="96" t="s">
        <v>560</v>
      </c>
      <c r="F39" s="161">
        <v>-38300000</v>
      </c>
      <c r="G39" s="162">
        <v>-22500000</v>
      </c>
      <c r="H39" s="159"/>
      <c r="I39" s="160"/>
      <c r="J39" s="159"/>
      <c r="K39" s="159"/>
    </row>
    <row r="40" spans="1:11" ht="22" customHeight="1" x14ac:dyDescent="0.35">
      <c r="A40" s="94"/>
      <c r="B40" s="354" t="s">
        <v>561</v>
      </c>
      <c r="C40" s="354"/>
      <c r="D40" s="354"/>
      <c r="E40" s="96" t="s">
        <v>562</v>
      </c>
      <c r="F40" s="161">
        <v>-383000000000</v>
      </c>
      <c r="G40" s="162">
        <v>-225000000000</v>
      </c>
      <c r="H40" s="159"/>
      <c r="I40" s="160"/>
      <c r="J40" s="159"/>
      <c r="K40" s="159"/>
    </row>
    <row r="41" spans="1:11" ht="22" customHeight="1" x14ac:dyDescent="0.35">
      <c r="A41" s="94" t="s">
        <v>13</v>
      </c>
      <c r="B41" s="354" t="s">
        <v>563</v>
      </c>
      <c r="C41" s="354"/>
      <c r="D41" s="354"/>
      <c r="E41" s="96" t="s">
        <v>564</v>
      </c>
      <c r="F41" s="161">
        <v>3425000000000</v>
      </c>
      <c r="G41" s="162">
        <v>3622000000000</v>
      </c>
      <c r="H41" s="159"/>
      <c r="I41" s="160"/>
      <c r="J41" s="159"/>
      <c r="K41" s="159"/>
    </row>
    <row r="42" spans="1:11" ht="22" customHeight="1" x14ac:dyDescent="0.35">
      <c r="A42" s="94"/>
      <c r="B42" s="354" t="s">
        <v>565</v>
      </c>
      <c r="C42" s="354"/>
      <c r="D42" s="354"/>
      <c r="E42" s="96" t="s">
        <v>566</v>
      </c>
      <c r="F42" s="161">
        <v>3425000000000</v>
      </c>
      <c r="G42" s="162">
        <v>3622000000000</v>
      </c>
      <c r="H42" s="159"/>
      <c r="I42" s="160"/>
      <c r="J42" s="159"/>
      <c r="K42" s="159"/>
    </row>
    <row r="43" spans="1:11" ht="22" customHeight="1" x14ac:dyDescent="0.35">
      <c r="A43" s="94"/>
      <c r="B43" s="354" t="s">
        <v>567</v>
      </c>
      <c r="C43" s="354"/>
      <c r="D43" s="354"/>
      <c r="E43" s="96" t="s">
        <v>568</v>
      </c>
      <c r="F43" s="161">
        <v>342500000</v>
      </c>
      <c r="G43" s="162">
        <v>362200000</v>
      </c>
      <c r="H43" s="159"/>
      <c r="I43" s="160"/>
      <c r="J43" s="159"/>
      <c r="K43" s="159"/>
    </row>
    <row r="44" spans="1:11" ht="31.5" customHeight="1" x14ac:dyDescent="0.35">
      <c r="A44" s="94" t="s">
        <v>18</v>
      </c>
      <c r="B44" s="354" t="s">
        <v>569</v>
      </c>
      <c r="C44" s="354"/>
      <c r="D44" s="354"/>
      <c r="E44" s="96" t="s">
        <v>570</v>
      </c>
      <c r="F44" s="163">
        <v>9.103E-3</v>
      </c>
      <c r="G44" s="108">
        <v>8.6079999999999993E-3</v>
      </c>
      <c r="H44" s="159"/>
      <c r="I44" s="160"/>
      <c r="J44" s="159"/>
      <c r="K44" s="159"/>
    </row>
    <row r="45" spans="1:11" ht="23.25" customHeight="1" x14ac:dyDescent="0.35">
      <c r="A45" s="94" t="s">
        <v>285</v>
      </c>
      <c r="B45" s="357" t="s">
        <v>571</v>
      </c>
      <c r="C45" s="358"/>
      <c r="D45" s="359"/>
      <c r="E45" s="96" t="s">
        <v>572</v>
      </c>
      <c r="F45" s="163">
        <v>0.82620000000000005</v>
      </c>
      <c r="G45" s="108">
        <v>0.80349999999999999</v>
      </c>
      <c r="H45" s="159"/>
      <c r="I45" s="160"/>
      <c r="J45" s="159"/>
      <c r="K45" s="159"/>
    </row>
    <row r="46" spans="1:11" ht="23.25" customHeight="1" x14ac:dyDescent="0.35">
      <c r="A46" s="94" t="s">
        <v>287</v>
      </c>
      <c r="B46" s="357" t="s">
        <v>573</v>
      </c>
      <c r="C46" s="358"/>
      <c r="D46" s="359"/>
      <c r="E46" s="96" t="s">
        <v>574</v>
      </c>
      <c r="F46" s="163">
        <v>0.94389999999999996</v>
      </c>
      <c r="G46" s="108">
        <v>0.92259999999999998</v>
      </c>
      <c r="H46" s="159"/>
      <c r="I46" s="160"/>
      <c r="J46" s="159"/>
      <c r="K46" s="159"/>
    </row>
    <row r="47" spans="1:11" ht="22" customHeight="1" x14ac:dyDescent="0.35">
      <c r="A47" s="94" t="s">
        <v>290</v>
      </c>
      <c r="B47" s="354" t="s">
        <v>575</v>
      </c>
      <c r="C47" s="354"/>
      <c r="D47" s="354"/>
      <c r="E47" s="96" t="s">
        <v>576</v>
      </c>
      <c r="F47" s="164">
        <v>33312.019999999997</v>
      </c>
      <c r="G47" s="165">
        <v>31703.98</v>
      </c>
      <c r="H47" s="159"/>
      <c r="I47" s="160"/>
      <c r="J47" s="159"/>
      <c r="K47" s="159"/>
    </row>
    <row r="48" spans="1:11" ht="22" customHeight="1" x14ac:dyDescent="0.35">
      <c r="A48" s="94" t="s">
        <v>299</v>
      </c>
      <c r="B48" s="354" t="s">
        <v>577</v>
      </c>
      <c r="C48" s="354"/>
      <c r="D48" s="354"/>
      <c r="E48" s="96" t="s">
        <v>578</v>
      </c>
      <c r="F48" s="166">
        <v>32990</v>
      </c>
      <c r="G48" s="167">
        <v>31840</v>
      </c>
      <c r="H48" s="159"/>
      <c r="I48" s="160"/>
      <c r="J48" s="159"/>
      <c r="K48" s="159"/>
    </row>
    <row r="49" spans="1:11" ht="22" customHeight="1" x14ac:dyDescent="0.35">
      <c r="A49" s="110" t="s">
        <v>312</v>
      </c>
      <c r="B49" s="355" t="s">
        <v>579</v>
      </c>
      <c r="C49" s="355"/>
      <c r="D49" s="355"/>
      <c r="E49" s="112" t="s">
        <v>580</v>
      </c>
      <c r="F49" s="168">
        <v>5915</v>
      </c>
      <c r="G49" s="169">
        <v>5967</v>
      </c>
      <c r="H49" s="159"/>
      <c r="I49" s="160"/>
      <c r="J49" s="159"/>
      <c r="K49" s="159"/>
    </row>
    <row r="50" spans="1:11" ht="7.5" customHeight="1" x14ac:dyDescent="0.35">
      <c r="A50" s="140"/>
      <c r="B50" s="140"/>
      <c r="C50" s="140"/>
      <c r="D50" s="140"/>
      <c r="E50" s="140"/>
      <c r="F50" s="170"/>
      <c r="G50" s="170"/>
    </row>
    <row r="51" spans="1:11" ht="14.25" customHeight="1" x14ac:dyDescent="0.35">
      <c r="A51" s="322" t="s">
        <v>581</v>
      </c>
      <c r="B51" s="322"/>
      <c r="C51" s="322"/>
      <c r="D51" s="322"/>
      <c r="E51" s="322"/>
      <c r="F51" s="322"/>
      <c r="G51" s="322"/>
    </row>
    <row r="52" spans="1:11" ht="238.5" customHeight="1" x14ac:dyDescent="0.35">
      <c r="A52" s="356" t="s">
        <v>1109</v>
      </c>
      <c r="B52" s="356"/>
      <c r="C52" s="356"/>
      <c r="D52" s="356"/>
      <c r="E52" s="356"/>
      <c r="F52" s="356"/>
      <c r="G52" s="356"/>
    </row>
    <row r="53" spans="1:11" ht="48.75" customHeight="1" x14ac:dyDescent="0.35">
      <c r="A53" s="356" t="s">
        <v>1110</v>
      </c>
      <c r="B53" s="356"/>
      <c r="C53" s="356"/>
      <c r="D53" s="356"/>
      <c r="E53" s="356"/>
      <c r="F53" s="356"/>
      <c r="G53" s="356"/>
    </row>
    <row r="54" spans="1:11" ht="7.5" customHeight="1" x14ac:dyDescent="0.35">
      <c r="A54" s="140"/>
      <c r="B54" s="171"/>
      <c r="C54" s="140"/>
      <c r="D54" s="140"/>
      <c r="E54" s="140"/>
      <c r="F54" s="140"/>
      <c r="G54" s="140"/>
    </row>
    <row r="55" spans="1:11" ht="14.25" customHeight="1" x14ac:dyDescent="0.35">
      <c r="A55" s="320" t="s">
        <v>582</v>
      </c>
      <c r="B55" s="320"/>
      <c r="C55" s="320"/>
      <c r="D55" s="320"/>
      <c r="E55" s="320" t="s">
        <v>224</v>
      </c>
      <c r="F55" s="320"/>
      <c r="G55" s="320"/>
    </row>
    <row r="56" spans="1:11" ht="12" customHeight="1" x14ac:dyDescent="0.35">
      <c r="A56" s="309" t="s">
        <v>225</v>
      </c>
      <c r="B56" s="309"/>
      <c r="C56" s="309"/>
      <c r="D56" s="309"/>
      <c r="E56" s="309" t="s">
        <v>226</v>
      </c>
      <c r="F56" s="309"/>
      <c r="G56" s="309"/>
    </row>
    <row r="57" spans="1:11" ht="15" customHeight="1" x14ac:dyDescent="0.35">
      <c r="A57" s="142"/>
      <c r="B57" s="142"/>
      <c r="C57" s="142"/>
      <c r="D57" s="142"/>
      <c r="E57" s="142"/>
      <c r="F57" s="142"/>
      <c r="G57" s="142"/>
    </row>
    <row r="58" spans="1:11" ht="15" customHeight="1" x14ac:dyDescent="0.35">
      <c r="A58" s="142"/>
      <c r="B58" s="142"/>
      <c r="C58" s="142"/>
      <c r="D58" s="142"/>
      <c r="E58" s="142"/>
      <c r="F58" s="142"/>
      <c r="G58" s="142"/>
    </row>
    <row r="59" spans="1:11" ht="15.75" customHeight="1" x14ac:dyDescent="0.35">
      <c r="A59" s="142"/>
      <c r="B59" s="142"/>
      <c r="C59" s="142"/>
      <c r="D59" s="142"/>
      <c r="E59" s="142"/>
      <c r="F59" s="142"/>
      <c r="G59" s="142"/>
    </row>
    <row r="60" spans="1:11" ht="15" customHeight="1" x14ac:dyDescent="0.35">
      <c r="A60" s="142"/>
      <c r="B60" s="142"/>
      <c r="C60" s="142"/>
      <c r="D60" s="142"/>
      <c r="E60" s="142"/>
      <c r="F60" s="142"/>
      <c r="G60" s="142"/>
    </row>
    <row r="61" spans="1:11" ht="15.75" customHeight="1" x14ac:dyDescent="0.35">
      <c r="A61" s="142"/>
      <c r="B61" s="142"/>
      <c r="C61" s="142"/>
      <c r="D61" s="142"/>
      <c r="E61" s="142"/>
      <c r="F61" s="142"/>
      <c r="G61" s="142"/>
    </row>
    <row r="62" spans="1:11" ht="15.75" customHeight="1" x14ac:dyDescent="0.35">
      <c r="A62" s="142"/>
      <c r="B62" s="142"/>
      <c r="C62" s="142"/>
      <c r="D62" s="142"/>
      <c r="E62" s="142"/>
      <c r="F62" s="142"/>
      <c r="G62" s="142"/>
    </row>
    <row r="63" spans="1:11" ht="15.75" customHeight="1" x14ac:dyDescent="0.35">
      <c r="A63" s="320" t="s">
        <v>227</v>
      </c>
      <c r="B63" s="320"/>
      <c r="C63" s="320"/>
      <c r="D63" s="320"/>
      <c r="E63" s="320" t="s">
        <v>228</v>
      </c>
      <c r="F63" s="320"/>
      <c r="G63" s="320"/>
    </row>
    <row r="64" spans="1:11" x14ac:dyDescent="0.35">
      <c r="A64" s="320" t="s">
        <v>1108</v>
      </c>
      <c r="B64" s="320"/>
      <c r="C64" s="320"/>
      <c r="D64" s="320"/>
      <c r="E64" s="320" t="s">
        <v>230</v>
      </c>
      <c r="F64" s="320"/>
      <c r="G64" s="320"/>
    </row>
    <row r="65" spans="1:7" x14ac:dyDescent="0.35">
      <c r="A65" s="320" t="s">
        <v>1036</v>
      </c>
      <c r="B65" s="320"/>
      <c r="C65" s="320"/>
      <c r="D65" s="320"/>
      <c r="E65" s="320" t="s">
        <v>229</v>
      </c>
      <c r="F65" s="320"/>
      <c r="G65" s="320"/>
    </row>
  </sheetData>
  <mergeCells count="70">
    <mergeCell ref="B6:C6"/>
    <mergeCell ref="D6:G6"/>
    <mergeCell ref="A65:D65"/>
    <mergeCell ref="E65:G65"/>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2:D22"/>
    <mergeCell ref="B23:D23"/>
    <mergeCell ref="B24:D24"/>
    <mergeCell ref="B18:D18"/>
    <mergeCell ref="B19:D19"/>
    <mergeCell ref="B20:D20"/>
    <mergeCell ref="B21:D21"/>
    <mergeCell ref="B29:D29"/>
    <mergeCell ref="B30:D30"/>
    <mergeCell ref="B31:D31"/>
    <mergeCell ref="B32:D32"/>
    <mergeCell ref="B25:D25"/>
    <mergeCell ref="B26:D26"/>
    <mergeCell ref="B27:D27"/>
    <mergeCell ref="B28:D28"/>
    <mergeCell ref="B39:D39"/>
    <mergeCell ref="B40:D40"/>
    <mergeCell ref="B41:D41"/>
    <mergeCell ref="B33:D33"/>
    <mergeCell ref="B34:D34"/>
    <mergeCell ref="B35:D35"/>
    <mergeCell ref="B36:D36"/>
    <mergeCell ref="B37:D37"/>
    <mergeCell ref="B38:D38"/>
    <mergeCell ref="B47:D47"/>
    <mergeCell ref="A55:D55"/>
    <mergeCell ref="E55:G55"/>
    <mergeCell ref="A56:D56"/>
    <mergeCell ref="E56:G56"/>
    <mergeCell ref="B42:D42"/>
    <mergeCell ref="B43:D43"/>
    <mergeCell ref="B44:D44"/>
    <mergeCell ref="B45:D45"/>
    <mergeCell ref="B46:D46"/>
    <mergeCell ref="A64:D64"/>
    <mergeCell ref="E64:G64"/>
    <mergeCell ref="B48:D48"/>
    <mergeCell ref="B49:D49"/>
    <mergeCell ref="A51:G51"/>
    <mergeCell ref="A52:G52"/>
    <mergeCell ref="A53:G53"/>
    <mergeCell ref="A63:D63"/>
    <mergeCell ref="E63:G63"/>
  </mergeCells>
  <printOptions horizontalCentered="1"/>
  <pageMargins left="0.39370078740157483" right="0.39370078740157483" top="0.39370078740157483" bottom="0.39370078740157483" header="0.31496062992125984" footer="0.31496062992125984"/>
  <pageSetup paperSize="9" scale="89"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K88"/>
  <sheetViews>
    <sheetView showGridLines="0" showZeros="0" showOutlineSymbols="0" view="pageBreakPreview" zoomScaleNormal="100" zoomScaleSheetLayoutView="100" workbookViewId="0"/>
  </sheetViews>
  <sheetFormatPr defaultColWidth="9.1796875" defaultRowHeight="10" x14ac:dyDescent="0.2"/>
  <cols>
    <col min="1" max="1" width="30.81640625" style="85" customWidth="1"/>
    <col min="2" max="2" width="5.54296875" style="188" customWidth="1"/>
    <col min="3" max="3" width="6.453125" style="85" customWidth="1"/>
    <col min="4" max="7" width="18.7265625" style="85" customWidth="1"/>
    <col min="8" max="8" width="14.26953125" style="85" bestFit="1" customWidth="1"/>
    <col min="9" max="9" width="9.1796875" style="85"/>
    <col min="10" max="11" width="10.7265625" style="85" bestFit="1" customWidth="1"/>
    <col min="12" max="16384" width="9.1796875" style="85"/>
  </cols>
  <sheetData>
    <row r="1" spans="1:7" ht="27" customHeight="1" x14ac:dyDescent="0.2">
      <c r="A1" s="86"/>
      <c r="B1" s="316"/>
      <c r="C1" s="316"/>
      <c r="D1" s="310" t="s">
        <v>671</v>
      </c>
      <c r="E1" s="310"/>
      <c r="F1" s="310"/>
      <c r="G1" s="310"/>
    </row>
    <row r="2" spans="1:7" ht="23.25" customHeight="1" x14ac:dyDescent="0.2">
      <c r="A2" s="373" t="s">
        <v>583</v>
      </c>
      <c r="B2" s="373"/>
      <c r="C2" s="373"/>
      <c r="D2" s="373"/>
      <c r="E2" s="373"/>
      <c r="F2" s="373"/>
      <c r="G2" s="373"/>
    </row>
    <row r="3" spans="1:7" ht="6" customHeight="1" x14ac:dyDescent="0.2">
      <c r="A3" s="86"/>
      <c r="B3" s="316"/>
      <c r="C3" s="316"/>
      <c r="D3" s="316"/>
      <c r="E3" s="316"/>
      <c r="F3" s="316"/>
      <c r="G3" s="316"/>
    </row>
    <row r="4" spans="1:7" s="172" customFormat="1" ht="12.75" customHeight="1" x14ac:dyDescent="0.25">
      <c r="A4" s="371" t="s">
        <v>672</v>
      </c>
      <c r="B4" s="371"/>
      <c r="C4" s="371"/>
      <c r="D4" s="371"/>
      <c r="E4" s="371"/>
      <c r="F4" s="371"/>
      <c r="G4" s="371"/>
    </row>
    <row r="5" spans="1:7" s="172" customFormat="1" ht="12.75" customHeight="1" x14ac:dyDescent="0.25">
      <c r="A5" s="372" t="s">
        <v>673</v>
      </c>
      <c r="B5" s="372"/>
      <c r="C5" s="372"/>
      <c r="D5" s="372"/>
      <c r="E5" s="372"/>
      <c r="F5" s="372"/>
      <c r="G5" s="372"/>
    </row>
    <row r="6" spans="1:7" ht="12.75" customHeight="1" x14ac:dyDescent="0.2">
      <c r="A6" s="309" t="s">
        <v>1115</v>
      </c>
      <c r="B6" s="309"/>
      <c r="C6" s="309"/>
      <c r="D6" s="309"/>
      <c r="E6" s="309"/>
      <c r="F6" s="309"/>
      <c r="G6" s="309"/>
    </row>
    <row r="7" spans="1:7" ht="12.75" customHeight="1" x14ac:dyDescent="0.2">
      <c r="A7" s="86"/>
      <c r="B7" s="316"/>
      <c r="C7" s="316"/>
      <c r="D7" s="316"/>
      <c r="E7" s="316"/>
      <c r="F7" s="316"/>
      <c r="G7" s="316"/>
    </row>
    <row r="8" spans="1:7" ht="12.75" customHeight="1" x14ac:dyDescent="0.2">
      <c r="A8" s="141" t="s">
        <v>9</v>
      </c>
      <c r="B8" s="313" t="s">
        <v>10</v>
      </c>
      <c r="C8" s="313"/>
      <c r="D8" s="313"/>
      <c r="E8" s="313"/>
      <c r="F8" s="313"/>
      <c r="G8" s="313"/>
    </row>
    <row r="9" spans="1:7" ht="12.75" customHeight="1" x14ac:dyDescent="0.2">
      <c r="A9" s="140" t="s">
        <v>11</v>
      </c>
      <c r="B9" s="316" t="s">
        <v>12</v>
      </c>
      <c r="C9" s="316"/>
      <c r="D9" s="316"/>
      <c r="E9" s="316"/>
      <c r="F9" s="316"/>
      <c r="G9" s="316"/>
    </row>
    <row r="10" spans="1:7" ht="12.75" customHeight="1" x14ac:dyDescent="0.2">
      <c r="A10" s="141" t="s">
        <v>383</v>
      </c>
      <c r="B10" s="313" t="s">
        <v>15</v>
      </c>
      <c r="C10" s="313"/>
      <c r="D10" s="313"/>
      <c r="E10" s="313"/>
      <c r="F10" s="313"/>
      <c r="G10" s="313"/>
    </row>
    <row r="11" spans="1:7" ht="12.75" customHeight="1" x14ac:dyDescent="0.2">
      <c r="A11" s="140" t="s">
        <v>16</v>
      </c>
      <c r="B11" s="316" t="s">
        <v>674</v>
      </c>
      <c r="C11" s="316"/>
      <c r="D11" s="316"/>
      <c r="E11" s="316"/>
      <c r="F11" s="316"/>
      <c r="G11" s="316"/>
    </row>
    <row r="12" spans="1:7" ht="12.75" customHeight="1" x14ac:dyDescent="0.2">
      <c r="A12" s="141" t="s">
        <v>4</v>
      </c>
      <c r="B12" s="312" t="s">
        <v>675</v>
      </c>
      <c r="C12" s="312"/>
      <c r="D12" s="312"/>
      <c r="E12" s="312"/>
      <c r="F12" s="312"/>
      <c r="G12" s="312"/>
    </row>
    <row r="13" spans="1:7" ht="12.75" customHeight="1" x14ac:dyDescent="0.2">
      <c r="A13" s="140" t="s">
        <v>6</v>
      </c>
      <c r="B13" s="316" t="s">
        <v>7</v>
      </c>
      <c r="C13" s="316"/>
      <c r="D13" s="316"/>
      <c r="E13" s="316"/>
      <c r="F13" s="316"/>
      <c r="G13" s="316"/>
    </row>
    <row r="14" spans="1:7" ht="12.75" customHeight="1" x14ac:dyDescent="0.2">
      <c r="A14" s="141" t="s">
        <v>19</v>
      </c>
      <c r="B14" s="315">
        <v>45853</v>
      </c>
      <c r="C14" s="315"/>
      <c r="D14" s="315"/>
      <c r="E14" s="315"/>
      <c r="F14" s="315"/>
      <c r="G14" s="315"/>
    </row>
    <row r="15" spans="1:7" ht="12.75" customHeight="1" x14ac:dyDescent="0.2">
      <c r="A15" s="140" t="s">
        <v>20</v>
      </c>
      <c r="B15" s="311">
        <v>45853</v>
      </c>
      <c r="C15" s="311"/>
      <c r="D15" s="311"/>
      <c r="E15" s="311"/>
      <c r="F15" s="311"/>
      <c r="G15" s="311"/>
    </row>
    <row r="16" spans="1:7" ht="12.75" customHeight="1" x14ac:dyDescent="0.2">
      <c r="A16" s="89"/>
      <c r="B16" s="364"/>
      <c r="C16" s="364"/>
      <c r="D16" s="364"/>
      <c r="E16" s="364"/>
      <c r="F16" s="314" t="s">
        <v>23</v>
      </c>
      <c r="G16" s="314"/>
    </row>
    <row r="17" spans="1:11" s="173" customFormat="1" ht="27.75" customHeight="1" x14ac:dyDescent="0.35">
      <c r="A17" s="366" t="s">
        <v>25</v>
      </c>
      <c r="B17" s="360" t="s">
        <v>591</v>
      </c>
      <c r="C17" s="360" t="s">
        <v>592</v>
      </c>
      <c r="D17" s="369" t="s">
        <v>676</v>
      </c>
      <c r="E17" s="369"/>
      <c r="F17" s="369" t="s">
        <v>677</v>
      </c>
      <c r="G17" s="370"/>
    </row>
    <row r="18" spans="1:11" s="173" customFormat="1" ht="33.75" customHeight="1" x14ac:dyDescent="0.35">
      <c r="A18" s="367"/>
      <c r="B18" s="368"/>
      <c r="C18" s="368"/>
      <c r="D18" s="174" t="s">
        <v>1114</v>
      </c>
      <c r="E18" s="174" t="s">
        <v>678</v>
      </c>
      <c r="F18" s="174" t="s">
        <v>1118</v>
      </c>
      <c r="G18" s="175" t="s">
        <v>678</v>
      </c>
    </row>
    <row r="19" spans="1:11" s="121" customFormat="1" ht="30" x14ac:dyDescent="0.35">
      <c r="A19" s="176" t="s">
        <v>679</v>
      </c>
      <c r="B19" s="177" t="s">
        <v>595</v>
      </c>
      <c r="C19" s="104"/>
      <c r="D19" s="97">
        <v>515158941334</v>
      </c>
      <c r="E19" s="97">
        <v>-163146895183</v>
      </c>
      <c r="F19" s="97">
        <v>511477720827</v>
      </c>
      <c r="G19" s="125">
        <v>3558349588334</v>
      </c>
      <c r="H19" s="126"/>
      <c r="I19" s="126"/>
      <c r="J19" s="126"/>
      <c r="K19" s="126"/>
    </row>
    <row r="20" spans="1:11" s="121" customFormat="1" ht="20" x14ac:dyDescent="0.35">
      <c r="A20" s="178" t="s">
        <v>680</v>
      </c>
      <c r="B20" s="179" t="s">
        <v>601</v>
      </c>
      <c r="C20" s="96"/>
      <c r="D20" s="99">
        <v>83261985812</v>
      </c>
      <c r="E20" s="99">
        <v>98699076212</v>
      </c>
      <c r="F20" s="99">
        <v>182520581912</v>
      </c>
      <c r="G20" s="130">
        <v>211570894712</v>
      </c>
      <c r="H20" s="126"/>
      <c r="I20" s="126"/>
      <c r="J20" s="126"/>
      <c r="K20" s="126"/>
    </row>
    <row r="21" spans="1:11" s="121" customFormat="1" ht="20" x14ac:dyDescent="0.35">
      <c r="A21" s="180" t="s">
        <v>681</v>
      </c>
      <c r="B21" s="181" t="s">
        <v>682</v>
      </c>
      <c r="C21" s="182"/>
      <c r="D21" s="101">
        <v>83261985812</v>
      </c>
      <c r="E21" s="101">
        <v>98699076212</v>
      </c>
      <c r="F21" s="101">
        <v>182520581912</v>
      </c>
      <c r="G21" s="134">
        <v>211570894712</v>
      </c>
      <c r="H21" s="126"/>
      <c r="I21" s="126"/>
      <c r="J21" s="126"/>
      <c r="K21" s="126"/>
    </row>
    <row r="22" spans="1:11" s="121" customFormat="1" ht="20" x14ac:dyDescent="0.35">
      <c r="A22" s="180" t="s">
        <v>683</v>
      </c>
      <c r="B22" s="181" t="s">
        <v>684</v>
      </c>
      <c r="C22" s="182"/>
      <c r="D22" s="101">
        <v>0</v>
      </c>
      <c r="E22" s="101">
        <v>0</v>
      </c>
      <c r="F22" s="101">
        <v>0</v>
      </c>
      <c r="G22" s="134">
        <v>0</v>
      </c>
      <c r="H22" s="126"/>
      <c r="I22" s="126"/>
      <c r="J22" s="126"/>
      <c r="K22" s="126"/>
    </row>
    <row r="23" spans="1:11" s="121" customFormat="1" ht="20" x14ac:dyDescent="0.35">
      <c r="A23" s="178" t="s">
        <v>685</v>
      </c>
      <c r="B23" s="179" t="s">
        <v>603</v>
      </c>
      <c r="C23" s="96"/>
      <c r="D23" s="99">
        <v>65833672</v>
      </c>
      <c r="E23" s="99">
        <v>161396955</v>
      </c>
      <c r="F23" s="99">
        <v>122167165</v>
      </c>
      <c r="G23" s="130">
        <v>243075072</v>
      </c>
      <c r="H23" s="126"/>
      <c r="I23" s="126"/>
      <c r="J23" s="126"/>
      <c r="K23" s="126"/>
    </row>
    <row r="24" spans="1:11" s="121" customFormat="1" ht="20" x14ac:dyDescent="0.35">
      <c r="A24" s="180" t="s">
        <v>686</v>
      </c>
      <c r="B24" s="181" t="s">
        <v>605</v>
      </c>
      <c r="C24" s="182"/>
      <c r="D24" s="101">
        <v>65833672</v>
      </c>
      <c r="E24" s="101">
        <v>161396955</v>
      </c>
      <c r="F24" s="101">
        <v>122167165</v>
      </c>
      <c r="G24" s="134">
        <v>243075072</v>
      </c>
      <c r="H24" s="126"/>
      <c r="I24" s="126"/>
      <c r="J24" s="126"/>
      <c r="K24" s="126"/>
    </row>
    <row r="25" spans="1:11" s="121" customFormat="1" ht="20" x14ac:dyDescent="0.35">
      <c r="A25" s="180" t="s">
        <v>687</v>
      </c>
      <c r="B25" s="181" t="s">
        <v>607</v>
      </c>
      <c r="C25" s="182"/>
      <c r="D25" s="101">
        <v>0</v>
      </c>
      <c r="E25" s="101">
        <v>0</v>
      </c>
      <c r="F25" s="101">
        <v>0</v>
      </c>
      <c r="G25" s="134">
        <v>0</v>
      </c>
      <c r="H25" s="126"/>
      <c r="I25" s="126"/>
      <c r="J25" s="126"/>
      <c r="K25" s="126"/>
    </row>
    <row r="26" spans="1:11" s="121" customFormat="1" ht="40" x14ac:dyDescent="0.35">
      <c r="A26" s="178" t="s">
        <v>688</v>
      </c>
      <c r="B26" s="179" t="s">
        <v>609</v>
      </c>
      <c r="C26" s="96"/>
      <c r="D26" s="99">
        <v>88079023975</v>
      </c>
      <c r="E26" s="99">
        <v>306529207214</v>
      </c>
      <c r="F26" s="99">
        <v>1196345496600</v>
      </c>
      <c r="G26" s="130">
        <v>2114417449707</v>
      </c>
      <c r="H26" s="126"/>
      <c r="I26" s="126"/>
      <c r="J26" s="126"/>
      <c r="K26" s="126"/>
    </row>
    <row r="27" spans="1:11" s="121" customFormat="1" ht="20" x14ac:dyDescent="0.35">
      <c r="A27" s="180" t="s">
        <v>689</v>
      </c>
      <c r="B27" s="181" t="s">
        <v>690</v>
      </c>
      <c r="C27" s="182"/>
      <c r="D27" s="101">
        <v>40547767996</v>
      </c>
      <c r="E27" s="101">
        <v>164433326557</v>
      </c>
      <c r="F27" s="101">
        <v>357093147001</v>
      </c>
      <c r="G27" s="134">
        <v>541259277578</v>
      </c>
      <c r="H27" s="126"/>
      <c r="I27" s="126"/>
      <c r="J27" s="126"/>
      <c r="K27" s="126"/>
    </row>
    <row r="28" spans="1:11" s="121" customFormat="1" ht="40" x14ac:dyDescent="0.35">
      <c r="A28" s="180" t="s">
        <v>691</v>
      </c>
      <c r="B28" s="181" t="s">
        <v>692</v>
      </c>
      <c r="C28" s="182"/>
      <c r="D28" s="101">
        <v>47531255979</v>
      </c>
      <c r="E28" s="101">
        <v>142095880657</v>
      </c>
      <c r="F28" s="101">
        <v>837562549599</v>
      </c>
      <c r="G28" s="134">
        <v>1571169572129</v>
      </c>
      <c r="H28" s="126"/>
      <c r="I28" s="126"/>
      <c r="J28" s="126"/>
      <c r="K28" s="126"/>
    </row>
    <row r="29" spans="1:11" s="121" customFormat="1" ht="40" x14ac:dyDescent="0.35">
      <c r="A29" s="180" t="s">
        <v>693</v>
      </c>
      <c r="B29" s="181" t="s">
        <v>694</v>
      </c>
      <c r="C29" s="182"/>
      <c r="D29" s="101">
        <v>0</v>
      </c>
      <c r="E29" s="101">
        <v>0</v>
      </c>
      <c r="F29" s="101">
        <v>1689800000</v>
      </c>
      <c r="G29" s="134">
        <v>1988600000</v>
      </c>
      <c r="H29" s="126"/>
      <c r="I29" s="126"/>
      <c r="J29" s="126"/>
      <c r="K29" s="126"/>
    </row>
    <row r="30" spans="1:11" s="121" customFormat="1" ht="40" x14ac:dyDescent="0.35">
      <c r="A30" s="178" t="s">
        <v>695</v>
      </c>
      <c r="B30" s="179" t="s">
        <v>611</v>
      </c>
      <c r="C30" s="96"/>
      <c r="D30" s="99">
        <v>343752097875</v>
      </c>
      <c r="E30" s="99">
        <v>-568536575564</v>
      </c>
      <c r="F30" s="99">
        <v>-867510524850</v>
      </c>
      <c r="G30" s="130">
        <v>1232118168843</v>
      </c>
      <c r="H30" s="126"/>
      <c r="I30" s="126"/>
      <c r="J30" s="126"/>
      <c r="K30" s="126"/>
    </row>
    <row r="31" spans="1:11" s="121" customFormat="1" ht="20" x14ac:dyDescent="0.35">
      <c r="A31" s="178" t="s">
        <v>696</v>
      </c>
      <c r="B31" s="179" t="s">
        <v>614</v>
      </c>
      <c r="C31" s="96"/>
      <c r="D31" s="99">
        <v>0</v>
      </c>
      <c r="E31" s="99">
        <v>0</v>
      </c>
      <c r="F31" s="99">
        <v>0</v>
      </c>
      <c r="G31" s="130">
        <v>0</v>
      </c>
      <c r="H31" s="126"/>
      <c r="I31" s="126"/>
      <c r="J31" s="126"/>
      <c r="K31" s="126"/>
    </row>
    <row r="32" spans="1:11" s="121" customFormat="1" ht="40" x14ac:dyDescent="0.35">
      <c r="A32" s="178" t="s">
        <v>697</v>
      </c>
      <c r="B32" s="179" t="s">
        <v>616</v>
      </c>
      <c r="C32" s="96"/>
      <c r="D32" s="99">
        <v>0</v>
      </c>
      <c r="E32" s="99">
        <v>0</v>
      </c>
      <c r="F32" s="99">
        <v>0</v>
      </c>
      <c r="G32" s="130">
        <v>0</v>
      </c>
      <c r="H32" s="126"/>
      <c r="I32" s="126"/>
      <c r="J32" s="126"/>
      <c r="K32" s="126"/>
    </row>
    <row r="33" spans="1:11" s="121" customFormat="1" ht="20" x14ac:dyDescent="0.35">
      <c r="A33" s="178" t="s">
        <v>698</v>
      </c>
      <c r="B33" s="179" t="s">
        <v>618</v>
      </c>
      <c r="C33" s="96"/>
      <c r="D33" s="99">
        <v>0</v>
      </c>
      <c r="E33" s="99">
        <v>0</v>
      </c>
      <c r="F33" s="99">
        <v>0</v>
      </c>
      <c r="G33" s="130">
        <v>0</v>
      </c>
      <c r="H33" s="126"/>
      <c r="I33" s="126"/>
      <c r="J33" s="126"/>
      <c r="K33" s="126"/>
    </row>
    <row r="34" spans="1:11" s="121" customFormat="1" ht="60" x14ac:dyDescent="0.35">
      <c r="A34" s="178" t="s">
        <v>699</v>
      </c>
      <c r="B34" s="179" t="s">
        <v>620</v>
      </c>
      <c r="C34" s="96"/>
      <c r="D34" s="99">
        <v>0</v>
      </c>
      <c r="E34" s="99">
        <v>0</v>
      </c>
      <c r="F34" s="99">
        <v>0</v>
      </c>
      <c r="G34" s="130">
        <v>0</v>
      </c>
      <c r="H34" s="126"/>
      <c r="I34" s="126"/>
      <c r="J34" s="126"/>
      <c r="K34" s="126"/>
    </row>
    <row r="35" spans="1:11" s="121" customFormat="1" ht="20" x14ac:dyDescent="0.35">
      <c r="A35" s="176" t="s">
        <v>700</v>
      </c>
      <c r="B35" s="177" t="s">
        <v>319</v>
      </c>
      <c r="C35" s="104"/>
      <c r="D35" s="97">
        <v>1644059955</v>
      </c>
      <c r="E35" s="97">
        <v>3620267018</v>
      </c>
      <c r="F35" s="97">
        <v>7965616474</v>
      </c>
      <c r="G35" s="125">
        <v>13164441495</v>
      </c>
      <c r="H35" s="126"/>
      <c r="I35" s="126"/>
      <c r="J35" s="126"/>
      <c r="K35" s="126"/>
    </row>
    <row r="36" spans="1:11" s="121" customFormat="1" ht="40" x14ac:dyDescent="0.35">
      <c r="A36" s="178" t="s">
        <v>701</v>
      </c>
      <c r="B36" s="179" t="s">
        <v>415</v>
      </c>
      <c r="C36" s="96"/>
      <c r="D36" s="99">
        <v>1644059955</v>
      </c>
      <c r="E36" s="99">
        <v>3620267018</v>
      </c>
      <c r="F36" s="99">
        <v>7965616474</v>
      </c>
      <c r="G36" s="130">
        <v>13164441495</v>
      </c>
      <c r="H36" s="126"/>
      <c r="I36" s="126"/>
      <c r="J36" s="126"/>
      <c r="K36" s="126"/>
    </row>
    <row r="37" spans="1:11" s="121" customFormat="1" ht="20" x14ac:dyDescent="0.35">
      <c r="A37" s="180" t="s">
        <v>702</v>
      </c>
      <c r="B37" s="181" t="s">
        <v>703</v>
      </c>
      <c r="C37" s="182"/>
      <c r="D37" s="101">
        <v>1636504122</v>
      </c>
      <c r="E37" s="101">
        <v>3598621551</v>
      </c>
      <c r="F37" s="101">
        <v>7950101081</v>
      </c>
      <c r="G37" s="134">
        <v>13133013402</v>
      </c>
      <c r="H37" s="126"/>
      <c r="I37" s="126"/>
      <c r="J37" s="126"/>
      <c r="K37" s="126"/>
    </row>
    <row r="38" spans="1:11" s="121" customFormat="1" ht="20" x14ac:dyDescent="0.35">
      <c r="A38" s="180" t="s">
        <v>704</v>
      </c>
      <c r="B38" s="181" t="s">
        <v>705</v>
      </c>
      <c r="C38" s="182"/>
      <c r="D38" s="101">
        <v>7555833</v>
      </c>
      <c r="E38" s="101">
        <v>21645467</v>
      </c>
      <c r="F38" s="101">
        <v>15515393</v>
      </c>
      <c r="G38" s="134">
        <v>31428093</v>
      </c>
      <c r="H38" s="126"/>
      <c r="I38" s="126"/>
      <c r="J38" s="126"/>
      <c r="K38" s="126"/>
    </row>
    <row r="39" spans="1:11" s="121" customFormat="1" ht="30" x14ac:dyDescent="0.35">
      <c r="A39" s="178" t="s">
        <v>706</v>
      </c>
      <c r="B39" s="179" t="s">
        <v>418</v>
      </c>
      <c r="C39" s="96"/>
      <c r="D39" s="99">
        <v>0</v>
      </c>
      <c r="E39" s="99">
        <v>0</v>
      </c>
      <c r="F39" s="99">
        <v>0</v>
      </c>
      <c r="G39" s="130">
        <v>0</v>
      </c>
      <c r="H39" s="126"/>
      <c r="I39" s="126"/>
      <c r="J39" s="126"/>
      <c r="K39" s="126"/>
    </row>
    <row r="40" spans="1:11" s="121" customFormat="1" ht="20" x14ac:dyDescent="0.35">
      <c r="A40" s="178" t="s">
        <v>707</v>
      </c>
      <c r="B40" s="179" t="s">
        <v>421</v>
      </c>
      <c r="C40" s="96"/>
      <c r="D40" s="99">
        <v>0</v>
      </c>
      <c r="E40" s="99">
        <v>0</v>
      </c>
      <c r="F40" s="99">
        <v>0</v>
      </c>
      <c r="G40" s="130">
        <v>0</v>
      </c>
      <c r="H40" s="126"/>
      <c r="I40" s="126"/>
      <c r="J40" s="126"/>
      <c r="K40" s="126"/>
    </row>
    <row r="41" spans="1:11" s="121" customFormat="1" ht="50" x14ac:dyDescent="0.35">
      <c r="A41" s="178" t="s">
        <v>708</v>
      </c>
      <c r="B41" s="179" t="s">
        <v>424</v>
      </c>
      <c r="C41" s="96"/>
      <c r="D41" s="99">
        <v>0</v>
      </c>
      <c r="E41" s="99">
        <v>0</v>
      </c>
      <c r="F41" s="99">
        <v>0</v>
      </c>
      <c r="G41" s="130">
        <v>0</v>
      </c>
      <c r="H41" s="126"/>
      <c r="I41" s="126"/>
      <c r="J41" s="126"/>
      <c r="K41" s="126"/>
    </row>
    <row r="42" spans="1:11" s="121" customFormat="1" ht="20" x14ac:dyDescent="0.35">
      <c r="A42" s="178" t="s">
        <v>709</v>
      </c>
      <c r="B42" s="179" t="s">
        <v>427</v>
      </c>
      <c r="C42" s="96"/>
      <c r="D42" s="99">
        <v>0</v>
      </c>
      <c r="E42" s="99">
        <v>0</v>
      </c>
      <c r="F42" s="99">
        <v>0</v>
      </c>
      <c r="G42" s="130">
        <v>0</v>
      </c>
      <c r="H42" s="126"/>
      <c r="I42" s="126"/>
      <c r="J42" s="126"/>
      <c r="K42" s="126"/>
    </row>
    <row r="43" spans="1:11" s="121" customFormat="1" ht="20" x14ac:dyDescent="0.35">
      <c r="A43" s="176" t="s">
        <v>710</v>
      </c>
      <c r="B43" s="177" t="s">
        <v>523</v>
      </c>
      <c r="C43" s="104"/>
      <c r="D43" s="97">
        <v>27873572930</v>
      </c>
      <c r="E43" s="97">
        <v>59078383702</v>
      </c>
      <c r="F43" s="97">
        <v>37711818480</v>
      </c>
      <c r="G43" s="125">
        <v>82264221237</v>
      </c>
      <c r="H43" s="126"/>
      <c r="I43" s="126"/>
      <c r="J43" s="126"/>
      <c r="K43" s="126"/>
    </row>
    <row r="44" spans="1:11" s="121" customFormat="1" ht="20" x14ac:dyDescent="0.35">
      <c r="A44" s="178" t="s">
        <v>711</v>
      </c>
      <c r="B44" s="179" t="s">
        <v>712</v>
      </c>
      <c r="C44" s="96"/>
      <c r="D44" s="99">
        <v>21333581385</v>
      </c>
      <c r="E44" s="99">
        <v>45394455350</v>
      </c>
      <c r="F44" s="99">
        <v>28929700151</v>
      </c>
      <c r="G44" s="130">
        <v>63142692489</v>
      </c>
      <c r="H44" s="126"/>
      <c r="I44" s="126"/>
      <c r="J44" s="126"/>
      <c r="K44" s="126"/>
    </row>
    <row r="45" spans="1:11" s="121" customFormat="1" ht="20" x14ac:dyDescent="0.35">
      <c r="A45" s="178" t="s">
        <v>713</v>
      </c>
      <c r="B45" s="179" t="s">
        <v>714</v>
      </c>
      <c r="C45" s="96"/>
      <c r="D45" s="99">
        <v>797567025</v>
      </c>
      <c r="E45" s="99">
        <v>1673457710</v>
      </c>
      <c r="F45" s="99">
        <v>1055458134</v>
      </c>
      <c r="G45" s="130">
        <v>2340713690</v>
      </c>
      <c r="H45" s="126"/>
      <c r="I45" s="126"/>
      <c r="J45" s="126"/>
      <c r="K45" s="126"/>
    </row>
    <row r="46" spans="1:11" s="121" customFormat="1" ht="20" x14ac:dyDescent="0.35">
      <c r="A46" s="180" t="s">
        <v>715</v>
      </c>
      <c r="B46" s="181" t="s">
        <v>716</v>
      </c>
      <c r="C46" s="182"/>
      <c r="D46" s="101">
        <v>533339537</v>
      </c>
      <c r="E46" s="101">
        <v>1134861382</v>
      </c>
      <c r="F46" s="101">
        <v>723242499</v>
      </c>
      <c r="G46" s="134">
        <v>1578567309</v>
      </c>
      <c r="H46" s="126"/>
      <c r="I46" s="126"/>
      <c r="J46" s="126"/>
      <c r="K46" s="126"/>
    </row>
    <row r="47" spans="1:11" s="121" customFormat="1" ht="30" x14ac:dyDescent="0.35">
      <c r="A47" s="180" t="s">
        <v>717</v>
      </c>
      <c r="B47" s="181" t="s">
        <v>718</v>
      </c>
      <c r="C47" s="182"/>
      <c r="D47" s="101">
        <v>7600000</v>
      </c>
      <c r="E47" s="101">
        <v>22100000</v>
      </c>
      <c r="F47" s="101">
        <v>24100000</v>
      </c>
      <c r="G47" s="134">
        <v>52300000</v>
      </c>
      <c r="H47" s="126"/>
      <c r="I47" s="126"/>
      <c r="J47" s="126"/>
      <c r="K47" s="126"/>
    </row>
    <row r="48" spans="1:11" s="121" customFormat="1" ht="20" x14ac:dyDescent="0.35">
      <c r="A48" s="180" t="s">
        <v>719</v>
      </c>
      <c r="B48" s="181" t="s">
        <v>720</v>
      </c>
      <c r="C48" s="182"/>
      <c r="D48" s="101">
        <v>256627488</v>
      </c>
      <c r="E48" s="101">
        <v>516496328</v>
      </c>
      <c r="F48" s="101">
        <v>308115635</v>
      </c>
      <c r="G48" s="134">
        <v>709846381</v>
      </c>
      <c r="H48" s="126"/>
      <c r="I48" s="126"/>
      <c r="J48" s="126"/>
      <c r="K48" s="126"/>
    </row>
    <row r="49" spans="1:11" s="121" customFormat="1" ht="60" x14ac:dyDescent="0.35">
      <c r="A49" s="180" t="s">
        <v>721</v>
      </c>
      <c r="B49" s="181" t="s">
        <v>722</v>
      </c>
      <c r="C49" s="182"/>
      <c r="D49" s="101">
        <v>0</v>
      </c>
      <c r="E49" s="101">
        <v>0</v>
      </c>
      <c r="F49" s="101">
        <v>0</v>
      </c>
      <c r="G49" s="134">
        <v>0</v>
      </c>
      <c r="H49" s="126"/>
      <c r="I49" s="126"/>
      <c r="J49" s="126"/>
      <c r="K49" s="126"/>
    </row>
    <row r="50" spans="1:11" s="121" customFormat="1" ht="20" x14ac:dyDescent="0.35">
      <c r="A50" s="178" t="s">
        <v>723</v>
      </c>
      <c r="B50" s="179" t="s">
        <v>724</v>
      </c>
      <c r="C50" s="96"/>
      <c r="D50" s="99">
        <v>1173346982</v>
      </c>
      <c r="E50" s="99">
        <v>2496695053</v>
      </c>
      <c r="F50" s="99">
        <v>1591133508</v>
      </c>
      <c r="G50" s="130">
        <v>3472848086</v>
      </c>
      <c r="H50" s="126"/>
      <c r="I50" s="126"/>
      <c r="J50" s="126"/>
      <c r="K50" s="126"/>
    </row>
    <row r="51" spans="1:11" s="121" customFormat="1" ht="20" x14ac:dyDescent="0.35">
      <c r="A51" s="178" t="s">
        <v>725</v>
      </c>
      <c r="B51" s="179" t="s">
        <v>726</v>
      </c>
      <c r="C51" s="96"/>
      <c r="D51" s="99">
        <v>586673491</v>
      </c>
      <c r="E51" s="99">
        <v>1248347520</v>
      </c>
      <c r="F51" s="99">
        <v>795566749</v>
      </c>
      <c r="G51" s="130">
        <v>1736424040</v>
      </c>
      <c r="H51" s="126"/>
      <c r="I51" s="126"/>
      <c r="J51" s="126"/>
      <c r="K51" s="126"/>
    </row>
    <row r="52" spans="1:11" s="121" customFormat="1" ht="20" x14ac:dyDescent="0.35">
      <c r="A52" s="178" t="s">
        <v>727</v>
      </c>
      <c r="B52" s="179" t="s">
        <v>728</v>
      </c>
      <c r="C52" s="96"/>
      <c r="D52" s="99">
        <v>16500000</v>
      </c>
      <c r="E52" s="99">
        <v>33000000</v>
      </c>
      <c r="F52" s="99">
        <v>16500000</v>
      </c>
      <c r="G52" s="130">
        <v>33000000</v>
      </c>
      <c r="H52" s="126"/>
      <c r="I52" s="126"/>
      <c r="J52" s="126"/>
      <c r="K52" s="126"/>
    </row>
    <row r="53" spans="1:11" s="121" customFormat="1" ht="30" x14ac:dyDescent="0.35">
      <c r="A53" s="178" t="s">
        <v>729</v>
      </c>
      <c r="B53" s="179" t="s">
        <v>730</v>
      </c>
      <c r="C53" s="96"/>
      <c r="D53" s="99">
        <v>3775848672</v>
      </c>
      <c r="E53" s="99">
        <v>7873706488</v>
      </c>
      <c r="F53" s="99">
        <v>5116727510</v>
      </c>
      <c r="G53" s="130">
        <v>11137603876</v>
      </c>
      <c r="H53" s="126"/>
      <c r="I53" s="126"/>
      <c r="J53" s="126"/>
      <c r="K53" s="126"/>
    </row>
    <row r="54" spans="1:11" s="121" customFormat="1" ht="40" x14ac:dyDescent="0.35">
      <c r="A54" s="180" t="s">
        <v>731</v>
      </c>
      <c r="B54" s="181" t="s">
        <v>732</v>
      </c>
      <c r="C54" s="182"/>
      <c r="D54" s="101">
        <v>1333348837</v>
      </c>
      <c r="E54" s="101">
        <v>2837153464</v>
      </c>
      <c r="F54" s="101">
        <v>1808106260</v>
      </c>
      <c r="G54" s="134">
        <v>3946418280</v>
      </c>
      <c r="H54" s="126"/>
      <c r="I54" s="126"/>
      <c r="J54" s="126"/>
      <c r="K54" s="126"/>
    </row>
    <row r="55" spans="1:11" s="121" customFormat="1" ht="40" x14ac:dyDescent="0.35">
      <c r="A55" s="180" t="s">
        <v>733</v>
      </c>
      <c r="B55" s="181" t="s">
        <v>734</v>
      </c>
      <c r="C55" s="182"/>
      <c r="D55" s="101">
        <v>1066679075</v>
      </c>
      <c r="E55" s="101">
        <v>2269722776</v>
      </c>
      <c r="F55" s="101">
        <v>1446485006</v>
      </c>
      <c r="G55" s="134">
        <v>3157134623</v>
      </c>
      <c r="H55" s="126"/>
      <c r="I55" s="126"/>
      <c r="J55" s="126"/>
      <c r="K55" s="126"/>
    </row>
    <row r="56" spans="1:11" s="121" customFormat="1" ht="20" x14ac:dyDescent="0.35">
      <c r="A56" s="180" t="s">
        <v>735</v>
      </c>
      <c r="B56" s="181" t="s">
        <v>736</v>
      </c>
      <c r="C56" s="182"/>
      <c r="D56" s="101">
        <v>1375820760</v>
      </c>
      <c r="E56" s="101">
        <v>2766830248</v>
      </c>
      <c r="F56" s="101">
        <v>1862136244</v>
      </c>
      <c r="G56" s="134">
        <v>4034050973</v>
      </c>
      <c r="H56" s="126"/>
      <c r="I56" s="126"/>
      <c r="J56" s="126"/>
      <c r="K56" s="126"/>
    </row>
    <row r="57" spans="1:11" s="121" customFormat="1" ht="20" x14ac:dyDescent="0.35">
      <c r="A57" s="178" t="s">
        <v>737</v>
      </c>
      <c r="B57" s="179" t="s">
        <v>738</v>
      </c>
      <c r="C57" s="96"/>
      <c r="D57" s="99">
        <v>37422000</v>
      </c>
      <c r="E57" s="99">
        <v>37422000</v>
      </c>
      <c r="F57" s="99">
        <v>46691334</v>
      </c>
      <c r="G57" s="130">
        <v>72341334</v>
      </c>
      <c r="H57" s="126"/>
      <c r="I57" s="126"/>
      <c r="J57" s="126"/>
      <c r="K57" s="126"/>
    </row>
    <row r="58" spans="1:11" s="121" customFormat="1" ht="20" x14ac:dyDescent="0.35">
      <c r="A58" s="178" t="s">
        <v>739</v>
      </c>
      <c r="B58" s="179" t="s">
        <v>740</v>
      </c>
      <c r="C58" s="96"/>
      <c r="D58" s="99">
        <v>73563978</v>
      </c>
      <c r="E58" s="99">
        <v>149509203</v>
      </c>
      <c r="F58" s="99">
        <v>76740730</v>
      </c>
      <c r="G58" s="130">
        <v>153319960</v>
      </c>
      <c r="H58" s="126"/>
      <c r="I58" s="126"/>
      <c r="J58" s="126"/>
      <c r="K58" s="126"/>
    </row>
    <row r="59" spans="1:11" s="121" customFormat="1" ht="20" x14ac:dyDescent="0.35">
      <c r="A59" s="178" t="s">
        <v>741</v>
      </c>
      <c r="B59" s="179" t="s">
        <v>742</v>
      </c>
      <c r="C59" s="96"/>
      <c r="D59" s="99">
        <v>0</v>
      </c>
      <c r="E59" s="99">
        <v>0</v>
      </c>
      <c r="F59" s="99">
        <v>0</v>
      </c>
      <c r="G59" s="130">
        <v>0</v>
      </c>
      <c r="H59" s="126"/>
      <c r="I59" s="126"/>
      <c r="J59" s="126"/>
      <c r="K59" s="126"/>
    </row>
    <row r="60" spans="1:11" s="121" customFormat="1" ht="20" x14ac:dyDescent="0.35">
      <c r="A60" s="178" t="s">
        <v>743</v>
      </c>
      <c r="B60" s="179" t="s">
        <v>744</v>
      </c>
      <c r="C60" s="96"/>
      <c r="D60" s="99">
        <v>79069397</v>
      </c>
      <c r="E60" s="99">
        <v>171790378</v>
      </c>
      <c r="F60" s="99">
        <v>83300364</v>
      </c>
      <c r="G60" s="130">
        <v>175277762</v>
      </c>
      <c r="H60" s="126"/>
      <c r="I60" s="126"/>
      <c r="J60" s="126"/>
      <c r="K60" s="126"/>
    </row>
    <row r="61" spans="1:11" s="121" customFormat="1" ht="30" x14ac:dyDescent="0.35">
      <c r="A61" s="180" t="s">
        <v>745</v>
      </c>
      <c r="B61" s="181" t="s">
        <v>746</v>
      </c>
      <c r="C61" s="182"/>
      <c r="D61" s="101">
        <v>29243813</v>
      </c>
      <c r="E61" s="101">
        <v>58462969</v>
      </c>
      <c r="F61" s="101">
        <v>29237691</v>
      </c>
      <c r="G61" s="134">
        <v>58475383</v>
      </c>
      <c r="H61" s="126"/>
      <c r="I61" s="126"/>
      <c r="J61" s="126"/>
      <c r="K61" s="126"/>
    </row>
    <row r="62" spans="1:11" s="121" customFormat="1" ht="30" x14ac:dyDescent="0.35">
      <c r="A62" s="180" t="s">
        <v>747</v>
      </c>
      <c r="B62" s="181" t="s">
        <v>748</v>
      </c>
      <c r="C62" s="182"/>
      <c r="D62" s="101">
        <v>0</v>
      </c>
      <c r="E62" s="101">
        <v>0</v>
      </c>
      <c r="F62" s="101">
        <v>0</v>
      </c>
      <c r="G62" s="134">
        <v>0</v>
      </c>
      <c r="H62" s="126"/>
      <c r="I62" s="126"/>
      <c r="J62" s="126"/>
      <c r="K62" s="126"/>
    </row>
    <row r="63" spans="1:11" s="121" customFormat="1" ht="20" x14ac:dyDescent="0.35">
      <c r="A63" s="180" t="s">
        <v>749</v>
      </c>
      <c r="B63" s="181" t="s">
        <v>750</v>
      </c>
      <c r="C63" s="182"/>
      <c r="D63" s="101">
        <v>0</v>
      </c>
      <c r="E63" s="101">
        <v>0</v>
      </c>
      <c r="F63" s="101">
        <v>0</v>
      </c>
      <c r="G63" s="134">
        <v>0</v>
      </c>
      <c r="H63" s="126"/>
      <c r="I63" s="126"/>
      <c r="J63" s="126"/>
      <c r="K63" s="126"/>
    </row>
    <row r="64" spans="1:11" s="121" customFormat="1" ht="20" x14ac:dyDescent="0.35">
      <c r="A64" s="180" t="s">
        <v>751</v>
      </c>
      <c r="B64" s="181" t="s">
        <v>752</v>
      </c>
      <c r="C64" s="182"/>
      <c r="D64" s="101">
        <v>0</v>
      </c>
      <c r="E64" s="101">
        <v>0</v>
      </c>
      <c r="F64" s="101">
        <v>0</v>
      </c>
      <c r="G64" s="134">
        <v>0</v>
      </c>
      <c r="H64" s="126"/>
      <c r="I64" s="126"/>
      <c r="J64" s="126"/>
      <c r="K64" s="126"/>
    </row>
    <row r="65" spans="1:11" s="121" customFormat="1" ht="20" x14ac:dyDescent="0.35">
      <c r="A65" s="180" t="s">
        <v>753</v>
      </c>
      <c r="B65" s="181" t="s">
        <v>754</v>
      </c>
      <c r="C65" s="182"/>
      <c r="D65" s="101">
        <v>0</v>
      </c>
      <c r="E65" s="101">
        <v>0</v>
      </c>
      <c r="F65" s="101">
        <v>26666666</v>
      </c>
      <c r="G65" s="134">
        <v>26666666</v>
      </c>
      <c r="H65" s="126"/>
      <c r="I65" s="126"/>
      <c r="J65" s="126"/>
      <c r="K65" s="126"/>
    </row>
    <row r="66" spans="1:11" s="121" customFormat="1" ht="20" x14ac:dyDescent="0.35">
      <c r="A66" s="180" t="s">
        <v>755</v>
      </c>
      <c r="B66" s="181" t="s">
        <v>756</v>
      </c>
      <c r="C66" s="182"/>
      <c r="D66" s="101">
        <v>0</v>
      </c>
      <c r="E66" s="101">
        <v>0</v>
      </c>
      <c r="F66" s="101">
        <v>0</v>
      </c>
      <c r="G66" s="134">
        <v>0</v>
      </c>
      <c r="H66" s="126"/>
      <c r="I66" s="126"/>
      <c r="J66" s="126"/>
      <c r="K66" s="126"/>
    </row>
    <row r="67" spans="1:11" s="121" customFormat="1" ht="20" x14ac:dyDescent="0.35">
      <c r="A67" s="180" t="s">
        <v>757</v>
      </c>
      <c r="B67" s="181" t="s">
        <v>758</v>
      </c>
      <c r="C67" s="182"/>
      <c r="D67" s="101">
        <v>0</v>
      </c>
      <c r="E67" s="101">
        <v>0</v>
      </c>
      <c r="F67" s="101">
        <v>0</v>
      </c>
      <c r="G67" s="134">
        <v>0</v>
      </c>
      <c r="H67" s="126"/>
      <c r="I67" s="126"/>
      <c r="J67" s="126"/>
      <c r="K67" s="126"/>
    </row>
    <row r="68" spans="1:11" s="121" customFormat="1" ht="20" x14ac:dyDescent="0.35">
      <c r="A68" s="180" t="s">
        <v>759</v>
      </c>
      <c r="B68" s="181" t="s">
        <v>760</v>
      </c>
      <c r="C68" s="182"/>
      <c r="D68" s="101">
        <v>926783</v>
      </c>
      <c r="E68" s="101">
        <v>2428608</v>
      </c>
      <c r="F68" s="101">
        <v>2896007</v>
      </c>
      <c r="G68" s="134">
        <v>5135713</v>
      </c>
      <c r="H68" s="126"/>
      <c r="I68" s="126"/>
      <c r="J68" s="126"/>
      <c r="K68" s="126"/>
    </row>
    <row r="69" spans="1:11" s="121" customFormat="1" ht="30" x14ac:dyDescent="0.35">
      <c r="A69" s="180" t="s">
        <v>761</v>
      </c>
      <c r="B69" s="181" t="s">
        <v>762</v>
      </c>
      <c r="C69" s="182"/>
      <c r="D69" s="101">
        <v>0</v>
      </c>
      <c r="E69" s="101">
        <v>0</v>
      </c>
      <c r="F69" s="101">
        <v>0</v>
      </c>
      <c r="G69" s="134">
        <v>0</v>
      </c>
      <c r="H69" s="126"/>
      <c r="I69" s="126"/>
      <c r="J69" s="126"/>
      <c r="K69" s="126"/>
    </row>
    <row r="70" spans="1:11" s="121" customFormat="1" ht="20" x14ac:dyDescent="0.35">
      <c r="A70" s="180" t="s">
        <v>763</v>
      </c>
      <c r="B70" s="181" t="s">
        <v>764</v>
      </c>
      <c r="C70" s="182"/>
      <c r="D70" s="101">
        <v>25398801</v>
      </c>
      <c r="E70" s="101">
        <v>25398801</v>
      </c>
      <c r="F70" s="101">
        <v>0</v>
      </c>
      <c r="G70" s="134">
        <v>0</v>
      </c>
      <c r="H70" s="126"/>
      <c r="I70" s="126"/>
      <c r="J70" s="126"/>
      <c r="K70" s="126"/>
    </row>
    <row r="71" spans="1:11" s="121" customFormat="1" ht="30" x14ac:dyDescent="0.35">
      <c r="A71" s="180" t="s">
        <v>765</v>
      </c>
      <c r="B71" s="181" t="s">
        <v>766</v>
      </c>
      <c r="C71" s="182"/>
      <c r="D71" s="101">
        <v>0</v>
      </c>
      <c r="E71" s="101">
        <v>14000000</v>
      </c>
      <c r="F71" s="101">
        <v>0</v>
      </c>
      <c r="G71" s="134">
        <v>10500000</v>
      </c>
      <c r="H71" s="126"/>
      <c r="I71" s="126"/>
      <c r="J71" s="126"/>
      <c r="K71" s="126"/>
    </row>
    <row r="72" spans="1:11" s="121" customFormat="1" ht="40" x14ac:dyDescent="0.35">
      <c r="A72" s="180" t="s">
        <v>336</v>
      </c>
      <c r="B72" s="181" t="s">
        <v>767</v>
      </c>
      <c r="C72" s="182"/>
      <c r="D72" s="101">
        <v>23500000</v>
      </c>
      <c r="E72" s="101">
        <v>41500000</v>
      </c>
      <c r="F72" s="101">
        <v>24500000</v>
      </c>
      <c r="G72" s="134">
        <v>44500000</v>
      </c>
      <c r="H72" s="126"/>
      <c r="I72" s="126"/>
      <c r="J72" s="126"/>
      <c r="K72" s="126"/>
    </row>
    <row r="73" spans="1:11" s="121" customFormat="1" ht="20" x14ac:dyDescent="0.35">
      <c r="A73" s="180" t="s">
        <v>768</v>
      </c>
      <c r="B73" s="181" t="s">
        <v>769</v>
      </c>
      <c r="C73" s="182"/>
      <c r="D73" s="101">
        <v>0</v>
      </c>
      <c r="E73" s="101">
        <v>30000000</v>
      </c>
      <c r="F73" s="101">
        <v>0</v>
      </c>
      <c r="G73" s="134">
        <v>30000000</v>
      </c>
      <c r="H73" s="126"/>
      <c r="I73" s="126"/>
      <c r="J73" s="126"/>
      <c r="K73" s="126"/>
    </row>
    <row r="74" spans="1:11" s="121" customFormat="1" ht="20" x14ac:dyDescent="0.35">
      <c r="A74" s="180" t="s">
        <v>770</v>
      </c>
      <c r="B74" s="181" t="s">
        <v>771</v>
      </c>
      <c r="C74" s="182"/>
      <c r="D74" s="101">
        <v>0</v>
      </c>
      <c r="E74" s="101">
        <v>0</v>
      </c>
      <c r="F74" s="101">
        <v>0</v>
      </c>
      <c r="G74" s="134">
        <v>0</v>
      </c>
      <c r="H74" s="126"/>
      <c r="I74" s="126"/>
      <c r="J74" s="126"/>
      <c r="K74" s="126"/>
    </row>
    <row r="75" spans="1:11" s="121" customFormat="1" ht="30" x14ac:dyDescent="0.35">
      <c r="A75" s="176" t="s">
        <v>772</v>
      </c>
      <c r="B75" s="177" t="s">
        <v>773</v>
      </c>
      <c r="C75" s="104"/>
      <c r="D75" s="97">
        <v>485641308449</v>
      </c>
      <c r="E75" s="97">
        <v>-225845545903</v>
      </c>
      <c r="F75" s="97">
        <v>465800285873</v>
      </c>
      <c r="G75" s="125">
        <v>3462920925602</v>
      </c>
      <c r="H75" s="126"/>
      <c r="I75" s="126"/>
      <c r="J75" s="126"/>
      <c r="K75" s="126"/>
    </row>
    <row r="76" spans="1:11" s="121" customFormat="1" ht="30" x14ac:dyDescent="0.35">
      <c r="A76" s="176" t="s">
        <v>774</v>
      </c>
      <c r="B76" s="177" t="s">
        <v>775</v>
      </c>
      <c r="C76" s="104"/>
      <c r="D76" s="97">
        <v>0</v>
      </c>
      <c r="E76" s="97">
        <v>0</v>
      </c>
      <c r="F76" s="97">
        <v>0</v>
      </c>
      <c r="G76" s="125">
        <v>0</v>
      </c>
      <c r="H76" s="126"/>
      <c r="I76" s="126"/>
      <c r="J76" s="126"/>
      <c r="K76" s="126"/>
    </row>
    <row r="77" spans="1:11" s="121" customFormat="1" ht="20" x14ac:dyDescent="0.35">
      <c r="A77" s="178" t="s">
        <v>776</v>
      </c>
      <c r="B77" s="179" t="s">
        <v>777</v>
      </c>
      <c r="C77" s="96"/>
      <c r="D77" s="99">
        <v>0</v>
      </c>
      <c r="E77" s="99">
        <v>0</v>
      </c>
      <c r="F77" s="99">
        <v>0</v>
      </c>
      <c r="G77" s="130">
        <v>0</v>
      </c>
      <c r="H77" s="126"/>
      <c r="I77" s="126"/>
      <c r="J77" s="126"/>
      <c r="K77" s="126"/>
    </row>
    <row r="78" spans="1:11" s="121" customFormat="1" ht="20" x14ac:dyDescent="0.35">
      <c r="A78" s="178" t="s">
        <v>778</v>
      </c>
      <c r="B78" s="179" t="s">
        <v>779</v>
      </c>
      <c r="C78" s="96"/>
      <c r="D78" s="99">
        <v>0</v>
      </c>
      <c r="E78" s="99">
        <v>0</v>
      </c>
      <c r="F78" s="99">
        <v>0</v>
      </c>
      <c r="G78" s="130">
        <v>0</v>
      </c>
      <c r="H78" s="126"/>
      <c r="I78" s="126"/>
      <c r="J78" s="126"/>
      <c r="K78" s="126"/>
    </row>
    <row r="79" spans="1:11" s="121" customFormat="1" ht="40" x14ac:dyDescent="0.35">
      <c r="A79" s="176" t="s">
        <v>780</v>
      </c>
      <c r="B79" s="177" t="s">
        <v>526</v>
      </c>
      <c r="C79" s="104"/>
      <c r="D79" s="97">
        <v>485641308449</v>
      </c>
      <c r="E79" s="97">
        <v>-225845545903</v>
      </c>
      <c r="F79" s="97">
        <v>465800285873</v>
      </c>
      <c r="G79" s="125">
        <v>3462920925602</v>
      </c>
      <c r="H79" s="126"/>
      <c r="I79" s="126"/>
      <c r="J79" s="126"/>
      <c r="K79" s="126"/>
    </row>
    <row r="80" spans="1:11" s="121" customFormat="1" ht="20" x14ac:dyDescent="0.35">
      <c r="A80" s="178" t="s">
        <v>781</v>
      </c>
      <c r="B80" s="179" t="s">
        <v>634</v>
      </c>
      <c r="C80" s="96"/>
      <c r="D80" s="99">
        <v>141889210574</v>
      </c>
      <c r="E80" s="99">
        <v>342691029661</v>
      </c>
      <c r="F80" s="99">
        <v>1333310810723</v>
      </c>
      <c r="G80" s="130">
        <v>2230802756759</v>
      </c>
      <c r="H80" s="126"/>
      <c r="I80" s="126"/>
      <c r="J80" s="126"/>
      <c r="K80" s="126"/>
    </row>
    <row r="81" spans="1:11" s="121" customFormat="1" ht="20" x14ac:dyDescent="0.35">
      <c r="A81" s="178" t="s">
        <v>782</v>
      </c>
      <c r="B81" s="179" t="s">
        <v>636</v>
      </c>
      <c r="C81" s="96"/>
      <c r="D81" s="99">
        <v>343752097875</v>
      </c>
      <c r="E81" s="99">
        <v>-568536575564</v>
      </c>
      <c r="F81" s="99">
        <v>-867510524850</v>
      </c>
      <c r="G81" s="130">
        <v>1232118168843</v>
      </c>
      <c r="H81" s="126"/>
      <c r="I81" s="126"/>
      <c r="J81" s="126"/>
      <c r="K81" s="126"/>
    </row>
    <row r="82" spans="1:11" s="121" customFormat="1" ht="20" x14ac:dyDescent="0.35">
      <c r="A82" s="176" t="s">
        <v>783</v>
      </c>
      <c r="B82" s="177" t="s">
        <v>529</v>
      </c>
      <c r="C82" s="104"/>
      <c r="D82" s="97">
        <v>0</v>
      </c>
      <c r="E82" s="97">
        <v>0</v>
      </c>
      <c r="F82" s="97">
        <v>0</v>
      </c>
      <c r="G82" s="125">
        <v>0</v>
      </c>
      <c r="H82" s="126"/>
      <c r="I82" s="126"/>
      <c r="J82" s="126"/>
      <c r="K82" s="126"/>
    </row>
    <row r="83" spans="1:11" s="121" customFormat="1" ht="40" x14ac:dyDescent="0.35">
      <c r="A83" s="183" t="s">
        <v>784</v>
      </c>
      <c r="B83" s="184" t="s">
        <v>785</v>
      </c>
      <c r="C83" s="185"/>
      <c r="D83" s="186">
        <v>485641308449</v>
      </c>
      <c r="E83" s="186">
        <v>-225845545903</v>
      </c>
      <c r="F83" s="186">
        <v>465800285873</v>
      </c>
      <c r="G83" s="187">
        <v>3462920925602</v>
      </c>
      <c r="H83" s="126"/>
      <c r="I83" s="126"/>
      <c r="J83" s="126"/>
      <c r="K83" s="126"/>
    </row>
    <row r="84" spans="1:11" ht="10.5" customHeight="1" x14ac:dyDescent="0.2">
      <c r="A84" s="86"/>
      <c r="B84" s="316"/>
      <c r="C84" s="316"/>
      <c r="D84" s="316"/>
      <c r="E84" s="316"/>
      <c r="F84" s="316"/>
      <c r="G84" s="316"/>
    </row>
    <row r="85" spans="1:11" ht="10.5" customHeight="1" x14ac:dyDescent="0.2">
      <c r="A85" s="115" t="s">
        <v>584</v>
      </c>
      <c r="B85" s="310" t="s">
        <v>1119</v>
      </c>
      <c r="C85" s="310"/>
      <c r="D85" s="310"/>
      <c r="E85" s="310"/>
      <c r="F85" s="365" t="s">
        <v>229</v>
      </c>
      <c r="G85" s="365"/>
    </row>
    <row r="86" spans="1:11" ht="15" customHeight="1" x14ac:dyDescent="0.2">
      <c r="A86" s="217" t="s">
        <v>585</v>
      </c>
      <c r="B86" s="362" t="s">
        <v>585</v>
      </c>
      <c r="C86" s="362"/>
      <c r="D86" s="362"/>
      <c r="E86" s="362"/>
      <c r="F86" s="363" t="s">
        <v>586</v>
      </c>
      <c r="G86" s="363"/>
    </row>
    <row r="87" spans="1:11" ht="72" customHeight="1" x14ac:dyDescent="0.2">
      <c r="A87" s="86"/>
      <c r="B87" s="316"/>
      <c r="C87" s="316"/>
      <c r="D87" s="316"/>
      <c r="E87" s="316"/>
      <c r="F87" s="316"/>
      <c r="G87" s="316"/>
    </row>
    <row r="88" spans="1:11" ht="15.75" customHeight="1" x14ac:dyDescent="0.2">
      <c r="A88" s="115" t="s">
        <v>1122</v>
      </c>
      <c r="B88" s="307" t="s">
        <v>1112</v>
      </c>
      <c r="C88" s="307"/>
      <c r="D88" s="307"/>
      <c r="E88" s="307"/>
      <c r="F88" s="307" t="s">
        <v>230</v>
      </c>
      <c r="G88" s="307"/>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39370078740157483" right="0.39370078740157483" top="0.39370078740157483" bottom="0.39370078740157483" header="0.31496062992125984" footer="0.31496062992125984"/>
  <pageSetup paperSize="9" scale="80"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3"/>
  <sheetViews>
    <sheetView showGridLines="0" showZeros="0" showOutlineSymbols="0" view="pageBreakPreview" zoomScaleNormal="100" zoomScaleSheetLayoutView="100" workbookViewId="0">
      <selection sqref="A1:B1"/>
    </sheetView>
  </sheetViews>
  <sheetFormatPr defaultColWidth="9.1796875" defaultRowHeight="10" x14ac:dyDescent="0.2"/>
  <cols>
    <col min="1" max="1" width="5.453125" style="85" customWidth="1"/>
    <col min="2" max="2" width="43.81640625" style="85" customWidth="1"/>
    <col min="3" max="3" width="9.453125" style="85" customWidth="1"/>
    <col min="4" max="4" width="8.54296875" style="85" customWidth="1"/>
    <col min="5" max="6" width="20.26953125" style="85" customWidth="1"/>
    <col min="7" max="16384" width="9.1796875" style="85"/>
  </cols>
  <sheetData>
    <row r="1" spans="1:6" ht="25.5" customHeight="1" x14ac:dyDescent="0.2">
      <c r="A1" s="316"/>
      <c r="B1" s="316"/>
      <c r="C1" s="310" t="s">
        <v>786</v>
      </c>
      <c r="D1" s="310"/>
      <c r="E1" s="310"/>
      <c r="F1" s="310"/>
    </row>
    <row r="2" spans="1:6" ht="22.5" customHeight="1" x14ac:dyDescent="0.2">
      <c r="A2" s="317" t="s">
        <v>583</v>
      </c>
      <c r="B2" s="317"/>
      <c r="C2" s="317"/>
      <c r="D2" s="317"/>
      <c r="E2" s="317"/>
      <c r="F2" s="317"/>
    </row>
    <row r="3" spans="1:6" ht="3.75" customHeight="1" x14ac:dyDescent="0.2">
      <c r="A3" s="86"/>
      <c r="B3" s="86"/>
      <c r="C3" s="86"/>
      <c r="D3" s="86"/>
      <c r="E3" s="86"/>
      <c r="F3" s="86"/>
    </row>
    <row r="4" spans="1:6" ht="30.75" customHeight="1" x14ac:dyDescent="0.2">
      <c r="A4" s="318" t="s">
        <v>787</v>
      </c>
      <c r="B4" s="318"/>
      <c r="C4" s="318"/>
      <c r="D4" s="318"/>
      <c r="E4" s="318"/>
      <c r="F4" s="318"/>
    </row>
    <row r="5" spans="1:6" ht="11.25" customHeight="1" x14ac:dyDescent="0.2">
      <c r="A5" s="309" t="s">
        <v>788</v>
      </c>
      <c r="B5" s="309"/>
      <c r="C5" s="309"/>
      <c r="D5" s="309"/>
      <c r="E5" s="309"/>
      <c r="F5" s="309"/>
    </row>
    <row r="6" spans="1:6" ht="5.25" customHeight="1" x14ac:dyDescent="0.2">
      <c r="A6" s="86"/>
      <c r="B6" s="86"/>
      <c r="C6" s="189"/>
      <c r="D6" s="86"/>
      <c r="E6" s="86"/>
      <c r="F6" s="86"/>
    </row>
    <row r="7" spans="1:6" ht="4.5" customHeight="1" x14ac:dyDescent="0.2">
      <c r="A7" s="86"/>
      <c r="B7" s="86"/>
      <c r="C7" s="86"/>
      <c r="D7" s="86"/>
      <c r="E7" s="86"/>
      <c r="F7" s="86"/>
    </row>
    <row r="8" spans="1:6" ht="12.75" customHeight="1" x14ac:dyDescent="0.2">
      <c r="A8" s="313" t="s">
        <v>9</v>
      </c>
      <c r="B8" s="313"/>
      <c r="C8" s="313" t="s">
        <v>10</v>
      </c>
      <c r="D8" s="313"/>
      <c r="E8" s="313"/>
      <c r="F8" s="313"/>
    </row>
    <row r="9" spans="1:6" ht="12.75" customHeight="1" x14ac:dyDescent="0.2">
      <c r="A9" s="316" t="s">
        <v>11</v>
      </c>
      <c r="B9" s="316"/>
      <c r="C9" s="316" t="s">
        <v>12</v>
      </c>
      <c r="D9" s="316"/>
      <c r="E9" s="316"/>
      <c r="F9" s="316"/>
    </row>
    <row r="10" spans="1:6" ht="12.75" customHeight="1" x14ac:dyDescent="0.2">
      <c r="A10" s="313" t="s">
        <v>383</v>
      </c>
      <c r="B10" s="313"/>
      <c r="C10" s="313" t="s">
        <v>15</v>
      </c>
      <c r="D10" s="313"/>
      <c r="E10" s="313"/>
      <c r="F10" s="313"/>
    </row>
    <row r="11" spans="1:6" ht="12.75" customHeight="1" x14ac:dyDescent="0.2">
      <c r="A11" s="316" t="s">
        <v>16</v>
      </c>
      <c r="B11" s="316"/>
      <c r="C11" s="316" t="s">
        <v>17</v>
      </c>
      <c r="D11" s="316"/>
      <c r="E11" s="316"/>
      <c r="F11" s="316"/>
    </row>
    <row r="12" spans="1:6" ht="12.75" customHeight="1" x14ac:dyDescent="0.2">
      <c r="A12" s="313" t="s">
        <v>4</v>
      </c>
      <c r="B12" s="313"/>
      <c r="C12" s="313" t="s">
        <v>5</v>
      </c>
      <c r="D12" s="313"/>
      <c r="E12" s="313"/>
      <c r="F12" s="313"/>
    </row>
    <row r="13" spans="1:6" ht="12.75" customHeight="1" x14ac:dyDescent="0.2">
      <c r="A13" s="316" t="s">
        <v>6</v>
      </c>
      <c r="B13" s="316"/>
      <c r="C13" s="316" t="s">
        <v>7</v>
      </c>
      <c r="D13" s="316"/>
      <c r="E13" s="316"/>
      <c r="F13" s="316"/>
    </row>
    <row r="14" spans="1:6" ht="12.75" customHeight="1" x14ac:dyDescent="0.2">
      <c r="A14" s="313" t="s">
        <v>19</v>
      </c>
      <c r="B14" s="313"/>
      <c r="C14" s="315">
        <v>45853</v>
      </c>
      <c r="D14" s="315"/>
      <c r="E14" s="315"/>
      <c r="F14" s="315"/>
    </row>
    <row r="15" spans="1:6" ht="12.75" customHeight="1" x14ac:dyDescent="0.2">
      <c r="A15" s="316" t="s">
        <v>20</v>
      </c>
      <c r="B15" s="316"/>
      <c r="C15" s="311">
        <v>45853</v>
      </c>
      <c r="D15" s="311"/>
      <c r="E15" s="311"/>
      <c r="F15" s="311"/>
    </row>
    <row r="16" spans="1:6" ht="12.75" customHeight="1" x14ac:dyDescent="0.2">
      <c r="A16" s="89"/>
      <c r="B16" s="89"/>
      <c r="C16" s="89"/>
      <c r="D16" s="89"/>
      <c r="E16" s="89"/>
      <c r="F16" s="90" t="s">
        <v>23</v>
      </c>
    </row>
    <row r="17" spans="1:8" ht="39.75" customHeight="1" x14ac:dyDescent="0.2">
      <c r="A17" s="91" t="s">
        <v>386</v>
      </c>
      <c r="B17" s="92" t="s">
        <v>789</v>
      </c>
      <c r="C17" s="92" t="s">
        <v>591</v>
      </c>
      <c r="D17" s="92" t="s">
        <v>790</v>
      </c>
      <c r="E17" s="190" t="s">
        <v>791</v>
      </c>
      <c r="F17" s="93" t="s">
        <v>792</v>
      </c>
    </row>
    <row r="18" spans="1:8" ht="20" x14ac:dyDescent="0.2">
      <c r="A18" s="191" t="s">
        <v>29</v>
      </c>
      <c r="B18" s="192" t="s">
        <v>793</v>
      </c>
      <c r="C18" s="193" t="s">
        <v>29</v>
      </c>
      <c r="D18" s="193"/>
      <c r="E18" s="194">
        <v>0</v>
      </c>
      <c r="F18" s="195">
        <v>0</v>
      </c>
    </row>
    <row r="19" spans="1:8" ht="20" x14ac:dyDescent="0.2">
      <c r="A19" s="198" t="s">
        <v>3</v>
      </c>
      <c r="B19" s="199" t="s">
        <v>794</v>
      </c>
      <c r="C19" s="200" t="s">
        <v>795</v>
      </c>
      <c r="D19" s="200"/>
      <c r="E19" s="201">
        <f>E20+E25+E26</f>
        <v>44087599449</v>
      </c>
      <c r="F19" s="202">
        <f>F20+F25+F26</f>
        <v>82469624423</v>
      </c>
      <c r="H19" s="100"/>
    </row>
    <row r="20" spans="1:8" ht="20" x14ac:dyDescent="0.2">
      <c r="A20" s="198" t="s">
        <v>796</v>
      </c>
      <c r="B20" s="199" t="s">
        <v>797</v>
      </c>
      <c r="C20" s="200" t="s">
        <v>798</v>
      </c>
      <c r="D20" s="200"/>
      <c r="E20" s="201">
        <f>E21+E22+E23+E24</f>
        <v>44087599449</v>
      </c>
      <c r="F20" s="202">
        <f>F21+F22+F23+F24</f>
        <v>82469624423</v>
      </c>
      <c r="H20" s="100"/>
    </row>
    <row r="21" spans="1:8" ht="24" customHeight="1" x14ac:dyDescent="0.2">
      <c r="A21" s="203"/>
      <c r="B21" s="204" t="s">
        <v>799</v>
      </c>
      <c r="C21" s="205" t="s">
        <v>800</v>
      </c>
      <c r="D21" s="205"/>
      <c r="E21" s="206">
        <v>0</v>
      </c>
      <c r="F21" s="207">
        <v>0</v>
      </c>
      <c r="H21" s="100"/>
    </row>
    <row r="22" spans="1:8" ht="24" customHeight="1" x14ac:dyDescent="0.2">
      <c r="A22" s="203"/>
      <c r="B22" s="204" t="s">
        <v>801</v>
      </c>
      <c r="C22" s="205" t="s">
        <v>802</v>
      </c>
      <c r="D22" s="205"/>
      <c r="E22" s="206">
        <v>0</v>
      </c>
      <c r="F22" s="207">
        <v>0</v>
      </c>
      <c r="H22" s="100"/>
    </row>
    <row r="23" spans="1:8" ht="20" x14ac:dyDescent="0.2">
      <c r="A23" s="203"/>
      <c r="B23" s="204" t="s">
        <v>492</v>
      </c>
      <c r="C23" s="205" t="s">
        <v>803</v>
      </c>
      <c r="D23" s="205"/>
      <c r="E23" s="206">
        <v>44087599449</v>
      </c>
      <c r="F23" s="207">
        <v>82469624423</v>
      </c>
      <c r="H23" s="100"/>
    </row>
    <row r="24" spans="1:8" ht="20" x14ac:dyDescent="0.2">
      <c r="A24" s="203"/>
      <c r="B24" s="204" t="s">
        <v>804</v>
      </c>
      <c r="C24" s="205" t="s">
        <v>805</v>
      </c>
      <c r="D24" s="205"/>
      <c r="E24" s="206">
        <v>0</v>
      </c>
      <c r="F24" s="207">
        <v>0</v>
      </c>
      <c r="H24" s="100"/>
    </row>
    <row r="25" spans="1:8" ht="20" x14ac:dyDescent="0.2">
      <c r="A25" s="198" t="s">
        <v>806</v>
      </c>
      <c r="B25" s="199" t="s">
        <v>807</v>
      </c>
      <c r="C25" s="200" t="s">
        <v>808</v>
      </c>
      <c r="D25" s="200"/>
      <c r="E25" s="201">
        <v>0</v>
      </c>
      <c r="F25" s="202">
        <v>0</v>
      </c>
      <c r="H25" s="100"/>
    </row>
    <row r="26" spans="1:8" ht="20" x14ac:dyDescent="0.2">
      <c r="A26" s="198" t="s">
        <v>809</v>
      </c>
      <c r="B26" s="199" t="s">
        <v>810</v>
      </c>
      <c r="C26" s="200" t="s">
        <v>811</v>
      </c>
      <c r="D26" s="200"/>
      <c r="E26" s="201">
        <v>0</v>
      </c>
      <c r="F26" s="202">
        <v>0</v>
      </c>
      <c r="H26" s="100"/>
    </row>
    <row r="27" spans="1:8" ht="20" x14ac:dyDescent="0.2">
      <c r="A27" s="198" t="s">
        <v>8</v>
      </c>
      <c r="B27" s="199" t="s">
        <v>812</v>
      </c>
      <c r="C27" s="200" t="s">
        <v>813</v>
      </c>
      <c r="D27" s="200"/>
      <c r="E27" s="201">
        <f>E28-E38</f>
        <v>11380304706100</v>
      </c>
      <c r="F27" s="202">
        <f>F28-F38</f>
        <v>11379581813250</v>
      </c>
      <c r="H27" s="100"/>
    </row>
    <row r="28" spans="1:8" ht="20" x14ac:dyDescent="0.2">
      <c r="A28" s="198" t="s">
        <v>814</v>
      </c>
      <c r="B28" s="199" t="s">
        <v>815</v>
      </c>
      <c r="C28" s="200" t="s">
        <v>816</v>
      </c>
      <c r="D28" s="200"/>
      <c r="E28" s="201">
        <f>E29+E30+E31+E32+E33+E34+E35+E36+E37</f>
        <v>11380304706100</v>
      </c>
      <c r="F28" s="202">
        <f>F29+F30+F31+F32+F33+F34+F35+F36+F37</f>
        <v>11379581813250</v>
      </c>
      <c r="H28" s="100"/>
    </row>
    <row r="29" spans="1:8" ht="20" x14ac:dyDescent="0.2">
      <c r="A29" s="203"/>
      <c r="B29" s="204" t="s">
        <v>817</v>
      </c>
      <c r="C29" s="205" t="s">
        <v>818</v>
      </c>
      <c r="D29" s="205"/>
      <c r="E29" s="206">
        <v>11380304706100</v>
      </c>
      <c r="F29" s="207">
        <v>11379581813250</v>
      </c>
      <c r="H29" s="100"/>
    </row>
    <row r="30" spans="1:8" ht="20" x14ac:dyDescent="0.2">
      <c r="A30" s="203"/>
      <c r="B30" s="204" t="s">
        <v>819</v>
      </c>
      <c r="C30" s="205" t="s">
        <v>820</v>
      </c>
      <c r="D30" s="205"/>
      <c r="E30" s="206">
        <v>0</v>
      </c>
      <c r="F30" s="207">
        <v>0</v>
      </c>
      <c r="H30" s="100"/>
    </row>
    <row r="31" spans="1:8" ht="20" x14ac:dyDescent="0.2">
      <c r="A31" s="203"/>
      <c r="B31" s="204" t="s">
        <v>821</v>
      </c>
      <c r="C31" s="205" t="s">
        <v>822</v>
      </c>
      <c r="D31" s="205"/>
      <c r="E31" s="206">
        <v>0</v>
      </c>
      <c r="F31" s="207">
        <v>0</v>
      </c>
      <c r="H31" s="100"/>
    </row>
    <row r="32" spans="1:8" ht="20" x14ac:dyDescent="0.2">
      <c r="A32" s="203"/>
      <c r="B32" s="204" t="s">
        <v>823</v>
      </c>
      <c r="C32" s="205" t="s">
        <v>824</v>
      </c>
      <c r="D32" s="205"/>
      <c r="E32" s="206">
        <v>0</v>
      </c>
      <c r="F32" s="207">
        <v>0</v>
      </c>
      <c r="H32" s="100"/>
    </row>
    <row r="33" spans="1:8" ht="20" x14ac:dyDescent="0.2">
      <c r="A33" s="203"/>
      <c r="B33" s="204" t="s">
        <v>825</v>
      </c>
      <c r="C33" s="205" t="s">
        <v>826</v>
      </c>
      <c r="D33" s="205"/>
      <c r="E33" s="206">
        <v>0</v>
      </c>
      <c r="F33" s="207">
        <v>0</v>
      </c>
      <c r="H33" s="100"/>
    </row>
    <row r="34" spans="1:8" ht="20" x14ac:dyDescent="0.2">
      <c r="A34" s="203"/>
      <c r="B34" s="204" t="s">
        <v>827</v>
      </c>
      <c r="C34" s="205" t="s">
        <v>828</v>
      </c>
      <c r="D34" s="205"/>
      <c r="E34" s="206">
        <v>0</v>
      </c>
      <c r="F34" s="207">
        <v>0</v>
      </c>
      <c r="H34" s="100"/>
    </row>
    <row r="35" spans="1:8" ht="20" x14ac:dyDescent="0.2">
      <c r="A35" s="203"/>
      <c r="B35" s="204" t="s">
        <v>455</v>
      </c>
      <c r="C35" s="205" t="s">
        <v>829</v>
      </c>
      <c r="D35" s="205"/>
      <c r="E35" s="206">
        <v>0</v>
      </c>
      <c r="F35" s="207">
        <v>0</v>
      </c>
      <c r="H35" s="100"/>
    </row>
    <row r="36" spans="1:8" ht="20" x14ac:dyDescent="0.2">
      <c r="A36" s="203"/>
      <c r="B36" s="204" t="s">
        <v>830</v>
      </c>
      <c r="C36" s="205" t="s">
        <v>831</v>
      </c>
      <c r="D36" s="205"/>
      <c r="E36" s="206">
        <v>0</v>
      </c>
      <c r="F36" s="207">
        <v>0</v>
      </c>
      <c r="H36" s="100"/>
    </row>
    <row r="37" spans="1:8" ht="20" x14ac:dyDescent="0.2">
      <c r="A37" s="203"/>
      <c r="B37" s="204" t="s">
        <v>68</v>
      </c>
      <c r="C37" s="205" t="s">
        <v>832</v>
      </c>
      <c r="D37" s="205"/>
      <c r="E37" s="206">
        <v>0</v>
      </c>
      <c r="F37" s="207">
        <v>0</v>
      </c>
      <c r="H37" s="100"/>
    </row>
    <row r="38" spans="1:8" ht="20" x14ac:dyDescent="0.2">
      <c r="A38" s="198" t="s">
        <v>833</v>
      </c>
      <c r="B38" s="199" t="s">
        <v>834</v>
      </c>
      <c r="C38" s="200" t="s">
        <v>835</v>
      </c>
      <c r="D38" s="200"/>
      <c r="E38" s="201">
        <v>0</v>
      </c>
      <c r="F38" s="202">
        <v>0</v>
      </c>
      <c r="H38" s="100"/>
    </row>
    <row r="39" spans="1:8" ht="20" x14ac:dyDescent="0.2">
      <c r="A39" s="198" t="s">
        <v>13</v>
      </c>
      <c r="B39" s="199" t="s">
        <v>836</v>
      </c>
      <c r="C39" s="200" t="s">
        <v>837</v>
      </c>
      <c r="D39" s="200"/>
      <c r="E39" s="201">
        <f>E40+E42+E56-E66</f>
        <v>0</v>
      </c>
      <c r="F39" s="202">
        <f>F40+F42+F56-F66</f>
        <v>48137518400</v>
      </c>
      <c r="H39" s="100"/>
    </row>
    <row r="40" spans="1:8" ht="22.5" customHeight="1" x14ac:dyDescent="0.2">
      <c r="A40" s="198" t="s">
        <v>838</v>
      </c>
      <c r="B40" s="199" t="s">
        <v>839</v>
      </c>
      <c r="C40" s="200" t="s">
        <v>840</v>
      </c>
      <c r="D40" s="200"/>
      <c r="E40" s="201">
        <v>0</v>
      </c>
      <c r="F40" s="202">
        <v>40653863400</v>
      </c>
      <c r="H40" s="100"/>
    </row>
    <row r="41" spans="1:8" ht="22.5" customHeight="1" x14ac:dyDescent="0.2">
      <c r="A41" s="198"/>
      <c r="B41" s="199" t="s">
        <v>841</v>
      </c>
      <c r="C41" s="200" t="s">
        <v>842</v>
      </c>
      <c r="D41" s="200"/>
      <c r="E41" s="201">
        <v>0</v>
      </c>
      <c r="F41" s="202">
        <v>0</v>
      </c>
      <c r="H41" s="100"/>
    </row>
    <row r="42" spans="1:8" ht="22.5" customHeight="1" x14ac:dyDescent="0.2">
      <c r="A42" s="198" t="s">
        <v>843</v>
      </c>
      <c r="B42" s="199" t="s">
        <v>844</v>
      </c>
      <c r="C42" s="200" t="s">
        <v>845</v>
      </c>
      <c r="D42" s="200"/>
      <c r="E42" s="201">
        <f>E43+E49+E50</f>
        <v>0</v>
      </c>
      <c r="F42" s="202">
        <f>F43+F49+F50</f>
        <v>7483655000</v>
      </c>
      <c r="H42" s="100"/>
    </row>
    <row r="43" spans="1:8" ht="22.5" customHeight="1" x14ac:dyDescent="0.2">
      <c r="A43" s="198" t="s">
        <v>846</v>
      </c>
      <c r="B43" s="199" t="s">
        <v>847</v>
      </c>
      <c r="C43" s="200" t="s">
        <v>848</v>
      </c>
      <c r="D43" s="200"/>
      <c r="E43" s="201">
        <f>E44+E45+E46+E47+E48</f>
        <v>0</v>
      </c>
      <c r="F43" s="202">
        <f>F44+F45+F46+F47+F48</f>
        <v>0</v>
      </c>
      <c r="H43" s="100"/>
    </row>
    <row r="44" spans="1:8" ht="20" x14ac:dyDescent="0.2">
      <c r="A44" s="203"/>
      <c r="B44" s="204" t="s">
        <v>849</v>
      </c>
      <c r="C44" s="205" t="s">
        <v>850</v>
      </c>
      <c r="D44" s="205"/>
      <c r="E44" s="206">
        <v>0</v>
      </c>
      <c r="F44" s="207">
        <v>0</v>
      </c>
      <c r="H44" s="100"/>
    </row>
    <row r="45" spans="1:8" ht="20" x14ac:dyDescent="0.2">
      <c r="A45" s="203"/>
      <c r="B45" s="204" t="s">
        <v>851</v>
      </c>
      <c r="C45" s="205" t="s">
        <v>852</v>
      </c>
      <c r="D45" s="205"/>
      <c r="E45" s="206">
        <v>0</v>
      </c>
      <c r="F45" s="207">
        <v>0</v>
      </c>
      <c r="H45" s="100"/>
    </row>
    <row r="46" spans="1:8" ht="30" x14ac:dyDescent="0.2">
      <c r="A46" s="203"/>
      <c r="B46" s="204" t="s">
        <v>853</v>
      </c>
      <c r="C46" s="205" t="s">
        <v>854</v>
      </c>
      <c r="D46" s="205"/>
      <c r="E46" s="206">
        <v>0</v>
      </c>
      <c r="F46" s="207">
        <v>0</v>
      </c>
      <c r="H46" s="100"/>
    </row>
    <row r="47" spans="1:8" ht="30" x14ac:dyDescent="0.2">
      <c r="A47" s="203"/>
      <c r="B47" s="204" t="s">
        <v>855</v>
      </c>
      <c r="C47" s="205" t="s">
        <v>856</v>
      </c>
      <c r="D47" s="205"/>
      <c r="E47" s="206">
        <v>0</v>
      </c>
      <c r="F47" s="207">
        <v>0</v>
      </c>
      <c r="H47" s="100"/>
    </row>
    <row r="48" spans="1:8" ht="20" x14ac:dyDescent="0.2">
      <c r="A48" s="203"/>
      <c r="B48" s="204" t="s">
        <v>857</v>
      </c>
      <c r="C48" s="205" t="s">
        <v>858</v>
      </c>
      <c r="D48" s="205"/>
      <c r="E48" s="206">
        <v>0</v>
      </c>
      <c r="F48" s="207">
        <v>0</v>
      </c>
      <c r="H48" s="100"/>
    </row>
    <row r="49" spans="1:8" ht="33" customHeight="1" x14ac:dyDescent="0.2">
      <c r="A49" s="198"/>
      <c r="B49" s="199" t="s">
        <v>859</v>
      </c>
      <c r="C49" s="200" t="s">
        <v>860</v>
      </c>
      <c r="D49" s="200"/>
      <c r="E49" s="201">
        <v>0</v>
      </c>
      <c r="F49" s="202">
        <v>0</v>
      </c>
      <c r="H49" s="100"/>
    </row>
    <row r="50" spans="1:8" ht="24" customHeight="1" x14ac:dyDescent="0.2">
      <c r="A50" s="198" t="s">
        <v>861</v>
      </c>
      <c r="B50" s="199" t="s">
        <v>862</v>
      </c>
      <c r="C50" s="200" t="s">
        <v>863</v>
      </c>
      <c r="D50" s="200"/>
      <c r="E50" s="201">
        <f>E51+E52+E53+E54+E55</f>
        <v>0</v>
      </c>
      <c r="F50" s="202">
        <f>F51+F52+F53+F54+F55</f>
        <v>7483655000</v>
      </c>
      <c r="H50" s="100"/>
    </row>
    <row r="51" spans="1:8" ht="20" x14ac:dyDescent="0.2">
      <c r="A51" s="203"/>
      <c r="B51" s="204" t="s">
        <v>864</v>
      </c>
      <c r="C51" s="205" t="s">
        <v>865</v>
      </c>
      <c r="D51" s="205"/>
      <c r="E51" s="206">
        <v>0</v>
      </c>
      <c r="F51" s="207">
        <v>7483655000</v>
      </c>
      <c r="H51" s="100"/>
    </row>
    <row r="52" spans="1:8" ht="20" x14ac:dyDescent="0.2">
      <c r="A52" s="203"/>
      <c r="B52" s="204" t="s">
        <v>866</v>
      </c>
      <c r="C52" s="205" t="s">
        <v>867</v>
      </c>
      <c r="D52" s="205"/>
      <c r="E52" s="206">
        <v>0</v>
      </c>
      <c r="F52" s="207">
        <v>0</v>
      </c>
      <c r="H52" s="100"/>
    </row>
    <row r="53" spans="1:8" ht="30" x14ac:dyDescent="0.2">
      <c r="A53" s="203"/>
      <c r="B53" s="204" t="s">
        <v>868</v>
      </c>
      <c r="C53" s="205" t="s">
        <v>869</v>
      </c>
      <c r="D53" s="205"/>
      <c r="E53" s="206">
        <v>0</v>
      </c>
      <c r="F53" s="207">
        <v>0</v>
      </c>
      <c r="H53" s="100"/>
    </row>
    <row r="54" spans="1:8" ht="30" x14ac:dyDescent="0.2">
      <c r="A54" s="203"/>
      <c r="B54" s="204" t="s">
        <v>870</v>
      </c>
      <c r="C54" s="205" t="s">
        <v>871</v>
      </c>
      <c r="D54" s="205"/>
      <c r="E54" s="206">
        <v>0</v>
      </c>
      <c r="F54" s="207">
        <v>0</v>
      </c>
      <c r="H54" s="100"/>
    </row>
    <row r="55" spans="1:8" ht="20" x14ac:dyDescent="0.2">
      <c r="A55" s="203"/>
      <c r="B55" s="204" t="s">
        <v>872</v>
      </c>
      <c r="C55" s="205" t="s">
        <v>873</v>
      </c>
      <c r="D55" s="205"/>
      <c r="E55" s="206">
        <v>0</v>
      </c>
      <c r="F55" s="207">
        <v>0</v>
      </c>
      <c r="H55" s="100"/>
    </row>
    <row r="56" spans="1:8" ht="20" x14ac:dyDescent="0.2">
      <c r="A56" s="198" t="s">
        <v>874</v>
      </c>
      <c r="B56" s="199" t="s">
        <v>875</v>
      </c>
      <c r="C56" s="200" t="s">
        <v>876</v>
      </c>
      <c r="D56" s="200"/>
      <c r="E56" s="201">
        <f>E57+E58+E65</f>
        <v>0</v>
      </c>
      <c r="F56" s="202">
        <f>F57+F58+F65</f>
        <v>0</v>
      </c>
      <c r="H56" s="100"/>
    </row>
    <row r="57" spans="1:8" ht="40" x14ac:dyDescent="0.2">
      <c r="A57" s="203"/>
      <c r="B57" s="204" t="s">
        <v>877</v>
      </c>
      <c r="C57" s="205" t="s">
        <v>878</v>
      </c>
      <c r="D57" s="205"/>
      <c r="E57" s="206">
        <v>0</v>
      </c>
      <c r="F57" s="207">
        <v>0</v>
      </c>
      <c r="H57" s="100"/>
    </row>
    <row r="58" spans="1:8" ht="20" x14ac:dyDescent="0.2">
      <c r="A58" s="203"/>
      <c r="B58" s="204" t="s">
        <v>462</v>
      </c>
      <c r="C58" s="205" t="s">
        <v>879</v>
      </c>
      <c r="D58" s="205"/>
      <c r="E58" s="206">
        <v>0</v>
      </c>
      <c r="F58" s="207">
        <v>0</v>
      </c>
      <c r="H58" s="100"/>
    </row>
    <row r="59" spans="1:8" ht="20" x14ac:dyDescent="0.2">
      <c r="A59" s="203"/>
      <c r="B59" s="204" t="s">
        <v>476</v>
      </c>
      <c r="C59" s="205" t="s">
        <v>880</v>
      </c>
      <c r="D59" s="205"/>
      <c r="E59" s="206">
        <v>0</v>
      </c>
      <c r="F59" s="207">
        <v>0</v>
      </c>
      <c r="H59" s="100"/>
    </row>
    <row r="60" spans="1:8" ht="20" x14ac:dyDescent="0.2">
      <c r="A60" s="203"/>
      <c r="B60" s="204" t="s">
        <v>881</v>
      </c>
      <c r="C60" s="205" t="s">
        <v>882</v>
      </c>
      <c r="D60" s="205"/>
      <c r="E60" s="206">
        <v>0</v>
      </c>
      <c r="F60" s="207">
        <v>0</v>
      </c>
      <c r="H60" s="100"/>
    </row>
    <row r="61" spans="1:8" ht="20" x14ac:dyDescent="0.2">
      <c r="A61" s="203"/>
      <c r="B61" s="204" t="s">
        <v>883</v>
      </c>
      <c r="C61" s="205" t="s">
        <v>884</v>
      </c>
      <c r="D61" s="205"/>
      <c r="E61" s="206">
        <v>0</v>
      </c>
      <c r="F61" s="207">
        <v>0</v>
      </c>
      <c r="H61" s="100"/>
    </row>
    <row r="62" spans="1:8" ht="30" x14ac:dyDescent="0.2">
      <c r="A62" s="203"/>
      <c r="B62" s="204" t="s">
        <v>482</v>
      </c>
      <c r="C62" s="205" t="s">
        <v>885</v>
      </c>
      <c r="D62" s="205"/>
      <c r="E62" s="206">
        <v>0</v>
      </c>
      <c r="F62" s="207">
        <v>0</v>
      </c>
      <c r="H62" s="100"/>
    </row>
    <row r="63" spans="1:8" ht="20" x14ac:dyDescent="0.2">
      <c r="A63" s="203"/>
      <c r="B63" s="204" t="s">
        <v>886</v>
      </c>
      <c r="C63" s="205" t="s">
        <v>887</v>
      </c>
      <c r="D63" s="205"/>
      <c r="E63" s="206">
        <v>0</v>
      </c>
      <c r="F63" s="207">
        <v>0</v>
      </c>
      <c r="H63" s="100"/>
    </row>
    <row r="64" spans="1:8" ht="20" x14ac:dyDescent="0.2">
      <c r="A64" s="203"/>
      <c r="B64" s="204" t="s">
        <v>888</v>
      </c>
      <c r="C64" s="205" t="s">
        <v>889</v>
      </c>
      <c r="D64" s="205"/>
      <c r="E64" s="206">
        <v>0</v>
      </c>
      <c r="F64" s="207">
        <v>0</v>
      </c>
      <c r="H64" s="100"/>
    </row>
    <row r="65" spans="1:8" ht="20" x14ac:dyDescent="0.2">
      <c r="A65" s="203"/>
      <c r="B65" s="204" t="s">
        <v>890</v>
      </c>
      <c r="C65" s="205" t="s">
        <v>891</v>
      </c>
      <c r="D65" s="205"/>
      <c r="E65" s="206">
        <v>0</v>
      </c>
      <c r="F65" s="207">
        <v>0</v>
      </c>
      <c r="H65" s="100"/>
    </row>
    <row r="66" spans="1:8" ht="20" x14ac:dyDescent="0.2">
      <c r="A66" s="198" t="s">
        <v>892</v>
      </c>
      <c r="B66" s="199" t="s">
        <v>893</v>
      </c>
      <c r="C66" s="200" t="s">
        <v>894</v>
      </c>
      <c r="D66" s="200"/>
      <c r="E66" s="201">
        <v>0</v>
      </c>
      <c r="F66" s="202">
        <v>0</v>
      </c>
      <c r="H66" s="100"/>
    </row>
    <row r="67" spans="1:8" s="106" customFormat="1" ht="20" x14ac:dyDescent="0.2">
      <c r="A67" s="191"/>
      <c r="B67" s="192" t="s">
        <v>895</v>
      </c>
      <c r="C67" s="193" t="s">
        <v>896</v>
      </c>
      <c r="D67" s="193"/>
      <c r="E67" s="196">
        <f>E19+E27+E39</f>
        <v>11424392305549</v>
      </c>
      <c r="F67" s="197">
        <f>F19+F27+F39</f>
        <v>11510188956073</v>
      </c>
      <c r="H67" s="252"/>
    </row>
    <row r="68" spans="1:8" s="106" customFormat="1" ht="20" x14ac:dyDescent="0.2">
      <c r="A68" s="191" t="s">
        <v>121</v>
      </c>
      <c r="B68" s="192" t="s">
        <v>897</v>
      </c>
      <c r="C68" s="193" t="s">
        <v>121</v>
      </c>
      <c r="D68" s="193"/>
      <c r="E68" s="196">
        <v>0</v>
      </c>
      <c r="F68" s="197">
        <v>0</v>
      </c>
      <c r="H68" s="252"/>
    </row>
    <row r="69" spans="1:8" ht="20" x14ac:dyDescent="0.2">
      <c r="A69" s="198" t="s">
        <v>3</v>
      </c>
      <c r="B69" s="199" t="s">
        <v>898</v>
      </c>
      <c r="C69" s="200" t="s">
        <v>899</v>
      </c>
      <c r="D69" s="200"/>
      <c r="E69" s="201">
        <v>0</v>
      </c>
      <c r="F69" s="202">
        <v>0</v>
      </c>
      <c r="H69" s="100"/>
    </row>
    <row r="70" spans="1:8" ht="20" x14ac:dyDescent="0.2">
      <c r="A70" s="203"/>
      <c r="B70" s="204" t="s">
        <v>900</v>
      </c>
      <c r="C70" s="205" t="s">
        <v>901</v>
      </c>
      <c r="D70" s="205"/>
      <c r="E70" s="206">
        <v>0</v>
      </c>
      <c r="F70" s="207">
        <v>0</v>
      </c>
      <c r="H70" s="100"/>
    </row>
    <row r="71" spans="1:8" ht="20" x14ac:dyDescent="0.2">
      <c r="A71" s="203"/>
      <c r="B71" s="204" t="s">
        <v>902</v>
      </c>
      <c r="C71" s="205" t="s">
        <v>903</v>
      </c>
      <c r="D71" s="205"/>
      <c r="E71" s="206">
        <v>0</v>
      </c>
      <c r="F71" s="207">
        <v>0</v>
      </c>
      <c r="H71" s="100"/>
    </row>
    <row r="72" spans="1:8" ht="20" x14ac:dyDescent="0.2">
      <c r="A72" s="198" t="s">
        <v>8</v>
      </c>
      <c r="B72" s="199" t="s">
        <v>904</v>
      </c>
      <c r="C72" s="200" t="s">
        <v>905</v>
      </c>
      <c r="D72" s="200"/>
      <c r="E72" s="201">
        <v>0</v>
      </c>
      <c r="F72" s="202">
        <v>0</v>
      </c>
      <c r="H72" s="100"/>
    </row>
    <row r="73" spans="1:8" ht="40" x14ac:dyDescent="0.2">
      <c r="A73" s="198" t="s">
        <v>13</v>
      </c>
      <c r="B73" s="199" t="s">
        <v>906</v>
      </c>
      <c r="C73" s="200" t="s">
        <v>907</v>
      </c>
      <c r="D73" s="200"/>
      <c r="E73" s="201">
        <f>E74+E75</f>
        <v>0</v>
      </c>
      <c r="F73" s="202">
        <f>F74+F75</f>
        <v>0</v>
      </c>
      <c r="H73" s="100"/>
    </row>
    <row r="74" spans="1:8" s="263" customFormat="1" ht="20" x14ac:dyDescent="0.2">
      <c r="A74" s="203"/>
      <c r="B74" s="204" t="s">
        <v>908</v>
      </c>
      <c r="C74" s="205" t="s">
        <v>909</v>
      </c>
      <c r="D74" s="205"/>
      <c r="E74" s="206">
        <v>0</v>
      </c>
      <c r="F74" s="207">
        <v>0</v>
      </c>
      <c r="H74" s="264"/>
    </row>
    <row r="75" spans="1:8" s="263" customFormat="1" ht="30" x14ac:dyDescent="0.2">
      <c r="A75" s="203"/>
      <c r="B75" s="204" t="s">
        <v>910</v>
      </c>
      <c r="C75" s="205" t="s">
        <v>911</v>
      </c>
      <c r="D75" s="205"/>
      <c r="E75" s="206">
        <v>0</v>
      </c>
      <c r="F75" s="207">
        <v>0</v>
      </c>
      <c r="H75" s="264"/>
    </row>
    <row r="76" spans="1:8" ht="20" x14ac:dyDescent="0.2">
      <c r="A76" s="198" t="s">
        <v>18</v>
      </c>
      <c r="B76" s="199" t="s">
        <v>912</v>
      </c>
      <c r="C76" s="200" t="s">
        <v>913</v>
      </c>
      <c r="D76" s="200"/>
      <c r="E76" s="201">
        <v>0</v>
      </c>
      <c r="F76" s="202">
        <v>0</v>
      </c>
      <c r="H76" s="100"/>
    </row>
    <row r="77" spans="1:8" ht="20" x14ac:dyDescent="0.2">
      <c r="A77" s="198" t="s">
        <v>285</v>
      </c>
      <c r="B77" s="199" t="s">
        <v>914</v>
      </c>
      <c r="C77" s="200" t="s">
        <v>915</v>
      </c>
      <c r="D77" s="200"/>
      <c r="E77" s="201">
        <v>0</v>
      </c>
      <c r="F77" s="202">
        <v>0</v>
      </c>
      <c r="H77" s="100"/>
    </row>
    <row r="78" spans="1:8" ht="20" x14ac:dyDescent="0.2">
      <c r="A78" s="198" t="s">
        <v>287</v>
      </c>
      <c r="B78" s="199" t="s">
        <v>916</v>
      </c>
      <c r="C78" s="200" t="s">
        <v>917</v>
      </c>
      <c r="D78" s="200"/>
      <c r="E78" s="201">
        <f>E79+E80+E81+E82+E83+E84+E85</f>
        <v>166272172</v>
      </c>
      <c r="F78" s="202">
        <f>F79+F80+F81+F82+F83+F84+F85</f>
        <v>303990491</v>
      </c>
      <c r="H78" s="100"/>
    </row>
    <row r="79" spans="1:8" s="263" customFormat="1" ht="20" x14ac:dyDescent="0.2">
      <c r="A79" s="203"/>
      <c r="B79" s="204" t="s">
        <v>918</v>
      </c>
      <c r="C79" s="205" t="s">
        <v>919</v>
      </c>
      <c r="D79" s="205"/>
      <c r="E79" s="206">
        <v>0</v>
      </c>
      <c r="F79" s="207">
        <v>35326110</v>
      </c>
      <c r="H79" s="264"/>
    </row>
    <row r="80" spans="1:8" s="263" customFormat="1" ht="20" x14ac:dyDescent="0.2">
      <c r="A80" s="203"/>
      <c r="B80" s="204" t="s">
        <v>920</v>
      </c>
      <c r="C80" s="205" t="s">
        <v>921</v>
      </c>
      <c r="D80" s="205"/>
      <c r="E80" s="206">
        <v>152809203</v>
      </c>
      <c r="F80" s="207">
        <v>257445225</v>
      </c>
      <c r="H80" s="264"/>
    </row>
    <row r="81" spans="1:8" s="263" customFormat="1" ht="20" x14ac:dyDescent="0.2">
      <c r="A81" s="203"/>
      <c r="B81" s="204" t="s">
        <v>922</v>
      </c>
      <c r="C81" s="205" t="s">
        <v>923</v>
      </c>
      <c r="D81" s="205"/>
      <c r="E81" s="206">
        <v>0</v>
      </c>
      <c r="F81" s="207">
        <v>0</v>
      </c>
      <c r="H81" s="264"/>
    </row>
    <row r="82" spans="1:8" s="263" customFormat="1" ht="20" x14ac:dyDescent="0.2">
      <c r="A82" s="203"/>
      <c r="B82" s="204" t="s">
        <v>924</v>
      </c>
      <c r="C82" s="205" t="s">
        <v>925</v>
      </c>
      <c r="D82" s="205"/>
      <c r="E82" s="206">
        <v>0</v>
      </c>
      <c r="F82" s="207">
        <v>0</v>
      </c>
      <c r="H82" s="264"/>
    </row>
    <row r="83" spans="1:8" s="263" customFormat="1" ht="30" x14ac:dyDescent="0.2">
      <c r="A83" s="203"/>
      <c r="B83" s="204" t="s">
        <v>926</v>
      </c>
      <c r="C83" s="205" t="s">
        <v>927</v>
      </c>
      <c r="D83" s="205"/>
      <c r="E83" s="206">
        <v>13462969</v>
      </c>
      <c r="F83" s="207">
        <v>11219156</v>
      </c>
      <c r="H83" s="264"/>
    </row>
    <row r="84" spans="1:8" s="263" customFormat="1" ht="20" x14ac:dyDescent="0.2">
      <c r="A84" s="203"/>
      <c r="B84" s="204" t="s">
        <v>928</v>
      </c>
      <c r="C84" s="205" t="s">
        <v>929</v>
      </c>
      <c r="D84" s="205"/>
      <c r="E84" s="206">
        <v>0</v>
      </c>
      <c r="F84" s="207">
        <v>0</v>
      </c>
      <c r="H84" s="264"/>
    </row>
    <row r="85" spans="1:8" s="263" customFormat="1" ht="20" x14ac:dyDescent="0.2">
      <c r="A85" s="203"/>
      <c r="B85" s="204" t="s">
        <v>930</v>
      </c>
      <c r="C85" s="205" t="s">
        <v>931</v>
      </c>
      <c r="D85" s="205"/>
      <c r="E85" s="206">
        <v>0</v>
      </c>
      <c r="F85" s="207">
        <v>0</v>
      </c>
      <c r="H85" s="264"/>
    </row>
    <row r="86" spans="1:8" ht="20" x14ac:dyDescent="0.2">
      <c r="A86" s="198" t="s">
        <v>290</v>
      </c>
      <c r="B86" s="199" t="s">
        <v>932</v>
      </c>
      <c r="C86" s="200" t="s">
        <v>933</v>
      </c>
      <c r="D86" s="200"/>
      <c r="E86" s="201">
        <v>0</v>
      </c>
      <c r="F86" s="202">
        <v>0</v>
      </c>
      <c r="H86" s="100"/>
    </row>
    <row r="87" spans="1:8" ht="20" x14ac:dyDescent="0.2">
      <c r="A87" s="198" t="s">
        <v>299</v>
      </c>
      <c r="B87" s="199" t="s">
        <v>934</v>
      </c>
      <c r="C87" s="200" t="s">
        <v>935</v>
      </c>
      <c r="D87" s="200"/>
      <c r="E87" s="201">
        <v>177619570</v>
      </c>
      <c r="F87" s="202">
        <v>13594155455</v>
      </c>
      <c r="H87" s="100"/>
    </row>
    <row r="88" spans="1:8" ht="20" x14ac:dyDescent="0.2">
      <c r="A88" s="198" t="s">
        <v>312</v>
      </c>
      <c r="B88" s="199" t="s">
        <v>936</v>
      </c>
      <c r="C88" s="200" t="s">
        <v>937</v>
      </c>
      <c r="D88" s="200"/>
      <c r="E88" s="201">
        <f>E89+E90+E95+E96+E97+E98+E99+E100</f>
        <v>14679324126</v>
      </c>
      <c r="F88" s="202">
        <f>F89+F90+F95+F96+F97+F98+F99+F100</f>
        <v>13107031477</v>
      </c>
      <c r="H88" s="100"/>
    </row>
    <row r="89" spans="1:8" ht="20" x14ac:dyDescent="0.2">
      <c r="A89" s="203" t="s">
        <v>938</v>
      </c>
      <c r="B89" s="204" t="s">
        <v>939</v>
      </c>
      <c r="C89" s="205" t="s">
        <v>940</v>
      </c>
      <c r="D89" s="205"/>
      <c r="E89" s="206">
        <v>7384313431</v>
      </c>
      <c r="F89" s="207">
        <v>8114558615</v>
      </c>
      <c r="H89" s="100"/>
    </row>
    <row r="90" spans="1:8" ht="20" x14ac:dyDescent="0.2">
      <c r="A90" s="203" t="s">
        <v>941</v>
      </c>
      <c r="B90" s="204" t="s">
        <v>942</v>
      </c>
      <c r="C90" s="205" t="s">
        <v>943</v>
      </c>
      <c r="D90" s="205"/>
      <c r="E90" s="206">
        <f>E91+E92+E93</f>
        <v>186607836</v>
      </c>
      <c r="F90" s="207">
        <f>F91+F92+F93</f>
        <v>208663963</v>
      </c>
      <c r="H90" s="100"/>
    </row>
    <row r="91" spans="1:8" ht="20" x14ac:dyDescent="0.2">
      <c r="A91" s="203"/>
      <c r="B91" s="204" t="s">
        <v>944</v>
      </c>
      <c r="C91" s="205" t="s">
        <v>945</v>
      </c>
      <c r="D91" s="205"/>
      <c r="E91" s="206">
        <v>184607836</v>
      </c>
      <c r="F91" s="207">
        <v>202863963</v>
      </c>
      <c r="H91" s="100"/>
    </row>
    <row r="92" spans="1:8" ht="20" x14ac:dyDescent="0.2">
      <c r="A92" s="203"/>
      <c r="B92" s="204" t="s">
        <v>946</v>
      </c>
      <c r="C92" s="205" t="s">
        <v>947</v>
      </c>
      <c r="D92" s="205"/>
      <c r="E92" s="206">
        <v>2000000</v>
      </c>
      <c r="F92" s="207">
        <v>5800000</v>
      </c>
      <c r="H92" s="100"/>
    </row>
    <row r="93" spans="1:8" ht="20" x14ac:dyDescent="0.2">
      <c r="A93" s="203"/>
      <c r="B93" s="204" t="s">
        <v>948</v>
      </c>
      <c r="C93" s="205" t="s">
        <v>949</v>
      </c>
      <c r="D93" s="205"/>
      <c r="E93" s="206">
        <v>0</v>
      </c>
      <c r="F93" s="207">
        <v>0</v>
      </c>
      <c r="H93" s="100"/>
    </row>
    <row r="94" spans="1:8" ht="40" x14ac:dyDescent="0.2">
      <c r="A94" s="203"/>
      <c r="B94" s="204" t="s">
        <v>950</v>
      </c>
      <c r="C94" s="205" t="s">
        <v>951</v>
      </c>
      <c r="D94" s="205"/>
      <c r="E94" s="206">
        <v>0</v>
      </c>
      <c r="F94" s="207">
        <v>0</v>
      </c>
      <c r="H94" s="100"/>
    </row>
    <row r="95" spans="1:8" ht="20" x14ac:dyDescent="0.2">
      <c r="A95" s="203" t="s">
        <v>952</v>
      </c>
      <c r="B95" s="204" t="s">
        <v>953</v>
      </c>
      <c r="C95" s="205" t="s">
        <v>954</v>
      </c>
      <c r="D95" s="205"/>
      <c r="E95" s="206">
        <v>203068620</v>
      </c>
      <c r="F95" s="207">
        <v>223150359</v>
      </c>
      <c r="H95" s="100"/>
    </row>
    <row r="96" spans="1:8" ht="20" x14ac:dyDescent="0.2">
      <c r="A96" s="203" t="s">
        <v>955</v>
      </c>
      <c r="B96" s="204" t="s">
        <v>956</v>
      </c>
      <c r="C96" s="205" t="s">
        <v>957</v>
      </c>
      <c r="D96" s="205"/>
      <c r="E96" s="206">
        <v>406137239</v>
      </c>
      <c r="F96" s="207">
        <v>446300724</v>
      </c>
      <c r="H96" s="100"/>
    </row>
    <row r="97" spans="1:8" ht="21.75" customHeight="1" x14ac:dyDescent="0.2">
      <c r="A97" s="203" t="s">
        <v>958</v>
      </c>
      <c r="B97" s="204" t="s">
        <v>959</v>
      </c>
      <c r="C97" s="205" t="s">
        <v>960</v>
      </c>
      <c r="D97" s="205"/>
      <c r="E97" s="206">
        <v>16500000</v>
      </c>
      <c r="F97" s="207">
        <v>16500000</v>
      </c>
      <c r="H97" s="100"/>
    </row>
    <row r="98" spans="1:8" ht="21.75" customHeight="1" x14ac:dyDescent="0.2">
      <c r="A98" s="203" t="s">
        <v>961</v>
      </c>
      <c r="B98" s="204" t="s">
        <v>962</v>
      </c>
      <c r="C98" s="205" t="s">
        <v>963</v>
      </c>
      <c r="D98" s="205"/>
      <c r="E98" s="206">
        <v>2837153464</v>
      </c>
      <c r="F98" s="207">
        <v>1503804627</v>
      </c>
      <c r="H98" s="100"/>
    </row>
    <row r="99" spans="1:8" ht="20" x14ac:dyDescent="0.2">
      <c r="A99" s="203" t="s">
        <v>964</v>
      </c>
      <c r="B99" s="204" t="s">
        <v>965</v>
      </c>
      <c r="C99" s="205" t="s">
        <v>966</v>
      </c>
      <c r="D99" s="205"/>
      <c r="E99" s="206">
        <v>2269722776</v>
      </c>
      <c r="F99" s="207">
        <v>1203043701</v>
      </c>
      <c r="H99" s="100"/>
    </row>
    <row r="100" spans="1:8" ht="20" x14ac:dyDescent="0.2">
      <c r="A100" s="198" t="s">
        <v>964</v>
      </c>
      <c r="B100" s="199" t="s">
        <v>967</v>
      </c>
      <c r="C100" s="200" t="s">
        <v>968</v>
      </c>
      <c r="D100" s="200"/>
      <c r="E100" s="201">
        <v>1375820760</v>
      </c>
      <c r="F100" s="202">
        <v>1391009488</v>
      </c>
      <c r="H100" s="100"/>
    </row>
    <row r="101" spans="1:8" ht="20" x14ac:dyDescent="0.2">
      <c r="A101" s="198" t="s">
        <v>319</v>
      </c>
      <c r="B101" s="199" t="s">
        <v>969</v>
      </c>
      <c r="C101" s="200" t="s">
        <v>970</v>
      </c>
      <c r="D101" s="200"/>
      <c r="E101" s="201">
        <f>E102+E103+E104</f>
        <v>0</v>
      </c>
      <c r="F101" s="202">
        <f>F102+F103+F104</f>
        <v>0</v>
      </c>
      <c r="H101" s="100"/>
    </row>
    <row r="102" spans="1:8" s="263" customFormat="1" ht="20" x14ac:dyDescent="0.2">
      <c r="A102" s="203" t="s">
        <v>622</v>
      </c>
      <c r="B102" s="204" t="s">
        <v>971</v>
      </c>
      <c r="C102" s="205" t="s">
        <v>972</v>
      </c>
      <c r="D102" s="205"/>
      <c r="E102" s="206">
        <v>0</v>
      </c>
      <c r="F102" s="207">
        <v>0</v>
      </c>
      <c r="H102" s="264"/>
    </row>
    <row r="103" spans="1:8" s="263" customFormat="1" ht="30" x14ac:dyDescent="0.2">
      <c r="A103" s="203" t="s">
        <v>973</v>
      </c>
      <c r="B103" s="204" t="s">
        <v>974</v>
      </c>
      <c r="C103" s="205" t="s">
        <v>975</v>
      </c>
      <c r="D103" s="205"/>
      <c r="E103" s="206">
        <v>0</v>
      </c>
      <c r="F103" s="207">
        <v>0</v>
      </c>
      <c r="H103" s="264"/>
    </row>
    <row r="104" spans="1:8" s="263" customFormat="1" ht="20" x14ac:dyDescent="0.2">
      <c r="A104" s="203" t="s">
        <v>976</v>
      </c>
      <c r="B104" s="204" t="s">
        <v>977</v>
      </c>
      <c r="C104" s="205" t="s">
        <v>978</v>
      </c>
      <c r="D104" s="205"/>
      <c r="E104" s="206">
        <f>E105+E106+E107+E108+E109</f>
        <v>0</v>
      </c>
      <c r="F104" s="207">
        <f>F105+F106+F107+F108+F109</f>
        <v>0</v>
      </c>
      <c r="H104" s="264"/>
    </row>
    <row r="105" spans="1:8" s="263" customFormat="1" ht="20" x14ac:dyDescent="0.2">
      <c r="A105" s="203"/>
      <c r="B105" s="204" t="s">
        <v>979</v>
      </c>
      <c r="C105" s="205" t="s">
        <v>980</v>
      </c>
      <c r="D105" s="205"/>
      <c r="E105" s="206">
        <v>0</v>
      </c>
      <c r="F105" s="207">
        <v>0</v>
      </c>
      <c r="H105" s="264"/>
    </row>
    <row r="106" spans="1:8" s="263" customFormat="1" ht="20" x14ac:dyDescent="0.2">
      <c r="A106" s="203"/>
      <c r="B106" s="204" t="s">
        <v>981</v>
      </c>
      <c r="C106" s="205" t="s">
        <v>982</v>
      </c>
      <c r="D106" s="205"/>
      <c r="E106" s="206">
        <v>0</v>
      </c>
      <c r="F106" s="207">
        <v>0</v>
      </c>
      <c r="H106" s="264"/>
    </row>
    <row r="107" spans="1:8" s="263" customFormat="1" ht="20" x14ac:dyDescent="0.2">
      <c r="A107" s="203"/>
      <c r="B107" s="204" t="s">
        <v>983</v>
      </c>
      <c r="C107" s="205" t="s">
        <v>984</v>
      </c>
      <c r="D107" s="205"/>
      <c r="E107" s="206">
        <v>0</v>
      </c>
      <c r="F107" s="207">
        <v>0</v>
      </c>
      <c r="H107" s="264"/>
    </row>
    <row r="108" spans="1:8" s="263" customFormat="1" ht="20" x14ac:dyDescent="0.2">
      <c r="A108" s="203"/>
      <c r="B108" s="204" t="s">
        <v>985</v>
      </c>
      <c r="C108" s="205" t="s">
        <v>986</v>
      </c>
      <c r="D108" s="205"/>
      <c r="E108" s="206">
        <v>0</v>
      </c>
      <c r="F108" s="207">
        <v>0</v>
      </c>
      <c r="H108" s="264"/>
    </row>
    <row r="109" spans="1:8" s="263" customFormat="1" ht="20" x14ac:dyDescent="0.2">
      <c r="A109" s="203"/>
      <c r="B109" s="204" t="s">
        <v>987</v>
      </c>
      <c r="C109" s="205" t="s">
        <v>988</v>
      </c>
      <c r="D109" s="205"/>
      <c r="E109" s="206">
        <v>0</v>
      </c>
      <c r="F109" s="207">
        <v>0</v>
      </c>
      <c r="H109" s="264"/>
    </row>
    <row r="110" spans="1:8" s="106" customFormat="1" ht="20" x14ac:dyDescent="0.2">
      <c r="A110" s="191"/>
      <c r="B110" s="192" t="s">
        <v>989</v>
      </c>
      <c r="C110" s="193" t="s">
        <v>990</v>
      </c>
      <c r="D110" s="193"/>
      <c r="E110" s="196">
        <f>E69+E72+E73+E76+E77+E78+E86+E87+E88+E101</f>
        <v>15023215868</v>
      </c>
      <c r="F110" s="197">
        <f>F69+F72+F73+F76+F77+F78+F86+F87+F88+F101</f>
        <v>27005177423</v>
      </c>
      <c r="H110" s="252"/>
    </row>
    <row r="111" spans="1:8" s="106" customFormat="1" ht="30" x14ac:dyDescent="0.2">
      <c r="A111" s="191" t="s">
        <v>338</v>
      </c>
      <c r="B111" s="192" t="s">
        <v>991</v>
      </c>
      <c r="C111" s="193" t="s">
        <v>992</v>
      </c>
      <c r="D111" s="193"/>
      <c r="E111" s="196">
        <f>E67-E110</f>
        <v>11409369089681</v>
      </c>
      <c r="F111" s="197">
        <f>F67-F110</f>
        <v>11483183778650</v>
      </c>
      <c r="H111" s="252"/>
    </row>
    <row r="112" spans="1:8" ht="20" x14ac:dyDescent="0.2">
      <c r="A112" s="198" t="s">
        <v>3</v>
      </c>
      <c r="B112" s="199" t="s">
        <v>993</v>
      </c>
      <c r="C112" s="200" t="s">
        <v>994</v>
      </c>
      <c r="D112" s="200"/>
      <c r="E112" s="201">
        <f>E113+E114</f>
        <v>3425000000000</v>
      </c>
      <c r="F112" s="202">
        <f>F113+F114</f>
        <v>3622000000000</v>
      </c>
      <c r="H112" s="100"/>
    </row>
    <row r="113" spans="1:8" s="263" customFormat="1" ht="20" x14ac:dyDescent="0.2">
      <c r="A113" s="203" t="s">
        <v>796</v>
      </c>
      <c r="B113" s="204" t="s">
        <v>995</v>
      </c>
      <c r="C113" s="205" t="s">
        <v>996</v>
      </c>
      <c r="D113" s="205"/>
      <c r="E113" s="265">
        <v>13031000000000</v>
      </c>
      <c r="F113" s="266">
        <v>12845000000000</v>
      </c>
      <c r="H113" s="264"/>
    </row>
    <row r="114" spans="1:8" s="263" customFormat="1" ht="20" x14ac:dyDescent="0.2">
      <c r="A114" s="203" t="s">
        <v>806</v>
      </c>
      <c r="B114" s="204" t="s">
        <v>997</v>
      </c>
      <c r="C114" s="205" t="s">
        <v>998</v>
      </c>
      <c r="D114" s="205"/>
      <c r="E114" s="206">
        <v>-9606000000000</v>
      </c>
      <c r="F114" s="207">
        <v>-9223000000000</v>
      </c>
      <c r="H114" s="264"/>
    </row>
    <row r="115" spans="1:8" ht="20" x14ac:dyDescent="0.2">
      <c r="A115" s="198" t="s">
        <v>8</v>
      </c>
      <c r="B115" s="199" t="s">
        <v>999</v>
      </c>
      <c r="C115" s="200" t="s">
        <v>1000</v>
      </c>
      <c r="D115" s="200"/>
      <c r="E115" s="201">
        <v>-1380344601912</v>
      </c>
      <c r="F115" s="202">
        <v>-1017888604494</v>
      </c>
      <c r="H115" s="100"/>
    </row>
    <row r="116" spans="1:8" ht="20" x14ac:dyDescent="0.2">
      <c r="A116" s="198" t="s">
        <v>13</v>
      </c>
      <c r="B116" s="199" t="s">
        <v>1001</v>
      </c>
      <c r="C116" s="200" t="s">
        <v>1002</v>
      </c>
      <c r="D116" s="200"/>
      <c r="E116" s="201">
        <f>E117+E118</f>
        <v>9364713691593</v>
      </c>
      <c r="F116" s="202">
        <f>F117+F118</f>
        <v>8879072383144</v>
      </c>
      <c r="H116" s="100"/>
    </row>
    <row r="117" spans="1:8" s="263" customFormat="1" ht="20" x14ac:dyDescent="0.2">
      <c r="A117" s="203" t="s">
        <v>838</v>
      </c>
      <c r="B117" s="204" t="s">
        <v>1003</v>
      </c>
      <c r="C117" s="205" t="s">
        <v>1004</v>
      </c>
      <c r="D117" s="205"/>
      <c r="E117" s="206">
        <v>8879072383144</v>
      </c>
      <c r="F117" s="207">
        <v>9590559237496</v>
      </c>
      <c r="H117" s="264"/>
    </row>
    <row r="118" spans="1:8" s="263" customFormat="1" ht="20" x14ac:dyDescent="0.2">
      <c r="A118" s="267" t="s">
        <v>843</v>
      </c>
      <c r="B118" s="268" t="s">
        <v>1005</v>
      </c>
      <c r="C118" s="269" t="s">
        <v>1006</v>
      </c>
      <c r="D118" s="269"/>
      <c r="E118" s="270">
        <v>485641308449</v>
      </c>
      <c r="F118" s="271">
        <v>-711486854352</v>
      </c>
      <c r="H118" s="264"/>
    </row>
    <row r="119" spans="1:8" ht="30" x14ac:dyDescent="0.2">
      <c r="A119" s="198" t="s">
        <v>341</v>
      </c>
      <c r="B119" s="199" t="s">
        <v>1007</v>
      </c>
      <c r="C119" s="200" t="s">
        <v>1008</v>
      </c>
      <c r="D119" s="200"/>
      <c r="E119" s="261">
        <v>33312.019999999997</v>
      </c>
      <c r="F119" s="262">
        <v>31703.98</v>
      </c>
      <c r="H119" s="100"/>
    </row>
    <row r="120" spans="1:8" ht="20" x14ac:dyDescent="0.2">
      <c r="A120" s="198" t="s">
        <v>354</v>
      </c>
      <c r="B120" s="199" t="s">
        <v>1009</v>
      </c>
      <c r="C120" s="200" t="s">
        <v>1010</v>
      </c>
      <c r="D120" s="200"/>
      <c r="E120" s="201">
        <f>E121+E122</f>
        <v>0</v>
      </c>
      <c r="F120" s="202">
        <f>F121+F122</f>
        <v>0</v>
      </c>
      <c r="H120" s="100"/>
    </row>
    <row r="121" spans="1:8" ht="20" x14ac:dyDescent="0.2">
      <c r="A121" s="198" t="s">
        <v>3</v>
      </c>
      <c r="B121" s="199" t="s">
        <v>1011</v>
      </c>
      <c r="C121" s="200" t="s">
        <v>1012</v>
      </c>
      <c r="D121" s="200"/>
      <c r="E121" s="201">
        <v>0</v>
      </c>
      <c r="F121" s="202">
        <v>0</v>
      </c>
      <c r="H121" s="100"/>
    </row>
    <row r="122" spans="1:8" ht="30" x14ac:dyDescent="0.2">
      <c r="A122" s="198" t="s">
        <v>8</v>
      </c>
      <c r="B122" s="199" t="s">
        <v>1013</v>
      </c>
      <c r="C122" s="200" t="s">
        <v>1014</v>
      </c>
      <c r="D122" s="200"/>
      <c r="E122" s="201">
        <v>0</v>
      </c>
      <c r="F122" s="202">
        <v>0</v>
      </c>
      <c r="H122" s="100"/>
    </row>
    <row r="123" spans="1:8" ht="20" x14ac:dyDescent="0.2">
      <c r="A123" s="198" t="s">
        <v>357</v>
      </c>
      <c r="B123" s="199" t="s">
        <v>1015</v>
      </c>
      <c r="C123" s="200" t="s">
        <v>357</v>
      </c>
      <c r="D123" s="200"/>
      <c r="E123" s="201">
        <v>0</v>
      </c>
      <c r="F123" s="202">
        <v>0</v>
      </c>
      <c r="H123" s="100"/>
    </row>
    <row r="124" spans="1:8" ht="20" x14ac:dyDescent="0.2">
      <c r="A124" s="198" t="s">
        <v>3</v>
      </c>
      <c r="B124" s="199" t="s">
        <v>1016</v>
      </c>
      <c r="C124" s="200" t="s">
        <v>1017</v>
      </c>
      <c r="D124" s="200"/>
      <c r="E124" s="201">
        <v>0</v>
      </c>
      <c r="F124" s="202">
        <v>0</v>
      </c>
      <c r="H124" s="100"/>
    </row>
    <row r="125" spans="1:8" ht="20" x14ac:dyDescent="0.2">
      <c r="A125" s="198" t="s">
        <v>8</v>
      </c>
      <c r="B125" s="199" t="s">
        <v>1018</v>
      </c>
      <c r="C125" s="200" t="s">
        <v>1019</v>
      </c>
      <c r="D125" s="200"/>
      <c r="E125" s="201">
        <v>0</v>
      </c>
      <c r="F125" s="202">
        <v>0</v>
      </c>
      <c r="H125" s="100"/>
    </row>
    <row r="126" spans="1:8" ht="20" x14ac:dyDescent="0.2">
      <c r="A126" s="198" t="s">
        <v>13</v>
      </c>
      <c r="B126" s="199" t="s">
        <v>1020</v>
      </c>
      <c r="C126" s="200" t="s">
        <v>1021</v>
      </c>
      <c r="D126" s="200"/>
      <c r="E126" s="201">
        <v>0</v>
      </c>
      <c r="F126" s="202">
        <v>0</v>
      </c>
      <c r="H126" s="100"/>
    </row>
    <row r="127" spans="1:8" ht="33" customHeight="1" x14ac:dyDescent="0.2">
      <c r="A127" s="208" t="s">
        <v>18</v>
      </c>
      <c r="B127" s="209" t="s">
        <v>1022</v>
      </c>
      <c r="C127" s="210" t="s">
        <v>1023</v>
      </c>
      <c r="D127" s="210"/>
      <c r="E127" s="211">
        <v>342500000</v>
      </c>
      <c r="F127" s="212">
        <v>362200000</v>
      </c>
      <c r="H127" s="100"/>
    </row>
    <row r="128" spans="1:8" x14ac:dyDescent="0.2">
      <c r="A128" s="213"/>
      <c r="B128" s="214"/>
      <c r="C128" s="215"/>
      <c r="D128" s="215"/>
      <c r="E128" s="216"/>
      <c r="F128" s="216"/>
    </row>
    <row r="129" spans="1:6" s="118" customFormat="1" ht="25.5" customHeight="1" x14ac:dyDescent="0.35">
      <c r="A129" s="374" t="s">
        <v>584</v>
      </c>
      <c r="B129" s="374"/>
      <c r="C129" s="374" t="s">
        <v>1111</v>
      </c>
      <c r="D129" s="374"/>
      <c r="E129" s="374" t="s">
        <v>229</v>
      </c>
      <c r="F129" s="374"/>
    </row>
    <row r="130" spans="1:6" s="118" customFormat="1" ht="15" customHeight="1" x14ac:dyDescent="0.35">
      <c r="A130" s="375" t="s">
        <v>585</v>
      </c>
      <c r="B130" s="375"/>
      <c r="C130" s="375" t="s">
        <v>585</v>
      </c>
      <c r="D130" s="375"/>
      <c r="E130" s="375" t="s">
        <v>586</v>
      </c>
      <c r="F130" s="375"/>
    </row>
    <row r="131" spans="1:6" ht="64.5" customHeight="1" x14ac:dyDescent="0.2">
      <c r="A131" s="362"/>
      <c r="B131" s="362"/>
      <c r="C131" s="362"/>
      <c r="D131" s="362"/>
      <c r="E131" s="362"/>
      <c r="F131" s="362"/>
    </row>
    <row r="132" spans="1:6" s="118" customFormat="1" ht="15.75" customHeight="1" x14ac:dyDescent="0.35">
      <c r="A132" s="374" t="s">
        <v>1122</v>
      </c>
      <c r="B132" s="374"/>
      <c r="C132" s="374" t="s">
        <v>1112</v>
      </c>
      <c r="D132" s="374"/>
      <c r="E132" s="374" t="s">
        <v>230</v>
      </c>
      <c r="F132" s="374"/>
    </row>
    <row r="133" spans="1:6" x14ac:dyDescent="0.2">
      <c r="A133" s="307"/>
      <c r="B133" s="307"/>
      <c r="C133" s="307"/>
      <c r="D133" s="307"/>
      <c r="E133" s="307"/>
      <c r="F133" s="307"/>
    </row>
  </sheetData>
  <mergeCells count="36">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1:B131"/>
    <mergeCell ref="C131:D131"/>
    <mergeCell ref="E131:F131"/>
    <mergeCell ref="A15:B15"/>
    <mergeCell ref="C15:F15"/>
    <mergeCell ref="A129:B129"/>
    <mergeCell ref="C129:D129"/>
    <mergeCell ref="E129:F129"/>
    <mergeCell ref="A130:B130"/>
    <mergeCell ref="C130:D130"/>
    <mergeCell ref="E130:F130"/>
    <mergeCell ref="A133:B133"/>
    <mergeCell ref="C133:D133"/>
    <mergeCell ref="E133:F133"/>
    <mergeCell ref="A132:B132"/>
    <mergeCell ref="C132:D132"/>
    <mergeCell ref="E132:F132"/>
  </mergeCells>
  <printOptions horizontalCentered="1"/>
  <pageMargins left="0.39370078740157483" right="0.39370078740157483" top="0.39370078740157483" bottom="0.39370078740157483" header="0.31496062992125984" footer="0.31496062992125984"/>
  <pageSetup paperSize="9" scale="88"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2"/>
  <sheetViews>
    <sheetView showGridLines="0" showZeros="0" showOutlineSymbols="0" view="pageBreakPreview" zoomScaleNormal="100" zoomScaleSheetLayoutView="100" workbookViewId="0"/>
  </sheetViews>
  <sheetFormatPr defaultRowHeight="10" x14ac:dyDescent="0.35"/>
  <cols>
    <col min="1" max="1" width="31.26953125" style="218" customWidth="1"/>
    <col min="2" max="2" width="7.81640625" style="218" customWidth="1"/>
    <col min="3" max="3" width="7" style="250" customWidth="1"/>
    <col min="4" max="4" width="7.54296875" style="250" customWidth="1"/>
    <col min="5" max="6" width="21.453125" style="251" customWidth="1"/>
    <col min="7" max="252" width="9.1796875" style="218"/>
    <col min="253" max="253" width="31.26953125" style="218" customWidth="1"/>
    <col min="254" max="255" width="6.453125" style="218" customWidth="1"/>
    <col min="256" max="256" width="11.7265625" style="218" customWidth="1"/>
    <col min="257" max="257" width="21.453125" style="218" customWidth="1"/>
    <col min="258" max="258" width="24.54296875" style="218" customWidth="1"/>
    <col min="259" max="508" width="9.1796875" style="218"/>
    <col min="509" max="509" width="31.26953125" style="218" customWidth="1"/>
    <col min="510" max="511" width="6.453125" style="218" customWidth="1"/>
    <col min="512" max="512" width="11.7265625" style="218" customWidth="1"/>
    <col min="513" max="513" width="21.453125" style="218" customWidth="1"/>
    <col min="514" max="514" width="24.54296875" style="218" customWidth="1"/>
    <col min="515" max="764" width="9.1796875" style="218"/>
    <col min="765" max="765" width="31.26953125" style="218" customWidth="1"/>
    <col min="766" max="767" width="6.453125" style="218" customWidth="1"/>
    <col min="768" max="768" width="11.7265625" style="218" customWidth="1"/>
    <col min="769" max="769" width="21.453125" style="218" customWidth="1"/>
    <col min="770" max="770" width="24.54296875" style="218" customWidth="1"/>
    <col min="771" max="1020" width="9.1796875" style="218"/>
    <col min="1021" max="1021" width="31.26953125" style="218" customWidth="1"/>
    <col min="1022" max="1023" width="6.453125" style="218" customWidth="1"/>
    <col min="1024" max="1024" width="11.7265625" style="218" customWidth="1"/>
    <col min="1025" max="1025" width="21.453125" style="218" customWidth="1"/>
    <col min="1026" max="1026" width="24.54296875" style="218" customWidth="1"/>
    <col min="1027" max="1276" width="9.1796875" style="218"/>
    <col min="1277" max="1277" width="31.26953125" style="218" customWidth="1"/>
    <col min="1278" max="1279" width="6.453125" style="218" customWidth="1"/>
    <col min="1280" max="1280" width="11.7265625" style="218" customWidth="1"/>
    <col min="1281" max="1281" width="21.453125" style="218" customWidth="1"/>
    <col min="1282" max="1282" width="24.54296875" style="218" customWidth="1"/>
    <col min="1283" max="1532" width="9.1796875" style="218"/>
    <col min="1533" max="1533" width="31.26953125" style="218" customWidth="1"/>
    <col min="1534" max="1535" width="6.453125" style="218" customWidth="1"/>
    <col min="1536" max="1536" width="11.7265625" style="218" customWidth="1"/>
    <col min="1537" max="1537" width="21.453125" style="218" customWidth="1"/>
    <col min="1538" max="1538" width="24.54296875" style="218" customWidth="1"/>
    <col min="1539" max="1788" width="9.1796875" style="218"/>
    <col min="1789" max="1789" width="31.26953125" style="218" customWidth="1"/>
    <col min="1790" max="1791" width="6.453125" style="218" customWidth="1"/>
    <col min="1792" max="1792" width="11.7265625" style="218" customWidth="1"/>
    <col min="1793" max="1793" width="21.453125" style="218" customWidth="1"/>
    <col min="1794" max="1794" width="24.54296875" style="218" customWidth="1"/>
    <col min="1795" max="2044" width="9.1796875" style="218"/>
    <col min="2045" max="2045" width="31.26953125" style="218" customWidth="1"/>
    <col min="2046" max="2047" width="6.453125" style="218" customWidth="1"/>
    <col min="2048" max="2048" width="11.7265625" style="218" customWidth="1"/>
    <col min="2049" max="2049" width="21.453125" style="218" customWidth="1"/>
    <col min="2050" max="2050" width="24.54296875" style="218" customWidth="1"/>
    <col min="2051" max="2300" width="9.1796875" style="218"/>
    <col min="2301" max="2301" width="31.26953125" style="218" customWidth="1"/>
    <col min="2302" max="2303" width="6.453125" style="218" customWidth="1"/>
    <col min="2304" max="2304" width="11.7265625" style="218" customWidth="1"/>
    <col min="2305" max="2305" width="21.453125" style="218" customWidth="1"/>
    <col min="2306" max="2306" width="24.54296875" style="218" customWidth="1"/>
    <col min="2307" max="2556" width="9.1796875" style="218"/>
    <col min="2557" max="2557" width="31.26953125" style="218" customWidth="1"/>
    <col min="2558" max="2559" width="6.453125" style="218" customWidth="1"/>
    <col min="2560" max="2560" width="11.7265625" style="218" customWidth="1"/>
    <col min="2561" max="2561" width="21.453125" style="218" customWidth="1"/>
    <col min="2562" max="2562" width="24.54296875" style="218" customWidth="1"/>
    <col min="2563" max="2812" width="9.1796875" style="218"/>
    <col min="2813" max="2813" width="31.26953125" style="218" customWidth="1"/>
    <col min="2814" max="2815" width="6.453125" style="218" customWidth="1"/>
    <col min="2816" max="2816" width="11.7265625" style="218" customWidth="1"/>
    <col min="2817" max="2817" width="21.453125" style="218" customWidth="1"/>
    <col min="2818" max="2818" width="24.54296875" style="218" customWidth="1"/>
    <col min="2819" max="3068" width="9.1796875" style="218"/>
    <col min="3069" max="3069" width="31.26953125" style="218" customWidth="1"/>
    <col min="3070" max="3071" width="6.453125" style="218" customWidth="1"/>
    <col min="3072" max="3072" width="11.7265625" style="218" customWidth="1"/>
    <col min="3073" max="3073" width="21.453125" style="218" customWidth="1"/>
    <col min="3074" max="3074" width="24.54296875" style="218" customWidth="1"/>
    <col min="3075" max="3324" width="9.1796875" style="218"/>
    <col min="3325" max="3325" width="31.26953125" style="218" customWidth="1"/>
    <col min="3326" max="3327" width="6.453125" style="218" customWidth="1"/>
    <col min="3328" max="3328" width="11.7265625" style="218" customWidth="1"/>
    <col min="3329" max="3329" width="21.453125" style="218" customWidth="1"/>
    <col min="3330" max="3330" width="24.54296875" style="218" customWidth="1"/>
    <col min="3331" max="3580" width="9.1796875" style="218"/>
    <col min="3581" max="3581" width="31.26953125" style="218" customWidth="1"/>
    <col min="3582" max="3583" width="6.453125" style="218" customWidth="1"/>
    <col min="3584" max="3584" width="11.7265625" style="218" customWidth="1"/>
    <col min="3585" max="3585" width="21.453125" style="218" customWidth="1"/>
    <col min="3586" max="3586" width="24.54296875" style="218" customWidth="1"/>
    <col min="3587" max="3836" width="9.1796875" style="218"/>
    <col min="3837" max="3837" width="31.26953125" style="218" customWidth="1"/>
    <col min="3838" max="3839" width="6.453125" style="218" customWidth="1"/>
    <col min="3840" max="3840" width="11.7265625" style="218" customWidth="1"/>
    <col min="3841" max="3841" width="21.453125" style="218" customWidth="1"/>
    <col min="3842" max="3842" width="24.54296875" style="218" customWidth="1"/>
    <col min="3843" max="4092" width="9.1796875" style="218"/>
    <col min="4093" max="4093" width="31.26953125" style="218" customWidth="1"/>
    <col min="4094" max="4095" width="6.453125" style="218" customWidth="1"/>
    <col min="4096" max="4096" width="11.7265625" style="218" customWidth="1"/>
    <col min="4097" max="4097" width="21.453125" style="218" customWidth="1"/>
    <col min="4098" max="4098" width="24.54296875" style="218" customWidth="1"/>
    <col min="4099" max="4348" width="9.1796875" style="218"/>
    <col min="4349" max="4349" width="31.26953125" style="218" customWidth="1"/>
    <col min="4350" max="4351" width="6.453125" style="218" customWidth="1"/>
    <col min="4352" max="4352" width="11.7265625" style="218" customWidth="1"/>
    <col min="4353" max="4353" width="21.453125" style="218" customWidth="1"/>
    <col min="4354" max="4354" width="24.54296875" style="218" customWidth="1"/>
    <col min="4355" max="4604" width="9.1796875" style="218"/>
    <col min="4605" max="4605" width="31.26953125" style="218" customWidth="1"/>
    <col min="4606" max="4607" width="6.453125" style="218" customWidth="1"/>
    <col min="4608" max="4608" width="11.7265625" style="218" customWidth="1"/>
    <col min="4609" max="4609" width="21.453125" style="218" customWidth="1"/>
    <col min="4610" max="4610" width="24.54296875" style="218" customWidth="1"/>
    <col min="4611" max="4860" width="9.1796875" style="218"/>
    <col min="4861" max="4861" width="31.26953125" style="218" customWidth="1"/>
    <col min="4862" max="4863" width="6.453125" style="218" customWidth="1"/>
    <col min="4864" max="4864" width="11.7265625" style="218" customWidth="1"/>
    <col min="4865" max="4865" width="21.453125" style="218" customWidth="1"/>
    <col min="4866" max="4866" width="24.54296875" style="218" customWidth="1"/>
    <col min="4867" max="5116" width="9.1796875" style="218"/>
    <col min="5117" max="5117" width="31.26953125" style="218" customWidth="1"/>
    <col min="5118" max="5119" width="6.453125" style="218" customWidth="1"/>
    <col min="5120" max="5120" width="11.7265625" style="218" customWidth="1"/>
    <col min="5121" max="5121" width="21.453125" style="218" customWidth="1"/>
    <col min="5122" max="5122" width="24.54296875" style="218" customWidth="1"/>
    <col min="5123" max="5372" width="9.1796875" style="218"/>
    <col min="5373" max="5373" width="31.26953125" style="218" customWidth="1"/>
    <col min="5374" max="5375" width="6.453125" style="218" customWidth="1"/>
    <col min="5376" max="5376" width="11.7265625" style="218" customWidth="1"/>
    <col min="5377" max="5377" width="21.453125" style="218" customWidth="1"/>
    <col min="5378" max="5378" width="24.54296875" style="218" customWidth="1"/>
    <col min="5379" max="5628" width="9.1796875" style="218"/>
    <col min="5629" max="5629" width="31.26953125" style="218" customWidth="1"/>
    <col min="5630" max="5631" width="6.453125" style="218" customWidth="1"/>
    <col min="5632" max="5632" width="11.7265625" style="218" customWidth="1"/>
    <col min="5633" max="5633" width="21.453125" style="218" customWidth="1"/>
    <col min="5634" max="5634" width="24.54296875" style="218" customWidth="1"/>
    <col min="5635" max="5884" width="9.1796875" style="218"/>
    <col min="5885" max="5885" width="31.26953125" style="218" customWidth="1"/>
    <col min="5886" max="5887" width="6.453125" style="218" customWidth="1"/>
    <col min="5888" max="5888" width="11.7265625" style="218" customWidth="1"/>
    <col min="5889" max="5889" width="21.453125" style="218" customWidth="1"/>
    <col min="5890" max="5890" width="24.54296875" style="218" customWidth="1"/>
    <col min="5891" max="6140" width="9.1796875" style="218"/>
    <col min="6141" max="6141" width="31.26953125" style="218" customWidth="1"/>
    <col min="6142" max="6143" width="6.453125" style="218" customWidth="1"/>
    <col min="6144" max="6144" width="11.7265625" style="218" customWidth="1"/>
    <col min="6145" max="6145" width="21.453125" style="218" customWidth="1"/>
    <col min="6146" max="6146" width="24.54296875" style="218" customWidth="1"/>
    <col min="6147" max="6396" width="9.1796875" style="218"/>
    <col min="6397" max="6397" width="31.26953125" style="218" customWidth="1"/>
    <col min="6398" max="6399" width="6.453125" style="218" customWidth="1"/>
    <col min="6400" max="6400" width="11.7265625" style="218" customWidth="1"/>
    <col min="6401" max="6401" width="21.453125" style="218" customWidth="1"/>
    <col min="6402" max="6402" width="24.54296875" style="218" customWidth="1"/>
    <col min="6403" max="6652" width="9.1796875" style="218"/>
    <col min="6653" max="6653" width="31.26953125" style="218" customWidth="1"/>
    <col min="6654" max="6655" width="6.453125" style="218" customWidth="1"/>
    <col min="6656" max="6656" width="11.7265625" style="218" customWidth="1"/>
    <col min="6657" max="6657" width="21.453125" style="218" customWidth="1"/>
    <col min="6658" max="6658" width="24.54296875" style="218" customWidth="1"/>
    <col min="6659" max="6908" width="9.1796875" style="218"/>
    <col min="6909" max="6909" width="31.26953125" style="218" customWidth="1"/>
    <col min="6910" max="6911" width="6.453125" style="218" customWidth="1"/>
    <col min="6912" max="6912" width="11.7265625" style="218" customWidth="1"/>
    <col min="6913" max="6913" width="21.453125" style="218" customWidth="1"/>
    <col min="6914" max="6914" width="24.54296875" style="218" customWidth="1"/>
    <col min="6915" max="7164" width="9.1796875" style="218"/>
    <col min="7165" max="7165" width="31.26953125" style="218" customWidth="1"/>
    <col min="7166" max="7167" width="6.453125" style="218" customWidth="1"/>
    <col min="7168" max="7168" width="11.7265625" style="218" customWidth="1"/>
    <col min="7169" max="7169" width="21.453125" style="218" customWidth="1"/>
    <col min="7170" max="7170" width="24.54296875" style="218" customWidth="1"/>
    <col min="7171" max="7420" width="9.1796875" style="218"/>
    <col min="7421" max="7421" width="31.26953125" style="218" customWidth="1"/>
    <col min="7422" max="7423" width="6.453125" style="218" customWidth="1"/>
    <col min="7424" max="7424" width="11.7265625" style="218" customWidth="1"/>
    <col min="7425" max="7425" width="21.453125" style="218" customWidth="1"/>
    <col min="7426" max="7426" width="24.54296875" style="218" customWidth="1"/>
    <col min="7427" max="7676" width="9.1796875" style="218"/>
    <col min="7677" max="7677" width="31.26953125" style="218" customWidth="1"/>
    <col min="7678" max="7679" width="6.453125" style="218" customWidth="1"/>
    <col min="7680" max="7680" width="11.7265625" style="218" customWidth="1"/>
    <col min="7681" max="7681" width="21.453125" style="218" customWidth="1"/>
    <col min="7682" max="7682" width="24.54296875" style="218" customWidth="1"/>
    <col min="7683" max="7932" width="9.1796875" style="218"/>
    <col min="7933" max="7933" width="31.26953125" style="218" customWidth="1"/>
    <col min="7934" max="7935" width="6.453125" style="218" customWidth="1"/>
    <col min="7936" max="7936" width="11.7265625" style="218" customWidth="1"/>
    <col min="7937" max="7937" width="21.453125" style="218" customWidth="1"/>
    <col min="7938" max="7938" width="24.54296875" style="218" customWidth="1"/>
    <col min="7939" max="8188" width="9.1796875" style="218"/>
    <col min="8189" max="8189" width="31.26953125" style="218" customWidth="1"/>
    <col min="8190" max="8191" width="6.453125" style="218" customWidth="1"/>
    <col min="8192" max="8192" width="11.7265625" style="218" customWidth="1"/>
    <col min="8193" max="8193" width="21.453125" style="218" customWidth="1"/>
    <col min="8194" max="8194" width="24.54296875" style="218" customWidth="1"/>
    <col min="8195" max="8444" width="9.1796875" style="218"/>
    <col min="8445" max="8445" width="31.26953125" style="218" customWidth="1"/>
    <col min="8446" max="8447" width="6.453125" style="218" customWidth="1"/>
    <col min="8448" max="8448" width="11.7265625" style="218" customWidth="1"/>
    <col min="8449" max="8449" width="21.453125" style="218" customWidth="1"/>
    <col min="8450" max="8450" width="24.54296875" style="218" customWidth="1"/>
    <col min="8451" max="8700" width="9.1796875" style="218"/>
    <col min="8701" max="8701" width="31.26953125" style="218" customWidth="1"/>
    <col min="8702" max="8703" width="6.453125" style="218" customWidth="1"/>
    <col min="8704" max="8704" width="11.7265625" style="218" customWidth="1"/>
    <col min="8705" max="8705" width="21.453125" style="218" customWidth="1"/>
    <col min="8706" max="8706" width="24.54296875" style="218" customWidth="1"/>
    <col min="8707" max="8956" width="9.1796875" style="218"/>
    <col min="8957" max="8957" width="31.26953125" style="218" customWidth="1"/>
    <col min="8958" max="8959" width="6.453125" style="218" customWidth="1"/>
    <col min="8960" max="8960" width="11.7265625" style="218" customWidth="1"/>
    <col min="8961" max="8961" width="21.453125" style="218" customWidth="1"/>
    <col min="8962" max="8962" width="24.54296875" style="218" customWidth="1"/>
    <col min="8963" max="9212" width="9.1796875" style="218"/>
    <col min="9213" max="9213" width="31.26953125" style="218" customWidth="1"/>
    <col min="9214" max="9215" width="6.453125" style="218" customWidth="1"/>
    <col min="9216" max="9216" width="11.7265625" style="218" customWidth="1"/>
    <col min="9217" max="9217" width="21.453125" style="218" customWidth="1"/>
    <col min="9218" max="9218" width="24.54296875" style="218" customWidth="1"/>
    <col min="9219" max="9468" width="9.1796875" style="218"/>
    <col min="9469" max="9469" width="31.26953125" style="218" customWidth="1"/>
    <col min="9470" max="9471" width="6.453125" style="218" customWidth="1"/>
    <col min="9472" max="9472" width="11.7265625" style="218" customWidth="1"/>
    <col min="9473" max="9473" width="21.453125" style="218" customWidth="1"/>
    <col min="9474" max="9474" width="24.54296875" style="218" customWidth="1"/>
    <col min="9475" max="9724" width="9.1796875" style="218"/>
    <col min="9725" max="9725" width="31.26953125" style="218" customWidth="1"/>
    <col min="9726" max="9727" width="6.453125" style="218" customWidth="1"/>
    <col min="9728" max="9728" width="11.7265625" style="218" customWidth="1"/>
    <col min="9729" max="9729" width="21.453125" style="218" customWidth="1"/>
    <col min="9730" max="9730" width="24.54296875" style="218" customWidth="1"/>
    <col min="9731" max="9980" width="9.1796875" style="218"/>
    <col min="9981" max="9981" width="31.26953125" style="218" customWidth="1"/>
    <col min="9982" max="9983" width="6.453125" style="218" customWidth="1"/>
    <col min="9984" max="9984" width="11.7265625" style="218" customWidth="1"/>
    <col min="9985" max="9985" width="21.453125" style="218" customWidth="1"/>
    <col min="9986" max="9986" width="24.54296875" style="218" customWidth="1"/>
    <col min="9987" max="10236" width="9.1796875" style="218"/>
    <col min="10237" max="10237" width="31.26953125" style="218" customWidth="1"/>
    <col min="10238" max="10239" width="6.453125" style="218" customWidth="1"/>
    <col min="10240" max="10240" width="11.7265625" style="218" customWidth="1"/>
    <col min="10241" max="10241" width="21.453125" style="218" customWidth="1"/>
    <col min="10242" max="10242" width="24.54296875" style="218" customWidth="1"/>
    <col min="10243" max="10492" width="9.1796875" style="218"/>
    <col min="10493" max="10493" width="31.26953125" style="218" customWidth="1"/>
    <col min="10494" max="10495" width="6.453125" style="218" customWidth="1"/>
    <col min="10496" max="10496" width="11.7265625" style="218" customWidth="1"/>
    <col min="10497" max="10497" width="21.453125" style="218" customWidth="1"/>
    <col min="10498" max="10498" width="24.54296875" style="218" customWidth="1"/>
    <col min="10499" max="10748" width="9.1796875" style="218"/>
    <col min="10749" max="10749" width="31.26953125" style="218" customWidth="1"/>
    <col min="10750" max="10751" width="6.453125" style="218" customWidth="1"/>
    <col min="10752" max="10752" width="11.7265625" style="218" customWidth="1"/>
    <col min="10753" max="10753" width="21.453125" style="218" customWidth="1"/>
    <col min="10754" max="10754" width="24.54296875" style="218" customWidth="1"/>
    <col min="10755" max="11004" width="9.1796875" style="218"/>
    <col min="11005" max="11005" width="31.26953125" style="218" customWidth="1"/>
    <col min="11006" max="11007" width="6.453125" style="218" customWidth="1"/>
    <col min="11008" max="11008" width="11.7265625" style="218" customWidth="1"/>
    <col min="11009" max="11009" width="21.453125" style="218" customWidth="1"/>
    <col min="11010" max="11010" width="24.54296875" style="218" customWidth="1"/>
    <col min="11011" max="11260" width="9.1796875" style="218"/>
    <col min="11261" max="11261" width="31.26953125" style="218" customWidth="1"/>
    <col min="11262" max="11263" width="6.453125" style="218" customWidth="1"/>
    <col min="11264" max="11264" width="11.7265625" style="218" customWidth="1"/>
    <col min="11265" max="11265" width="21.453125" style="218" customWidth="1"/>
    <col min="11266" max="11266" width="24.54296875" style="218" customWidth="1"/>
    <col min="11267" max="11516" width="9.1796875" style="218"/>
    <col min="11517" max="11517" width="31.26953125" style="218" customWidth="1"/>
    <col min="11518" max="11519" width="6.453125" style="218" customWidth="1"/>
    <col min="11520" max="11520" width="11.7265625" style="218" customWidth="1"/>
    <col min="11521" max="11521" width="21.453125" style="218" customWidth="1"/>
    <col min="11522" max="11522" width="24.54296875" style="218" customWidth="1"/>
    <col min="11523" max="11772" width="9.1796875" style="218"/>
    <col min="11773" max="11773" width="31.26953125" style="218" customWidth="1"/>
    <col min="11774" max="11775" width="6.453125" style="218" customWidth="1"/>
    <col min="11776" max="11776" width="11.7265625" style="218" customWidth="1"/>
    <col min="11777" max="11777" width="21.453125" style="218" customWidth="1"/>
    <col min="11778" max="11778" width="24.54296875" style="218" customWidth="1"/>
    <col min="11779" max="12028" width="9.1796875" style="218"/>
    <col min="12029" max="12029" width="31.26953125" style="218" customWidth="1"/>
    <col min="12030" max="12031" width="6.453125" style="218" customWidth="1"/>
    <col min="12032" max="12032" width="11.7265625" style="218" customWidth="1"/>
    <col min="12033" max="12033" width="21.453125" style="218" customWidth="1"/>
    <col min="12034" max="12034" width="24.54296875" style="218" customWidth="1"/>
    <col min="12035" max="12284" width="9.1796875" style="218"/>
    <col min="12285" max="12285" width="31.26953125" style="218" customWidth="1"/>
    <col min="12286" max="12287" width="6.453125" style="218" customWidth="1"/>
    <col min="12288" max="12288" width="11.7265625" style="218" customWidth="1"/>
    <col min="12289" max="12289" width="21.453125" style="218" customWidth="1"/>
    <col min="12290" max="12290" width="24.54296875" style="218" customWidth="1"/>
    <col min="12291" max="12540" width="9.1796875" style="218"/>
    <col min="12541" max="12541" width="31.26953125" style="218" customWidth="1"/>
    <col min="12542" max="12543" width="6.453125" style="218" customWidth="1"/>
    <col min="12544" max="12544" width="11.7265625" style="218" customWidth="1"/>
    <col min="12545" max="12545" width="21.453125" style="218" customWidth="1"/>
    <col min="12546" max="12546" width="24.54296875" style="218" customWidth="1"/>
    <col min="12547" max="12796" width="9.1796875" style="218"/>
    <col min="12797" max="12797" width="31.26953125" style="218" customWidth="1"/>
    <col min="12798" max="12799" width="6.453125" style="218" customWidth="1"/>
    <col min="12800" max="12800" width="11.7265625" style="218" customWidth="1"/>
    <col min="12801" max="12801" width="21.453125" style="218" customWidth="1"/>
    <col min="12802" max="12802" width="24.54296875" style="218" customWidth="1"/>
    <col min="12803" max="13052" width="9.1796875" style="218"/>
    <col min="13053" max="13053" width="31.26953125" style="218" customWidth="1"/>
    <col min="13054" max="13055" width="6.453125" style="218" customWidth="1"/>
    <col min="13056" max="13056" width="11.7265625" style="218" customWidth="1"/>
    <col min="13057" max="13057" width="21.453125" style="218" customWidth="1"/>
    <col min="13058" max="13058" width="24.54296875" style="218" customWidth="1"/>
    <col min="13059" max="13308" width="9.1796875" style="218"/>
    <col min="13309" max="13309" width="31.26953125" style="218" customWidth="1"/>
    <col min="13310" max="13311" width="6.453125" style="218" customWidth="1"/>
    <col min="13312" max="13312" width="11.7265625" style="218" customWidth="1"/>
    <col min="13313" max="13313" width="21.453125" style="218" customWidth="1"/>
    <col min="13314" max="13314" width="24.54296875" style="218" customWidth="1"/>
    <col min="13315" max="13564" width="9.1796875" style="218"/>
    <col min="13565" max="13565" width="31.26953125" style="218" customWidth="1"/>
    <col min="13566" max="13567" width="6.453125" style="218" customWidth="1"/>
    <col min="13568" max="13568" width="11.7265625" style="218" customWidth="1"/>
    <col min="13569" max="13569" width="21.453125" style="218" customWidth="1"/>
    <col min="13570" max="13570" width="24.54296875" style="218" customWidth="1"/>
    <col min="13571" max="13820" width="9.1796875" style="218"/>
    <col min="13821" max="13821" width="31.26953125" style="218" customWidth="1"/>
    <col min="13822" max="13823" width="6.453125" style="218" customWidth="1"/>
    <col min="13824" max="13824" width="11.7265625" style="218" customWidth="1"/>
    <col min="13825" max="13825" width="21.453125" style="218" customWidth="1"/>
    <col min="13826" max="13826" width="24.54296875" style="218" customWidth="1"/>
    <col min="13827" max="14076" width="9.1796875" style="218"/>
    <col min="14077" max="14077" width="31.26953125" style="218" customWidth="1"/>
    <col min="14078" max="14079" width="6.453125" style="218" customWidth="1"/>
    <col min="14080" max="14080" width="11.7265625" style="218" customWidth="1"/>
    <col min="14081" max="14081" width="21.453125" style="218" customWidth="1"/>
    <col min="14082" max="14082" width="24.54296875" style="218" customWidth="1"/>
    <col min="14083" max="14332" width="9.1796875" style="218"/>
    <col min="14333" max="14333" width="31.26953125" style="218" customWidth="1"/>
    <col min="14334" max="14335" width="6.453125" style="218" customWidth="1"/>
    <col min="14336" max="14336" width="11.7265625" style="218" customWidth="1"/>
    <col min="14337" max="14337" width="21.453125" style="218" customWidth="1"/>
    <col min="14338" max="14338" width="24.54296875" style="218" customWidth="1"/>
    <col min="14339" max="14588" width="9.1796875" style="218"/>
    <col min="14589" max="14589" width="31.26953125" style="218" customWidth="1"/>
    <col min="14590" max="14591" width="6.453125" style="218" customWidth="1"/>
    <col min="14592" max="14592" width="11.7265625" style="218" customWidth="1"/>
    <col min="14593" max="14593" width="21.453125" style="218" customWidth="1"/>
    <col min="14594" max="14594" width="24.54296875" style="218" customWidth="1"/>
    <col min="14595" max="14844" width="9.1796875" style="218"/>
    <col min="14845" max="14845" width="31.26953125" style="218" customWidth="1"/>
    <col min="14846" max="14847" width="6.453125" style="218" customWidth="1"/>
    <col min="14848" max="14848" width="11.7265625" style="218" customWidth="1"/>
    <col min="14849" max="14849" width="21.453125" style="218" customWidth="1"/>
    <col min="14850" max="14850" width="24.54296875" style="218" customWidth="1"/>
    <col min="14851" max="15100" width="9.1796875" style="218"/>
    <col min="15101" max="15101" width="31.26953125" style="218" customWidth="1"/>
    <col min="15102" max="15103" width="6.453125" style="218" customWidth="1"/>
    <col min="15104" max="15104" width="11.7265625" style="218" customWidth="1"/>
    <col min="15105" max="15105" width="21.453125" style="218" customWidth="1"/>
    <col min="15106" max="15106" width="24.54296875" style="218" customWidth="1"/>
    <col min="15107" max="15356" width="9.1796875" style="218"/>
    <col min="15357" max="15357" width="31.26953125" style="218" customWidth="1"/>
    <col min="15358" max="15359" width="6.453125" style="218" customWidth="1"/>
    <col min="15360" max="15360" width="11.7265625" style="218" customWidth="1"/>
    <col min="15361" max="15361" width="21.453125" style="218" customWidth="1"/>
    <col min="15362" max="15362" width="24.54296875" style="218" customWidth="1"/>
    <col min="15363" max="15612" width="9.1796875" style="218"/>
    <col min="15613" max="15613" width="31.26953125" style="218" customWidth="1"/>
    <col min="15614" max="15615" width="6.453125" style="218" customWidth="1"/>
    <col min="15616" max="15616" width="11.7265625" style="218" customWidth="1"/>
    <col min="15617" max="15617" width="21.453125" style="218" customWidth="1"/>
    <col min="15618" max="15618" width="24.54296875" style="218" customWidth="1"/>
    <col min="15619" max="15868" width="9.1796875" style="218"/>
    <col min="15869" max="15869" width="31.26953125" style="218" customWidth="1"/>
    <col min="15870" max="15871" width="6.453125" style="218" customWidth="1"/>
    <col min="15872" max="15872" width="11.7265625" style="218" customWidth="1"/>
    <col min="15873" max="15873" width="21.453125" style="218" customWidth="1"/>
    <col min="15874" max="15874" width="24.54296875" style="218" customWidth="1"/>
    <col min="15875" max="16124" width="9.1796875" style="218"/>
    <col min="16125" max="16125" width="31.26953125" style="218" customWidth="1"/>
    <col min="16126" max="16127" width="6.453125" style="218" customWidth="1"/>
    <col min="16128" max="16128" width="11.7265625" style="218" customWidth="1"/>
    <col min="16129" max="16129" width="21.453125" style="218" customWidth="1"/>
    <col min="16130" max="16130" width="24.54296875" style="218" customWidth="1"/>
    <col min="16131" max="16384" width="9.1796875" style="218"/>
  </cols>
  <sheetData>
    <row r="1" spans="1:6" ht="36" customHeight="1" x14ac:dyDescent="0.35">
      <c r="A1" s="219"/>
      <c r="B1" s="395" t="s">
        <v>587</v>
      </c>
      <c r="C1" s="395"/>
      <c r="D1" s="395"/>
      <c r="E1" s="395"/>
      <c r="F1" s="395"/>
    </row>
    <row r="2" spans="1:6" ht="22.5" customHeight="1" x14ac:dyDescent="0.35">
      <c r="A2" s="396" t="s">
        <v>583</v>
      </c>
      <c r="B2" s="396"/>
      <c r="C2" s="396"/>
      <c r="D2" s="396"/>
      <c r="E2" s="396"/>
      <c r="F2" s="396"/>
    </row>
    <row r="3" spans="1:6" ht="2.25" customHeight="1" x14ac:dyDescent="0.35">
      <c r="A3" s="219"/>
      <c r="B3" s="389"/>
      <c r="C3" s="389"/>
      <c r="D3" s="389"/>
      <c r="E3" s="389"/>
      <c r="F3" s="389"/>
    </row>
    <row r="4" spans="1:6" ht="15" customHeight="1" x14ac:dyDescent="0.35">
      <c r="A4" s="395" t="s">
        <v>588</v>
      </c>
      <c r="B4" s="395"/>
      <c r="C4" s="395"/>
      <c r="D4" s="395"/>
      <c r="E4" s="395"/>
      <c r="F4" s="395"/>
    </row>
    <row r="5" spans="1:6" ht="15" customHeight="1" x14ac:dyDescent="0.35">
      <c r="A5" s="379" t="s">
        <v>589</v>
      </c>
      <c r="B5" s="379"/>
      <c r="C5" s="379"/>
      <c r="D5" s="379"/>
      <c r="E5" s="379"/>
      <c r="F5" s="379"/>
    </row>
    <row r="6" spans="1:6" ht="11.25" customHeight="1" x14ac:dyDescent="0.35">
      <c r="A6" s="397" t="s">
        <v>1115</v>
      </c>
      <c r="B6" s="397"/>
      <c r="C6" s="397"/>
      <c r="D6" s="397"/>
      <c r="E6" s="397"/>
      <c r="F6" s="397"/>
    </row>
    <row r="7" spans="1:6" ht="9" customHeight="1" x14ac:dyDescent="0.35">
      <c r="A7" s="219"/>
      <c r="B7" s="389"/>
      <c r="C7" s="389"/>
      <c r="D7" s="398"/>
      <c r="E7" s="398"/>
      <c r="F7" s="398"/>
    </row>
    <row r="8" spans="1:6" ht="12.75" customHeight="1" x14ac:dyDescent="0.35">
      <c r="A8" s="390" t="s">
        <v>9</v>
      </c>
      <c r="B8" s="390"/>
      <c r="C8" s="390"/>
      <c r="D8" s="390" t="s">
        <v>10</v>
      </c>
      <c r="E8" s="390"/>
      <c r="F8" s="390"/>
    </row>
    <row r="9" spans="1:6" ht="12.75" customHeight="1" x14ac:dyDescent="0.35">
      <c r="A9" s="389" t="s">
        <v>11</v>
      </c>
      <c r="B9" s="389"/>
      <c r="C9" s="389"/>
      <c r="D9" s="389" t="s">
        <v>12</v>
      </c>
      <c r="E9" s="389"/>
      <c r="F9" s="389"/>
    </row>
    <row r="10" spans="1:6" ht="12.75" customHeight="1" x14ac:dyDescent="0.35">
      <c r="A10" s="390" t="s">
        <v>383</v>
      </c>
      <c r="B10" s="390"/>
      <c r="C10" s="390"/>
      <c r="D10" s="390" t="s">
        <v>15</v>
      </c>
      <c r="E10" s="390"/>
      <c r="F10" s="390"/>
    </row>
    <row r="11" spans="1:6" ht="12.75" customHeight="1" x14ac:dyDescent="0.35">
      <c r="A11" s="389" t="s">
        <v>16</v>
      </c>
      <c r="B11" s="389"/>
      <c r="C11" s="389"/>
      <c r="D11" s="389" t="s">
        <v>17</v>
      </c>
      <c r="E11" s="389"/>
      <c r="F11" s="389"/>
    </row>
    <row r="12" spans="1:6" ht="12.75" customHeight="1" x14ac:dyDescent="0.35">
      <c r="A12" s="390" t="s">
        <v>4</v>
      </c>
      <c r="B12" s="390"/>
      <c r="C12" s="390"/>
      <c r="D12" s="390" t="s">
        <v>5</v>
      </c>
      <c r="E12" s="390"/>
      <c r="F12" s="390"/>
    </row>
    <row r="13" spans="1:6" ht="12.75" customHeight="1" x14ac:dyDescent="0.35">
      <c r="A13" s="389" t="s">
        <v>6</v>
      </c>
      <c r="B13" s="389"/>
      <c r="C13" s="389"/>
      <c r="D13" s="389" t="s">
        <v>7</v>
      </c>
      <c r="E13" s="389"/>
      <c r="F13" s="389"/>
    </row>
    <row r="14" spans="1:6" ht="12.75" customHeight="1" x14ac:dyDescent="0.35">
      <c r="A14" s="390" t="s">
        <v>19</v>
      </c>
      <c r="B14" s="390"/>
      <c r="C14" s="390"/>
      <c r="D14" s="315">
        <v>45853</v>
      </c>
      <c r="E14" s="315"/>
      <c r="F14" s="315"/>
    </row>
    <row r="15" spans="1:6" ht="12.75" customHeight="1" x14ac:dyDescent="0.35">
      <c r="A15" s="389" t="s">
        <v>20</v>
      </c>
      <c r="B15" s="389"/>
      <c r="C15" s="389"/>
      <c r="D15" s="311">
        <v>45853</v>
      </c>
      <c r="E15" s="311"/>
      <c r="F15" s="311"/>
    </row>
    <row r="16" spans="1:6" ht="12.75" customHeight="1" x14ac:dyDescent="0.35">
      <c r="A16" s="220"/>
      <c r="B16" s="391"/>
      <c r="C16" s="391"/>
      <c r="D16" s="392" t="s">
        <v>23</v>
      </c>
      <c r="E16" s="392"/>
      <c r="F16" s="392"/>
    </row>
    <row r="17" spans="1:6" ht="39.75" customHeight="1" x14ac:dyDescent="0.35">
      <c r="A17" s="393" t="s">
        <v>590</v>
      </c>
      <c r="B17" s="394"/>
      <c r="C17" s="221" t="s">
        <v>591</v>
      </c>
      <c r="D17" s="221" t="s">
        <v>592</v>
      </c>
      <c r="E17" s="221" t="s">
        <v>1114</v>
      </c>
      <c r="F17" s="222" t="s">
        <v>1113</v>
      </c>
    </row>
    <row r="18" spans="1:6" ht="24" customHeight="1" x14ac:dyDescent="0.35">
      <c r="A18" s="377" t="s">
        <v>593</v>
      </c>
      <c r="B18" s="378"/>
      <c r="C18" s="223" t="s">
        <v>29</v>
      </c>
      <c r="D18" s="223"/>
      <c r="E18" s="224"/>
      <c r="F18" s="225"/>
    </row>
    <row r="19" spans="1:6" ht="24" customHeight="1" x14ac:dyDescent="0.35">
      <c r="A19" s="377" t="s">
        <v>594</v>
      </c>
      <c r="B19" s="378"/>
      <c r="C19" s="223" t="s">
        <v>595</v>
      </c>
      <c r="D19" s="223"/>
      <c r="E19" s="224">
        <v>485641308449</v>
      </c>
      <c r="F19" s="225">
        <v>-711486854352</v>
      </c>
    </row>
    <row r="20" spans="1:6" s="236" customFormat="1" ht="35.15" customHeight="1" x14ac:dyDescent="0.35">
      <c r="A20" s="383" t="s">
        <v>596</v>
      </c>
      <c r="B20" s="384"/>
      <c r="C20" s="233" t="s">
        <v>597</v>
      </c>
      <c r="D20" s="233"/>
      <c r="E20" s="234">
        <v>-47531255979</v>
      </c>
      <c r="F20" s="235">
        <v>-94564624678</v>
      </c>
    </row>
    <row r="21" spans="1:6" s="236" customFormat="1" ht="45" customHeight="1" x14ac:dyDescent="0.35">
      <c r="A21" s="383" t="s">
        <v>598</v>
      </c>
      <c r="B21" s="384"/>
      <c r="C21" s="233" t="s">
        <v>599</v>
      </c>
      <c r="D21" s="233"/>
      <c r="E21" s="234">
        <v>0</v>
      </c>
      <c r="F21" s="235">
        <v>0</v>
      </c>
    </row>
    <row r="22" spans="1:6" ht="45" customHeight="1" x14ac:dyDescent="0.35">
      <c r="A22" s="377" t="s">
        <v>600</v>
      </c>
      <c r="B22" s="378"/>
      <c r="C22" s="223" t="s">
        <v>601</v>
      </c>
      <c r="D22" s="223"/>
      <c r="E22" s="224">
        <v>-343854490084</v>
      </c>
      <c r="F22" s="225">
        <v>912357837820</v>
      </c>
    </row>
    <row r="23" spans="1:6" ht="45" customHeight="1" x14ac:dyDescent="0.35">
      <c r="A23" s="385" t="s">
        <v>602</v>
      </c>
      <c r="B23" s="386"/>
      <c r="C23" s="226" t="s">
        <v>603</v>
      </c>
      <c r="D23" s="226"/>
      <c r="E23" s="227">
        <v>-343752097875</v>
      </c>
      <c r="F23" s="228">
        <v>912288673439</v>
      </c>
    </row>
    <row r="24" spans="1:6" s="236" customFormat="1" ht="22.5" customHeight="1" x14ac:dyDescent="0.35">
      <c r="A24" s="383" t="s">
        <v>604</v>
      </c>
      <c r="B24" s="384"/>
      <c r="C24" s="233" t="s">
        <v>605</v>
      </c>
      <c r="D24" s="233"/>
      <c r="E24" s="234">
        <v>0</v>
      </c>
      <c r="F24" s="235">
        <v>0</v>
      </c>
    </row>
    <row r="25" spans="1:6" s="236" customFormat="1" ht="35.15" customHeight="1" x14ac:dyDescent="0.35">
      <c r="A25" s="383" t="s">
        <v>606</v>
      </c>
      <c r="B25" s="384"/>
      <c r="C25" s="233" t="s">
        <v>607</v>
      </c>
      <c r="D25" s="233"/>
      <c r="E25" s="234">
        <v>-343752097875</v>
      </c>
      <c r="F25" s="235">
        <v>912288673439</v>
      </c>
    </row>
    <row r="26" spans="1:6" ht="22.5" customHeight="1" x14ac:dyDescent="0.35">
      <c r="A26" s="385" t="s">
        <v>608</v>
      </c>
      <c r="B26" s="386"/>
      <c r="C26" s="226" t="s">
        <v>609</v>
      </c>
      <c r="D26" s="226"/>
      <c r="E26" s="227">
        <v>-102392209</v>
      </c>
      <c r="F26" s="228">
        <v>69164381</v>
      </c>
    </row>
    <row r="27" spans="1:6" ht="45" customHeight="1" x14ac:dyDescent="0.35">
      <c r="A27" s="377" t="s">
        <v>610</v>
      </c>
      <c r="B27" s="378"/>
      <c r="C27" s="223" t="s">
        <v>611</v>
      </c>
      <c r="D27" s="223"/>
      <c r="E27" s="224">
        <v>94255562386</v>
      </c>
      <c r="F27" s="225">
        <v>106306358790</v>
      </c>
    </row>
    <row r="28" spans="1:6" ht="22.5" customHeight="1" x14ac:dyDescent="0.35">
      <c r="A28" s="385" t="s">
        <v>612</v>
      </c>
      <c r="B28" s="386"/>
      <c r="C28" s="226" t="s">
        <v>523</v>
      </c>
      <c r="D28" s="226"/>
      <c r="E28" s="227">
        <v>-163981657996</v>
      </c>
      <c r="F28" s="228">
        <v>-53332868561</v>
      </c>
    </row>
    <row r="29" spans="1:6" ht="35.15" customHeight="1" x14ac:dyDescent="0.35">
      <c r="A29" s="385" t="s">
        <v>613</v>
      </c>
      <c r="B29" s="386"/>
      <c r="C29" s="226" t="s">
        <v>614</v>
      </c>
      <c r="D29" s="226"/>
      <c r="E29" s="227">
        <v>40653863400</v>
      </c>
      <c r="F29" s="228">
        <v>-40653863400</v>
      </c>
    </row>
    <row r="30" spans="1:6" ht="45" customHeight="1" x14ac:dyDescent="0.35">
      <c r="A30" s="385" t="s">
        <v>615</v>
      </c>
      <c r="B30" s="386"/>
      <c r="C30" s="226" t="s">
        <v>616</v>
      </c>
      <c r="D30" s="226"/>
      <c r="E30" s="227">
        <v>7483655000</v>
      </c>
      <c r="F30" s="228">
        <v>-7483655000</v>
      </c>
    </row>
    <row r="31" spans="1:6" ht="22.5" customHeight="1" x14ac:dyDescent="0.35">
      <c r="A31" s="385" t="s">
        <v>617</v>
      </c>
      <c r="B31" s="386"/>
      <c r="C31" s="226" t="s">
        <v>618</v>
      </c>
      <c r="D31" s="226"/>
      <c r="E31" s="227">
        <v>0</v>
      </c>
      <c r="F31" s="228">
        <v>82527397</v>
      </c>
    </row>
    <row r="32" spans="1:6" ht="22.5" customHeight="1" x14ac:dyDescent="0.35">
      <c r="A32" s="385" t="s">
        <v>619</v>
      </c>
      <c r="B32" s="386"/>
      <c r="C32" s="226" t="s">
        <v>620</v>
      </c>
      <c r="D32" s="226"/>
      <c r="E32" s="227">
        <v>0</v>
      </c>
      <c r="F32" s="228">
        <v>0</v>
      </c>
    </row>
    <row r="33" spans="1:6" ht="35.15" customHeight="1" x14ac:dyDescent="0.35">
      <c r="A33" s="385" t="s">
        <v>621</v>
      </c>
      <c r="B33" s="386"/>
      <c r="C33" s="226" t="s">
        <v>319</v>
      </c>
      <c r="D33" s="226"/>
      <c r="E33" s="227">
        <v>0</v>
      </c>
      <c r="F33" s="228">
        <v>-715463990000</v>
      </c>
    </row>
    <row r="34" spans="1:6" ht="55" customHeight="1" x14ac:dyDescent="0.35">
      <c r="A34" s="385" t="s">
        <v>623</v>
      </c>
      <c r="B34" s="386"/>
      <c r="C34" s="226" t="s">
        <v>415</v>
      </c>
      <c r="D34" s="226"/>
      <c r="E34" s="227">
        <v>0</v>
      </c>
      <c r="F34" s="228">
        <v>0</v>
      </c>
    </row>
    <row r="35" spans="1:6" ht="22.5" customHeight="1" x14ac:dyDescent="0.35">
      <c r="A35" s="385" t="s">
        <v>624</v>
      </c>
      <c r="B35" s="386"/>
      <c r="C35" s="226" t="s">
        <v>418</v>
      </c>
      <c r="D35" s="226"/>
      <c r="E35" s="227">
        <v>0</v>
      </c>
      <c r="F35" s="228">
        <v>0</v>
      </c>
    </row>
    <row r="36" spans="1:6" ht="45" customHeight="1" x14ac:dyDescent="0.35">
      <c r="A36" s="385" t="s">
        <v>625</v>
      </c>
      <c r="B36" s="386"/>
      <c r="C36" s="226" t="s">
        <v>421</v>
      </c>
      <c r="D36" s="226"/>
      <c r="E36" s="227">
        <v>0</v>
      </c>
      <c r="F36" s="228">
        <v>0</v>
      </c>
    </row>
    <row r="37" spans="1:6" ht="35.15" customHeight="1" x14ac:dyDescent="0.35">
      <c r="A37" s="385" t="s">
        <v>626</v>
      </c>
      <c r="B37" s="386"/>
      <c r="C37" s="226" t="s">
        <v>424</v>
      </c>
      <c r="D37" s="226"/>
      <c r="E37" s="227">
        <v>0</v>
      </c>
      <c r="F37" s="228">
        <v>0</v>
      </c>
    </row>
    <row r="38" spans="1:6" ht="35.15" customHeight="1" x14ac:dyDescent="0.35">
      <c r="A38" s="385" t="s">
        <v>627</v>
      </c>
      <c r="B38" s="386"/>
      <c r="C38" s="226" t="s">
        <v>427</v>
      </c>
      <c r="D38" s="226"/>
      <c r="E38" s="227">
        <v>-13416535885</v>
      </c>
      <c r="F38" s="228">
        <v>13594155455</v>
      </c>
    </row>
    <row r="39" spans="1:6" ht="22.5" customHeight="1" x14ac:dyDescent="0.35">
      <c r="A39" s="385" t="s">
        <v>628</v>
      </c>
      <c r="B39" s="386"/>
      <c r="C39" s="226" t="s">
        <v>430</v>
      </c>
      <c r="D39" s="226"/>
      <c r="E39" s="227">
        <v>-35326110</v>
      </c>
      <c r="F39" s="228">
        <v>-551881225</v>
      </c>
    </row>
    <row r="40" spans="1:6" ht="35.15" customHeight="1" x14ac:dyDescent="0.35">
      <c r="A40" s="385" t="s">
        <v>629</v>
      </c>
      <c r="B40" s="386"/>
      <c r="C40" s="226" t="s">
        <v>433</v>
      </c>
      <c r="D40" s="226"/>
      <c r="E40" s="227">
        <v>1572292649</v>
      </c>
      <c r="F40" s="228">
        <v>-3444672470</v>
      </c>
    </row>
    <row r="41" spans="1:6" ht="22.5" customHeight="1" x14ac:dyDescent="0.35">
      <c r="A41" s="385" t="s">
        <v>630</v>
      </c>
      <c r="B41" s="386"/>
      <c r="C41" s="226" t="s">
        <v>436</v>
      </c>
      <c r="D41" s="226"/>
      <c r="E41" s="227">
        <v>0</v>
      </c>
      <c r="F41" s="228">
        <v>0</v>
      </c>
    </row>
    <row r="42" spans="1:6" ht="35.15" customHeight="1" x14ac:dyDescent="0.35">
      <c r="A42" s="387" t="s">
        <v>631</v>
      </c>
      <c r="B42" s="388"/>
      <c r="C42" s="229" t="s">
        <v>439</v>
      </c>
      <c r="D42" s="229"/>
      <c r="E42" s="230">
        <v>-33468146556</v>
      </c>
      <c r="F42" s="231">
        <v>-700947889014</v>
      </c>
    </row>
    <row r="43" spans="1:6" ht="25" customHeight="1" x14ac:dyDescent="0.35">
      <c r="A43" s="377" t="s">
        <v>632</v>
      </c>
      <c r="B43" s="378"/>
      <c r="C43" s="223" t="s">
        <v>121</v>
      </c>
      <c r="D43" s="223"/>
      <c r="E43" s="224">
        <v>0</v>
      </c>
      <c r="F43" s="225">
        <v>0</v>
      </c>
    </row>
    <row r="44" spans="1:6" ht="21" customHeight="1" x14ac:dyDescent="0.35">
      <c r="A44" s="385" t="s">
        <v>633</v>
      </c>
      <c r="B44" s="386"/>
      <c r="C44" s="226" t="s">
        <v>634</v>
      </c>
      <c r="D44" s="226"/>
      <c r="E44" s="227">
        <v>4472638048</v>
      </c>
      <c r="F44" s="228">
        <v>1367150368</v>
      </c>
    </row>
    <row r="45" spans="1:6" ht="21" customHeight="1" x14ac:dyDescent="0.35">
      <c r="A45" s="385" t="s">
        <v>635</v>
      </c>
      <c r="B45" s="386"/>
      <c r="C45" s="226" t="s">
        <v>636</v>
      </c>
      <c r="D45" s="226"/>
      <c r="E45" s="227">
        <v>-9386516466</v>
      </c>
      <c r="F45" s="228">
        <v>-4627096770</v>
      </c>
    </row>
    <row r="46" spans="1:6" ht="21" customHeight="1" x14ac:dyDescent="0.35">
      <c r="A46" s="385" t="s">
        <v>1120</v>
      </c>
      <c r="B46" s="386"/>
      <c r="C46" s="226" t="s">
        <v>637</v>
      </c>
      <c r="D46" s="226"/>
      <c r="E46" s="227">
        <v>0</v>
      </c>
      <c r="F46" s="228">
        <v>0</v>
      </c>
    </row>
    <row r="47" spans="1:6" ht="21" customHeight="1" x14ac:dyDescent="0.35">
      <c r="A47" s="385" t="s">
        <v>1121</v>
      </c>
      <c r="B47" s="386"/>
      <c r="C47" s="226" t="s">
        <v>638</v>
      </c>
      <c r="D47" s="226"/>
      <c r="E47" s="227">
        <v>0</v>
      </c>
      <c r="F47" s="228">
        <v>0</v>
      </c>
    </row>
    <row r="48" spans="1:6" ht="21" customHeight="1" x14ac:dyDescent="0.35">
      <c r="A48" s="385" t="s">
        <v>639</v>
      </c>
      <c r="B48" s="386"/>
      <c r="C48" s="226" t="s">
        <v>640</v>
      </c>
      <c r="D48" s="226"/>
      <c r="E48" s="227">
        <v>0</v>
      </c>
      <c r="F48" s="228">
        <v>0</v>
      </c>
    </row>
    <row r="49" spans="1:6" ht="33.75" customHeight="1" x14ac:dyDescent="0.35">
      <c r="A49" s="377" t="s">
        <v>641</v>
      </c>
      <c r="B49" s="378"/>
      <c r="C49" s="223" t="s">
        <v>526</v>
      </c>
      <c r="D49" s="223"/>
      <c r="E49" s="224">
        <v>-4913878418</v>
      </c>
      <c r="F49" s="225">
        <v>-3259946402</v>
      </c>
    </row>
    <row r="50" spans="1:6" ht="25" customHeight="1" x14ac:dyDescent="0.35">
      <c r="A50" s="377" t="s">
        <v>642</v>
      </c>
      <c r="B50" s="378"/>
      <c r="C50" s="223" t="s">
        <v>529</v>
      </c>
      <c r="D50" s="223"/>
      <c r="E50" s="224">
        <v>-38382024974</v>
      </c>
      <c r="F50" s="225">
        <v>-704207835416</v>
      </c>
    </row>
    <row r="51" spans="1:6" s="232" customFormat="1" ht="32.25" customHeight="1" x14ac:dyDescent="0.35">
      <c r="A51" s="377" t="s">
        <v>643</v>
      </c>
      <c r="B51" s="378"/>
      <c r="C51" s="223" t="s">
        <v>534</v>
      </c>
      <c r="D51" s="223"/>
      <c r="E51" s="224">
        <v>82469624423</v>
      </c>
      <c r="F51" s="225">
        <v>786677459839</v>
      </c>
    </row>
    <row r="52" spans="1:6" ht="21" customHeight="1" x14ac:dyDescent="0.35">
      <c r="A52" s="385" t="s">
        <v>644</v>
      </c>
      <c r="B52" s="386"/>
      <c r="C52" s="226" t="s">
        <v>645</v>
      </c>
      <c r="D52" s="226"/>
      <c r="E52" s="227">
        <v>82469624423</v>
      </c>
      <c r="F52" s="228">
        <v>786677459839</v>
      </c>
    </row>
    <row r="53" spans="1:6" ht="35.25" customHeight="1" x14ac:dyDescent="0.35">
      <c r="A53" s="385" t="s">
        <v>646</v>
      </c>
      <c r="B53" s="386"/>
      <c r="C53" s="226" t="s">
        <v>647</v>
      </c>
      <c r="D53" s="226"/>
      <c r="E53" s="227">
        <v>82469624423</v>
      </c>
      <c r="F53" s="228">
        <v>786677459839</v>
      </c>
    </row>
    <row r="54" spans="1:6" s="236" customFormat="1" ht="21" customHeight="1" x14ac:dyDescent="0.35">
      <c r="A54" s="383" t="s">
        <v>648</v>
      </c>
      <c r="B54" s="384"/>
      <c r="C54" s="233" t="s">
        <v>649</v>
      </c>
      <c r="D54" s="233"/>
      <c r="E54" s="234">
        <v>82469624423</v>
      </c>
      <c r="F54" s="235">
        <v>786677459839</v>
      </c>
    </row>
    <row r="55" spans="1:6" s="236" customFormat="1" ht="21" customHeight="1" x14ac:dyDescent="0.35">
      <c r="A55" s="383" t="s">
        <v>650</v>
      </c>
      <c r="B55" s="384"/>
      <c r="C55" s="233" t="s">
        <v>651</v>
      </c>
      <c r="D55" s="233"/>
      <c r="E55" s="234">
        <v>0</v>
      </c>
      <c r="F55" s="235">
        <v>0</v>
      </c>
    </row>
    <row r="56" spans="1:6" ht="21" customHeight="1" x14ac:dyDescent="0.35">
      <c r="A56" s="385" t="s">
        <v>652</v>
      </c>
      <c r="B56" s="386"/>
      <c r="C56" s="226" t="s">
        <v>653</v>
      </c>
      <c r="D56" s="226"/>
      <c r="E56" s="227">
        <v>0</v>
      </c>
      <c r="F56" s="228">
        <v>0</v>
      </c>
    </row>
    <row r="57" spans="1:6" ht="21" customHeight="1" x14ac:dyDescent="0.35">
      <c r="A57" s="385" t="s">
        <v>654</v>
      </c>
      <c r="B57" s="386"/>
      <c r="C57" s="226" t="s">
        <v>655</v>
      </c>
      <c r="D57" s="226"/>
      <c r="E57" s="227">
        <v>0</v>
      </c>
      <c r="F57" s="228">
        <v>0</v>
      </c>
    </row>
    <row r="58" spans="1:6" ht="21" customHeight="1" x14ac:dyDescent="0.35">
      <c r="A58" s="385" t="s">
        <v>656</v>
      </c>
      <c r="B58" s="386"/>
      <c r="C58" s="226" t="s">
        <v>657</v>
      </c>
      <c r="D58" s="226"/>
      <c r="E58" s="227">
        <v>44087599449</v>
      </c>
      <c r="F58" s="228">
        <v>82469624423</v>
      </c>
    </row>
    <row r="59" spans="1:6" ht="21" customHeight="1" x14ac:dyDescent="0.35">
      <c r="A59" s="385" t="s">
        <v>658</v>
      </c>
      <c r="B59" s="386"/>
      <c r="C59" s="226" t="s">
        <v>659</v>
      </c>
      <c r="D59" s="226"/>
      <c r="E59" s="227">
        <v>44087599449</v>
      </c>
      <c r="F59" s="228">
        <v>82469624423</v>
      </c>
    </row>
    <row r="60" spans="1:6" ht="33" customHeight="1" x14ac:dyDescent="0.35">
      <c r="A60" s="385" t="s">
        <v>646</v>
      </c>
      <c r="B60" s="386"/>
      <c r="C60" s="226" t="s">
        <v>660</v>
      </c>
      <c r="D60" s="226"/>
      <c r="E60" s="227">
        <v>44087599449</v>
      </c>
      <c r="F60" s="228">
        <v>82469624423</v>
      </c>
    </row>
    <row r="61" spans="1:6" s="236" customFormat="1" ht="21" customHeight="1" x14ac:dyDescent="0.35">
      <c r="A61" s="383" t="s">
        <v>648</v>
      </c>
      <c r="B61" s="384"/>
      <c r="C61" s="233" t="s">
        <v>661</v>
      </c>
      <c r="D61" s="233"/>
      <c r="E61" s="234">
        <v>44087599449</v>
      </c>
      <c r="F61" s="235">
        <v>82469624423</v>
      </c>
    </row>
    <row r="62" spans="1:6" s="236" customFormat="1" ht="21" customHeight="1" x14ac:dyDescent="0.35">
      <c r="A62" s="383" t="s">
        <v>662</v>
      </c>
      <c r="B62" s="384"/>
      <c r="C62" s="233" t="s">
        <v>663</v>
      </c>
      <c r="D62" s="233"/>
      <c r="E62" s="234">
        <v>0</v>
      </c>
      <c r="F62" s="235">
        <v>0</v>
      </c>
    </row>
    <row r="63" spans="1:6" ht="21" customHeight="1" x14ac:dyDescent="0.35">
      <c r="A63" s="385" t="s">
        <v>664</v>
      </c>
      <c r="B63" s="386"/>
      <c r="C63" s="226" t="s">
        <v>665</v>
      </c>
      <c r="D63" s="226"/>
      <c r="E63" s="227">
        <v>0</v>
      </c>
      <c r="F63" s="228">
        <v>0</v>
      </c>
    </row>
    <row r="64" spans="1:6" ht="25" customHeight="1" x14ac:dyDescent="0.35">
      <c r="A64" s="377" t="s">
        <v>666</v>
      </c>
      <c r="B64" s="378"/>
      <c r="C64" s="223" t="s">
        <v>667</v>
      </c>
      <c r="D64" s="223"/>
      <c r="E64" s="224">
        <v>0</v>
      </c>
      <c r="F64" s="225">
        <v>0</v>
      </c>
    </row>
    <row r="65" spans="1:6" ht="45" customHeight="1" x14ac:dyDescent="0.35">
      <c r="A65" s="377" t="s">
        <v>668</v>
      </c>
      <c r="B65" s="378"/>
      <c r="C65" s="223" t="s">
        <v>537</v>
      </c>
      <c r="D65" s="223"/>
      <c r="E65" s="224">
        <v>-38382024974</v>
      </c>
      <c r="F65" s="225">
        <v>-704207835416</v>
      </c>
    </row>
    <row r="66" spans="1:6" ht="25" customHeight="1" x14ac:dyDescent="0.35">
      <c r="A66" s="380" t="s">
        <v>669</v>
      </c>
      <c r="B66" s="381"/>
      <c r="C66" s="237" t="s">
        <v>670</v>
      </c>
      <c r="D66" s="237"/>
      <c r="E66" s="238">
        <v>0</v>
      </c>
      <c r="F66" s="239">
        <v>0</v>
      </c>
    </row>
    <row r="67" spans="1:6" ht="10.5" customHeight="1" x14ac:dyDescent="0.35">
      <c r="A67" s="240"/>
      <c r="B67" s="240"/>
      <c r="C67" s="241"/>
      <c r="D67" s="241"/>
      <c r="E67" s="242"/>
      <c r="F67" s="242"/>
    </row>
    <row r="68" spans="1:6" ht="11.25" customHeight="1" x14ac:dyDescent="0.35">
      <c r="A68" s="243" t="s">
        <v>584</v>
      </c>
      <c r="B68" s="379" t="s">
        <v>1111</v>
      </c>
      <c r="C68" s="379"/>
      <c r="D68" s="379"/>
      <c r="E68" s="379" t="s">
        <v>229</v>
      </c>
      <c r="F68" s="379"/>
    </row>
    <row r="69" spans="1:6" s="245" customFormat="1" ht="16.5" customHeight="1" x14ac:dyDescent="0.35">
      <c r="A69" s="244" t="s">
        <v>585</v>
      </c>
      <c r="B69" s="382" t="s">
        <v>585</v>
      </c>
      <c r="C69" s="382"/>
      <c r="D69" s="382"/>
      <c r="E69" s="382" t="s">
        <v>585</v>
      </c>
      <c r="F69" s="382"/>
    </row>
    <row r="70" spans="1:6" ht="10.5" customHeight="1" x14ac:dyDescent="0.35">
      <c r="A70" s="246"/>
      <c r="B70" s="246"/>
      <c r="C70" s="247"/>
      <c r="D70" s="247"/>
      <c r="E70" s="247"/>
      <c r="F70" s="248"/>
    </row>
    <row r="71" spans="1:6" ht="60.75" customHeight="1" x14ac:dyDescent="0.35">
      <c r="A71" s="247"/>
      <c r="B71" s="247"/>
      <c r="C71" s="247"/>
      <c r="D71" s="247"/>
      <c r="E71" s="219"/>
      <c r="F71" s="219"/>
    </row>
    <row r="72" spans="1:6" ht="16.5" customHeight="1" x14ac:dyDescent="0.2">
      <c r="A72" s="249" t="s">
        <v>1122</v>
      </c>
      <c r="B72" s="376" t="s">
        <v>1112</v>
      </c>
      <c r="C72" s="376"/>
      <c r="D72" s="376"/>
      <c r="E72" s="376" t="s">
        <v>230</v>
      </c>
      <c r="F72" s="376"/>
    </row>
  </sheetData>
  <mergeCells count="83">
    <mergeCell ref="A9:C9"/>
    <mergeCell ref="D9:F9"/>
    <mergeCell ref="B1:F1"/>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20:B20"/>
    <mergeCell ref="A13:C13"/>
    <mergeCell ref="D13:F13"/>
    <mergeCell ref="A14:C14"/>
    <mergeCell ref="D14:F14"/>
    <mergeCell ref="A15:C15"/>
    <mergeCell ref="D15:F15"/>
    <mergeCell ref="B16:C16"/>
    <mergeCell ref="D16:F16"/>
    <mergeCell ref="A17:B17"/>
    <mergeCell ref="A18:B18"/>
    <mergeCell ref="A19:B19"/>
    <mergeCell ref="A32:B32"/>
    <mergeCell ref="A21:B21"/>
    <mergeCell ref="A22:B22"/>
    <mergeCell ref="A23:B23"/>
    <mergeCell ref="A24:B24"/>
    <mergeCell ref="A25:B25"/>
    <mergeCell ref="A26:B26"/>
    <mergeCell ref="A27:B27"/>
    <mergeCell ref="A28:B28"/>
    <mergeCell ref="A29:B29"/>
    <mergeCell ref="A30:B30"/>
    <mergeCell ref="A31:B31"/>
    <mergeCell ref="A43:B43"/>
    <mergeCell ref="A33:B33"/>
    <mergeCell ref="A34:B34"/>
    <mergeCell ref="A35:B35"/>
    <mergeCell ref="A36:B36"/>
    <mergeCell ref="A37:B37"/>
    <mergeCell ref="A38:B38"/>
    <mergeCell ref="A39:B39"/>
    <mergeCell ref="A40:B40"/>
    <mergeCell ref="A41:B41"/>
    <mergeCell ref="A42:B42"/>
    <mergeCell ref="A44:B44"/>
    <mergeCell ref="A45:B45"/>
    <mergeCell ref="A46:B46"/>
    <mergeCell ref="A47:B47"/>
    <mergeCell ref="A48:B48"/>
    <mergeCell ref="A58:B58"/>
    <mergeCell ref="A59:B59"/>
    <mergeCell ref="A60:B60"/>
    <mergeCell ref="A50:B50"/>
    <mergeCell ref="A51:B51"/>
    <mergeCell ref="A52:B52"/>
    <mergeCell ref="A53:B53"/>
    <mergeCell ref="A54:B54"/>
    <mergeCell ref="E72:F72"/>
    <mergeCell ref="A49:B49"/>
    <mergeCell ref="A65:B65"/>
    <mergeCell ref="B68:D68"/>
    <mergeCell ref="E68:F68"/>
    <mergeCell ref="A66:B66"/>
    <mergeCell ref="B69:D69"/>
    <mergeCell ref="E69:F69"/>
    <mergeCell ref="B72:D72"/>
    <mergeCell ref="A61:B61"/>
    <mergeCell ref="A62:B62"/>
    <mergeCell ref="A63:B63"/>
    <mergeCell ref="A64:B64"/>
    <mergeCell ref="A55:B55"/>
    <mergeCell ref="A56:B56"/>
    <mergeCell ref="A57:B57"/>
  </mergeCells>
  <printOptions horizontalCentered="1"/>
  <pageMargins left="0.39370078740157483" right="0.39370078740157483" top="0.39370078740157483" bottom="0.39370078740157483" header="0.31496062992125984" footer="0.31496062992125984"/>
  <pageSetup paperSize="9" scale="98"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5txhdp6g0IkkA1FPUKPn4/cVO9y2uyuNtwEX3bWa20k=</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DT/SrhoAvn5DMGVsBuLnvrgKLh9beWNzk4N7kLyoxsg=</DigestValue>
    </Reference>
  </SignedInfo>
  <SignatureValue>T18agGyxDoV9DGzvjgsbs/Q5pNtOnCqqD48WVT105WziZNRtIjghV6Bqqx1JhKmzE71eC9FOcoe3
WvwEWu0fnBiLKjNW1Bgw4PkH9PXydKvsEU9PIjJ4Ukmvbo9/NE8urOdJiyXMwi1ZBDVXxqEqAgy3
yPpwwgghP/LU0dLMJ/L4OYYfRVHFeiin/rnLBl3XJ44eXj90hM/YbAi9I5/jY7USKbdhrE6iMp7n
yRvkm3IRjWFVmUSlrtRemLTKxtbJ37YFeFtTFXWTTcF1EPkn328aWTUv0Y2nOfcvy8w16HT4MZHV
iyLfwZXh6wVM3/wi1OyWPb+l/yAOdoRa+BBuJw==</SignatureValue>
  <KeyInfo>
    <X509Data>
      <X509Certificate>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wmjLzLVmvriqUwkWGv+AUssx/7PWel5RGs5sT5BGoVXqz4AxhkWnU20qWe36jpEoC1vEOlkNx6q2uXrytseTbLH51qutDmYcFSzLv1dPWqDMAGIsTsMDoc5cOnWEHEGfBH9WbQVivHmAeZAVUP33UszvR2BlPVWUVdAjDlowcUM8FnVhBMz1MEAj8nidYjnQ4kbNSEl3qCKH598oyjygwwl/5tjHSncmLmHRgeVKWBaqw2L2Jwb95aUiy1GmUdRCaa6J3WP8fWTwY9UQLSbRuH+YyHZDdLgM5xPWf93dkYpdhbjdJG1+YfhaxWzSjBaYmMbZZy7sdLDd3AqvZwnS/AgMBAAGjggHvMIIB6zB+BggrBgEFBQcBAQRyMHAwOQYIKwYBBQUHMAKGLWh0dHA6Ly9wdWIudm5wdC1jYS52bi9jZXJ0cy92bnB0Y2Etc2hhMjU2LmNlcjAzBggrBgEFBQcwAYYnaHR0cDovL29jc3Atc2hhMjU2LnZucHQtY2Eudm4vcmVzcG9uZGVyMB0GA1UdDgQWBBR+3K6JBHcmG2KDV7zoSkVw86xADDAMBgNVHRMBAf8EAjAAMB8GA1UdIwQYMBaAFLZNa2vWpp007TI57EJUrL4yY9hxMGgGA1UdIARhMF8wXQYOKwYBBAGB7QMBAQMBAQIwSzAiBggrBgEFBQcCAjAWHhQATwBJAEQALQBQAHIALQAyAC4AMDAlBggrBgEFBQcCARYZaHR0cDovL3B1Yi52bnB0LWNhLnZuL3JwYTA/BgNVHR8EODA2MDSgMqAwhi5odHRwOi8vY3JsLXNoYTI1Ni52bnB0LWNhLnZuL3ZucHRjYS1zaGEyNTYuY3JsMA4GA1UdDwEB/wQEAwIE8DA0BgNVHSUELTArBggrBgEFBQcDAgYIKwYBBQUHAwQGCisGAQQBgjcKAwwGCSqGSIb3LwEBBTAqBgNVHREEIzAhgR9kdW9uZ250MS5oY21AdmlldGNvbWJhbmsuY29tLnZuMA0GCSqGSIb3DQEBCwUAA4IBAQAgMv3+Ek/HTqXUMnjU83CPxbIohHtU6HuwP+MnVMWGooPKG5vxXvhMxJinWt/bd4c5la7/HR9lXMy1wxJ0RuAI1mxG2Qq1+7KstkTwK2NjJ0vK02i578XxvzGz2cFC62PH7SyK+yAnB2wIcR8HZPplwN9jiDrKkEQMLSUxIi029/uKblKGMvnq0arcW7hAsLuY7LBQbqYzn2/cZKara1DUVRc46tsVkjxUYVoTVfn5Xc3WUOg567NhPxZIHUgqu0IsncLzPGJYriHVHAWl3DKuQM9w8Gh5YPjYgEaRCuBJdxdK6uf5pMBnfQcWRORLr/x3Le1CnEIyARdJIGG/nxNf</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1/04/xmlenc#sha256"/>
        <DigestValue>lrVg9fRbRhzj3L8+QGHmJxgMb7HDoVSIZJmZnPkf+bw=</DigestValue>
      </Reference>
      <Reference URI="/xl/calcChain.xml?ContentType=application/vnd.openxmlformats-officedocument.spreadsheetml.calcChain+xml">
        <DigestMethod Algorithm="http://www.w3.org/2001/04/xmlenc#sha256"/>
        <DigestValue>P3Jgv1XS6IrsF4esKGc1ZTupQoR7Bzt3MBNzNDdd1rU=</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J46eMWzAqPJRs+iua8Cqh7bmCse+B3CI/DD80gnA+vo=</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drawing1.xml?ContentType=application/vnd.openxmlformats-officedocument.drawing+xml">
        <DigestMethod Algorithm="http://www.w3.org/2001/04/xmlenc#sha256"/>
        <DigestValue>zjKZNL/FiAdUh1ACXYigUTVdDyhXO8k40gsArMjJiVw=</DigestValue>
      </Reference>
      <Reference URI="/xl/drawings/drawing2.xml?ContentType=application/vnd.openxmlformats-officedocument.drawing+xml">
        <DigestMethod Algorithm="http://www.w3.org/2001/04/xmlenc#sha256"/>
        <DigestValue>4G2H2NxE311vtdED1DDwlWo6Xoglkf/Dp11r9WdeMUs=</DigestValue>
      </Reference>
      <Reference URI="/xl/drawings/drawing3.xml?ContentType=application/vnd.openxmlformats-officedocument.drawing+xml">
        <DigestMethod Algorithm="http://www.w3.org/2001/04/xmlenc#sha256"/>
        <DigestValue>9AveoGf9Fc7iCZE8zT66JC+tx5FFGKZcdqm9dBIYFSg=</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RshcSrWHWiHS0sKnE0qAWn2ryBsKcT8FPpKEKr97Hmg=</DigestValue>
      </Reference>
      <Reference URI="/xl/drawings/drawing6.xml?ContentType=application/vnd.openxmlformats-officedocument.drawing+xml">
        <DigestMethod Algorithm="http://www.w3.org/2001/04/xmlenc#sha256"/>
        <DigestValue>MQeR1upuVIjHvsyQPOFZOk5o09gcGIn5fHb4cN6kAFE=</DigestValue>
      </Reference>
      <Reference URI="/xl/drawings/drawing7.xml?ContentType=application/vnd.openxmlformats-officedocument.drawing+xml">
        <DigestMethod Algorithm="http://www.w3.org/2001/04/xmlenc#sha256"/>
        <DigestValue>qCEKcVW3hMI0MSeSoUShUPPToQd34hKxUcGkG74yRZM=</DigestValue>
      </Reference>
      <Reference URI="/xl/drawings/drawing8.xml?ContentType=application/vnd.openxmlformats-officedocument.drawing+xml">
        <DigestMethod Algorithm="http://www.w3.org/2001/04/xmlenc#sha256"/>
        <DigestValue>17K3NvSZ1j0fED+Ar7BKap7g0UYlA46ZTewwDKIWHvU=</DigestValue>
      </Reference>
      <Reference URI="/xl/media/image1.jpeg?ContentType=image/jpeg">
        <DigestMethod Algorithm="http://www.w3.org/2001/04/xmlenc#sha256"/>
        <DigestValue>Ap/3Cka9P123S15Lv1SK+DbBkHYA9f/cJRSbi4Lsq+Q=</DigestValue>
      </Reference>
      <Reference URI="/xl/media/image2.jpeg?ContentType=image/jpeg">
        <DigestMethod Algorithm="http://www.w3.org/2001/04/xmlenc#sha256"/>
        <DigestValue>46KGwhBwWMmqh/KTQFrX4UOpW4tXBLhl4G6NF1FNNmM=</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i95qzkRSGs6IEWxNS+zGJ4GMrYCKvLUy+o0mUTQyd0U=</DigestValue>
      </Reference>
      <Reference URI="/xl/media/image5.jpeg?ContentType=image/jpeg">
        <DigestMethod Algorithm="http://www.w3.org/2001/04/xmlenc#sha256"/>
        <DigestValue>99YzImhSJ0jT3ROxvspp1tx4Ri9gN6o2Q5nRAB7Q7/U=</DigestValue>
      </Reference>
      <Reference URI="/xl/printerSettings/printerSettings1.bin?ContentType=application/vnd.openxmlformats-officedocument.spreadsheetml.printerSettings">
        <DigestMethod Algorithm="http://www.w3.org/2001/04/xmlenc#sha256"/>
        <DigestValue>G42Y/KTb8n4qEw0HFuHrrT1sulLcvd9jJA6X2IORt/o=</DigestValue>
      </Reference>
      <Reference URI="/xl/printerSettings/printerSettings2.bin?ContentType=application/vnd.openxmlformats-officedocument.spreadsheetml.printerSettings">
        <DigestMethod Algorithm="http://www.w3.org/2001/04/xmlenc#sha256"/>
        <DigestValue>G42Y/KTb8n4qEw0HFuHrrT1sulLcvd9jJA6X2IORt/o=</DigestValue>
      </Reference>
      <Reference URI="/xl/printerSettings/printerSettings3.bin?ContentType=application/vnd.openxmlformats-officedocument.spreadsheetml.printerSettings">
        <DigestMethod Algorithm="http://www.w3.org/2001/04/xmlenc#sha256"/>
        <DigestValue>G42Y/KTb8n4qEw0HFuHrrT1sulLcvd9jJA6X2IORt/o=</DigestValue>
      </Reference>
      <Reference URI="/xl/printerSettings/printerSettings4.bin?ContentType=application/vnd.openxmlformats-officedocument.spreadsheetml.printerSettings">
        <DigestMethod Algorithm="http://www.w3.org/2001/04/xmlenc#sha256"/>
        <DigestValue>i1H/KDFjJcYFnRoG/vQAPO15syS6bTWL9W8sSlcyte0=</DigestValue>
      </Reference>
      <Reference URI="/xl/printerSettings/printerSettings5.bin?ContentType=application/vnd.openxmlformats-officedocument.spreadsheetml.printerSettings">
        <DigestMethod Algorithm="http://www.w3.org/2001/04/xmlenc#sha256"/>
        <DigestValue>3QNbyFhuHUAABjPMoPr5++g9+9+ZfjhCH3R1jxT7iIo=</DigestValue>
      </Reference>
      <Reference URI="/xl/printerSettings/printerSettings6.bin?ContentType=application/vnd.openxmlformats-officedocument.spreadsheetml.printerSettings">
        <DigestMethod Algorithm="http://www.w3.org/2001/04/xmlenc#sha256"/>
        <DigestValue>G42Y/KTb8n4qEw0HFuHrrT1sulLcvd9jJA6X2IORt/o=</DigestValue>
      </Reference>
      <Reference URI="/xl/printerSettings/printerSettings7.bin?ContentType=application/vnd.openxmlformats-officedocument.spreadsheetml.printerSettings">
        <DigestMethod Algorithm="http://www.w3.org/2001/04/xmlenc#sha256"/>
        <DigestValue>G42Y/KTb8n4qEw0HFuHrrT1sulLcvd9jJA6X2IORt/o=</DigestValue>
      </Reference>
      <Reference URI="/xl/printerSettings/printerSettings8.bin?ContentType=application/vnd.openxmlformats-officedocument.spreadsheetml.printerSettings">
        <DigestMethod Algorithm="http://www.w3.org/2001/04/xmlenc#sha256"/>
        <DigestValue>G42Y/KTb8n4qEw0HFuHrrT1sulLcvd9jJA6X2IORt/o=</DigestValue>
      </Reference>
      <Reference URI="/xl/printerSettings/printerSettings9.bin?ContentType=application/vnd.openxmlformats-officedocument.spreadsheetml.printerSettings">
        <DigestMethod Algorithm="http://www.w3.org/2001/04/xmlenc#sha256"/>
        <DigestValue>i1H/KDFjJcYFnRoG/vQAPO15syS6bTWL9W8sSlcyte0=</DigestValue>
      </Reference>
      <Reference URI="/xl/sharedStrings.xml?ContentType=application/vnd.openxmlformats-officedocument.spreadsheetml.sharedStrings+xml">
        <DigestMethod Algorithm="http://www.w3.org/2001/04/xmlenc#sha256"/>
        <DigestValue>56fuRljm66029YiSIrgExNe/Bfp+fwspGbEACynFxGA=</DigestValue>
      </Reference>
      <Reference URI="/xl/styles.xml?ContentType=application/vnd.openxmlformats-officedocument.spreadsheetml.styles+xml">
        <DigestMethod Algorithm="http://www.w3.org/2001/04/xmlenc#sha256"/>
        <DigestValue>bzQ+wP4DfPDTS1dtHX2qqhHT3MFpuYB41mZKSFc9+OY=</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fSR1HR6YFSlU7slsDOKfg4bDxRaiGvsiohaYjruyKg4=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iN1hBFr7ci+aup0na9bSSH27zib+ozVNiT66PKODmZw=</DigestValue>
      </Reference>
      <Reference URI="/xl/worksheets/sheet2.xml?ContentType=application/vnd.openxmlformats-officedocument.spreadsheetml.worksheet+xml">
        <DigestMethod Algorithm="http://www.w3.org/2001/04/xmlenc#sha256"/>
        <DigestValue>62czibq/Pqb0jkYvkzsYjbr6aHSilMK7Kwn2UZiRR5U=</DigestValue>
      </Reference>
      <Reference URI="/xl/worksheets/sheet3.xml?ContentType=application/vnd.openxmlformats-officedocument.spreadsheetml.worksheet+xml">
        <DigestMethod Algorithm="http://www.w3.org/2001/04/xmlenc#sha256"/>
        <DigestValue>31JGHzQOXxG57tcpZNKjUYaBPBsa4M1v9RojdcxSiwM=</DigestValue>
      </Reference>
      <Reference URI="/xl/worksheets/sheet4.xml?ContentType=application/vnd.openxmlformats-officedocument.spreadsheetml.worksheet+xml">
        <DigestMethod Algorithm="http://www.w3.org/2001/04/xmlenc#sha256"/>
        <DigestValue>DqAAqVXB8xDePMm8Iz4ovbF9mbpeT2Iyg2qZnMgus/Y=</DigestValue>
      </Reference>
      <Reference URI="/xl/worksheets/sheet5.xml?ContentType=application/vnd.openxmlformats-officedocument.spreadsheetml.worksheet+xml">
        <DigestMethod Algorithm="http://www.w3.org/2001/04/xmlenc#sha256"/>
        <DigestValue>jsVyPbMt5fc0Ao3Tat/UlmEcn3za949jkoNpGpjqHDI=</DigestValue>
      </Reference>
      <Reference URI="/xl/worksheets/sheet6.xml?ContentType=application/vnd.openxmlformats-officedocument.spreadsheetml.worksheet+xml">
        <DigestMethod Algorithm="http://www.w3.org/2001/04/xmlenc#sha256"/>
        <DigestValue>PO8brioYbxZl4IO1Nl/wT8o4JIJshLriT76Pi5sIIAA=</DigestValue>
      </Reference>
      <Reference URI="/xl/worksheets/sheet7.xml?ContentType=application/vnd.openxmlformats-officedocument.spreadsheetml.worksheet+xml">
        <DigestMethod Algorithm="http://www.w3.org/2001/04/xmlenc#sha256"/>
        <DigestValue>X6Ysp7F6uM9Q7Y0mbFeeeDHBLCuJ2Ep7uloNCHlBzQ4=</DigestValue>
      </Reference>
      <Reference URI="/xl/worksheets/sheet8.xml?ContentType=application/vnd.openxmlformats-officedocument.spreadsheetml.worksheet+xml">
        <DigestMethod Algorithm="http://www.w3.org/2001/04/xmlenc#sha256"/>
        <DigestValue>LFE7o54kK4/EXiWiLsd7SVzECI1TQ77pwr4VhQ5+ujQ=</DigestValue>
      </Reference>
      <Reference URI="/xl/worksheets/sheet9.xml?ContentType=application/vnd.openxmlformats-officedocument.spreadsheetml.worksheet+xml">
        <DigestMethod Algorithm="http://www.w3.org/2001/04/xmlenc#sha256"/>
        <DigestValue>qj/377SppZwnARlSBcQScMY7k1yTv1com3bwptlpY+0=</DigestValue>
      </Reference>
    </Manifest>
    <SignatureProperties>
      <SignatureProperty Id="idSignatureTime" Target="#idPackageSignature">
        <mdssi:SignatureTime xmlns:mdssi="http://schemas.openxmlformats.org/package/2006/digital-signature">
          <mdssi:Format>YYYY-MM-DDThh:mm:ssTZD</mdssi:Format>
          <mdssi:Value>2025-07-15T03:01:46Z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2025-07-15T03:01:46Z</xd:SigningTime>
          <xd:SigningCertificate>
            <xd:Cert>
              <xd:CertDigest>
                <DigestMethod Algorithm="http://www.w3.org/2001/04/xmlenc#sha256"/>
                <DigestValue>CBrcS7hIiXyzu6VkhZiJiM6KarRUNFxZjXeZX7xxwzw=</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2025-07-15T02:55:14Z</dcterms:modified>
</cp:coreProperties>
</file>