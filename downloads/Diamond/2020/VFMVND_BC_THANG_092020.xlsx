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9.xml" ContentType="application/vnd.openxmlformats-officedocument.drawing+xml"/>
  <Override PartName="/xl/drawings/drawing8.xml" ContentType="application/vnd.openxmlformats-officedocument.drawing+xml"/>
  <Override PartName="/xl/worksheets/sheet1.xml" ContentType="application/vnd.openxmlformats-officedocument.spreadsheetml.worksheet+xml"/>
  <Override PartName="/xl/drawings/drawing7.xml" ContentType="application/vnd.openxmlformats-officedocument.drawing+xml"/>
  <Override PartName="/xl/styles.xml" ContentType="application/vnd.openxmlformats-officedocument.spreadsheetml.styles+xml"/>
  <Override PartName="/xl/worksheets/sheet11.xml" ContentType="application/vnd.openxmlformats-officedocument.spreadsheetml.worksheet+xml"/>
  <Override PartName="/xl/drawings/drawing3.xml" ContentType="application/vnd.openxmlformats-officedocument.drawing+xml"/>
  <Override PartName="/xl/theme/theme1.xml" ContentType="application/vnd.openxmlformats-officedocument.theme+xml"/>
  <Override PartName="/xl/drawings/drawing2.xml" ContentType="application/vnd.openxmlformats-officedocument.drawing+xml"/>
  <Override PartName="/xl/drawings/drawing6.xml" ContentType="application/vnd.openxmlformats-officedocument.drawing+xml"/>
  <Override PartName="/xl/drawings/drawing1.xml" ContentType="application/vnd.openxmlformats-officedocument.drawing+xml"/>
  <Override PartName="/xl/sharedStrings.xml" ContentType="application/vnd.openxmlformats-officedocument.spreadsheetml.sharedStrings+xml"/>
  <Override PartName="/xl/drawings/drawing4.xml" ContentType="application/vnd.openxmlformats-officedocument.drawing+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codeName="ThisWorkbook" defaultThemeVersion="124226"/>
  <bookViews>
    <workbookView xWindow="240" yWindow="105" windowWidth="14805" windowHeight="8010" firstSheet="6" activeTab="9"/>
  </bookViews>
  <sheets>
    <sheet name="TONGQUAN" sheetId="16" r:id="rId1"/>
    <sheet name="BCTaiSan_06134" sheetId="11" r:id="rId2"/>
    <sheet name="BCKetQuaHoatDong_06135" sheetId="9" r:id="rId3"/>
    <sheet name="BCDanhMucDauTu_06136" sheetId="8" r:id="rId4"/>
    <sheet name="Khac_06137" sheetId="10" r:id="rId5"/>
    <sheet name="BCGiaodichTaiSan_06141" sheetId="17" r:id="rId6"/>
    <sheet name="BCThuNhap_06203" sheetId="13" r:id="rId7"/>
    <sheet name="BCTinhHinhTaiChinh_06105" sheetId="14" r:id="rId8"/>
    <sheet name="GTTSRong_06107" sheetId="12" r:id="rId9"/>
    <sheet name="DangHD_06182" sheetId="15" r:id="rId10"/>
    <sheet name="Sheet1" sheetId="18" r:id="rId11"/>
  </sheets>
  <definedNames>
    <definedName name="_xlnm.Print_Area" localSheetId="5">BCGiaodichTaiSan_06141!$A$1:$K$37</definedName>
    <definedName name="_xlnm.Print_Area" localSheetId="0">TONGQUAN!$A$1:$I$48</definedName>
  </definedNames>
  <calcPr calcId="145621"/>
</workbook>
</file>

<file path=xl/calcChain.xml><?xml version="1.0" encoding="utf-8"?>
<calcChain xmlns="http://schemas.openxmlformats.org/spreadsheetml/2006/main">
  <c r="A4" i="17" l="1"/>
  <c r="F117" i="14" l="1"/>
  <c r="E117" i="14"/>
  <c r="F113" i="14"/>
  <c r="E113" i="14"/>
  <c r="F109" i="14"/>
  <c r="E109" i="14"/>
  <c r="F101" i="14"/>
  <c r="E101" i="14"/>
  <c r="F98" i="14"/>
  <c r="E98" i="14"/>
  <c r="F88" i="14"/>
  <c r="E88" i="14"/>
  <c r="F86" i="14"/>
  <c r="E86" i="14"/>
  <c r="F76" i="14"/>
  <c r="E76" i="14"/>
  <c r="F71" i="14"/>
  <c r="F107" i="14" s="1"/>
  <c r="E71" i="14"/>
  <c r="E107" i="14" s="1"/>
  <c r="F58" i="14"/>
  <c r="F56" i="14" s="1"/>
  <c r="E58" i="14"/>
  <c r="E56" i="14" s="1"/>
  <c r="F50" i="14"/>
  <c r="E50" i="14"/>
  <c r="F43" i="14"/>
  <c r="F42" i="14" s="1"/>
  <c r="F39" i="14" s="1"/>
  <c r="E43" i="14"/>
  <c r="E42" i="14"/>
  <c r="E39" i="14" s="1"/>
  <c r="F28" i="14"/>
  <c r="E28" i="14"/>
  <c r="E27" i="14" s="1"/>
  <c r="F27" i="14"/>
  <c r="F20" i="14"/>
  <c r="E20" i="14"/>
  <c r="E19" i="14" s="1"/>
  <c r="F19" i="14"/>
  <c r="G75" i="13"/>
  <c r="F75" i="13"/>
  <c r="E75" i="13"/>
  <c r="D75" i="13"/>
  <c r="G59" i="13"/>
  <c r="F59" i="13"/>
  <c r="E59" i="13"/>
  <c r="D59" i="13"/>
  <c r="G53" i="13"/>
  <c r="F53" i="13"/>
  <c r="E53" i="13"/>
  <c r="D53" i="13"/>
  <c r="G45" i="13"/>
  <c r="F45" i="13"/>
  <c r="E45" i="13"/>
  <c r="D45" i="13"/>
  <c r="G43" i="13"/>
  <c r="F43" i="13"/>
  <c r="E43" i="13"/>
  <c r="D43" i="13"/>
  <c r="G36" i="13"/>
  <c r="F36" i="13"/>
  <c r="E36" i="13"/>
  <c r="D36" i="13"/>
  <c r="G35" i="13"/>
  <c r="F35" i="13"/>
  <c r="E35" i="13"/>
  <c r="D35" i="13"/>
  <c r="G26" i="13"/>
  <c r="F26" i="13"/>
  <c r="E26" i="13"/>
  <c r="D26" i="13"/>
  <c r="G23" i="13"/>
  <c r="F23" i="13"/>
  <c r="E23" i="13"/>
  <c r="D23" i="13"/>
  <c r="G20" i="13"/>
  <c r="G19" i="13" s="1"/>
  <c r="G74" i="13" s="1"/>
  <c r="G78" i="13" s="1"/>
  <c r="G82" i="13" s="1"/>
  <c r="F20" i="13"/>
  <c r="E20" i="13"/>
  <c r="D20" i="13"/>
  <c r="F19" i="13"/>
  <c r="F74" i="13" s="1"/>
  <c r="F78" i="13" s="1"/>
  <c r="F82" i="13" s="1"/>
  <c r="E19" i="13"/>
  <c r="E74" i="13" s="1"/>
  <c r="E78" i="13" s="1"/>
  <c r="E82" i="13" s="1"/>
  <c r="D19" i="13"/>
  <c r="D74" i="13" s="1"/>
  <c r="D78" i="13" s="1"/>
  <c r="D82" i="13" s="1"/>
  <c r="E65" i="14" l="1"/>
  <c r="E108" i="14" s="1"/>
  <c r="F65" i="14"/>
  <c r="F108" i="14" s="1"/>
</calcChain>
</file>

<file path=xl/sharedStrings.xml><?xml version="1.0" encoding="utf-8"?>
<sst xmlns="http://schemas.openxmlformats.org/spreadsheetml/2006/main" count="1466" uniqueCount="1081">
  <si>
    <t>Phụ lục 07. Mẫu báo cáo hoạt động đầu tư của quỹ ETF
Appendix 07. Report on Fund's Investment Activities</t>
  </si>
  <si>
    <t>(Ban hành kèm theo Thông tư số 91/2019/TT-BTC ngày 31 tháng 12  năm 2019 của Bộ trưởng Bộ Tài chính sửa đổi, bổ sung một số Thông tư quy định về cế độ báo cáo và thủ tục hành chính áp dụng với công ty quản lý quỹ, quỹ đầu tư chứng khoán và công ty đầu tư chứng khoán)
(Issued in association with Circular 91/2012/TT-BTC dated 31 Dec 2019 amending and supplementing a number of Circulars guiding on reporting  and administration of Fund Management Companies, Securities Investment Funds and  Securities Investment Companies)</t>
  </si>
  <si>
    <t>REPORT ON ETF FUND'S INVESTMENT ACTIVITIES</t>
  </si>
  <si>
    <t>BÁO CÁO HOẠT ĐỘNG ĐẦU TƯ CỦA QUỸ ETF</t>
  </si>
  <si>
    <t>Tại ngày 30 tháng 09 năm 2020 / As at 30 Sep 2020</t>
  </si>
  <si>
    <t>1</t>
  </si>
  <si>
    <t>Tên Công ty quản lý quỹ:</t>
  </si>
  <si>
    <t>Công ty cổ phần Quản lý Quỹ Đầu Tư Việt Nam</t>
  </si>
  <si>
    <t>Fund Management Company:</t>
  </si>
  <si>
    <t>Vietnam Investment Fund Management Joint Stock Company</t>
  </si>
  <si>
    <t>2</t>
  </si>
  <si>
    <t>Tên ngân hàng giám sát:</t>
  </si>
  <si>
    <t>Ngân hàng TMCP Ngoại Thương Việt Nam-CN TP.HCM</t>
  </si>
  <si>
    <t>Supervising bank:</t>
  </si>
  <si>
    <t>Joint Stock Commercial Bank for Foreign Trade of Vietnam-HCMC Branch</t>
  </si>
  <si>
    <t>3</t>
  </si>
  <si>
    <t>Tên Quỹ:</t>
  </si>
  <si>
    <t>QUỸ ETF VFMVN DIAMOND</t>
  </si>
  <si>
    <t>Fund name:</t>
  </si>
  <si>
    <t>VFMVN DIAMOND ETF</t>
  </si>
  <si>
    <t>4</t>
  </si>
  <si>
    <t>Ngày lập báo cáo:</t>
  </si>
  <si>
    <t>Reporting Date:</t>
  </si>
  <si>
    <t>A. BÁO CÁO CHUNG VỀ HOẠT ĐỘNG ĐẦU TƯ CỦA QUỸ ETF / GENERAL INFOMATION ON ETF FUND'S INVESTMENT ACTIVITIES</t>
  </si>
  <si>
    <t>III. BÁO CÁO DANH MỤC ĐẦU TƯ CỦA QUỸ/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</si>
  <si>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</si>
  <si>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</si>
  <si>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</si>
  <si>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</si>
  <si>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</si>
  <si>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</si>
  <si>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</si>
  <si>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</si>
  <si>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</si>
  <si>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Cổ phiếu niêm yết
Listed shares</t>
  </si>
  <si>
    <t>2246</t>
  </si>
  <si>
    <t>CTD</t>
  </si>
  <si>
    <t>2246.1</t>
  </si>
  <si>
    <t>CTG</t>
  </si>
  <si>
    <t>2246.2</t>
  </si>
  <si>
    <t>DXG</t>
  </si>
  <si>
    <t>2246.3</t>
  </si>
  <si>
    <t>FPT</t>
  </si>
  <si>
    <t>2246.4</t>
  </si>
  <si>
    <t>5</t>
  </si>
  <si>
    <t>GMD</t>
  </si>
  <si>
    <t>2246.5</t>
  </si>
  <si>
    <t>6</t>
  </si>
  <si>
    <t>KDH</t>
  </si>
  <si>
    <t>2246.6</t>
  </si>
  <si>
    <t>7</t>
  </si>
  <si>
    <t>MBB</t>
  </si>
  <si>
    <t>2246.7</t>
  </si>
  <si>
    <t>8</t>
  </si>
  <si>
    <t>MWG</t>
  </si>
  <si>
    <t>2246.8</t>
  </si>
  <si>
    <t>9</t>
  </si>
  <si>
    <t>NLG</t>
  </si>
  <si>
    <t>2246.9</t>
  </si>
  <si>
    <t>10</t>
  </si>
  <si>
    <t>PNJ</t>
  </si>
  <si>
    <t>2246.10</t>
  </si>
  <si>
    <t>11</t>
  </si>
  <si>
    <t>REE</t>
  </si>
  <si>
    <t>2246.11</t>
  </si>
  <si>
    <t>12</t>
  </si>
  <si>
    <t>TCB</t>
  </si>
  <si>
    <t>2246.12</t>
  </si>
  <si>
    <t>13</t>
  </si>
  <si>
    <t>TPB</t>
  </si>
  <si>
    <t>2246.13</t>
  </si>
  <si>
    <t>14</t>
  </si>
  <si>
    <t>VPB</t>
  </si>
  <si>
    <t>2246.14</t>
  </si>
  <si>
    <t>Tổng</t>
  </si>
  <si>
    <t>2247</t>
  </si>
  <si>
    <t>II</t>
  </si>
  <si>
    <t>Cổ phiếu không niêm yết
Unlisted shares</t>
  </si>
  <si>
    <t>2248</t>
  </si>
  <si>
    <t>Tổng
Total</t>
  </si>
  <si>
    <t>2249</t>
  </si>
  <si>
    <t>Tổng các loại cổ phiếu
Total shares</t>
  </si>
  <si>
    <t>2250</t>
  </si>
  <si>
    <t>III</t>
  </si>
  <si>
    <t>Trái phiếu
Bonds</t>
  </si>
  <si>
    <t>2251</t>
  </si>
  <si>
    <t>2252</t>
  </si>
  <si>
    <t>IV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</si>
  <si>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</si>
  <si>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</si>
  <si>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</si>
  <si>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</si>
  <si>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</si>
  <si>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</si>
  <si>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</si>
  <si>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</si>
  <si>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</si>
  <si>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</si>
  <si>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</si>
  <si>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</si>
  <si>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</si>
  <si>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</si>
  <si>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</si>
  <si>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</si>
  <si>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</si>
  <si>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</si>
  <si>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</si>
  <si>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</si>
  <si>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cho khoản cổ phiếu hạn chế chờ mua
Receivable from AP/Investors on bought investments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</si>
  <si>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</si>
  <si>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</si>
  <si>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</si>
  <si>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</si>
  <si>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</si>
  <si>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</si>
  <si>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</si>
  <si>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</si>
  <si>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</si>
  <si>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</si>
  <si>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</si>
  <si>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</si>
  <si>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t>
  </si>
  <si>
    <t>Tiền
Cash</t>
  </si>
  <si>
    <t>2258</t>
  </si>
  <si>
    <t>Tiền gửi Ngân Hàng
Cash at Bank</t>
  </si>
  <si>
    <t>2259</t>
  </si>
  <si>
    <t>Tiền gửi ngân hàng
Cash at Bank</t>
  </si>
  <si>
    <t>2259.1</t>
  </si>
  <si>
    <t>Các khoản tương đương tiền
Cash Equivalents</t>
  </si>
  <si>
    <t>2259.2</t>
  </si>
  <si>
    <t>Tiền gửi có kỳ hạn trên 3 tháng
Term deposit greater than 3 months</t>
  </si>
  <si>
    <t>2259.3</t>
  </si>
  <si>
    <t>Chứng chỉ tiền gửi 
Certificates of deposit</t>
  </si>
  <si>
    <t>2260</t>
  </si>
  <si>
    <t>Công cụ chuyển nhượng…
Transferable instruments…</t>
  </si>
  <si>
    <t>2261</t>
  </si>
  <si>
    <t>2262</t>
  </si>
  <si>
    <t>VII</t>
  </si>
  <si>
    <t>Tổng giá trị danh mục 
Total value of portfolio</t>
  </si>
  <si>
    <t>2263</t>
  </si>
  <si>
    <t>STT</t>
  </si>
  <si>
    <t>Mã</t>
  </si>
  <si>
    <t>Số lượng</t>
  </si>
  <si>
    <t>Giá trị thị trường/ 1 hợp đồng (100,000 VND)</t>
  </si>
  <si>
    <t>Tổng giá trị thị trường</t>
  </si>
  <si>
    <t>Tổng giá trị cam kết</t>
  </si>
  <si>
    <t>Chênh lệch giữa giá trị cam kết và giá trị thị trường</t>
  </si>
  <si>
    <t>BÁO CÁO HOẠT ĐỘNG ĐẦU TƯ CỦA QUỸ ETF
REPORT ON ETF FUND'S INVESTMENT ACTIVITIES</t>
  </si>
  <si>
    <t>Tháng 09 năm 2020 / Sep 2020</t>
  </si>
  <si>
    <t>Ngân hàng giám sát:</t>
  </si>
  <si>
    <t>A. BÁO CÁO CHUNG VỀ HOẠT ĐỘNG ĐẦU TƯ CỦA QUỸ ETF/GENERAL INFOMATION ON ETF FUND'S INVESTMENT ACTIVITIES</t>
  </si>
  <si>
    <t>II. BÁO CÁO KẾT QUẢ HOẠT ĐỘNG / PROFIT AND LOSS REPORT</t>
  </si>
  <si>
    <t>TT
NO</t>
  </si>
  <si>
    <t>Chỉ tiêu
Indicators</t>
  </si>
  <si>
    <t>Tháng 09 năm 2020
Sep 2020</t>
  </si>
  <si>
    <t>Tháng 08 năm 2020
Aug 2020</t>
  </si>
  <si>
    <t>Lũy kế từ đầu năm
Accumulated figure from the beginning of the year</t>
  </si>
  <si>
    <t>Thu nhập từ hoạt động đầu tư
Income from Investment Activities</t>
  </si>
  <si>
    <t>2220</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</si>
  <si>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</si>
  <si>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</si>
  <si>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</si>
  <si>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</si>
  <si>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</si>
  <si>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</si>
  <si>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</si>
  <si>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</si>
  <si>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</si>
  <si>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</si>
  <si>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</si>
  <si>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</si>
  <si>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</si>
  <si>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</si>
  <si>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</si>
  <si>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</si>
  <si>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</si>
  <si>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</si>
  <si>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</si>
  <si>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</si>
  <si>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</si>
  <si>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</si>
  <si>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Phí quản lý trả cho công ty quản lý quỹ
Management Fee paid to Fund Management Company</t>
  </si>
  <si>
    <t>2225</t>
  </si>
  <si>
    <t>Phí lưu ký, giám sát trả cho Ngân hàng Giám sát/ VSD
Custody, Supervising Fees paid to Supervising Bank/VSD</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</si>
  <si>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</si>
  <si>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</si>
  <si>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</si>
  <si>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</si>
  <si>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</si>
  <si>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</si>
  <si>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</si>
  <si>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</si>
  <si>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</si>
  <si>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</si>
  <si>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</si>
  <si>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</si>
  <si>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</si>
  <si>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</si>
  <si>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</si>
  <si>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</si>
  <si>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</si>
  <si>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</si>
  <si>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</si>
  <si>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</si>
  <si>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</si>
  <si>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</si>
  <si>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</si>
  <si>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</si>
  <si>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</si>
  <si>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</si>
  <si>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</si>
  <si>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</si>
  <si>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</si>
  <si>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</si>
  <si>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</si>
  <si>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</si>
  <si>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</si>
  <si>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</si>
  <si>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</si>
  <si>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</si>
  <si>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</si>
  <si>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</si>
  <si>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</si>
  <si>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</si>
  <si>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</si>
  <si>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</si>
  <si>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</si>
  <si>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</si>
  <si>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</si>
  <si>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</si>
  <si>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</si>
  <si>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</si>
  <si>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</si>
  <si>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phí, chi phí khác
Other fees,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</si>
  <si>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</si>
  <si>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</si>
  <si>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</si>
  <si>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</si>
  <si>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</si>
  <si>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</si>
  <si>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</si>
  <si>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</si>
  <si>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</si>
  <si>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</si>
  <si>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</si>
  <si>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</si>
  <si>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</si>
  <si>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</si>
  <si>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</si>
  <si>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</si>
  <si>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</si>
  <si>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</si>
  <si>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</si>
  <si>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</si>
  <si>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</si>
  <si>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Realised Gain / (Loss) from disposal of investment</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</si>
  <si>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</si>
  <si>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</si>
  <si>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</si>
  <si>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</si>
  <si>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</si>
  <si>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</si>
  <si>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</si>
  <si>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</si>
  <si>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</si>
  <si>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</si>
  <si>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</si>
  <si>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</si>
  <si>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</si>
  <si>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</si>
  <si>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</si>
  <si>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</si>
  <si>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</si>
  <si>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liên quan đến đầu tư của Quỹ trong kỳ
Change of Net Asset Value due to investment related activities during the period</t>
  </si>
  <si>
    <t>2241</t>
  </si>
  <si>
    <t>Thay đổi giá trị tài sản ròng của Quỹ liên quan tới nhà đầu tư trong kỳ
Change of Net Asset Value related to investors during the period</t>
  </si>
  <si>
    <t>2242</t>
  </si>
  <si>
    <t>Thay đổi giá trị tài sản ròng của Quỹ do việc phân phối thu nhập của Quỹ cho các nhà đầu tư trong kỳ
Change of Net Asset Value due to profit distribution to investors during the period</t>
  </si>
  <si>
    <t>2242.1</t>
  </si>
  <si>
    <t>Thay đổi GTTSR do phát hành thêm Chứng chỉ Quỹ
Change of Net Asset Value due to subscription during the period</t>
  </si>
  <si>
    <t>2242.2</t>
  </si>
  <si>
    <t>Thay đổi GTTSR do mua lại Chứng chỉ Quỹ
Change of Net Asset Value due to redemption during the period</t>
  </si>
  <si>
    <t>2242.3</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</si>
  <si>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</si>
  <si>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</si>
  <si>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</si>
  <si>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</si>
  <si>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</si>
  <si>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</si>
  <si>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</si>
  <si>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</si>
  <si>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</si>
  <si>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</si>
  <si>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</si>
  <si>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</si>
  <si>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</si>
  <si>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CÔNG TY CỔ PHẦN QUẢN LÝ QUỸ ĐẦU TƯ VIỆT NAM</t>
  </si>
  <si>
    <t>Phó Trưởng Phòng DVKHTC2</t>
  </si>
  <si>
    <t>Tổng Giám Đốc</t>
  </si>
  <si>
    <t>Ngô Thùy Dương</t>
  </si>
  <si>
    <t>Trần Thanh Tân</t>
  </si>
  <si>
    <t>Phụ lục 07. Mẫu báo cáo về hoạt động đầu tư của quỹ ETF
Appendix 07. Report on Fund's Investment Activities</t>
  </si>
  <si>
    <t>BÁO CÁO HOẠT ĐỘNG ĐẦU TƯ CỦA QUỸ ETF
REPORT ON FUND'S INVESTMENT ACTIVITIES</t>
  </si>
  <si>
    <t>V. MỘT SỐ CHỈ TIÊU KHÁC / OTHER INDICATORS</t>
  </si>
  <si>
    <t>TT
No.</t>
  </si>
  <si>
    <t>Các chỉ tiêu về hiệu quả hoạt động
Investment performance indicators (*)</t>
  </si>
  <si>
    <t>2264</t>
  </si>
  <si>
    <t>Tỷ lệ phí quản lý trả cho công ty quản lý quỹ/Giá trị tài sản ròng trung bình trong kỳ (%)
Management expense over average NAV ratio (%)</t>
  </si>
  <si>
    <t>2265</t>
  </si>
  <si>
    <t>Tỷ lệ phí lưu ký, giám sát trả cho NHGS/Giá trị tài sản ròng trung bình trong kỳ (%)
Custodian and supervising fee expense over average NAV ratio (%)</t>
  </si>
  <si>
    <t>2266</t>
  </si>
  <si>
    <t>Tỷ lệ chi phí dịch vụ quản trị quỹ,chi phí dịch vụ đại lý chuyển nhượng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</si>
  <si>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</si>
  <si>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</si>
  <si>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</si>
  <si>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</si>
  <si>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</si>
  <si>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 hoạt động/Giá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</si>
  <si>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</si>
  <si>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</si>
  <si>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</si>
  <si>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</si>
  <si>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</si>
  <si>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</si>
  <si>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</si>
  <si>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</si>
  <si>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</si>
  <si>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</si>
  <si>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</si>
  <si>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</si>
  <si>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</si>
  <si>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</si>
  <si>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</si>
  <si>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</si>
  <si>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</si>
  <si>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</si>
  <si>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</si>
  <si>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huy động thêm trong kỳ (theo mệnh giá)
Net subscription amount in period (based on par value)</t>
  </si>
  <si>
    <t>2278.1</t>
  </si>
  <si>
    <t>Số lượng đơn vị quỹ mua lại trong kỳ
Number of Fund Certificates redeemed during the period</t>
  </si>
  <si>
    <t>2277.2</t>
  </si>
  <si>
    <t>Giá trị vốn phải thanh toán trong kỳ khi đáp ứng lệnh của nhà đầu tư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</si>
  <si>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</si>
  <si>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</si>
  <si>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</si>
  <si>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</si>
  <si>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</si>
  <si>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</si>
  <si>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</si>
  <si>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</si>
  <si>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</si>
  <si>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</si>
  <si>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</si>
  <si>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</si>
  <si>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</si>
  <si>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</si>
  <si>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</si>
  <si>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</si>
  <si>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</si>
  <si>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</si>
  <si>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</si>
  <si>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</si>
  <si>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</si>
  <si>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Excluding the committed value of the Index Futures contracts.</t>
  </si>
  <si>
    <t>Đại diện có thẩm quyền của ngân hàng giám sát</t>
  </si>
  <si>
    <t>Phụ lục số 07. Mẫu Báo cáo hoạt động đầu tư của quỹ ETF
Appendix 07. Report on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</si>
  <si>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 2019 amending and supplementing a number of Circulars guiding on reporting  and administration of Fund Management Companies, Securities Investment Funds and  Securities Investment Companies)</t>
  </si>
  <si>
    <t>Tại ngày 30 tháng 09  năm 2020 
As at 30 Sep 2020</t>
  </si>
  <si>
    <t>I. BÁO CÁO VỀ TÀI SẢN CỦA QUỸ/ ASSET REPORT</t>
  </si>
  <si>
    <t>Tại ngày 31 tháng 08  năm 2020 
As at 31 Aug 2020</t>
  </si>
  <si>
    <t>%/cùng kỳ năm trước
%/against last year (*)</t>
  </si>
  <si>
    <t>Tài sản
Assets</t>
  </si>
  <si>
    <t>2200</t>
  </si>
  <si>
    <t>I.1</t>
  </si>
  <si>
    <t>Tiền gửi ngân hàng và các khoản tương đương tiền
Cash at bank and cash equivalent</t>
  </si>
  <si>
    <t>2201</t>
  </si>
  <si>
    <t>2202</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</si>
  <si>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</si>
  <si>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</si>
  <si>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</si>
  <si>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</si>
  <si>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</si>
  <si>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</si>
  <si>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</si>
  <si>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t>
  </si>
  <si>
    <t>2203.4</t>
  </si>
  <si>
    <t>Tài khoản phong tỏa
Escrow account</t>
  </si>
  <si>
    <t>2203.5</t>
  </si>
  <si>
    <t>2204</t>
  </si>
  <si>
    <t>I.2</t>
  </si>
  <si>
    <t>Các khoản đầu tư (kê chi tiết)
Investments</t>
  </si>
  <si>
    <t>2205</t>
  </si>
  <si>
    <t>2205.1</t>
  </si>
  <si>
    <t>Cổ phiếu chưa niêm yết
Unlisted shares</t>
  </si>
  <si>
    <t>2205.2</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</si>
  <si>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</si>
  <si>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</si>
  <si>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</si>
  <si>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</si>
  <si>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</si>
  <si>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</si>
  <si>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</si>
  <si>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</si>
  <si>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</si>
  <si>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</si>
  <si>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</si>
  <si>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</si>
  <si>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Cổ tức, trái tức được nhận
Dividend, Coupon Receivables</t>
  </si>
  <si>
    <t>2206</t>
  </si>
  <si>
    <t>Phải thu cổ tức
Dividend receivables</t>
  </si>
  <si>
    <t>2206.1</t>
  </si>
  <si>
    <t>Phải thu trái tức
Coupon receivables</t>
  </si>
  <si>
    <t>2206.2</t>
  </si>
  <si>
    <t>I.4</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</si>
  <si>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</si>
  <si>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</si>
  <si>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</si>
  <si>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</si>
  <si>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</si>
  <si>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</si>
  <si>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</si>
  <si>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</si>
  <si>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I.5</t>
  </si>
  <si>
    <t>Tiền bán chứng khoán chờ thu
Securities Trading Receivables</t>
  </si>
  <si>
    <t>2208</t>
  </si>
  <si>
    <t>I.6</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</si>
  <si>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</si>
  <si>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</si>
  <si>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</si>
  <si>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</si>
  <si>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</si>
  <si>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</si>
  <si>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</si>
  <si>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</si>
  <si>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I.7</t>
  </si>
  <si>
    <t>Các tài sản khác
Other assets</t>
  </si>
  <si>
    <t>2211</t>
  </si>
  <si>
    <t>Phải thu cho khoản cổ phiếu hạn chế chờ mua
Receivable from AP/Investors on securities on hold</t>
  </si>
  <si>
    <t>2211.1</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</si>
  <si>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</si>
  <si>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</si>
  <si>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</si>
  <si>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</si>
  <si>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</si>
  <si>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</si>
  <si>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</si>
  <si>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I.8</t>
  </si>
  <si>
    <t>TỔNG TÀI SẢN
Total Assets</t>
  </si>
  <si>
    <t>2212</t>
  </si>
  <si>
    <t>Nợ
Liabilities</t>
  </si>
  <si>
    <t>2213</t>
  </si>
  <si>
    <t>II.1</t>
  </si>
  <si>
    <t>Tiền phải thanh toán mua chứng khoán
Securities Trading Payables</t>
  </si>
  <si>
    <t>2214</t>
  </si>
  <si>
    <t>II.2</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</si>
  <si>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</si>
  <si>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</si>
  <si>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</si>
  <si>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</si>
  <si>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</si>
  <si>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</si>
  <si>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</si>
  <si>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</si>
  <si>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</si>
  <si>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</si>
  <si>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</si>
  <si>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</si>
  <si>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</si>
  <si>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</si>
  <si>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</si>
  <si>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</si>
  <si>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</si>
  <si>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</si>
  <si>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</si>
  <si>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</si>
  <si>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</si>
  <si>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</si>
  <si>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</si>
  <si>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</si>
  <si>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</si>
  <si>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</si>
  <si>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</si>
  <si>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</si>
  <si>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</si>
  <si>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</si>
  <si>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</si>
  <si>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</si>
  <si>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</si>
  <si>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</si>
  <si>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Custion services</t>
  </si>
  <si>
    <t>2215.10</t>
  </si>
  <si>
    <t>2215.10.1</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</si>
  <si>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</si>
  <si>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</si>
  <si>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</si>
  <si>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</si>
  <si>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</si>
  <si>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</si>
  <si>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</si>
  <si>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</si>
  <si>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</si>
  <si>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</si>
  <si>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</si>
  <si>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</si>
  <si>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</si>
  <si>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</si>
  <si>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</si>
  <si>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Phải trả khác
Other payable</t>
  </si>
  <si>
    <t>2215.17</t>
  </si>
  <si>
    <t>Phải trả phí báo giá
Price feed fee payable</t>
  </si>
  <si>
    <t>2215.17.1</t>
  </si>
  <si>
    <t>Trích trước phí công tác, họp của Ban đại diện
Accrued expenses for Fund's Board of Representatives travelling, meeting</t>
  </si>
  <si>
    <t>2215.17.2</t>
  </si>
  <si>
    <t>Trích trước phí quản lý thường niên trả UBCKNN
Accrued expenses for annual fee pay to SSC</t>
  </si>
  <si>
    <t>2215.17.3</t>
  </si>
  <si>
    <t>Trích trước phí đăng ký chứng khoán tại VSD
Accrued expense for security registration at VSD</t>
  </si>
  <si>
    <t>2215.17.4</t>
  </si>
  <si>
    <t>Lệ phí cấp giấy chứng nhận hoạt động quỹ ETF trả UBCKNN
Register fee for ETF operation payable to SSC</t>
  </si>
  <si>
    <t>2215.17.5</t>
  </si>
  <si>
    <t>Phí dịch vụ đăng ký chứng khoán trả VSD
Security register fee payable to VSD</t>
  </si>
  <si>
    <t>2215.17.6</t>
  </si>
  <si>
    <t>Phải trả, phải nộp khác
Other payables</t>
  </si>
  <si>
    <t>2215.17.7</t>
  </si>
  <si>
    <t>Chi phí phải trả khác của công ty QLQ
Other expenses</t>
  </si>
  <si>
    <t>2215.17.8</t>
  </si>
  <si>
    <t>Vay ngắn hạn 
Short-term loans</t>
  </si>
  <si>
    <t>2215.18</t>
  </si>
  <si>
    <t>Gốc khoản vay ngắn hạn 
Short-term loans Principal</t>
  </si>
  <si>
    <t>2215.18.1</t>
  </si>
  <si>
    <t>Trich trước lãi vay ngắn hạn
Accrued Interest Expense</t>
  </si>
  <si>
    <t>2215.18.2</t>
  </si>
  <si>
    <t>II.3</t>
  </si>
  <si>
    <t>TỔNG NỢ
TOTAL LIABILITIES</t>
  </si>
  <si>
    <t>2216</t>
  </si>
  <si>
    <t>Tài sản ròng của Quỹ ( = I.8 - II.3)
Net Asset Value ( = I.8 - II.3)</t>
  </si>
  <si>
    <t>2217</t>
  </si>
  <si>
    <t>Tổng số chứng chỉ quỹ đang lưu hành
Total Outstanding Fund Certificates</t>
  </si>
  <si>
    <t>2218</t>
  </si>
  <si>
    <t>Giá trị tài sản ròng trên một chứng chỉ quỹ (III/V)
Net asset value per Fund certificate (III/V)</t>
  </si>
  <si>
    <t>2219</t>
  </si>
  <si>
    <t>(*) Quỹ được cấp phép thành lập ngày 22/04/2020 nên không có số liệu tại năm 2019.
Fund Registration Certificate was granted on 22/04/2020, so data for 2019 is left blank.</t>
  </si>
  <si>
    <t>Mẫu số B03 - ETF: Mẫu báo cáo thay đổi giá trị tài sản ròng, giao dịch chứng chỉ quỹ
Template B03 - ETF: Report on change of Net Asset Value, trading of Fund Certificate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</si>
  <si>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</si>
  <si>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</si>
  <si>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</si>
  <si>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</si>
  <si>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</si>
  <si>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</si>
  <si>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</si>
  <si>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STT
No</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</si>
  <si>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</si>
  <si>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</si>
  <si>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</si>
  <si>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</si>
  <si>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</si>
  <si>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</si>
  <si>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Trong đó:</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</si>
  <si>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</si>
  <si>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</si>
  <si>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</si>
  <si>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</si>
  <si>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</si>
  <si>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</si>
  <si>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</si>
  <si>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</si>
  <si>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</si>
  <si>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</si>
  <si>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</si>
  <si>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</si>
  <si>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</si>
  <si>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</si>
  <si>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</si>
  <si>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</si>
  <si>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t>
  </si>
  <si>
    <t>Kế toán trưởng</t>
  </si>
  <si>
    <t>Tổng Giám đốc</t>
  </si>
  <si>
    <t>(Ký, họ tên)</t>
  </si>
  <si>
    <t>(Ký, họ tên, đóng dấu)</t>
  </si>
  <si>
    <t>Mẫu số B01 - ETF. Báo cáo thu nhập
Template B01 - ETF. Statement of Comprehensive Income</t>
  </si>
  <si>
    <t>BÁO CÁO THU NHẬP</t>
  </si>
  <si>
    <t>STATEMENT OF COMPREHENSIVE INCOME</t>
  </si>
  <si>
    <t>Joint Stock Commercial Bank for Foreign Trade of Vietnam - HCMC Branch</t>
  </si>
  <si>
    <t>Mã số
Code</t>
  </si>
  <si>
    <t>Thuyết minh
Note</t>
  </si>
  <si>
    <t>NĂM 2020
YEAR 2020</t>
  </si>
  <si>
    <t>NĂM 2019
YEAR 2019</t>
  </si>
  <si>
    <t>Số lũy kế
Year-to-date</t>
  </si>
  <si>
    <t>Tháng 09 năm 2019
Sep 2019</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</si>
  <si>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</si>
  <si>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</si>
  <si>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</si>
  <si>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</si>
  <si>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</si>
  <si>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</si>
  <si>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</si>
  <si>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</si>
  <si>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</si>
  <si>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</si>
  <si>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</si>
  <si>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</si>
  <si>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</si>
  <si>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</si>
  <si>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</si>
  <si>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</si>
  <si>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</si>
  <si>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</si>
  <si>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</si>
  <si>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</si>
  <si>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</si>
  <si>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</si>
  <si>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</si>
  <si>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</si>
  <si>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</si>
  <si>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</si>
  <si>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</si>
  <si>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</si>
  <si>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</si>
  <si>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</si>
  <si>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</si>
  <si>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</si>
  <si>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</si>
  <si>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</si>
  <si>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</si>
  <si>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</si>
  <si>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</si>
  <si>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</si>
  <si>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</si>
  <si>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</si>
  <si>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</si>
  <si>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</si>
  <si>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15</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</si>
  <si>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</si>
  <si>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</si>
  <si>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</si>
  <si>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</si>
  <si>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</si>
  <si>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</si>
  <si>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</si>
  <si>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</si>
  <si>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</si>
  <si>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</si>
  <si>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</si>
  <si>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</si>
  <si>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</si>
  <si>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</si>
  <si>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</si>
  <si>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</si>
  <si>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</si>
  <si>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</si>
  <si>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</si>
  <si>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</si>
  <si>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</si>
  <si>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</si>
  <si>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</si>
  <si>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</si>
  <si>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</si>
  <si>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</si>
  <si>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</si>
  <si>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</si>
  <si>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</si>
  <si>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</si>
  <si>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</si>
  <si>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</si>
  <si>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</si>
  <si>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</si>
  <si>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</si>
  <si>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</si>
  <si>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</si>
  <si>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</si>
  <si>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</si>
  <si>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</si>
  <si>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</si>
  <si>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</si>
  <si>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20.10.05</t>
  </si>
  <si>
    <t>Chi phí thiết lập Quỹ
Setup Expenses</t>
  </si>
  <si>
    <t>20.10.06</t>
  </si>
  <si>
    <t>Phí quản lý thường niên trả UBCKNN
Accrued fee payable to SSC</t>
  </si>
  <si>
    <t>20.10.07</t>
  </si>
  <si>
    <t>20.10.08</t>
  </si>
  <si>
    <t>20.10.09</t>
  </si>
  <si>
    <t>20.10.10</t>
  </si>
  <si>
    <t>20.10.11</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</si>
  <si>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</si>
  <si>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</si>
  <si>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</si>
  <si>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</si>
  <si>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</si>
  <si>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</si>
  <si>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</si>
  <si>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</si>
  <si>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</si>
  <si>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</si>
  <si>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</si>
  <si>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</si>
  <si>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</si>
  <si>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</si>
  <si>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</si>
  <si>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</si>
  <si>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</si>
  <si>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</si>
  <si>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</si>
  <si>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</si>
  <si>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</si>
  <si>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</si>
  <si>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</si>
  <si>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 biểu</t>
  </si>
  <si>
    <t>Tổng giám đốc</t>
  </si>
  <si>
    <t>Mẫu số B02 - ETF. Báo cáo tình hình tài chính
Template B02 - ETF. Statement of Financial Position</t>
  </si>
  <si>
    <t>BÁO CÁO TÌNH HÌNH TÀI CHÍNH
STATEMENT OF FINANCIAL POSITION</t>
  </si>
  <si>
    <t>CHỈ TIÊU
Indicators</t>
  </si>
  <si>
    <t>Thuyết minh
Notes</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</si>
  <si>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</si>
  <si>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</si>
  <si>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</si>
  <si>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</si>
  <si>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</si>
  <si>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</si>
  <si>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</si>
  <si>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</si>
  <si>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</si>
  <si>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</si>
  <si>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</si>
  <si>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</si>
  <si>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</si>
  <si>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</si>
  <si>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</si>
  <si>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</si>
  <si>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</si>
  <si>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</si>
  <si>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</si>
  <si>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</si>
  <si>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</si>
  <si>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</si>
  <si>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</si>
  <si>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</si>
  <si>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</si>
  <si>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</si>
  <si>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</si>
  <si>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</si>
  <si>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</si>
  <si>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</si>
  <si>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</si>
  <si>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</si>
  <si>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</si>
  <si>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</si>
  <si>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</si>
  <si>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</si>
  <si>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</si>
  <si>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</si>
  <si>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</si>
  <si>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</si>
  <si>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</si>
  <si>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</si>
  <si>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</si>
  <si>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</si>
  <si>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</si>
  <si>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</si>
  <si>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</si>
  <si>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</si>
  <si>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</si>
  <si>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</si>
  <si>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</si>
  <si>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</si>
  <si>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</si>
  <si>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</si>
  <si>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</si>
  <si>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</si>
  <si>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134.2</t>
  </si>
  <si>
    <t>Phải thu lãi tiền gửi có kỳ hạn dưới 3 tháng
Interest receivables from deposit with term less than three (03) months</t>
  </si>
  <si>
    <t>134.3</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</si>
  <si>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</si>
  <si>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</si>
  <si>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</si>
  <si>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</si>
  <si>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</si>
  <si>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</si>
  <si>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</si>
  <si>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</si>
  <si>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</si>
  <si>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</si>
  <si>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</si>
  <si>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</si>
  <si>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</si>
  <si>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</si>
  <si>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</si>
  <si>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</si>
  <si>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</si>
  <si>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</si>
  <si>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</si>
  <si>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</si>
  <si>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</si>
  <si>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Receivable from AP/Investors on securities on hold of buying</t>
  </si>
  <si>
    <t>137.1</t>
  </si>
  <si>
    <t>137.2</t>
  </si>
  <si>
    <t>137.2.1</t>
  </si>
  <si>
    <t>Trả trước giá dịch vụ đăng ký niêm yết cho HOSE
Prepaid expense for listed registration at HOSE</t>
  </si>
  <si>
    <t>137.2.2</t>
  </si>
  <si>
    <t>137.2.3</t>
  </si>
  <si>
    <t>137.2.4</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</si>
  <si>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</si>
  <si>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</si>
  <si>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</si>
  <si>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</si>
  <si>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</si>
  <si>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</si>
  <si>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</si>
  <si>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</si>
  <si>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</si>
  <si>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</si>
  <si>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</si>
  <si>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</si>
  <si>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</si>
  <si>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</si>
  <si>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</si>
  <si>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</si>
  <si>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</si>
  <si>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</si>
  <si>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</si>
  <si>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</si>
  <si>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</si>
  <si>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</si>
  <si>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</si>
  <si>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</si>
  <si>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</si>
  <si>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</si>
  <si>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</si>
  <si>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</si>
  <si>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</si>
  <si>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</si>
  <si>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</si>
  <si>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</si>
  <si>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</si>
  <si>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</si>
  <si>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</si>
  <si>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</si>
  <si>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</si>
  <si>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</si>
  <si>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</si>
  <si>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</si>
  <si>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</si>
  <si>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</si>
  <si>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</si>
  <si>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</si>
  <si>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</si>
  <si>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</si>
  <si>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</si>
  <si>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</si>
  <si>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</si>
  <si>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</si>
  <si>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</si>
  <si>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mở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</si>
  <si>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</si>
  <si>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</si>
  <si>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</si>
  <si>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</si>
  <si>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</si>
  <si>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</si>
  <si>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</si>
  <si>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</si>
  <si>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</si>
  <si>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</si>
  <si>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</si>
  <si>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</si>
  <si>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</si>
  <si>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</si>
  <si>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</si>
  <si>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</si>
  <si>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</si>
  <si>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</si>
  <si>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</si>
  <si>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</si>
  <si>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</si>
  <si>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</si>
  <si>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</si>
  <si>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</si>
  <si>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</si>
  <si>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</si>
  <si>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</si>
  <si>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</si>
  <si>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</si>
  <si>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</si>
  <si>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</si>
  <si>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</si>
  <si>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</si>
  <si>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</si>
  <si>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</si>
  <si>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320.3.1</t>
  </si>
  <si>
    <t>320.3.2</t>
  </si>
  <si>
    <t>Phí đăng ký niêm yết trả HOSE
Listed register fee payable to HOSE</t>
  </si>
  <si>
    <t>320.3.3</t>
  </si>
  <si>
    <t>320.3.4</t>
  </si>
  <si>
    <t>Chi phí phải trả khác của Quỹ
Other expenses</t>
  </si>
  <si>
    <t>320.3.5</t>
  </si>
  <si>
    <t>TỔNG NỢ PHẢI TRẢ
TOTAL LIABILITIES</t>
  </si>
  <si>
    <t>300</t>
  </si>
  <si>
    <t>III. GIÁ TRỊ TÀI SẢN RÒNG CÓ THỂ PHÂN PHỐI CHO NHÀ ĐẦU TƯ NẮM GIỮ CHỨNG CHỈ QUỸ MỞ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</si>
  <si>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</si>
  <si>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</si>
  <si>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</si>
  <si>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</si>
  <si>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</si>
  <si>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</si>
  <si>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</si>
  <si>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</si>
  <si>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</si>
  <si>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</si>
  <si>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</si>
  <si>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</si>
  <si>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</si>
  <si>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</si>
  <si>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</si>
  <si>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</si>
  <si>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</si>
  <si>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</si>
  <si>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</si>
  <si>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</si>
  <si>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</si>
  <si>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</si>
  <si>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</si>
  <si>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</si>
  <si>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</si>
  <si>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</si>
  <si>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</si>
  <si>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</si>
  <si>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</si>
  <si>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</si>
  <si>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</si>
  <si>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</si>
  <si>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Vương Thị Trâm Anh</t>
  </si>
  <si>
    <t>Phụ lục số 15: Báo cáo về thay đổi giá trị tài sản ròng
Apppendix 15: Report on change of Net Asset Value</t>
  </si>
  <si>
    <t>(Ban hành kèm theo Thông tư số 229/2012/TT-BTC ngày 27 tháng 12 năm 2012 của Bộ Tài chính hướng dẫn thành lập và quản lý quỹ hoán đổi danh mục)</t>
  </si>
  <si>
    <t>(Issued in association with Circular 229/2012/TT-BTC on 27 December 2012 guiding establishment and management of the Exchange Traded Fund)</t>
  </si>
  <si>
    <t>BÁO CÁO VỀ THAY ĐỔI GIÁ TRỊ TÀI SẢN RÒNG
REPORT ON CHANGE OF NET ASSET VALUE CERTIFICATE</t>
  </si>
  <si>
    <t>Mã chứng khoán:</t>
  </si>
  <si>
    <t>FUEVFVND</t>
  </si>
  <si>
    <t>Code:</t>
  </si>
  <si>
    <t>Đơn vị tính/ Currency: VND</t>
  </si>
  <si>
    <t>STT
NO</t>
  </si>
  <si>
    <t>CHỈ TIÊU
CRITERIA</t>
  </si>
  <si>
    <t>MÃ SỐ
Item No</t>
  </si>
  <si>
    <t>KỲ BÁO CÁO
THIS PERIOD
30/09/2020</t>
  </si>
  <si>
    <t>KỲ TRƯỚC
LAST PERIOD
 31/08/2020</t>
  </si>
  <si>
    <t>A</t>
  </si>
  <si>
    <t>Giá trị tài sản ròng/ Net asset value</t>
  </si>
  <si>
    <t>2100</t>
  </si>
  <si>
    <t>A.1</t>
  </si>
  <si>
    <t>Giá trị đầu kỳ/ Opening balance</t>
  </si>
  <si>
    <t>2101</t>
  </si>
  <si>
    <t>Của quỹ/of fund</t>
  </si>
  <si>
    <t>2102</t>
  </si>
  <si>
    <t>Của một lô chứng chỉ quỹ/per lot</t>
  </si>
  <si>
    <t>2102.1</t>
  </si>
  <si>
    <t>Của một chứng chỉ quỹ/per certificate</t>
  </si>
  <si>
    <t>2103</t>
  </si>
  <si>
    <t>A.2</t>
  </si>
  <si>
    <t>Giá trị tài sản ròng cuối kỳ/ Closing balance</t>
  </si>
  <si>
    <t>2104</t>
  </si>
  <si>
    <t>2105</t>
  </si>
  <si>
    <t>2105.1</t>
  </si>
  <si>
    <t>2106</t>
  </si>
  <si>
    <t>A.3</t>
  </si>
  <si>
    <t>Thay đổi giá trị tài sản ròng trên một chứng chỉ quỹ trong kỳ, trong đó
Change of net asset value per certificate during the period, in which</t>
  </si>
  <si>
    <t>2107</t>
  </si>
  <si>
    <t>Thay đổi do các hoạt động liên quan đến đầu tư của quỹ trong kỳ
Change due to investment activities</t>
  </si>
  <si>
    <t>2108</t>
  </si>
  <si>
    <t>Thay đổi Giá trị tài sản ròng của Quỹ liên quan tới nhà đầu tư trong kỳ
Change of net asset value related to investors during the period</t>
  </si>
  <si>
    <t>2109</t>
  </si>
  <si>
    <t>2109.1</t>
  </si>
  <si>
    <t>Thay đổi GTTSR do mua lại, phát hành thêm Chứng chỉ Quỹ
Change of NAV due to subscription, redemption during the period</t>
  </si>
  <si>
    <t>2109.2</t>
  </si>
  <si>
    <t>A.4</t>
  </si>
  <si>
    <t>Giá trị tài sản ròng cao nhất/thấp nhất trong vòng 52 tuần gần nhất
Highest/ lowest Net asset value for 52 weeks</t>
  </si>
  <si>
    <t>2110</t>
  </si>
  <si>
    <t>Giá trị cao nhất/highest value (VND)</t>
  </si>
  <si>
    <t>2111</t>
  </si>
  <si>
    <t>Giá trị thấp nhất/lowest value (VND)</t>
  </si>
  <si>
    <t>2112</t>
  </si>
  <si>
    <t>B</t>
  </si>
  <si>
    <t>Giá trị thị trường (giá đóng cửa cuối phiên giao dịch trong ngày báo cáo) của một chứng chỉ quỹ
Market price (closing price of last session within the reporting day) of a certificate</t>
  </si>
  <si>
    <t>2114</t>
  </si>
  <si>
    <t>B.1</t>
  </si>
  <si>
    <t>2115</t>
  </si>
  <si>
    <t>B.2</t>
  </si>
  <si>
    <t>Giá trị cuối kỳ/Closing balance</t>
  </si>
  <si>
    <t>2116</t>
  </si>
  <si>
    <t>B.3</t>
  </si>
  <si>
    <t>Thay đổi giá trị thị trường trong kỳ so với kỳ trước
Change of market price from this period to last period</t>
  </si>
  <si>
    <t>2117</t>
  </si>
  <si>
    <t>B.4</t>
  </si>
  <si>
    <t>Chênh lệch giữa giá thị trường của một chứng chỉ quỹ và giá trị tài sản ròng trên một chứng chỉ quỹ
Variance between Market price and Net asset value of one Fund Certificate</t>
  </si>
  <si>
    <t>2118</t>
  </si>
  <si>
    <t>Chênh lệch tuyệt đối/ Absolute variance (VND)</t>
  </si>
  <si>
    <t>2119</t>
  </si>
  <si>
    <t>Chênh lệch tương đối (mức độ chiết khấu (-)/thặng dư (+))
Relative variance (discount (-)/surplus (+))</t>
  </si>
  <si>
    <t>2120</t>
  </si>
  <si>
    <t>B.5</t>
  </si>
  <si>
    <t>Giá trị thị trường cao nhất/thấp nhất trong vòng 52 tuần gần nhất
Highest/lowest market value within the nearest 52 weeks</t>
  </si>
  <si>
    <t>2121</t>
  </si>
  <si>
    <t>Giá trị cao nhất/Highest value (VND)</t>
  </si>
  <si>
    <t>2122</t>
  </si>
  <si>
    <t>Giá trị thấp nhất/Lowest value (VND)</t>
  </si>
  <si>
    <t>2123</t>
  </si>
  <si>
    <t>Đại diện có thẩm quyền của Ngân Hàng Giám Sát</t>
  </si>
  <si>
    <t>Đại diện có thẩm quyền của Công ty Quản lý Quỹ</t>
  </si>
  <si>
    <t>Kỳ báo cáo:</t>
  </si>
  <si>
    <t>Thông tin chung:</t>
  </si>
  <si>
    <t>Công ty Cổ phần Quản lý Quỹ Đầu tư Việt Nam</t>
  </si>
  <si>
    <t>Ngân hàng TMCP Ngoại thương Việt Nam - CN TP.HCM</t>
  </si>
  <si>
    <t xml:space="preserve">Supervising bank: </t>
  </si>
  <si>
    <t>Quỹ ETF VFMVN Diamond (FUEVFVND)</t>
  </si>
  <si>
    <t xml:space="preserve">Fund name: </t>
  </si>
  <si>
    <t>VFMVN Diamond ETF (FUEVFVND)</t>
  </si>
  <si>
    <t>Người ký báo cáo:</t>
  </si>
  <si>
    <t>Đại diện có thẩm quyền của Công ty quản lý Quỹ</t>
  </si>
  <si>
    <t>NGÔ THÙY DƯƠNG</t>
  </si>
  <si>
    <t>TRẦN THANH TÂN</t>
  </si>
  <si>
    <t>Nội dung</t>
  </si>
  <si>
    <t>Tên sheet</t>
  </si>
  <si>
    <t xml:space="preserve">BÁO CÁO CHUNG VỀ HOẠT ĐỘNG ĐẦU TƯ CỦA QUỸ </t>
  </si>
  <si>
    <t>Báo cáo về tài sản</t>
  </si>
  <si>
    <t>06134</t>
  </si>
  <si>
    <t>Báo cáo kết quả hoạt động</t>
  </si>
  <si>
    <t>06135</t>
  </si>
  <si>
    <t>Báo cáo danh mục đầu tư</t>
  </si>
  <si>
    <t>06136</t>
  </si>
  <si>
    <t>Báo cáo về giao dịch tài sản</t>
  </si>
  <si>
    <t>06141</t>
  </si>
  <si>
    <t>Một số chỉ tiêu khác</t>
  </si>
  <si>
    <t>06137</t>
  </si>
  <si>
    <t>Báo cáo thu nhập giữa niên độ</t>
  </si>
  <si>
    <t>06203</t>
  </si>
  <si>
    <t>Báo cáo tình hình tài chính giữa niên độ</t>
  </si>
  <si>
    <t>06105</t>
  </si>
  <si>
    <t>Báo cáo thay đổi giá trị tài sản ròng, giao dịch chứng chỉ quỹ</t>
  </si>
  <si>
    <t>06107</t>
  </si>
  <si>
    <t>Báo cáo thay đổi giá trị tài sản ròng, giao dịch chứng chỉ quỹ giữa niên độ</t>
  </si>
  <si>
    <t>06182</t>
  </si>
  <si>
    <t xml:space="preserve">BÁO CÁO TÌNH HÌNH TỰ DOANH ĐẦU TƯ GIÁN TIẾP RA NƯỚC NGOÀI CỦA QUỸ </t>
  </si>
  <si>
    <t>Không có</t>
  </si>
  <si>
    <t>Tại ngày 30 tháng 09 năm 2020/ As at 30 Sep 2020</t>
  </si>
  <si>
    <t>Tháng 09 năm 2020/ Sep 2020</t>
  </si>
  <si>
    <t>Phụ lục số 07. Mẫu báo cáo hoạt động đầu tư của quỹ ETF
Appendix 07. Report on Exchange traded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</si>
  <si>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</si>
  <si>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ETF
REPORT ON EXCHANGE TRADED FUND'S INVESTMENT ACTIVITIES</t>
  </si>
  <si>
    <t>VFMVN Diamond ETF Fund (FUEVFVND)</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</si>
  <si>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</si>
  <si>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</si>
  <si>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</si>
  <si>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</si>
  <si>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</si>
  <si>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</si>
  <si>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</si>
  <si>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</si>
  <si>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</si>
  <si>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</si>
  <si>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</si>
  <si>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</si>
  <si>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</si>
  <si>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</si>
  <si>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2287</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</si>
  <si>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</si>
  <si>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</si>
  <si>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</si>
  <si>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</si>
  <si>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</si>
  <si>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</si>
  <si>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</si>
  <si>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</si>
  <si>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</si>
  <si>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</si>
  <si>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</si>
  <si>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</si>
  <si>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</si>
  <si>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</si>
  <si>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</si>
  <si>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</si>
  <si>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</si>
  <si>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</si>
  <si>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Vương Thị Trâm Anh</t>
  </si>
  <si>
    <t>Trần Thanh Tân</t>
  </si>
  <si>
    <t>Phạm Thanh Dũng</t>
  </si>
</sst>
</file>

<file path=xl/styles.xml><?xml version="1.0" encoding="utf-8"?>
<styleSheet xmlns="http://schemas.openxmlformats.org/spreadsheetml/2006/main" xmlns:mc="http://schemas.openxmlformats.org/markup-compatibility/2006" xmlns:x14ac="http://schemas.microsoft.com/office/spreadsheetml/2009/9/ac" mc:Ignorable="x14ac">
  <numFmts count="13">
    <numFmt numFmtId="43" formatCode="_(* #,##0.00_);_(* \(#,##0.00\);_(* &quot;-&quot;??_);_(@_)"/>
    <numFmt numFmtId="164" formatCode="#,##0;\(#,##0\);"/>
    <numFmt numFmtId="165" formatCode="#,##0.00%"/>
    <numFmt numFmtId="166" formatCode="&quot;&quot;#,##0"/>
    <numFmt numFmtId="167" formatCode="#,##0;\(#,##0\);&quot; &quot;"/>
    <numFmt numFmtId="168" formatCode="#,##0.00;\(#,##0.00\);&quot; &quot;"/>
    <numFmt numFmtId="169" formatCode="#0.00%;\(#0.00\)%;&quot; &quot;"/>
    <numFmt numFmtId="170" formatCode="[$-409]d\-mmm\-yyyy;@"/>
    <numFmt numFmtId="171" formatCode="dd/mmm/yyyy"/>
    <numFmt numFmtId="172" formatCode="_-* #,##0.00\ _₫_-;\-* #,##0.00\ _₫_-;_-* &quot;-&quot;??\ _₫_-;_-@_-"/>
    <numFmt numFmtId="173" formatCode="_(* #,##0_);_(* \(#,##0\);_(* &quot;-&quot;??_);_(@_)"/>
    <numFmt numFmtId="174" formatCode="[$-1010000]d/m/yyyy;@"/>
    <numFmt numFmtId="175" formatCode="0.0%"/>
  </numFmts>
  <fonts count="43">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sz val="9.75"/>
      <color indexed="8"/>
      <name val="Times New Roman"/>
      <family val="2"/>
    </font>
    <font>
      <b/>
      <sz val="8"/>
      <color indexed="8"/>
      <name val="Tahoma"/>
      <family val="2"/>
    </font>
    <font>
      <i/>
      <sz val="8"/>
      <color indexed="8"/>
      <name val="Tahoma"/>
      <family val="2"/>
    </font>
    <font>
      <b/>
      <sz val="10"/>
      <color indexed="8"/>
      <name val="Tahoma"/>
      <family val="2"/>
    </font>
    <font>
      <sz val="8"/>
      <color indexed="8"/>
      <name val="Tahoma"/>
      <family val="2"/>
    </font>
    <font>
      <b/>
      <sz val="9.75"/>
      <color indexed="8"/>
      <name val="Times New Roman"/>
      <family val="2"/>
    </font>
    <font>
      <i/>
      <sz val="7"/>
      <color indexed="8"/>
      <name val="Tahoma"/>
      <family val="2"/>
    </font>
    <font>
      <i/>
      <sz val="9.75"/>
      <color indexed="8"/>
      <name val="Times New Roman"/>
      <family val="2"/>
    </font>
    <font>
      <i/>
      <sz val="7.5"/>
      <color indexed="8"/>
      <name val="Tahoma"/>
      <family val="2"/>
    </font>
    <font>
      <sz val="8"/>
      <color indexed="8"/>
      <name val="Times New Roman"/>
      <family val="2"/>
    </font>
    <font>
      <i/>
      <sz val="9.75"/>
      <color indexed="8"/>
      <name val="Tahoma"/>
      <family val="2"/>
    </font>
    <font>
      <b/>
      <sz val="9"/>
      <color indexed="8"/>
      <name val="Tahoma"/>
      <family val="2"/>
    </font>
    <font>
      <sz val="7.9"/>
      <color indexed="8"/>
      <name val="Tahoma"/>
      <family val="2"/>
    </font>
    <font>
      <sz val="9.75"/>
      <color indexed="8"/>
      <name val="Tahoma"/>
      <family val="2"/>
    </font>
    <font>
      <i/>
      <sz val="6.5"/>
      <color indexed="8"/>
      <name val="Times New Roman"/>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
      <name val="Times New Roman"/>
      <family val="1"/>
    </font>
    <font>
      <sz val="10"/>
      <name val="Arial"/>
      <family val="2"/>
    </font>
    <font>
      <sz val="11"/>
      <name val="Times New Roman"/>
      <family val="1"/>
    </font>
    <font>
      <sz val="10"/>
      <color theme="1"/>
      <name val="Arial"/>
      <family val="2"/>
    </font>
    <font>
      <sz val="8"/>
      <color theme="1"/>
      <name val="Tahoma"/>
      <family val="2"/>
    </font>
    <font>
      <b/>
      <i/>
      <sz val="8"/>
      <color indexed="8"/>
      <name val="Tahoma"/>
      <family val="2"/>
    </font>
    <font>
      <sz val="8"/>
      <color rgb="FF000000"/>
      <name val="Tahoma"/>
      <family val="2"/>
    </font>
    <font>
      <b/>
      <sz val="8"/>
      <color theme="1"/>
      <name val="Tahoma"/>
      <family val="2"/>
    </font>
    <font>
      <sz val="8"/>
      <name val="Tahoma"/>
      <family val="2"/>
    </font>
    <font>
      <b/>
      <sz val="8"/>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0" tint="-0.14999847407452621"/>
        <bgColor indexed="64"/>
      </patternFill>
    </fill>
  </fills>
  <borders count="30">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rgb="FFA0A0A0"/>
      </right>
      <top/>
      <bottom style="thin">
        <color rgb="FFA0A0A0"/>
      </bottom>
      <diagonal/>
    </border>
    <border>
      <left/>
      <right style="thin">
        <color rgb="FFA0A0A0"/>
      </right>
      <top/>
      <bottom style="thin">
        <color rgb="FFA0A0A0"/>
      </bottom>
      <diagonal/>
    </border>
    <border>
      <left/>
      <right style="thin">
        <color indexed="8"/>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0">
    <xf numFmtId="0" fontId="0" fillId="0" borderId="0"/>
    <xf numFmtId="0" fontId="1" fillId="0" borderId="0"/>
    <xf numFmtId="9" fontId="2" fillId="0" borderId="0" applyFont="0" applyFill="0" applyBorder="0" applyAlignment="0" applyProtection="0"/>
    <xf numFmtId="0" fontId="3" fillId="0" borderId="0">
      <alignment vertical="center"/>
    </xf>
    <xf numFmtId="0" fontId="23" fillId="0" borderId="0">
      <alignment vertical="center"/>
    </xf>
    <xf numFmtId="0" fontId="27" fillId="0" borderId="0"/>
    <xf numFmtId="0" fontId="31" fillId="0" borderId="0" applyNumberFormat="0" applyFill="0" applyBorder="0" applyAlignment="0" applyProtection="0"/>
    <xf numFmtId="172" fontId="34" fillId="0" borderId="0" quotePrefix="1" applyFont="0" applyFill="0" applyBorder="0" applyAlignment="0">
      <protection locked="0"/>
    </xf>
    <xf numFmtId="172" fontId="34" fillId="0" borderId="0" applyFont="0" applyFill="0" applyBorder="0" applyAlignment="0" applyProtection="0"/>
    <xf numFmtId="172" fontId="35" fillId="0" borderId="0" applyFont="0" applyFill="0" applyBorder="0" applyAlignment="0" applyProtection="0"/>
    <xf numFmtId="0" fontId="34" fillId="0" borderId="0"/>
    <xf numFmtId="0" fontId="34" fillId="0" borderId="0"/>
    <xf numFmtId="0" fontId="36" fillId="0" borderId="0"/>
    <xf numFmtId="0" fontId="36" fillId="0" borderId="0"/>
    <xf numFmtId="0" fontId="2" fillId="0" borderId="0"/>
    <xf numFmtId="0" fontId="2" fillId="0" borderId="0"/>
    <xf numFmtId="0" fontId="1" fillId="0" borderId="0"/>
    <xf numFmtId="0" fontId="27" fillId="0" borderId="0"/>
    <xf numFmtId="4" fontId="2" fillId="0" borderId="0" applyFont="0" applyFill="0" applyBorder="0" applyAlignment="0" applyProtection="0"/>
    <xf numFmtId="43" fontId="2" fillId="0" borderId="0" applyFont="0" applyFill="0" applyBorder="0" applyAlignment="0" applyProtection="0"/>
  </cellStyleXfs>
  <cellXfs count="351">
    <xf numFmtId="0" fontId="0" fillId="0" borderId="0" xfId="0"/>
    <xf numFmtId="0" fontId="3" fillId="0" borderId="0" xfId="3" applyFont="1">
      <alignment vertical="center"/>
    </xf>
    <xf numFmtId="0" fontId="4" fillId="2" borderId="0" xfId="3" applyNumberFormat="1" applyFont="1" applyFill="1" applyBorder="1" applyAlignment="1" applyProtection="1">
      <alignment horizontal="left" vertical="top"/>
    </xf>
    <xf numFmtId="0" fontId="5" fillId="2" borderId="0" xfId="3" applyNumberFormat="1" applyFont="1" applyFill="1" applyBorder="1" applyAlignment="1" applyProtection="1">
      <alignment horizontal="center" vertical="top"/>
    </xf>
    <xf numFmtId="0" fontId="5" fillId="2" borderId="0" xfId="3" applyNumberFormat="1" applyFont="1" applyFill="1" applyBorder="1" applyAlignment="1" applyProtection="1">
      <alignment horizontal="left" vertical="top"/>
    </xf>
    <xf numFmtId="0" fontId="8" fillId="2" borderId="0" xfId="3" applyNumberFormat="1" applyFont="1" applyFill="1" applyBorder="1" applyAlignment="1" applyProtection="1">
      <alignment horizontal="left" vertical="top"/>
    </xf>
    <xf numFmtId="0" fontId="4" fillId="2" borderId="1" xfId="3" applyNumberFormat="1" applyFont="1" applyFill="1" applyBorder="1" applyAlignment="1" applyProtection="1">
      <alignment horizontal="left" vertical="top"/>
    </xf>
    <xf numFmtId="0" fontId="5" fillId="3" borderId="2" xfId="3" applyNumberFormat="1" applyFont="1" applyFill="1" applyBorder="1" applyAlignment="1" applyProtection="1">
      <alignment horizontal="center" vertical="center" wrapText="1"/>
    </xf>
    <xf numFmtId="0" fontId="5" fillId="3" borderId="3" xfId="3" applyNumberFormat="1" applyFont="1" applyFill="1" applyBorder="1" applyAlignment="1" applyProtection="1">
      <alignment horizontal="center" vertical="center" wrapText="1"/>
    </xf>
    <xf numFmtId="0" fontId="5" fillId="3" borderId="4" xfId="3" applyNumberFormat="1" applyFont="1" applyFill="1" applyBorder="1" applyAlignment="1" applyProtection="1">
      <alignment horizontal="center" vertical="center" wrapText="1"/>
    </xf>
    <xf numFmtId="0" fontId="5" fillId="2" borderId="5" xfId="3" applyNumberFormat="1" applyFont="1" applyFill="1" applyBorder="1" applyAlignment="1" applyProtection="1">
      <alignment horizontal="center" vertical="top"/>
    </xf>
    <xf numFmtId="0" fontId="5" fillId="2" borderId="6" xfId="3" applyNumberFormat="1" applyFont="1" applyFill="1" applyBorder="1" applyAlignment="1" applyProtection="1">
      <alignment horizontal="left" vertical="top" wrapText="1"/>
    </xf>
    <xf numFmtId="0" fontId="5" fillId="2" borderId="6" xfId="3" applyNumberFormat="1" applyFont="1" applyFill="1" applyBorder="1" applyAlignment="1" applyProtection="1">
      <alignment horizontal="center" vertical="top"/>
    </xf>
    <xf numFmtId="4" fontId="5" fillId="2" borderId="6" xfId="3" applyNumberFormat="1" applyFont="1" applyFill="1" applyBorder="1" applyAlignment="1" applyProtection="1">
      <alignment horizontal="right" vertical="top"/>
    </xf>
    <xf numFmtId="164" fontId="5" fillId="2" borderId="6" xfId="3" applyNumberFormat="1" applyFont="1" applyFill="1" applyBorder="1" applyAlignment="1" applyProtection="1">
      <alignment horizontal="right" vertical="top"/>
    </xf>
    <xf numFmtId="165" fontId="5" fillId="2" borderId="7" xfId="3" applyNumberFormat="1" applyFont="1" applyFill="1" applyBorder="1" applyAlignment="1" applyProtection="1">
      <alignment horizontal="right" vertical="top"/>
    </xf>
    <xf numFmtId="0" fontId="8" fillId="2" borderId="5" xfId="3" applyNumberFormat="1" applyFont="1" applyFill="1" applyBorder="1" applyAlignment="1" applyProtection="1">
      <alignment horizontal="center" vertical="top"/>
    </xf>
    <xf numFmtId="0" fontId="8" fillId="2" borderId="6" xfId="3" applyNumberFormat="1" applyFont="1" applyFill="1" applyBorder="1" applyAlignment="1" applyProtection="1">
      <alignment horizontal="left" vertical="top" wrapText="1"/>
    </xf>
    <xf numFmtId="0" fontId="8" fillId="2" borderId="6" xfId="3" applyNumberFormat="1" applyFont="1" applyFill="1" applyBorder="1" applyAlignment="1" applyProtection="1">
      <alignment horizontal="center" vertical="top"/>
    </xf>
    <xf numFmtId="4" fontId="8" fillId="2" borderId="6" xfId="3" applyNumberFormat="1" applyFont="1" applyFill="1" applyBorder="1" applyAlignment="1" applyProtection="1">
      <alignment horizontal="right" vertical="top"/>
    </xf>
    <xf numFmtId="164" fontId="8" fillId="2" borderId="6" xfId="3" applyNumberFormat="1" applyFont="1" applyFill="1" applyBorder="1" applyAlignment="1" applyProtection="1">
      <alignment horizontal="right" vertical="top"/>
    </xf>
    <xf numFmtId="165" fontId="8" fillId="2" borderId="7" xfId="3" applyNumberFormat="1" applyFont="1" applyFill="1" applyBorder="1" applyAlignment="1" applyProtection="1">
      <alignment horizontal="right" vertical="top"/>
    </xf>
    <xf numFmtId="0" fontId="5" fillId="2" borderId="8" xfId="3" applyNumberFormat="1" applyFont="1" applyFill="1" applyBorder="1" applyAlignment="1" applyProtection="1">
      <alignment horizontal="center" vertical="top"/>
    </xf>
    <xf numFmtId="0" fontId="5" fillId="2" borderId="9" xfId="3" applyNumberFormat="1" applyFont="1" applyFill="1" applyBorder="1" applyAlignment="1" applyProtection="1">
      <alignment horizontal="left" vertical="top" wrapText="1"/>
    </xf>
    <xf numFmtId="0" fontId="5" fillId="2" borderId="9" xfId="3" applyNumberFormat="1" applyFont="1" applyFill="1" applyBorder="1" applyAlignment="1" applyProtection="1">
      <alignment horizontal="center" vertical="top"/>
    </xf>
    <xf numFmtId="4" fontId="5" fillId="2" borderId="9" xfId="3" applyNumberFormat="1" applyFont="1" applyFill="1" applyBorder="1" applyAlignment="1" applyProtection="1">
      <alignment horizontal="right" vertical="top"/>
    </xf>
    <xf numFmtId="164" fontId="5" fillId="2" borderId="9" xfId="3" applyNumberFormat="1" applyFont="1" applyFill="1" applyBorder="1" applyAlignment="1" applyProtection="1">
      <alignment horizontal="right" vertical="top"/>
    </xf>
    <xf numFmtId="165" fontId="5" fillId="2" borderId="10" xfId="3" applyNumberFormat="1" applyFont="1" applyFill="1" applyBorder="1" applyAlignment="1" applyProtection="1">
      <alignment horizontal="right" vertical="top"/>
    </xf>
    <xf numFmtId="0" fontId="6" fillId="2" borderId="0" xfId="3" applyNumberFormat="1" applyFont="1" applyFill="1" applyBorder="1" applyAlignment="1" applyProtection="1">
      <alignment horizontal="left" vertical="top"/>
    </xf>
    <xf numFmtId="0" fontId="6" fillId="2" borderId="0" xfId="3" applyNumberFormat="1" applyFont="1" applyFill="1" applyBorder="1" applyAlignment="1" applyProtection="1">
      <alignment horizontal="left" vertical="top" wrapText="1"/>
    </xf>
    <xf numFmtId="0" fontId="5" fillId="3" borderId="11" xfId="3" applyNumberFormat="1" applyFont="1" applyFill="1" applyBorder="1" applyAlignment="1" applyProtection="1">
      <alignment horizontal="center" vertical="center" wrapText="1"/>
    </xf>
    <xf numFmtId="0" fontId="5" fillId="3" borderId="12" xfId="3" applyNumberFormat="1" applyFont="1" applyFill="1" applyBorder="1" applyAlignment="1" applyProtection="1">
      <alignment horizontal="center" vertical="center" wrapText="1"/>
    </xf>
    <xf numFmtId="0" fontId="5" fillId="3" borderId="13" xfId="3" applyNumberFormat="1" applyFont="1" applyFill="1" applyBorder="1" applyAlignment="1" applyProtection="1">
      <alignment horizontal="center" vertical="center" wrapText="1"/>
    </xf>
    <xf numFmtId="0" fontId="8" fillId="2" borderId="0" xfId="3" applyNumberFormat="1" applyFont="1" applyFill="1" applyBorder="1" applyAlignment="1" applyProtection="1">
      <alignment horizontal="center" vertical="top"/>
    </xf>
    <xf numFmtId="0" fontId="5" fillId="2" borderId="0" xfId="3" applyNumberFormat="1" applyFont="1" applyFill="1" applyBorder="1" applyAlignment="1" applyProtection="1">
      <alignment horizontal="center" vertical="center" wrapText="1"/>
    </xf>
    <xf numFmtId="0" fontId="9" fillId="2" borderId="0" xfId="3" applyNumberFormat="1" applyFont="1" applyFill="1" applyBorder="1" applyAlignment="1" applyProtection="1">
      <alignment horizontal="center" vertical="top"/>
    </xf>
    <xf numFmtId="164" fontId="5" fillId="2" borderId="5" xfId="3" applyNumberFormat="1" applyFont="1" applyFill="1" applyBorder="1" applyAlignment="1" applyProtection="1">
      <alignment horizontal="center" vertical="top"/>
    </xf>
    <xf numFmtId="164" fontId="5" fillId="2" borderId="6" xfId="3" applyNumberFormat="1" applyFont="1" applyFill="1" applyBorder="1" applyAlignment="1" applyProtection="1">
      <alignment horizontal="left" vertical="top" wrapText="1"/>
    </xf>
    <xf numFmtId="164" fontId="5" fillId="2" borderId="6" xfId="3" applyNumberFormat="1" applyFont="1" applyFill="1" applyBorder="1" applyAlignment="1" applyProtection="1">
      <alignment horizontal="center" vertical="top"/>
    </xf>
    <xf numFmtId="164" fontId="5" fillId="2" borderId="7" xfId="3" applyNumberFormat="1" applyFont="1" applyFill="1" applyBorder="1" applyAlignment="1" applyProtection="1">
      <alignment horizontal="right" vertical="top"/>
    </xf>
    <xf numFmtId="164" fontId="8" fillId="2" borderId="5" xfId="3" applyNumberFormat="1" applyFont="1" applyFill="1" applyBorder="1" applyAlignment="1" applyProtection="1">
      <alignment horizontal="center" vertical="top"/>
    </xf>
    <xf numFmtId="164" fontId="8" fillId="2" borderId="6" xfId="3" applyNumberFormat="1" applyFont="1" applyFill="1" applyBorder="1" applyAlignment="1" applyProtection="1">
      <alignment horizontal="left" vertical="top" wrapText="1"/>
    </xf>
    <xf numFmtId="164" fontId="8" fillId="2" borderId="6" xfId="3" applyNumberFormat="1" applyFont="1" applyFill="1" applyBorder="1" applyAlignment="1" applyProtection="1">
      <alignment horizontal="center" vertical="top"/>
    </xf>
    <xf numFmtId="164" fontId="8" fillId="2" borderId="7" xfId="3" applyNumberFormat="1" applyFont="1" applyFill="1" applyBorder="1" applyAlignment="1" applyProtection="1">
      <alignment horizontal="right" vertical="top"/>
    </xf>
    <xf numFmtId="164" fontId="6" fillId="2" borderId="5" xfId="3" applyNumberFormat="1" applyFont="1" applyFill="1" applyBorder="1" applyAlignment="1" applyProtection="1">
      <alignment horizontal="center" vertical="top"/>
    </xf>
    <xf numFmtId="164" fontId="6" fillId="2" borderId="6" xfId="3" applyNumberFormat="1" applyFont="1" applyFill="1" applyBorder="1" applyAlignment="1" applyProtection="1">
      <alignment horizontal="left" vertical="top" wrapText="1"/>
    </xf>
    <xf numFmtId="164" fontId="6" fillId="2" borderId="6" xfId="3" applyNumberFormat="1" applyFont="1" applyFill="1" applyBorder="1" applyAlignment="1" applyProtection="1">
      <alignment horizontal="center" vertical="top"/>
    </xf>
    <xf numFmtId="164" fontId="6" fillId="2" borderId="6" xfId="3" applyNumberFormat="1" applyFont="1" applyFill="1" applyBorder="1" applyAlignment="1" applyProtection="1">
      <alignment horizontal="right" vertical="top"/>
    </xf>
    <xf numFmtId="164" fontId="6" fillId="2" borderId="7" xfId="3" applyNumberFormat="1" applyFont="1" applyFill="1" applyBorder="1" applyAlignment="1" applyProtection="1">
      <alignment horizontal="right" vertical="top"/>
    </xf>
    <xf numFmtId="164" fontId="8" fillId="2" borderId="8" xfId="3" applyNumberFormat="1" applyFont="1" applyFill="1" applyBorder="1" applyAlignment="1" applyProtection="1">
      <alignment horizontal="center" vertical="top"/>
    </xf>
    <xf numFmtId="164" fontId="8" fillId="2" borderId="9" xfId="3" applyNumberFormat="1" applyFont="1" applyFill="1" applyBorder="1" applyAlignment="1" applyProtection="1">
      <alignment horizontal="left" vertical="top" wrapText="1"/>
    </xf>
    <xf numFmtId="164" fontId="8" fillId="2" borderId="9" xfId="3" applyNumberFormat="1" applyFont="1" applyFill="1" applyBorder="1" applyAlignment="1" applyProtection="1">
      <alignment horizontal="center" vertical="top"/>
    </xf>
    <xf numFmtId="164" fontId="8" fillId="2" borderId="9" xfId="3" applyNumberFormat="1" applyFont="1" applyFill="1" applyBorder="1" applyAlignment="1" applyProtection="1">
      <alignment horizontal="right" vertical="top"/>
    </xf>
    <xf numFmtId="164" fontId="8" fillId="2" borderId="10" xfId="3" applyNumberFormat="1" applyFont="1" applyFill="1" applyBorder="1" applyAlignment="1" applyProtection="1">
      <alignment horizontal="right" vertical="top"/>
    </xf>
    <xf numFmtId="3" fontId="5" fillId="2" borderId="6" xfId="3" applyNumberFormat="1" applyFont="1" applyFill="1" applyBorder="1" applyAlignment="1" applyProtection="1">
      <alignment horizontal="right" vertical="top"/>
    </xf>
    <xf numFmtId="3" fontId="5" fillId="2" borderId="7" xfId="3" applyNumberFormat="1" applyFont="1" applyFill="1" applyBorder="1" applyAlignment="1" applyProtection="1">
      <alignment horizontal="right" vertical="top"/>
    </xf>
    <xf numFmtId="3" fontId="8" fillId="2" borderId="6" xfId="3" applyNumberFormat="1" applyFont="1" applyFill="1" applyBorder="1" applyAlignment="1" applyProtection="1">
      <alignment horizontal="right" vertical="top"/>
    </xf>
    <xf numFmtId="165" fontId="8" fillId="2" borderId="6" xfId="3" applyNumberFormat="1" applyFont="1" applyFill="1" applyBorder="1" applyAlignment="1" applyProtection="1">
      <alignment horizontal="right" vertical="top"/>
    </xf>
    <xf numFmtId="4" fontId="8" fillId="2" borderId="7" xfId="3" applyNumberFormat="1" applyFont="1" applyFill="1" applyBorder="1" applyAlignment="1" applyProtection="1">
      <alignment horizontal="right" vertical="top"/>
    </xf>
    <xf numFmtId="0" fontId="8" fillId="2" borderId="8" xfId="3" applyNumberFormat="1" applyFont="1" applyFill="1" applyBorder="1" applyAlignment="1" applyProtection="1">
      <alignment horizontal="center" vertical="top"/>
    </xf>
    <xf numFmtId="0" fontId="8" fillId="2" borderId="9" xfId="3" applyNumberFormat="1" applyFont="1" applyFill="1" applyBorder="1" applyAlignment="1" applyProtection="1">
      <alignment horizontal="left" vertical="top" wrapText="1"/>
    </xf>
    <xf numFmtId="0" fontId="8" fillId="2" borderId="9" xfId="3" applyNumberFormat="1" applyFont="1" applyFill="1" applyBorder="1" applyAlignment="1" applyProtection="1">
      <alignment horizontal="center" vertical="top"/>
    </xf>
    <xf numFmtId="3" fontId="8" fillId="2" borderId="9" xfId="3" applyNumberFormat="1" applyFont="1" applyFill="1" applyBorder="1" applyAlignment="1" applyProtection="1">
      <alignment horizontal="right" vertical="top"/>
    </xf>
    <xf numFmtId="3" fontId="8" fillId="2" borderId="10" xfId="3" applyNumberFormat="1" applyFont="1" applyFill="1" applyBorder="1" applyAlignment="1" applyProtection="1">
      <alignment horizontal="right" vertical="top"/>
    </xf>
    <xf numFmtId="0" fontId="5" fillId="2" borderId="0" xfId="3" applyNumberFormat="1" applyFont="1" applyFill="1" applyBorder="1" applyAlignment="1" applyProtection="1">
      <alignment horizontal="left" vertical="center"/>
    </xf>
    <xf numFmtId="0" fontId="8" fillId="2" borderId="0" xfId="3" applyNumberFormat="1" applyFont="1" applyFill="1" applyBorder="1" applyAlignment="1" applyProtection="1">
      <alignment horizontal="left" vertical="center"/>
    </xf>
    <xf numFmtId="0" fontId="13" fillId="2" borderId="0" xfId="3" applyNumberFormat="1" applyFont="1" applyFill="1" applyBorder="1" applyAlignment="1" applyProtection="1">
      <alignment horizontal="left" vertical="top"/>
    </xf>
    <xf numFmtId="0" fontId="8" fillId="2" borderId="1" xfId="3" applyNumberFormat="1" applyFont="1" applyFill="1" applyBorder="1" applyAlignment="1" applyProtection="1">
      <alignment horizontal="right" vertical="top"/>
    </xf>
    <xf numFmtId="0" fontId="6" fillId="2" borderId="5" xfId="3" applyNumberFormat="1" applyFont="1" applyFill="1" applyBorder="1" applyAlignment="1" applyProtection="1">
      <alignment horizontal="center" vertical="top"/>
    </xf>
    <xf numFmtId="0" fontId="6" fillId="2" borderId="6" xfId="3" applyNumberFormat="1" applyFont="1" applyFill="1" applyBorder="1" applyAlignment="1" applyProtection="1">
      <alignment horizontal="left" vertical="top" wrapText="1"/>
    </xf>
    <xf numFmtId="0" fontId="6" fillId="2" borderId="6" xfId="3" applyNumberFormat="1" applyFont="1" applyFill="1" applyBorder="1" applyAlignment="1" applyProtection="1">
      <alignment horizontal="center" vertical="top"/>
    </xf>
    <xf numFmtId="3" fontId="6" fillId="2" borderId="6" xfId="3" applyNumberFormat="1" applyFont="1" applyFill="1" applyBorder="1" applyAlignment="1" applyProtection="1">
      <alignment horizontal="right" vertical="top"/>
    </xf>
    <xf numFmtId="165" fontId="6" fillId="2" borderId="7" xfId="3" applyNumberFormat="1" applyFont="1" applyFill="1" applyBorder="1" applyAlignment="1" applyProtection="1">
      <alignment horizontal="right" vertical="top"/>
    </xf>
    <xf numFmtId="4" fontId="5" fillId="2" borderId="8" xfId="3" applyNumberFormat="1" applyFont="1" applyFill="1" applyBorder="1" applyAlignment="1" applyProtection="1">
      <alignment horizontal="center" vertical="top"/>
    </xf>
    <xf numFmtId="4" fontId="5" fillId="2" borderId="9" xfId="3" applyNumberFormat="1" applyFont="1" applyFill="1" applyBorder="1" applyAlignment="1" applyProtection="1">
      <alignment horizontal="left" vertical="top" wrapText="1"/>
    </xf>
    <xf numFmtId="4" fontId="5" fillId="2" borderId="9" xfId="3" applyNumberFormat="1" applyFont="1" applyFill="1" applyBorder="1" applyAlignment="1" applyProtection="1">
      <alignment horizontal="center" vertical="top"/>
    </xf>
    <xf numFmtId="4" fontId="5" fillId="2" borderId="10" xfId="3" applyNumberFormat="1" applyFont="1" applyFill="1" applyBorder="1" applyAlignment="1" applyProtection="1">
      <alignment horizontal="right" vertical="top"/>
    </xf>
    <xf numFmtId="0" fontId="5" fillId="2" borderId="0" xfId="3" applyNumberFormat="1" applyFont="1" applyFill="1" applyBorder="1" applyAlignment="1" applyProtection="1">
      <alignment horizontal="center" vertical="center"/>
    </xf>
    <xf numFmtId="0" fontId="6" fillId="2" borderId="0" xfId="3" applyNumberFormat="1" applyFont="1" applyFill="1" applyBorder="1" applyAlignment="1" applyProtection="1">
      <alignment horizontal="center" vertical="center"/>
    </xf>
    <xf numFmtId="0" fontId="5" fillId="3" borderId="15" xfId="3" applyNumberFormat="1" applyFont="1" applyFill="1" applyBorder="1" applyAlignment="1" applyProtection="1">
      <alignment horizontal="center" vertical="center" wrapText="1"/>
    </xf>
    <xf numFmtId="0" fontId="5" fillId="3" borderId="16" xfId="3" applyNumberFormat="1" applyFont="1" applyFill="1" applyBorder="1" applyAlignment="1" applyProtection="1">
      <alignment horizontal="center" vertical="center" wrapText="1"/>
    </xf>
    <xf numFmtId="0" fontId="5" fillId="2" borderId="5" xfId="3" applyNumberFormat="1" applyFont="1" applyFill="1" applyBorder="1" applyAlignment="1" applyProtection="1">
      <alignment horizontal="left" vertical="top" wrapText="1"/>
    </xf>
    <xf numFmtId="0" fontId="5" fillId="2" borderId="6" xfId="3" applyNumberFormat="1" applyFont="1" applyFill="1" applyBorder="1" applyAlignment="1" applyProtection="1">
      <alignment horizontal="center" vertical="center"/>
    </xf>
    <xf numFmtId="0" fontId="8" fillId="2" borderId="5" xfId="3" applyNumberFormat="1" applyFont="1" applyFill="1" applyBorder="1" applyAlignment="1" applyProtection="1">
      <alignment horizontal="left" vertical="top" wrapText="1"/>
    </xf>
    <xf numFmtId="0" fontId="8" fillId="2" borderId="6" xfId="3" applyNumberFormat="1" applyFont="1" applyFill="1" applyBorder="1" applyAlignment="1" applyProtection="1">
      <alignment horizontal="center" vertical="center"/>
    </xf>
    <xf numFmtId="0" fontId="6" fillId="2" borderId="5" xfId="3" applyNumberFormat="1" applyFont="1" applyFill="1" applyBorder="1" applyAlignment="1" applyProtection="1">
      <alignment horizontal="left" vertical="top" wrapText="1"/>
    </xf>
    <xf numFmtId="0" fontId="6" fillId="2" borderId="6" xfId="3" applyNumberFormat="1" applyFont="1" applyFill="1" applyBorder="1" applyAlignment="1" applyProtection="1">
      <alignment horizontal="center" vertical="center"/>
    </xf>
    <xf numFmtId="0" fontId="5" fillId="2" borderId="8" xfId="3" applyNumberFormat="1" applyFont="1" applyFill="1" applyBorder="1" applyAlignment="1" applyProtection="1">
      <alignment horizontal="left" vertical="top" wrapText="1"/>
    </xf>
    <xf numFmtId="0" fontId="5" fillId="2" borderId="9" xfId="3" applyNumberFormat="1" applyFont="1" applyFill="1" applyBorder="1" applyAlignment="1" applyProtection="1">
      <alignment horizontal="center" vertical="center"/>
    </xf>
    <xf numFmtId="164" fontId="5" fillId="2" borderId="10" xfId="3" applyNumberFormat="1" applyFont="1" applyFill="1" applyBorder="1" applyAlignment="1" applyProtection="1">
      <alignment horizontal="right" vertical="top"/>
    </xf>
    <xf numFmtId="0" fontId="6" fillId="2" borderId="0" xfId="3" applyNumberFormat="1" applyFont="1" applyFill="1" applyBorder="1" applyAlignment="1" applyProtection="1">
      <alignment horizontal="center" vertical="top"/>
    </xf>
    <xf numFmtId="0" fontId="14" fillId="2" borderId="0" xfId="3" applyNumberFormat="1" applyFont="1" applyFill="1" applyBorder="1" applyAlignment="1" applyProtection="1">
      <alignment horizontal="right" vertical="top"/>
    </xf>
    <xf numFmtId="0" fontId="17" fillId="2" borderId="1" xfId="3" applyNumberFormat="1" applyFont="1" applyFill="1" applyBorder="1" applyAlignment="1" applyProtection="1">
      <alignment horizontal="left" vertical="top"/>
    </xf>
    <xf numFmtId="14" fontId="5" fillId="3" borderId="3" xfId="3" applyNumberFormat="1" applyFont="1" applyFill="1" applyBorder="1" applyAlignment="1" applyProtection="1">
      <alignment horizontal="center" vertical="center" wrapText="1"/>
    </xf>
    <xf numFmtId="166" fontId="5" fillId="2" borderId="5" xfId="3" applyNumberFormat="1" applyFont="1" applyFill="1" applyBorder="1" applyAlignment="1" applyProtection="1">
      <alignment horizontal="center" vertical="top"/>
    </xf>
    <xf numFmtId="166" fontId="5" fillId="2" borderId="6" xfId="3" applyNumberFormat="1" applyFont="1" applyFill="1" applyBorder="1" applyAlignment="1" applyProtection="1">
      <alignment horizontal="left" vertical="top" wrapText="1"/>
    </xf>
    <xf numFmtId="166" fontId="5" fillId="2" borderId="6" xfId="3" applyNumberFormat="1" applyFont="1" applyFill="1" applyBorder="1" applyAlignment="1" applyProtection="1">
      <alignment horizontal="center" vertical="top"/>
    </xf>
    <xf numFmtId="166" fontId="5" fillId="2" borderId="6" xfId="3" applyNumberFormat="1" applyFont="1" applyFill="1" applyBorder="1" applyAlignment="1" applyProtection="1">
      <alignment horizontal="right" vertical="top"/>
    </xf>
    <xf numFmtId="166" fontId="5" fillId="2" borderId="7" xfId="3" applyNumberFormat="1" applyFont="1" applyFill="1" applyBorder="1" applyAlignment="1" applyProtection="1">
      <alignment horizontal="right" vertical="top"/>
    </xf>
    <xf numFmtId="166" fontId="8" fillId="2" borderId="5" xfId="3" applyNumberFormat="1" applyFont="1" applyFill="1" applyBorder="1" applyAlignment="1" applyProtection="1">
      <alignment horizontal="center" vertical="top"/>
    </xf>
    <xf numFmtId="166" fontId="8" fillId="2" borderId="6" xfId="3" applyNumberFormat="1" applyFont="1" applyFill="1" applyBorder="1" applyAlignment="1" applyProtection="1">
      <alignment horizontal="left" vertical="top" wrapText="1"/>
    </xf>
    <xf numFmtId="166" fontId="8" fillId="2" borderId="6" xfId="3" applyNumberFormat="1" applyFont="1" applyFill="1" applyBorder="1" applyAlignment="1" applyProtection="1">
      <alignment horizontal="center" vertical="top"/>
    </xf>
    <xf numFmtId="166" fontId="8" fillId="2" borderId="6" xfId="3" applyNumberFormat="1" applyFont="1" applyFill="1" applyBorder="1" applyAlignment="1" applyProtection="1">
      <alignment horizontal="right" vertical="top"/>
    </xf>
    <xf numFmtId="166" fontId="8" fillId="2" borderId="7" xfId="3" applyNumberFormat="1" applyFont="1" applyFill="1" applyBorder="1" applyAlignment="1" applyProtection="1">
      <alignment horizontal="right" vertical="top"/>
    </xf>
    <xf numFmtId="166" fontId="6" fillId="2" borderId="5" xfId="3" applyNumberFormat="1" applyFont="1" applyFill="1" applyBorder="1" applyAlignment="1" applyProtection="1">
      <alignment horizontal="center" vertical="top"/>
    </xf>
    <xf numFmtId="166" fontId="6" fillId="2" borderId="6" xfId="3" applyNumberFormat="1" applyFont="1" applyFill="1" applyBorder="1" applyAlignment="1" applyProtection="1">
      <alignment horizontal="left" vertical="top" wrapText="1"/>
    </xf>
    <xf numFmtId="166" fontId="6" fillId="2" borderId="6" xfId="3" applyNumberFormat="1" applyFont="1" applyFill="1" applyBorder="1" applyAlignment="1" applyProtection="1">
      <alignment horizontal="center" vertical="top"/>
    </xf>
    <xf numFmtId="166" fontId="6" fillId="2" borderId="6" xfId="3" applyNumberFormat="1" applyFont="1" applyFill="1" applyBorder="1" applyAlignment="1" applyProtection="1">
      <alignment horizontal="right" vertical="top"/>
    </xf>
    <xf numFmtId="166" fontId="6" fillId="2" borderId="7" xfId="3" applyNumberFormat="1" applyFont="1" applyFill="1" applyBorder="1" applyAlignment="1" applyProtection="1">
      <alignment horizontal="right" vertical="top"/>
    </xf>
    <xf numFmtId="4" fontId="5" fillId="2" borderId="5" xfId="3" applyNumberFormat="1" applyFont="1" applyFill="1" applyBorder="1" applyAlignment="1" applyProtection="1">
      <alignment horizontal="center" vertical="top"/>
    </xf>
    <xf numFmtId="4" fontId="5" fillId="2" borderId="6" xfId="3" applyNumberFormat="1" applyFont="1" applyFill="1" applyBorder="1" applyAlignment="1" applyProtection="1">
      <alignment horizontal="left" vertical="top" wrapText="1"/>
    </xf>
    <xf numFmtId="4" fontId="5" fillId="2" borderId="6" xfId="3" applyNumberFormat="1" applyFont="1" applyFill="1" applyBorder="1" applyAlignment="1" applyProtection="1">
      <alignment horizontal="center" vertical="top"/>
    </xf>
    <xf numFmtId="4" fontId="5" fillId="2" borderId="7" xfId="3" applyNumberFormat="1" applyFont="1" applyFill="1" applyBorder="1" applyAlignment="1" applyProtection="1">
      <alignment horizontal="right" vertical="top"/>
    </xf>
    <xf numFmtId="166" fontId="8" fillId="2" borderId="8" xfId="3" applyNumberFormat="1" applyFont="1" applyFill="1" applyBorder="1" applyAlignment="1" applyProtection="1">
      <alignment horizontal="center" vertical="top"/>
    </xf>
    <xf numFmtId="166" fontId="8" fillId="2" borderId="9" xfId="3" applyNumberFormat="1" applyFont="1" applyFill="1" applyBorder="1" applyAlignment="1" applyProtection="1">
      <alignment horizontal="left" vertical="top" wrapText="1"/>
    </xf>
    <xf numFmtId="166" fontId="8" fillId="2" borderId="9" xfId="3" applyNumberFormat="1" applyFont="1" applyFill="1" applyBorder="1" applyAlignment="1" applyProtection="1">
      <alignment horizontal="center" vertical="top"/>
    </xf>
    <xf numFmtId="166" fontId="8" fillId="2" borderId="9" xfId="3" applyNumberFormat="1" applyFont="1" applyFill="1" applyBorder="1" applyAlignment="1" applyProtection="1">
      <alignment horizontal="right" vertical="top"/>
    </xf>
    <xf numFmtId="166" fontId="8" fillId="2" borderId="10" xfId="3" applyNumberFormat="1" applyFont="1" applyFill="1" applyBorder="1" applyAlignment="1" applyProtection="1">
      <alignment horizontal="right" vertical="top"/>
    </xf>
    <xf numFmtId="0" fontId="5" fillId="2" borderId="5" xfId="3" applyNumberFormat="1" applyFont="1" applyFill="1" applyBorder="1" applyAlignment="1" applyProtection="1">
      <alignment horizontal="center" vertical="center"/>
    </xf>
    <xf numFmtId="0" fontId="5" fillId="2" borderId="6" xfId="3" applyNumberFormat="1" applyFont="1" applyFill="1" applyBorder="1" applyAlignment="1" applyProtection="1">
      <alignment horizontal="left" vertical="center" wrapText="1"/>
    </xf>
    <xf numFmtId="167" fontId="5" fillId="2" borderId="6" xfId="3" applyNumberFormat="1" applyFont="1" applyFill="1" applyBorder="1" applyAlignment="1" applyProtection="1">
      <alignment horizontal="right" vertical="center"/>
    </xf>
    <xf numFmtId="167" fontId="5" fillId="2" borderId="7" xfId="3" applyNumberFormat="1" applyFont="1" applyFill="1" applyBorder="1" applyAlignment="1" applyProtection="1">
      <alignment horizontal="right" vertical="center"/>
    </xf>
    <xf numFmtId="0" fontId="8" fillId="2" borderId="5" xfId="3" applyNumberFormat="1" applyFont="1" applyFill="1" applyBorder="1" applyAlignment="1" applyProtection="1">
      <alignment horizontal="center" vertical="center"/>
    </xf>
    <xf numFmtId="0" fontId="8" fillId="2" borderId="6" xfId="3" applyNumberFormat="1" applyFont="1" applyFill="1" applyBorder="1" applyAlignment="1" applyProtection="1">
      <alignment horizontal="left" vertical="center" wrapText="1"/>
    </xf>
    <xf numFmtId="167" fontId="8" fillId="2" borderId="6" xfId="3" applyNumberFormat="1" applyFont="1" applyFill="1" applyBorder="1" applyAlignment="1" applyProtection="1">
      <alignment horizontal="right" vertical="center"/>
    </xf>
    <xf numFmtId="167" fontId="8" fillId="2" borderId="7" xfId="3" applyNumberFormat="1" applyFont="1" applyFill="1" applyBorder="1" applyAlignment="1" applyProtection="1">
      <alignment horizontal="right" vertical="center"/>
    </xf>
    <xf numFmtId="168" fontId="8" fillId="2" borderId="6" xfId="3" applyNumberFormat="1" applyFont="1" applyFill="1" applyBorder="1" applyAlignment="1" applyProtection="1">
      <alignment horizontal="right" vertical="center"/>
    </xf>
    <xf numFmtId="168" fontId="8" fillId="2" borderId="7" xfId="3" applyNumberFormat="1" applyFont="1" applyFill="1" applyBorder="1" applyAlignment="1" applyProtection="1">
      <alignment horizontal="right" vertical="center"/>
    </xf>
    <xf numFmtId="0" fontId="6" fillId="2" borderId="5" xfId="3" applyNumberFormat="1" applyFont="1" applyFill="1" applyBorder="1" applyAlignment="1" applyProtection="1">
      <alignment horizontal="center" vertical="center"/>
    </xf>
    <xf numFmtId="0" fontId="6" fillId="2" borderId="6" xfId="3" applyNumberFormat="1" applyFont="1" applyFill="1" applyBorder="1" applyAlignment="1" applyProtection="1">
      <alignment horizontal="left" vertical="center" wrapText="1"/>
    </xf>
    <xf numFmtId="167" fontId="6" fillId="2" borderId="6" xfId="3" applyNumberFormat="1" applyFont="1" applyFill="1" applyBorder="1" applyAlignment="1" applyProtection="1">
      <alignment horizontal="right" vertical="center"/>
    </xf>
    <xf numFmtId="167" fontId="6" fillId="2" borderId="7" xfId="3" applyNumberFormat="1" applyFont="1" applyFill="1" applyBorder="1" applyAlignment="1" applyProtection="1">
      <alignment horizontal="right" vertical="center"/>
    </xf>
    <xf numFmtId="168" fontId="6" fillId="2" borderId="6" xfId="3" applyNumberFormat="1" applyFont="1" applyFill="1" applyBorder="1" applyAlignment="1" applyProtection="1">
      <alignment horizontal="right" vertical="center"/>
    </xf>
    <xf numFmtId="168" fontId="6" fillId="2" borderId="7" xfId="3" applyNumberFormat="1" applyFont="1" applyFill="1" applyBorder="1" applyAlignment="1" applyProtection="1">
      <alignment horizontal="right" vertical="center"/>
    </xf>
    <xf numFmtId="169" fontId="6" fillId="2" borderId="6" xfId="3" applyNumberFormat="1" applyFont="1" applyFill="1" applyBorder="1" applyAlignment="1" applyProtection="1">
      <alignment horizontal="right" vertical="center"/>
    </xf>
    <xf numFmtId="169" fontId="6" fillId="2" borderId="7" xfId="3" applyNumberFormat="1" applyFont="1" applyFill="1" applyBorder="1" applyAlignment="1" applyProtection="1">
      <alignment horizontal="right" vertical="center"/>
    </xf>
    <xf numFmtId="0" fontId="6" fillId="2" borderId="8" xfId="3" applyNumberFormat="1" applyFont="1" applyFill="1" applyBorder="1" applyAlignment="1" applyProtection="1">
      <alignment horizontal="center" vertical="center"/>
    </xf>
    <xf numFmtId="0" fontId="6" fillId="2" borderId="9" xfId="3" applyNumberFormat="1" applyFont="1" applyFill="1" applyBorder="1" applyAlignment="1" applyProtection="1">
      <alignment horizontal="left" vertical="center" wrapText="1"/>
    </xf>
    <xf numFmtId="0" fontId="6" fillId="2" borderId="9" xfId="3" applyNumberFormat="1" applyFont="1" applyFill="1" applyBorder="1" applyAlignment="1" applyProtection="1">
      <alignment horizontal="center" vertical="center"/>
    </xf>
    <xf numFmtId="168" fontId="6" fillId="2" borderId="9" xfId="3" applyNumberFormat="1" applyFont="1" applyFill="1" applyBorder="1" applyAlignment="1" applyProtection="1">
      <alignment horizontal="right" vertical="center"/>
    </xf>
    <xf numFmtId="168" fontId="6" fillId="2" borderId="10" xfId="3" applyNumberFormat="1" applyFont="1" applyFill="1" applyBorder="1" applyAlignment="1" applyProtection="1">
      <alignment horizontal="right" vertical="center"/>
    </xf>
    <xf numFmtId="0" fontId="20" fillId="4" borderId="0" xfId="0" applyFont="1" applyFill="1"/>
    <xf numFmtId="0" fontId="21" fillId="4" borderId="0" xfId="0" applyFont="1" applyFill="1" applyAlignment="1">
      <alignment horizontal="left"/>
    </xf>
    <xf numFmtId="0" fontId="20" fillId="4" borderId="0" xfId="0" applyFont="1" applyFill="1" applyAlignment="1">
      <alignment horizontal="left"/>
    </xf>
    <xf numFmtId="0" fontId="21" fillId="4" borderId="0" xfId="0" applyFont="1" applyFill="1"/>
    <xf numFmtId="0" fontId="19" fillId="5" borderId="18" xfId="0" applyFont="1" applyFill="1" applyBorder="1" applyAlignment="1">
      <alignment vertical="center"/>
    </xf>
    <xf numFmtId="0" fontId="19" fillId="5" borderId="18" xfId="0" applyFont="1" applyFill="1" applyBorder="1" applyAlignment="1">
      <alignment vertical="center" wrapText="1"/>
    </xf>
    <xf numFmtId="0" fontId="19" fillId="5" borderId="19" xfId="0" applyFont="1" applyFill="1" applyBorder="1" applyAlignment="1">
      <alignment vertical="center" wrapText="1"/>
    </xf>
    <xf numFmtId="0" fontId="21" fillId="5" borderId="0" xfId="0" applyFont="1" applyFill="1" applyBorder="1" applyAlignment="1">
      <alignment vertical="center"/>
    </xf>
    <xf numFmtId="0" fontId="21" fillId="5" borderId="0" xfId="0" applyFont="1" applyFill="1" applyBorder="1" applyAlignment="1">
      <alignment vertical="center" wrapText="1"/>
    </xf>
    <xf numFmtId="0" fontId="21" fillId="5" borderId="24" xfId="0" applyFont="1" applyFill="1" applyBorder="1" applyAlignment="1">
      <alignment vertical="center" wrapText="1"/>
    </xf>
    <xf numFmtId="0" fontId="22" fillId="4" borderId="0" xfId="0" applyFont="1" applyFill="1" applyBorder="1"/>
    <xf numFmtId="0" fontId="19" fillId="5" borderId="0" xfId="0" applyFont="1" applyFill="1" applyBorder="1" applyAlignment="1">
      <alignment vertical="center"/>
    </xf>
    <xf numFmtId="0" fontId="19" fillId="5" borderId="0" xfId="0" applyFont="1" applyFill="1" applyBorder="1" applyAlignment="1">
      <alignment vertical="center" wrapText="1"/>
    </xf>
    <xf numFmtId="0" fontId="19" fillId="5" borderId="24" xfId="0" applyFont="1" applyFill="1" applyBorder="1" applyAlignment="1">
      <alignment vertical="center" wrapText="1"/>
    </xf>
    <xf numFmtId="14" fontId="19" fillId="5" borderId="0" xfId="0" applyNumberFormat="1" applyFont="1" applyFill="1" applyBorder="1" applyAlignment="1">
      <alignment horizontal="left" vertical="center"/>
    </xf>
    <xf numFmtId="171" fontId="21" fillId="5" borderId="22" xfId="0" applyNumberFormat="1" applyFont="1" applyFill="1" applyBorder="1" applyAlignment="1"/>
    <xf numFmtId="0" fontId="25" fillId="4" borderId="0" xfId="0" applyFont="1" applyFill="1"/>
    <xf numFmtId="0" fontId="30" fillId="4" borderId="0" xfId="5" applyFont="1" applyFill="1" applyBorder="1" applyAlignment="1">
      <alignment horizontal="center" vertical="center"/>
    </xf>
    <xf numFmtId="0" fontId="29" fillId="4" borderId="0" xfId="5" applyFont="1" applyFill="1" applyBorder="1" applyAlignment="1">
      <alignment horizontal="center" vertical="center"/>
    </xf>
    <xf numFmtId="0" fontId="19" fillId="4" borderId="25" xfId="0" applyFont="1" applyFill="1" applyBorder="1" applyAlignment="1">
      <alignment horizontal="center" vertical="center"/>
    </xf>
    <xf numFmtId="0" fontId="19" fillId="4" borderId="25" xfId="0" applyFont="1" applyFill="1" applyBorder="1" applyAlignment="1">
      <alignment horizontal="left" vertical="center"/>
    </xf>
    <xf numFmtId="0" fontId="21" fillId="4" borderId="25" xfId="0" applyFont="1" applyFill="1" applyBorder="1" applyAlignment="1">
      <alignment horizontal="center" vertical="center"/>
    </xf>
    <xf numFmtId="0" fontId="32" fillId="4" borderId="25" xfId="6" applyFont="1" applyFill="1" applyBorder="1" applyAlignment="1">
      <alignment horizontal="center" vertical="center"/>
    </xf>
    <xf numFmtId="0" fontId="31" fillId="4" borderId="25" xfId="6" applyFill="1" applyBorder="1" applyAlignment="1">
      <alignment horizontal="center" vertical="center"/>
    </xf>
    <xf numFmtId="0" fontId="29" fillId="4" borderId="25" xfId="5" applyFont="1" applyFill="1" applyBorder="1" applyAlignment="1">
      <alignment horizontal="center" vertical="center"/>
    </xf>
    <xf numFmtId="0" fontId="33" fillId="4" borderId="0" xfId="0" applyFont="1" applyFill="1" applyBorder="1"/>
    <xf numFmtId="0" fontId="25" fillId="4" borderId="0" xfId="0" applyFont="1" applyFill="1" applyBorder="1" applyAlignment="1">
      <alignment vertical="center"/>
    </xf>
    <xf numFmtId="0" fontId="37" fillId="5" borderId="0" xfId="14" applyFont="1" applyFill="1"/>
    <xf numFmtId="0" fontId="38" fillId="5" borderId="0" xfId="14" applyFont="1" applyFill="1" applyAlignment="1">
      <alignment wrapText="1"/>
    </xf>
    <xf numFmtId="0" fontId="6" fillId="5" borderId="0" xfId="14" applyFont="1" applyFill="1" applyAlignment="1">
      <alignment horizontal="center"/>
    </xf>
    <xf numFmtId="0" fontId="5" fillId="5" borderId="0" xfId="14" applyFont="1" applyFill="1" applyAlignment="1">
      <alignment horizontal="center"/>
    </xf>
    <xf numFmtId="173" fontId="5" fillId="5" borderId="0" xfId="9" applyNumberFormat="1" applyFont="1" applyFill="1" applyAlignment="1">
      <alignment horizontal="center"/>
    </xf>
    <xf numFmtId="0" fontId="5" fillId="5" borderId="0" xfId="14" applyFont="1" applyFill="1" applyAlignment="1">
      <alignment horizontal="center" vertical="center" wrapText="1"/>
    </xf>
    <xf numFmtId="0" fontId="5" fillId="5" borderId="0" xfId="14" applyFont="1" applyFill="1" applyAlignment="1">
      <alignment horizontal="left" vertical="center"/>
    </xf>
    <xf numFmtId="0" fontId="8" fillId="5" borderId="0" xfId="14" applyFont="1" applyFill="1" applyAlignment="1">
      <alignment horizontal="left" vertical="center"/>
    </xf>
    <xf numFmtId="173" fontId="8" fillId="5" borderId="0" xfId="9" applyNumberFormat="1" applyFont="1" applyFill="1" applyAlignment="1">
      <alignment horizontal="center"/>
    </xf>
    <xf numFmtId="0" fontId="8" fillId="5" borderId="0" xfId="14" applyFont="1" applyFill="1" applyAlignment="1">
      <alignment horizontal="center"/>
    </xf>
    <xf numFmtId="0" fontId="5" fillId="5" borderId="0" xfId="14" applyFont="1" applyFill="1" applyAlignment="1">
      <alignment horizontal="center" vertical="center"/>
    </xf>
    <xf numFmtId="0" fontId="5" fillId="5" borderId="0" xfId="14" applyFont="1" applyFill="1" applyAlignment="1">
      <alignment horizontal="left" wrapText="1"/>
    </xf>
    <xf numFmtId="0" fontId="5" fillId="5" borderId="0" xfId="14" applyFont="1" applyFill="1" applyAlignment="1">
      <alignment vertical="center"/>
    </xf>
    <xf numFmtId="48" fontId="8" fillId="5" borderId="0" xfId="14" applyNumberFormat="1" applyFont="1" applyFill="1" applyAlignment="1" applyProtection="1">
      <alignment horizontal="left" vertical="center" wrapText="1"/>
      <protection locked="0"/>
    </xf>
    <xf numFmtId="0" fontId="8" fillId="5" borderId="0" xfId="14" applyFont="1" applyFill="1" applyAlignment="1">
      <alignment horizontal="left" wrapText="1"/>
    </xf>
    <xf numFmtId="0" fontId="39" fillId="6" borderId="0" xfId="16" applyNumberFormat="1" applyFont="1" applyFill="1" applyBorder="1" applyAlignment="1" applyProtection="1">
      <alignment vertical="top"/>
    </xf>
    <xf numFmtId="0" fontId="8" fillId="5" borderId="0" xfId="14" applyFont="1" applyFill="1" applyAlignment="1">
      <alignment vertical="center"/>
    </xf>
    <xf numFmtId="3" fontId="8" fillId="5" borderId="0" xfId="14" applyNumberFormat="1" applyFont="1" applyFill="1" applyAlignment="1">
      <alignment horizontal="left" vertical="center" wrapText="1"/>
    </xf>
    <xf numFmtId="14" fontId="5" fillId="5" borderId="0" xfId="14" applyNumberFormat="1" applyFont="1" applyFill="1" applyAlignment="1">
      <alignment horizontal="left" vertical="center"/>
    </xf>
    <xf numFmtId="48" fontId="5" fillId="5" borderId="0" xfId="14" applyNumberFormat="1" applyFont="1" applyFill="1" applyAlignment="1" applyProtection="1">
      <alignment horizontal="left" vertical="center" wrapText="1"/>
      <protection locked="0"/>
    </xf>
    <xf numFmtId="48" fontId="8" fillId="5" borderId="0" xfId="14" applyNumberFormat="1" applyFont="1" applyFill="1" applyAlignment="1" applyProtection="1">
      <alignment vertical="center" wrapText="1"/>
      <protection locked="0"/>
    </xf>
    <xf numFmtId="0" fontId="40" fillId="5" borderId="0" xfId="0" applyFont="1" applyFill="1" applyAlignment="1">
      <alignment vertical="center"/>
    </xf>
    <xf numFmtId="172" fontId="8" fillId="5" borderId="0" xfId="14" applyNumberFormat="1" applyFont="1" applyFill="1" applyAlignment="1">
      <alignment horizontal="left" vertical="center" wrapText="1"/>
    </xf>
    <xf numFmtId="0" fontId="8" fillId="5" borderId="0" xfId="14" applyFont="1" applyFill="1" applyAlignment="1">
      <alignment horizontal="left" vertical="center" wrapText="1"/>
    </xf>
    <xf numFmtId="0" fontId="37" fillId="5" borderId="0" xfId="14" applyFont="1" applyFill="1" applyAlignment="1">
      <alignment horizontal="left"/>
    </xf>
    <xf numFmtId="3" fontId="8" fillId="5" borderId="0" xfId="14" applyNumberFormat="1" applyFont="1" applyFill="1" applyAlignment="1">
      <alignment wrapText="1"/>
    </xf>
    <xf numFmtId="3" fontId="5" fillId="5" borderId="0" xfId="14" applyNumberFormat="1" applyFont="1" applyFill="1" applyAlignment="1">
      <alignment wrapText="1"/>
    </xf>
    <xf numFmtId="0" fontId="41" fillId="5" borderId="0" xfId="14" applyFont="1" applyFill="1"/>
    <xf numFmtId="0" fontId="40" fillId="7" borderId="25" xfId="14" applyFont="1" applyFill="1" applyBorder="1" applyAlignment="1">
      <alignment horizontal="center" vertical="center" wrapText="1"/>
    </xf>
    <xf numFmtId="0" fontId="37" fillId="0" borderId="25" xfId="14" applyFont="1" applyFill="1" applyBorder="1" applyAlignment="1">
      <alignment horizontal="center" vertical="center"/>
    </xf>
    <xf numFmtId="49" fontId="37" fillId="0" borderId="25" xfId="14" applyNumberFormat="1" applyFont="1" applyFill="1" applyBorder="1" applyAlignment="1" applyProtection="1">
      <alignment horizontal="left" vertical="center" wrapText="1"/>
    </xf>
    <xf numFmtId="49" fontId="41" fillId="0" borderId="25" xfId="14" applyNumberFormat="1" applyFont="1" applyFill="1" applyBorder="1" applyAlignment="1" applyProtection="1">
      <alignment horizontal="center" vertical="center" wrapText="1"/>
    </xf>
    <xf numFmtId="49" fontId="41" fillId="0" borderId="25" xfId="14" applyNumberFormat="1" applyFont="1" applyFill="1" applyBorder="1" applyAlignment="1" applyProtection="1">
      <alignment horizontal="left" vertical="center" wrapText="1"/>
    </xf>
    <xf numFmtId="49" fontId="37" fillId="0" borderId="25" xfId="14" applyNumberFormat="1" applyFont="1" applyFill="1" applyBorder="1" applyAlignment="1" applyProtection="1">
      <alignment horizontal="center" vertical="center" wrapText="1"/>
    </xf>
    <xf numFmtId="0" fontId="6" fillId="5" borderId="0" xfId="14" applyFont="1" applyFill="1"/>
    <xf numFmtId="174" fontId="42" fillId="5" borderId="0" xfId="17" applyNumberFormat="1" applyFont="1" applyFill="1" applyAlignment="1">
      <alignment vertical="center" wrapText="1"/>
    </xf>
    <xf numFmtId="0" fontId="41" fillId="5" borderId="0" xfId="17" applyFont="1" applyFill="1" applyBorder="1" applyAlignment="1">
      <alignment vertical="center"/>
    </xf>
    <xf numFmtId="173" fontId="42" fillId="5" borderId="0" xfId="9" applyNumberFormat="1" applyFont="1" applyFill="1" applyBorder="1" applyAlignment="1">
      <alignment vertical="center" wrapText="1"/>
    </xf>
    <xf numFmtId="0" fontId="42" fillId="5" borderId="0" xfId="17" applyFont="1" applyFill="1" applyBorder="1" applyAlignment="1">
      <alignment vertical="center"/>
    </xf>
    <xf numFmtId="0" fontId="42" fillId="5" borderId="0" xfId="17" applyFont="1" applyFill="1" applyBorder="1" applyAlignment="1">
      <alignment vertical="center" wrapText="1"/>
    </xf>
    <xf numFmtId="173" fontId="42" fillId="5" borderId="0" xfId="9" applyNumberFormat="1" applyFont="1" applyFill="1" applyBorder="1" applyAlignment="1">
      <alignment horizontal="right" vertical="center" wrapText="1"/>
    </xf>
    <xf numFmtId="173" fontId="42" fillId="5" borderId="0" xfId="9" applyNumberFormat="1" applyFont="1" applyFill="1" applyBorder="1" applyAlignment="1">
      <alignment horizontal="left" vertical="center"/>
    </xf>
    <xf numFmtId="2" fontId="41" fillId="5" borderId="0" xfId="17" applyNumberFormat="1" applyFont="1" applyFill="1" applyAlignment="1">
      <alignment vertical="center"/>
    </xf>
    <xf numFmtId="173" fontId="42" fillId="5" borderId="0" xfId="9" applyNumberFormat="1" applyFont="1" applyFill="1" applyBorder="1" applyAlignment="1">
      <alignment horizontal="right" vertical="center"/>
    </xf>
    <xf numFmtId="173" fontId="42" fillId="5" borderId="0" xfId="9" applyNumberFormat="1" applyFont="1" applyFill="1" applyAlignment="1">
      <alignment horizontal="right" vertical="center"/>
    </xf>
    <xf numFmtId="2" fontId="41" fillId="5" borderId="0" xfId="17" applyNumberFormat="1" applyFont="1" applyFill="1" applyAlignment="1">
      <alignment horizontal="right" vertical="center"/>
    </xf>
    <xf numFmtId="173" fontId="41" fillId="5" borderId="0" xfId="9" applyNumberFormat="1" applyFont="1" applyFill="1" applyAlignment="1">
      <alignment horizontal="right" vertical="center"/>
    </xf>
    <xf numFmtId="2" fontId="42" fillId="5" borderId="0" xfId="17" applyNumberFormat="1" applyFont="1" applyFill="1" applyAlignment="1">
      <alignment vertical="center"/>
    </xf>
    <xf numFmtId="2" fontId="41" fillId="5" borderId="21" xfId="17" applyNumberFormat="1" applyFont="1" applyFill="1" applyBorder="1" applyAlignment="1">
      <alignment vertical="center"/>
    </xf>
    <xf numFmtId="173" fontId="41" fillId="5" borderId="21" xfId="9" applyNumberFormat="1" applyFont="1" applyFill="1" applyBorder="1" applyAlignment="1">
      <alignment horizontal="right" vertical="center"/>
    </xf>
    <xf numFmtId="2" fontId="41" fillId="5" borderId="0" xfId="17" applyNumberFormat="1" applyFont="1" applyFill="1" applyBorder="1" applyAlignment="1">
      <alignment horizontal="right" vertical="center"/>
    </xf>
    <xf numFmtId="0" fontId="37" fillId="5" borderId="0" xfId="14" applyFont="1" applyFill="1" applyBorder="1"/>
    <xf numFmtId="2" fontId="41" fillId="5" borderId="0" xfId="17" applyNumberFormat="1" applyFont="1" applyFill="1" applyBorder="1" applyAlignment="1">
      <alignment vertical="center"/>
    </xf>
    <xf numFmtId="0" fontId="37" fillId="5" borderId="0" xfId="14" applyFont="1" applyFill="1" applyAlignment="1">
      <alignment vertical="center"/>
    </xf>
    <xf numFmtId="2" fontId="37" fillId="5" borderId="0" xfId="17" applyNumberFormat="1" applyFont="1" applyFill="1" applyAlignment="1">
      <alignment vertical="center"/>
    </xf>
    <xf numFmtId="0" fontId="42" fillId="0" borderId="0" xfId="14" applyFont="1" applyFill="1" applyAlignment="1">
      <alignment vertical="center"/>
    </xf>
    <xf numFmtId="0" fontId="42" fillId="5" borderId="0" xfId="14" applyFont="1" applyFill="1" applyAlignment="1">
      <alignment vertical="center"/>
    </xf>
    <xf numFmtId="175" fontId="8" fillId="2" borderId="6" xfId="2" applyNumberFormat="1" applyFont="1" applyFill="1" applyBorder="1" applyAlignment="1" applyProtection="1">
      <alignment horizontal="right" vertical="top"/>
    </xf>
    <xf numFmtId="165" fontId="8" fillId="0" borderId="6" xfId="3" applyNumberFormat="1" applyFont="1" applyFill="1" applyBorder="1" applyAlignment="1" applyProtection="1">
      <alignment horizontal="right" vertical="top"/>
    </xf>
    <xf numFmtId="165" fontId="8" fillId="0" borderId="7" xfId="3" applyNumberFormat="1" applyFont="1" applyFill="1" applyBorder="1" applyAlignment="1" applyProtection="1">
      <alignment horizontal="right" vertical="top"/>
    </xf>
    <xf numFmtId="3" fontId="8" fillId="0" borderId="6" xfId="3" applyNumberFormat="1" applyFont="1" applyFill="1" applyBorder="1" applyAlignment="1" applyProtection="1">
      <alignment horizontal="right" vertical="top"/>
    </xf>
    <xf numFmtId="3" fontId="8" fillId="0" borderId="7" xfId="3" applyNumberFormat="1" applyFont="1" applyFill="1" applyBorder="1" applyAlignment="1" applyProtection="1">
      <alignment horizontal="right" vertical="top"/>
    </xf>
    <xf numFmtId="168" fontId="3" fillId="0" borderId="0" xfId="3" applyNumberFormat="1" applyFont="1">
      <alignment vertical="center"/>
    </xf>
    <xf numFmtId="0" fontId="6" fillId="2" borderId="0" xfId="3" applyNumberFormat="1" applyFont="1" applyFill="1" applyBorder="1" applyAlignment="1" applyProtection="1">
      <alignment horizontal="center"/>
    </xf>
    <xf numFmtId="0" fontId="8" fillId="2" borderId="0" xfId="3" applyNumberFormat="1" applyFont="1" applyFill="1" applyBorder="1" applyAlignment="1" applyProtection="1">
      <alignment horizontal="center" vertical="center"/>
    </xf>
    <xf numFmtId="0" fontId="6" fillId="2" borderId="0" xfId="3" applyNumberFormat="1" applyFont="1" applyFill="1" applyBorder="1" applyAlignment="1" applyProtection="1">
      <alignment horizontal="center" vertical="center"/>
    </xf>
    <xf numFmtId="0" fontId="5" fillId="2" borderId="0" xfId="3" applyNumberFormat="1" applyFont="1" applyFill="1" applyBorder="1" applyAlignment="1" applyProtection="1">
      <alignment horizontal="center" vertical="center"/>
    </xf>
    <xf numFmtId="173" fontId="8" fillId="2" borderId="6" xfId="19" applyNumberFormat="1" applyFont="1" applyFill="1" applyBorder="1" applyAlignment="1" applyProtection="1">
      <alignment horizontal="right" vertical="top"/>
    </xf>
    <xf numFmtId="173" fontId="8" fillId="2" borderId="7" xfId="19" applyNumberFormat="1" applyFont="1" applyFill="1" applyBorder="1" applyAlignment="1" applyProtection="1">
      <alignment horizontal="right" vertical="top"/>
    </xf>
    <xf numFmtId="0" fontId="21" fillId="5" borderId="23" xfId="0" applyFont="1" applyFill="1" applyBorder="1" applyAlignment="1">
      <alignment horizontal="left" vertical="center" wrapText="1"/>
    </xf>
    <xf numFmtId="0" fontId="21" fillId="5" borderId="0" xfId="0" applyFont="1" applyFill="1" applyBorder="1" applyAlignment="1">
      <alignment horizontal="left" vertical="center" wrapText="1"/>
    </xf>
    <xf numFmtId="0" fontId="19" fillId="4" borderId="0" xfId="0" applyFont="1" applyFill="1" applyBorder="1" applyAlignment="1">
      <alignment horizontal="left"/>
    </xf>
    <xf numFmtId="0" fontId="21" fillId="5" borderId="17" xfId="0" applyFont="1" applyFill="1" applyBorder="1" applyAlignment="1">
      <alignment horizontal="left" wrapText="1"/>
    </xf>
    <xf numFmtId="0" fontId="21" fillId="5" borderId="18" xfId="0" applyFont="1" applyFill="1" applyBorder="1" applyAlignment="1">
      <alignment horizontal="left"/>
    </xf>
    <xf numFmtId="0" fontId="21" fillId="5" borderId="19" xfId="0" applyFont="1" applyFill="1" applyBorder="1" applyAlignment="1">
      <alignment horizontal="left"/>
    </xf>
    <xf numFmtId="0" fontId="21" fillId="5" borderId="20" xfId="0" applyFont="1" applyFill="1" applyBorder="1" applyAlignment="1">
      <alignment horizontal="left" wrapText="1"/>
    </xf>
    <xf numFmtId="0" fontId="21" fillId="5" borderId="21" xfId="0" applyFont="1" applyFill="1" applyBorder="1" applyAlignment="1">
      <alignment horizontal="left"/>
    </xf>
    <xf numFmtId="0" fontId="21" fillId="5" borderId="22" xfId="0" applyFont="1" applyFill="1" applyBorder="1" applyAlignment="1">
      <alignment horizontal="left"/>
    </xf>
    <xf numFmtId="0" fontId="19" fillId="4" borderId="0" xfId="0" applyFont="1" applyFill="1" applyAlignment="1">
      <alignment horizontal="left"/>
    </xf>
    <xf numFmtId="0" fontId="19" fillId="5" borderId="17" xfId="0" applyFont="1" applyFill="1" applyBorder="1" applyAlignment="1">
      <alignment horizontal="left" vertical="center" wrapText="1"/>
    </xf>
    <xf numFmtId="0" fontId="19" fillId="5" borderId="18" xfId="0" applyFont="1" applyFill="1" applyBorder="1" applyAlignment="1">
      <alignment horizontal="left" vertical="center" wrapText="1"/>
    </xf>
    <xf numFmtId="0" fontId="19" fillId="5" borderId="23" xfId="0" applyFont="1" applyFill="1" applyBorder="1" applyAlignment="1">
      <alignment horizontal="left" vertical="center" wrapText="1"/>
    </xf>
    <xf numFmtId="0" fontId="19" fillId="5" borderId="0" xfId="0" applyFont="1" applyFill="1" applyBorder="1" applyAlignment="1">
      <alignment horizontal="left" vertical="center" wrapText="1"/>
    </xf>
    <xf numFmtId="170" fontId="24" fillId="2" borderId="21" xfId="4" applyNumberFormat="1" applyFont="1" applyFill="1" applyBorder="1" applyAlignment="1" applyProtection="1">
      <alignment horizontal="left" vertical="top"/>
    </xf>
    <xf numFmtId="0" fontId="26" fillId="5" borderId="17" xfId="0" applyFont="1" applyFill="1" applyBorder="1" applyAlignment="1">
      <alignment horizontal="center" vertical="center"/>
    </xf>
    <xf numFmtId="0" fontId="26" fillId="5" borderId="18" xfId="0" applyFont="1" applyFill="1" applyBorder="1" applyAlignment="1">
      <alignment horizontal="center" vertical="center"/>
    </xf>
    <xf numFmtId="0" fontId="26" fillId="5" borderId="19" xfId="0" applyFont="1" applyFill="1" applyBorder="1" applyAlignment="1">
      <alignment horizontal="center" vertical="center"/>
    </xf>
    <xf numFmtId="0" fontId="28" fillId="5" borderId="23" xfId="5" applyFont="1" applyFill="1" applyBorder="1" applyAlignment="1">
      <alignment horizontal="center" vertical="center"/>
    </xf>
    <xf numFmtId="0" fontId="28" fillId="5" borderId="0" xfId="5" applyFont="1" applyFill="1" applyBorder="1" applyAlignment="1">
      <alignment horizontal="center" vertical="center"/>
    </xf>
    <xf numFmtId="0" fontId="28" fillId="5" borderId="24" xfId="5" applyFont="1" applyFill="1" applyBorder="1" applyAlignment="1">
      <alignment horizontal="center" vertical="center"/>
    </xf>
    <xf numFmtId="0" fontId="21" fillId="5" borderId="20" xfId="0" applyFont="1" applyFill="1" applyBorder="1" applyAlignment="1">
      <alignment horizontal="left"/>
    </xf>
    <xf numFmtId="0" fontId="21" fillId="4" borderId="25" xfId="0" applyFont="1" applyFill="1" applyBorder="1" applyAlignment="1">
      <alignment horizontal="left" vertical="center"/>
    </xf>
    <xf numFmtId="0" fontId="29" fillId="5" borderId="23" xfId="5" applyFont="1" applyFill="1" applyBorder="1" applyAlignment="1">
      <alignment horizontal="center" vertical="center"/>
    </xf>
    <xf numFmtId="0" fontId="29" fillId="5" borderId="0" xfId="5" applyFont="1" applyFill="1" applyBorder="1" applyAlignment="1">
      <alignment horizontal="center" vertical="center"/>
    </xf>
    <xf numFmtId="0" fontId="29" fillId="5" borderId="24" xfId="5" applyFont="1" applyFill="1" applyBorder="1" applyAlignment="1">
      <alignment horizontal="center" vertical="center"/>
    </xf>
    <xf numFmtId="0" fontId="30" fillId="5" borderId="23" xfId="5" applyFont="1" applyFill="1" applyBorder="1" applyAlignment="1">
      <alignment horizontal="center" vertical="center"/>
    </xf>
    <xf numFmtId="0" fontId="30" fillId="5" borderId="0" xfId="5" applyFont="1" applyFill="1" applyBorder="1" applyAlignment="1">
      <alignment horizontal="center" vertical="center"/>
    </xf>
    <xf numFmtId="0" fontId="30" fillId="5" borderId="24" xfId="5" applyFont="1" applyFill="1" applyBorder="1" applyAlignment="1">
      <alignment horizontal="center" vertical="center"/>
    </xf>
    <xf numFmtId="0" fontId="30" fillId="5" borderId="20" xfId="5" applyFont="1" applyFill="1" applyBorder="1" applyAlignment="1">
      <alignment horizontal="center" vertical="center"/>
    </xf>
    <xf numFmtId="0" fontId="30" fillId="5" borderId="21" xfId="5" applyFont="1" applyFill="1" applyBorder="1" applyAlignment="1">
      <alignment horizontal="center" vertical="center"/>
    </xf>
    <xf numFmtId="0" fontId="30" fillId="5" borderId="22" xfId="5" applyFont="1" applyFill="1" applyBorder="1" applyAlignment="1">
      <alignment horizontal="center" vertical="center"/>
    </xf>
    <xf numFmtId="0" fontId="19" fillId="4" borderId="25" xfId="0" applyFont="1" applyFill="1" applyBorder="1" applyAlignment="1">
      <alignment horizontal="left" vertical="center"/>
    </xf>
    <xf numFmtId="0" fontId="19" fillId="4" borderId="25" xfId="0" applyFont="1" applyFill="1" applyBorder="1" applyAlignment="1">
      <alignment horizontal="left" wrapText="1"/>
    </xf>
    <xf numFmtId="14" fontId="5" fillId="2" borderId="0" xfId="3" applyNumberFormat="1" applyFont="1" applyFill="1" applyBorder="1" applyAlignment="1" applyProtection="1">
      <alignment horizontal="left" vertical="center"/>
    </xf>
    <xf numFmtId="0" fontId="5" fillId="2" borderId="0" xfId="3" applyNumberFormat="1" applyFont="1" applyFill="1" applyBorder="1" applyAlignment="1" applyProtection="1">
      <alignment horizontal="left" vertical="center"/>
    </xf>
    <xf numFmtId="0" fontId="4" fillId="2" borderId="0" xfId="3" applyNumberFormat="1" applyFont="1" applyFill="1" applyBorder="1" applyAlignment="1" applyProtection="1">
      <alignment horizontal="left" vertical="top"/>
    </xf>
    <xf numFmtId="0" fontId="5" fillId="2" borderId="0" xfId="3" applyNumberFormat="1" applyFont="1" applyFill="1" applyBorder="1" applyAlignment="1" applyProtection="1">
      <alignment horizontal="center" vertical="center" wrapText="1"/>
    </xf>
    <xf numFmtId="0" fontId="10" fillId="2" borderId="0" xfId="3" applyNumberFormat="1" applyFont="1" applyFill="1" applyBorder="1" applyAlignment="1" applyProtection="1">
      <alignment horizontal="center" vertical="center" wrapText="1"/>
    </xf>
    <xf numFmtId="0" fontId="7" fillId="2" borderId="0" xfId="3" applyNumberFormat="1" applyFont="1" applyFill="1" applyBorder="1" applyAlignment="1" applyProtection="1">
      <alignment horizontal="center" wrapText="1"/>
    </xf>
    <xf numFmtId="0" fontId="6" fillId="2" borderId="0" xfId="3" applyNumberFormat="1" applyFont="1" applyFill="1" applyBorder="1" applyAlignment="1" applyProtection="1">
      <alignment horizontal="center" vertical="top" wrapText="1"/>
    </xf>
    <xf numFmtId="0" fontId="8" fillId="2" borderId="0" xfId="3" applyNumberFormat="1" applyFont="1" applyFill="1" applyBorder="1" applyAlignment="1" applyProtection="1">
      <alignment horizontal="left" vertical="center"/>
    </xf>
    <xf numFmtId="0" fontId="5" fillId="2" borderId="0" xfId="3" applyNumberFormat="1" applyFont="1" applyFill="1" applyBorder="1" applyAlignment="1" applyProtection="1">
      <alignment horizontal="left" vertical="center" wrapText="1"/>
    </xf>
    <xf numFmtId="0" fontId="8" fillId="2" borderId="0" xfId="3" applyNumberFormat="1" applyFont="1" applyFill="1" applyBorder="1" applyAlignment="1" applyProtection="1">
      <alignment horizontal="left" vertical="center" wrapText="1"/>
    </xf>
    <xf numFmtId="0" fontId="8" fillId="2" borderId="0" xfId="3" applyNumberFormat="1" applyFont="1" applyFill="1" applyBorder="1" applyAlignment="1" applyProtection="1">
      <alignment horizontal="center" vertical="top"/>
    </xf>
    <xf numFmtId="0" fontId="8" fillId="2" borderId="0" xfId="3" applyNumberFormat="1" applyFont="1" applyFill="1" applyBorder="1" applyAlignment="1" applyProtection="1">
      <alignment horizontal="center" vertical="top" wrapText="1"/>
    </xf>
    <xf numFmtId="15" fontId="8" fillId="2" borderId="0" xfId="3" applyNumberFormat="1" applyFont="1" applyFill="1" applyBorder="1" applyAlignment="1" applyProtection="1">
      <alignment horizontal="left" vertical="center"/>
    </xf>
    <xf numFmtId="0" fontId="5" fillId="2" borderId="0" xfId="3" applyNumberFormat="1" applyFont="1" applyFill="1" applyBorder="1" applyAlignment="1" applyProtection="1">
      <alignment horizontal="left" vertical="top"/>
    </xf>
    <xf numFmtId="0" fontId="4" fillId="2" borderId="1" xfId="3" applyNumberFormat="1" applyFont="1" applyFill="1" applyBorder="1" applyAlignment="1" applyProtection="1">
      <alignment horizontal="left" vertical="top"/>
    </xf>
    <xf numFmtId="0" fontId="8" fillId="2" borderId="0" xfId="3" applyNumberFormat="1" applyFont="1" applyFill="1" applyBorder="1" applyAlignment="1" applyProtection="1">
      <alignment horizontal="left" vertical="top" wrapText="1"/>
    </xf>
    <xf numFmtId="0" fontId="5" fillId="2" borderId="0" xfId="3" applyNumberFormat="1" applyFont="1" applyFill="1" applyBorder="1" applyAlignment="1" applyProtection="1">
      <alignment horizontal="center" vertical="top"/>
    </xf>
    <xf numFmtId="0" fontId="9" fillId="2" borderId="0" xfId="3" applyNumberFormat="1" applyFont="1" applyFill="1" applyBorder="1" applyAlignment="1" applyProtection="1">
      <alignment horizontal="center" vertical="top"/>
    </xf>
    <xf numFmtId="0" fontId="14" fillId="2" borderId="0" xfId="3" applyNumberFormat="1" applyFont="1" applyFill="1" applyBorder="1" applyAlignment="1" applyProtection="1">
      <alignment horizontal="center" vertical="top"/>
    </xf>
    <xf numFmtId="0" fontId="7" fillId="2" borderId="0" xfId="3" applyNumberFormat="1" applyFont="1" applyFill="1" applyBorder="1" applyAlignment="1" applyProtection="1">
      <alignment horizontal="center" vertical="center" wrapText="1"/>
    </xf>
    <xf numFmtId="0" fontId="6" fillId="2" borderId="0" xfId="3" applyNumberFormat="1" applyFont="1" applyFill="1" applyBorder="1" applyAlignment="1" applyProtection="1">
      <alignment horizontal="center"/>
    </xf>
    <xf numFmtId="0" fontId="8" fillId="2" borderId="0" xfId="3" applyNumberFormat="1" applyFont="1" applyFill="1" applyBorder="1" applyAlignment="1" applyProtection="1">
      <alignment horizontal="left" vertical="top"/>
    </xf>
    <xf numFmtId="14" fontId="5" fillId="2" borderId="0" xfId="3" applyNumberFormat="1" applyFont="1" applyFill="1" applyBorder="1" applyAlignment="1" applyProtection="1">
      <alignment horizontal="left" vertical="top"/>
    </xf>
    <xf numFmtId="15" fontId="8" fillId="2" borderId="0" xfId="3" applyNumberFormat="1" applyFont="1" applyFill="1" applyBorder="1" applyAlignment="1" applyProtection="1">
      <alignment horizontal="left" vertical="top"/>
    </xf>
    <xf numFmtId="0" fontId="6" fillId="2" borderId="0" xfId="3" applyNumberFormat="1" applyFont="1" applyFill="1" applyBorder="1" applyAlignment="1" applyProtection="1">
      <alignment horizontal="right" vertical="top"/>
    </xf>
    <xf numFmtId="0" fontId="8" fillId="2" borderId="1" xfId="3" applyNumberFormat="1" applyFont="1" applyFill="1" applyBorder="1" applyAlignment="1" applyProtection="1">
      <alignment horizontal="right" vertical="top"/>
    </xf>
    <xf numFmtId="0" fontId="12" fillId="2" borderId="0" xfId="3" applyNumberFormat="1" applyFont="1" applyFill="1" applyBorder="1" applyAlignment="1" applyProtection="1">
      <alignment horizontal="center" vertical="center" wrapText="1"/>
    </xf>
    <xf numFmtId="0" fontId="7" fillId="2" borderId="0" xfId="3" applyNumberFormat="1" applyFont="1" applyFill="1" applyBorder="1" applyAlignment="1" applyProtection="1">
      <alignment horizontal="center" vertical="top"/>
    </xf>
    <xf numFmtId="0" fontId="5" fillId="2" borderId="0" xfId="3" applyNumberFormat="1" applyFont="1" applyFill="1" applyBorder="1" applyAlignment="1" applyProtection="1">
      <alignment horizontal="left" vertical="top" wrapText="1"/>
    </xf>
    <xf numFmtId="0" fontId="11" fillId="2" borderId="0" xfId="3" applyNumberFormat="1" applyFont="1" applyFill="1" applyBorder="1" applyAlignment="1" applyProtection="1">
      <alignment horizontal="center"/>
    </xf>
    <xf numFmtId="0" fontId="8" fillId="2" borderId="0" xfId="3" applyNumberFormat="1" applyFont="1" applyFill="1" applyBorder="1" applyAlignment="1" applyProtection="1">
      <alignment horizontal="center" vertical="center"/>
    </xf>
    <xf numFmtId="0" fontId="38" fillId="5" borderId="0" xfId="14" applyFont="1" applyFill="1" applyAlignment="1">
      <alignment horizontal="center" wrapText="1"/>
    </xf>
    <xf numFmtId="0" fontId="10" fillId="5" borderId="0" xfId="14" applyFont="1" applyFill="1" applyAlignment="1">
      <alignment horizontal="center" vertical="center" wrapText="1"/>
    </xf>
    <xf numFmtId="0" fontId="5" fillId="5" borderId="0" xfId="14" applyFont="1" applyFill="1" applyAlignment="1">
      <alignment horizontal="center" vertical="center" wrapText="1"/>
    </xf>
    <xf numFmtId="3" fontId="38" fillId="5" borderId="0" xfId="14" applyNumberFormat="1" applyFont="1" applyFill="1" applyAlignment="1">
      <alignment horizontal="center" vertical="center" wrapText="1"/>
    </xf>
    <xf numFmtId="0" fontId="38" fillId="5" borderId="0" xfId="14" applyFont="1" applyFill="1" applyAlignment="1">
      <alignment horizontal="center" vertical="center"/>
    </xf>
    <xf numFmtId="170" fontId="8" fillId="2" borderId="0" xfId="4" applyNumberFormat="1" applyFont="1" applyFill="1" applyBorder="1" applyAlignment="1" applyProtection="1">
      <alignment horizontal="left" vertical="top"/>
    </xf>
    <xf numFmtId="0" fontId="37" fillId="5" borderId="0" xfId="14" applyFont="1" applyFill="1" applyAlignment="1">
      <alignment horizontal="left"/>
    </xf>
    <xf numFmtId="0" fontId="40" fillId="7" borderId="26" xfId="14" applyFont="1" applyFill="1" applyBorder="1" applyAlignment="1">
      <alignment horizontal="center" vertical="center" wrapText="1"/>
    </xf>
    <xf numFmtId="0" fontId="40" fillId="7" borderId="29" xfId="14" applyFont="1" applyFill="1" applyBorder="1" applyAlignment="1">
      <alignment horizontal="center" vertical="center" wrapText="1"/>
    </xf>
    <xf numFmtId="0" fontId="40" fillId="7" borderId="27" xfId="14" applyFont="1" applyFill="1" applyBorder="1" applyAlignment="1">
      <alignment horizontal="center" vertical="center" wrapText="1"/>
    </xf>
    <xf numFmtId="0" fontId="40" fillId="7" borderId="28" xfId="14" applyFont="1" applyFill="1" applyBorder="1" applyAlignment="1">
      <alignment horizontal="center" vertical="center" wrapText="1"/>
    </xf>
    <xf numFmtId="0" fontId="37" fillId="0" borderId="17" xfId="14" applyFont="1" applyBorder="1" applyAlignment="1">
      <alignment horizontal="center" vertical="center" wrapText="1"/>
    </xf>
    <xf numFmtId="0" fontId="37" fillId="0" borderId="18" xfId="14" applyFont="1" applyBorder="1" applyAlignment="1">
      <alignment horizontal="center" vertical="center" wrapText="1"/>
    </xf>
    <xf numFmtId="0" fontId="37" fillId="0" borderId="19" xfId="14" applyFont="1" applyBorder="1" applyAlignment="1">
      <alignment horizontal="center" vertical="center" wrapText="1"/>
    </xf>
    <xf numFmtId="0" fontId="37" fillId="0" borderId="23" xfId="14" applyFont="1" applyBorder="1" applyAlignment="1">
      <alignment horizontal="center" vertical="center" wrapText="1"/>
    </xf>
    <xf numFmtId="0" fontId="37" fillId="0" borderId="0" xfId="14" applyFont="1" applyBorder="1" applyAlignment="1">
      <alignment horizontal="center" vertical="center" wrapText="1"/>
    </xf>
    <xf numFmtId="0" fontId="37" fillId="0" borderId="24" xfId="14" applyFont="1" applyBorder="1" applyAlignment="1">
      <alignment horizontal="center" vertical="center" wrapText="1"/>
    </xf>
    <xf numFmtId="0" fontId="37" fillId="0" borderId="20" xfId="14" applyFont="1" applyBorder="1" applyAlignment="1">
      <alignment horizontal="center" vertical="center" wrapText="1"/>
    </xf>
    <xf numFmtId="0" fontId="37" fillId="0" borderId="21" xfId="14" applyFont="1" applyBorder="1" applyAlignment="1">
      <alignment horizontal="center" vertical="center" wrapText="1"/>
    </xf>
    <xf numFmtId="0" fontId="37" fillId="0" borderId="22" xfId="14" applyFont="1" applyBorder="1" applyAlignment="1">
      <alignment horizontal="center" vertical="center" wrapText="1"/>
    </xf>
    <xf numFmtId="0" fontId="42" fillId="5" borderId="0" xfId="17" applyFont="1" applyFill="1" applyAlignment="1">
      <alignment horizontal="center" vertical="center"/>
    </xf>
    <xf numFmtId="174" fontId="42" fillId="5" borderId="0" xfId="17" applyNumberFormat="1" applyFont="1" applyFill="1" applyAlignment="1">
      <alignment horizontal="center" vertical="center"/>
    </xf>
    <xf numFmtId="0" fontId="40" fillId="7" borderId="25" xfId="14" applyFont="1" applyFill="1" applyBorder="1" applyAlignment="1">
      <alignment horizontal="center" vertical="center" wrapText="1"/>
    </xf>
    <xf numFmtId="0" fontId="42" fillId="7" borderId="26" xfId="14" applyFont="1" applyFill="1" applyBorder="1" applyAlignment="1" applyProtection="1">
      <alignment horizontal="center" vertical="center" wrapText="1"/>
    </xf>
    <xf numFmtId="0" fontId="42" fillId="7" borderId="29" xfId="14" applyFont="1" applyFill="1" applyBorder="1" applyAlignment="1" applyProtection="1">
      <alignment horizontal="center" vertical="center" wrapText="1"/>
    </xf>
    <xf numFmtId="0" fontId="42" fillId="5" borderId="0" xfId="17" applyFont="1" applyFill="1" applyBorder="1" applyAlignment="1">
      <alignment horizontal="center" vertical="center"/>
    </xf>
    <xf numFmtId="0" fontId="42" fillId="0" borderId="0" xfId="14" applyFont="1" applyFill="1" applyAlignment="1">
      <alignment horizontal="center" vertical="center"/>
    </xf>
    <xf numFmtId="173" fontId="42" fillId="5" borderId="0" xfId="9" applyNumberFormat="1" applyFont="1" applyFill="1" applyBorder="1" applyAlignment="1">
      <alignment horizontal="center" vertical="center"/>
    </xf>
    <xf numFmtId="2" fontId="42" fillId="5" borderId="0" xfId="17" applyNumberFormat="1" applyFont="1" applyFill="1" applyAlignment="1">
      <alignment horizontal="right" vertical="center" wrapText="1"/>
    </xf>
    <xf numFmtId="0" fontId="42" fillId="5" borderId="18" xfId="17" applyFont="1" applyFill="1" applyBorder="1" applyAlignment="1">
      <alignment horizontal="center" vertical="center"/>
    </xf>
    <xf numFmtId="0" fontId="10" fillId="2" borderId="0" xfId="3" applyNumberFormat="1" applyFont="1" applyFill="1" applyBorder="1" applyAlignment="1" applyProtection="1">
      <alignment horizontal="center" vertical="top" wrapText="1"/>
    </xf>
    <xf numFmtId="0" fontId="7" fillId="2" borderId="0" xfId="3" applyNumberFormat="1" applyFont="1" applyFill="1" applyBorder="1" applyAlignment="1" applyProtection="1">
      <alignment horizontal="center" vertical="center"/>
    </xf>
    <xf numFmtId="0" fontId="5" fillId="3" borderId="2" xfId="3" applyNumberFormat="1" applyFont="1" applyFill="1" applyBorder="1" applyAlignment="1" applyProtection="1">
      <alignment horizontal="center" vertical="center" wrapText="1"/>
    </xf>
    <xf numFmtId="0" fontId="5" fillId="3" borderId="14" xfId="3" applyNumberFormat="1" applyFont="1" applyFill="1" applyBorder="1" applyAlignment="1" applyProtection="1">
      <alignment horizontal="center" vertical="center" wrapText="1"/>
    </xf>
    <xf numFmtId="0" fontId="5" fillId="3" borderId="3" xfId="3" applyNumberFormat="1" applyFont="1" applyFill="1" applyBorder="1" applyAlignment="1" applyProtection="1">
      <alignment horizontal="center" vertical="center" wrapText="1"/>
    </xf>
    <xf numFmtId="0" fontId="5" fillId="3" borderId="15" xfId="3" applyNumberFormat="1" applyFont="1" applyFill="1" applyBorder="1" applyAlignment="1" applyProtection="1">
      <alignment horizontal="center" vertical="center" wrapText="1"/>
    </xf>
    <xf numFmtId="0" fontId="5" fillId="3" borderId="4" xfId="3" applyNumberFormat="1" applyFont="1" applyFill="1" applyBorder="1" applyAlignment="1" applyProtection="1">
      <alignment horizontal="center" vertical="center" wrapText="1"/>
    </xf>
    <xf numFmtId="0" fontId="6" fillId="2" borderId="0" xfId="3" applyNumberFormat="1" applyFont="1" applyFill="1" applyBorder="1" applyAlignment="1" applyProtection="1">
      <alignment horizontal="center" vertical="center"/>
    </xf>
    <xf numFmtId="14" fontId="5" fillId="2" borderId="0" xfId="3" applyNumberFormat="1" applyFont="1" applyFill="1" applyBorder="1" applyAlignment="1" applyProtection="1">
      <alignment horizontal="left" vertical="top" wrapText="1"/>
    </xf>
    <xf numFmtId="0" fontId="5" fillId="2" borderId="0" xfId="3" applyNumberFormat="1" applyFont="1" applyFill="1" applyBorder="1" applyAlignment="1" applyProtection="1">
      <alignment horizontal="center"/>
    </xf>
    <xf numFmtId="0" fontId="5" fillId="2" borderId="0" xfId="3" applyNumberFormat="1" applyFont="1" applyFill="1" applyBorder="1" applyAlignment="1" applyProtection="1">
      <alignment horizontal="right" vertical="center" wrapText="1"/>
    </xf>
    <xf numFmtId="0" fontId="15" fillId="2" borderId="0" xfId="3" applyNumberFormat="1" applyFont="1" applyFill="1" applyBorder="1" applyAlignment="1" applyProtection="1">
      <alignment horizontal="center" vertical="center" wrapText="1"/>
    </xf>
    <xf numFmtId="0" fontId="16" fillId="2" borderId="0" xfId="3" applyNumberFormat="1" applyFont="1" applyFill="1" applyBorder="1" applyAlignment="1" applyProtection="1">
      <alignment horizontal="left" vertical="top"/>
    </xf>
    <xf numFmtId="0" fontId="5" fillId="2" borderId="0" xfId="3" applyNumberFormat="1" applyFont="1" applyFill="1" applyBorder="1" applyAlignment="1" applyProtection="1">
      <alignment horizontal="center" vertical="center"/>
    </xf>
    <xf numFmtId="0" fontId="8" fillId="2" borderId="0" xfId="3" applyNumberFormat="1" applyFont="1" applyFill="1" applyBorder="1" applyAlignment="1" applyProtection="1">
      <alignment horizontal="center" vertical="center" wrapText="1"/>
    </xf>
    <xf numFmtId="0" fontId="4" fillId="2" borderId="0" xfId="3" applyNumberFormat="1" applyFont="1" applyFill="1" applyBorder="1" applyAlignment="1" applyProtection="1">
      <alignment horizontal="left" vertical="center"/>
    </xf>
    <xf numFmtId="0" fontId="6" fillId="2" borderId="1" xfId="3" applyNumberFormat="1" applyFont="1" applyFill="1" applyBorder="1" applyAlignment="1" applyProtection="1">
      <alignment horizontal="right" vertical="center"/>
    </xf>
    <xf numFmtId="0" fontId="18" fillId="2" borderId="0" xfId="3" applyNumberFormat="1" applyFont="1" applyFill="1" applyBorder="1" applyAlignment="1" applyProtection="1">
      <alignment horizontal="center" vertical="top"/>
    </xf>
    <xf numFmtId="0" fontId="3" fillId="0" borderId="0" xfId="3" applyFont="1" applyAlignment="1">
      <alignment vertical="center"/>
    </xf>
  </cellXfs>
  <cellStyles count="20">
    <cellStyle name="Comma" xfId="19" builtinId="3"/>
    <cellStyle name="Comma 13" xfId="7"/>
    <cellStyle name="Comma 2" xfId="8"/>
    <cellStyle name="Comma 4" xfId="9"/>
    <cellStyle name="Currency [0] 2" xfId="10"/>
    <cellStyle name="Hyperlink" xfId="6" builtinId="8"/>
    <cellStyle name="Normal" xfId="0" builtinId="0"/>
    <cellStyle name="Normal 2" xfId="1"/>
    <cellStyle name="Normal 2 2" xfId="11"/>
    <cellStyle name="Normal 3" xfId="3"/>
    <cellStyle name="Normal 3 2" xfId="12"/>
    <cellStyle name="Normal 3 2 2" xfId="13"/>
    <cellStyle name="Normal 3 2 3" xfId="14"/>
    <cellStyle name="Normal 4" xfId="15"/>
    <cellStyle name="Normal 5" xfId="16"/>
    <cellStyle name="Normal 6" xfId="4"/>
    <cellStyle name="Normal_Bao cao tai chinh 280405" xfId="5"/>
    <cellStyle name="Normal_Bao cao tai chinh 280405 2" xfId="17"/>
    <cellStyle name="Percent" xfId="2" builtinId="5"/>
    <cellStyle name="Percent 2" xfId="18"/>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323851</xdr:colOff>
      <xdr:row>0</xdr:row>
      <xdr:rowOff>276226</xdr:rowOff>
    </xdr:to>
    <xdr:pic>
      <xdr:nvPicPr>
        <xdr:cNvPr id="3" name="Picture 2"/>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791" t="25491" r="5495" b="17647"/>
        <a:stretch/>
      </xdr:blipFill>
      <xdr:spPr bwMode="auto">
        <a:xfrm>
          <a:off x="0" y="0"/>
          <a:ext cx="742951" cy="2762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323851</xdr:colOff>
      <xdr:row>0</xdr:row>
      <xdr:rowOff>276226</xdr:rowOff>
    </xdr:to>
    <xdr:pic>
      <xdr:nvPicPr>
        <xdr:cNvPr id="3" name="Picture 2"/>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791" t="25491" r="5495" b="17647"/>
        <a:stretch/>
      </xdr:blipFill>
      <xdr:spPr bwMode="auto">
        <a:xfrm>
          <a:off x="0" y="0"/>
          <a:ext cx="742951" cy="2762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28574</xdr:colOff>
      <xdr:row>0</xdr:row>
      <xdr:rowOff>19050</xdr:rowOff>
    </xdr:from>
    <xdr:to>
      <xdr:col>1</xdr:col>
      <xdr:colOff>352425</xdr:colOff>
      <xdr:row>0</xdr:row>
      <xdr:rowOff>295276</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791" t="25491" r="5495" b="17647"/>
        <a:stretch/>
      </xdr:blipFill>
      <xdr:spPr bwMode="auto">
        <a:xfrm>
          <a:off x="28574" y="19050"/>
          <a:ext cx="742951" cy="2762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xdr:colOff>
      <xdr:row>67</xdr:row>
      <xdr:rowOff>9525</xdr:rowOff>
    </xdr:from>
    <xdr:to>
      <xdr:col>7</xdr:col>
      <xdr:colOff>9525</xdr:colOff>
      <xdr:row>68</xdr:row>
      <xdr:rowOff>9525</xdr:rowOff>
    </xdr:to>
    <xdr:sp macro="" textlink="" fLocksText="0">
      <xdr:nvSpPr>
        <xdr:cNvPr id="3" name="Text Box 2"/>
        <xdr:cNvSpPr txBox="1">
          <a:spLocks noChangeArrowheads="1"/>
        </xdr:cNvSpPr>
      </xdr:nvSpPr>
      <xdr:spPr bwMode="auto">
        <a:xfrm>
          <a:off x="9525" y="17183100"/>
          <a:ext cx="71628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1" u="none" strike="noStrike" baseline="0">
              <a:solidFill>
                <a:srgbClr val="000000"/>
              </a:solidFill>
              <a:latin typeface="Tahoma"/>
              <a:cs typeface="Tahoma"/>
            </a:rPr>
            <a:t>Ghi chú:</a:t>
          </a:r>
        </a:p>
      </xdr:txBody>
    </xdr:sp>
    <xdr:clientData/>
  </xdr:twoCellAnchor>
  <xdr:twoCellAnchor editAs="oneCell">
    <xdr:from>
      <xdr:col>0</xdr:col>
      <xdr:colOff>9525</xdr:colOff>
      <xdr:row>68</xdr:row>
      <xdr:rowOff>9525</xdr:rowOff>
    </xdr:from>
    <xdr:to>
      <xdr:col>7</xdr:col>
      <xdr:colOff>9525</xdr:colOff>
      <xdr:row>69</xdr:row>
      <xdr:rowOff>9525</xdr:rowOff>
    </xdr:to>
    <xdr:sp macro="" textlink="" fLocksText="0">
      <xdr:nvSpPr>
        <xdr:cNvPr id="4" name="Text Box 3"/>
        <xdr:cNvSpPr txBox="1">
          <a:spLocks noChangeArrowheads="1"/>
        </xdr:cNvSpPr>
      </xdr:nvSpPr>
      <xdr:spPr bwMode="auto">
        <a:xfrm>
          <a:off x="9525" y="17383125"/>
          <a:ext cx="71628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1" u="none" strike="noStrike" baseline="0">
              <a:solidFill>
                <a:srgbClr val="000000"/>
              </a:solidFill>
              <a:latin typeface="Tahoma"/>
              <a:cs typeface="Tahoma"/>
            </a:rPr>
            <a:t>(*) Tổng giá trị thị trường của hợp đồng phái sinh được trình bày ở trên là giá trị chênh lệch giữa giá trị cam kết và giá trị thị trường. Chi tiết chênh lệch giữa giá trị cam kết và giá trị thị trường như sau:</a:t>
          </a:r>
        </a:p>
      </xdr:txBody>
    </xdr:sp>
    <xdr:clientData/>
  </xdr:twoCellAnchor>
  <xdr:twoCellAnchor editAs="oneCell">
    <xdr:from>
      <xdr:col>0</xdr:col>
      <xdr:colOff>9525</xdr:colOff>
      <xdr:row>72</xdr:row>
      <xdr:rowOff>9525</xdr:rowOff>
    </xdr:from>
    <xdr:to>
      <xdr:col>3</xdr:col>
      <xdr:colOff>9525</xdr:colOff>
      <xdr:row>73</xdr:row>
      <xdr:rowOff>9525</xdr:rowOff>
    </xdr:to>
    <xdr:sp macro="" textlink="" fLocksText="0">
      <xdr:nvSpPr>
        <xdr:cNvPr id="5" name="Text Box 4"/>
        <xdr:cNvSpPr txBox="1">
          <a:spLocks noChangeArrowheads="1"/>
        </xdr:cNvSpPr>
      </xdr:nvSpPr>
      <xdr:spPr bwMode="auto">
        <a:xfrm>
          <a:off x="9525" y="18535650"/>
          <a:ext cx="3352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Đại diện có thẩm quyền của Ngân hàng giám sát</a:t>
          </a:r>
        </a:p>
      </xdr:txBody>
    </xdr:sp>
    <xdr:clientData/>
  </xdr:twoCellAnchor>
  <xdr:twoCellAnchor editAs="oneCell">
    <xdr:from>
      <xdr:col>3</xdr:col>
      <xdr:colOff>9525</xdr:colOff>
      <xdr:row>72</xdr:row>
      <xdr:rowOff>9525</xdr:rowOff>
    </xdr:from>
    <xdr:to>
      <xdr:col>7</xdr:col>
      <xdr:colOff>9525</xdr:colOff>
      <xdr:row>73</xdr:row>
      <xdr:rowOff>9525</xdr:rowOff>
    </xdr:to>
    <xdr:sp macro="" textlink="" fLocksText="0">
      <xdr:nvSpPr>
        <xdr:cNvPr id="6" name="Text Box 5"/>
        <xdr:cNvSpPr txBox="1">
          <a:spLocks noChangeArrowheads="1"/>
        </xdr:cNvSpPr>
      </xdr:nvSpPr>
      <xdr:spPr bwMode="auto">
        <a:xfrm>
          <a:off x="3362325" y="18535650"/>
          <a:ext cx="38100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Đại diện có thẩm quyền của Công ty quản lý quỹ</a:t>
          </a:r>
        </a:p>
      </xdr:txBody>
    </xdr:sp>
    <xdr:clientData/>
  </xdr:twoCellAnchor>
  <xdr:twoCellAnchor editAs="oneCell">
    <xdr:from>
      <xdr:col>0</xdr:col>
      <xdr:colOff>9525</xdr:colOff>
      <xdr:row>73</xdr:row>
      <xdr:rowOff>9525</xdr:rowOff>
    </xdr:from>
    <xdr:to>
      <xdr:col>3</xdr:col>
      <xdr:colOff>9525</xdr:colOff>
      <xdr:row>74</xdr:row>
      <xdr:rowOff>9525</xdr:rowOff>
    </xdr:to>
    <xdr:sp macro="" textlink="" fLocksText="0">
      <xdr:nvSpPr>
        <xdr:cNvPr id="7" name="Text Box 6"/>
        <xdr:cNvSpPr txBox="1">
          <a:spLocks noChangeArrowheads="1"/>
        </xdr:cNvSpPr>
      </xdr:nvSpPr>
      <xdr:spPr bwMode="auto">
        <a:xfrm>
          <a:off x="9525" y="18697575"/>
          <a:ext cx="33528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0" i="0" u="none" strike="noStrike" baseline="0">
              <a:solidFill>
                <a:srgbClr val="000000"/>
              </a:solidFill>
              <a:latin typeface="Tahoma"/>
              <a:cs typeface="Tahoma"/>
            </a:rPr>
            <a:t>Authorised Representative of Supervisory Bank</a:t>
          </a:r>
        </a:p>
      </xdr:txBody>
    </xdr:sp>
    <xdr:clientData/>
  </xdr:twoCellAnchor>
  <xdr:twoCellAnchor editAs="oneCell">
    <xdr:from>
      <xdr:col>3</xdr:col>
      <xdr:colOff>9525</xdr:colOff>
      <xdr:row>73</xdr:row>
      <xdr:rowOff>9525</xdr:rowOff>
    </xdr:from>
    <xdr:to>
      <xdr:col>7</xdr:col>
      <xdr:colOff>9525</xdr:colOff>
      <xdr:row>74</xdr:row>
      <xdr:rowOff>9525</xdr:rowOff>
    </xdr:to>
    <xdr:sp macro="" textlink="" fLocksText="0">
      <xdr:nvSpPr>
        <xdr:cNvPr id="8" name="Text Box 7"/>
        <xdr:cNvSpPr txBox="1">
          <a:spLocks noChangeArrowheads="1"/>
        </xdr:cNvSpPr>
      </xdr:nvSpPr>
      <xdr:spPr bwMode="auto">
        <a:xfrm>
          <a:off x="3362325" y="18697575"/>
          <a:ext cx="38100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0" i="0" u="none" strike="noStrike" baseline="0">
              <a:solidFill>
                <a:srgbClr val="000000"/>
              </a:solidFill>
              <a:latin typeface="Tahoma"/>
              <a:cs typeface="Tahoma"/>
            </a:rPr>
            <a:t>Authorised Representative of Fund Management Company</a:t>
          </a:r>
        </a:p>
      </xdr:txBody>
    </xdr:sp>
    <xdr:clientData/>
  </xdr:twoCellAnchor>
  <xdr:twoCellAnchor editAs="oneCell">
    <xdr:from>
      <xdr:col>0</xdr:col>
      <xdr:colOff>9525</xdr:colOff>
      <xdr:row>77</xdr:row>
      <xdr:rowOff>9525</xdr:rowOff>
    </xdr:from>
    <xdr:to>
      <xdr:col>3</xdr:col>
      <xdr:colOff>9525</xdr:colOff>
      <xdr:row>78</xdr:row>
      <xdr:rowOff>9525</xdr:rowOff>
    </xdr:to>
    <xdr:sp macro="" textlink="" fLocksText="0">
      <xdr:nvSpPr>
        <xdr:cNvPr id="9" name="Text Box 8"/>
        <xdr:cNvSpPr txBox="1">
          <a:spLocks noChangeArrowheads="1"/>
        </xdr:cNvSpPr>
      </xdr:nvSpPr>
      <xdr:spPr bwMode="auto">
        <a:xfrm>
          <a:off x="9525" y="19497675"/>
          <a:ext cx="3352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en-US" sz="800" b="1" i="0" u="none" strike="noStrike" baseline="0">
              <a:solidFill>
                <a:srgbClr val="000000"/>
              </a:solidFill>
              <a:latin typeface="Tahoma"/>
              <a:cs typeface="Tahoma"/>
            </a:rPr>
            <a:t>NGÂN HÀNG TMCP NGOẠI THƯƠNG VIỆT NAM-CN TP.HCM</a:t>
          </a:r>
        </a:p>
      </xdr:txBody>
    </xdr:sp>
    <xdr:clientData/>
  </xdr:twoCellAnchor>
  <xdr:twoCellAnchor editAs="oneCell">
    <xdr:from>
      <xdr:col>3</xdr:col>
      <xdr:colOff>9525</xdr:colOff>
      <xdr:row>77</xdr:row>
      <xdr:rowOff>9525</xdr:rowOff>
    </xdr:from>
    <xdr:to>
      <xdr:col>7</xdr:col>
      <xdr:colOff>9525</xdr:colOff>
      <xdr:row>78</xdr:row>
      <xdr:rowOff>9525</xdr:rowOff>
    </xdr:to>
    <xdr:sp macro="" textlink="" fLocksText="0">
      <xdr:nvSpPr>
        <xdr:cNvPr id="10" name="Text Box 9"/>
        <xdr:cNvSpPr txBox="1">
          <a:spLocks noChangeArrowheads="1"/>
        </xdr:cNvSpPr>
      </xdr:nvSpPr>
      <xdr:spPr bwMode="auto">
        <a:xfrm>
          <a:off x="3362325" y="19497675"/>
          <a:ext cx="38100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en-US" sz="800" b="1" i="0" u="none" strike="noStrike" baseline="0">
              <a:solidFill>
                <a:srgbClr val="000000"/>
              </a:solidFill>
              <a:latin typeface="Tahoma"/>
              <a:cs typeface="Tahoma"/>
            </a:rPr>
            <a:t>CÔNG TY CỔ PHẦN QUẢN LÝ QUỸ ĐẦU TƯ VIỆT NAM</a:t>
          </a:r>
        </a:p>
      </xdr:txBody>
    </xdr:sp>
    <xdr:clientData/>
  </xdr:twoCellAnchor>
  <xdr:twoCellAnchor editAs="oneCell">
    <xdr:from>
      <xdr:col>0</xdr:col>
      <xdr:colOff>9525</xdr:colOff>
      <xdr:row>78</xdr:row>
      <xdr:rowOff>9525</xdr:rowOff>
    </xdr:from>
    <xdr:to>
      <xdr:col>3</xdr:col>
      <xdr:colOff>9525</xdr:colOff>
      <xdr:row>79</xdr:row>
      <xdr:rowOff>9525</xdr:rowOff>
    </xdr:to>
    <xdr:sp macro="" textlink="" fLocksText="0">
      <xdr:nvSpPr>
        <xdr:cNvPr id="11" name="Text Box 10"/>
        <xdr:cNvSpPr txBox="1">
          <a:spLocks noChangeArrowheads="1"/>
        </xdr:cNvSpPr>
      </xdr:nvSpPr>
      <xdr:spPr bwMode="auto">
        <a:xfrm>
          <a:off x="9525" y="19659600"/>
          <a:ext cx="3352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975" b="1" i="0" u="none" strike="noStrike" baseline="0">
              <a:solidFill>
                <a:srgbClr val="000000"/>
              </a:solidFill>
              <a:latin typeface="Times New Roman"/>
              <a:cs typeface="Times New Roman"/>
            </a:rPr>
            <a:t>Phó Trưởng Phòng DVKHTC2</a:t>
          </a:r>
        </a:p>
      </xdr:txBody>
    </xdr:sp>
    <xdr:clientData/>
  </xdr:twoCellAnchor>
  <xdr:twoCellAnchor editAs="oneCell">
    <xdr:from>
      <xdr:col>3</xdr:col>
      <xdr:colOff>9525</xdr:colOff>
      <xdr:row>78</xdr:row>
      <xdr:rowOff>9525</xdr:rowOff>
    </xdr:from>
    <xdr:to>
      <xdr:col>7</xdr:col>
      <xdr:colOff>9525</xdr:colOff>
      <xdr:row>79</xdr:row>
      <xdr:rowOff>9525</xdr:rowOff>
    </xdr:to>
    <xdr:sp macro="" textlink="" fLocksText="0">
      <xdr:nvSpPr>
        <xdr:cNvPr id="12" name="Text Box 11"/>
        <xdr:cNvSpPr txBox="1">
          <a:spLocks noChangeArrowheads="1"/>
        </xdr:cNvSpPr>
      </xdr:nvSpPr>
      <xdr:spPr bwMode="auto">
        <a:xfrm>
          <a:off x="3362325" y="19659600"/>
          <a:ext cx="38100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975" b="1" i="0" u="none" strike="noStrike" baseline="0">
              <a:solidFill>
                <a:srgbClr val="000000"/>
              </a:solidFill>
              <a:latin typeface="Times New Roman"/>
              <a:cs typeface="Times New Roman"/>
            </a:rPr>
            <a:t>Tổng Giám Đốc</a:t>
          </a:r>
        </a:p>
      </xdr:txBody>
    </xdr:sp>
    <xdr:clientData/>
  </xdr:twoCellAnchor>
  <xdr:twoCellAnchor editAs="oneCell">
    <xdr:from>
      <xdr:col>0</xdr:col>
      <xdr:colOff>9525</xdr:colOff>
      <xdr:row>79</xdr:row>
      <xdr:rowOff>9525</xdr:rowOff>
    </xdr:from>
    <xdr:to>
      <xdr:col>3</xdr:col>
      <xdr:colOff>9525</xdr:colOff>
      <xdr:row>80</xdr:row>
      <xdr:rowOff>9525</xdr:rowOff>
    </xdr:to>
    <xdr:sp macro="" textlink="" fLocksText="0">
      <xdr:nvSpPr>
        <xdr:cNvPr id="13" name="Text Box 12"/>
        <xdr:cNvSpPr txBox="1">
          <a:spLocks noChangeArrowheads="1"/>
        </xdr:cNvSpPr>
      </xdr:nvSpPr>
      <xdr:spPr bwMode="auto">
        <a:xfrm>
          <a:off x="9525" y="19821525"/>
          <a:ext cx="3352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975" b="1" i="0" u="none" strike="noStrike" baseline="0">
              <a:solidFill>
                <a:srgbClr val="000000"/>
              </a:solidFill>
              <a:latin typeface="Times New Roman"/>
              <a:cs typeface="Times New Roman"/>
            </a:rPr>
            <a:t>Ngô Thùy Dương</a:t>
          </a:r>
        </a:p>
      </xdr:txBody>
    </xdr:sp>
    <xdr:clientData/>
  </xdr:twoCellAnchor>
  <xdr:twoCellAnchor editAs="oneCell">
    <xdr:from>
      <xdr:col>3</xdr:col>
      <xdr:colOff>9525</xdr:colOff>
      <xdr:row>79</xdr:row>
      <xdr:rowOff>9525</xdr:rowOff>
    </xdr:from>
    <xdr:to>
      <xdr:col>7</xdr:col>
      <xdr:colOff>9525</xdr:colOff>
      <xdr:row>80</xdr:row>
      <xdr:rowOff>9525</xdr:rowOff>
    </xdr:to>
    <xdr:sp macro="" textlink="" fLocksText="0">
      <xdr:nvSpPr>
        <xdr:cNvPr id="14" name="Text Box 13"/>
        <xdr:cNvSpPr txBox="1">
          <a:spLocks noChangeArrowheads="1"/>
        </xdr:cNvSpPr>
      </xdr:nvSpPr>
      <xdr:spPr bwMode="auto">
        <a:xfrm>
          <a:off x="3362325" y="19821525"/>
          <a:ext cx="38100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975" b="1" i="0" u="none" strike="noStrike" baseline="0">
              <a:solidFill>
                <a:srgbClr val="000000"/>
              </a:solidFill>
              <a:latin typeface="Times New Roman"/>
              <a:cs typeface="Times New Roman"/>
            </a:rPr>
            <a:t>Trần Thanh Tân</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323851</xdr:colOff>
      <xdr:row>1</xdr:row>
      <xdr:rowOff>1</xdr:rowOff>
    </xdr:to>
    <xdr:pic>
      <xdr:nvPicPr>
        <xdr:cNvPr id="3" name="Picture 2"/>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791" t="25491" r="5495" b="17647"/>
        <a:stretch/>
      </xdr:blipFill>
      <xdr:spPr bwMode="auto">
        <a:xfrm>
          <a:off x="0" y="0"/>
          <a:ext cx="742951" cy="2762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4612481" y="3886200"/>
          <a:ext cx="7946231" cy="266938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714375</xdr:colOff>
      <xdr:row>0</xdr:row>
      <xdr:rowOff>0</xdr:rowOff>
    </xdr:from>
    <xdr:to>
      <xdr:col>1</xdr:col>
      <xdr:colOff>1743075</xdr:colOff>
      <xdr:row>1</xdr:row>
      <xdr:rowOff>114300</xdr:rowOff>
    </xdr:to>
    <xdr:pic>
      <xdr:nvPicPr>
        <xdr:cNvPr id="3"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6325" y="0"/>
          <a:ext cx="10287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742951</xdr:colOff>
      <xdr:row>0</xdr:row>
      <xdr:rowOff>276226</xdr:rowOff>
    </xdr:to>
    <xdr:pic>
      <xdr:nvPicPr>
        <xdr:cNvPr id="3" name="Picture 2"/>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791" t="25491" r="5495" b="17647"/>
        <a:stretch/>
      </xdr:blipFill>
      <xdr:spPr bwMode="auto">
        <a:xfrm>
          <a:off x="0" y="0"/>
          <a:ext cx="742951" cy="2762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323851</xdr:colOff>
      <xdr:row>0</xdr:row>
      <xdr:rowOff>276226</xdr:rowOff>
    </xdr:to>
    <xdr:pic>
      <xdr:nvPicPr>
        <xdr:cNvPr id="3" name="Picture 2"/>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791" t="25491" r="5495" b="17647"/>
        <a:stretch/>
      </xdr:blipFill>
      <xdr:spPr bwMode="auto">
        <a:xfrm>
          <a:off x="0" y="0"/>
          <a:ext cx="742951" cy="2762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323851</xdr:colOff>
      <xdr:row>0</xdr:row>
      <xdr:rowOff>276226</xdr:rowOff>
    </xdr:to>
    <xdr:pic>
      <xdr:nvPicPr>
        <xdr:cNvPr id="3" name="Picture 2"/>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791" t="25491" r="5495" b="17647"/>
        <a:stretch/>
      </xdr:blipFill>
      <xdr:spPr bwMode="auto">
        <a:xfrm>
          <a:off x="0" y="0"/>
          <a:ext cx="742951" cy="2762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323851</xdr:colOff>
      <xdr:row>1</xdr:row>
      <xdr:rowOff>19051</xdr:rowOff>
    </xdr:to>
    <xdr:pic>
      <xdr:nvPicPr>
        <xdr:cNvPr id="3" name="Picture 2"/>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791" t="25491" r="5495" b="17647"/>
        <a:stretch/>
      </xdr:blipFill>
      <xdr:spPr bwMode="auto">
        <a:xfrm>
          <a:off x="0" y="0"/>
          <a:ext cx="742951" cy="2762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9"/>
  <sheetViews>
    <sheetView view="pageBreakPreview" topLeftCell="A10" zoomScale="80" zoomScaleNormal="50" zoomScaleSheetLayoutView="80" workbookViewId="0">
      <selection activeCell="H39" sqref="H39"/>
    </sheetView>
  </sheetViews>
  <sheetFormatPr defaultRowHeight="15"/>
  <cols>
    <col min="1" max="1" width="11.85546875" style="141" customWidth="1"/>
    <col min="2" max="2" width="6.140625" style="141" customWidth="1"/>
    <col min="3" max="3" width="11.42578125" style="141" customWidth="1"/>
    <col min="4" max="4" width="24.28515625" style="141" customWidth="1"/>
    <col min="5" max="5" width="23.140625" style="141" customWidth="1"/>
    <col min="6" max="6" width="5.28515625" style="141" customWidth="1"/>
    <col min="7" max="7" width="24.5703125" style="141" customWidth="1"/>
    <col min="8" max="8" width="21.42578125" style="141" customWidth="1"/>
    <col min="9" max="9" width="12.85546875" style="141" customWidth="1"/>
    <col min="10" max="16384" width="9.140625" style="141"/>
  </cols>
  <sheetData>
    <row r="1" spans="1:10" ht="15.75">
      <c r="A1" s="239" t="s">
        <v>1004</v>
      </c>
      <c r="B1" s="239"/>
    </row>
    <row r="2" spans="1:10" ht="15.75">
      <c r="C2" s="240" t="s">
        <v>1039</v>
      </c>
      <c r="D2" s="241"/>
      <c r="E2" s="242"/>
    </row>
    <row r="3" spans="1:10" ht="15.75">
      <c r="A3" s="142"/>
      <c r="B3" s="142"/>
      <c r="C3" s="243" t="s">
        <v>1040</v>
      </c>
      <c r="D3" s="244"/>
      <c r="E3" s="245"/>
    </row>
    <row r="4" spans="1:10">
      <c r="A4" s="143"/>
      <c r="B4" s="143"/>
    </row>
    <row r="5" spans="1:10" ht="15.75">
      <c r="A5" s="246" t="s">
        <v>1005</v>
      </c>
      <c r="B5" s="246"/>
      <c r="E5" s="144"/>
      <c r="F5" s="144"/>
      <c r="G5" s="144"/>
      <c r="H5" s="144"/>
      <c r="I5" s="144"/>
    </row>
    <row r="6" spans="1:10" ht="15.75">
      <c r="A6" s="142"/>
      <c r="B6" s="142"/>
      <c r="C6" s="247" t="s">
        <v>6</v>
      </c>
      <c r="D6" s="248"/>
      <c r="E6" s="145" t="s">
        <v>1006</v>
      </c>
      <c r="F6" s="146"/>
      <c r="G6" s="146"/>
      <c r="H6" s="146"/>
      <c r="I6" s="147"/>
    </row>
    <row r="7" spans="1:10" ht="15.75">
      <c r="A7" s="142"/>
      <c r="B7" s="142"/>
      <c r="C7" s="237" t="s">
        <v>8</v>
      </c>
      <c r="D7" s="238"/>
      <c r="E7" s="148" t="s">
        <v>9</v>
      </c>
      <c r="F7" s="149"/>
      <c r="G7" s="149"/>
      <c r="H7" s="149"/>
      <c r="I7" s="150"/>
      <c r="J7" s="151"/>
    </row>
    <row r="8" spans="1:10" ht="15.75">
      <c r="A8" s="142"/>
      <c r="B8" s="142"/>
      <c r="C8" s="249" t="s">
        <v>11</v>
      </c>
      <c r="D8" s="250"/>
      <c r="E8" s="152" t="s">
        <v>1007</v>
      </c>
      <c r="F8" s="153"/>
      <c r="G8" s="153"/>
      <c r="H8" s="153"/>
      <c r="I8" s="154"/>
      <c r="J8" s="151"/>
    </row>
    <row r="9" spans="1:10" ht="15.75">
      <c r="A9" s="142"/>
      <c r="B9" s="142"/>
      <c r="C9" s="237" t="s">
        <v>1008</v>
      </c>
      <c r="D9" s="238"/>
      <c r="E9" s="148" t="s">
        <v>581</v>
      </c>
      <c r="F9" s="149"/>
      <c r="G9" s="149"/>
      <c r="H9" s="149"/>
      <c r="I9" s="150"/>
      <c r="J9" s="151"/>
    </row>
    <row r="10" spans="1:10" ht="15.75">
      <c r="A10" s="142"/>
      <c r="B10" s="142"/>
      <c r="C10" s="249" t="s">
        <v>16</v>
      </c>
      <c r="D10" s="250"/>
      <c r="E10" s="152" t="s">
        <v>1009</v>
      </c>
      <c r="F10" s="153"/>
      <c r="G10" s="153"/>
      <c r="H10" s="153"/>
      <c r="I10" s="154"/>
      <c r="J10" s="151"/>
    </row>
    <row r="11" spans="1:10" ht="15.75">
      <c r="A11" s="142"/>
      <c r="B11" s="142"/>
      <c r="C11" s="237" t="s">
        <v>1010</v>
      </c>
      <c r="D11" s="238"/>
      <c r="E11" s="148" t="s">
        <v>1011</v>
      </c>
      <c r="F11" s="149"/>
      <c r="G11" s="149"/>
      <c r="H11" s="149"/>
      <c r="I11" s="150"/>
      <c r="J11" s="151"/>
    </row>
    <row r="12" spans="1:10" ht="15.75">
      <c r="A12" s="142"/>
      <c r="B12" s="142"/>
      <c r="C12" s="249" t="s">
        <v>21</v>
      </c>
      <c r="D12" s="250"/>
      <c r="E12" s="155">
        <v>44109</v>
      </c>
      <c r="F12" s="153"/>
      <c r="G12" s="153"/>
      <c r="H12" s="153"/>
      <c r="I12" s="154"/>
      <c r="J12" s="151"/>
    </row>
    <row r="13" spans="1:10" ht="15.75">
      <c r="A13" s="142"/>
      <c r="B13" s="142"/>
      <c r="C13" s="258" t="s">
        <v>22</v>
      </c>
      <c r="D13" s="244"/>
      <c r="E13" s="251">
        <v>44109</v>
      </c>
      <c r="F13" s="251"/>
      <c r="G13" s="251"/>
      <c r="H13" s="251"/>
      <c r="I13" s="156"/>
      <c r="J13" s="151"/>
    </row>
    <row r="14" spans="1:10" ht="15.75">
      <c r="C14" s="144"/>
      <c r="D14" s="157"/>
      <c r="E14" s="144"/>
      <c r="F14" s="144"/>
      <c r="G14" s="144"/>
      <c r="H14" s="144"/>
      <c r="I14" s="144"/>
      <c r="J14" s="144"/>
    </row>
    <row r="15" spans="1:10" ht="15.75">
      <c r="A15" s="246" t="s">
        <v>1012</v>
      </c>
      <c r="B15" s="246"/>
      <c r="E15" s="144"/>
      <c r="F15" s="144"/>
      <c r="G15" s="144"/>
      <c r="H15" s="144"/>
      <c r="I15" s="144"/>
      <c r="J15" s="144"/>
    </row>
    <row r="16" spans="1:10" ht="15.75">
      <c r="C16" s="252" t="s">
        <v>291</v>
      </c>
      <c r="D16" s="253"/>
      <c r="E16" s="254"/>
      <c r="G16" s="252" t="s">
        <v>1013</v>
      </c>
      <c r="H16" s="253"/>
      <c r="I16" s="254"/>
    </row>
    <row r="17" spans="1:9" ht="15.75">
      <c r="A17" s="144"/>
      <c r="B17" s="144"/>
      <c r="C17" s="255" t="s">
        <v>293</v>
      </c>
      <c r="D17" s="256"/>
      <c r="E17" s="257"/>
      <c r="G17" s="255" t="s">
        <v>294</v>
      </c>
      <c r="H17" s="256"/>
      <c r="I17" s="257"/>
    </row>
    <row r="18" spans="1:9" ht="15.75">
      <c r="A18" s="144"/>
      <c r="B18" s="144"/>
      <c r="C18" s="255"/>
      <c r="D18" s="256"/>
      <c r="E18" s="257"/>
      <c r="G18" s="260"/>
      <c r="H18" s="261"/>
      <c r="I18" s="262"/>
    </row>
    <row r="19" spans="1:9" ht="27" customHeight="1">
      <c r="A19" s="144"/>
      <c r="B19" s="144"/>
      <c r="C19" s="255"/>
      <c r="D19" s="256"/>
      <c r="E19" s="257"/>
      <c r="G19" s="260"/>
      <c r="H19" s="261"/>
      <c r="I19" s="262"/>
    </row>
    <row r="20" spans="1:9" ht="15.75">
      <c r="A20" s="144"/>
      <c r="B20" s="144"/>
      <c r="C20" s="255"/>
      <c r="D20" s="256"/>
      <c r="E20" s="257"/>
      <c r="G20" s="260"/>
      <c r="H20" s="261"/>
      <c r="I20" s="262"/>
    </row>
    <row r="21" spans="1:9" ht="15.75">
      <c r="A21" s="144"/>
      <c r="B21" s="144"/>
      <c r="C21" s="255"/>
      <c r="D21" s="256"/>
      <c r="E21" s="257"/>
      <c r="G21" s="260"/>
      <c r="H21" s="261"/>
      <c r="I21" s="262"/>
    </row>
    <row r="22" spans="1:9" ht="15.75">
      <c r="A22" s="144"/>
      <c r="B22" s="144"/>
      <c r="C22" s="255"/>
      <c r="D22" s="256"/>
      <c r="E22" s="257"/>
      <c r="G22" s="260"/>
      <c r="H22" s="261"/>
      <c r="I22" s="262"/>
    </row>
    <row r="23" spans="1:9" ht="15.75">
      <c r="A23" s="144"/>
      <c r="B23" s="144"/>
      <c r="C23" s="255"/>
      <c r="D23" s="256"/>
      <c r="E23" s="257"/>
      <c r="G23" s="260"/>
      <c r="H23" s="261"/>
      <c r="I23" s="262"/>
    </row>
    <row r="24" spans="1:9" ht="15.75">
      <c r="A24" s="144"/>
      <c r="B24" s="144"/>
      <c r="C24" s="263" t="s">
        <v>1007</v>
      </c>
      <c r="D24" s="264"/>
      <c r="E24" s="265"/>
      <c r="G24" s="263" t="s">
        <v>1006</v>
      </c>
      <c r="H24" s="264"/>
      <c r="I24" s="265"/>
    </row>
    <row r="25" spans="1:9" ht="15.75">
      <c r="A25" s="144"/>
      <c r="B25" s="144"/>
      <c r="C25" s="263" t="s">
        <v>297</v>
      </c>
      <c r="D25" s="264"/>
      <c r="E25" s="265"/>
      <c r="G25" s="263" t="s">
        <v>575</v>
      </c>
      <c r="H25" s="264"/>
      <c r="I25" s="265"/>
    </row>
    <row r="26" spans="1:9" ht="15.75">
      <c r="A26" s="144"/>
      <c r="B26" s="144"/>
      <c r="C26" s="266" t="s">
        <v>1014</v>
      </c>
      <c r="D26" s="267"/>
      <c r="E26" s="268"/>
      <c r="G26" s="266" t="s">
        <v>1015</v>
      </c>
      <c r="H26" s="267"/>
      <c r="I26" s="268"/>
    </row>
    <row r="27" spans="1:9" ht="15.75">
      <c r="A27" s="144"/>
      <c r="B27" s="144"/>
      <c r="C27" s="158"/>
      <c r="D27" s="158"/>
      <c r="E27" s="158"/>
      <c r="G27" s="159"/>
      <c r="H27" s="159"/>
      <c r="I27" s="159"/>
    </row>
    <row r="28" spans="1:9" ht="15.75">
      <c r="A28" s="144"/>
      <c r="B28" s="144"/>
      <c r="C28" s="158"/>
      <c r="D28" s="158"/>
      <c r="E28" s="158"/>
      <c r="G28" s="159"/>
      <c r="H28" s="159"/>
      <c r="I28" s="159"/>
    </row>
    <row r="29" spans="1:9" ht="15.75">
      <c r="A29" s="144"/>
      <c r="B29" s="144"/>
      <c r="C29" s="160" t="s">
        <v>140</v>
      </c>
      <c r="D29" s="269" t="s">
        <v>1016</v>
      </c>
      <c r="E29" s="269"/>
      <c r="F29" s="269"/>
      <c r="G29" s="269"/>
      <c r="H29" s="161" t="s">
        <v>1017</v>
      </c>
      <c r="I29" s="159"/>
    </row>
    <row r="30" spans="1:9" ht="15.75">
      <c r="A30" s="144"/>
      <c r="B30" s="144"/>
      <c r="C30" s="160" t="s">
        <v>942</v>
      </c>
      <c r="D30" s="269" t="s">
        <v>1018</v>
      </c>
      <c r="E30" s="269"/>
      <c r="F30" s="269"/>
      <c r="G30" s="269"/>
      <c r="H30" s="161"/>
      <c r="I30" s="159"/>
    </row>
    <row r="31" spans="1:9" ht="15.75">
      <c r="A31" s="144"/>
      <c r="B31" s="144"/>
      <c r="C31" s="162">
        <v>1</v>
      </c>
      <c r="D31" s="259" t="s">
        <v>1019</v>
      </c>
      <c r="E31" s="259"/>
      <c r="F31" s="259"/>
      <c r="G31" s="259"/>
      <c r="H31" s="163" t="s">
        <v>1020</v>
      </c>
      <c r="I31" s="159"/>
    </row>
    <row r="32" spans="1:9" ht="15.75">
      <c r="A32" s="144"/>
      <c r="B32" s="144"/>
      <c r="C32" s="162">
        <v>2</v>
      </c>
      <c r="D32" s="259" t="s">
        <v>1021</v>
      </c>
      <c r="E32" s="259"/>
      <c r="F32" s="259"/>
      <c r="G32" s="259"/>
      <c r="H32" s="163" t="s">
        <v>1022</v>
      </c>
      <c r="I32" s="159"/>
    </row>
    <row r="33" spans="1:9" ht="15.75">
      <c r="A33" s="144"/>
      <c r="B33" s="144"/>
      <c r="C33" s="162">
        <v>3</v>
      </c>
      <c r="D33" s="259" t="s">
        <v>1023</v>
      </c>
      <c r="E33" s="259"/>
      <c r="F33" s="259"/>
      <c r="G33" s="259"/>
      <c r="H33" s="163" t="s">
        <v>1024</v>
      </c>
      <c r="I33" s="159"/>
    </row>
    <row r="34" spans="1:9" ht="15.75">
      <c r="A34" s="144"/>
      <c r="B34" s="144"/>
      <c r="C34" s="162">
        <v>4</v>
      </c>
      <c r="D34" s="259" t="s">
        <v>1025</v>
      </c>
      <c r="E34" s="259"/>
      <c r="F34" s="259"/>
      <c r="G34" s="259"/>
      <c r="H34" s="163" t="s">
        <v>1026</v>
      </c>
      <c r="I34" s="159"/>
    </row>
    <row r="35" spans="1:9" ht="15.75">
      <c r="A35" s="144"/>
      <c r="B35" s="144"/>
      <c r="C35" s="162">
        <v>5</v>
      </c>
      <c r="D35" s="259" t="s">
        <v>1027</v>
      </c>
      <c r="E35" s="259"/>
      <c r="F35" s="259"/>
      <c r="G35" s="259"/>
      <c r="H35" s="163" t="s">
        <v>1028</v>
      </c>
      <c r="I35" s="159"/>
    </row>
    <row r="36" spans="1:9" ht="15.75">
      <c r="A36" s="144"/>
      <c r="B36" s="144"/>
      <c r="C36" s="162">
        <v>6</v>
      </c>
      <c r="D36" s="259" t="s">
        <v>1029</v>
      </c>
      <c r="E36" s="259"/>
      <c r="F36" s="259"/>
      <c r="G36" s="259"/>
      <c r="H36" s="163" t="s">
        <v>1030</v>
      </c>
      <c r="I36" s="159"/>
    </row>
    <row r="37" spans="1:9" ht="15.75">
      <c r="A37" s="144"/>
      <c r="B37" s="144"/>
      <c r="C37" s="162">
        <v>7</v>
      </c>
      <c r="D37" s="259" t="s">
        <v>1031</v>
      </c>
      <c r="E37" s="259"/>
      <c r="F37" s="259"/>
      <c r="G37" s="259"/>
      <c r="H37" s="163" t="s">
        <v>1032</v>
      </c>
      <c r="I37" s="159"/>
    </row>
    <row r="38" spans="1:9" ht="15.75">
      <c r="A38" s="144"/>
      <c r="B38" s="144"/>
      <c r="C38" s="162">
        <v>8</v>
      </c>
      <c r="D38" s="259" t="s">
        <v>1033</v>
      </c>
      <c r="E38" s="259"/>
      <c r="F38" s="259"/>
      <c r="G38" s="259"/>
      <c r="H38" s="164" t="s">
        <v>1034</v>
      </c>
      <c r="I38" s="159"/>
    </row>
    <row r="39" spans="1:9" ht="15.75">
      <c r="A39" s="144"/>
      <c r="B39" s="144"/>
      <c r="C39" s="162">
        <v>9</v>
      </c>
      <c r="D39" s="259" t="s">
        <v>1035</v>
      </c>
      <c r="E39" s="259"/>
      <c r="F39" s="259"/>
      <c r="G39" s="259"/>
      <c r="H39" s="163" t="s">
        <v>1036</v>
      </c>
      <c r="I39" s="159"/>
    </row>
    <row r="40" spans="1:9" ht="15.75">
      <c r="A40" s="144"/>
      <c r="B40" s="144"/>
      <c r="C40" s="160" t="s">
        <v>977</v>
      </c>
      <c r="D40" s="270" t="s">
        <v>1037</v>
      </c>
      <c r="E40" s="270"/>
      <c r="F40" s="270"/>
      <c r="G40" s="270"/>
      <c r="H40" s="165" t="s">
        <v>1038</v>
      </c>
      <c r="I40" s="159"/>
    </row>
    <row r="41" spans="1:9" ht="15.75">
      <c r="A41" s="144"/>
      <c r="B41" s="144"/>
      <c r="C41" s="158"/>
      <c r="D41" s="158"/>
      <c r="E41" s="158"/>
      <c r="G41" s="159"/>
      <c r="H41" s="159"/>
      <c r="I41" s="159"/>
    </row>
    <row r="42" spans="1:9" ht="15.75">
      <c r="A42" s="144"/>
      <c r="B42" s="144"/>
      <c r="C42" s="158"/>
      <c r="D42" s="158"/>
      <c r="E42" s="158"/>
      <c r="G42" s="159"/>
      <c r="H42" s="159"/>
      <c r="I42" s="159"/>
    </row>
    <row r="43" spans="1:9" ht="15.75">
      <c r="A43" s="144"/>
      <c r="B43" s="144"/>
      <c r="C43" s="158"/>
      <c r="D43" s="158"/>
      <c r="E43" s="158"/>
      <c r="G43" s="159"/>
      <c r="H43" s="159"/>
      <c r="I43" s="159"/>
    </row>
    <row r="44" spans="1:9" ht="15.75">
      <c r="A44" s="144"/>
      <c r="B44" s="144"/>
      <c r="C44" s="158"/>
      <c r="D44" s="158"/>
      <c r="E44" s="158"/>
      <c r="G44" s="159"/>
      <c r="H44" s="159"/>
      <c r="I44" s="159"/>
    </row>
    <row r="45" spans="1:9" ht="15.75">
      <c r="A45" s="144"/>
      <c r="B45" s="144"/>
      <c r="C45" s="158"/>
      <c r="D45" s="158"/>
      <c r="E45" s="158"/>
      <c r="G45" s="159"/>
      <c r="H45" s="159"/>
      <c r="I45" s="159"/>
    </row>
    <row r="46" spans="1:9" ht="15.75">
      <c r="A46" s="144"/>
      <c r="B46" s="144"/>
      <c r="C46" s="158"/>
      <c r="D46" s="158"/>
      <c r="E46" s="158"/>
      <c r="G46" s="159"/>
      <c r="H46" s="159"/>
      <c r="I46" s="159"/>
    </row>
    <row r="47" spans="1:9" ht="15.75">
      <c r="A47" s="144"/>
      <c r="B47" s="144"/>
      <c r="C47" s="158"/>
      <c r="D47" s="158"/>
      <c r="E47" s="158"/>
      <c r="G47" s="159"/>
      <c r="H47" s="159"/>
      <c r="I47" s="159"/>
    </row>
    <row r="48" spans="1:9" ht="15.75">
      <c r="A48" s="144"/>
      <c r="B48" s="144"/>
      <c r="C48" s="158"/>
      <c r="D48" s="158"/>
      <c r="E48" s="158"/>
      <c r="G48" s="159"/>
      <c r="H48" s="159"/>
      <c r="I48" s="159"/>
    </row>
    <row r="49" spans="1:9" ht="15.75">
      <c r="A49" s="144"/>
      <c r="B49" s="144"/>
      <c r="C49" s="158"/>
      <c r="D49" s="158"/>
      <c r="E49" s="158"/>
      <c r="G49" s="159"/>
      <c r="H49" s="159"/>
      <c r="I49" s="159"/>
    </row>
    <row r="50" spans="1:9" ht="15.75">
      <c r="A50" s="144"/>
      <c r="B50" s="144"/>
      <c r="C50" s="158"/>
      <c r="D50" s="158"/>
      <c r="E50" s="158"/>
      <c r="G50" s="159"/>
      <c r="H50" s="159"/>
      <c r="I50" s="159"/>
    </row>
    <row r="51" spans="1:9" ht="15.75">
      <c r="A51" s="144"/>
      <c r="B51" s="144"/>
      <c r="C51" s="158"/>
      <c r="D51" s="158"/>
      <c r="E51" s="158"/>
      <c r="G51" s="159"/>
      <c r="H51" s="159"/>
      <c r="I51" s="159"/>
    </row>
    <row r="52" spans="1:9" ht="15.75">
      <c r="B52" s="166"/>
      <c r="C52" s="167"/>
    </row>
    <row r="69" ht="78.75" customHeight="1"/>
  </sheetData>
  <mergeCells count="38">
    <mergeCell ref="D39:G39"/>
    <mergeCell ref="D40:G40"/>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BCThuNhap_06203!A1" display="06203"/>
    <hyperlink ref="H37" location="BCTinhHinhTaiChinh_06105!A1" display="06105"/>
    <hyperlink ref="H38" location="GTTSRong_06107!Print_Area" display="06107"/>
    <hyperlink ref="H39" location="BCThayDoiNAV_PL15.229!A1" display="06182"/>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2"/>
  <sheetViews>
    <sheetView showGridLines="0" showZeros="0" showOutlineSymbols="0" view="pageBreakPreview" topLeftCell="A70" zoomScaleNormal="100" zoomScaleSheetLayoutView="100" workbookViewId="0">
      <selection activeCell="C1" sqref="A1:F112"/>
    </sheetView>
  </sheetViews>
  <sheetFormatPr defaultRowHeight="15"/>
  <cols>
    <col min="1" max="1" width="6.28515625" style="1" customWidth="1"/>
    <col min="2" max="2" width="45.85546875" style="1" customWidth="1"/>
    <col min="3" max="3" width="9.28515625" style="1" customWidth="1"/>
    <col min="4" max="5" width="17.140625" style="1" customWidth="1"/>
    <col min="6" max="6" width="11.7109375" style="1" customWidth="1"/>
    <col min="7" max="256" width="9.140625" style="1"/>
    <col min="257" max="257" width="6.28515625" style="1" customWidth="1"/>
    <col min="258" max="258" width="45.85546875" style="1" customWidth="1"/>
    <col min="259" max="259" width="9.28515625" style="1" customWidth="1"/>
    <col min="260" max="261" width="17.140625" style="1" customWidth="1"/>
    <col min="262" max="262" width="11.7109375" style="1" customWidth="1"/>
    <col min="263" max="512" width="9.140625" style="1"/>
    <col min="513" max="513" width="6.28515625" style="1" customWidth="1"/>
    <col min="514" max="514" width="45.85546875" style="1" customWidth="1"/>
    <col min="515" max="515" width="9.28515625" style="1" customWidth="1"/>
    <col min="516" max="517" width="17.140625" style="1" customWidth="1"/>
    <col min="518" max="518" width="11.7109375" style="1" customWidth="1"/>
    <col min="519" max="768" width="9.140625" style="1"/>
    <col min="769" max="769" width="6.28515625" style="1" customWidth="1"/>
    <col min="770" max="770" width="45.85546875" style="1" customWidth="1"/>
    <col min="771" max="771" width="9.28515625" style="1" customWidth="1"/>
    <col min="772" max="773" width="17.140625" style="1" customWidth="1"/>
    <col min="774" max="774" width="11.7109375" style="1" customWidth="1"/>
    <col min="775" max="1024" width="9.140625" style="1"/>
    <col min="1025" max="1025" width="6.28515625" style="1" customWidth="1"/>
    <col min="1026" max="1026" width="45.85546875" style="1" customWidth="1"/>
    <col min="1027" max="1027" width="9.28515625" style="1" customWidth="1"/>
    <col min="1028" max="1029" width="17.140625" style="1" customWidth="1"/>
    <col min="1030" max="1030" width="11.7109375" style="1" customWidth="1"/>
    <col min="1031" max="1280" width="9.140625" style="1"/>
    <col min="1281" max="1281" width="6.28515625" style="1" customWidth="1"/>
    <col min="1282" max="1282" width="45.85546875" style="1" customWidth="1"/>
    <col min="1283" max="1283" width="9.28515625" style="1" customWidth="1"/>
    <col min="1284" max="1285" width="17.140625" style="1" customWidth="1"/>
    <col min="1286" max="1286" width="11.7109375" style="1" customWidth="1"/>
    <col min="1287" max="1536" width="9.140625" style="1"/>
    <col min="1537" max="1537" width="6.28515625" style="1" customWidth="1"/>
    <col min="1538" max="1538" width="45.85546875" style="1" customWidth="1"/>
    <col min="1539" max="1539" width="9.28515625" style="1" customWidth="1"/>
    <col min="1540" max="1541" width="17.140625" style="1" customWidth="1"/>
    <col min="1542" max="1542" width="11.7109375" style="1" customWidth="1"/>
    <col min="1543" max="1792" width="9.140625" style="1"/>
    <col min="1793" max="1793" width="6.28515625" style="1" customWidth="1"/>
    <col min="1794" max="1794" width="45.85546875" style="1" customWidth="1"/>
    <col min="1795" max="1795" width="9.28515625" style="1" customWidth="1"/>
    <col min="1796" max="1797" width="17.140625" style="1" customWidth="1"/>
    <col min="1798" max="1798" width="11.7109375" style="1" customWidth="1"/>
    <col min="1799" max="2048" width="9.140625" style="1"/>
    <col min="2049" max="2049" width="6.28515625" style="1" customWidth="1"/>
    <col min="2050" max="2050" width="45.85546875" style="1" customWidth="1"/>
    <col min="2051" max="2051" width="9.28515625" style="1" customWidth="1"/>
    <col min="2052" max="2053" width="17.140625" style="1" customWidth="1"/>
    <col min="2054" max="2054" width="11.7109375" style="1" customWidth="1"/>
    <col min="2055" max="2304" width="9.140625" style="1"/>
    <col min="2305" max="2305" width="6.28515625" style="1" customWidth="1"/>
    <col min="2306" max="2306" width="45.85546875" style="1" customWidth="1"/>
    <col min="2307" max="2307" width="9.28515625" style="1" customWidth="1"/>
    <col min="2308" max="2309" width="17.140625" style="1" customWidth="1"/>
    <col min="2310" max="2310" width="11.7109375" style="1" customWidth="1"/>
    <col min="2311" max="2560" width="9.140625" style="1"/>
    <col min="2561" max="2561" width="6.28515625" style="1" customWidth="1"/>
    <col min="2562" max="2562" width="45.85546875" style="1" customWidth="1"/>
    <col min="2563" max="2563" width="9.28515625" style="1" customWidth="1"/>
    <col min="2564" max="2565" width="17.140625" style="1" customWidth="1"/>
    <col min="2566" max="2566" width="11.7109375" style="1" customWidth="1"/>
    <col min="2567" max="2816" width="9.140625" style="1"/>
    <col min="2817" max="2817" width="6.28515625" style="1" customWidth="1"/>
    <col min="2818" max="2818" width="45.85546875" style="1" customWidth="1"/>
    <col min="2819" max="2819" width="9.28515625" style="1" customWidth="1"/>
    <col min="2820" max="2821" width="17.140625" style="1" customWidth="1"/>
    <col min="2822" max="2822" width="11.7109375" style="1" customWidth="1"/>
    <col min="2823" max="3072" width="9.140625" style="1"/>
    <col min="3073" max="3073" width="6.28515625" style="1" customWidth="1"/>
    <col min="3074" max="3074" width="45.85546875" style="1" customWidth="1"/>
    <col min="3075" max="3075" width="9.28515625" style="1" customWidth="1"/>
    <col min="3076" max="3077" width="17.140625" style="1" customWidth="1"/>
    <col min="3078" max="3078" width="11.7109375" style="1" customWidth="1"/>
    <col min="3079" max="3328" width="9.140625" style="1"/>
    <col min="3329" max="3329" width="6.28515625" style="1" customWidth="1"/>
    <col min="3330" max="3330" width="45.85546875" style="1" customWidth="1"/>
    <col min="3331" max="3331" width="9.28515625" style="1" customWidth="1"/>
    <col min="3332" max="3333" width="17.140625" style="1" customWidth="1"/>
    <col min="3334" max="3334" width="11.7109375" style="1" customWidth="1"/>
    <col min="3335" max="3584" width="9.140625" style="1"/>
    <col min="3585" max="3585" width="6.28515625" style="1" customWidth="1"/>
    <col min="3586" max="3586" width="45.85546875" style="1" customWidth="1"/>
    <col min="3587" max="3587" width="9.28515625" style="1" customWidth="1"/>
    <col min="3588" max="3589" width="17.140625" style="1" customWidth="1"/>
    <col min="3590" max="3590" width="11.7109375" style="1" customWidth="1"/>
    <col min="3591" max="3840" width="9.140625" style="1"/>
    <col min="3841" max="3841" width="6.28515625" style="1" customWidth="1"/>
    <col min="3842" max="3842" width="45.85546875" style="1" customWidth="1"/>
    <col min="3843" max="3843" width="9.28515625" style="1" customWidth="1"/>
    <col min="3844" max="3845" width="17.140625" style="1" customWidth="1"/>
    <col min="3846" max="3846" width="11.7109375" style="1" customWidth="1"/>
    <col min="3847" max="4096" width="9.140625" style="1"/>
    <col min="4097" max="4097" width="6.28515625" style="1" customWidth="1"/>
    <col min="4098" max="4098" width="45.85546875" style="1" customWidth="1"/>
    <col min="4099" max="4099" width="9.28515625" style="1" customWidth="1"/>
    <col min="4100" max="4101" width="17.140625" style="1" customWidth="1"/>
    <col min="4102" max="4102" width="11.7109375" style="1" customWidth="1"/>
    <col min="4103" max="4352" width="9.140625" style="1"/>
    <col min="4353" max="4353" width="6.28515625" style="1" customWidth="1"/>
    <col min="4354" max="4354" width="45.85546875" style="1" customWidth="1"/>
    <col min="4355" max="4355" width="9.28515625" style="1" customWidth="1"/>
    <col min="4356" max="4357" width="17.140625" style="1" customWidth="1"/>
    <col min="4358" max="4358" width="11.7109375" style="1" customWidth="1"/>
    <col min="4359" max="4608" width="9.140625" style="1"/>
    <col min="4609" max="4609" width="6.28515625" style="1" customWidth="1"/>
    <col min="4610" max="4610" width="45.85546875" style="1" customWidth="1"/>
    <col min="4611" max="4611" width="9.28515625" style="1" customWidth="1"/>
    <col min="4612" max="4613" width="17.140625" style="1" customWidth="1"/>
    <col min="4614" max="4614" width="11.7109375" style="1" customWidth="1"/>
    <col min="4615" max="4864" width="9.140625" style="1"/>
    <col min="4865" max="4865" width="6.28515625" style="1" customWidth="1"/>
    <col min="4866" max="4866" width="45.85546875" style="1" customWidth="1"/>
    <col min="4867" max="4867" width="9.28515625" style="1" customWidth="1"/>
    <col min="4868" max="4869" width="17.140625" style="1" customWidth="1"/>
    <col min="4870" max="4870" width="11.7109375" style="1" customWidth="1"/>
    <col min="4871" max="5120" width="9.140625" style="1"/>
    <col min="5121" max="5121" width="6.28515625" style="1" customWidth="1"/>
    <col min="5122" max="5122" width="45.85546875" style="1" customWidth="1"/>
    <col min="5123" max="5123" width="9.28515625" style="1" customWidth="1"/>
    <col min="5124" max="5125" width="17.140625" style="1" customWidth="1"/>
    <col min="5126" max="5126" width="11.7109375" style="1" customWidth="1"/>
    <col min="5127" max="5376" width="9.140625" style="1"/>
    <col min="5377" max="5377" width="6.28515625" style="1" customWidth="1"/>
    <col min="5378" max="5378" width="45.85546875" style="1" customWidth="1"/>
    <col min="5379" max="5379" width="9.28515625" style="1" customWidth="1"/>
    <col min="5380" max="5381" width="17.140625" style="1" customWidth="1"/>
    <col min="5382" max="5382" width="11.7109375" style="1" customWidth="1"/>
    <col min="5383" max="5632" width="9.140625" style="1"/>
    <col min="5633" max="5633" width="6.28515625" style="1" customWidth="1"/>
    <col min="5634" max="5634" width="45.85546875" style="1" customWidth="1"/>
    <col min="5635" max="5635" width="9.28515625" style="1" customWidth="1"/>
    <col min="5636" max="5637" width="17.140625" style="1" customWidth="1"/>
    <col min="5638" max="5638" width="11.7109375" style="1" customWidth="1"/>
    <col min="5639" max="5888" width="9.140625" style="1"/>
    <col min="5889" max="5889" width="6.28515625" style="1" customWidth="1"/>
    <col min="5890" max="5890" width="45.85546875" style="1" customWidth="1"/>
    <col min="5891" max="5891" width="9.28515625" style="1" customWidth="1"/>
    <col min="5892" max="5893" width="17.140625" style="1" customWidth="1"/>
    <col min="5894" max="5894" width="11.7109375" style="1" customWidth="1"/>
    <col min="5895" max="6144" width="9.140625" style="1"/>
    <col min="6145" max="6145" width="6.28515625" style="1" customWidth="1"/>
    <col min="6146" max="6146" width="45.85546875" style="1" customWidth="1"/>
    <col min="6147" max="6147" width="9.28515625" style="1" customWidth="1"/>
    <col min="6148" max="6149" width="17.140625" style="1" customWidth="1"/>
    <col min="6150" max="6150" width="11.7109375" style="1" customWidth="1"/>
    <col min="6151" max="6400" width="9.140625" style="1"/>
    <col min="6401" max="6401" width="6.28515625" style="1" customWidth="1"/>
    <col min="6402" max="6402" width="45.85546875" style="1" customWidth="1"/>
    <col min="6403" max="6403" width="9.28515625" style="1" customWidth="1"/>
    <col min="6404" max="6405" width="17.140625" style="1" customWidth="1"/>
    <col min="6406" max="6406" width="11.7109375" style="1" customWidth="1"/>
    <col min="6407" max="6656" width="9.140625" style="1"/>
    <col min="6657" max="6657" width="6.28515625" style="1" customWidth="1"/>
    <col min="6658" max="6658" width="45.85546875" style="1" customWidth="1"/>
    <col min="6659" max="6659" width="9.28515625" style="1" customWidth="1"/>
    <col min="6660" max="6661" width="17.140625" style="1" customWidth="1"/>
    <col min="6662" max="6662" width="11.7109375" style="1" customWidth="1"/>
    <col min="6663" max="6912" width="9.140625" style="1"/>
    <col min="6913" max="6913" width="6.28515625" style="1" customWidth="1"/>
    <col min="6914" max="6914" width="45.85546875" style="1" customWidth="1"/>
    <col min="6915" max="6915" width="9.28515625" style="1" customWidth="1"/>
    <col min="6916" max="6917" width="17.140625" style="1" customWidth="1"/>
    <col min="6918" max="6918" width="11.7109375" style="1" customWidth="1"/>
    <col min="6919" max="7168" width="9.140625" style="1"/>
    <col min="7169" max="7169" width="6.28515625" style="1" customWidth="1"/>
    <col min="7170" max="7170" width="45.85546875" style="1" customWidth="1"/>
    <col min="7171" max="7171" width="9.28515625" style="1" customWidth="1"/>
    <col min="7172" max="7173" width="17.140625" style="1" customWidth="1"/>
    <col min="7174" max="7174" width="11.7109375" style="1" customWidth="1"/>
    <col min="7175" max="7424" width="9.140625" style="1"/>
    <col min="7425" max="7425" width="6.28515625" style="1" customWidth="1"/>
    <col min="7426" max="7426" width="45.85546875" style="1" customWidth="1"/>
    <col min="7427" max="7427" width="9.28515625" style="1" customWidth="1"/>
    <col min="7428" max="7429" width="17.140625" style="1" customWidth="1"/>
    <col min="7430" max="7430" width="11.7109375" style="1" customWidth="1"/>
    <col min="7431" max="7680" width="9.140625" style="1"/>
    <col min="7681" max="7681" width="6.28515625" style="1" customWidth="1"/>
    <col min="7682" max="7682" width="45.85546875" style="1" customWidth="1"/>
    <col min="7683" max="7683" width="9.28515625" style="1" customWidth="1"/>
    <col min="7684" max="7685" width="17.140625" style="1" customWidth="1"/>
    <col min="7686" max="7686" width="11.7109375" style="1" customWidth="1"/>
    <col min="7687" max="7936" width="9.140625" style="1"/>
    <col min="7937" max="7937" width="6.28515625" style="1" customWidth="1"/>
    <col min="7938" max="7938" width="45.85546875" style="1" customWidth="1"/>
    <col min="7939" max="7939" width="9.28515625" style="1" customWidth="1"/>
    <col min="7940" max="7941" width="17.140625" style="1" customWidth="1"/>
    <col min="7942" max="7942" width="11.7109375" style="1" customWidth="1"/>
    <col min="7943" max="8192" width="9.140625" style="1"/>
    <col min="8193" max="8193" width="6.28515625" style="1" customWidth="1"/>
    <col min="8194" max="8194" width="45.85546875" style="1" customWidth="1"/>
    <col min="8195" max="8195" width="9.28515625" style="1" customWidth="1"/>
    <col min="8196" max="8197" width="17.140625" style="1" customWidth="1"/>
    <col min="8198" max="8198" width="11.7109375" style="1" customWidth="1"/>
    <col min="8199" max="8448" width="9.140625" style="1"/>
    <col min="8449" max="8449" width="6.28515625" style="1" customWidth="1"/>
    <col min="8450" max="8450" width="45.85546875" style="1" customWidth="1"/>
    <col min="8451" max="8451" width="9.28515625" style="1" customWidth="1"/>
    <col min="8452" max="8453" width="17.140625" style="1" customWidth="1"/>
    <col min="8454" max="8454" width="11.7109375" style="1" customWidth="1"/>
    <col min="8455" max="8704" width="9.140625" style="1"/>
    <col min="8705" max="8705" width="6.28515625" style="1" customWidth="1"/>
    <col min="8706" max="8706" width="45.85546875" style="1" customWidth="1"/>
    <col min="8707" max="8707" width="9.28515625" style="1" customWidth="1"/>
    <col min="8708" max="8709" width="17.140625" style="1" customWidth="1"/>
    <col min="8710" max="8710" width="11.7109375" style="1" customWidth="1"/>
    <col min="8711" max="8960" width="9.140625" style="1"/>
    <col min="8961" max="8961" width="6.28515625" style="1" customWidth="1"/>
    <col min="8962" max="8962" width="45.85546875" style="1" customWidth="1"/>
    <col min="8963" max="8963" width="9.28515625" style="1" customWidth="1"/>
    <col min="8964" max="8965" width="17.140625" style="1" customWidth="1"/>
    <col min="8966" max="8966" width="11.7109375" style="1" customWidth="1"/>
    <col min="8967" max="9216" width="9.140625" style="1"/>
    <col min="9217" max="9217" width="6.28515625" style="1" customWidth="1"/>
    <col min="9218" max="9218" width="45.85546875" style="1" customWidth="1"/>
    <col min="9219" max="9219" width="9.28515625" style="1" customWidth="1"/>
    <col min="9220" max="9221" width="17.140625" style="1" customWidth="1"/>
    <col min="9222" max="9222" width="11.7109375" style="1" customWidth="1"/>
    <col min="9223" max="9472" width="9.140625" style="1"/>
    <col min="9473" max="9473" width="6.28515625" style="1" customWidth="1"/>
    <col min="9474" max="9474" width="45.85546875" style="1" customWidth="1"/>
    <col min="9475" max="9475" width="9.28515625" style="1" customWidth="1"/>
    <col min="9476" max="9477" width="17.140625" style="1" customWidth="1"/>
    <col min="9478" max="9478" width="11.7109375" style="1" customWidth="1"/>
    <col min="9479" max="9728" width="9.140625" style="1"/>
    <col min="9729" max="9729" width="6.28515625" style="1" customWidth="1"/>
    <col min="9730" max="9730" width="45.85546875" style="1" customWidth="1"/>
    <col min="9731" max="9731" width="9.28515625" style="1" customWidth="1"/>
    <col min="9732" max="9733" width="17.140625" style="1" customWidth="1"/>
    <col min="9734" max="9734" width="11.7109375" style="1" customWidth="1"/>
    <col min="9735" max="9984" width="9.140625" style="1"/>
    <col min="9985" max="9985" width="6.28515625" style="1" customWidth="1"/>
    <col min="9986" max="9986" width="45.85546875" style="1" customWidth="1"/>
    <col min="9987" max="9987" width="9.28515625" style="1" customWidth="1"/>
    <col min="9988" max="9989" width="17.140625" style="1" customWidth="1"/>
    <col min="9990" max="9990" width="11.7109375" style="1" customWidth="1"/>
    <col min="9991" max="10240" width="9.140625" style="1"/>
    <col min="10241" max="10241" width="6.28515625" style="1" customWidth="1"/>
    <col min="10242" max="10242" width="45.85546875" style="1" customWidth="1"/>
    <col min="10243" max="10243" width="9.28515625" style="1" customWidth="1"/>
    <col min="10244" max="10245" width="17.140625" style="1" customWidth="1"/>
    <col min="10246" max="10246" width="11.7109375" style="1" customWidth="1"/>
    <col min="10247" max="10496" width="9.140625" style="1"/>
    <col min="10497" max="10497" width="6.28515625" style="1" customWidth="1"/>
    <col min="10498" max="10498" width="45.85546875" style="1" customWidth="1"/>
    <col min="10499" max="10499" width="9.28515625" style="1" customWidth="1"/>
    <col min="10500" max="10501" width="17.140625" style="1" customWidth="1"/>
    <col min="10502" max="10502" width="11.7109375" style="1" customWidth="1"/>
    <col min="10503" max="10752" width="9.140625" style="1"/>
    <col min="10753" max="10753" width="6.28515625" style="1" customWidth="1"/>
    <col min="10754" max="10754" width="45.85546875" style="1" customWidth="1"/>
    <col min="10755" max="10755" width="9.28515625" style="1" customWidth="1"/>
    <col min="10756" max="10757" width="17.140625" style="1" customWidth="1"/>
    <col min="10758" max="10758" width="11.7109375" style="1" customWidth="1"/>
    <col min="10759" max="11008" width="9.140625" style="1"/>
    <col min="11009" max="11009" width="6.28515625" style="1" customWidth="1"/>
    <col min="11010" max="11010" width="45.85546875" style="1" customWidth="1"/>
    <col min="11011" max="11011" width="9.28515625" style="1" customWidth="1"/>
    <col min="11012" max="11013" width="17.140625" style="1" customWidth="1"/>
    <col min="11014" max="11014" width="11.7109375" style="1" customWidth="1"/>
    <col min="11015" max="11264" width="9.140625" style="1"/>
    <col min="11265" max="11265" width="6.28515625" style="1" customWidth="1"/>
    <col min="11266" max="11266" width="45.85546875" style="1" customWidth="1"/>
    <col min="11267" max="11267" width="9.28515625" style="1" customWidth="1"/>
    <col min="11268" max="11269" width="17.140625" style="1" customWidth="1"/>
    <col min="11270" max="11270" width="11.7109375" style="1" customWidth="1"/>
    <col min="11271" max="11520" width="9.140625" style="1"/>
    <col min="11521" max="11521" width="6.28515625" style="1" customWidth="1"/>
    <col min="11522" max="11522" width="45.85546875" style="1" customWidth="1"/>
    <col min="11523" max="11523" width="9.28515625" style="1" customWidth="1"/>
    <col min="11524" max="11525" width="17.140625" style="1" customWidth="1"/>
    <col min="11526" max="11526" width="11.7109375" style="1" customWidth="1"/>
    <col min="11527" max="11776" width="9.140625" style="1"/>
    <col min="11777" max="11777" width="6.28515625" style="1" customWidth="1"/>
    <col min="11778" max="11778" width="45.85546875" style="1" customWidth="1"/>
    <col min="11779" max="11779" width="9.28515625" style="1" customWidth="1"/>
    <col min="11780" max="11781" width="17.140625" style="1" customWidth="1"/>
    <col min="11782" max="11782" width="11.7109375" style="1" customWidth="1"/>
    <col min="11783" max="12032" width="9.140625" style="1"/>
    <col min="12033" max="12033" width="6.28515625" style="1" customWidth="1"/>
    <col min="12034" max="12034" width="45.85546875" style="1" customWidth="1"/>
    <col min="12035" max="12035" width="9.28515625" style="1" customWidth="1"/>
    <col min="12036" max="12037" width="17.140625" style="1" customWidth="1"/>
    <col min="12038" max="12038" width="11.7109375" style="1" customWidth="1"/>
    <col min="12039" max="12288" width="9.140625" style="1"/>
    <col min="12289" max="12289" width="6.28515625" style="1" customWidth="1"/>
    <col min="12290" max="12290" width="45.85546875" style="1" customWidth="1"/>
    <col min="12291" max="12291" width="9.28515625" style="1" customWidth="1"/>
    <col min="12292" max="12293" width="17.140625" style="1" customWidth="1"/>
    <col min="12294" max="12294" width="11.7109375" style="1" customWidth="1"/>
    <col min="12295" max="12544" width="9.140625" style="1"/>
    <col min="12545" max="12545" width="6.28515625" style="1" customWidth="1"/>
    <col min="12546" max="12546" width="45.85546875" style="1" customWidth="1"/>
    <col min="12547" max="12547" width="9.28515625" style="1" customWidth="1"/>
    <col min="12548" max="12549" width="17.140625" style="1" customWidth="1"/>
    <col min="12550" max="12550" width="11.7109375" style="1" customWidth="1"/>
    <col min="12551" max="12800" width="9.140625" style="1"/>
    <col min="12801" max="12801" width="6.28515625" style="1" customWidth="1"/>
    <col min="12802" max="12802" width="45.85546875" style="1" customWidth="1"/>
    <col min="12803" max="12803" width="9.28515625" style="1" customWidth="1"/>
    <col min="12804" max="12805" width="17.140625" style="1" customWidth="1"/>
    <col min="12806" max="12806" width="11.7109375" style="1" customWidth="1"/>
    <col min="12807" max="13056" width="9.140625" style="1"/>
    <col min="13057" max="13057" width="6.28515625" style="1" customWidth="1"/>
    <col min="13058" max="13058" width="45.85546875" style="1" customWidth="1"/>
    <col min="13059" max="13059" width="9.28515625" style="1" customWidth="1"/>
    <col min="13060" max="13061" width="17.140625" style="1" customWidth="1"/>
    <col min="13062" max="13062" width="11.7109375" style="1" customWidth="1"/>
    <col min="13063" max="13312" width="9.140625" style="1"/>
    <col min="13313" max="13313" width="6.28515625" style="1" customWidth="1"/>
    <col min="13314" max="13314" width="45.85546875" style="1" customWidth="1"/>
    <col min="13315" max="13315" width="9.28515625" style="1" customWidth="1"/>
    <col min="13316" max="13317" width="17.140625" style="1" customWidth="1"/>
    <col min="13318" max="13318" width="11.7109375" style="1" customWidth="1"/>
    <col min="13319" max="13568" width="9.140625" style="1"/>
    <col min="13569" max="13569" width="6.28515625" style="1" customWidth="1"/>
    <col min="13570" max="13570" width="45.85546875" style="1" customWidth="1"/>
    <col min="13571" max="13571" width="9.28515625" style="1" customWidth="1"/>
    <col min="13572" max="13573" width="17.140625" style="1" customWidth="1"/>
    <col min="13574" max="13574" width="11.7109375" style="1" customWidth="1"/>
    <col min="13575" max="13824" width="9.140625" style="1"/>
    <col min="13825" max="13825" width="6.28515625" style="1" customWidth="1"/>
    <col min="13826" max="13826" width="45.85546875" style="1" customWidth="1"/>
    <col min="13827" max="13827" width="9.28515625" style="1" customWidth="1"/>
    <col min="13828" max="13829" width="17.140625" style="1" customWidth="1"/>
    <col min="13830" max="13830" width="11.7109375" style="1" customWidth="1"/>
    <col min="13831" max="14080" width="9.140625" style="1"/>
    <col min="14081" max="14081" width="6.28515625" style="1" customWidth="1"/>
    <col min="14082" max="14082" width="45.85546875" style="1" customWidth="1"/>
    <col min="14083" max="14083" width="9.28515625" style="1" customWidth="1"/>
    <col min="14084" max="14085" width="17.140625" style="1" customWidth="1"/>
    <col min="14086" max="14086" width="11.7109375" style="1" customWidth="1"/>
    <col min="14087" max="14336" width="9.140625" style="1"/>
    <col min="14337" max="14337" width="6.28515625" style="1" customWidth="1"/>
    <col min="14338" max="14338" width="45.85546875" style="1" customWidth="1"/>
    <col min="14339" max="14339" width="9.28515625" style="1" customWidth="1"/>
    <col min="14340" max="14341" width="17.140625" style="1" customWidth="1"/>
    <col min="14342" max="14342" width="11.7109375" style="1" customWidth="1"/>
    <col min="14343" max="14592" width="9.140625" style="1"/>
    <col min="14593" max="14593" width="6.28515625" style="1" customWidth="1"/>
    <col min="14594" max="14594" width="45.85546875" style="1" customWidth="1"/>
    <col min="14595" max="14595" width="9.28515625" style="1" customWidth="1"/>
    <col min="14596" max="14597" width="17.140625" style="1" customWidth="1"/>
    <col min="14598" max="14598" width="11.7109375" style="1" customWidth="1"/>
    <col min="14599" max="14848" width="9.140625" style="1"/>
    <col min="14849" max="14849" width="6.28515625" style="1" customWidth="1"/>
    <col min="14850" max="14850" width="45.85546875" style="1" customWidth="1"/>
    <col min="14851" max="14851" width="9.28515625" style="1" customWidth="1"/>
    <col min="14852" max="14853" width="17.140625" style="1" customWidth="1"/>
    <col min="14854" max="14854" width="11.7109375" style="1" customWidth="1"/>
    <col min="14855" max="15104" width="9.140625" style="1"/>
    <col min="15105" max="15105" width="6.28515625" style="1" customWidth="1"/>
    <col min="15106" max="15106" width="45.85546875" style="1" customWidth="1"/>
    <col min="15107" max="15107" width="9.28515625" style="1" customWidth="1"/>
    <col min="15108" max="15109" width="17.140625" style="1" customWidth="1"/>
    <col min="15110" max="15110" width="11.7109375" style="1" customWidth="1"/>
    <col min="15111" max="15360" width="9.140625" style="1"/>
    <col min="15361" max="15361" width="6.28515625" style="1" customWidth="1"/>
    <col min="15362" max="15362" width="45.85546875" style="1" customWidth="1"/>
    <col min="15363" max="15363" width="9.28515625" style="1" customWidth="1"/>
    <col min="15364" max="15365" width="17.140625" style="1" customWidth="1"/>
    <col min="15366" max="15366" width="11.7109375" style="1" customWidth="1"/>
    <col min="15367" max="15616" width="9.140625" style="1"/>
    <col min="15617" max="15617" width="6.28515625" style="1" customWidth="1"/>
    <col min="15618" max="15618" width="45.85546875" style="1" customWidth="1"/>
    <col min="15619" max="15619" width="9.28515625" style="1" customWidth="1"/>
    <col min="15620" max="15621" width="17.140625" style="1" customWidth="1"/>
    <col min="15622" max="15622" width="11.7109375" style="1" customWidth="1"/>
    <col min="15623" max="15872" width="9.140625" style="1"/>
    <col min="15873" max="15873" width="6.28515625" style="1" customWidth="1"/>
    <col min="15874" max="15874" width="45.85546875" style="1" customWidth="1"/>
    <col min="15875" max="15875" width="9.28515625" style="1" customWidth="1"/>
    <col min="15876" max="15877" width="17.140625" style="1" customWidth="1"/>
    <col min="15878" max="15878" width="11.7109375" style="1" customWidth="1"/>
    <col min="15879" max="16128" width="9.140625" style="1"/>
    <col min="16129" max="16129" width="6.28515625" style="1" customWidth="1"/>
    <col min="16130" max="16130" width="45.85546875" style="1" customWidth="1"/>
    <col min="16131" max="16131" width="9.28515625" style="1" customWidth="1"/>
    <col min="16132" max="16133" width="17.140625" style="1" customWidth="1"/>
    <col min="16134" max="16134" width="11.7109375" style="1" customWidth="1"/>
    <col min="16135" max="16384" width="9.140625" style="1"/>
  </cols>
  <sheetData>
    <row r="1" spans="1:6" ht="24.75" customHeight="1">
      <c r="A1" s="273"/>
      <c r="B1" s="273"/>
      <c r="C1" s="274" t="s">
        <v>365</v>
      </c>
      <c r="D1" s="274"/>
      <c r="E1" s="274"/>
      <c r="F1" s="274"/>
    </row>
    <row r="2" spans="1:6" ht="41.25" customHeight="1">
      <c r="A2" s="275" t="s">
        <v>366</v>
      </c>
      <c r="B2" s="275"/>
      <c r="C2" s="275"/>
      <c r="D2" s="275"/>
      <c r="E2" s="275"/>
      <c r="F2" s="275"/>
    </row>
    <row r="3" spans="1:6" ht="33" customHeight="1">
      <c r="A3" s="276" t="s">
        <v>147</v>
      </c>
      <c r="B3" s="276"/>
      <c r="C3" s="276"/>
      <c r="D3" s="276"/>
      <c r="E3" s="276"/>
      <c r="F3" s="276"/>
    </row>
    <row r="4" spans="1:6" ht="23.25" customHeight="1">
      <c r="A4" s="277" t="s">
        <v>367</v>
      </c>
      <c r="B4" s="277"/>
      <c r="C4" s="277"/>
      <c r="D4" s="277"/>
      <c r="E4" s="277"/>
      <c r="F4" s="277"/>
    </row>
    <row r="5" spans="1:6" ht="9" customHeight="1">
      <c r="A5" s="2"/>
      <c r="B5" s="2"/>
      <c r="C5" s="2"/>
      <c r="D5" s="2"/>
      <c r="E5" s="2"/>
      <c r="F5" s="2"/>
    </row>
    <row r="6" spans="1:6" ht="12.75" customHeight="1">
      <c r="A6" s="34" t="s">
        <v>5</v>
      </c>
      <c r="B6" s="64" t="s">
        <v>6</v>
      </c>
      <c r="C6" s="272" t="s">
        <v>7</v>
      </c>
      <c r="D6" s="272"/>
      <c r="E6" s="272"/>
      <c r="F6" s="272"/>
    </row>
    <row r="7" spans="1:6" ht="12.75" customHeight="1">
      <c r="A7" s="2"/>
      <c r="B7" s="65" t="s">
        <v>8</v>
      </c>
      <c r="C7" s="278" t="s">
        <v>9</v>
      </c>
      <c r="D7" s="278"/>
      <c r="E7" s="278"/>
      <c r="F7" s="278"/>
    </row>
    <row r="8" spans="1:6" ht="12.75" customHeight="1">
      <c r="A8" s="34" t="s">
        <v>10</v>
      </c>
      <c r="B8" s="64" t="s">
        <v>149</v>
      </c>
      <c r="C8" s="279" t="s">
        <v>12</v>
      </c>
      <c r="D8" s="279"/>
      <c r="E8" s="279"/>
      <c r="F8" s="279"/>
    </row>
    <row r="9" spans="1:6" ht="12.75" customHeight="1">
      <c r="A9" s="2"/>
      <c r="B9" s="65" t="s">
        <v>13</v>
      </c>
      <c r="C9" s="280" t="s">
        <v>14</v>
      </c>
      <c r="D9" s="280"/>
      <c r="E9" s="280"/>
      <c r="F9" s="280"/>
    </row>
    <row r="10" spans="1:6" ht="12.75" customHeight="1">
      <c r="A10" s="34" t="s">
        <v>15</v>
      </c>
      <c r="B10" s="64" t="s">
        <v>16</v>
      </c>
      <c r="C10" s="272" t="s">
        <v>17</v>
      </c>
      <c r="D10" s="272"/>
      <c r="E10" s="272"/>
      <c r="F10" s="272"/>
    </row>
    <row r="11" spans="1:6" ht="12.75" customHeight="1">
      <c r="A11" s="2"/>
      <c r="B11" s="65" t="s">
        <v>18</v>
      </c>
      <c r="C11" s="278" t="s">
        <v>19</v>
      </c>
      <c r="D11" s="278"/>
      <c r="E11" s="278"/>
      <c r="F11" s="278"/>
    </row>
    <row r="12" spans="1:6" ht="12.75" customHeight="1">
      <c r="A12" s="34" t="s">
        <v>20</v>
      </c>
      <c r="B12" s="64" t="s">
        <v>21</v>
      </c>
      <c r="C12" s="271">
        <v>44109</v>
      </c>
      <c r="D12" s="272"/>
      <c r="E12" s="272"/>
      <c r="F12" s="272"/>
    </row>
    <row r="13" spans="1:6" ht="12.75" customHeight="1">
      <c r="A13" s="2"/>
      <c r="B13" s="65" t="s">
        <v>22</v>
      </c>
      <c r="C13" s="283">
        <v>44109</v>
      </c>
      <c r="D13" s="278"/>
      <c r="E13" s="278"/>
      <c r="F13" s="278"/>
    </row>
    <row r="14" spans="1:6" ht="12.75" customHeight="1">
      <c r="A14" s="2"/>
      <c r="B14" s="66"/>
      <c r="C14" s="277"/>
      <c r="D14" s="277"/>
      <c r="E14" s="277"/>
      <c r="F14" s="277"/>
    </row>
    <row r="15" spans="1:6" ht="12.75" customHeight="1">
      <c r="A15" s="284" t="s">
        <v>150</v>
      </c>
      <c r="B15" s="284"/>
      <c r="C15" s="284"/>
      <c r="D15" s="284"/>
      <c r="E15" s="284"/>
      <c r="F15" s="284"/>
    </row>
    <row r="16" spans="1:6" ht="12.75" customHeight="1">
      <c r="A16" s="284" t="s">
        <v>368</v>
      </c>
      <c r="B16" s="284"/>
      <c r="C16" s="284"/>
      <c r="D16" s="284"/>
      <c r="E16" s="284"/>
      <c r="F16" s="2"/>
    </row>
    <row r="17" spans="1:6" ht="12.75" customHeight="1">
      <c r="A17" s="67"/>
      <c r="B17" s="6"/>
      <c r="C17" s="6"/>
      <c r="D17" s="6"/>
      <c r="E17" s="285" t="s">
        <v>25</v>
      </c>
      <c r="F17" s="285"/>
    </row>
    <row r="18" spans="1:6" ht="81" customHeight="1">
      <c r="A18" s="7" t="s">
        <v>152</v>
      </c>
      <c r="B18" s="8" t="s">
        <v>153</v>
      </c>
      <c r="C18" s="8" t="s">
        <v>28</v>
      </c>
      <c r="D18" s="8" t="s">
        <v>367</v>
      </c>
      <c r="E18" s="8" t="s">
        <v>369</v>
      </c>
      <c r="F18" s="9" t="s">
        <v>370</v>
      </c>
    </row>
    <row r="19" spans="1:6" ht="21">
      <c r="A19" s="10" t="s">
        <v>33</v>
      </c>
      <c r="B19" s="11" t="s">
        <v>371</v>
      </c>
      <c r="C19" s="12" t="s">
        <v>372</v>
      </c>
      <c r="D19" s="54">
        <v>0</v>
      </c>
      <c r="E19" s="54">
        <v>0</v>
      </c>
      <c r="F19" s="15">
        <v>0</v>
      </c>
    </row>
    <row r="20" spans="1:6" ht="21">
      <c r="A20" s="16" t="s">
        <v>373</v>
      </c>
      <c r="B20" s="17" t="s">
        <v>374</v>
      </c>
      <c r="C20" s="18" t="s">
        <v>375</v>
      </c>
      <c r="D20" s="56">
        <v>14866265764</v>
      </c>
      <c r="E20" s="56">
        <v>1386571201</v>
      </c>
      <c r="F20" s="21">
        <v>0</v>
      </c>
    </row>
    <row r="21" spans="1:6" ht="21">
      <c r="A21" s="16"/>
      <c r="B21" s="17" t="s">
        <v>122</v>
      </c>
      <c r="C21" s="18" t="s">
        <v>376</v>
      </c>
      <c r="D21" s="56">
        <v>0</v>
      </c>
      <c r="E21" s="56">
        <v>0</v>
      </c>
      <c r="F21" s="21">
        <v>0</v>
      </c>
    </row>
    <row r="22" spans="1:6" ht="21">
      <c r="A22" s="16"/>
      <c r="B22" s="17" t="s">
        <v>126</v>
      </c>
      <c r="C22" s="18" t="s">
        <v>377</v>
      </c>
      <c r="D22" s="56">
        <v>1366265764</v>
      </c>
      <c r="E22" s="56">
        <v>1386571201</v>
      </c>
      <c r="F22" s="21">
        <v>0</v>
      </c>
    </row>
    <row r="23" spans="1:6" ht="21">
      <c r="A23" s="68"/>
      <c r="B23" s="69" t="s">
        <v>378</v>
      </c>
      <c r="C23" s="70" t="s">
        <v>379</v>
      </c>
      <c r="D23" s="71">
        <v>0</v>
      </c>
      <c r="E23" s="71">
        <v>0</v>
      </c>
      <c r="F23" s="72">
        <v>0</v>
      </c>
    </row>
    <row r="24" spans="1:6" ht="21">
      <c r="A24" s="68"/>
      <c r="B24" s="69" t="s">
        <v>380</v>
      </c>
      <c r="C24" s="70" t="s">
        <v>381</v>
      </c>
      <c r="D24" s="71">
        <v>0</v>
      </c>
      <c r="E24" s="71">
        <v>0</v>
      </c>
      <c r="F24" s="72">
        <v>0</v>
      </c>
    </row>
    <row r="25" spans="1:6" ht="21">
      <c r="A25" s="68"/>
      <c r="B25" s="69" t="s">
        <v>382</v>
      </c>
      <c r="C25" s="70" t="s">
        <v>383</v>
      </c>
      <c r="D25" s="71">
        <v>1328738761</v>
      </c>
      <c r="E25" s="71">
        <v>1316002108</v>
      </c>
      <c r="F25" s="72">
        <v>0</v>
      </c>
    </row>
    <row r="26" spans="1:6" ht="21">
      <c r="A26" s="68"/>
      <c r="B26" s="69" t="s">
        <v>384</v>
      </c>
      <c r="C26" s="70" t="s">
        <v>385</v>
      </c>
      <c r="D26" s="71">
        <v>0</v>
      </c>
      <c r="E26" s="71">
        <v>0</v>
      </c>
      <c r="F26" s="72">
        <v>0</v>
      </c>
    </row>
    <row r="27" spans="1:6" ht="21">
      <c r="A27" s="68"/>
      <c r="B27" s="69" t="s">
        <v>386</v>
      </c>
      <c r="C27" s="70" t="s">
        <v>387</v>
      </c>
      <c r="D27" s="71">
        <v>37527003</v>
      </c>
      <c r="E27" s="71">
        <v>70569093</v>
      </c>
      <c r="F27" s="72">
        <v>0</v>
      </c>
    </row>
    <row r="28" spans="1:6" ht="21">
      <c r="A28" s="16"/>
      <c r="B28" s="17" t="s">
        <v>128</v>
      </c>
      <c r="C28" s="18" t="s">
        <v>388</v>
      </c>
      <c r="D28" s="56">
        <v>13500000000</v>
      </c>
      <c r="E28" s="56">
        <v>0</v>
      </c>
      <c r="F28" s="21">
        <v>0</v>
      </c>
    </row>
    <row r="29" spans="1:6" ht="21">
      <c r="A29" s="16" t="s">
        <v>389</v>
      </c>
      <c r="B29" s="17" t="s">
        <v>390</v>
      </c>
      <c r="C29" s="18" t="s">
        <v>391</v>
      </c>
      <c r="D29" s="56">
        <v>2232023736450</v>
      </c>
      <c r="E29" s="56">
        <v>1845621176300</v>
      </c>
      <c r="F29" s="21">
        <v>0</v>
      </c>
    </row>
    <row r="30" spans="1:6" ht="21">
      <c r="A30" s="16"/>
      <c r="B30" s="17" t="s">
        <v>34</v>
      </c>
      <c r="C30" s="18" t="s">
        <v>392</v>
      </c>
      <c r="D30" s="56">
        <v>2232023736450</v>
      </c>
      <c r="E30" s="56">
        <v>1845621176300</v>
      </c>
      <c r="F30" s="21">
        <v>0</v>
      </c>
    </row>
    <row r="31" spans="1:6" ht="21">
      <c r="A31" s="16"/>
      <c r="B31" s="17" t="s">
        <v>393</v>
      </c>
      <c r="C31" s="18" t="s">
        <v>394</v>
      </c>
      <c r="D31" s="56">
        <v>0</v>
      </c>
      <c r="E31" s="56">
        <v>0</v>
      </c>
      <c r="F31" s="21">
        <v>0</v>
      </c>
    </row>
    <row r="32" spans="1:6" ht="21">
      <c r="A32" s="16"/>
      <c r="B32" s="17" t="s">
        <v>84</v>
      </c>
      <c r="C32" s="18" t="s">
        <v>395</v>
      </c>
      <c r="D32" s="56">
        <v>0</v>
      </c>
      <c r="E32" s="56">
        <v>0</v>
      </c>
      <c r="F32" s="21">
        <v>0</v>
      </c>
    </row>
    <row r="33" spans="1:6" ht="21">
      <c r="A33" s="16"/>
      <c r="B33" s="17" t="s">
        <v>396</v>
      </c>
      <c r="C33" s="18" t="s">
        <v>397</v>
      </c>
      <c r="D33" s="56">
        <v>0</v>
      </c>
      <c r="E33" s="56">
        <v>0</v>
      </c>
      <c r="F33" s="21">
        <v>0</v>
      </c>
    </row>
    <row r="34" spans="1:6" ht="21">
      <c r="A34" s="16"/>
      <c r="B34" s="17" t="s">
        <v>398</v>
      </c>
      <c r="C34" s="18" t="s">
        <v>399</v>
      </c>
      <c r="D34" s="56">
        <v>0</v>
      </c>
      <c r="E34" s="56">
        <v>0</v>
      </c>
      <c r="F34" s="21">
        <v>0</v>
      </c>
    </row>
    <row r="35" spans="1:6" ht="21">
      <c r="A35" s="16"/>
      <c r="B35" s="17" t="s">
        <v>400</v>
      </c>
      <c r="C35" s="18" t="s">
        <v>401</v>
      </c>
      <c r="D35" s="56">
        <v>0</v>
      </c>
      <c r="E35" s="56">
        <v>0</v>
      </c>
      <c r="F35" s="21">
        <v>0</v>
      </c>
    </row>
    <row r="36" spans="1:6" ht="21">
      <c r="A36" s="16"/>
      <c r="B36" s="17" t="s">
        <v>402</v>
      </c>
      <c r="C36" s="18" t="s">
        <v>403</v>
      </c>
      <c r="D36" s="56">
        <v>0</v>
      </c>
      <c r="E36" s="56">
        <v>0</v>
      </c>
      <c r="F36" s="21">
        <v>0</v>
      </c>
    </row>
    <row r="37" spans="1:6">
      <c r="A37" s="16"/>
      <c r="B37" s="17" t="s">
        <v>404</v>
      </c>
      <c r="C37" s="18" t="s">
        <v>405</v>
      </c>
      <c r="D37" s="56">
        <v>0</v>
      </c>
      <c r="E37" s="56">
        <v>0</v>
      </c>
      <c r="F37" s="21">
        <v>0</v>
      </c>
    </row>
    <row r="38" spans="1:6" ht="21">
      <c r="A38" s="16" t="s">
        <v>406</v>
      </c>
      <c r="B38" s="17" t="s">
        <v>407</v>
      </c>
      <c r="C38" s="18" t="s">
        <v>408</v>
      </c>
      <c r="D38" s="56">
        <v>0</v>
      </c>
      <c r="E38" s="56">
        <v>8465845000</v>
      </c>
      <c r="F38" s="21">
        <v>0</v>
      </c>
    </row>
    <row r="39" spans="1:6" ht="21">
      <c r="A39" s="16"/>
      <c r="B39" s="17" t="s">
        <v>409</v>
      </c>
      <c r="C39" s="18" t="s">
        <v>410</v>
      </c>
      <c r="D39" s="56">
        <v>0</v>
      </c>
      <c r="E39" s="56">
        <v>8465845000</v>
      </c>
      <c r="F39" s="21">
        <v>0</v>
      </c>
    </row>
    <row r="40" spans="1:6" ht="21">
      <c r="A40" s="16"/>
      <c r="B40" s="17" t="s">
        <v>411</v>
      </c>
      <c r="C40" s="18" t="s">
        <v>412</v>
      </c>
      <c r="D40" s="56">
        <v>0</v>
      </c>
      <c r="E40" s="56">
        <v>0</v>
      </c>
      <c r="F40" s="21">
        <v>0</v>
      </c>
    </row>
    <row r="41" spans="1:6" ht="21">
      <c r="A41" s="16" t="s">
        <v>413</v>
      </c>
      <c r="B41" s="17" t="s">
        <v>414</v>
      </c>
      <c r="C41" s="18" t="s">
        <v>415</v>
      </c>
      <c r="D41" s="56">
        <v>13545203</v>
      </c>
      <c r="E41" s="56">
        <v>0</v>
      </c>
      <c r="F41" s="21">
        <v>0</v>
      </c>
    </row>
    <row r="42" spans="1:6" ht="31.5">
      <c r="A42" s="16"/>
      <c r="B42" s="17" t="s">
        <v>416</v>
      </c>
      <c r="C42" s="18" t="s">
        <v>417</v>
      </c>
      <c r="D42" s="56">
        <v>13545203</v>
      </c>
      <c r="E42" s="56">
        <v>0</v>
      </c>
      <c r="F42" s="21">
        <v>0</v>
      </c>
    </row>
    <row r="43" spans="1:6" ht="31.5">
      <c r="A43" s="16"/>
      <c r="B43" s="17" t="s">
        <v>418</v>
      </c>
      <c r="C43" s="18" t="s">
        <v>419</v>
      </c>
      <c r="D43" s="56">
        <v>0</v>
      </c>
      <c r="E43" s="56">
        <v>0</v>
      </c>
      <c r="F43" s="21">
        <v>0</v>
      </c>
    </row>
    <row r="44" spans="1:6" ht="21">
      <c r="A44" s="16"/>
      <c r="B44" s="17" t="s">
        <v>420</v>
      </c>
      <c r="C44" s="18" t="s">
        <v>421</v>
      </c>
      <c r="D44" s="56">
        <v>0</v>
      </c>
      <c r="E44" s="56">
        <v>0</v>
      </c>
      <c r="F44" s="21">
        <v>0</v>
      </c>
    </row>
    <row r="45" spans="1:6" ht="21">
      <c r="A45" s="16" t="s">
        <v>422</v>
      </c>
      <c r="B45" s="17" t="s">
        <v>423</v>
      </c>
      <c r="C45" s="18" t="s">
        <v>424</v>
      </c>
      <c r="D45" s="56">
        <v>1581941500</v>
      </c>
      <c r="E45" s="56">
        <v>0</v>
      </c>
      <c r="F45" s="21">
        <v>0</v>
      </c>
    </row>
    <row r="46" spans="1:6" ht="21">
      <c r="A46" s="16" t="s">
        <v>425</v>
      </c>
      <c r="B46" s="17" t="s">
        <v>426</v>
      </c>
      <c r="C46" s="18" t="s">
        <v>427</v>
      </c>
      <c r="D46" s="56">
        <v>0</v>
      </c>
      <c r="E46" s="56">
        <v>0</v>
      </c>
      <c r="F46" s="21">
        <v>0</v>
      </c>
    </row>
    <row r="47" spans="1:6" ht="21">
      <c r="A47" s="16"/>
      <c r="B47" s="17" t="s">
        <v>428</v>
      </c>
      <c r="C47" s="18" t="s">
        <v>429</v>
      </c>
      <c r="D47" s="56">
        <v>0</v>
      </c>
      <c r="E47" s="56">
        <v>0</v>
      </c>
      <c r="F47" s="21">
        <v>0</v>
      </c>
    </row>
    <row r="48" spans="1:6" ht="21">
      <c r="A48" s="16"/>
      <c r="B48" s="17" t="s">
        <v>430</v>
      </c>
      <c r="C48" s="18" t="s">
        <v>431</v>
      </c>
      <c r="D48" s="56">
        <v>0</v>
      </c>
      <c r="E48" s="56">
        <v>0</v>
      </c>
      <c r="F48" s="21">
        <v>0</v>
      </c>
    </row>
    <row r="49" spans="1:6" ht="21">
      <c r="A49" s="16"/>
      <c r="B49" s="17" t="s">
        <v>432</v>
      </c>
      <c r="C49" s="18" t="s">
        <v>433</v>
      </c>
      <c r="D49" s="56">
        <v>0</v>
      </c>
      <c r="E49" s="56">
        <v>0</v>
      </c>
      <c r="F49" s="21">
        <v>0</v>
      </c>
    </row>
    <row r="50" spans="1:6" ht="21">
      <c r="A50" s="16" t="s">
        <v>434</v>
      </c>
      <c r="B50" s="17" t="s">
        <v>435</v>
      </c>
      <c r="C50" s="18" t="s">
        <v>436</v>
      </c>
      <c r="D50" s="56">
        <v>0</v>
      </c>
      <c r="E50" s="56">
        <v>0</v>
      </c>
      <c r="F50" s="21">
        <v>0</v>
      </c>
    </row>
    <row r="51" spans="1:6" ht="21">
      <c r="A51" s="16"/>
      <c r="B51" s="17" t="s">
        <v>437</v>
      </c>
      <c r="C51" s="18" t="s">
        <v>438</v>
      </c>
      <c r="D51" s="56">
        <v>0</v>
      </c>
      <c r="E51" s="56">
        <v>0</v>
      </c>
      <c r="F51" s="21">
        <v>0</v>
      </c>
    </row>
    <row r="52" spans="1:6" ht="21">
      <c r="A52" s="16"/>
      <c r="B52" s="17" t="s">
        <v>112</v>
      </c>
      <c r="C52" s="18" t="s">
        <v>439</v>
      </c>
      <c r="D52" s="56">
        <v>0</v>
      </c>
      <c r="E52" s="56">
        <v>0</v>
      </c>
      <c r="F52" s="21">
        <v>0</v>
      </c>
    </row>
    <row r="53" spans="1:6" ht="21">
      <c r="A53" s="16"/>
      <c r="B53" s="17" t="s">
        <v>440</v>
      </c>
      <c r="C53" s="18" t="s">
        <v>441</v>
      </c>
      <c r="D53" s="56">
        <v>0</v>
      </c>
      <c r="E53" s="56">
        <v>0</v>
      </c>
      <c r="F53" s="21">
        <v>0</v>
      </c>
    </row>
    <row r="54" spans="1:6" ht="21">
      <c r="A54" s="16"/>
      <c r="B54" s="17" t="s">
        <v>442</v>
      </c>
      <c r="C54" s="18" t="s">
        <v>443</v>
      </c>
      <c r="D54" s="56">
        <v>0</v>
      </c>
      <c r="E54" s="56">
        <v>0</v>
      </c>
      <c r="F54" s="21">
        <v>0</v>
      </c>
    </row>
    <row r="55" spans="1:6" ht="31.5">
      <c r="A55" s="16"/>
      <c r="B55" s="17" t="s">
        <v>444</v>
      </c>
      <c r="C55" s="18" t="s">
        <v>445</v>
      </c>
      <c r="D55" s="56">
        <v>0</v>
      </c>
      <c r="E55" s="56">
        <v>0</v>
      </c>
      <c r="F55" s="21">
        <v>0</v>
      </c>
    </row>
    <row r="56" spans="1:6" ht="21">
      <c r="A56" s="10" t="s">
        <v>446</v>
      </c>
      <c r="B56" s="11" t="s">
        <v>447</v>
      </c>
      <c r="C56" s="12" t="s">
        <v>448</v>
      </c>
      <c r="D56" s="54">
        <v>2248485488917</v>
      </c>
      <c r="E56" s="54">
        <v>1855473592501</v>
      </c>
      <c r="F56" s="15">
        <v>0</v>
      </c>
    </row>
    <row r="57" spans="1:6" ht="21">
      <c r="A57" s="10" t="s">
        <v>76</v>
      </c>
      <c r="B57" s="11" t="s">
        <v>449</v>
      </c>
      <c r="C57" s="12" t="s">
        <v>450</v>
      </c>
      <c r="D57" s="54">
        <v>0</v>
      </c>
      <c r="E57" s="54">
        <v>0</v>
      </c>
      <c r="F57" s="15">
        <v>0</v>
      </c>
    </row>
    <row r="58" spans="1:6" ht="21">
      <c r="A58" s="16" t="s">
        <v>451</v>
      </c>
      <c r="B58" s="17" t="s">
        <v>452</v>
      </c>
      <c r="C58" s="18" t="s">
        <v>453</v>
      </c>
      <c r="D58" s="56">
        <v>0</v>
      </c>
      <c r="E58" s="56">
        <v>0</v>
      </c>
      <c r="F58" s="21">
        <v>0</v>
      </c>
    </row>
    <row r="59" spans="1:6" ht="21">
      <c r="A59" s="16" t="s">
        <v>454</v>
      </c>
      <c r="B59" s="17" t="s">
        <v>455</v>
      </c>
      <c r="C59" s="18" t="s">
        <v>456</v>
      </c>
      <c r="D59" s="56">
        <v>3606492946</v>
      </c>
      <c r="E59" s="56">
        <v>1548946151</v>
      </c>
      <c r="F59" s="21">
        <v>0</v>
      </c>
    </row>
    <row r="60" spans="1:6" ht="21">
      <c r="A60" s="16"/>
      <c r="B60" s="17" t="s">
        <v>457</v>
      </c>
      <c r="C60" s="18" t="s">
        <v>458</v>
      </c>
      <c r="D60" s="56">
        <v>1618848411</v>
      </c>
      <c r="E60" s="56">
        <v>30243897</v>
      </c>
      <c r="F60" s="21">
        <v>0</v>
      </c>
    </row>
    <row r="61" spans="1:6" ht="21">
      <c r="A61" s="68"/>
      <c r="B61" s="69" t="s">
        <v>459</v>
      </c>
      <c r="C61" s="70" t="s">
        <v>460</v>
      </c>
      <c r="D61" s="71">
        <v>0</v>
      </c>
      <c r="E61" s="71">
        <v>0</v>
      </c>
      <c r="F61" s="72">
        <v>0</v>
      </c>
    </row>
    <row r="62" spans="1:6" ht="21">
      <c r="A62" s="68"/>
      <c r="B62" s="69" t="s">
        <v>461</v>
      </c>
      <c r="C62" s="70" t="s">
        <v>462</v>
      </c>
      <c r="D62" s="71">
        <v>0</v>
      </c>
      <c r="E62" s="71">
        <v>0</v>
      </c>
      <c r="F62" s="72">
        <v>0</v>
      </c>
    </row>
    <row r="63" spans="1:6" ht="21">
      <c r="A63" s="68"/>
      <c r="B63" s="69" t="s">
        <v>463</v>
      </c>
      <c r="C63" s="70" t="s">
        <v>464</v>
      </c>
      <c r="D63" s="71">
        <v>1618848411</v>
      </c>
      <c r="E63" s="71">
        <v>30243897</v>
      </c>
      <c r="F63" s="72">
        <v>0</v>
      </c>
    </row>
    <row r="64" spans="1:6" ht="21">
      <c r="A64" s="16"/>
      <c r="B64" s="17" t="s">
        <v>465</v>
      </c>
      <c r="C64" s="18" t="s">
        <v>466</v>
      </c>
      <c r="D64" s="56">
        <v>0</v>
      </c>
      <c r="E64" s="56">
        <v>0</v>
      </c>
      <c r="F64" s="21">
        <v>0</v>
      </c>
    </row>
    <row r="65" spans="1:6" ht="42">
      <c r="A65" s="16"/>
      <c r="B65" s="17" t="s">
        <v>467</v>
      </c>
      <c r="C65" s="18" t="s">
        <v>468</v>
      </c>
      <c r="D65" s="56">
        <v>0</v>
      </c>
      <c r="E65" s="56">
        <v>0</v>
      </c>
      <c r="F65" s="21">
        <v>0</v>
      </c>
    </row>
    <row r="66" spans="1:6" ht="21">
      <c r="A66" s="68"/>
      <c r="B66" s="69" t="s">
        <v>469</v>
      </c>
      <c r="C66" s="70" t="s">
        <v>470</v>
      </c>
      <c r="D66" s="71">
        <v>0</v>
      </c>
      <c r="E66" s="71">
        <v>0</v>
      </c>
      <c r="F66" s="72">
        <v>0</v>
      </c>
    </row>
    <row r="67" spans="1:6" ht="42">
      <c r="A67" s="68"/>
      <c r="B67" s="69" t="s">
        <v>471</v>
      </c>
      <c r="C67" s="70" t="s">
        <v>472</v>
      </c>
      <c r="D67" s="71">
        <v>0</v>
      </c>
      <c r="E67" s="71">
        <v>0</v>
      </c>
      <c r="F67" s="72">
        <v>0</v>
      </c>
    </row>
    <row r="68" spans="1:6" ht="21">
      <c r="A68" s="16"/>
      <c r="B68" s="17" t="s">
        <v>473</v>
      </c>
      <c r="C68" s="18" t="s">
        <v>474</v>
      </c>
      <c r="D68" s="56">
        <v>0</v>
      </c>
      <c r="E68" s="56">
        <v>0</v>
      </c>
      <c r="F68" s="21">
        <v>0</v>
      </c>
    </row>
    <row r="69" spans="1:6" ht="21">
      <c r="A69" s="16"/>
      <c r="B69" s="17" t="s">
        <v>475</v>
      </c>
      <c r="C69" s="18" t="s">
        <v>476</v>
      </c>
      <c r="D69" s="56">
        <v>11993008</v>
      </c>
      <c r="E69" s="56">
        <v>11257023</v>
      </c>
      <c r="F69" s="21">
        <v>0</v>
      </c>
    </row>
    <row r="70" spans="1:6" ht="21">
      <c r="A70" s="16"/>
      <c r="B70" s="17" t="s">
        <v>477</v>
      </c>
      <c r="C70" s="18" t="s">
        <v>478</v>
      </c>
      <c r="D70" s="56">
        <v>1344848804</v>
      </c>
      <c r="E70" s="56">
        <v>1087312281</v>
      </c>
      <c r="F70" s="21">
        <v>0</v>
      </c>
    </row>
    <row r="71" spans="1:6" ht="21">
      <c r="A71" s="16"/>
      <c r="B71" s="17" t="s">
        <v>479</v>
      </c>
      <c r="C71" s="18" t="s">
        <v>480</v>
      </c>
      <c r="D71" s="56">
        <v>36983344</v>
      </c>
      <c r="E71" s="56">
        <v>29901088</v>
      </c>
      <c r="F71" s="21">
        <v>0</v>
      </c>
    </row>
    <row r="72" spans="1:6" ht="21">
      <c r="A72" s="16"/>
      <c r="B72" s="17" t="s">
        <v>481</v>
      </c>
      <c r="C72" s="18" t="s">
        <v>482</v>
      </c>
      <c r="D72" s="56">
        <v>73966684</v>
      </c>
      <c r="E72" s="56">
        <v>59802175</v>
      </c>
      <c r="F72" s="21">
        <v>0</v>
      </c>
    </row>
    <row r="73" spans="1:6" ht="21">
      <c r="A73" s="16"/>
      <c r="B73" s="17" t="s">
        <v>483</v>
      </c>
      <c r="C73" s="18" t="s">
        <v>484</v>
      </c>
      <c r="D73" s="56">
        <v>0</v>
      </c>
      <c r="E73" s="56">
        <v>0</v>
      </c>
      <c r="F73" s="21">
        <v>0</v>
      </c>
    </row>
    <row r="74" spans="1:6" ht="21">
      <c r="A74" s="68"/>
      <c r="B74" s="69" t="s">
        <v>485</v>
      </c>
      <c r="C74" s="70" t="s">
        <v>486</v>
      </c>
      <c r="D74" s="71">
        <v>0</v>
      </c>
      <c r="E74" s="71">
        <v>0</v>
      </c>
      <c r="F74" s="72">
        <v>0</v>
      </c>
    </row>
    <row r="75" spans="1:6" ht="21">
      <c r="A75" s="68"/>
      <c r="B75" s="69" t="s">
        <v>487</v>
      </c>
      <c r="C75" s="70" t="s">
        <v>488</v>
      </c>
      <c r="D75" s="71">
        <v>0</v>
      </c>
      <c r="E75" s="71">
        <v>0</v>
      </c>
      <c r="F75" s="72">
        <v>0</v>
      </c>
    </row>
    <row r="76" spans="1:6" ht="21">
      <c r="A76" s="16"/>
      <c r="B76" s="17" t="s">
        <v>489</v>
      </c>
      <c r="C76" s="18" t="s">
        <v>490</v>
      </c>
      <c r="D76" s="56">
        <v>39621222</v>
      </c>
      <c r="E76" s="56">
        <v>31082806</v>
      </c>
      <c r="F76" s="21">
        <v>0</v>
      </c>
    </row>
    <row r="77" spans="1:6" ht="21">
      <c r="A77" s="68"/>
      <c r="B77" s="69" t="s">
        <v>185</v>
      </c>
      <c r="C77" s="70" t="s">
        <v>491</v>
      </c>
      <c r="D77" s="71">
        <v>33621222</v>
      </c>
      <c r="E77" s="71">
        <v>27182806</v>
      </c>
      <c r="F77" s="72">
        <v>0</v>
      </c>
    </row>
    <row r="78" spans="1:6" ht="21">
      <c r="A78" s="68"/>
      <c r="B78" s="69" t="s">
        <v>187</v>
      </c>
      <c r="C78" s="70" t="s">
        <v>492</v>
      </c>
      <c r="D78" s="71">
        <v>6000000</v>
      </c>
      <c r="E78" s="71">
        <v>3900000</v>
      </c>
      <c r="F78" s="72">
        <v>0</v>
      </c>
    </row>
    <row r="79" spans="1:6" ht="21">
      <c r="A79" s="68"/>
      <c r="B79" s="69" t="s">
        <v>189</v>
      </c>
      <c r="C79" s="70" t="s">
        <v>493</v>
      </c>
      <c r="D79" s="71">
        <v>0</v>
      </c>
      <c r="E79" s="71">
        <v>0</v>
      </c>
      <c r="F79" s="72">
        <v>0</v>
      </c>
    </row>
    <row r="80" spans="1:6" ht="42">
      <c r="A80" s="68"/>
      <c r="B80" s="69" t="s">
        <v>193</v>
      </c>
      <c r="C80" s="70" t="s">
        <v>494</v>
      </c>
      <c r="D80" s="71">
        <v>0</v>
      </c>
      <c r="E80" s="71">
        <v>0</v>
      </c>
      <c r="F80" s="72">
        <v>0</v>
      </c>
    </row>
    <row r="81" spans="1:6" ht="21">
      <c r="A81" s="16"/>
      <c r="B81" s="17" t="s">
        <v>495</v>
      </c>
      <c r="C81" s="18" t="s">
        <v>496</v>
      </c>
      <c r="D81" s="56">
        <v>29037913</v>
      </c>
      <c r="E81" s="56">
        <v>13398103</v>
      </c>
      <c r="F81" s="21">
        <v>0</v>
      </c>
    </row>
    <row r="82" spans="1:6" ht="21">
      <c r="A82" s="16"/>
      <c r="B82" s="17" t="s">
        <v>497</v>
      </c>
      <c r="C82" s="18" t="s">
        <v>498</v>
      </c>
      <c r="D82" s="56">
        <v>0</v>
      </c>
      <c r="E82" s="56">
        <v>0</v>
      </c>
      <c r="F82" s="21">
        <v>0</v>
      </c>
    </row>
    <row r="83" spans="1:6" ht="21">
      <c r="A83" s="16"/>
      <c r="B83" s="17" t="s">
        <v>499</v>
      </c>
      <c r="C83" s="18" t="s">
        <v>500</v>
      </c>
      <c r="D83" s="56">
        <v>0</v>
      </c>
      <c r="E83" s="56">
        <v>0</v>
      </c>
      <c r="F83" s="21">
        <v>0</v>
      </c>
    </row>
    <row r="84" spans="1:6" ht="21">
      <c r="A84" s="16"/>
      <c r="B84" s="17" t="s">
        <v>501</v>
      </c>
      <c r="C84" s="18" t="s">
        <v>502</v>
      </c>
      <c r="D84" s="56">
        <v>16500000</v>
      </c>
      <c r="E84" s="56">
        <v>11000000</v>
      </c>
      <c r="F84" s="21">
        <v>0</v>
      </c>
    </row>
    <row r="85" spans="1:6" ht="31.5">
      <c r="A85" s="16"/>
      <c r="B85" s="17" t="s">
        <v>503</v>
      </c>
      <c r="C85" s="18" t="s">
        <v>504</v>
      </c>
      <c r="D85" s="56">
        <v>213565597</v>
      </c>
      <c r="E85" s="56">
        <v>129512546</v>
      </c>
      <c r="F85" s="21">
        <v>0</v>
      </c>
    </row>
    <row r="86" spans="1:6" ht="21">
      <c r="A86" s="16"/>
      <c r="B86" s="17" t="s">
        <v>505</v>
      </c>
      <c r="C86" s="18" t="s">
        <v>506</v>
      </c>
      <c r="D86" s="56">
        <v>217564978</v>
      </c>
      <c r="E86" s="56">
        <v>142463797</v>
      </c>
      <c r="F86" s="21">
        <v>0</v>
      </c>
    </row>
    <row r="87" spans="1:6" ht="21">
      <c r="A87" s="16"/>
      <c r="B87" s="17" t="s">
        <v>507</v>
      </c>
      <c r="C87" s="18" t="s">
        <v>508</v>
      </c>
      <c r="D87" s="56">
        <v>3562985</v>
      </c>
      <c r="E87" s="56">
        <v>2972435</v>
      </c>
      <c r="F87" s="21">
        <v>0</v>
      </c>
    </row>
    <row r="88" spans="1:6" ht="21">
      <c r="A88" s="68"/>
      <c r="B88" s="69" t="s">
        <v>509</v>
      </c>
      <c r="C88" s="70" t="s">
        <v>510</v>
      </c>
      <c r="D88" s="71">
        <v>0</v>
      </c>
      <c r="E88" s="71">
        <v>0</v>
      </c>
      <c r="F88" s="72">
        <v>0</v>
      </c>
    </row>
    <row r="89" spans="1:6" ht="31.5">
      <c r="A89" s="68"/>
      <c r="B89" s="69" t="s">
        <v>511</v>
      </c>
      <c r="C89" s="70" t="s">
        <v>512</v>
      </c>
      <c r="D89" s="71">
        <v>0</v>
      </c>
      <c r="E89" s="71">
        <v>0</v>
      </c>
      <c r="F89" s="72">
        <v>0</v>
      </c>
    </row>
    <row r="90" spans="1:6" ht="21">
      <c r="A90" s="68"/>
      <c r="B90" s="69" t="s">
        <v>513</v>
      </c>
      <c r="C90" s="70" t="s">
        <v>514</v>
      </c>
      <c r="D90" s="71">
        <v>3562985</v>
      </c>
      <c r="E90" s="71">
        <v>2972435</v>
      </c>
      <c r="F90" s="72">
        <v>0</v>
      </c>
    </row>
    <row r="91" spans="1:6" ht="21">
      <c r="A91" s="68"/>
      <c r="B91" s="69" t="s">
        <v>515</v>
      </c>
      <c r="C91" s="70" t="s">
        <v>516</v>
      </c>
      <c r="D91" s="71">
        <v>0</v>
      </c>
      <c r="E91" s="71">
        <v>0</v>
      </c>
      <c r="F91" s="72">
        <v>0</v>
      </c>
    </row>
    <row r="92" spans="1:6" ht="21">
      <c r="A92" s="16"/>
      <c r="B92" s="17" t="s">
        <v>517</v>
      </c>
      <c r="C92" s="18" t="s">
        <v>518</v>
      </c>
      <c r="D92" s="56">
        <v>0</v>
      </c>
      <c r="E92" s="56">
        <v>0</v>
      </c>
      <c r="F92" s="21">
        <v>0</v>
      </c>
    </row>
    <row r="93" spans="1:6" ht="21">
      <c r="A93" s="16"/>
      <c r="B93" s="17" t="s">
        <v>519</v>
      </c>
      <c r="C93" s="18" t="s">
        <v>520</v>
      </c>
      <c r="D93" s="56">
        <v>0</v>
      </c>
      <c r="E93" s="56">
        <v>0</v>
      </c>
      <c r="F93" s="21">
        <v>0</v>
      </c>
    </row>
    <row r="94" spans="1:6" ht="21">
      <c r="A94" s="16"/>
      <c r="B94" s="17" t="s">
        <v>521</v>
      </c>
      <c r="C94" s="18" t="s">
        <v>522</v>
      </c>
      <c r="D94" s="56">
        <v>0</v>
      </c>
      <c r="E94" s="56">
        <v>0</v>
      </c>
      <c r="F94" s="21">
        <v>0</v>
      </c>
    </row>
    <row r="95" spans="1:6" ht="21">
      <c r="A95" s="16"/>
      <c r="B95" s="17" t="s">
        <v>523</v>
      </c>
      <c r="C95" s="18" t="s">
        <v>524</v>
      </c>
      <c r="D95" s="56">
        <v>0</v>
      </c>
      <c r="E95" s="56">
        <v>0</v>
      </c>
      <c r="F95" s="21">
        <v>0</v>
      </c>
    </row>
    <row r="96" spans="1:6" ht="21">
      <c r="A96" s="16"/>
      <c r="B96" s="17" t="s">
        <v>525</v>
      </c>
      <c r="C96" s="18" t="s">
        <v>526</v>
      </c>
      <c r="D96" s="56">
        <v>0</v>
      </c>
      <c r="E96" s="56">
        <v>0</v>
      </c>
      <c r="F96" s="21">
        <v>0</v>
      </c>
    </row>
    <row r="97" spans="1:6" ht="21">
      <c r="A97" s="68"/>
      <c r="B97" s="69" t="s">
        <v>527</v>
      </c>
      <c r="C97" s="70" t="s">
        <v>528</v>
      </c>
      <c r="D97" s="71">
        <v>0</v>
      </c>
      <c r="E97" s="71">
        <v>0</v>
      </c>
      <c r="F97" s="72">
        <v>0</v>
      </c>
    </row>
    <row r="98" spans="1:6" ht="21">
      <c r="A98" s="68"/>
      <c r="B98" s="69" t="s">
        <v>529</v>
      </c>
      <c r="C98" s="70" t="s">
        <v>530</v>
      </c>
      <c r="D98" s="71">
        <v>0</v>
      </c>
      <c r="E98" s="71">
        <v>0</v>
      </c>
      <c r="F98" s="72">
        <v>0</v>
      </c>
    </row>
    <row r="99" spans="1:6" ht="21">
      <c r="A99" s="10" t="s">
        <v>531</v>
      </c>
      <c r="B99" s="11" t="s">
        <v>532</v>
      </c>
      <c r="C99" s="12" t="s">
        <v>533</v>
      </c>
      <c r="D99" s="54">
        <v>3606492946</v>
      </c>
      <c r="E99" s="54">
        <v>1548946151</v>
      </c>
      <c r="F99" s="15">
        <v>0</v>
      </c>
    </row>
    <row r="100" spans="1:6" ht="21">
      <c r="A100" s="10"/>
      <c r="B100" s="11" t="s">
        <v>534</v>
      </c>
      <c r="C100" s="12" t="s">
        <v>535</v>
      </c>
      <c r="D100" s="54">
        <v>2244878995971</v>
      </c>
      <c r="E100" s="54">
        <v>1853924646350</v>
      </c>
      <c r="F100" s="15">
        <v>0</v>
      </c>
    </row>
    <row r="101" spans="1:6" ht="21">
      <c r="A101" s="10"/>
      <c r="B101" s="11" t="s">
        <v>536</v>
      </c>
      <c r="C101" s="12" t="s">
        <v>537</v>
      </c>
      <c r="D101" s="54">
        <v>168300000</v>
      </c>
      <c r="E101" s="54">
        <v>145700000</v>
      </c>
      <c r="F101" s="15"/>
    </row>
    <row r="102" spans="1:6" ht="21">
      <c r="A102" s="22"/>
      <c r="B102" s="23" t="s">
        <v>538</v>
      </c>
      <c r="C102" s="24" t="s">
        <v>539</v>
      </c>
      <c r="D102" s="25">
        <v>13338.55</v>
      </c>
      <c r="E102" s="25">
        <v>12724.25</v>
      </c>
      <c r="F102" s="27">
        <v>0</v>
      </c>
    </row>
    <row r="103" spans="1:6" ht="8.25" customHeight="1">
      <c r="A103" s="273"/>
      <c r="B103" s="273"/>
      <c r="C103" s="273"/>
      <c r="D103" s="273"/>
      <c r="E103" s="273"/>
      <c r="F103" s="273"/>
    </row>
    <row r="104" spans="1:6" ht="23.25" customHeight="1">
      <c r="A104" s="286" t="s">
        <v>540</v>
      </c>
      <c r="B104" s="286"/>
      <c r="C104" s="286"/>
      <c r="D104" s="286"/>
      <c r="E104" s="286"/>
      <c r="F104" s="286"/>
    </row>
    <row r="105" spans="1:6" ht="6.75" customHeight="1">
      <c r="A105" s="273"/>
      <c r="B105" s="273"/>
      <c r="C105" s="273"/>
      <c r="D105" s="273"/>
      <c r="E105" s="273"/>
      <c r="F105" s="273"/>
    </row>
    <row r="106" spans="1:6" ht="12.75" customHeight="1">
      <c r="A106" s="287" t="s">
        <v>291</v>
      </c>
      <c r="B106" s="287"/>
      <c r="C106" s="287" t="s">
        <v>292</v>
      </c>
      <c r="D106" s="287"/>
      <c r="E106" s="287"/>
      <c r="F106" s="287"/>
    </row>
    <row r="107" spans="1:6" ht="12.75" customHeight="1">
      <c r="A107" s="281" t="s">
        <v>293</v>
      </c>
      <c r="B107" s="281"/>
      <c r="C107" s="282" t="s">
        <v>294</v>
      </c>
      <c r="D107" s="282"/>
      <c r="E107" s="282"/>
      <c r="F107" s="282"/>
    </row>
    <row r="108" spans="1:6" ht="30.75" customHeight="1">
      <c r="A108" s="289"/>
      <c r="B108" s="289"/>
      <c r="C108" s="289"/>
      <c r="D108" s="289"/>
      <c r="E108" s="289"/>
      <c r="F108" s="289"/>
    </row>
    <row r="109" spans="1:6" ht="15.75" customHeight="1">
      <c r="A109" s="273"/>
      <c r="B109" s="273"/>
      <c r="C109" s="273"/>
      <c r="D109" s="273"/>
      <c r="E109" s="273"/>
      <c r="F109" s="273"/>
    </row>
    <row r="110" spans="1:6" ht="12.75" customHeight="1">
      <c r="A110" s="287" t="s">
        <v>295</v>
      </c>
      <c r="B110" s="287"/>
      <c r="C110" s="287" t="s">
        <v>296</v>
      </c>
      <c r="D110" s="287"/>
      <c r="E110" s="287"/>
      <c r="F110" s="287"/>
    </row>
    <row r="111" spans="1:6" ht="12.75" customHeight="1">
      <c r="A111" s="288" t="s">
        <v>297</v>
      </c>
      <c r="B111" s="288"/>
      <c r="C111" s="288" t="s">
        <v>298</v>
      </c>
      <c r="D111" s="288"/>
      <c r="E111" s="288"/>
      <c r="F111" s="288"/>
    </row>
    <row r="112" spans="1:6" ht="12.75" customHeight="1">
      <c r="A112" s="288" t="s">
        <v>299</v>
      </c>
      <c r="B112" s="288"/>
      <c r="C112" s="288" t="s">
        <v>300</v>
      </c>
      <c r="D112" s="288"/>
      <c r="E112" s="288"/>
      <c r="F112" s="288"/>
    </row>
  </sheetData>
  <mergeCells count="36">
    <mergeCell ref="A111:B111"/>
    <mergeCell ref="C111:F111"/>
    <mergeCell ref="A112:B112"/>
    <mergeCell ref="C112:F112"/>
    <mergeCell ref="A108:B108"/>
    <mergeCell ref="C108:F108"/>
    <mergeCell ref="A109:B109"/>
    <mergeCell ref="C109:F109"/>
    <mergeCell ref="A110:B110"/>
    <mergeCell ref="C110:F110"/>
    <mergeCell ref="A107:B107"/>
    <mergeCell ref="C107:F107"/>
    <mergeCell ref="C13:F13"/>
    <mergeCell ref="C14:F14"/>
    <mergeCell ref="A15:F15"/>
    <mergeCell ref="A16:E16"/>
    <mergeCell ref="E17:F17"/>
    <mergeCell ref="A103:B103"/>
    <mergeCell ref="C103:F103"/>
    <mergeCell ref="A104:F104"/>
    <mergeCell ref="A105:B105"/>
    <mergeCell ref="C105:F105"/>
    <mergeCell ref="A106:B106"/>
    <mergeCell ref="C106:F106"/>
    <mergeCell ref="C12:F12"/>
    <mergeCell ref="A1:B1"/>
    <mergeCell ref="C1:F1"/>
    <mergeCell ref="A2:F2"/>
    <mergeCell ref="A3:F3"/>
    <mergeCell ref="A4:F4"/>
    <mergeCell ref="C6:F6"/>
    <mergeCell ref="C7:F7"/>
    <mergeCell ref="C8:F8"/>
    <mergeCell ref="C9:F9"/>
    <mergeCell ref="C10:F10"/>
    <mergeCell ref="C11:F11"/>
  </mergeCells>
  <printOptions horizontalCentered="1"/>
  <pageMargins left="0" right="0" top="0.59" bottom="0.59" header="0.5" footer="0.5"/>
  <pageSetup paperSize="9" scale="93"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4"/>
  <sheetViews>
    <sheetView showGridLines="0" showZeros="0" showOutlineSymbols="0" view="pageBreakPreview" topLeftCell="A79" zoomScaleNormal="100" zoomScaleSheetLayoutView="100" workbookViewId="0">
      <selection activeCell="G91" sqref="G91"/>
    </sheetView>
  </sheetViews>
  <sheetFormatPr defaultRowHeight="15"/>
  <cols>
    <col min="1" max="1" width="6.28515625" style="1" customWidth="1"/>
    <col min="2" max="2" width="40.42578125" style="1" customWidth="1"/>
    <col min="3" max="3" width="9.28515625" style="1" customWidth="1"/>
    <col min="4" max="6" width="17.140625" style="1" customWidth="1"/>
    <col min="7" max="256" width="9.140625" style="1"/>
    <col min="257" max="257" width="6.28515625" style="1" customWidth="1"/>
    <col min="258" max="258" width="40.42578125" style="1" customWidth="1"/>
    <col min="259" max="259" width="9.28515625" style="1" customWidth="1"/>
    <col min="260" max="262" width="17.140625" style="1" customWidth="1"/>
    <col min="263" max="512" width="9.140625" style="1"/>
    <col min="513" max="513" width="6.28515625" style="1" customWidth="1"/>
    <col min="514" max="514" width="40.42578125" style="1" customWidth="1"/>
    <col min="515" max="515" width="9.28515625" style="1" customWidth="1"/>
    <col min="516" max="518" width="17.140625" style="1" customWidth="1"/>
    <col min="519" max="768" width="9.140625" style="1"/>
    <col min="769" max="769" width="6.28515625" style="1" customWidth="1"/>
    <col min="770" max="770" width="40.42578125" style="1" customWidth="1"/>
    <col min="771" max="771" width="9.28515625" style="1" customWidth="1"/>
    <col min="772" max="774" width="17.140625" style="1" customWidth="1"/>
    <col min="775" max="1024" width="9.140625" style="1"/>
    <col min="1025" max="1025" width="6.28515625" style="1" customWidth="1"/>
    <col min="1026" max="1026" width="40.42578125" style="1" customWidth="1"/>
    <col min="1027" max="1027" width="9.28515625" style="1" customWidth="1"/>
    <col min="1028" max="1030" width="17.140625" style="1" customWidth="1"/>
    <col min="1031" max="1280" width="9.140625" style="1"/>
    <col min="1281" max="1281" width="6.28515625" style="1" customWidth="1"/>
    <col min="1282" max="1282" width="40.42578125" style="1" customWidth="1"/>
    <col min="1283" max="1283" width="9.28515625" style="1" customWidth="1"/>
    <col min="1284" max="1286" width="17.140625" style="1" customWidth="1"/>
    <col min="1287" max="1536" width="9.140625" style="1"/>
    <col min="1537" max="1537" width="6.28515625" style="1" customWidth="1"/>
    <col min="1538" max="1538" width="40.42578125" style="1" customWidth="1"/>
    <col min="1539" max="1539" width="9.28515625" style="1" customWidth="1"/>
    <col min="1540" max="1542" width="17.140625" style="1" customWidth="1"/>
    <col min="1543" max="1792" width="9.140625" style="1"/>
    <col min="1793" max="1793" width="6.28515625" style="1" customWidth="1"/>
    <col min="1794" max="1794" width="40.42578125" style="1" customWidth="1"/>
    <col min="1795" max="1795" width="9.28515625" style="1" customWidth="1"/>
    <col min="1796" max="1798" width="17.140625" style="1" customWidth="1"/>
    <col min="1799" max="2048" width="9.140625" style="1"/>
    <col min="2049" max="2049" width="6.28515625" style="1" customWidth="1"/>
    <col min="2050" max="2050" width="40.42578125" style="1" customWidth="1"/>
    <col min="2051" max="2051" width="9.28515625" style="1" customWidth="1"/>
    <col min="2052" max="2054" width="17.140625" style="1" customWidth="1"/>
    <col min="2055" max="2304" width="9.140625" style="1"/>
    <col min="2305" max="2305" width="6.28515625" style="1" customWidth="1"/>
    <col min="2306" max="2306" width="40.42578125" style="1" customWidth="1"/>
    <col min="2307" max="2307" width="9.28515625" style="1" customWidth="1"/>
    <col min="2308" max="2310" width="17.140625" style="1" customWidth="1"/>
    <col min="2311" max="2560" width="9.140625" style="1"/>
    <col min="2561" max="2561" width="6.28515625" style="1" customWidth="1"/>
    <col min="2562" max="2562" width="40.42578125" style="1" customWidth="1"/>
    <col min="2563" max="2563" width="9.28515625" style="1" customWidth="1"/>
    <col min="2564" max="2566" width="17.140625" style="1" customWidth="1"/>
    <col min="2567" max="2816" width="9.140625" style="1"/>
    <col min="2817" max="2817" width="6.28515625" style="1" customWidth="1"/>
    <col min="2818" max="2818" width="40.42578125" style="1" customWidth="1"/>
    <col min="2819" max="2819" width="9.28515625" style="1" customWidth="1"/>
    <col min="2820" max="2822" width="17.140625" style="1" customWidth="1"/>
    <col min="2823" max="3072" width="9.140625" style="1"/>
    <col min="3073" max="3073" width="6.28515625" style="1" customWidth="1"/>
    <col min="3074" max="3074" width="40.42578125" style="1" customWidth="1"/>
    <col min="3075" max="3075" width="9.28515625" style="1" customWidth="1"/>
    <col min="3076" max="3078" width="17.140625" style="1" customWidth="1"/>
    <col min="3079" max="3328" width="9.140625" style="1"/>
    <col min="3329" max="3329" width="6.28515625" style="1" customWidth="1"/>
    <col min="3330" max="3330" width="40.42578125" style="1" customWidth="1"/>
    <col min="3331" max="3331" width="9.28515625" style="1" customWidth="1"/>
    <col min="3332" max="3334" width="17.140625" style="1" customWidth="1"/>
    <col min="3335" max="3584" width="9.140625" style="1"/>
    <col min="3585" max="3585" width="6.28515625" style="1" customWidth="1"/>
    <col min="3586" max="3586" width="40.42578125" style="1" customWidth="1"/>
    <col min="3587" max="3587" width="9.28515625" style="1" customWidth="1"/>
    <col min="3588" max="3590" width="17.140625" style="1" customWidth="1"/>
    <col min="3591" max="3840" width="9.140625" style="1"/>
    <col min="3841" max="3841" width="6.28515625" style="1" customWidth="1"/>
    <col min="3842" max="3842" width="40.42578125" style="1" customWidth="1"/>
    <col min="3843" max="3843" width="9.28515625" style="1" customWidth="1"/>
    <col min="3844" max="3846" width="17.140625" style="1" customWidth="1"/>
    <col min="3847" max="4096" width="9.140625" style="1"/>
    <col min="4097" max="4097" width="6.28515625" style="1" customWidth="1"/>
    <col min="4098" max="4098" width="40.42578125" style="1" customWidth="1"/>
    <col min="4099" max="4099" width="9.28515625" style="1" customWidth="1"/>
    <col min="4100" max="4102" width="17.140625" style="1" customWidth="1"/>
    <col min="4103" max="4352" width="9.140625" style="1"/>
    <col min="4353" max="4353" width="6.28515625" style="1" customWidth="1"/>
    <col min="4354" max="4354" width="40.42578125" style="1" customWidth="1"/>
    <col min="4355" max="4355" width="9.28515625" style="1" customWidth="1"/>
    <col min="4356" max="4358" width="17.140625" style="1" customWidth="1"/>
    <col min="4359" max="4608" width="9.140625" style="1"/>
    <col min="4609" max="4609" width="6.28515625" style="1" customWidth="1"/>
    <col min="4610" max="4610" width="40.42578125" style="1" customWidth="1"/>
    <col min="4611" max="4611" width="9.28515625" style="1" customWidth="1"/>
    <col min="4612" max="4614" width="17.140625" style="1" customWidth="1"/>
    <col min="4615" max="4864" width="9.140625" style="1"/>
    <col min="4865" max="4865" width="6.28515625" style="1" customWidth="1"/>
    <col min="4866" max="4866" width="40.42578125" style="1" customWidth="1"/>
    <col min="4867" max="4867" width="9.28515625" style="1" customWidth="1"/>
    <col min="4868" max="4870" width="17.140625" style="1" customWidth="1"/>
    <col min="4871" max="5120" width="9.140625" style="1"/>
    <col min="5121" max="5121" width="6.28515625" style="1" customWidth="1"/>
    <col min="5122" max="5122" width="40.42578125" style="1" customWidth="1"/>
    <col min="5123" max="5123" width="9.28515625" style="1" customWidth="1"/>
    <col min="5124" max="5126" width="17.140625" style="1" customWidth="1"/>
    <col min="5127" max="5376" width="9.140625" style="1"/>
    <col min="5377" max="5377" width="6.28515625" style="1" customWidth="1"/>
    <col min="5378" max="5378" width="40.42578125" style="1" customWidth="1"/>
    <col min="5379" max="5379" width="9.28515625" style="1" customWidth="1"/>
    <col min="5380" max="5382" width="17.140625" style="1" customWidth="1"/>
    <col min="5383" max="5632" width="9.140625" style="1"/>
    <col min="5633" max="5633" width="6.28515625" style="1" customWidth="1"/>
    <col min="5634" max="5634" width="40.42578125" style="1" customWidth="1"/>
    <col min="5635" max="5635" width="9.28515625" style="1" customWidth="1"/>
    <col min="5636" max="5638" width="17.140625" style="1" customWidth="1"/>
    <col min="5639" max="5888" width="9.140625" style="1"/>
    <col min="5889" max="5889" width="6.28515625" style="1" customWidth="1"/>
    <col min="5890" max="5890" width="40.42578125" style="1" customWidth="1"/>
    <col min="5891" max="5891" width="9.28515625" style="1" customWidth="1"/>
    <col min="5892" max="5894" width="17.140625" style="1" customWidth="1"/>
    <col min="5895" max="6144" width="9.140625" style="1"/>
    <col min="6145" max="6145" width="6.28515625" style="1" customWidth="1"/>
    <col min="6146" max="6146" width="40.42578125" style="1" customWidth="1"/>
    <col min="6147" max="6147" width="9.28515625" style="1" customWidth="1"/>
    <col min="6148" max="6150" width="17.140625" style="1" customWidth="1"/>
    <col min="6151" max="6400" width="9.140625" style="1"/>
    <col min="6401" max="6401" width="6.28515625" style="1" customWidth="1"/>
    <col min="6402" max="6402" width="40.42578125" style="1" customWidth="1"/>
    <col min="6403" max="6403" width="9.28515625" style="1" customWidth="1"/>
    <col min="6404" max="6406" width="17.140625" style="1" customWidth="1"/>
    <col min="6407" max="6656" width="9.140625" style="1"/>
    <col min="6657" max="6657" width="6.28515625" style="1" customWidth="1"/>
    <col min="6658" max="6658" width="40.42578125" style="1" customWidth="1"/>
    <col min="6659" max="6659" width="9.28515625" style="1" customWidth="1"/>
    <col min="6660" max="6662" width="17.140625" style="1" customWidth="1"/>
    <col min="6663" max="6912" width="9.140625" style="1"/>
    <col min="6913" max="6913" width="6.28515625" style="1" customWidth="1"/>
    <col min="6914" max="6914" width="40.42578125" style="1" customWidth="1"/>
    <col min="6915" max="6915" width="9.28515625" style="1" customWidth="1"/>
    <col min="6916" max="6918" width="17.140625" style="1" customWidth="1"/>
    <col min="6919" max="7168" width="9.140625" style="1"/>
    <col min="7169" max="7169" width="6.28515625" style="1" customWidth="1"/>
    <col min="7170" max="7170" width="40.42578125" style="1" customWidth="1"/>
    <col min="7171" max="7171" width="9.28515625" style="1" customWidth="1"/>
    <col min="7172" max="7174" width="17.140625" style="1" customWidth="1"/>
    <col min="7175" max="7424" width="9.140625" style="1"/>
    <col min="7425" max="7425" width="6.28515625" style="1" customWidth="1"/>
    <col min="7426" max="7426" width="40.42578125" style="1" customWidth="1"/>
    <col min="7427" max="7427" width="9.28515625" style="1" customWidth="1"/>
    <col min="7428" max="7430" width="17.140625" style="1" customWidth="1"/>
    <col min="7431" max="7680" width="9.140625" style="1"/>
    <col min="7681" max="7681" width="6.28515625" style="1" customWidth="1"/>
    <col min="7682" max="7682" width="40.42578125" style="1" customWidth="1"/>
    <col min="7683" max="7683" width="9.28515625" style="1" customWidth="1"/>
    <col min="7684" max="7686" width="17.140625" style="1" customWidth="1"/>
    <col min="7687" max="7936" width="9.140625" style="1"/>
    <col min="7937" max="7937" width="6.28515625" style="1" customWidth="1"/>
    <col min="7938" max="7938" width="40.42578125" style="1" customWidth="1"/>
    <col min="7939" max="7939" width="9.28515625" style="1" customWidth="1"/>
    <col min="7940" max="7942" width="17.140625" style="1" customWidth="1"/>
    <col min="7943" max="8192" width="9.140625" style="1"/>
    <col min="8193" max="8193" width="6.28515625" style="1" customWidth="1"/>
    <col min="8194" max="8194" width="40.42578125" style="1" customWidth="1"/>
    <col min="8195" max="8195" width="9.28515625" style="1" customWidth="1"/>
    <col min="8196" max="8198" width="17.140625" style="1" customWidth="1"/>
    <col min="8199" max="8448" width="9.140625" style="1"/>
    <col min="8449" max="8449" width="6.28515625" style="1" customWidth="1"/>
    <col min="8450" max="8450" width="40.42578125" style="1" customWidth="1"/>
    <col min="8451" max="8451" width="9.28515625" style="1" customWidth="1"/>
    <col min="8452" max="8454" width="17.140625" style="1" customWidth="1"/>
    <col min="8455" max="8704" width="9.140625" style="1"/>
    <col min="8705" max="8705" width="6.28515625" style="1" customWidth="1"/>
    <col min="8706" max="8706" width="40.42578125" style="1" customWidth="1"/>
    <col min="8707" max="8707" width="9.28515625" style="1" customWidth="1"/>
    <col min="8708" max="8710" width="17.140625" style="1" customWidth="1"/>
    <col min="8711" max="8960" width="9.140625" style="1"/>
    <col min="8961" max="8961" width="6.28515625" style="1" customWidth="1"/>
    <col min="8962" max="8962" width="40.42578125" style="1" customWidth="1"/>
    <col min="8963" max="8963" width="9.28515625" style="1" customWidth="1"/>
    <col min="8964" max="8966" width="17.140625" style="1" customWidth="1"/>
    <col min="8967" max="9216" width="9.140625" style="1"/>
    <col min="9217" max="9217" width="6.28515625" style="1" customWidth="1"/>
    <col min="9218" max="9218" width="40.42578125" style="1" customWidth="1"/>
    <col min="9219" max="9219" width="9.28515625" style="1" customWidth="1"/>
    <col min="9220" max="9222" width="17.140625" style="1" customWidth="1"/>
    <col min="9223" max="9472" width="9.140625" style="1"/>
    <col min="9473" max="9473" width="6.28515625" style="1" customWidth="1"/>
    <col min="9474" max="9474" width="40.42578125" style="1" customWidth="1"/>
    <col min="9475" max="9475" width="9.28515625" style="1" customWidth="1"/>
    <col min="9476" max="9478" width="17.140625" style="1" customWidth="1"/>
    <col min="9479" max="9728" width="9.140625" style="1"/>
    <col min="9729" max="9729" width="6.28515625" style="1" customWidth="1"/>
    <col min="9730" max="9730" width="40.42578125" style="1" customWidth="1"/>
    <col min="9731" max="9731" width="9.28515625" style="1" customWidth="1"/>
    <col min="9732" max="9734" width="17.140625" style="1" customWidth="1"/>
    <col min="9735" max="9984" width="9.140625" style="1"/>
    <col min="9985" max="9985" width="6.28515625" style="1" customWidth="1"/>
    <col min="9986" max="9986" width="40.42578125" style="1" customWidth="1"/>
    <col min="9987" max="9987" width="9.28515625" style="1" customWidth="1"/>
    <col min="9988" max="9990" width="17.140625" style="1" customWidth="1"/>
    <col min="9991" max="10240" width="9.140625" style="1"/>
    <col min="10241" max="10241" width="6.28515625" style="1" customWidth="1"/>
    <col min="10242" max="10242" width="40.42578125" style="1" customWidth="1"/>
    <col min="10243" max="10243" width="9.28515625" style="1" customWidth="1"/>
    <col min="10244" max="10246" width="17.140625" style="1" customWidth="1"/>
    <col min="10247" max="10496" width="9.140625" style="1"/>
    <col min="10497" max="10497" width="6.28515625" style="1" customWidth="1"/>
    <col min="10498" max="10498" width="40.42578125" style="1" customWidth="1"/>
    <col min="10499" max="10499" width="9.28515625" style="1" customWidth="1"/>
    <col min="10500" max="10502" width="17.140625" style="1" customWidth="1"/>
    <col min="10503" max="10752" width="9.140625" style="1"/>
    <col min="10753" max="10753" width="6.28515625" style="1" customWidth="1"/>
    <col min="10754" max="10754" width="40.42578125" style="1" customWidth="1"/>
    <col min="10755" max="10755" width="9.28515625" style="1" customWidth="1"/>
    <col min="10756" max="10758" width="17.140625" style="1" customWidth="1"/>
    <col min="10759" max="11008" width="9.140625" style="1"/>
    <col min="11009" max="11009" width="6.28515625" style="1" customWidth="1"/>
    <col min="11010" max="11010" width="40.42578125" style="1" customWidth="1"/>
    <col min="11011" max="11011" width="9.28515625" style="1" customWidth="1"/>
    <col min="11012" max="11014" width="17.140625" style="1" customWidth="1"/>
    <col min="11015" max="11264" width="9.140625" style="1"/>
    <col min="11265" max="11265" width="6.28515625" style="1" customWidth="1"/>
    <col min="11266" max="11266" width="40.42578125" style="1" customWidth="1"/>
    <col min="11267" max="11267" width="9.28515625" style="1" customWidth="1"/>
    <col min="11268" max="11270" width="17.140625" style="1" customWidth="1"/>
    <col min="11271" max="11520" width="9.140625" style="1"/>
    <col min="11521" max="11521" width="6.28515625" style="1" customWidth="1"/>
    <col min="11522" max="11522" width="40.42578125" style="1" customWidth="1"/>
    <col min="11523" max="11523" width="9.28515625" style="1" customWidth="1"/>
    <col min="11524" max="11526" width="17.140625" style="1" customWidth="1"/>
    <col min="11527" max="11776" width="9.140625" style="1"/>
    <col min="11777" max="11777" width="6.28515625" style="1" customWidth="1"/>
    <col min="11778" max="11778" width="40.42578125" style="1" customWidth="1"/>
    <col min="11779" max="11779" width="9.28515625" style="1" customWidth="1"/>
    <col min="11780" max="11782" width="17.140625" style="1" customWidth="1"/>
    <col min="11783" max="12032" width="9.140625" style="1"/>
    <col min="12033" max="12033" width="6.28515625" style="1" customWidth="1"/>
    <col min="12034" max="12034" width="40.42578125" style="1" customWidth="1"/>
    <col min="12035" max="12035" width="9.28515625" style="1" customWidth="1"/>
    <col min="12036" max="12038" width="17.140625" style="1" customWidth="1"/>
    <col min="12039" max="12288" width="9.140625" style="1"/>
    <col min="12289" max="12289" width="6.28515625" style="1" customWidth="1"/>
    <col min="12290" max="12290" width="40.42578125" style="1" customWidth="1"/>
    <col min="12291" max="12291" width="9.28515625" style="1" customWidth="1"/>
    <col min="12292" max="12294" width="17.140625" style="1" customWidth="1"/>
    <col min="12295" max="12544" width="9.140625" style="1"/>
    <col min="12545" max="12545" width="6.28515625" style="1" customWidth="1"/>
    <col min="12546" max="12546" width="40.42578125" style="1" customWidth="1"/>
    <col min="12547" max="12547" width="9.28515625" style="1" customWidth="1"/>
    <col min="12548" max="12550" width="17.140625" style="1" customWidth="1"/>
    <col min="12551" max="12800" width="9.140625" style="1"/>
    <col min="12801" max="12801" width="6.28515625" style="1" customWidth="1"/>
    <col min="12802" max="12802" width="40.42578125" style="1" customWidth="1"/>
    <col min="12803" max="12803" width="9.28515625" style="1" customWidth="1"/>
    <col min="12804" max="12806" width="17.140625" style="1" customWidth="1"/>
    <col min="12807" max="13056" width="9.140625" style="1"/>
    <col min="13057" max="13057" width="6.28515625" style="1" customWidth="1"/>
    <col min="13058" max="13058" width="40.42578125" style="1" customWidth="1"/>
    <col min="13059" max="13059" width="9.28515625" style="1" customWidth="1"/>
    <col min="13060" max="13062" width="17.140625" style="1" customWidth="1"/>
    <col min="13063" max="13312" width="9.140625" style="1"/>
    <col min="13313" max="13313" width="6.28515625" style="1" customWidth="1"/>
    <col min="13314" max="13314" width="40.42578125" style="1" customWidth="1"/>
    <col min="13315" max="13315" width="9.28515625" style="1" customWidth="1"/>
    <col min="13316" max="13318" width="17.140625" style="1" customWidth="1"/>
    <col min="13319" max="13568" width="9.140625" style="1"/>
    <col min="13569" max="13569" width="6.28515625" style="1" customWidth="1"/>
    <col min="13570" max="13570" width="40.42578125" style="1" customWidth="1"/>
    <col min="13571" max="13571" width="9.28515625" style="1" customWidth="1"/>
    <col min="13572" max="13574" width="17.140625" style="1" customWidth="1"/>
    <col min="13575" max="13824" width="9.140625" style="1"/>
    <col min="13825" max="13825" width="6.28515625" style="1" customWidth="1"/>
    <col min="13826" max="13826" width="40.42578125" style="1" customWidth="1"/>
    <col min="13827" max="13827" width="9.28515625" style="1" customWidth="1"/>
    <col min="13828" max="13830" width="17.140625" style="1" customWidth="1"/>
    <col min="13831" max="14080" width="9.140625" style="1"/>
    <col min="14081" max="14081" width="6.28515625" style="1" customWidth="1"/>
    <col min="14082" max="14082" width="40.42578125" style="1" customWidth="1"/>
    <col min="14083" max="14083" width="9.28515625" style="1" customWidth="1"/>
    <col min="14084" max="14086" width="17.140625" style="1" customWidth="1"/>
    <col min="14087" max="14336" width="9.140625" style="1"/>
    <col min="14337" max="14337" width="6.28515625" style="1" customWidth="1"/>
    <col min="14338" max="14338" width="40.42578125" style="1" customWidth="1"/>
    <col min="14339" max="14339" width="9.28515625" style="1" customWidth="1"/>
    <col min="14340" max="14342" width="17.140625" style="1" customWidth="1"/>
    <col min="14343" max="14592" width="9.140625" style="1"/>
    <col min="14593" max="14593" width="6.28515625" style="1" customWidth="1"/>
    <col min="14594" max="14594" width="40.42578125" style="1" customWidth="1"/>
    <col min="14595" max="14595" width="9.28515625" style="1" customWidth="1"/>
    <col min="14596" max="14598" width="17.140625" style="1" customWidth="1"/>
    <col min="14599" max="14848" width="9.140625" style="1"/>
    <col min="14849" max="14849" width="6.28515625" style="1" customWidth="1"/>
    <col min="14850" max="14850" width="40.42578125" style="1" customWidth="1"/>
    <col min="14851" max="14851" width="9.28515625" style="1" customWidth="1"/>
    <col min="14852" max="14854" width="17.140625" style="1" customWidth="1"/>
    <col min="14855" max="15104" width="9.140625" style="1"/>
    <col min="15105" max="15105" width="6.28515625" style="1" customWidth="1"/>
    <col min="15106" max="15106" width="40.42578125" style="1" customWidth="1"/>
    <col min="15107" max="15107" width="9.28515625" style="1" customWidth="1"/>
    <col min="15108" max="15110" width="17.140625" style="1" customWidth="1"/>
    <col min="15111" max="15360" width="9.140625" style="1"/>
    <col min="15361" max="15361" width="6.28515625" style="1" customWidth="1"/>
    <col min="15362" max="15362" width="40.42578125" style="1" customWidth="1"/>
    <col min="15363" max="15363" width="9.28515625" style="1" customWidth="1"/>
    <col min="15364" max="15366" width="17.140625" style="1" customWidth="1"/>
    <col min="15367" max="15616" width="9.140625" style="1"/>
    <col min="15617" max="15617" width="6.28515625" style="1" customWidth="1"/>
    <col min="15618" max="15618" width="40.42578125" style="1" customWidth="1"/>
    <col min="15619" max="15619" width="9.28515625" style="1" customWidth="1"/>
    <col min="15620" max="15622" width="17.140625" style="1" customWidth="1"/>
    <col min="15623" max="15872" width="9.140625" style="1"/>
    <col min="15873" max="15873" width="6.28515625" style="1" customWidth="1"/>
    <col min="15874" max="15874" width="40.42578125" style="1" customWidth="1"/>
    <col min="15875" max="15875" width="9.28515625" style="1" customWidth="1"/>
    <col min="15876" max="15878" width="17.140625" style="1" customWidth="1"/>
    <col min="15879" max="16128" width="9.140625" style="1"/>
    <col min="16129" max="16129" width="6.28515625" style="1" customWidth="1"/>
    <col min="16130" max="16130" width="40.42578125" style="1" customWidth="1"/>
    <col min="16131" max="16131" width="9.28515625" style="1" customWidth="1"/>
    <col min="16132" max="16134" width="17.140625" style="1" customWidth="1"/>
    <col min="16135" max="16384" width="9.140625" style="1"/>
  </cols>
  <sheetData>
    <row r="1" spans="1:6" ht="23.25" customHeight="1">
      <c r="A1" s="273"/>
      <c r="B1" s="273"/>
      <c r="C1" s="274" t="s">
        <v>0</v>
      </c>
      <c r="D1" s="274"/>
      <c r="E1" s="274"/>
      <c r="F1" s="274"/>
    </row>
    <row r="2" spans="1:6" ht="42.75" customHeight="1">
      <c r="A2" s="275" t="s">
        <v>1</v>
      </c>
      <c r="B2" s="275"/>
      <c r="C2" s="275"/>
      <c r="D2" s="275"/>
      <c r="E2" s="275"/>
      <c r="F2" s="275"/>
    </row>
    <row r="3" spans="1:6" ht="27" customHeight="1">
      <c r="A3" s="290" t="s">
        <v>147</v>
      </c>
      <c r="B3" s="290"/>
      <c r="C3" s="290"/>
      <c r="D3" s="290"/>
      <c r="E3" s="290"/>
      <c r="F3" s="290"/>
    </row>
    <row r="4" spans="1:6" ht="13.5" customHeight="1">
      <c r="A4" s="281" t="s">
        <v>148</v>
      </c>
      <c r="B4" s="281"/>
      <c r="C4" s="281"/>
      <c r="D4" s="281"/>
      <c r="E4" s="281"/>
      <c r="F4" s="281"/>
    </row>
    <row r="5" spans="1:6" ht="9.75" customHeight="1">
      <c r="A5" s="2"/>
      <c r="B5" s="2"/>
      <c r="C5" s="2"/>
      <c r="D5" s="2"/>
      <c r="E5" s="2"/>
      <c r="F5" s="2"/>
    </row>
    <row r="6" spans="1:6" ht="12.75" customHeight="1">
      <c r="A6" s="3" t="s">
        <v>5</v>
      </c>
      <c r="B6" s="4" t="s">
        <v>6</v>
      </c>
      <c r="C6" s="284" t="s">
        <v>7</v>
      </c>
      <c r="D6" s="284"/>
      <c r="E6" s="284"/>
      <c r="F6" s="284"/>
    </row>
    <row r="7" spans="1:6" ht="12.75" customHeight="1">
      <c r="A7" s="33"/>
      <c r="B7" s="5" t="s">
        <v>8</v>
      </c>
      <c r="C7" s="292" t="s">
        <v>9</v>
      </c>
      <c r="D7" s="292"/>
      <c r="E7" s="292"/>
      <c r="F7" s="292"/>
    </row>
    <row r="8" spans="1:6" ht="12.75" customHeight="1">
      <c r="A8" s="3" t="s">
        <v>10</v>
      </c>
      <c r="B8" s="4" t="s">
        <v>149</v>
      </c>
      <c r="C8" s="284" t="s">
        <v>12</v>
      </c>
      <c r="D8" s="284"/>
      <c r="E8" s="284"/>
      <c r="F8" s="284"/>
    </row>
    <row r="9" spans="1:6" ht="12.75" customHeight="1">
      <c r="A9" s="33"/>
      <c r="B9" s="5" t="s">
        <v>13</v>
      </c>
      <c r="C9" s="292" t="s">
        <v>14</v>
      </c>
      <c r="D9" s="292"/>
      <c r="E9" s="292"/>
      <c r="F9" s="292"/>
    </row>
    <row r="10" spans="1:6" ht="12.75" customHeight="1">
      <c r="A10" s="3" t="s">
        <v>15</v>
      </c>
      <c r="B10" s="4" t="s">
        <v>16</v>
      </c>
      <c r="C10" s="284" t="s">
        <v>17</v>
      </c>
      <c r="D10" s="284"/>
      <c r="E10" s="284"/>
      <c r="F10" s="284"/>
    </row>
    <row r="11" spans="1:6" ht="12.75" customHeight="1">
      <c r="A11" s="33"/>
      <c r="B11" s="5" t="s">
        <v>18</v>
      </c>
      <c r="C11" s="292" t="s">
        <v>19</v>
      </c>
      <c r="D11" s="292"/>
      <c r="E11" s="292"/>
      <c r="F11" s="292"/>
    </row>
    <row r="12" spans="1:6" ht="12.75" customHeight="1">
      <c r="A12" s="3" t="s">
        <v>20</v>
      </c>
      <c r="B12" s="4" t="s">
        <v>21</v>
      </c>
      <c r="C12" s="293">
        <v>44109</v>
      </c>
      <c r="D12" s="284"/>
      <c r="E12" s="284"/>
      <c r="F12" s="284"/>
    </row>
    <row r="13" spans="1:6" ht="12.75" customHeight="1">
      <c r="A13" s="33"/>
      <c r="B13" s="5" t="s">
        <v>22</v>
      </c>
      <c r="C13" s="294">
        <v>44109</v>
      </c>
      <c r="D13" s="292"/>
      <c r="E13" s="292"/>
      <c r="F13" s="292"/>
    </row>
    <row r="14" spans="1:6" ht="12.75" customHeight="1">
      <c r="A14" s="2"/>
      <c r="B14" s="5"/>
      <c r="C14" s="5"/>
      <c r="D14" s="5"/>
      <c r="E14" s="295"/>
      <c r="F14" s="295"/>
    </row>
    <row r="15" spans="1:6" ht="12.75" customHeight="1">
      <c r="A15" s="284" t="s">
        <v>150</v>
      </c>
      <c r="B15" s="284"/>
      <c r="C15" s="284"/>
      <c r="D15" s="284"/>
      <c r="E15" s="284"/>
      <c r="F15" s="284"/>
    </row>
    <row r="16" spans="1:6" ht="12.75" customHeight="1">
      <c r="A16" s="284" t="s">
        <v>151</v>
      </c>
      <c r="B16" s="284"/>
      <c r="C16" s="284"/>
      <c r="D16" s="284"/>
      <c r="E16" s="284"/>
      <c r="F16" s="284"/>
    </row>
    <row r="17" spans="1:6" ht="12.75" customHeight="1">
      <c r="A17" s="296" t="s">
        <v>25</v>
      </c>
      <c r="B17" s="296"/>
      <c r="C17" s="296"/>
      <c r="D17" s="296"/>
      <c r="E17" s="296"/>
      <c r="F17" s="296"/>
    </row>
    <row r="18" spans="1:6" ht="81.75" customHeight="1">
      <c r="A18" s="7" t="s">
        <v>152</v>
      </c>
      <c r="B18" s="8" t="s">
        <v>153</v>
      </c>
      <c r="C18" s="8" t="s">
        <v>28</v>
      </c>
      <c r="D18" s="8" t="s">
        <v>154</v>
      </c>
      <c r="E18" s="8" t="s">
        <v>155</v>
      </c>
      <c r="F18" s="9" t="s">
        <v>156</v>
      </c>
    </row>
    <row r="19" spans="1:6" ht="21">
      <c r="A19" s="36" t="s">
        <v>33</v>
      </c>
      <c r="B19" s="37" t="s">
        <v>157</v>
      </c>
      <c r="C19" s="38" t="s">
        <v>158</v>
      </c>
      <c r="D19" s="14">
        <v>3380961009</v>
      </c>
      <c r="E19" s="14">
        <v>8467624516</v>
      </c>
      <c r="F19" s="39">
        <v>12979424599</v>
      </c>
    </row>
    <row r="20" spans="1:6" ht="21">
      <c r="A20" s="40" t="s">
        <v>5</v>
      </c>
      <c r="B20" s="41" t="s">
        <v>159</v>
      </c>
      <c r="C20" s="42" t="s">
        <v>160</v>
      </c>
      <c r="D20" s="20">
        <v>3366356000</v>
      </c>
      <c r="E20" s="20">
        <v>8465845000</v>
      </c>
      <c r="F20" s="43">
        <v>12942242000</v>
      </c>
    </row>
    <row r="21" spans="1:6" ht="21">
      <c r="A21" s="44"/>
      <c r="B21" s="45" t="s">
        <v>161</v>
      </c>
      <c r="C21" s="46" t="s">
        <v>162</v>
      </c>
      <c r="D21" s="47">
        <v>3366356000</v>
      </c>
      <c r="E21" s="47">
        <v>8465845000</v>
      </c>
      <c r="F21" s="48">
        <v>12942242000</v>
      </c>
    </row>
    <row r="22" spans="1:6" ht="21">
      <c r="A22" s="44"/>
      <c r="B22" s="45" t="s">
        <v>163</v>
      </c>
      <c r="C22" s="46" t="s">
        <v>164</v>
      </c>
      <c r="D22" s="47">
        <v>0</v>
      </c>
      <c r="E22" s="47">
        <v>0</v>
      </c>
      <c r="F22" s="48">
        <v>0</v>
      </c>
    </row>
    <row r="23" spans="1:6" ht="21">
      <c r="A23" s="40" t="s">
        <v>10</v>
      </c>
      <c r="B23" s="41" t="s">
        <v>165</v>
      </c>
      <c r="C23" s="42" t="s">
        <v>166</v>
      </c>
      <c r="D23" s="20">
        <v>14605009</v>
      </c>
      <c r="E23" s="20">
        <v>1779516</v>
      </c>
      <c r="F23" s="43">
        <v>37182599</v>
      </c>
    </row>
    <row r="24" spans="1:6" ht="21">
      <c r="A24" s="44"/>
      <c r="B24" s="45" t="s">
        <v>167</v>
      </c>
      <c r="C24" s="46" t="s">
        <v>168</v>
      </c>
      <c r="D24" s="47">
        <v>14605009</v>
      </c>
      <c r="E24" s="47">
        <v>1779516</v>
      </c>
      <c r="F24" s="48">
        <v>37182599</v>
      </c>
    </row>
    <row r="25" spans="1:6" ht="21">
      <c r="A25" s="44"/>
      <c r="B25" s="45" t="s">
        <v>169</v>
      </c>
      <c r="C25" s="46" t="s">
        <v>170</v>
      </c>
      <c r="D25" s="47">
        <v>0</v>
      </c>
      <c r="E25" s="47">
        <v>0</v>
      </c>
      <c r="F25" s="48">
        <v>0</v>
      </c>
    </row>
    <row r="26" spans="1:6" ht="21">
      <c r="A26" s="40" t="s">
        <v>15</v>
      </c>
      <c r="B26" s="41" t="s">
        <v>171</v>
      </c>
      <c r="C26" s="42" t="s">
        <v>172</v>
      </c>
      <c r="D26" s="20">
        <v>0</v>
      </c>
      <c r="E26" s="20">
        <v>0</v>
      </c>
      <c r="F26" s="43">
        <v>0</v>
      </c>
    </row>
    <row r="27" spans="1:6" ht="21">
      <c r="A27" s="44"/>
      <c r="B27" s="45" t="s">
        <v>173</v>
      </c>
      <c r="C27" s="46" t="s">
        <v>174</v>
      </c>
      <c r="D27" s="47">
        <v>0</v>
      </c>
      <c r="E27" s="47">
        <v>0</v>
      </c>
      <c r="F27" s="48">
        <v>0</v>
      </c>
    </row>
    <row r="28" spans="1:6" ht="21">
      <c r="A28" s="44"/>
      <c r="B28" s="45" t="s">
        <v>175</v>
      </c>
      <c r="C28" s="46" t="s">
        <v>176</v>
      </c>
      <c r="D28" s="47">
        <v>0</v>
      </c>
      <c r="E28" s="47">
        <v>0</v>
      </c>
      <c r="F28" s="48">
        <v>0</v>
      </c>
    </row>
    <row r="29" spans="1:6" ht="52.5">
      <c r="A29" s="44"/>
      <c r="B29" s="45" t="s">
        <v>177</v>
      </c>
      <c r="C29" s="46" t="s">
        <v>178</v>
      </c>
      <c r="D29" s="47">
        <v>0</v>
      </c>
      <c r="E29" s="47">
        <v>0</v>
      </c>
      <c r="F29" s="48">
        <v>0</v>
      </c>
    </row>
    <row r="30" spans="1:6" ht="21">
      <c r="A30" s="36" t="s">
        <v>76</v>
      </c>
      <c r="B30" s="37" t="s">
        <v>179</v>
      </c>
      <c r="C30" s="38" t="s">
        <v>180</v>
      </c>
      <c r="D30" s="14">
        <v>1698275470</v>
      </c>
      <c r="E30" s="14">
        <v>1438313977</v>
      </c>
      <c r="F30" s="39">
        <v>5883341827</v>
      </c>
    </row>
    <row r="31" spans="1:6" ht="21">
      <c r="A31" s="40" t="s">
        <v>5</v>
      </c>
      <c r="B31" s="41" t="s">
        <v>181</v>
      </c>
      <c r="C31" s="42" t="s">
        <v>182</v>
      </c>
      <c r="D31" s="20">
        <v>1344848804</v>
      </c>
      <c r="E31" s="20">
        <v>1087312281</v>
      </c>
      <c r="F31" s="43">
        <v>4430779210</v>
      </c>
    </row>
    <row r="32" spans="1:6" ht="31.5">
      <c r="A32" s="40" t="s">
        <v>10</v>
      </c>
      <c r="B32" s="41" t="s">
        <v>183</v>
      </c>
      <c r="C32" s="42" t="s">
        <v>184</v>
      </c>
      <c r="D32" s="20">
        <v>124317313</v>
      </c>
      <c r="E32" s="20">
        <v>104003932</v>
      </c>
      <c r="F32" s="43">
        <v>428562771</v>
      </c>
    </row>
    <row r="33" spans="1:6" ht="21">
      <c r="A33" s="44"/>
      <c r="B33" s="45" t="s">
        <v>185</v>
      </c>
      <c r="C33" s="46" t="s">
        <v>186</v>
      </c>
      <c r="D33" s="47">
        <v>33621222</v>
      </c>
      <c r="E33" s="47">
        <v>27182806</v>
      </c>
      <c r="F33" s="48">
        <v>117531154</v>
      </c>
    </row>
    <row r="34" spans="1:6" ht="21">
      <c r="A34" s="44"/>
      <c r="B34" s="45" t="s">
        <v>187</v>
      </c>
      <c r="C34" s="46" t="s">
        <v>188</v>
      </c>
      <c r="D34" s="47">
        <v>200000</v>
      </c>
      <c r="E34" s="47">
        <v>2100000</v>
      </c>
      <c r="F34" s="48">
        <v>5700000</v>
      </c>
    </row>
    <row r="35" spans="1:6" ht="21">
      <c r="A35" s="44"/>
      <c r="B35" s="45" t="s">
        <v>189</v>
      </c>
      <c r="C35" s="46" t="s">
        <v>190</v>
      </c>
      <c r="D35" s="47">
        <v>16529407</v>
      </c>
      <c r="E35" s="47">
        <v>14918951</v>
      </c>
      <c r="F35" s="48">
        <v>46420949</v>
      </c>
    </row>
    <row r="36" spans="1:6" ht="21">
      <c r="A36" s="44"/>
      <c r="B36" s="45" t="s">
        <v>191</v>
      </c>
      <c r="C36" s="46" t="s">
        <v>192</v>
      </c>
      <c r="D36" s="47">
        <v>73966684</v>
      </c>
      <c r="E36" s="47">
        <v>59802175</v>
      </c>
      <c r="F36" s="48">
        <v>258910668</v>
      </c>
    </row>
    <row r="37" spans="1:6" ht="42">
      <c r="A37" s="44"/>
      <c r="B37" s="45" t="s">
        <v>193</v>
      </c>
      <c r="C37" s="46" t="s">
        <v>194</v>
      </c>
      <c r="D37" s="47">
        <v>0</v>
      </c>
      <c r="E37" s="47">
        <v>0</v>
      </c>
      <c r="F37" s="48">
        <v>0</v>
      </c>
    </row>
    <row r="38" spans="1:6" ht="52.5">
      <c r="A38" s="40" t="s">
        <v>15</v>
      </c>
      <c r="B38" s="41" t="s">
        <v>195</v>
      </c>
      <c r="C38" s="42" t="s">
        <v>196</v>
      </c>
      <c r="D38" s="20">
        <v>201637576</v>
      </c>
      <c r="E38" s="20">
        <v>178110824</v>
      </c>
      <c r="F38" s="43">
        <v>740484910</v>
      </c>
    </row>
    <row r="39" spans="1:6" ht="21">
      <c r="A39" s="44"/>
      <c r="B39" s="45" t="s">
        <v>197</v>
      </c>
      <c r="C39" s="46" t="s">
        <v>198</v>
      </c>
      <c r="D39" s="47">
        <v>36983344</v>
      </c>
      <c r="E39" s="47">
        <v>29901088</v>
      </c>
      <c r="F39" s="48">
        <v>138786100</v>
      </c>
    </row>
    <row r="40" spans="1:6" ht="21">
      <c r="A40" s="44"/>
      <c r="B40" s="45" t="s">
        <v>199</v>
      </c>
      <c r="C40" s="46" t="s">
        <v>200</v>
      </c>
      <c r="D40" s="47">
        <v>5500000</v>
      </c>
      <c r="E40" s="47">
        <v>5500000</v>
      </c>
      <c r="F40" s="48">
        <v>25548387</v>
      </c>
    </row>
    <row r="41" spans="1:6" ht="31.5">
      <c r="A41" s="44"/>
      <c r="B41" s="45" t="s">
        <v>201</v>
      </c>
      <c r="C41" s="46" t="s">
        <v>202</v>
      </c>
      <c r="D41" s="47">
        <v>84053051</v>
      </c>
      <c r="E41" s="47">
        <v>67957018</v>
      </c>
      <c r="F41" s="48">
        <v>273856317</v>
      </c>
    </row>
    <row r="42" spans="1:6" ht="21">
      <c r="A42" s="44"/>
      <c r="B42" s="45" t="s">
        <v>203</v>
      </c>
      <c r="C42" s="46" t="s">
        <v>204</v>
      </c>
      <c r="D42" s="47">
        <v>75101181</v>
      </c>
      <c r="E42" s="47">
        <v>74752718</v>
      </c>
      <c r="F42" s="48">
        <v>302294106</v>
      </c>
    </row>
    <row r="43" spans="1:6" ht="21">
      <c r="A43" s="40" t="s">
        <v>20</v>
      </c>
      <c r="B43" s="41" t="s">
        <v>205</v>
      </c>
      <c r="C43" s="42" t="s">
        <v>206</v>
      </c>
      <c r="D43" s="20">
        <v>15639810</v>
      </c>
      <c r="E43" s="20">
        <v>16161137</v>
      </c>
      <c r="F43" s="43">
        <v>62037913</v>
      </c>
    </row>
    <row r="44" spans="1:6" ht="52.5">
      <c r="A44" s="40" t="s">
        <v>44</v>
      </c>
      <c r="B44" s="41" t="s">
        <v>207</v>
      </c>
      <c r="C44" s="42" t="s">
        <v>208</v>
      </c>
      <c r="D44" s="20">
        <v>9735985</v>
      </c>
      <c r="E44" s="20">
        <v>9760518</v>
      </c>
      <c r="F44" s="43">
        <v>38993008</v>
      </c>
    </row>
    <row r="45" spans="1:6" ht="21">
      <c r="A45" s="44"/>
      <c r="B45" s="45" t="s">
        <v>209</v>
      </c>
      <c r="C45" s="46" t="s">
        <v>210</v>
      </c>
      <c r="D45" s="47">
        <v>9735985</v>
      </c>
      <c r="E45" s="47">
        <v>9760518</v>
      </c>
      <c r="F45" s="48">
        <v>38993008</v>
      </c>
    </row>
    <row r="46" spans="1:6" ht="21">
      <c r="A46" s="44"/>
      <c r="B46" s="45" t="s">
        <v>211</v>
      </c>
      <c r="C46" s="46" t="s">
        <v>212</v>
      </c>
      <c r="D46" s="47">
        <v>0</v>
      </c>
      <c r="E46" s="47">
        <v>0</v>
      </c>
      <c r="F46" s="48">
        <v>0</v>
      </c>
    </row>
    <row r="47" spans="1:6" ht="21">
      <c r="A47" s="44"/>
      <c r="B47" s="45" t="s">
        <v>213</v>
      </c>
      <c r="C47" s="46" t="s">
        <v>214</v>
      </c>
      <c r="D47" s="47">
        <v>0</v>
      </c>
      <c r="E47" s="47">
        <v>0</v>
      </c>
      <c r="F47" s="48">
        <v>0</v>
      </c>
    </row>
    <row r="48" spans="1:6" ht="115.5">
      <c r="A48" s="40" t="s">
        <v>47</v>
      </c>
      <c r="B48" s="41" t="s">
        <v>215</v>
      </c>
      <c r="C48" s="42" t="s">
        <v>216</v>
      </c>
      <c r="D48" s="20">
        <v>0</v>
      </c>
      <c r="E48" s="20">
        <v>0</v>
      </c>
      <c r="F48" s="43">
        <v>0</v>
      </c>
    </row>
    <row r="49" spans="1:6" ht="21">
      <c r="A49" s="44"/>
      <c r="B49" s="45" t="s">
        <v>217</v>
      </c>
      <c r="C49" s="46" t="s">
        <v>218</v>
      </c>
      <c r="D49" s="47">
        <v>0</v>
      </c>
      <c r="E49" s="47">
        <v>0</v>
      </c>
      <c r="F49" s="48">
        <v>0</v>
      </c>
    </row>
    <row r="50" spans="1:6" ht="21">
      <c r="A50" s="44"/>
      <c r="B50" s="45" t="s">
        <v>219</v>
      </c>
      <c r="C50" s="46" t="s">
        <v>220</v>
      </c>
      <c r="D50" s="47">
        <v>0</v>
      </c>
      <c r="E50" s="47">
        <v>0</v>
      </c>
      <c r="F50" s="48">
        <v>0</v>
      </c>
    </row>
    <row r="51" spans="1:6" ht="31.5">
      <c r="A51" s="44"/>
      <c r="B51" s="45" t="s">
        <v>221</v>
      </c>
      <c r="C51" s="46" t="s">
        <v>222</v>
      </c>
      <c r="D51" s="47">
        <v>0</v>
      </c>
      <c r="E51" s="47">
        <v>0</v>
      </c>
      <c r="F51" s="48">
        <v>0</v>
      </c>
    </row>
    <row r="52" spans="1:6" ht="21">
      <c r="A52" s="44"/>
      <c r="B52" s="45" t="s">
        <v>223</v>
      </c>
      <c r="C52" s="46" t="s">
        <v>224</v>
      </c>
      <c r="D52" s="47">
        <v>0</v>
      </c>
      <c r="E52" s="47">
        <v>0</v>
      </c>
      <c r="F52" s="48">
        <v>0</v>
      </c>
    </row>
    <row r="53" spans="1:6" ht="21">
      <c r="A53" s="44"/>
      <c r="B53" s="45" t="s">
        <v>225</v>
      </c>
      <c r="C53" s="46" t="s">
        <v>226</v>
      </c>
      <c r="D53" s="47">
        <v>0</v>
      </c>
      <c r="E53" s="47">
        <v>0</v>
      </c>
      <c r="F53" s="48">
        <v>0</v>
      </c>
    </row>
    <row r="54" spans="1:6" ht="42">
      <c r="A54" s="40" t="s">
        <v>50</v>
      </c>
      <c r="B54" s="41" t="s">
        <v>227</v>
      </c>
      <c r="C54" s="42" t="s">
        <v>228</v>
      </c>
      <c r="D54" s="20">
        <v>0</v>
      </c>
      <c r="E54" s="20">
        <v>40952638</v>
      </c>
      <c r="F54" s="43">
        <v>104906957</v>
      </c>
    </row>
    <row r="55" spans="1:6" ht="21">
      <c r="A55" s="44"/>
      <c r="B55" s="45" t="s">
        <v>229</v>
      </c>
      <c r="C55" s="46" t="s">
        <v>230</v>
      </c>
      <c r="D55" s="47">
        <v>0</v>
      </c>
      <c r="E55" s="47">
        <v>40952638</v>
      </c>
      <c r="F55" s="48">
        <v>104906957</v>
      </c>
    </row>
    <row r="56" spans="1:6" ht="21">
      <c r="A56" s="44"/>
      <c r="B56" s="45" t="s">
        <v>231</v>
      </c>
      <c r="C56" s="46" t="s">
        <v>232</v>
      </c>
      <c r="D56" s="47">
        <v>0</v>
      </c>
      <c r="E56" s="47">
        <v>0</v>
      </c>
      <c r="F56" s="48">
        <v>0</v>
      </c>
    </row>
    <row r="57" spans="1:6" ht="21">
      <c r="A57" s="40" t="s">
        <v>53</v>
      </c>
      <c r="B57" s="41" t="s">
        <v>233</v>
      </c>
      <c r="C57" s="42" t="s">
        <v>234</v>
      </c>
      <c r="D57" s="20">
        <v>2095982</v>
      </c>
      <c r="E57" s="20">
        <v>2012647</v>
      </c>
      <c r="F57" s="43">
        <v>77577058</v>
      </c>
    </row>
    <row r="58" spans="1:6" ht="21">
      <c r="A58" s="44"/>
      <c r="B58" s="45" t="s">
        <v>235</v>
      </c>
      <c r="C58" s="46" t="s">
        <v>236</v>
      </c>
      <c r="D58" s="47">
        <v>0</v>
      </c>
      <c r="E58" s="47">
        <v>0</v>
      </c>
      <c r="F58" s="48">
        <v>50000000</v>
      </c>
    </row>
    <row r="59" spans="1:6" ht="21">
      <c r="A59" s="44"/>
      <c r="B59" s="45" t="s">
        <v>237</v>
      </c>
      <c r="C59" s="46" t="s">
        <v>238</v>
      </c>
      <c r="D59" s="47">
        <v>0</v>
      </c>
      <c r="E59" s="47">
        <v>0</v>
      </c>
      <c r="F59" s="48">
        <v>17500000</v>
      </c>
    </row>
    <row r="60" spans="1:6" ht="21">
      <c r="A60" s="44"/>
      <c r="B60" s="45" t="s">
        <v>239</v>
      </c>
      <c r="C60" s="46" t="s">
        <v>240</v>
      </c>
      <c r="D60" s="47">
        <v>590550</v>
      </c>
      <c r="E60" s="47">
        <v>610235</v>
      </c>
      <c r="F60" s="48">
        <v>3562985</v>
      </c>
    </row>
    <row r="61" spans="1:6" ht="21">
      <c r="A61" s="44"/>
      <c r="B61" s="45" t="s">
        <v>241</v>
      </c>
      <c r="C61" s="46" t="s">
        <v>242</v>
      </c>
      <c r="D61" s="47">
        <v>1505432</v>
      </c>
      <c r="E61" s="47">
        <v>1402412</v>
      </c>
      <c r="F61" s="48">
        <v>6514073</v>
      </c>
    </row>
    <row r="62" spans="1:6" ht="21">
      <c r="A62" s="44"/>
      <c r="B62" s="45" t="s">
        <v>243</v>
      </c>
      <c r="C62" s="46" t="s">
        <v>244</v>
      </c>
      <c r="D62" s="47">
        <v>0</v>
      </c>
      <c r="E62" s="47">
        <v>0</v>
      </c>
      <c r="F62" s="48">
        <v>0</v>
      </c>
    </row>
    <row r="63" spans="1:6" ht="21">
      <c r="A63" s="44"/>
      <c r="B63" s="45" t="s">
        <v>245</v>
      </c>
      <c r="C63" s="46" t="s">
        <v>246</v>
      </c>
      <c r="D63" s="47">
        <v>0</v>
      </c>
      <c r="E63" s="47">
        <v>0</v>
      </c>
      <c r="F63" s="48">
        <v>0</v>
      </c>
    </row>
    <row r="64" spans="1:6" ht="21">
      <c r="A64" s="44"/>
      <c r="B64" s="45" t="s">
        <v>247</v>
      </c>
      <c r="C64" s="46" t="s">
        <v>248</v>
      </c>
      <c r="D64" s="47">
        <v>0</v>
      </c>
      <c r="E64" s="47">
        <v>0</v>
      </c>
      <c r="F64" s="48">
        <v>0</v>
      </c>
    </row>
    <row r="65" spans="1:6" ht="21">
      <c r="A65" s="44"/>
      <c r="B65" s="45" t="s">
        <v>249</v>
      </c>
      <c r="C65" s="46" t="s">
        <v>250</v>
      </c>
      <c r="D65" s="47">
        <v>0</v>
      </c>
      <c r="E65" s="47">
        <v>0</v>
      </c>
      <c r="F65" s="48">
        <v>0</v>
      </c>
    </row>
    <row r="66" spans="1:6" ht="31.5">
      <c r="A66" s="36" t="s">
        <v>83</v>
      </c>
      <c r="B66" s="37" t="s">
        <v>251</v>
      </c>
      <c r="C66" s="38" t="s">
        <v>252</v>
      </c>
      <c r="D66" s="14">
        <v>1682685539</v>
      </c>
      <c r="E66" s="14">
        <v>7029310539</v>
      </c>
      <c r="F66" s="39">
        <v>7096082772</v>
      </c>
    </row>
    <row r="67" spans="1:6" ht="21">
      <c r="A67" s="36" t="s">
        <v>87</v>
      </c>
      <c r="B67" s="37" t="s">
        <v>253</v>
      </c>
      <c r="C67" s="38" t="s">
        <v>254</v>
      </c>
      <c r="D67" s="14">
        <v>95853877750</v>
      </c>
      <c r="E67" s="14">
        <v>236713931150</v>
      </c>
      <c r="F67" s="39">
        <v>194817536700</v>
      </c>
    </row>
    <row r="68" spans="1:6" ht="21">
      <c r="A68" s="40" t="s">
        <v>5</v>
      </c>
      <c r="B68" s="41" t="s">
        <v>255</v>
      </c>
      <c r="C68" s="42" t="s">
        <v>256</v>
      </c>
      <c r="D68" s="20">
        <v>1407637251</v>
      </c>
      <c r="E68" s="20">
        <v>40714130</v>
      </c>
      <c r="F68" s="43">
        <v>518934544</v>
      </c>
    </row>
    <row r="69" spans="1:6" ht="21">
      <c r="A69" s="44"/>
      <c r="B69" s="45" t="s">
        <v>257</v>
      </c>
      <c r="C69" s="46" t="s">
        <v>258</v>
      </c>
      <c r="D69" s="47">
        <v>31878</v>
      </c>
      <c r="E69" s="47">
        <v>6837</v>
      </c>
      <c r="F69" s="48">
        <v>-929378122</v>
      </c>
    </row>
    <row r="70" spans="1:6" ht="31.5">
      <c r="A70" s="44"/>
      <c r="B70" s="45" t="s">
        <v>259</v>
      </c>
      <c r="C70" s="46" t="s">
        <v>260</v>
      </c>
      <c r="D70" s="47">
        <v>1407605373</v>
      </c>
      <c r="E70" s="47">
        <v>40707293</v>
      </c>
      <c r="F70" s="48">
        <v>1448312666</v>
      </c>
    </row>
    <row r="71" spans="1:6" ht="42">
      <c r="A71" s="44"/>
      <c r="B71" s="45" t="s">
        <v>261</v>
      </c>
      <c r="C71" s="46" t="s">
        <v>262</v>
      </c>
      <c r="D71" s="47">
        <v>0</v>
      </c>
      <c r="E71" s="47">
        <v>0</v>
      </c>
      <c r="F71" s="48">
        <v>0</v>
      </c>
    </row>
    <row r="72" spans="1:6" ht="21">
      <c r="A72" s="40" t="s">
        <v>10</v>
      </c>
      <c r="B72" s="41" t="s">
        <v>263</v>
      </c>
      <c r="C72" s="42" t="s">
        <v>264</v>
      </c>
      <c r="D72" s="20">
        <v>94446240499</v>
      </c>
      <c r="E72" s="20">
        <v>236673217020</v>
      </c>
      <c r="F72" s="43">
        <v>194298602156</v>
      </c>
    </row>
    <row r="73" spans="1:6" ht="52.5">
      <c r="A73" s="36" t="s">
        <v>97</v>
      </c>
      <c r="B73" s="37" t="s">
        <v>265</v>
      </c>
      <c r="C73" s="38" t="s">
        <v>266</v>
      </c>
      <c r="D73" s="14">
        <v>97536563289</v>
      </c>
      <c r="E73" s="14">
        <v>243743241689</v>
      </c>
      <c r="F73" s="39">
        <v>201913619472</v>
      </c>
    </row>
    <row r="74" spans="1:6" ht="21">
      <c r="A74" s="36" t="s">
        <v>121</v>
      </c>
      <c r="B74" s="37" t="s">
        <v>267</v>
      </c>
      <c r="C74" s="38" t="s">
        <v>268</v>
      </c>
      <c r="D74" s="14">
        <v>1853924646350</v>
      </c>
      <c r="E74" s="14">
        <v>1419086091516</v>
      </c>
      <c r="F74" s="39">
        <v>0</v>
      </c>
    </row>
    <row r="75" spans="1:6" ht="31.5">
      <c r="A75" s="36" t="s">
        <v>137</v>
      </c>
      <c r="B75" s="37" t="s">
        <v>269</v>
      </c>
      <c r="C75" s="38" t="s">
        <v>270</v>
      </c>
      <c r="D75" s="14">
        <v>390954349621</v>
      </c>
      <c r="E75" s="14">
        <v>434838554834</v>
      </c>
      <c r="F75" s="39">
        <v>2244878995971</v>
      </c>
    </row>
    <row r="76" spans="1:6" ht="21">
      <c r="A76" s="40"/>
      <c r="B76" s="41" t="s">
        <v>271</v>
      </c>
      <c r="C76" s="42" t="s">
        <v>272</v>
      </c>
      <c r="D76" s="20">
        <v>0</v>
      </c>
      <c r="E76" s="20">
        <v>0</v>
      </c>
      <c r="F76" s="43">
        <v>0</v>
      </c>
    </row>
    <row r="77" spans="1:6" ht="42">
      <c r="A77" s="40" t="s">
        <v>5</v>
      </c>
      <c r="B77" s="41" t="s">
        <v>273</v>
      </c>
      <c r="C77" s="42" t="s">
        <v>274</v>
      </c>
      <c r="D77" s="20">
        <v>97536563289</v>
      </c>
      <c r="E77" s="20">
        <v>243743241689</v>
      </c>
      <c r="F77" s="43">
        <v>201913619472</v>
      </c>
    </row>
    <row r="78" spans="1:6" ht="42">
      <c r="A78" s="40" t="s">
        <v>10</v>
      </c>
      <c r="B78" s="41" t="s">
        <v>275</v>
      </c>
      <c r="C78" s="42" t="s">
        <v>276</v>
      </c>
      <c r="D78" s="20">
        <v>293417786332</v>
      </c>
      <c r="E78" s="20">
        <v>191095313145</v>
      </c>
      <c r="F78" s="43">
        <v>2042965376499</v>
      </c>
    </row>
    <row r="79" spans="1:6" ht="42">
      <c r="A79" s="44"/>
      <c r="B79" s="45" t="s">
        <v>277</v>
      </c>
      <c r="C79" s="46" t="s">
        <v>278</v>
      </c>
      <c r="D79" s="47">
        <v>0</v>
      </c>
      <c r="E79" s="47">
        <v>0</v>
      </c>
      <c r="F79" s="48">
        <v>0</v>
      </c>
    </row>
    <row r="80" spans="1:6" ht="31.5">
      <c r="A80" s="44"/>
      <c r="B80" s="45" t="s">
        <v>279</v>
      </c>
      <c r="C80" s="46" t="s">
        <v>280</v>
      </c>
      <c r="D80" s="47">
        <v>317870283704</v>
      </c>
      <c r="E80" s="47">
        <v>205509537947</v>
      </c>
      <c r="F80" s="48">
        <v>2081832098673</v>
      </c>
    </row>
    <row r="81" spans="1:6" ht="31.5">
      <c r="A81" s="44"/>
      <c r="B81" s="45" t="s">
        <v>281</v>
      </c>
      <c r="C81" s="46" t="s">
        <v>282</v>
      </c>
      <c r="D81" s="47">
        <v>-24452497372</v>
      </c>
      <c r="E81" s="47">
        <v>-14414224802</v>
      </c>
      <c r="F81" s="48">
        <v>-38866722174</v>
      </c>
    </row>
    <row r="82" spans="1:6" ht="21">
      <c r="A82" s="36" t="s">
        <v>283</v>
      </c>
      <c r="B82" s="37" t="s">
        <v>284</v>
      </c>
      <c r="C82" s="38" t="s">
        <v>285</v>
      </c>
      <c r="D82" s="14">
        <v>2244878995971</v>
      </c>
      <c r="E82" s="14">
        <v>1853924646350</v>
      </c>
      <c r="F82" s="39">
        <v>2244878995971</v>
      </c>
    </row>
    <row r="83" spans="1:6" ht="42">
      <c r="A83" s="36" t="s">
        <v>286</v>
      </c>
      <c r="B83" s="37" t="s">
        <v>287</v>
      </c>
      <c r="C83" s="38" t="s">
        <v>288</v>
      </c>
      <c r="D83" s="14">
        <v>0</v>
      </c>
      <c r="E83" s="14">
        <v>0</v>
      </c>
      <c r="F83" s="39">
        <v>0</v>
      </c>
    </row>
    <row r="84" spans="1:6" ht="42">
      <c r="A84" s="49"/>
      <c r="B84" s="50" t="s">
        <v>289</v>
      </c>
      <c r="C84" s="51" t="s">
        <v>290</v>
      </c>
      <c r="D84" s="52">
        <v>0</v>
      </c>
      <c r="E84" s="52">
        <v>0</v>
      </c>
      <c r="F84" s="53">
        <v>0</v>
      </c>
    </row>
    <row r="85" spans="1:6" ht="8.25" customHeight="1">
      <c r="A85" s="273"/>
      <c r="B85" s="273"/>
      <c r="C85" s="273"/>
      <c r="D85" s="291"/>
      <c r="E85" s="291"/>
      <c r="F85" s="291"/>
    </row>
    <row r="86" spans="1:6" ht="12.75" customHeight="1">
      <c r="A86" s="274" t="s">
        <v>291</v>
      </c>
      <c r="B86" s="274"/>
      <c r="C86" s="274"/>
      <c r="D86" s="287" t="s">
        <v>292</v>
      </c>
      <c r="E86" s="287"/>
      <c r="F86" s="287"/>
    </row>
    <row r="87" spans="1:6" ht="12.75" customHeight="1">
      <c r="A87" s="281" t="s">
        <v>293</v>
      </c>
      <c r="B87" s="281"/>
      <c r="C87" s="281"/>
      <c r="D87" s="281" t="s">
        <v>294</v>
      </c>
      <c r="E87" s="281"/>
      <c r="F87" s="281"/>
    </row>
    <row r="88" spans="1:6" ht="15.75" customHeight="1">
      <c r="A88" s="273"/>
      <c r="B88" s="273"/>
      <c r="C88" s="273"/>
      <c r="D88" s="273"/>
      <c r="E88" s="273"/>
      <c r="F88" s="273"/>
    </row>
    <row r="89" spans="1:6" ht="15.75" customHeight="1">
      <c r="A89" s="273"/>
      <c r="B89" s="273"/>
      <c r="C89" s="273"/>
      <c r="D89" s="273"/>
      <c r="E89" s="273"/>
      <c r="F89" s="273"/>
    </row>
    <row r="90" spans="1:6" ht="15.75" customHeight="1">
      <c r="A90" s="273"/>
      <c r="B90" s="273"/>
      <c r="C90" s="273"/>
      <c r="D90" s="273"/>
      <c r="E90" s="273"/>
      <c r="F90" s="273"/>
    </row>
    <row r="91" spans="1:6" ht="15.75" customHeight="1">
      <c r="A91" s="273"/>
      <c r="B91" s="273"/>
      <c r="C91" s="273"/>
      <c r="D91" s="273"/>
      <c r="E91" s="273"/>
      <c r="F91" s="273"/>
    </row>
    <row r="92" spans="1:6" ht="12.75" customHeight="1">
      <c r="A92" s="274" t="s">
        <v>295</v>
      </c>
      <c r="B92" s="274"/>
      <c r="C92" s="274"/>
      <c r="D92" s="274" t="s">
        <v>296</v>
      </c>
      <c r="E92" s="274"/>
      <c r="F92" s="274"/>
    </row>
    <row r="93" spans="1:6" ht="12.75" customHeight="1">
      <c r="A93" s="288" t="s">
        <v>297</v>
      </c>
      <c r="B93" s="288"/>
      <c r="C93" s="288"/>
      <c r="D93" s="288" t="s">
        <v>298</v>
      </c>
      <c r="E93" s="288"/>
      <c r="F93" s="288"/>
    </row>
    <row r="94" spans="1:6" ht="12.75" customHeight="1">
      <c r="A94" s="288" t="s">
        <v>299</v>
      </c>
      <c r="B94" s="288"/>
      <c r="C94" s="288"/>
      <c r="D94" s="288" t="s">
        <v>300</v>
      </c>
      <c r="E94" s="288"/>
      <c r="F94" s="288"/>
    </row>
  </sheetData>
  <mergeCells count="37">
    <mergeCell ref="A92:C92"/>
    <mergeCell ref="D92:F92"/>
    <mergeCell ref="A93:C93"/>
    <mergeCell ref="D93:F93"/>
    <mergeCell ref="A94:C94"/>
    <mergeCell ref="D94:F94"/>
    <mergeCell ref="A89:C89"/>
    <mergeCell ref="D89:F89"/>
    <mergeCell ref="A90:C90"/>
    <mergeCell ref="D90:F90"/>
    <mergeCell ref="A91:C91"/>
    <mergeCell ref="D91:F91"/>
    <mergeCell ref="A86:C86"/>
    <mergeCell ref="D86:F86"/>
    <mergeCell ref="A87:C87"/>
    <mergeCell ref="D87:F87"/>
    <mergeCell ref="A88:C88"/>
    <mergeCell ref="D88:F88"/>
    <mergeCell ref="A85:C85"/>
    <mergeCell ref="D85:F85"/>
    <mergeCell ref="C7:F7"/>
    <mergeCell ref="C8:F8"/>
    <mergeCell ref="C9:F9"/>
    <mergeCell ref="C10:F10"/>
    <mergeCell ref="C11:F11"/>
    <mergeCell ref="C12:F12"/>
    <mergeCell ref="C13:F13"/>
    <mergeCell ref="E14:F14"/>
    <mergeCell ref="A15:F15"/>
    <mergeCell ref="A16:F16"/>
    <mergeCell ref="A17:F17"/>
    <mergeCell ref="C6:F6"/>
    <mergeCell ref="A1:B1"/>
    <mergeCell ref="C1:F1"/>
    <mergeCell ref="A2:F2"/>
    <mergeCell ref="A3:F3"/>
    <mergeCell ref="A4:F4"/>
  </mergeCells>
  <printOptions horizontalCentered="1"/>
  <pageMargins left="0" right="0" top="0.59" bottom="0.59" header="0.5" footer="0.5"/>
  <pageSetup paperSize="9" scale="93"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0"/>
  <sheetViews>
    <sheetView showGridLines="0" showZeros="0" showOutlineSymbols="0" view="pageBreakPreview" topLeftCell="A61" zoomScaleNormal="100" zoomScaleSheetLayoutView="100" workbookViewId="0">
      <selection activeCell="H79" sqref="H79"/>
    </sheetView>
  </sheetViews>
  <sheetFormatPr defaultRowHeight="15"/>
  <cols>
    <col min="1" max="1" width="6.28515625" style="1" customWidth="1"/>
    <col min="2" max="2" width="32.5703125" style="1" customWidth="1"/>
    <col min="3" max="3" width="11.42578125" style="1" customWidth="1"/>
    <col min="4" max="5" width="14.28515625" style="1" customWidth="1"/>
    <col min="6" max="6" width="17.140625" style="1" customWidth="1"/>
    <col min="7" max="7" width="11.42578125" style="1" customWidth="1"/>
    <col min="8" max="256" width="9.140625" style="1"/>
    <col min="257" max="257" width="6.28515625" style="1" customWidth="1"/>
    <col min="258" max="258" width="32.5703125" style="1" customWidth="1"/>
    <col min="259" max="259" width="11.42578125" style="1" customWidth="1"/>
    <col min="260" max="261" width="14.28515625" style="1" customWidth="1"/>
    <col min="262" max="262" width="17.140625" style="1" customWidth="1"/>
    <col min="263" max="263" width="11.42578125" style="1" customWidth="1"/>
    <col min="264" max="512" width="9.140625" style="1"/>
    <col min="513" max="513" width="6.28515625" style="1" customWidth="1"/>
    <col min="514" max="514" width="32.5703125" style="1" customWidth="1"/>
    <col min="515" max="515" width="11.42578125" style="1" customWidth="1"/>
    <col min="516" max="517" width="14.28515625" style="1" customWidth="1"/>
    <col min="518" max="518" width="17.140625" style="1" customWidth="1"/>
    <col min="519" max="519" width="11.42578125" style="1" customWidth="1"/>
    <col min="520" max="768" width="9.140625" style="1"/>
    <col min="769" max="769" width="6.28515625" style="1" customWidth="1"/>
    <col min="770" max="770" width="32.5703125" style="1" customWidth="1"/>
    <col min="771" max="771" width="11.42578125" style="1" customWidth="1"/>
    <col min="772" max="773" width="14.28515625" style="1" customWidth="1"/>
    <col min="774" max="774" width="17.140625" style="1" customWidth="1"/>
    <col min="775" max="775" width="11.42578125" style="1" customWidth="1"/>
    <col min="776" max="1024" width="9.140625" style="1"/>
    <col min="1025" max="1025" width="6.28515625" style="1" customWidth="1"/>
    <col min="1026" max="1026" width="32.5703125" style="1" customWidth="1"/>
    <col min="1027" max="1027" width="11.42578125" style="1" customWidth="1"/>
    <col min="1028" max="1029" width="14.28515625" style="1" customWidth="1"/>
    <col min="1030" max="1030" width="17.140625" style="1" customWidth="1"/>
    <col min="1031" max="1031" width="11.42578125" style="1" customWidth="1"/>
    <col min="1032" max="1280" width="9.140625" style="1"/>
    <col min="1281" max="1281" width="6.28515625" style="1" customWidth="1"/>
    <col min="1282" max="1282" width="32.5703125" style="1" customWidth="1"/>
    <col min="1283" max="1283" width="11.42578125" style="1" customWidth="1"/>
    <col min="1284" max="1285" width="14.28515625" style="1" customWidth="1"/>
    <col min="1286" max="1286" width="17.140625" style="1" customWidth="1"/>
    <col min="1287" max="1287" width="11.42578125" style="1" customWidth="1"/>
    <col min="1288" max="1536" width="9.140625" style="1"/>
    <col min="1537" max="1537" width="6.28515625" style="1" customWidth="1"/>
    <col min="1538" max="1538" width="32.5703125" style="1" customWidth="1"/>
    <col min="1539" max="1539" width="11.42578125" style="1" customWidth="1"/>
    <col min="1540" max="1541" width="14.28515625" style="1" customWidth="1"/>
    <col min="1542" max="1542" width="17.140625" style="1" customWidth="1"/>
    <col min="1543" max="1543" width="11.42578125" style="1" customWidth="1"/>
    <col min="1544" max="1792" width="9.140625" style="1"/>
    <col min="1793" max="1793" width="6.28515625" style="1" customWidth="1"/>
    <col min="1794" max="1794" width="32.5703125" style="1" customWidth="1"/>
    <col min="1795" max="1795" width="11.42578125" style="1" customWidth="1"/>
    <col min="1796" max="1797" width="14.28515625" style="1" customWidth="1"/>
    <col min="1798" max="1798" width="17.140625" style="1" customWidth="1"/>
    <col min="1799" max="1799" width="11.42578125" style="1" customWidth="1"/>
    <col min="1800" max="2048" width="9.140625" style="1"/>
    <col min="2049" max="2049" width="6.28515625" style="1" customWidth="1"/>
    <col min="2050" max="2050" width="32.5703125" style="1" customWidth="1"/>
    <col min="2051" max="2051" width="11.42578125" style="1" customWidth="1"/>
    <col min="2052" max="2053" width="14.28515625" style="1" customWidth="1"/>
    <col min="2054" max="2054" width="17.140625" style="1" customWidth="1"/>
    <col min="2055" max="2055" width="11.42578125" style="1" customWidth="1"/>
    <col min="2056" max="2304" width="9.140625" style="1"/>
    <col min="2305" max="2305" width="6.28515625" style="1" customWidth="1"/>
    <col min="2306" max="2306" width="32.5703125" style="1" customWidth="1"/>
    <col min="2307" max="2307" width="11.42578125" style="1" customWidth="1"/>
    <col min="2308" max="2309" width="14.28515625" style="1" customWidth="1"/>
    <col min="2310" max="2310" width="17.140625" style="1" customWidth="1"/>
    <col min="2311" max="2311" width="11.42578125" style="1" customWidth="1"/>
    <col min="2312" max="2560" width="9.140625" style="1"/>
    <col min="2561" max="2561" width="6.28515625" style="1" customWidth="1"/>
    <col min="2562" max="2562" width="32.5703125" style="1" customWidth="1"/>
    <col min="2563" max="2563" width="11.42578125" style="1" customWidth="1"/>
    <col min="2564" max="2565" width="14.28515625" style="1" customWidth="1"/>
    <col min="2566" max="2566" width="17.140625" style="1" customWidth="1"/>
    <col min="2567" max="2567" width="11.42578125" style="1" customWidth="1"/>
    <col min="2568" max="2816" width="9.140625" style="1"/>
    <col min="2817" max="2817" width="6.28515625" style="1" customWidth="1"/>
    <col min="2818" max="2818" width="32.5703125" style="1" customWidth="1"/>
    <col min="2819" max="2819" width="11.42578125" style="1" customWidth="1"/>
    <col min="2820" max="2821" width="14.28515625" style="1" customWidth="1"/>
    <col min="2822" max="2822" width="17.140625" style="1" customWidth="1"/>
    <col min="2823" max="2823" width="11.42578125" style="1" customWidth="1"/>
    <col min="2824" max="3072" width="9.140625" style="1"/>
    <col min="3073" max="3073" width="6.28515625" style="1" customWidth="1"/>
    <col min="3074" max="3074" width="32.5703125" style="1" customWidth="1"/>
    <col min="3075" max="3075" width="11.42578125" style="1" customWidth="1"/>
    <col min="3076" max="3077" width="14.28515625" style="1" customWidth="1"/>
    <col min="3078" max="3078" width="17.140625" style="1" customWidth="1"/>
    <col min="3079" max="3079" width="11.42578125" style="1" customWidth="1"/>
    <col min="3080" max="3328" width="9.140625" style="1"/>
    <col min="3329" max="3329" width="6.28515625" style="1" customWidth="1"/>
    <col min="3330" max="3330" width="32.5703125" style="1" customWidth="1"/>
    <col min="3331" max="3331" width="11.42578125" style="1" customWidth="1"/>
    <col min="3332" max="3333" width="14.28515625" style="1" customWidth="1"/>
    <col min="3334" max="3334" width="17.140625" style="1" customWidth="1"/>
    <col min="3335" max="3335" width="11.42578125" style="1" customWidth="1"/>
    <col min="3336" max="3584" width="9.140625" style="1"/>
    <col min="3585" max="3585" width="6.28515625" style="1" customWidth="1"/>
    <col min="3586" max="3586" width="32.5703125" style="1" customWidth="1"/>
    <col min="3587" max="3587" width="11.42578125" style="1" customWidth="1"/>
    <col min="3588" max="3589" width="14.28515625" style="1" customWidth="1"/>
    <col min="3590" max="3590" width="17.140625" style="1" customWidth="1"/>
    <col min="3591" max="3591" width="11.42578125" style="1" customWidth="1"/>
    <col min="3592" max="3840" width="9.140625" style="1"/>
    <col min="3841" max="3841" width="6.28515625" style="1" customWidth="1"/>
    <col min="3842" max="3842" width="32.5703125" style="1" customWidth="1"/>
    <col min="3843" max="3843" width="11.42578125" style="1" customWidth="1"/>
    <col min="3844" max="3845" width="14.28515625" style="1" customWidth="1"/>
    <col min="3846" max="3846" width="17.140625" style="1" customWidth="1"/>
    <col min="3847" max="3847" width="11.42578125" style="1" customWidth="1"/>
    <col min="3848" max="4096" width="9.140625" style="1"/>
    <col min="4097" max="4097" width="6.28515625" style="1" customWidth="1"/>
    <col min="4098" max="4098" width="32.5703125" style="1" customWidth="1"/>
    <col min="4099" max="4099" width="11.42578125" style="1" customWidth="1"/>
    <col min="4100" max="4101" width="14.28515625" style="1" customWidth="1"/>
    <col min="4102" max="4102" width="17.140625" style="1" customWidth="1"/>
    <col min="4103" max="4103" width="11.42578125" style="1" customWidth="1"/>
    <col min="4104" max="4352" width="9.140625" style="1"/>
    <col min="4353" max="4353" width="6.28515625" style="1" customWidth="1"/>
    <col min="4354" max="4354" width="32.5703125" style="1" customWidth="1"/>
    <col min="4355" max="4355" width="11.42578125" style="1" customWidth="1"/>
    <col min="4356" max="4357" width="14.28515625" style="1" customWidth="1"/>
    <col min="4358" max="4358" width="17.140625" style="1" customWidth="1"/>
    <col min="4359" max="4359" width="11.42578125" style="1" customWidth="1"/>
    <col min="4360" max="4608" width="9.140625" style="1"/>
    <col min="4609" max="4609" width="6.28515625" style="1" customWidth="1"/>
    <col min="4610" max="4610" width="32.5703125" style="1" customWidth="1"/>
    <col min="4611" max="4611" width="11.42578125" style="1" customWidth="1"/>
    <col min="4612" max="4613" width="14.28515625" style="1" customWidth="1"/>
    <col min="4614" max="4614" width="17.140625" style="1" customWidth="1"/>
    <col min="4615" max="4615" width="11.42578125" style="1" customWidth="1"/>
    <col min="4616" max="4864" width="9.140625" style="1"/>
    <col min="4865" max="4865" width="6.28515625" style="1" customWidth="1"/>
    <col min="4866" max="4866" width="32.5703125" style="1" customWidth="1"/>
    <col min="4867" max="4867" width="11.42578125" style="1" customWidth="1"/>
    <col min="4868" max="4869" width="14.28515625" style="1" customWidth="1"/>
    <col min="4870" max="4870" width="17.140625" style="1" customWidth="1"/>
    <col min="4871" max="4871" width="11.42578125" style="1" customWidth="1"/>
    <col min="4872" max="5120" width="9.140625" style="1"/>
    <col min="5121" max="5121" width="6.28515625" style="1" customWidth="1"/>
    <col min="5122" max="5122" width="32.5703125" style="1" customWidth="1"/>
    <col min="5123" max="5123" width="11.42578125" style="1" customWidth="1"/>
    <col min="5124" max="5125" width="14.28515625" style="1" customWidth="1"/>
    <col min="5126" max="5126" width="17.140625" style="1" customWidth="1"/>
    <col min="5127" max="5127" width="11.42578125" style="1" customWidth="1"/>
    <col min="5128" max="5376" width="9.140625" style="1"/>
    <col min="5377" max="5377" width="6.28515625" style="1" customWidth="1"/>
    <col min="5378" max="5378" width="32.5703125" style="1" customWidth="1"/>
    <col min="5379" max="5379" width="11.42578125" style="1" customWidth="1"/>
    <col min="5380" max="5381" width="14.28515625" style="1" customWidth="1"/>
    <col min="5382" max="5382" width="17.140625" style="1" customWidth="1"/>
    <col min="5383" max="5383" width="11.42578125" style="1" customWidth="1"/>
    <col min="5384" max="5632" width="9.140625" style="1"/>
    <col min="5633" max="5633" width="6.28515625" style="1" customWidth="1"/>
    <col min="5634" max="5634" width="32.5703125" style="1" customWidth="1"/>
    <col min="5635" max="5635" width="11.42578125" style="1" customWidth="1"/>
    <col min="5636" max="5637" width="14.28515625" style="1" customWidth="1"/>
    <col min="5638" max="5638" width="17.140625" style="1" customWidth="1"/>
    <col min="5639" max="5639" width="11.42578125" style="1" customWidth="1"/>
    <col min="5640" max="5888" width="9.140625" style="1"/>
    <col min="5889" max="5889" width="6.28515625" style="1" customWidth="1"/>
    <col min="5890" max="5890" width="32.5703125" style="1" customWidth="1"/>
    <col min="5891" max="5891" width="11.42578125" style="1" customWidth="1"/>
    <col min="5892" max="5893" width="14.28515625" style="1" customWidth="1"/>
    <col min="5894" max="5894" width="17.140625" style="1" customWidth="1"/>
    <col min="5895" max="5895" width="11.42578125" style="1" customWidth="1"/>
    <col min="5896" max="6144" width="9.140625" style="1"/>
    <col min="6145" max="6145" width="6.28515625" style="1" customWidth="1"/>
    <col min="6146" max="6146" width="32.5703125" style="1" customWidth="1"/>
    <col min="6147" max="6147" width="11.42578125" style="1" customWidth="1"/>
    <col min="6148" max="6149" width="14.28515625" style="1" customWidth="1"/>
    <col min="6150" max="6150" width="17.140625" style="1" customWidth="1"/>
    <col min="6151" max="6151" width="11.42578125" style="1" customWidth="1"/>
    <col min="6152" max="6400" width="9.140625" style="1"/>
    <col min="6401" max="6401" width="6.28515625" style="1" customWidth="1"/>
    <col min="6402" max="6402" width="32.5703125" style="1" customWidth="1"/>
    <col min="6403" max="6403" width="11.42578125" style="1" customWidth="1"/>
    <col min="6404" max="6405" width="14.28515625" style="1" customWidth="1"/>
    <col min="6406" max="6406" width="17.140625" style="1" customWidth="1"/>
    <col min="6407" max="6407" width="11.42578125" style="1" customWidth="1"/>
    <col min="6408" max="6656" width="9.140625" style="1"/>
    <col min="6657" max="6657" width="6.28515625" style="1" customWidth="1"/>
    <col min="6658" max="6658" width="32.5703125" style="1" customWidth="1"/>
    <col min="6659" max="6659" width="11.42578125" style="1" customWidth="1"/>
    <col min="6660" max="6661" width="14.28515625" style="1" customWidth="1"/>
    <col min="6662" max="6662" width="17.140625" style="1" customWidth="1"/>
    <col min="6663" max="6663" width="11.42578125" style="1" customWidth="1"/>
    <col min="6664" max="6912" width="9.140625" style="1"/>
    <col min="6913" max="6913" width="6.28515625" style="1" customWidth="1"/>
    <col min="6914" max="6914" width="32.5703125" style="1" customWidth="1"/>
    <col min="6915" max="6915" width="11.42578125" style="1" customWidth="1"/>
    <col min="6916" max="6917" width="14.28515625" style="1" customWidth="1"/>
    <col min="6918" max="6918" width="17.140625" style="1" customWidth="1"/>
    <col min="6919" max="6919" width="11.42578125" style="1" customWidth="1"/>
    <col min="6920" max="7168" width="9.140625" style="1"/>
    <col min="7169" max="7169" width="6.28515625" style="1" customWidth="1"/>
    <col min="7170" max="7170" width="32.5703125" style="1" customWidth="1"/>
    <col min="7171" max="7171" width="11.42578125" style="1" customWidth="1"/>
    <col min="7172" max="7173" width="14.28515625" style="1" customWidth="1"/>
    <col min="7174" max="7174" width="17.140625" style="1" customWidth="1"/>
    <col min="7175" max="7175" width="11.42578125" style="1" customWidth="1"/>
    <col min="7176" max="7424" width="9.140625" style="1"/>
    <col min="7425" max="7425" width="6.28515625" style="1" customWidth="1"/>
    <col min="7426" max="7426" width="32.5703125" style="1" customWidth="1"/>
    <col min="7427" max="7427" width="11.42578125" style="1" customWidth="1"/>
    <col min="7428" max="7429" width="14.28515625" style="1" customWidth="1"/>
    <col min="7430" max="7430" width="17.140625" style="1" customWidth="1"/>
    <col min="7431" max="7431" width="11.42578125" style="1" customWidth="1"/>
    <col min="7432" max="7680" width="9.140625" style="1"/>
    <col min="7681" max="7681" width="6.28515625" style="1" customWidth="1"/>
    <col min="7682" max="7682" width="32.5703125" style="1" customWidth="1"/>
    <col min="7683" max="7683" width="11.42578125" style="1" customWidth="1"/>
    <col min="7684" max="7685" width="14.28515625" style="1" customWidth="1"/>
    <col min="7686" max="7686" width="17.140625" style="1" customWidth="1"/>
    <col min="7687" max="7687" width="11.42578125" style="1" customWidth="1"/>
    <col min="7688" max="7936" width="9.140625" style="1"/>
    <col min="7937" max="7937" width="6.28515625" style="1" customWidth="1"/>
    <col min="7938" max="7938" width="32.5703125" style="1" customWidth="1"/>
    <col min="7939" max="7939" width="11.42578125" style="1" customWidth="1"/>
    <col min="7940" max="7941" width="14.28515625" style="1" customWidth="1"/>
    <col min="7942" max="7942" width="17.140625" style="1" customWidth="1"/>
    <col min="7943" max="7943" width="11.42578125" style="1" customWidth="1"/>
    <col min="7944" max="8192" width="9.140625" style="1"/>
    <col min="8193" max="8193" width="6.28515625" style="1" customWidth="1"/>
    <col min="8194" max="8194" width="32.5703125" style="1" customWidth="1"/>
    <col min="8195" max="8195" width="11.42578125" style="1" customWidth="1"/>
    <col min="8196" max="8197" width="14.28515625" style="1" customWidth="1"/>
    <col min="8198" max="8198" width="17.140625" style="1" customWidth="1"/>
    <col min="8199" max="8199" width="11.42578125" style="1" customWidth="1"/>
    <col min="8200" max="8448" width="9.140625" style="1"/>
    <col min="8449" max="8449" width="6.28515625" style="1" customWidth="1"/>
    <col min="8450" max="8450" width="32.5703125" style="1" customWidth="1"/>
    <col min="8451" max="8451" width="11.42578125" style="1" customWidth="1"/>
    <col min="8452" max="8453" width="14.28515625" style="1" customWidth="1"/>
    <col min="8454" max="8454" width="17.140625" style="1" customWidth="1"/>
    <col min="8455" max="8455" width="11.42578125" style="1" customWidth="1"/>
    <col min="8456" max="8704" width="9.140625" style="1"/>
    <col min="8705" max="8705" width="6.28515625" style="1" customWidth="1"/>
    <col min="8706" max="8706" width="32.5703125" style="1" customWidth="1"/>
    <col min="8707" max="8707" width="11.42578125" style="1" customWidth="1"/>
    <col min="8708" max="8709" width="14.28515625" style="1" customWidth="1"/>
    <col min="8710" max="8710" width="17.140625" style="1" customWidth="1"/>
    <col min="8711" max="8711" width="11.42578125" style="1" customWidth="1"/>
    <col min="8712" max="8960" width="9.140625" style="1"/>
    <col min="8961" max="8961" width="6.28515625" style="1" customWidth="1"/>
    <col min="8962" max="8962" width="32.5703125" style="1" customWidth="1"/>
    <col min="8963" max="8963" width="11.42578125" style="1" customWidth="1"/>
    <col min="8964" max="8965" width="14.28515625" style="1" customWidth="1"/>
    <col min="8966" max="8966" width="17.140625" style="1" customWidth="1"/>
    <col min="8967" max="8967" width="11.42578125" style="1" customWidth="1"/>
    <col min="8968" max="9216" width="9.140625" style="1"/>
    <col min="9217" max="9217" width="6.28515625" style="1" customWidth="1"/>
    <col min="9218" max="9218" width="32.5703125" style="1" customWidth="1"/>
    <col min="9219" max="9219" width="11.42578125" style="1" customWidth="1"/>
    <col min="9220" max="9221" width="14.28515625" style="1" customWidth="1"/>
    <col min="9222" max="9222" width="17.140625" style="1" customWidth="1"/>
    <col min="9223" max="9223" width="11.42578125" style="1" customWidth="1"/>
    <col min="9224" max="9472" width="9.140625" style="1"/>
    <col min="9473" max="9473" width="6.28515625" style="1" customWidth="1"/>
    <col min="9474" max="9474" width="32.5703125" style="1" customWidth="1"/>
    <col min="9475" max="9475" width="11.42578125" style="1" customWidth="1"/>
    <col min="9476" max="9477" width="14.28515625" style="1" customWidth="1"/>
    <col min="9478" max="9478" width="17.140625" style="1" customWidth="1"/>
    <col min="9479" max="9479" width="11.42578125" style="1" customWidth="1"/>
    <col min="9480" max="9728" width="9.140625" style="1"/>
    <col min="9729" max="9729" width="6.28515625" style="1" customWidth="1"/>
    <col min="9730" max="9730" width="32.5703125" style="1" customWidth="1"/>
    <col min="9731" max="9731" width="11.42578125" style="1" customWidth="1"/>
    <col min="9732" max="9733" width="14.28515625" style="1" customWidth="1"/>
    <col min="9734" max="9734" width="17.140625" style="1" customWidth="1"/>
    <col min="9735" max="9735" width="11.42578125" style="1" customWidth="1"/>
    <col min="9736" max="9984" width="9.140625" style="1"/>
    <col min="9985" max="9985" width="6.28515625" style="1" customWidth="1"/>
    <col min="9986" max="9986" width="32.5703125" style="1" customWidth="1"/>
    <col min="9987" max="9987" width="11.42578125" style="1" customWidth="1"/>
    <col min="9988" max="9989" width="14.28515625" style="1" customWidth="1"/>
    <col min="9990" max="9990" width="17.140625" style="1" customWidth="1"/>
    <col min="9991" max="9991" width="11.42578125" style="1" customWidth="1"/>
    <col min="9992" max="10240" width="9.140625" style="1"/>
    <col min="10241" max="10241" width="6.28515625" style="1" customWidth="1"/>
    <col min="10242" max="10242" width="32.5703125" style="1" customWidth="1"/>
    <col min="10243" max="10243" width="11.42578125" style="1" customWidth="1"/>
    <col min="10244" max="10245" width="14.28515625" style="1" customWidth="1"/>
    <col min="10246" max="10246" width="17.140625" style="1" customWidth="1"/>
    <col min="10247" max="10247" width="11.42578125" style="1" customWidth="1"/>
    <col min="10248" max="10496" width="9.140625" style="1"/>
    <col min="10497" max="10497" width="6.28515625" style="1" customWidth="1"/>
    <col min="10498" max="10498" width="32.5703125" style="1" customWidth="1"/>
    <col min="10499" max="10499" width="11.42578125" style="1" customWidth="1"/>
    <col min="10500" max="10501" width="14.28515625" style="1" customWidth="1"/>
    <col min="10502" max="10502" width="17.140625" style="1" customWidth="1"/>
    <col min="10503" max="10503" width="11.42578125" style="1" customWidth="1"/>
    <col min="10504" max="10752" width="9.140625" style="1"/>
    <col min="10753" max="10753" width="6.28515625" style="1" customWidth="1"/>
    <col min="10754" max="10754" width="32.5703125" style="1" customWidth="1"/>
    <col min="10755" max="10755" width="11.42578125" style="1" customWidth="1"/>
    <col min="10756" max="10757" width="14.28515625" style="1" customWidth="1"/>
    <col min="10758" max="10758" width="17.140625" style="1" customWidth="1"/>
    <col min="10759" max="10759" width="11.42578125" style="1" customWidth="1"/>
    <col min="10760" max="11008" width="9.140625" style="1"/>
    <col min="11009" max="11009" width="6.28515625" style="1" customWidth="1"/>
    <col min="11010" max="11010" width="32.5703125" style="1" customWidth="1"/>
    <col min="11011" max="11011" width="11.42578125" style="1" customWidth="1"/>
    <col min="11012" max="11013" width="14.28515625" style="1" customWidth="1"/>
    <col min="11014" max="11014" width="17.140625" style="1" customWidth="1"/>
    <col min="11015" max="11015" width="11.42578125" style="1" customWidth="1"/>
    <col min="11016" max="11264" width="9.140625" style="1"/>
    <col min="11265" max="11265" width="6.28515625" style="1" customWidth="1"/>
    <col min="11266" max="11266" width="32.5703125" style="1" customWidth="1"/>
    <col min="11267" max="11267" width="11.42578125" style="1" customWidth="1"/>
    <col min="11268" max="11269" width="14.28515625" style="1" customWidth="1"/>
    <col min="11270" max="11270" width="17.140625" style="1" customWidth="1"/>
    <col min="11271" max="11271" width="11.42578125" style="1" customWidth="1"/>
    <col min="11272" max="11520" width="9.140625" style="1"/>
    <col min="11521" max="11521" width="6.28515625" style="1" customWidth="1"/>
    <col min="11522" max="11522" width="32.5703125" style="1" customWidth="1"/>
    <col min="11523" max="11523" width="11.42578125" style="1" customWidth="1"/>
    <col min="11524" max="11525" width="14.28515625" style="1" customWidth="1"/>
    <col min="11526" max="11526" width="17.140625" style="1" customWidth="1"/>
    <col min="11527" max="11527" width="11.42578125" style="1" customWidth="1"/>
    <col min="11528" max="11776" width="9.140625" style="1"/>
    <col min="11777" max="11777" width="6.28515625" style="1" customWidth="1"/>
    <col min="11778" max="11778" width="32.5703125" style="1" customWidth="1"/>
    <col min="11779" max="11779" width="11.42578125" style="1" customWidth="1"/>
    <col min="11780" max="11781" width="14.28515625" style="1" customWidth="1"/>
    <col min="11782" max="11782" width="17.140625" style="1" customWidth="1"/>
    <col min="11783" max="11783" width="11.42578125" style="1" customWidth="1"/>
    <col min="11784" max="12032" width="9.140625" style="1"/>
    <col min="12033" max="12033" width="6.28515625" style="1" customWidth="1"/>
    <col min="12034" max="12034" width="32.5703125" style="1" customWidth="1"/>
    <col min="12035" max="12035" width="11.42578125" style="1" customWidth="1"/>
    <col min="12036" max="12037" width="14.28515625" style="1" customWidth="1"/>
    <col min="12038" max="12038" width="17.140625" style="1" customWidth="1"/>
    <col min="12039" max="12039" width="11.42578125" style="1" customWidth="1"/>
    <col min="12040" max="12288" width="9.140625" style="1"/>
    <col min="12289" max="12289" width="6.28515625" style="1" customWidth="1"/>
    <col min="12290" max="12290" width="32.5703125" style="1" customWidth="1"/>
    <col min="12291" max="12291" width="11.42578125" style="1" customWidth="1"/>
    <col min="12292" max="12293" width="14.28515625" style="1" customWidth="1"/>
    <col min="12294" max="12294" width="17.140625" style="1" customWidth="1"/>
    <col min="12295" max="12295" width="11.42578125" style="1" customWidth="1"/>
    <col min="12296" max="12544" width="9.140625" style="1"/>
    <col min="12545" max="12545" width="6.28515625" style="1" customWidth="1"/>
    <col min="12546" max="12546" width="32.5703125" style="1" customWidth="1"/>
    <col min="12547" max="12547" width="11.42578125" style="1" customWidth="1"/>
    <col min="12548" max="12549" width="14.28515625" style="1" customWidth="1"/>
    <col min="12550" max="12550" width="17.140625" style="1" customWidth="1"/>
    <col min="12551" max="12551" width="11.42578125" style="1" customWidth="1"/>
    <col min="12552" max="12800" width="9.140625" style="1"/>
    <col min="12801" max="12801" width="6.28515625" style="1" customWidth="1"/>
    <col min="12802" max="12802" width="32.5703125" style="1" customWidth="1"/>
    <col min="12803" max="12803" width="11.42578125" style="1" customWidth="1"/>
    <col min="12804" max="12805" width="14.28515625" style="1" customWidth="1"/>
    <col min="12806" max="12806" width="17.140625" style="1" customWidth="1"/>
    <col min="12807" max="12807" width="11.42578125" style="1" customWidth="1"/>
    <col min="12808" max="13056" width="9.140625" style="1"/>
    <col min="13057" max="13057" width="6.28515625" style="1" customWidth="1"/>
    <col min="13058" max="13058" width="32.5703125" style="1" customWidth="1"/>
    <col min="13059" max="13059" width="11.42578125" style="1" customWidth="1"/>
    <col min="13060" max="13061" width="14.28515625" style="1" customWidth="1"/>
    <col min="13062" max="13062" width="17.140625" style="1" customWidth="1"/>
    <col min="13063" max="13063" width="11.42578125" style="1" customWidth="1"/>
    <col min="13064" max="13312" width="9.140625" style="1"/>
    <col min="13313" max="13313" width="6.28515625" style="1" customWidth="1"/>
    <col min="13314" max="13314" width="32.5703125" style="1" customWidth="1"/>
    <col min="13315" max="13315" width="11.42578125" style="1" customWidth="1"/>
    <col min="13316" max="13317" width="14.28515625" style="1" customWidth="1"/>
    <col min="13318" max="13318" width="17.140625" style="1" customWidth="1"/>
    <col min="13319" max="13319" width="11.42578125" style="1" customWidth="1"/>
    <col min="13320" max="13568" width="9.140625" style="1"/>
    <col min="13569" max="13569" width="6.28515625" style="1" customWidth="1"/>
    <col min="13570" max="13570" width="32.5703125" style="1" customWidth="1"/>
    <col min="13571" max="13571" width="11.42578125" style="1" customWidth="1"/>
    <col min="13572" max="13573" width="14.28515625" style="1" customWidth="1"/>
    <col min="13574" max="13574" width="17.140625" style="1" customWidth="1"/>
    <col min="13575" max="13575" width="11.42578125" style="1" customWidth="1"/>
    <col min="13576" max="13824" width="9.140625" style="1"/>
    <col min="13825" max="13825" width="6.28515625" style="1" customWidth="1"/>
    <col min="13826" max="13826" width="32.5703125" style="1" customWidth="1"/>
    <col min="13827" max="13827" width="11.42578125" style="1" customWidth="1"/>
    <col min="13828" max="13829" width="14.28515625" style="1" customWidth="1"/>
    <col min="13830" max="13830" width="17.140625" style="1" customWidth="1"/>
    <col min="13831" max="13831" width="11.42578125" style="1" customWidth="1"/>
    <col min="13832" max="14080" width="9.140625" style="1"/>
    <col min="14081" max="14081" width="6.28515625" style="1" customWidth="1"/>
    <col min="14082" max="14082" width="32.5703125" style="1" customWidth="1"/>
    <col min="14083" max="14083" width="11.42578125" style="1" customWidth="1"/>
    <col min="14084" max="14085" width="14.28515625" style="1" customWidth="1"/>
    <col min="14086" max="14086" width="17.140625" style="1" customWidth="1"/>
    <col min="14087" max="14087" width="11.42578125" style="1" customWidth="1"/>
    <col min="14088" max="14336" width="9.140625" style="1"/>
    <col min="14337" max="14337" width="6.28515625" style="1" customWidth="1"/>
    <col min="14338" max="14338" width="32.5703125" style="1" customWidth="1"/>
    <col min="14339" max="14339" width="11.42578125" style="1" customWidth="1"/>
    <col min="14340" max="14341" width="14.28515625" style="1" customWidth="1"/>
    <col min="14342" max="14342" width="17.140625" style="1" customWidth="1"/>
    <col min="14343" max="14343" width="11.42578125" style="1" customWidth="1"/>
    <col min="14344" max="14592" width="9.140625" style="1"/>
    <col min="14593" max="14593" width="6.28515625" style="1" customWidth="1"/>
    <col min="14594" max="14594" width="32.5703125" style="1" customWidth="1"/>
    <col min="14595" max="14595" width="11.42578125" style="1" customWidth="1"/>
    <col min="14596" max="14597" width="14.28515625" style="1" customWidth="1"/>
    <col min="14598" max="14598" width="17.140625" style="1" customWidth="1"/>
    <col min="14599" max="14599" width="11.42578125" style="1" customWidth="1"/>
    <col min="14600" max="14848" width="9.140625" style="1"/>
    <col min="14849" max="14849" width="6.28515625" style="1" customWidth="1"/>
    <col min="14850" max="14850" width="32.5703125" style="1" customWidth="1"/>
    <col min="14851" max="14851" width="11.42578125" style="1" customWidth="1"/>
    <col min="14852" max="14853" width="14.28515625" style="1" customWidth="1"/>
    <col min="14854" max="14854" width="17.140625" style="1" customWidth="1"/>
    <col min="14855" max="14855" width="11.42578125" style="1" customWidth="1"/>
    <col min="14856" max="15104" width="9.140625" style="1"/>
    <col min="15105" max="15105" width="6.28515625" style="1" customWidth="1"/>
    <col min="15106" max="15106" width="32.5703125" style="1" customWidth="1"/>
    <col min="15107" max="15107" width="11.42578125" style="1" customWidth="1"/>
    <col min="15108" max="15109" width="14.28515625" style="1" customWidth="1"/>
    <col min="15110" max="15110" width="17.140625" style="1" customWidth="1"/>
    <col min="15111" max="15111" width="11.42578125" style="1" customWidth="1"/>
    <col min="15112" max="15360" width="9.140625" style="1"/>
    <col min="15361" max="15361" width="6.28515625" style="1" customWidth="1"/>
    <col min="15362" max="15362" width="32.5703125" style="1" customWidth="1"/>
    <col min="15363" max="15363" width="11.42578125" style="1" customWidth="1"/>
    <col min="15364" max="15365" width="14.28515625" style="1" customWidth="1"/>
    <col min="15366" max="15366" width="17.140625" style="1" customWidth="1"/>
    <col min="15367" max="15367" width="11.42578125" style="1" customWidth="1"/>
    <col min="15368" max="15616" width="9.140625" style="1"/>
    <col min="15617" max="15617" width="6.28515625" style="1" customWidth="1"/>
    <col min="15618" max="15618" width="32.5703125" style="1" customWidth="1"/>
    <col min="15619" max="15619" width="11.42578125" style="1" customWidth="1"/>
    <col min="15620" max="15621" width="14.28515625" style="1" customWidth="1"/>
    <col min="15622" max="15622" width="17.140625" style="1" customWidth="1"/>
    <col min="15623" max="15623" width="11.42578125" style="1" customWidth="1"/>
    <col min="15624" max="15872" width="9.140625" style="1"/>
    <col min="15873" max="15873" width="6.28515625" style="1" customWidth="1"/>
    <col min="15874" max="15874" width="32.5703125" style="1" customWidth="1"/>
    <col min="15875" max="15875" width="11.42578125" style="1" customWidth="1"/>
    <col min="15876" max="15877" width="14.28515625" style="1" customWidth="1"/>
    <col min="15878" max="15878" width="17.140625" style="1" customWidth="1"/>
    <col min="15879" max="15879" width="11.42578125" style="1" customWidth="1"/>
    <col min="15880" max="16128" width="9.140625" style="1"/>
    <col min="16129" max="16129" width="6.28515625" style="1" customWidth="1"/>
    <col min="16130" max="16130" width="32.5703125" style="1" customWidth="1"/>
    <col min="16131" max="16131" width="11.42578125" style="1" customWidth="1"/>
    <col min="16132" max="16133" width="14.28515625" style="1" customWidth="1"/>
    <col min="16134" max="16134" width="17.140625" style="1" customWidth="1"/>
    <col min="16135" max="16135" width="11.42578125" style="1" customWidth="1"/>
    <col min="16136" max="16384" width="9.140625" style="1"/>
  </cols>
  <sheetData>
    <row r="1" spans="1:7" ht="27" customHeight="1">
      <c r="A1" s="273"/>
      <c r="B1" s="273"/>
      <c r="C1" s="274" t="s">
        <v>0</v>
      </c>
      <c r="D1" s="274"/>
      <c r="E1" s="274"/>
      <c r="F1" s="274"/>
      <c r="G1" s="274"/>
    </row>
    <row r="2" spans="1:7" ht="43.5" customHeight="1">
      <c r="A2" s="297" t="s">
        <v>1</v>
      </c>
      <c r="B2" s="297"/>
      <c r="C2" s="297"/>
      <c r="D2" s="297"/>
      <c r="E2" s="297"/>
      <c r="F2" s="297"/>
      <c r="G2" s="297"/>
    </row>
    <row r="3" spans="1:7" ht="9.75" customHeight="1">
      <c r="A3" s="2"/>
      <c r="B3" s="2"/>
      <c r="C3" s="273"/>
      <c r="D3" s="273"/>
      <c r="E3" s="273"/>
      <c r="F3" s="273"/>
      <c r="G3" s="273"/>
    </row>
    <row r="4" spans="1:7" ht="13.5" customHeight="1">
      <c r="A4" s="298" t="s">
        <v>2</v>
      </c>
      <c r="B4" s="298"/>
      <c r="C4" s="298"/>
      <c r="D4" s="298"/>
      <c r="E4" s="298"/>
      <c r="F4" s="298"/>
      <c r="G4" s="298"/>
    </row>
    <row r="5" spans="1:7" ht="12.75" customHeight="1">
      <c r="A5" s="298" t="s">
        <v>3</v>
      </c>
      <c r="B5" s="298"/>
      <c r="C5" s="298"/>
      <c r="D5" s="298"/>
      <c r="E5" s="298"/>
      <c r="F5" s="298"/>
      <c r="G5" s="298"/>
    </row>
    <row r="6" spans="1:7" ht="12" customHeight="1">
      <c r="A6" s="281" t="s">
        <v>4</v>
      </c>
      <c r="B6" s="281"/>
      <c r="C6" s="281"/>
      <c r="D6" s="281"/>
      <c r="E6" s="281"/>
      <c r="F6" s="281"/>
      <c r="G6" s="281"/>
    </row>
    <row r="7" spans="1:7" ht="9.75" customHeight="1">
      <c r="A7" s="2"/>
      <c r="B7" s="2"/>
      <c r="C7" s="273"/>
      <c r="D7" s="273"/>
      <c r="E7" s="273"/>
      <c r="F7" s="273"/>
      <c r="G7" s="273"/>
    </row>
    <row r="8" spans="1:7" ht="12.75" customHeight="1">
      <c r="A8" s="3" t="s">
        <v>5</v>
      </c>
      <c r="B8" s="4" t="s">
        <v>6</v>
      </c>
      <c r="C8" s="284" t="s">
        <v>7</v>
      </c>
      <c r="D8" s="284"/>
      <c r="E8" s="284"/>
      <c r="F8" s="284"/>
      <c r="G8" s="284"/>
    </row>
    <row r="9" spans="1:7" ht="12.75" customHeight="1">
      <c r="A9" s="2"/>
      <c r="B9" s="5" t="s">
        <v>8</v>
      </c>
      <c r="C9" s="292" t="s">
        <v>9</v>
      </c>
      <c r="D9" s="292"/>
      <c r="E9" s="292"/>
      <c r="F9" s="292"/>
      <c r="G9" s="292"/>
    </row>
    <row r="10" spans="1:7" ht="12.75" customHeight="1">
      <c r="A10" s="3" t="s">
        <v>10</v>
      </c>
      <c r="B10" s="4" t="s">
        <v>11</v>
      </c>
      <c r="C10" s="284" t="s">
        <v>12</v>
      </c>
      <c r="D10" s="284"/>
      <c r="E10" s="284"/>
      <c r="F10" s="284"/>
      <c r="G10" s="284"/>
    </row>
    <row r="11" spans="1:7" ht="12.75" customHeight="1">
      <c r="A11" s="2"/>
      <c r="B11" s="5" t="s">
        <v>13</v>
      </c>
      <c r="C11" s="292" t="s">
        <v>14</v>
      </c>
      <c r="D11" s="292"/>
      <c r="E11" s="292"/>
      <c r="F11" s="292"/>
      <c r="G11" s="292"/>
    </row>
    <row r="12" spans="1:7" ht="12.75" customHeight="1">
      <c r="A12" s="3" t="s">
        <v>15</v>
      </c>
      <c r="B12" s="4" t="s">
        <v>16</v>
      </c>
      <c r="C12" s="284" t="s">
        <v>17</v>
      </c>
      <c r="D12" s="284"/>
      <c r="E12" s="284"/>
      <c r="F12" s="284"/>
      <c r="G12" s="284"/>
    </row>
    <row r="13" spans="1:7" ht="12.75" customHeight="1">
      <c r="A13" s="2"/>
      <c r="B13" s="5" t="s">
        <v>18</v>
      </c>
      <c r="C13" s="292" t="s">
        <v>19</v>
      </c>
      <c r="D13" s="292"/>
      <c r="E13" s="292"/>
      <c r="F13" s="292"/>
      <c r="G13" s="292"/>
    </row>
    <row r="14" spans="1:7" ht="12.75" customHeight="1">
      <c r="A14" s="3" t="s">
        <v>20</v>
      </c>
      <c r="B14" s="4" t="s">
        <v>21</v>
      </c>
      <c r="C14" s="293">
        <v>44109</v>
      </c>
      <c r="D14" s="284"/>
      <c r="E14" s="284"/>
      <c r="F14" s="284"/>
      <c r="G14" s="284"/>
    </row>
    <row r="15" spans="1:7" ht="12.75" customHeight="1">
      <c r="A15" s="2"/>
      <c r="B15" s="5" t="s">
        <v>22</v>
      </c>
      <c r="C15" s="294">
        <v>44109</v>
      </c>
      <c r="D15" s="292"/>
      <c r="E15" s="292"/>
      <c r="F15" s="292"/>
      <c r="G15" s="292"/>
    </row>
    <row r="16" spans="1:7" ht="12.75" customHeight="1">
      <c r="A16" s="2"/>
      <c r="B16" s="2"/>
      <c r="C16" s="295"/>
      <c r="D16" s="295"/>
      <c r="E16" s="295"/>
      <c r="F16" s="295"/>
      <c r="G16" s="295"/>
    </row>
    <row r="17" spans="1:7" ht="12.75" customHeight="1">
      <c r="A17" s="284" t="s">
        <v>23</v>
      </c>
      <c r="B17" s="284"/>
      <c r="C17" s="284"/>
      <c r="D17" s="284"/>
      <c r="E17" s="284"/>
      <c r="F17" s="284"/>
      <c r="G17" s="284"/>
    </row>
    <row r="18" spans="1:7" ht="12.75" customHeight="1">
      <c r="A18" s="284" t="s">
        <v>24</v>
      </c>
      <c r="B18" s="284"/>
      <c r="C18" s="284"/>
      <c r="D18" s="284"/>
      <c r="E18" s="284"/>
      <c r="F18" s="284"/>
      <c r="G18" s="284"/>
    </row>
    <row r="19" spans="1:7" ht="12.75" customHeight="1">
      <c r="A19" s="6"/>
      <c r="B19" s="6"/>
      <c r="C19" s="296" t="s">
        <v>25</v>
      </c>
      <c r="D19" s="296"/>
      <c r="E19" s="296"/>
      <c r="F19" s="296"/>
      <c r="G19" s="296"/>
    </row>
    <row r="20" spans="1:7" ht="81.75" customHeight="1">
      <c r="A20" s="7" t="s">
        <v>26</v>
      </c>
      <c r="B20" s="8" t="s">
        <v>27</v>
      </c>
      <c r="C20" s="8" t="s">
        <v>28</v>
      </c>
      <c r="D20" s="8" t="s">
        <v>29</v>
      </c>
      <c r="E20" s="8" t="s">
        <v>30</v>
      </c>
      <c r="F20" s="8" t="s">
        <v>31</v>
      </c>
      <c r="G20" s="9" t="s">
        <v>32</v>
      </c>
    </row>
    <row r="21" spans="1:7" ht="21">
      <c r="A21" s="10" t="s">
        <v>33</v>
      </c>
      <c r="B21" s="11" t="s">
        <v>34</v>
      </c>
      <c r="C21" s="12" t="s">
        <v>35</v>
      </c>
      <c r="D21" s="13">
        <v>0</v>
      </c>
      <c r="E21" s="14">
        <v>0</v>
      </c>
      <c r="F21" s="14">
        <v>0</v>
      </c>
      <c r="G21" s="15">
        <v>0</v>
      </c>
    </row>
    <row r="22" spans="1:7">
      <c r="A22" s="16" t="s">
        <v>5</v>
      </c>
      <c r="B22" s="17" t="s">
        <v>36</v>
      </c>
      <c r="C22" s="18" t="s">
        <v>37</v>
      </c>
      <c r="D22" s="19">
        <v>577160</v>
      </c>
      <c r="E22" s="20">
        <v>69200</v>
      </c>
      <c r="F22" s="20">
        <v>39939472000</v>
      </c>
      <c r="G22" s="21">
        <v>1.78E-2</v>
      </c>
    </row>
    <row r="23" spans="1:7">
      <c r="A23" s="16" t="s">
        <v>10</v>
      </c>
      <c r="B23" s="17" t="s">
        <v>38</v>
      </c>
      <c r="C23" s="18" t="s">
        <v>39</v>
      </c>
      <c r="D23" s="19">
        <v>5175950</v>
      </c>
      <c r="E23" s="20">
        <v>26550</v>
      </c>
      <c r="F23" s="20">
        <v>137421472500</v>
      </c>
      <c r="G23" s="21">
        <v>6.1100000000000002E-2</v>
      </c>
    </row>
    <row r="24" spans="1:7">
      <c r="A24" s="16" t="s">
        <v>15</v>
      </c>
      <c r="B24" s="17" t="s">
        <v>40</v>
      </c>
      <c r="C24" s="18" t="s">
        <v>41</v>
      </c>
      <c r="D24" s="19">
        <v>6688650</v>
      </c>
      <c r="E24" s="20">
        <v>10100</v>
      </c>
      <c r="F24" s="20">
        <v>67555365000</v>
      </c>
      <c r="G24" s="21">
        <v>0.03</v>
      </c>
    </row>
    <row r="25" spans="1:7">
      <c r="A25" s="16" t="s">
        <v>20</v>
      </c>
      <c r="B25" s="17" t="s">
        <v>42</v>
      </c>
      <c r="C25" s="18" t="s">
        <v>43</v>
      </c>
      <c r="D25" s="19">
        <v>6392471</v>
      </c>
      <c r="E25" s="20">
        <v>50000</v>
      </c>
      <c r="F25" s="20">
        <v>319623550000</v>
      </c>
      <c r="G25" s="21">
        <v>0.14219999999999999</v>
      </c>
    </row>
    <row r="26" spans="1:7">
      <c r="A26" s="16" t="s">
        <v>44</v>
      </c>
      <c r="B26" s="17" t="s">
        <v>45</v>
      </c>
      <c r="C26" s="18" t="s">
        <v>46</v>
      </c>
      <c r="D26" s="19">
        <v>3827166</v>
      </c>
      <c r="E26" s="20">
        <v>23950</v>
      </c>
      <c r="F26" s="20">
        <v>91660625700</v>
      </c>
      <c r="G26" s="21">
        <v>4.0800000000000003E-2</v>
      </c>
    </row>
    <row r="27" spans="1:7">
      <c r="A27" s="16" t="s">
        <v>47</v>
      </c>
      <c r="B27" s="17" t="s">
        <v>48</v>
      </c>
      <c r="C27" s="18" t="s">
        <v>49</v>
      </c>
      <c r="D27" s="19">
        <v>5033093</v>
      </c>
      <c r="E27" s="20">
        <v>24250</v>
      </c>
      <c r="F27" s="20">
        <v>122052505250</v>
      </c>
      <c r="G27" s="21">
        <v>5.4300000000000001E-2</v>
      </c>
    </row>
    <row r="28" spans="1:7">
      <c r="A28" s="16" t="s">
        <v>50</v>
      </c>
      <c r="B28" s="17" t="s">
        <v>51</v>
      </c>
      <c r="C28" s="18" t="s">
        <v>52</v>
      </c>
      <c r="D28" s="19">
        <v>10054469</v>
      </c>
      <c r="E28" s="20">
        <v>19750</v>
      </c>
      <c r="F28" s="20">
        <v>198575762750</v>
      </c>
      <c r="G28" s="21">
        <v>8.8300000000000003E-2</v>
      </c>
    </row>
    <row r="29" spans="1:7">
      <c r="A29" s="16" t="s">
        <v>53</v>
      </c>
      <c r="B29" s="17" t="s">
        <v>54</v>
      </c>
      <c r="C29" s="18" t="s">
        <v>55</v>
      </c>
      <c r="D29" s="19">
        <v>3663460</v>
      </c>
      <c r="E29" s="20">
        <v>104300</v>
      </c>
      <c r="F29" s="20">
        <v>382098878000</v>
      </c>
      <c r="G29" s="21">
        <v>0.1699</v>
      </c>
    </row>
    <row r="30" spans="1:7">
      <c r="A30" s="16" t="s">
        <v>56</v>
      </c>
      <c r="B30" s="17" t="s">
        <v>57</v>
      </c>
      <c r="C30" s="18" t="s">
        <v>58</v>
      </c>
      <c r="D30" s="19">
        <v>2284452</v>
      </c>
      <c r="E30" s="20">
        <v>25750</v>
      </c>
      <c r="F30" s="20">
        <v>58824639000</v>
      </c>
      <c r="G30" s="21">
        <v>2.6200000000000001E-2</v>
      </c>
    </row>
    <row r="31" spans="1:7">
      <c r="A31" s="16" t="s">
        <v>59</v>
      </c>
      <c r="B31" s="17" t="s">
        <v>60</v>
      </c>
      <c r="C31" s="18" t="s">
        <v>61</v>
      </c>
      <c r="D31" s="19">
        <v>2741940</v>
      </c>
      <c r="E31" s="20">
        <v>60900</v>
      </c>
      <c r="F31" s="20">
        <v>166984146000</v>
      </c>
      <c r="G31" s="21">
        <v>7.4300000000000005E-2</v>
      </c>
    </row>
    <row r="32" spans="1:7">
      <c r="A32" s="16" t="s">
        <v>62</v>
      </c>
      <c r="B32" s="17" t="s">
        <v>63</v>
      </c>
      <c r="C32" s="18" t="s">
        <v>64</v>
      </c>
      <c r="D32" s="19">
        <v>2363153</v>
      </c>
      <c r="E32" s="20">
        <v>40200</v>
      </c>
      <c r="F32" s="20">
        <v>94998750600</v>
      </c>
      <c r="G32" s="21">
        <v>4.2299999999999997E-2</v>
      </c>
    </row>
    <row r="33" spans="1:7">
      <c r="A33" s="16" t="s">
        <v>65</v>
      </c>
      <c r="B33" s="17" t="s">
        <v>66</v>
      </c>
      <c r="C33" s="18" t="s">
        <v>67</v>
      </c>
      <c r="D33" s="19">
        <v>10792930</v>
      </c>
      <c r="E33" s="20">
        <v>22600</v>
      </c>
      <c r="F33" s="20">
        <v>243920218000</v>
      </c>
      <c r="G33" s="21">
        <v>0.1085</v>
      </c>
    </row>
    <row r="34" spans="1:7">
      <c r="A34" s="16" t="s">
        <v>68</v>
      </c>
      <c r="B34" s="17" t="s">
        <v>69</v>
      </c>
      <c r="C34" s="18" t="s">
        <v>70</v>
      </c>
      <c r="D34" s="19">
        <v>3382507</v>
      </c>
      <c r="E34" s="20">
        <v>23450</v>
      </c>
      <c r="F34" s="20">
        <v>79319789150</v>
      </c>
      <c r="G34" s="21">
        <v>3.5299999999999998E-2</v>
      </c>
    </row>
    <row r="35" spans="1:7">
      <c r="A35" s="16" t="s">
        <v>71</v>
      </c>
      <c r="B35" s="17" t="s">
        <v>72</v>
      </c>
      <c r="C35" s="18" t="s">
        <v>73</v>
      </c>
      <c r="D35" s="19">
        <v>9644150</v>
      </c>
      <c r="E35" s="20">
        <v>23750</v>
      </c>
      <c r="F35" s="20">
        <v>229048562500</v>
      </c>
      <c r="G35" s="21">
        <v>0.1019</v>
      </c>
    </row>
    <row r="36" spans="1:7">
      <c r="A36" s="10"/>
      <c r="B36" s="11" t="s">
        <v>74</v>
      </c>
      <c r="C36" s="12" t="s">
        <v>75</v>
      </c>
      <c r="D36" s="13"/>
      <c r="E36" s="14">
        <v>0</v>
      </c>
      <c r="F36" s="14">
        <v>2232023736450</v>
      </c>
      <c r="G36" s="15">
        <v>0.99270000000000003</v>
      </c>
    </row>
    <row r="37" spans="1:7" ht="21">
      <c r="A37" s="10" t="s">
        <v>76</v>
      </c>
      <c r="B37" s="11" t="s">
        <v>77</v>
      </c>
      <c r="C37" s="12" t="s">
        <v>78</v>
      </c>
      <c r="D37" s="13">
        <v>0</v>
      </c>
      <c r="E37" s="14">
        <v>0</v>
      </c>
      <c r="F37" s="14">
        <v>0</v>
      </c>
      <c r="G37" s="15">
        <v>0</v>
      </c>
    </row>
    <row r="38" spans="1:7" ht="21">
      <c r="A38" s="16"/>
      <c r="B38" s="17" t="s">
        <v>79</v>
      </c>
      <c r="C38" s="18" t="s">
        <v>80</v>
      </c>
      <c r="D38" s="19">
        <v>0</v>
      </c>
      <c r="E38" s="20">
        <v>0</v>
      </c>
      <c r="F38" s="20">
        <v>0</v>
      </c>
      <c r="G38" s="21">
        <v>0</v>
      </c>
    </row>
    <row r="39" spans="1:7" ht="21">
      <c r="A39" s="10"/>
      <c r="B39" s="11" t="s">
        <v>81</v>
      </c>
      <c r="C39" s="12" t="s">
        <v>82</v>
      </c>
      <c r="D39" s="13"/>
      <c r="E39" s="14">
        <v>0</v>
      </c>
      <c r="F39" s="14">
        <v>2232023736450</v>
      </c>
      <c r="G39" s="15">
        <v>0.99270000000000003</v>
      </c>
    </row>
    <row r="40" spans="1:7" ht="21">
      <c r="A40" s="10" t="s">
        <v>83</v>
      </c>
      <c r="B40" s="11" t="s">
        <v>84</v>
      </c>
      <c r="C40" s="12" t="s">
        <v>85</v>
      </c>
      <c r="D40" s="13">
        <v>0</v>
      </c>
      <c r="E40" s="14">
        <v>0</v>
      </c>
      <c r="F40" s="14">
        <v>0</v>
      </c>
      <c r="G40" s="15">
        <v>0</v>
      </c>
    </row>
    <row r="41" spans="1:7">
      <c r="A41" s="10"/>
      <c r="B41" s="11" t="s">
        <v>74</v>
      </c>
      <c r="C41" s="12" t="s">
        <v>86</v>
      </c>
      <c r="D41" s="13">
        <v>0</v>
      </c>
      <c r="E41" s="14">
        <v>0</v>
      </c>
      <c r="F41" s="14">
        <v>0</v>
      </c>
      <c r="G41" s="15">
        <v>0</v>
      </c>
    </row>
    <row r="42" spans="1:7" ht="21">
      <c r="A42" s="10" t="s">
        <v>87</v>
      </c>
      <c r="B42" s="11" t="s">
        <v>88</v>
      </c>
      <c r="C42" s="12" t="s">
        <v>89</v>
      </c>
      <c r="D42" s="13">
        <v>0</v>
      </c>
      <c r="E42" s="14">
        <v>0</v>
      </c>
      <c r="F42" s="14">
        <v>0</v>
      </c>
      <c r="G42" s="15">
        <v>0</v>
      </c>
    </row>
    <row r="43" spans="1:7" ht="21">
      <c r="A43" s="16" t="s">
        <v>5</v>
      </c>
      <c r="B43" s="17" t="s">
        <v>90</v>
      </c>
      <c r="C43" s="18" t="s">
        <v>91</v>
      </c>
      <c r="D43" s="19">
        <v>0</v>
      </c>
      <c r="E43" s="20">
        <v>0</v>
      </c>
      <c r="F43" s="20">
        <v>0</v>
      </c>
      <c r="G43" s="21">
        <v>0</v>
      </c>
    </row>
    <row r="44" spans="1:7" ht="21">
      <c r="A44" s="16" t="s">
        <v>10</v>
      </c>
      <c r="B44" s="17" t="s">
        <v>92</v>
      </c>
      <c r="C44" s="18" t="s">
        <v>93</v>
      </c>
      <c r="D44" s="19">
        <v>0</v>
      </c>
      <c r="E44" s="20">
        <v>0</v>
      </c>
      <c r="F44" s="20">
        <v>0</v>
      </c>
      <c r="G44" s="21">
        <v>0</v>
      </c>
    </row>
    <row r="45" spans="1:7" ht="21">
      <c r="A45" s="16"/>
      <c r="B45" s="17" t="s">
        <v>79</v>
      </c>
      <c r="C45" s="18" t="s">
        <v>94</v>
      </c>
      <c r="D45" s="19">
        <v>0</v>
      </c>
      <c r="E45" s="20">
        <v>0</v>
      </c>
      <c r="F45" s="20">
        <v>0</v>
      </c>
      <c r="G45" s="21">
        <v>0</v>
      </c>
    </row>
    <row r="46" spans="1:7" ht="21">
      <c r="A46" s="10"/>
      <c r="B46" s="11" t="s">
        <v>95</v>
      </c>
      <c r="C46" s="12" t="s">
        <v>96</v>
      </c>
      <c r="D46" s="13"/>
      <c r="E46" s="14">
        <v>0</v>
      </c>
      <c r="F46" s="14">
        <v>2232023736450</v>
      </c>
      <c r="G46" s="15">
        <v>0.99270000000000003</v>
      </c>
    </row>
    <row r="47" spans="1:7" ht="21">
      <c r="A47" s="10" t="s">
        <v>97</v>
      </c>
      <c r="B47" s="11" t="s">
        <v>98</v>
      </c>
      <c r="C47" s="12" t="s">
        <v>99</v>
      </c>
      <c r="D47" s="13">
        <v>0</v>
      </c>
      <c r="E47" s="14">
        <v>0</v>
      </c>
      <c r="F47" s="14">
        <v>0</v>
      </c>
      <c r="G47" s="15">
        <v>0</v>
      </c>
    </row>
    <row r="48" spans="1:7" ht="21">
      <c r="A48" s="16" t="s">
        <v>5</v>
      </c>
      <c r="B48" s="17" t="s">
        <v>100</v>
      </c>
      <c r="C48" s="18" t="s">
        <v>101</v>
      </c>
      <c r="D48" s="19">
        <v>0</v>
      </c>
      <c r="E48" s="20">
        <v>0</v>
      </c>
      <c r="F48" s="20">
        <v>0</v>
      </c>
      <c r="G48" s="21">
        <v>0</v>
      </c>
    </row>
    <row r="49" spans="1:7" ht="21">
      <c r="A49" s="16" t="s">
        <v>10</v>
      </c>
      <c r="B49" s="17" t="s">
        <v>102</v>
      </c>
      <c r="C49" s="18" t="s">
        <v>103</v>
      </c>
      <c r="D49" s="19">
        <v>0</v>
      </c>
      <c r="E49" s="20">
        <v>0</v>
      </c>
      <c r="F49" s="20">
        <v>0</v>
      </c>
      <c r="G49" s="21">
        <v>0</v>
      </c>
    </row>
    <row r="50" spans="1:7" ht="21">
      <c r="A50" s="16" t="s">
        <v>15</v>
      </c>
      <c r="B50" s="17" t="s">
        <v>104</v>
      </c>
      <c r="C50" s="18" t="s">
        <v>105</v>
      </c>
      <c r="D50" s="19">
        <v>0</v>
      </c>
      <c r="E50" s="20">
        <v>0</v>
      </c>
      <c r="F50" s="20">
        <v>13545203</v>
      </c>
      <c r="G50" s="21">
        <v>0</v>
      </c>
    </row>
    <row r="51" spans="1:7" ht="31.5">
      <c r="A51" s="16" t="s">
        <v>20</v>
      </c>
      <c r="B51" s="17" t="s">
        <v>106</v>
      </c>
      <c r="C51" s="18" t="s">
        <v>107</v>
      </c>
      <c r="D51" s="19">
        <v>0</v>
      </c>
      <c r="E51" s="20">
        <v>0</v>
      </c>
      <c r="F51" s="20">
        <v>1581941500</v>
      </c>
      <c r="G51" s="21">
        <v>6.9999999999999999E-4</v>
      </c>
    </row>
    <row r="52" spans="1:7" ht="42">
      <c r="A52" s="16" t="s">
        <v>44</v>
      </c>
      <c r="B52" s="17" t="s">
        <v>108</v>
      </c>
      <c r="C52" s="18" t="s">
        <v>109</v>
      </c>
      <c r="D52" s="19">
        <v>0</v>
      </c>
      <c r="E52" s="20">
        <v>0</v>
      </c>
      <c r="F52" s="20">
        <v>0</v>
      </c>
      <c r="G52" s="21">
        <v>0</v>
      </c>
    </row>
    <row r="53" spans="1:7" ht="21">
      <c r="A53" s="16" t="s">
        <v>47</v>
      </c>
      <c r="B53" s="17" t="s">
        <v>110</v>
      </c>
      <c r="C53" s="18" t="s">
        <v>111</v>
      </c>
      <c r="D53" s="19">
        <v>0</v>
      </c>
      <c r="E53" s="20">
        <v>0</v>
      </c>
      <c r="F53" s="20">
        <v>0</v>
      </c>
      <c r="G53" s="21">
        <v>0</v>
      </c>
    </row>
    <row r="54" spans="1:7" ht="31.5">
      <c r="A54" s="16" t="s">
        <v>50</v>
      </c>
      <c r="B54" s="17" t="s">
        <v>112</v>
      </c>
      <c r="C54" s="18" t="s">
        <v>113</v>
      </c>
      <c r="D54" s="19">
        <v>0</v>
      </c>
      <c r="E54" s="20">
        <v>0</v>
      </c>
      <c r="F54" s="20">
        <v>0</v>
      </c>
      <c r="G54" s="21">
        <v>0</v>
      </c>
    </row>
    <row r="55" spans="1:7" ht="31.5">
      <c r="A55" s="16" t="s">
        <v>53</v>
      </c>
      <c r="B55" s="17" t="s">
        <v>114</v>
      </c>
      <c r="C55" s="18" t="s">
        <v>115</v>
      </c>
      <c r="D55" s="19">
        <v>0</v>
      </c>
      <c r="E55" s="20">
        <v>0</v>
      </c>
      <c r="F55" s="20">
        <v>0</v>
      </c>
      <c r="G55" s="21">
        <v>0</v>
      </c>
    </row>
    <row r="56" spans="1:7" ht="31.5">
      <c r="A56" s="16" t="s">
        <v>56</v>
      </c>
      <c r="B56" s="17" t="s">
        <v>116</v>
      </c>
      <c r="C56" s="18" t="s">
        <v>117</v>
      </c>
      <c r="D56" s="19">
        <v>0</v>
      </c>
      <c r="E56" s="20">
        <v>0</v>
      </c>
      <c r="F56" s="20">
        <v>0</v>
      </c>
      <c r="G56" s="21">
        <v>0</v>
      </c>
    </row>
    <row r="57" spans="1:7" ht="42">
      <c r="A57" s="16" t="s">
        <v>59</v>
      </c>
      <c r="B57" s="17" t="s">
        <v>118</v>
      </c>
      <c r="C57" s="18" t="s">
        <v>119</v>
      </c>
      <c r="D57" s="19">
        <v>0</v>
      </c>
      <c r="E57" s="20">
        <v>0</v>
      </c>
      <c r="F57" s="20">
        <v>0</v>
      </c>
      <c r="G57" s="21">
        <v>0</v>
      </c>
    </row>
    <row r="58" spans="1:7" ht="21">
      <c r="A58" s="10"/>
      <c r="B58" s="11" t="s">
        <v>79</v>
      </c>
      <c r="C58" s="12" t="s">
        <v>120</v>
      </c>
      <c r="D58" s="13">
        <v>0</v>
      </c>
      <c r="E58" s="14">
        <v>0</v>
      </c>
      <c r="F58" s="14">
        <v>1595486703</v>
      </c>
      <c r="G58" s="15">
        <v>6.9999999999999999E-4</v>
      </c>
    </row>
    <row r="59" spans="1:7" ht="21">
      <c r="A59" s="10" t="s">
        <v>121</v>
      </c>
      <c r="B59" s="11" t="s">
        <v>122</v>
      </c>
      <c r="C59" s="12" t="s">
        <v>123</v>
      </c>
      <c r="D59" s="13">
        <v>0</v>
      </c>
      <c r="E59" s="14">
        <v>0</v>
      </c>
      <c r="F59" s="14">
        <v>0</v>
      </c>
      <c r="G59" s="15">
        <v>0</v>
      </c>
    </row>
    <row r="60" spans="1:7" ht="21">
      <c r="A60" s="16" t="s">
        <v>5</v>
      </c>
      <c r="B60" s="17" t="s">
        <v>124</v>
      </c>
      <c r="C60" s="18" t="s">
        <v>125</v>
      </c>
      <c r="D60" s="19">
        <v>0</v>
      </c>
      <c r="E60" s="20">
        <v>0</v>
      </c>
      <c r="F60" s="20">
        <v>14866265764</v>
      </c>
      <c r="G60" s="21">
        <v>6.6E-3</v>
      </c>
    </row>
    <row r="61" spans="1:7" ht="21">
      <c r="A61" s="16"/>
      <c r="B61" s="17" t="s">
        <v>126</v>
      </c>
      <c r="C61" s="18" t="s">
        <v>127</v>
      </c>
      <c r="D61" s="19">
        <v>0</v>
      </c>
      <c r="E61" s="20">
        <v>0</v>
      </c>
      <c r="F61" s="20">
        <v>1366265764</v>
      </c>
      <c r="G61" s="21">
        <v>5.9999999999999995E-4</v>
      </c>
    </row>
    <row r="62" spans="1:7" ht="21">
      <c r="A62" s="16"/>
      <c r="B62" s="17" t="s">
        <v>128</v>
      </c>
      <c r="C62" s="18" t="s">
        <v>129</v>
      </c>
      <c r="D62" s="19">
        <v>0</v>
      </c>
      <c r="E62" s="20">
        <v>0</v>
      </c>
      <c r="F62" s="20">
        <v>13500000000</v>
      </c>
      <c r="G62" s="21">
        <v>6.0000000000000001E-3</v>
      </c>
    </row>
    <row r="63" spans="1:7" ht="21">
      <c r="A63" s="16"/>
      <c r="B63" s="17" t="s">
        <v>130</v>
      </c>
      <c r="C63" s="18" t="s">
        <v>131</v>
      </c>
      <c r="D63" s="19">
        <v>0</v>
      </c>
      <c r="E63" s="20">
        <v>0</v>
      </c>
      <c r="F63" s="20">
        <v>0</v>
      </c>
      <c r="G63" s="21">
        <v>0</v>
      </c>
    </row>
    <row r="64" spans="1:7" ht="21">
      <c r="A64" s="16" t="s">
        <v>10</v>
      </c>
      <c r="B64" s="17" t="s">
        <v>132</v>
      </c>
      <c r="C64" s="18" t="s">
        <v>133</v>
      </c>
      <c r="D64" s="19">
        <v>0</v>
      </c>
      <c r="E64" s="20">
        <v>0</v>
      </c>
      <c r="F64" s="20">
        <v>0</v>
      </c>
      <c r="G64" s="21">
        <v>0</v>
      </c>
    </row>
    <row r="65" spans="1:7" ht="21">
      <c r="A65" s="16" t="s">
        <v>15</v>
      </c>
      <c r="B65" s="17" t="s">
        <v>134</v>
      </c>
      <c r="C65" s="18" t="s">
        <v>135</v>
      </c>
      <c r="D65" s="19">
        <v>0</v>
      </c>
      <c r="E65" s="20">
        <v>0</v>
      </c>
      <c r="F65" s="20">
        <v>0</v>
      </c>
      <c r="G65" s="21">
        <v>0</v>
      </c>
    </row>
    <row r="66" spans="1:7" ht="21">
      <c r="A66" s="10"/>
      <c r="B66" s="11" t="s">
        <v>79</v>
      </c>
      <c r="C66" s="12" t="s">
        <v>136</v>
      </c>
      <c r="D66" s="13">
        <v>0</v>
      </c>
      <c r="E66" s="14">
        <v>0</v>
      </c>
      <c r="F66" s="14">
        <v>14866265764</v>
      </c>
      <c r="G66" s="15">
        <v>6.6E-3</v>
      </c>
    </row>
    <row r="67" spans="1:7" ht="21">
      <c r="A67" s="22" t="s">
        <v>137</v>
      </c>
      <c r="B67" s="23" t="s">
        <v>138</v>
      </c>
      <c r="C67" s="24" t="s">
        <v>139</v>
      </c>
      <c r="D67" s="25"/>
      <c r="E67" s="26">
        <v>0</v>
      </c>
      <c r="F67" s="26">
        <v>2248485488917</v>
      </c>
      <c r="G67" s="27">
        <v>1</v>
      </c>
    </row>
    <row r="68" spans="1:7" ht="15.75" customHeight="1">
      <c r="A68" s="28"/>
    </row>
    <row r="69" spans="1:7" ht="21.75" customHeight="1">
      <c r="A69" s="29"/>
    </row>
    <row r="70" spans="1:7" ht="6.75" customHeight="1">
      <c r="A70" s="6"/>
      <c r="B70" s="6"/>
      <c r="C70" s="6"/>
    </row>
    <row r="71" spans="1:7" ht="54" customHeight="1">
      <c r="A71" s="30" t="s">
        <v>140</v>
      </c>
      <c r="B71" s="31" t="s">
        <v>141</v>
      </c>
      <c r="C71" s="31" t="s">
        <v>142</v>
      </c>
      <c r="D71" s="31" t="s">
        <v>143</v>
      </c>
      <c r="E71" s="31" t="s">
        <v>144</v>
      </c>
      <c r="F71" s="31" t="s">
        <v>145</v>
      </c>
      <c r="G71" s="32" t="s">
        <v>146</v>
      </c>
    </row>
    <row r="72" spans="1:7" ht="8.25" customHeight="1">
      <c r="A72" s="2"/>
      <c r="B72" s="2"/>
      <c r="C72" s="2"/>
      <c r="D72" s="2"/>
    </row>
    <row r="73" spans="1:7" ht="12.75" customHeight="1">
      <c r="A73" s="3"/>
      <c r="B73" s="3"/>
    </row>
    <row r="74" spans="1:7" ht="15.75" customHeight="1">
      <c r="A74" s="33"/>
      <c r="B74" s="33"/>
    </row>
    <row r="75" spans="1:7" ht="15.75" customHeight="1">
      <c r="A75" s="2"/>
      <c r="B75" s="2"/>
      <c r="C75" s="2"/>
      <c r="D75" s="2"/>
    </row>
    <row r="76" spans="1:7" ht="15.75" customHeight="1">
      <c r="A76" s="2"/>
      <c r="B76" s="2"/>
      <c r="C76" s="2"/>
      <c r="D76" s="2"/>
    </row>
    <row r="77" spans="1:7" ht="15.75" customHeight="1">
      <c r="A77" s="2"/>
      <c r="B77" s="2"/>
      <c r="C77" s="2"/>
      <c r="D77" s="2"/>
    </row>
    <row r="78" spans="1:7" ht="12.75" customHeight="1">
      <c r="A78" s="34"/>
      <c r="B78" s="34"/>
    </row>
    <row r="79" spans="1:7" ht="12.75" customHeight="1">
      <c r="A79" s="35"/>
      <c r="B79" s="35"/>
    </row>
    <row r="80" spans="1:7" ht="12.75" customHeight="1">
      <c r="A80" s="35"/>
      <c r="B80" s="35"/>
    </row>
  </sheetData>
  <mergeCells count="20">
    <mergeCell ref="A18:G18"/>
    <mergeCell ref="C19:G19"/>
    <mergeCell ref="C12:G12"/>
    <mergeCell ref="C13:G13"/>
    <mergeCell ref="C14:G14"/>
    <mergeCell ref="C15:G15"/>
    <mergeCell ref="C16:G16"/>
    <mergeCell ref="A17:G17"/>
    <mergeCell ref="C11:G11"/>
    <mergeCell ref="A1:B1"/>
    <mergeCell ref="C1:G1"/>
    <mergeCell ref="A2:G2"/>
    <mergeCell ref="C3:G3"/>
    <mergeCell ref="A4:G4"/>
    <mergeCell ref="A5:G5"/>
    <mergeCell ref="A6:G6"/>
    <mergeCell ref="C7:G7"/>
    <mergeCell ref="C8:G8"/>
    <mergeCell ref="C9:G9"/>
    <mergeCell ref="C10:G10"/>
  </mergeCells>
  <printOptions horizontalCentered="1"/>
  <pageMargins left="0" right="0" top="0.59" bottom="0.59" header="0.5" footer="0.5"/>
  <pageSetup paperSize="9" scale="86" fitToHeight="0" orientation="portrait" r:id="rId1"/>
  <rowBreaks count="1" manualBreakCount="1">
    <brk id="67"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9"/>
  <sheetViews>
    <sheetView showGridLines="0" showZeros="0" showOutlineSymbols="0" view="pageBreakPreview" zoomScaleNormal="100" zoomScaleSheetLayoutView="100" workbookViewId="0">
      <selection activeCell="I21" sqref="I21"/>
    </sheetView>
  </sheetViews>
  <sheetFormatPr defaultRowHeight="15"/>
  <cols>
    <col min="1" max="1" width="6.28515625" style="1" customWidth="1"/>
    <col min="2" max="2" width="50" style="1" customWidth="1"/>
    <col min="3" max="3" width="11.42578125" style="1" customWidth="1"/>
    <col min="4" max="5" width="19.85546875" style="1" customWidth="1"/>
    <col min="6" max="256" width="9.140625" style="1"/>
    <col min="257" max="257" width="6.28515625" style="1" customWidth="1"/>
    <col min="258" max="258" width="50" style="1" customWidth="1"/>
    <col min="259" max="259" width="11.42578125" style="1" customWidth="1"/>
    <col min="260" max="261" width="19.85546875" style="1" customWidth="1"/>
    <col min="262" max="512" width="9.140625" style="1"/>
    <col min="513" max="513" width="6.28515625" style="1" customWidth="1"/>
    <col min="514" max="514" width="50" style="1" customWidth="1"/>
    <col min="515" max="515" width="11.42578125" style="1" customWidth="1"/>
    <col min="516" max="517" width="19.85546875" style="1" customWidth="1"/>
    <col min="518" max="768" width="9.140625" style="1"/>
    <col min="769" max="769" width="6.28515625" style="1" customWidth="1"/>
    <col min="770" max="770" width="50" style="1" customWidth="1"/>
    <col min="771" max="771" width="11.42578125" style="1" customWidth="1"/>
    <col min="772" max="773" width="19.85546875" style="1" customWidth="1"/>
    <col min="774" max="1024" width="9.140625" style="1"/>
    <col min="1025" max="1025" width="6.28515625" style="1" customWidth="1"/>
    <col min="1026" max="1026" width="50" style="1" customWidth="1"/>
    <col min="1027" max="1027" width="11.42578125" style="1" customWidth="1"/>
    <col min="1028" max="1029" width="19.85546875" style="1" customWidth="1"/>
    <col min="1030" max="1280" width="9.140625" style="1"/>
    <col min="1281" max="1281" width="6.28515625" style="1" customWidth="1"/>
    <col min="1282" max="1282" width="50" style="1" customWidth="1"/>
    <col min="1283" max="1283" width="11.42578125" style="1" customWidth="1"/>
    <col min="1284" max="1285" width="19.85546875" style="1" customWidth="1"/>
    <col min="1286" max="1536" width="9.140625" style="1"/>
    <col min="1537" max="1537" width="6.28515625" style="1" customWidth="1"/>
    <col min="1538" max="1538" width="50" style="1" customWidth="1"/>
    <col min="1539" max="1539" width="11.42578125" style="1" customWidth="1"/>
    <col min="1540" max="1541" width="19.85546875" style="1" customWidth="1"/>
    <col min="1542" max="1792" width="9.140625" style="1"/>
    <col min="1793" max="1793" width="6.28515625" style="1" customWidth="1"/>
    <col min="1794" max="1794" width="50" style="1" customWidth="1"/>
    <col min="1795" max="1795" width="11.42578125" style="1" customWidth="1"/>
    <col min="1796" max="1797" width="19.85546875" style="1" customWidth="1"/>
    <col min="1798" max="2048" width="9.140625" style="1"/>
    <col min="2049" max="2049" width="6.28515625" style="1" customWidth="1"/>
    <col min="2050" max="2050" width="50" style="1" customWidth="1"/>
    <col min="2051" max="2051" width="11.42578125" style="1" customWidth="1"/>
    <col min="2052" max="2053" width="19.85546875" style="1" customWidth="1"/>
    <col min="2054" max="2304" width="9.140625" style="1"/>
    <col min="2305" max="2305" width="6.28515625" style="1" customWidth="1"/>
    <col min="2306" max="2306" width="50" style="1" customWidth="1"/>
    <col min="2307" max="2307" width="11.42578125" style="1" customWidth="1"/>
    <col min="2308" max="2309" width="19.85546875" style="1" customWidth="1"/>
    <col min="2310" max="2560" width="9.140625" style="1"/>
    <col min="2561" max="2561" width="6.28515625" style="1" customWidth="1"/>
    <col min="2562" max="2562" width="50" style="1" customWidth="1"/>
    <col min="2563" max="2563" width="11.42578125" style="1" customWidth="1"/>
    <col min="2564" max="2565" width="19.85546875" style="1" customWidth="1"/>
    <col min="2566" max="2816" width="9.140625" style="1"/>
    <col min="2817" max="2817" width="6.28515625" style="1" customWidth="1"/>
    <col min="2818" max="2818" width="50" style="1" customWidth="1"/>
    <col min="2819" max="2819" width="11.42578125" style="1" customWidth="1"/>
    <col min="2820" max="2821" width="19.85546875" style="1" customWidth="1"/>
    <col min="2822" max="3072" width="9.140625" style="1"/>
    <col min="3073" max="3073" width="6.28515625" style="1" customWidth="1"/>
    <col min="3074" max="3074" width="50" style="1" customWidth="1"/>
    <col min="3075" max="3075" width="11.42578125" style="1" customWidth="1"/>
    <col min="3076" max="3077" width="19.85546875" style="1" customWidth="1"/>
    <col min="3078" max="3328" width="9.140625" style="1"/>
    <col min="3329" max="3329" width="6.28515625" style="1" customWidth="1"/>
    <col min="3330" max="3330" width="50" style="1" customWidth="1"/>
    <col min="3331" max="3331" width="11.42578125" style="1" customWidth="1"/>
    <col min="3332" max="3333" width="19.85546875" style="1" customWidth="1"/>
    <col min="3334" max="3584" width="9.140625" style="1"/>
    <col min="3585" max="3585" width="6.28515625" style="1" customWidth="1"/>
    <col min="3586" max="3586" width="50" style="1" customWidth="1"/>
    <col min="3587" max="3587" width="11.42578125" style="1" customWidth="1"/>
    <col min="3588" max="3589" width="19.85546875" style="1" customWidth="1"/>
    <col min="3590" max="3840" width="9.140625" style="1"/>
    <col min="3841" max="3841" width="6.28515625" style="1" customWidth="1"/>
    <col min="3842" max="3842" width="50" style="1" customWidth="1"/>
    <col min="3843" max="3843" width="11.42578125" style="1" customWidth="1"/>
    <col min="3844" max="3845" width="19.85546875" style="1" customWidth="1"/>
    <col min="3846" max="4096" width="9.140625" style="1"/>
    <col min="4097" max="4097" width="6.28515625" style="1" customWidth="1"/>
    <col min="4098" max="4098" width="50" style="1" customWidth="1"/>
    <col min="4099" max="4099" width="11.42578125" style="1" customWidth="1"/>
    <col min="4100" max="4101" width="19.85546875" style="1" customWidth="1"/>
    <col min="4102" max="4352" width="9.140625" style="1"/>
    <col min="4353" max="4353" width="6.28515625" style="1" customWidth="1"/>
    <col min="4354" max="4354" width="50" style="1" customWidth="1"/>
    <col min="4355" max="4355" width="11.42578125" style="1" customWidth="1"/>
    <col min="4356" max="4357" width="19.85546875" style="1" customWidth="1"/>
    <col min="4358" max="4608" width="9.140625" style="1"/>
    <col min="4609" max="4609" width="6.28515625" style="1" customWidth="1"/>
    <col min="4610" max="4610" width="50" style="1" customWidth="1"/>
    <col min="4611" max="4611" width="11.42578125" style="1" customWidth="1"/>
    <col min="4612" max="4613" width="19.85546875" style="1" customWidth="1"/>
    <col min="4614" max="4864" width="9.140625" style="1"/>
    <col min="4865" max="4865" width="6.28515625" style="1" customWidth="1"/>
    <col min="4866" max="4866" width="50" style="1" customWidth="1"/>
    <col min="4867" max="4867" width="11.42578125" style="1" customWidth="1"/>
    <col min="4868" max="4869" width="19.85546875" style="1" customWidth="1"/>
    <col min="4870" max="5120" width="9.140625" style="1"/>
    <col min="5121" max="5121" width="6.28515625" style="1" customWidth="1"/>
    <col min="5122" max="5122" width="50" style="1" customWidth="1"/>
    <col min="5123" max="5123" width="11.42578125" style="1" customWidth="1"/>
    <col min="5124" max="5125" width="19.85546875" style="1" customWidth="1"/>
    <col min="5126" max="5376" width="9.140625" style="1"/>
    <col min="5377" max="5377" width="6.28515625" style="1" customWidth="1"/>
    <col min="5378" max="5378" width="50" style="1" customWidth="1"/>
    <col min="5379" max="5379" width="11.42578125" style="1" customWidth="1"/>
    <col min="5380" max="5381" width="19.85546875" style="1" customWidth="1"/>
    <col min="5382" max="5632" width="9.140625" style="1"/>
    <col min="5633" max="5633" width="6.28515625" style="1" customWidth="1"/>
    <col min="5634" max="5634" width="50" style="1" customWidth="1"/>
    <col min="5635" max="5635" width="11.42578125" style="1" customWidth="1"/>
    <col min="5636" max="5637" width="19.85546875" style="1" customWidth="1"/>
    <col min="5638" max="5888" width="9.140625" style="1"/>
    <col min="5889" max="5889" width="6.28515625" style="1" customWidth="1"/>
    <col min="5890" max="5890" width="50" style="1" customWidth="1"/>
    <col min="5891" max="5891" width="11.42578125" style="1" customWidth="1"/>
    <col min="5892" max="5893" width="19.85546875" style="1" customWidth="1"/>
    <col min="5894" max="6144" width="9.140625" style="1"/>
    <col min="6145" max="6145" width="6.28515625" style="1" customWidth="1"/>
    <col min="6146" max="6146" width="50" style="1" customWidth="1"/>
    <col min="6147" max="6147" width="11.42578125" style="1" customWidth="1"/>
    <col min="6148" max="6149" width="19.85546875" style="1" customWidth="1"/>
    <col min="6150" max="6400" width="9.140625" style="1"/>
    <col min="6401" max="6401" width="6.28515625" style="1" customWidth="1"/>
    <col min="6402" max="6402" width="50" style="1" customWidth="1"/>
    <col min="6403" max="6403" width="11.42578125" style="1" customWidth="1"/>
    <col min="6404" max="6405" width="19.85546875" style="1" customWidth="1"/>
    <col min="6406" max="6656" width="9.140625" style="1"/>
    <col min="6657" max="6657" width="6.28515625" style="1" customWidth="1"/>
    <col min="6658" max="6658" width="50" style="1" customWidth="1"/>
    <col min="6659" max="6659" width="11.42578125" style="1" customWidth="1"/>
    <col min="6660" max="6661" width="19.85546875" style="1" customWidth="1"/>
    <col min="6662" max="6912" width="9.140625" style="1"/>
    <col min="6913" max="6913" width="6.28515625" style="1" customWidth="1"/>
    <col min="6914" max="6914" width="50" style="1" customWidth="1"/>
    <col min="6915" max="6915" width="11.42578125" style="1" customWidth="1"/>
    <col min="6916" max="6917" width="19.85546875" style="1" customWidth="1"/>
    <col min="6918" max="7168" width="9.140625" style="1"/>
    <col min="7169" max="7169" width="6.28515625" style="1" customWidth="1"/>
    <col min="7170" max="7170" width="50" style="1" customWidth="1"/>
    <col min="7171" max="7171" width="11.42578125" style="1" customWidth="1"/>
    <col min="7172" max="7173" width="19.85546875" style="1" customWidth="1"/>
    <col min="7174" max="7424" width="9.140625" style="1"/>
    <col min="7425" max="7425" width="6.28515625" style="1" customWidth="1"/>
    <col min="7426" max="7426" width="50" style="1" customWidth="1"/>
    <col min="7427" max="7427" width="11.42578125" style="1" customWidth="1"/>
    <col min="7428" max="7429" width="19.85546875" style="1" customWidth="1"/>
    <col min="7430" max="7680" width="9.140625" style="1"/>
    <col min="7681" max="7681" width="6.28515625" style="1" customWidth="1"/>
    <col min="7682" max="7682" width="50" style="1" customWidth="1"/>
    <col min="7683" max="7683" width="11.42578125" style="1" customWidth="1"/>
    <col min="7684" max="7685" width="19.85546875" style="1" customWidth="1"/>
    <col min="7686" max="7936" width="9.140625" style="1"/>
    <col min="7937" max="7937" width="6.28515625" style="1" customWidth="1"/>
    <col min="7938" max="7938" width="50" style="1" customWidth="1"/>
    <col min="7939" max="7939" width="11.42578125" style="1" customWidth="1"/>
    <col min="7940" max="7941" width="19.85546875" style="1" customWidth="1"/>
    <col min="7942" max="8192" width="9.140625" style="1"/>
    <col min="8193" max="8193" width="6.28515625" style="1" customWidth="1"/>
    <col min="8194" max="8194" width="50" style="1" customWidth="1"/>
    <col min="8195" max="8195" width="11.42578125" style="1" customWidth="1"/>
    <col min="8196" max="8197" width="19.85546875" style="1" customWidth="1"/>
    <col min="8198" max="8448" width="9.140625" style="1"/>
    <col min="8449" max="8449" width="6.28515625" style="1" customWidth="1"/>
    <col min="8450" max="8450" width="50" style="1" customWidth="1"/>
    <col min="8451" max="8451" width="11.42578125" style="1" customWidth="1"/>
    <col min="8452" max="8453" width="19.85546875" style="1" customWidth="1"/>
    <col min="8454" max="8704" width="9.140625" style="1"/>
    <col min="8705" max="8705" width="6.28515625" style="1" customWidth="1"/>
    <col min="8706" max="8706" width="50" style="1" customWidth="1"/>
    <col min="8707" max="8707" width="11.42578125" style="1" customWidth="1"/>
    <col min="8708" max="8709" width="19.85546875" style="1" customWidth="1"/>
    <col min="8710" max="8960" width="9.140625" style="1"/>
    <col min="8961" max="8961" width="6.28515625" style="1" customWidth="1"/>
    <col min="8962" max="8962" width="50" style="1" customWidth="1"/>
    <col min="8963" max="8963" width="11.42578125" style="1" customWidth="1"/>
    <col min="8964" max="8965" width="19.85546875" style="1" customWidth="1"/>
    <col min="8966" max="9216" width="9.140625" style="1"/>
    <col min="9217" max="9217" width="6.28515625" style="1" customWidth="1"/>
    <col min="9218" max="9218" width="50" style="1" customWidth="1"/>
    <col min="9219" max="9219" width="11.42578125" style="1" customWidth="1"/>
    <col min="9220" max="9221" width="19.85546875" style="1" customWidth="1"/>
    <col min="9222" max="9472" width="9.140625" style="1"/>
    <col min="9473" max="9473" width="6.28515625" style="1" customWidth="1"/>
    <col min="9474" max="9474" width="50" style="1" customWidth="1"/>
    <col min="9475" max="9475" width="11.42578125" style="1" customWidth="1"/>
    <col min="9476" max="9477" width="19.85546875" style="1" customWidth="1"/>
    <col min="9478" max="9728" width="9.140625" style="1"/>
    <col min="9729" max="9729" width="6.28515625" style="1" customWidth="1"/>
    <col min="9730" max="9730" width="50" style="1" customWidth="1"/>
    <col min="9731" max="9731" width="11.42578125" style="1" customWidth="1"/>
    <col min="9732" max="9733" width="19.85546875" style="1" customWidth="1"/>
    <col min="9734" max="9984" width="9.140625" style="1"/>
    <col min="9985" max="9985" width="6.28515625" style="1" customWidth="1"/>
    <col min="9986" max="9986" width="50" style="1" customWidth="1"/>
    <col min="9987" max="9987" width="11.42578125" style="1" customWidth="1"/>
    <col min="9988" max="9989" width="19.85546875" style="1" customWidth="1"/>
    <col min="9990" max="10240" width="9.140625" style="1"/>
    <col min="10241" max="10241" width="6.28515625" style="1" customWidth="1"/>
    <col min="10242" max="10242" width="50" style="1" customWidth="1"/>
    <col min="10243" max="10243" width="11.42578125" style="1" customWidth="1"/>
    <col min="10244" max="10245" width="19.85546875" style="1" customWidth="1"/>
    <col min="10246" max="10496" width="9.140625" style="1"/>
    <col min="10497" max="10497" width="6.28515625" style="1" customWidth="1"/>
    <col min="10498" max="10498" width="50" style="1" customWidth="1"/>
    <col min="10499" max="10499" width="11.42578125" style="1" customWidth="1"/>
    <col min="10500" max="10501" width="19.85546875" style="1" customWidth="1"/>
    <col min="10502" max="10752" width="9.140625" style="1"/>
    <col min="10753" max="10753" width="6.28515625" style="1" customWidth="1"/>
    <col min="10754" max="10754" width="50" style="1" customWidth="1"/>
    <col min="10755" max="10755" width="11.42578125" style="1" customWidth="1"/>
    <col min="10756" max="10757" width="19.85546875" style="1" customWidth="1"/>
    <col min="10758" max="11008" width="9.140625" style="1"/>
    <col min="11009" max="11009" width="6.28515625" style="1" customWidth="1"/>
    <col min="11010" max="11010" width="50" style="1" customWidth="1"/>
    <col min="11011" max="11011" width="11.42578125" style="1" customWidth="1"/>
    <col min="11012" max="11013" width="19.85546875" style="1" customWidth="1"/>
    <col min="11014" max="11264" width="9.140625" style="1"/>
    <col min="11265" max="11265" width="6.28515625" style="1" customWidth="1"/>
    <col min="11266" max="11266" width="50" style="1" customWidth="1"/>
    <col min="11267" max="11267" width="11.42578125" style="1" customWidth="1"/>
    <col min="11268" max="11269" width="19.85546875" style="1" customWidth="1"/>
    <col min="11270" max="11520" width="9.140625" style="1"/>
    <col min="11521" max="11521" width="6.28515625" style="1" customWidth="1"/>
    <col min="11522" max="11522" width="50" style="1" customWidth="1"/>
    <col min="11523" max="11523" width="11.42578125" style="1" customWidth="1"/>
    <col min="11524" max="11525" width="19.85546875" style="1" customWidth="1"/>
    <col min="11526" max="11776" width="9.140625" style="1"/>
    <col min="11777" max="11777" width="6.28515625" style="1" customWidth="1"/>
    <col min="11778" max="11778" width="50" style="1" customWidth="1"/>
    <col min="11779" max="11779" width="11.42578125" style="1" customWidth="1"/>
    <col min="11780" max="11781" width="19.85546875" style="1" customWidth="1"/>
    <col min="11782" max="12032" width="9.140625" style="1"/>
    <col min="12033" max="12033" width="6.28515625" style="1" customWidth="1"/>
    <col min="12034" max="12034" width="50" style="1" customWidth="1"/>
    <col min="12035" max="12035" width="11.42578125" style="1" customWidth="1"/>
    <col min="12036" max="12037" width="19.85546875" style="1" customWidth="1"/>
    <col min="12038" max="12288" width="9.140625" style="1"/>
    <col min="12289" max="12289" width="6.28515625" style="1" customWidth="1"/>
    <col min="12290" max="12290" width="50" style="1" customWidth="1"/>
    <col min="12291" max="12291" width="11.42578125" style="1" customWidth="1"/>
    <col min="12292" max="12293" width="19.85546875" style="1" customWidth="1"/>
    <col min="12294" max="12544" width="9.140625" style="1"/>
    <col min="12545" max="12545" width="6.28515625" style="1" customWidth="1"/>
    <col min="12546" max="12546" width="50" style="1" customWidth="1"/>
    <col min="12547" max="12547" width="11.42578125" style="1" customWidth="1"/>
    <col min="12548" max="12549" width="19.85546875" style="1" customWidth="1"/>
    <col min="12550" max="12800" width="9.140625" style="1"/>
    <col min="12801" max="12801" width="6.28515625" style="1" customWidth="1"/>
    <col min="12802" max="12802" width="50" style="1" customWidth="1"/>
    <col min="12803" max="12803" width="11.42578125" style="1" customWidth="1"/>
    <col min="12804" max="12805" width="19.85546875" style="1" customWidth="1"/>
    <col min="12806" max="13056" width="9.140625" style="1"/>
    <col min="13057" max="13057" width="6.28515625" style="1" customWidth="1"/>
    <col min="13058" max="13058" width="50" style="1" customWidth="1"/>
    <col min="13059" max="13059" width="11.42578125" style="1" customWidth="1"/>
    <col min="13060" max="13061" width="19.85546875" style="1" customWidth="1"/>
    <col min="13062" max="13312" width="9.140625" style="1"/>
    <col min="13313" max="13313" width="6.28515625" style="1" customWidth="1"/>
    <col min="13314" max="13314" width="50" style="1" customWidth="1"/>
    <col min="13315" max="13315" width="11.42578125" style="1" customWidth="1"/>
    <col min="13316" max="13317" width="19.85546875" style="1" customWidth="1"/>
    <col min="13318" max="13568" width="9.140625" style="1"/>
    <col min="13569" max="13569" width="6.28515625" style="1" customWidth="1"/>
    <col min="13570" max="13570" width="50" style="1" customWidth="1"/>
    <col min="13571" max="13571" width="11.42578125" style="1" customWidth="1"/>
    <col min="13572" max="13573" width="19.85546875" style="1" customWidth="1"/>
    <col min="13574" max="13824" width="9.140625" style="1"/>
    <col min="13825" max="13825" width="6.28515625" style="1" customWidth="1"/>
    <col min="13826" max="13826" width="50" style="1" customWidth="1"/>
    <col min="13827" max="13827" width="11.42578125" style="1" customWidth="1"/>
    <col min="13828" max="13829" width="19.85546875" style="1" customWidth="1"/>
    <col min="13830" max="14080" width="9.140625" style="1"/>
    <col min="14081" max="14081" width="6.28515625" style="1" customWidth="1"/>
    <col min="14082" max="14082" width="50" style="1" customWidth="1"/>
    <col min="14083" max="14083" width="11.42578125" style="1" customWidth="1"/>
    <col min="14084" max="14085" width="19.85546875" style="1" customWidth="1"/>
    <col min="14086" max="14336" width="9.140625" style="1"/>
    <col min="14337" max="14337" width="6.28515625" style="1" customWidth="1"/>
    <col min="14338" max="14338" width="50" style="1" customWidth="1"/>
    <col min="14339" max="14339" width="11.42578125" style="1" customWidth="1"/>
    <col min="14340" max="14341" width="19.85546875" style="1" customWidth="1"/>
    <col min="14342" max="14592" width="9.140625" style="1"/>
    <col min="14593" max="14593" width="6.28515625" style="1" customWidth="1"/>
    <col min="14594" max="14594" width="50" style="1" customWidth="1"/>
    <col min="14595" max="14595" width="11.42578125" style="1" customWidth="1"/>
    <col min="14596" max="14597" width="19.85546875" style="1" customWidth="1"/>
    <col min="14598" max="14848" width="9.140625" style="1"/>
    <col min="14849" max="14849" width="6.28515625" style="1" customWidth="1"/>
    <col min="14850" max="14850" width="50" style="1" customWidth="1"/>
    <col min="14851" max="14851" width="11.42578125" style="1" customWidth="1"/>
    <col min="14852" max="14853" width="19.85546875" style="1" customWidth="1"/>
    <col min="14854" max="15104" width="9.140625" style="1"/>
    <col min="15105" max="15105" width="6.28515625" style="1" customWidth="1"/>
    <col min="15106" max="15106" width="50" style="1" customWidth="1"/>
    <col min="15107" max="15107" width="11.42578125" style="1" customWidth="1"/>
    <col min="15108" max="15109" width="19.85546875" style="1" customWidth="1"/>
    <col min="15110" max="15360" width="9.140625" style="1"/>
    <col min="15361" max="15361" width="6.28515625" style="1" customWidth="1"/>
    <col min="15362" max="15362" width="50" style="1" customWidth="1"/>
    <col min="15363" max="15363" width="11.42578125" style="1" customWidth="1"/>
    <col min="15364" max="15365" width="19.85546875" style="1" customWidth="1"/>
    <col min="15366" max="15616" width="9.140625" style="1"/>
    <col min="15617" max="15617" width="6.28515625" style="1" customWidth="1"/>
    <col min="15618" max="15618" width="50" style="1" customWidth="1"/>
    <col min="15619" max="15619" width="11.42578125" style="1" customWidth="1"/>
    <col min="15620" max="15621" width="19.85546875" style="1" customWidth="1"/>
    <col min="15622" max="15872" width="9.140625" style="1"/>
    <col min="15873" max="15873" width="6.28515625" style="1" customWidth="1"/>
    <col min="15874" max="15874" width="50" style="1" customWidth="1"/>
    <col min="15875" max="15875" width="11.42578125" style="1" customWidth="1"/>
    <col min="15876" max="15877" width="19.85546875" style="1" customWidth="1"/>
    <col min="15878" max="16128" width="9.140625" style="1"/>
    <col min="16129" max="16129" width="6.28515625" style="1" customWidth="1"/>
    <col min="16130" max="16130" width="50" style="1" customWidth="1"/>
    <col min="16131" max="16131" width="11.42578125" style="1" customWidth="1"/>
    <col min="16132" max="16133" width="19.85546875" style="1" customWidth="1"/>
    <col min="16134" max="16384" width="9.140625" style="1"/>
  </cols>
  <sheetData>
    <row r="1" spans="1:5" ht="21.75" customHeight="1">
      <c r="A1" s="273"/>
      <c r="B1" s="273"/>
      <c r="C1" s="274" t="s">
        <v>301</v>
      </c>
      <c r="D1" s="274"/>
      <c r="E1" s="274"/>
    </row>
    <row r="2" spans="1:5" ht="46.5" customHeight="1">
      <c r="A2" s="275" t="s">
        <v>1</v>
      </c>
      <c r="B2" s="275"/>
      <c r="C2" s="275"/>
      <c r="D2" s="275"/>
      <c r="E2" s="275"/>
    </row>
    <row r="3" spans="1:5" ht="33.75" customHeight="1">
      <c r="A3" s="2"/>
      <c r="B3" s="276" t="s">
        <v>302</v>
      </c>
      <c r="C3" s="276"/>
      <c r="D3" s="276"/>
      <c r="E3" s="276"/>
    </row>
    <row r="4" spans="1:5" ht="12.75" customHeight="1">
      <c r="A4" s="2"/>
      <c r="B4" s="281" t="s">
        <v>148</v>
      </c>
      <c r="C4" s="281"/>
      <c r="D4" s="281"/>
      <c r="E4" s="281"/>
    </row>
    <row r="5" spans="1:5" ht="12.75" customHeight="1">
      <c r="A5" s="3" t="s">
        <v>5</v>
      </c>
      <c r="B5" s="4" t="s">
        <v>6</v>
      </c>
      <c r="C5" s="284" t="s">
        <v>7</v>
      </c>
      <c r="D5" s="284"/>
      <c r="E5" s="284"/>
    </row>
    <row r="6" spans="1:5" ht="12.75" customHeight="1">
      <c r="A6" s="2"/>
      <c r="B6" s="5" t="s">
        <v>8</v>
      </c>
      <c r="C6" s="292" t="s">
        <v>9</v>
      </c>
      <c r="D6" s="292"/>
      <c r="E6" s="292"/>
    </row>
    <row r="7" spans="1:5" ht="12.75" customHeight="1">
      <c r="A7" s="3" t="s">
        <v>10</v>
      </c>
      <c r="B7" s="4" t="s">
        <v>149</v>
      </c>
      <c r="C7" s="299" t="s">
        <v>12</v>
      </c>
      <c r="D7" s="299"/>
      <c r="E7" s="299"/>
    </row>
    <row r="8" spans="1:5" ht="12.75" customHeight="1">
      <c r="A8" s="2"/>
      <c r="B8" s="5" t="s">
        <v>13</v>
      </c>
      <c r="C8" s="292" t="s">
        <v>14</v>
      </c>
      <c r="D8" s="292"/>
      <c r="E8" s="292"/>
    </row>
    <row r="9" spans="1:5" ht="12.75" customHeight="1">
      <c r="A9" s="3" t="s">
        <v>15</v>
      </c>
      <c r="B9" s="4" t="s">
        <v>16</v>
      </c>
      <c r="C9" s="284" t="s">
        <v>17</v>
      </c>
      <c r="D9" s="284"/>
      <c r="E9" s="284"/>
    </row>
    <row r="10" spans="1:5" ht="12.75" customHeight="1">
      <c r="A10" s="2"/>
      <c r="B10" s="5" t="s">
        <v>18</v>
      </c>
      <c r="C10" s="292" t="s">
        <v>19</v>
      </c>
      <c r="D10" s="292"/>
      <c r="E10" s="292"/>
    </row>
    <row r="11" spans="1:5" ht="12.75" customHeight="1">
      <c r="A11" s="3" t="s">
        <v>20</v>
      </c>
      <c r="B11" s="4" t="s">
        <v>21</v>
      </c>
      <c r="C11" s="293">
        <v>44109</v>
      </c>
      <c r="D11" s="284"/>
      <c r="E11" s="284"/>
    </row>
    <row r="12" spans="1:5" ht="12.75" customHeight="1">
      <c r="A12" s="2"/>
      <c r="B12" s="5" t="s">
        <v>22</v>
      </c>
      <c r="C12" s="294">
        <v>44109</v>
      </c>
      <c r="D12" s="292"/>
      <c r="E12" s="292"/>
    </row>
    <row r="13" spans="1:5" ht="12.75" customHeight="1">
      <c r="A13" s="2"/>
      <c r="B13" s="5"/>
      <c r="C13" s="295"/>
      <c r="D13" s="295"/>
      <c r="E13" s="295"/>
    </row>
    <row r="14" spans="1:5" ht="12.75" customHeight="1">
      <c r="A14" s="299" t="s">
        <v>150</v>
      </c>
      <c r="B14" s="299"/>
      <c r="C14" s="299"/>
      <c r="D14" s="299"/>
      <c r="E14" s="299"/>
    </row>
    <row r="15" spans="1:5" ht="12.75" customHeight="1">
      <c r="A15" s="284" t="s">
        <v>303</v>
      </c>
      <c r="B15" s="284"/>
      <c r="C15" s="284"/>
      <c r="D15" s="284"/>
      <c r="E15" s="284"/>
    </row>
    <row r="16" spans="1:5" ht="12.75" customHeight="1">
      <c r="A16" s="296" t="s">
        <v>25</v>
      </c>
      <c r="B16" s="296"/>
      <c r="C16" s="296"/>
      <c r="D16" s="296"/>
      <c r="E16" s="296"/>
    </row>
    <row r="17" spans="1:5" ht="48" customHeight="1">
      <c r="A17" s="7" t="s">
        <v>304</v>
      </c>
      <c r="B17" s="8" t="s">
        <v>153</v>
      </c>
      <c r="C17" s="8" t="s">
        <v>28</v>
      </c>
      <c r="D17" s="8" t="s">
        <v>154</v>
      </c>
      <c r="E17" s="9" t="s">
        <v>155</v>
      </c>
    </row>
    <row r="18" spans="1:5" ht="21">
      <c r="A18" s="10" t="s">
        <v>33</v>
      </c>
      <c r="B18" s="11" t="s">
        <v>305</v>
      </c>
      <c r="C18" s="12" t="s">
        <v>306</v>
      </c>
      <c r="D18" s="54">
        <v>0</v>
      </c>
      <c r="E18" s="55">
        <v>0</v>
      </c>
    </row>
    <row r="19" spans="1:5" ht="31.5">
      <c r="A19" s="16" t="s">
        <v>5</v>
      </c>
      <c r="B19" s="17" t="s">
        <v>307</v>
      </c>
      <c r="C19" s="18" t="s">
        <v>308</v>
      </c>
      <c r="D19" s="57">
        <v>7.8720000000000005E-3</v>
      </c>
      <c r="E19" s="21">
        <v>8.1359999999999991E-3</v>
      </c>
    </row>
    <row r="20" spans="1:5" ht="31.5">
      <c r="A20" s="16" t="s">
        <v>10</v>
      </c>
      <c r="B20" s="17" t="s">
        <v>309</v>
      </c>
      <c r="C20" s="18" t="s">
        <v>310</v>
      </c>
      <c r="D20" s="57">
        <v>7.3200000000000001E-4</v>
      </c>
      <c r="E20" s="21">
        <v>7.7999999999999999E-4</v>
      </c>
    </row>
    <row r="21" spans="1:5" ht="52.5">
      <c r="A21" s="16" t="s">
        <v>15</v>
      </c>
      <c r="B21" s="17" t="s">
        <v>311</v>
      </c>
      <c r="C21" s="18" t="s">
        <v>312</v>
      </c>
      <c r="D21" s="57">
        <v>1.176E-3</v>
      </c>
      <c r="E21" s="21">
        <v>1.3320000000000001E-3</v>
      </c>
    </row>
    <row r="22" spans="1:5" ht="31.5">
      <c r="A22" s="16" t="s">
        <v>20</v>
      </c>
      <c r="B22" s="17" t="s">
        <v>313</v>
      </c>
      <c r="C22" s="18" t="s">
        <v>314</v>
      </c>
      <c r="D22" s="57">
        <v>9.6000000000000002E-5</v>
      </c>
      <c r="E22" s="21">
        <v>1.2E-4</v>
      </c>
    </row>
    <row r="23" spans="1:5" ht="63">
      <c r="A23" s="16" t="s">
        <v>44</v>
      </c>
      <c r="B23" s="17" t="s">
        <v>315</v>
      </c>
      <c r="C23" s="18" t="s">
        <v>316</v>
      </c>
      <c r="D23" s="57">
        <v>6.0000000000000002E-5</v>
      </c>
      <c r="E23" s="21">
        <v>7.2000000000000002E-5</v>
      </c>
    </row>
    <row r="24" spans="1:5" ht="21">
      <c r="A24" s="16" t="s">
        <v>47</v>
      </c>
      <c r="B24" s="17" t="s">
        <v>317</v>
      </c>
      <c r="C24" s="18" t="s">
        <v>318</v>
      </c>
      <c r="D24" s="57">
        <v>9.9360000000000004E-3</v>
      </c>
      <c r="E24" s="21">
        <v>1.0751999999999999E-2</v>
      </c>
    </row>
    <row r="25" spans="1:5" ht="52.5">
      <c r="A25" s="16" t="s">
        <v>50</v>
      </c>
      <c r="B25" s="17" t="s">
        <v>319</v>
      </c>
      <c r="C25" s="18" t="s">
        <v>320</v>
      </c>
      <c r="D25" s="225">
        <v>0</v>
      </c>
      <c r="E25" s="21">
        <v>0.10209600000000001</v>
      </c>
    </row>
    <row r="26" spans="1:5" ht="21">
      <c r="A26" s="10" t="s">
        <v>76</v>
      </c>
      <c r="B26" s="11" t="s">
        <v>321</v>
      </c>
      <c r="C26" s="12" t="s">
        <v>322</v>
      </c>
      <c r="D26" s="54">
        <v>0</v>
      </c>
      <c r="E26" s="55">
        <v>0</v>
      </c>
    </row>
    <row r="27" spans="1:5" ht="21">
      <c r="A27" s="16" t="s">
        <v>5</v>
      </c>
      <c r="B27" s="17" t="s">
        <v>323</v>
      </c>
      <c r="C27" s="18" t="s">
        <v>324</v>
      </c>
      <c r="D27" s="235">
        <v>1457000000000</v>
      </c>
      <c r="E27" s="236">
        <v>1301000000000</v>
      </c>
    </row>
    <row r="28" spans="1:5" ht="21">
      <c r="A28" s="16"/>
      <c r="B28" s="17" t="s">
        <v>325</v>
      </c>
      <c r="C28" s="18" t="s">
        <v>326</v>
      </c>
      <c r="D28" s="235">
        <v>1457000000000</v>
      </c>
      <c r="E28" s="236">
        <v>1301000000000</v>
      </c>
    </row>
    <row r="29" spans="1:5" ht="31.5">
      <c r="A29" s="16"/>
      <c r="B29" s="17" t="s">
        <v>327</v>
      </c>
      <c r="C29" s="18" t="s">
        <v>328</v>
      </c>
      <c r="D29" s="235">
        <v>145700000</v>
      </c>
      <c r="E29" s="236">
        <v>130100000</v>
      </c>
    </row>
    <row r="30" spans="1:5" ht="21">
      <c r="A30" s="16" t="s">
        <v>10</v>
      </c>
      <c r="B30" s="17" t="s">
        <v>329</v>
      </c>
      <c r="C30" s="18" t="s">
        <v>330</v>
      </c>
      <c r="D30" s="235">
        <v>226000000000</v>
      </c>
      <c r="E30" s="236">
        <v>156000000000</v>
      </c>
    </row>
    <row r="31" spans="1:5" ht="21">
      <c r="A31" s="16"/>
      <c r="B31" s="17" t="s">
        <v>331</v>
      </c>
      <c r="C31" s="18" t="s">
        <v>332</v>
      </c>
      <c r="D31" s="235">
        <v>22600000</v>
      </c>
      <c r="E31" s="236">
        <v>15600000</v>
      </c>
    </row>
    <row r="32" spans="1:5" ht="21">
      <c r="A32" s="16"/>
      <c r="B32" s="17" t="s">
        <v>333</v>
      </c>
      <c r="C32" s="18" t="s">
        <v>334</v>
      </c>
      <c r="D32" s="235">
        <v>226000000000</v>
      </c>
      <c r="E32" s="236">
        <v>156000000000</v>
      </c>
    </row>
    <row r="33" spans="1:5" ht="21">
      <c r="A33" s="16"/>
      <c r="B33" s="17" t="s">
        <v>335</v>
      </c>
      <c r="C33" s="18" t="s">
        <v>336</v>
      </c>
      <c r="D33" s="235">
        <v>24500000</v>
      </c>
      <c r="E33" s="236">
        <v>16800000</v>
      </c>
    </row>
    <row r="34" spans="1:5" ht="21">
      <c r="A34" s="16"/>
      <c r="B34" s="17" t="s">
        <v>337</v>
      </c>
      <c r="C34" s="18" t="s">
        <v>338</v>
      </c>
      <c r="D34" s="235">
        <v>245000000000</v>
      </c>
      <c r="E34" s="236">
        <v>168000000000</v>
      </c>
    </row>
    <row r="35" spans="1:5" ht="21">
      <c r="A35" s="16"/>
      <c r="B35" s="17" t="s">
        <v>339</v>
      </c>
      <c r="C35" s="18" t="s">
        <v>340</v>
      </c>
      <c r="D35" s="235">
        <v>-1900000</v>
      </c>
      <c r="E35" s="236">
        <v>-1200000</v>
      </c>
    </row>
    <row r="36" spans="1:5" ht="31.5">
      <c r="A36" s="16"/>
      <c r="B36" s="17" t="s">
        <v>341</v>
      </c>
      <c r="C36" s="18" t="s">
        <v>342</v>
      </c>
      <c r="D36" s="235">
        <v>-19000000000</v>
      </c>
      <c r="E36" s="236">
        <v>-12000000000</v>
      </c>
    </row>
    <row r="37" spans="1:5" ht="21">
      <c r="A37" s="16" t="s">
        <v>15</v>
      </c>
      <c r="B37" s="17" t="s">
        <v>343</v>
      </c>
      <c r="C37" s="18" t="s">
        <v>344</v>
      </c>
      <c r="D37" s="235">
        <v>1683000000000</v>
      </c>
      <c r="E37" s="236">
        <v>1457000000000</v>
      </c>
    </row>
    <row r="38" spans="1:5" ht="21">
      <c r="A38" s="16"/>
      <c r="B38" s="17" t="s">
        <v>345</v>
      </c>
      <c r="C38" s="18" t="s">
        <v>346</v>
      </c>
      <c r="D38" s="235">
        <v>1683000000000</v>
      </c>
      <c r="E38" s="236">
        <v>1457000000000</v>
      </c>
    </row>
    <row r="39" spans="1:5" ht="21">
      <c r="A39" s="16"/>
      <c r="B39" s="17" t="s">
        <v>347</v>
      </c>
      <c r="C39" s="18" t="s">
        <v>348</v>
      </c>
      <c r="D39" s="235">
        <v>168300000</v>
      </c>
      <c r="E39" s="236">
        <v>145700000</v>
      </c>
    </row>
    <row r="40" spans="1:5" ht="42">
      <c r="A40" s="16" t="s">
        <v>20</v>
      </c>
      <c r="B40" s="17" t="s">
        <v>349</v>
      </c>
      <c r="C40" s="18" t="s">
        <v>350</v>
      </c>
      <c r="D40" s="226">
        <v>1.095775E-2</v>
      </c>
      <c r="E40" s="227">
        <v>1.2657446808510638E-2</v>
      </c>
    </row>
    <row r="41" spans="1:5" ht="21">
      <c r="A41" s="16" t="s">
        <v>44</v>
      </c>
      <c r="B41" s="17" t="s">
        <v>351</v>
      </c>
      <c r="C41" s="18" t="s">
        <v>352</v>
      </c>
      <c r="D41" s="226">
        <v>0.65121055000000005</v>
      </c>
      <c r="E41" s="227">
        <v>0.69456107755662322</v>
      </c>
    </row>
    <row r="42" spans="1:5" ht="21">
      <c r="A42" s="16" t="s">
        <v>47</v>
      </c>
      <c r="B42" s="17" t="s">
        <v>353</v>
      </c>
      <c r="C42" s="18" t="s">
        <v>354</v>
      </c>
      <c r="D42" s="226">
        <v>0.99305849000000002</v>
      </c>
      <c r="E42" s="227">
        <v>0.98853980782429651</v>
      </c>
    </row>
    <row r="43" spans="1:5" ht="21">
      <c r="A43" s="16"/>
      <c r="B43" s="17" t="s">
        <v>355</v>
      </c>
      <c r="C43" s="18" t="s">
        <v>356</v>
      </c>
      <c r="D43" s="228">
        <v>340</v>
      </c>
      <c r="E43" s="229">
        <v>351</v>
      </c>
    </row>
    <row r="44" spans="1:5" ht="21">
      <c r="A44" s="16" t="s">
        <v>50</v>
      </c>
      <c r="B44" s="17" t="s">
        <v>357</v>
      </c>
      <c r="C44" s="18" t="s">
        <v>358</v>
      </c>
      <c r="D44" s="19">
        <v>13338.55</v>
      </c>
      <c r="E44" s="58">
        <v>12724.25</v>
      </c>
    </row>
    <row r="45" spans="1:5" ht="21">
      <c r="A45" s="59" t="s">
        <v>53</v>
      </c>
      <c r="B45" s="60" t="s">
        <v>359</v>
      </c>
      <c r="C45" s="61" t="s">
        <v>360</v>
      </c>
      <c r="D45" s="62">
        <v>13370</v>
      </c>
      <c r="E45" s="63">
        <v>12750</v>
      </c>
    </row>
    <row r="46" spans="1:5" ht="9" customHeight="1">
      <c r="A46" s="273"/>
      <c r="B46" s="273"/>
      <c r="C46" s="273"/>
      <c r="D46" s="273"/>
      <c r="E46" s="273"/>
    </row>
    <row r="47" spans="1:5" ht="15.75" customHeight="1">
      <c r="A47" s="292" t="s">
        <v>361</v>
      </c>
      <c r="B47" s="292"/>
      <c r="C47" s="273"/>
      <c r="D47" s="273"/>
      <c r="E47" s="273"/>
    </row>
    <row r="48" spans="1:5" ht="41.25" customHeight="1">
      <c r="A48" s="286" t="s">
        <v>362</v>
      </c>
      <c r="B48" s="286"/>
      <c r="C48" s="286"/>
      <c r="D48" s="286"/>
      <c r="E48" s="286"/>
    </row>
    <row r="49" spans="1:5" ht="27" customHeight="1">
      <c r="A49" s="286" t="s">
        <v>363</v>
      </c>
      <c r="B49" s="286"/>
      <c r="C49" s="286"/>
      <c r="D49" s="286"/>
      <c r="E49" s="286"/>
    </row>
    <row r="50" spans="1:5" ht="7.5" customHeight="1">
      <c r="A50" s="273"/>
      <c r="B50" s="273"/>
      <c r="C50" s="300"/>
      <c r="D50" s="300"/>
      <c r="E50" s="300"/>
    </row>
    <row r="51" spans="1:5" ht="14.25" customHeight="1">
      <c r="A51" s="274" t="s">
        <v>364</v>
      </c>
      <c r="B51" s="274"/>
      <c r="C51" s="274" t="s">
        <v>292</v>
      </c>
      <c r="D51" s="274"/>
      <c r="E51" s="274"/>
    </row>
    <row r="52" spans="1:5" ht="12" customHeight="1">
      <c r="A52" s="301" t="s">
        <v>293</v>
      </c>
      <c r="B52" s="301"/>
      <c r="C52" s="301" t="s">
        <v>294</v>
      </c>
      <c r="D52" s="301"/>
      <c r="E52" s="301"/>
    </row>
    <row r="53" spans="1:5" ht="12.75" customHeight="1">
      <c r="A53" s="273"/>
      <c r="B53" s="273"/>
      <c r="C53" s="273"/>
      <c r="D53" s="273"/>
      <c r="E53" s="273"/>
    </row>
    <row r="54" spans="1:5" ht="15.75" customHeight="1">
      <c r="A54" s="273"/>
      <c r="B54" s="273"/>
      <c r="C54" s="273"/>
      <c r="D54" s="273"/>
      <c r="E54" s="273"/>
    </row>
    <row r="55" spans="1:5" ht="15.75" customHeight="1">
      <c r="A55" s="273"/>
      <c r="B55" s="273"/>
      <c r="C55" s="273"/>
      <c r="D55" s="273"/>
      <c r="E55" s="273"/>
    </row>
    <row r="56" spans="1:5" ht="15.75" customHeight="1">
      <c r="A56" s="273"/>
      <c r="B56" s="273"/>
      <c r="C56" s="273"/>
      <c r="D56" s="273"/>
      <c r="E56" s="273"/>
    </row>
    <row r="57" spans="1:5" ht="12.75" customHeight="1">
      <c r="A57" s="287" t="s">
        <v>295</v>
      </c>
      <c r="B57" s="287"/>
      <c r="C57" s="287" t="s">
        <v>296</v>
      </c>
      <c r="D57" s="287"/>
      <c r="E57" s="287"/>
    </row>
    <row r="58" spans="1:5" ht="12.75" customHeight="1">
      <c r="A58" s="288" t="s">
        <v>297</v>
      </c>
      <c r="B58" s="288"/>
      <c r="C58" s="288" t="s">
        <v>298</v>
      </c>
      <c r="D58" s="288"/>
      <c r="E58" s="288"/>
    </row>
    <row r="59" spans="1:5" ht="12.75" customHeight="1">
      <c r="A59" s="288" t="s">
        <v>299</v>
      </c>
      <c r="B59" s="288"/>
      <c r="C59" s="288" t="s">
        <v>300</v>
      </c>
      <c r="D59" s="288"/>
      <c r="E59" s="288"/>
    </row>
  </sheetData>
  <mergeCells count="43">
    <mergeCell ref="A57:B57"/>
    <mergeCell ref="C57:E57"/>
    <mergeCell ref="A58:B58"/>
    <mergeCell ref="C58:E58"/>
    <mergeCell ref="A59:B59"/>
    <mergeCell ref="C59:E59"/>
    <mergeCell ref="A54:B54"/>
    <mergeCell ref="C54:E54"/>
    <mergeCell ref="A55:B55"/>
    <mergeCell ref="C55:E55"/>
    <mergeCell ref="A56:B56"/>
    <mergeCell ref="C56:E56"/>
    <mergeCell ref="A51:B51"/>
    <mergeCell ref="C51:E51"/>
    <mergeCell ref="A52:B52"/>
    <mergeCell ref="C52:E52"/>
    <mergeCell ref="A53:B53"/>
    <mergeCell ref="C53:E53"/>
    <mergeCell ref="A47:B47"/>
    <mergeCell ref="C47:E47"/>
    <mergeCell ref="A48:E48"/>
    <mergeCell ref="A49:E49"/>
    <mergeCell ref="A50:B50"/>
    <mergeCell ref="C50:E50"/>
    <mergeCell ref="A46:B46"/>
    <mergeCell ref="C46:E46"/>
    <mergeCell ref="C6:E6"/>
    <mergeCell ref="C7:E7"/>
    <mergeCell ref="C8:E8"/>
    <mergeCell ref="C9:E9"/>
    <mergeCell ref="C10:E10"/>
    <mergeCell ref="C11:E11"/>
    <mergeCell ref="C12:E12"/>
    <mergeCell ref="C13:E13"/>
    <mergeCell ref="A14:E14"/>
    <mergeCell ref="A15:E15"/>
    <mergeCell ref="A16:E16"/>
    <mergeCell ref="C5:E5"/>
    <mergeCell ref="A1:B1"/>
    <mergeCell ref="C1:E1"/>
    <mergeCell ref="A2:E2"/>
    <mergeCell ref="B3:E3"/>
    <mergeCell ref="B4:E4"/>
  </mergeCells>
  <printOptions horizontalCentered="1"/>
  <pageMargins left="0" right="0" top="0.59" bottom="0.59" header="0.5" footer="0.5"/>
  <pageSetup paperSize="9" scale="93"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7"/>
  <sheetViews>
    <sheetView view="pageBreakPreview" topLeftCell="A25" zoomScaleNormal="90" zoomScaleSheetLayoutView="100" workbookViewId="0">
      <selection activeCell="E1" sqref="E1:K1"/>
    </sheetView>
  </sheetViews>
  <sheetFormatPr defaultColWidth="9.28515625" defaultRowHeight="10.5"/>
  <cols>
    <col min="1" max="1" width="5.42578125" style="168" customWidth="1"/>
    <col min="2" max="2" width="47.7109375" style="168" customWidth="1"/>
    <col min="3" max="3" width="15.85546875" style="168" customWidth="1"/>
    <col min="4" max="4" width="9.28515625" style="168"/>
    <col min="5" max="5" width="16.7109375" style="168" customWidth="1"/>
    <col min="6" max="6" width="8.28515625" style="168" customWidth="1"/>
    <col min="7" max="7" width="15.7109375" style="168" customWidth="1"/>
    <col min="8" max="8" width="11.42578125" style="168" bestFit="1" customWidth="1"/>
    <col min="9" max="9" width="22" style="168" customWidth="1"/>
    <col min="10" max="10" width="12.28515625" style="168" customWidth="1"/>
    <col min="11" max="11" width="23.28515625" style="168" customWidth="1"/>
    <col min="12" max="16384" width="9.28515625" style="168"/>
  </cols>
  <sheetData>
    <row r="1" spans="1:11" ht="38.25" customHeight="1">
      <c r="B1" s="169"/>
      <c r="C1" s="169"/>
      <c r="D1" s="169"/>
      <c r="E1" s="302" t="s">
        <v>1041</v>
      </c>
      <c r="F1" s="302"/>
      <c r="G1" s="302"/>
      <c r="H1" s="302"/>
      <c r="I1" s="302"/>
      <c r="J1" s="302"/>
      <c r="K1" s="302"/>
    </row>
    <row r="2" spans="1:11" ht="33.75" customHeight="1">
      <c r="A2" s="303" t="s">
        <v>1042</v>
      </c>
      <c r="B2" s="303"/>
      <c r="C2" s="303"/>
      <c r="D2" s="303"/>
      <c r="E2" s="303"/>
      <c r="F2" s="303"/>
      <c r="G2" s="303"/>
      <c r="H2" s="303"/>
      <c r="I2" s="303"/>
      <c r="J2" s="303"/>
      <c r="K2" s="303"/>
    </row>
    <row r="3" spans="1:11">
      <c r="A3" s="304" t="s">
        <v>1043</v>
      </c>
      <c r="B3" s="304"/>
      <c r="C3" s="304"/>
      <c r="D3" s="304"/>
      <c r="E3" s="304"/>
      <c r="F3" s="304"/>
      <c r="G3" s="304"/>
      <c r="H3" s="304"/>
      <c r="I3" s="304"/>
      <c r="J3" s="304"/>
      <c r="K3" s="304"/>
    </row>
    <row r="4" spans="1:11" ht="18" customHeight="1">
      <c r="A4" s="305" t="str">
        <f>+TONGQUAN!C3</f>
        <v>Tháng 09 năm 2020/ Sep 2020</v>
      </c>
      <c r="B4" s="306"/>
      <c r="C4" s="306"/>
      <c r="D4" s="306"/>
      <c r="E4" s="306"/>
      <c r="F4" s="306"/>
      <c r="G4" s="306"/>
      <c r="H4" s="306"/>
      <c r="I4" s="306"/>
      <c r="J4" s="306"/>
      <c r="K4" s="306"/>
    </row>
    <row r="5" spans="1:11">
      <c r="A5" s="170"/>
      <c r="B5" s="171"/>
      <c r="C5" s="171"/>
      <c r="D5" s="172"/>
      <c r="E5" s="172"/>
      <c r="F5" s="171"/>
      <c r="G5" s="171"/>
      <c r="H5" s="171"/>
      <c r="I5" s="171"/>
      <c r="J5" s="171"/>
      <c r="K5" s="171"/>
    </row>
    <row r="6" spans="1:11">
      <c r="A6" s="173">
        <v>1</v>
      </c>
      <c r="B6" s="174" t="s">
        <v>6</v>
      </c>
      <c r="C6" s="174" t="s">
        <v>1006</v>
      </c>
      <c r="D6" s="172"/>
      <c r="E6" s="172"/>
      <c r="F6" s="171"/>
      <c r="G6" s="171"/>
      <c r="H6" s="171"/>
      <c r="I6" s="171"/>
      <c r="J6" s="171"/>
      <c r="K6" s="171"/>
    </row>
    <row r="7" spans="1:11">
      <c r="A7" s="173"/>
      <c r="B7" s="175" t="s">
        <v>8</v>
      </c>
      <c r="C7" s="175" t="s">
        <v>9</v>
      </c>
      <c r="D7" s="176"/>
      <c r="E7" s="176"/>
      <c r="F7" s="177"/>
      <c r="G7" s="177"/>
      <c r="H7" s="177"/>
      <c r="I7" s="177"/>
      <c r="J7" s="177"/>
      <c r="K7" s="177"/>
    </row>
    <row r="8" spans="1:11" ht="12.75" customHeight="1">
      <c r="A8" s="178">
        <v>2</v>
      </c>
      <c r="B8" s="179" t="s">
        <v>11</v>
      </c>
      <c r="C8" s="180" t="s">
        <v>1007</v>
      </c>
      <c r="D8" s="180"/>
      <c r="E8" s="180"/>
      <c r="F8" s="180"/>
      <c r="G8" s="180"/>
      <c r="H8" s="180"/>
      <c r="I8" s="181"/>
      <c r="J8" s="181"/>
      <c r="K8" s="181"/>
    </row>
    <row r="9" spans="1:11" ht="12.75" customHeight="1">
      <c r="A9" s="178"/>
      <c r="B9" s="182" t="s">
        <v>1008</v>
      </c>
      <c r="C9" s="183" t="s">
        <v>581</v>
      </c>
      <c r="D9" s="184"/>
      <c r="E9" s="184"/>
      <c r="F9" s="184"/>
      <c r="G9" s="184"/>
      <c r="H9" s="184"/>
      <c r="I9" s="185"/>
      <c r="J9" s="185"/>
      <c r="K9" s="185"/>
    </row>
    <row r="10" spans="1:11" ht="12.75" customHeight="1">
      <c r="A10" s="178">
        <v>3</v>
      </c>
      <c r="B10" s="179" t="s">
        <v>16</v>
      </c>
      <c r="C10" s="180" t="s">
        <v>1009</v>
      </c>
      <c r="D10" s="180"/>
      <c r="E10" s="180"/>
      <c r="F10" s="180"/>
      <c r="G10" s="180"/>
      <c r="H10" s="180"/>
      <c r="I10" s="181"/>
      <c r="J10" s="181"/>
      <c r="K10" s="181"/>
    </row>
    <row r="11" spans="1:11" ht="12.75" customHeight="1">
      <c r="A11" s="178"/>
      <c r="B11" s="182" t="s">
        <v>1010</v>
      </c>
      <c r="C11" s="184" t="s">
        <v>1044</v>
      </c>
      <c r="D11" s="184"/>
      <c r="E11" s="184"/>
      <c r="F11" s="184"/>
      <c r="G11" s="184"/>
      <c r="H11" s="184"/>
      <c r="I11" s="181"/>
      <c r="J11" s="181"/>
      <c r="K11" s="181"/>
    </row>
    <row r="12" spans="1:11" ht="13.5" customHeight="1">
      <c r="A12" s="178">
        <v>4</v>
      </c>
      <c r="B12" s="179" t="s">
        <v>21</v>
      </c>
      <c r="C12" s="186">
        <v>44109</v>
      </c>
      <c r="D12" s="180"/>
      <c r="E12" s="180"/>
      <c r="F12" s="180"/>
      <c r="G12" s="180"/>
      <c r="H12" s="180"/>
      <c r="I12" s="187"/>
      <c r="J12" s="187"/>
      <c r="K12" s="187"/>
    </row>
    <row r="13" spans="1:11" ht="13.5" customHeight="1">
      <c r="A13" s="184"/>
      <c r="B13" s="182" t="s">
        <v>22</v>
      </c>
      <c r="C13" s="307">
        <v>44109</v>
      </c>
      <c r="D13" s="307"/>
      <c r="E13" s="307"/>
      <c r="F13" s="307"/>
      <c r="G13" s="308"/>
      <c r="H13" s="308"/>
      <c r="I13" s="188"/>
      <c r="J13" s="188"/>
      <c r="K13" s="188"/>
    </row>
    <row r="14" spans="1:11">
      <c r="A14" s="189" t="s">
        <v>942</v>
      </c>
      <c r="B14" s="189" t="s">
        <v>1045</v>
      </c>
      <c r="C14" s="190"/>
      <c r="D14" s="191"/>
      <c r="E14" s="191"/>
      <c r="F14" s="191"/>
      <c r="G14" s="192"/>
      <c r="H14" s="192"/>
      <c r="I14" s="188"/>
      <c r="J14" s="188"/>
      <c r="K14" s="188"/>
    </row>
    <row r="15" spans="1:11">
      <c r="A15" s="174" t="s">
        <v>87</v>
      </c>
      <c r="B15" s="174" t="s">
        <v>1046</v>
      </c>
      <c r="C15" s="193"/>
      <c r="D15" s="194"/>
      <c r="E15" s="194"/>
      <c r="F15" s="195"/>
      <c r="G15" s="195"/>
      <c r="H15" s="195"/>
      <c r="I15" s="195"/>
      <c r="J15" s="195"/>
      <c r="K15" s="195"/>
    </row>
    <row r="16" spans="1:11" ht="33" customHeight="1">
      <c r="A16" s="324" t="s">
        <v>26</v>
      </c>
      <c r="B16" s="309" t="s">
        <v>1047</v>
      </c>
      <c r="C16" s="325" t="s">
        <v>28</v>
      </c>
      <c r="D16" s="309" t="s">
        <v>1048</v>
      </c>
      <c r="E16" s="309" t="s">
        <v>1049</v>
      </c>
      <c r="F16" s="309" t="s">
        <v>1050</v>
      </c>
      <c r="G16" s="309" t="s">
        <v>1051</v>
      </c>
      <c r="H16" s="311" t="s">
        <v>1052</v>
      </c>
      <c r="I16" s="312"/>
      <c r="J16" s="311" t="s">
        <v>1053</v>
      </c>
      <c r="K16" s="312"/>
    </row>
    <row r="17" spans="1:11" ht="42">
      <c r="A17" s="324"/>
      <c r="B17" s="310"/>
      <c r="C17" s="326"/>
      <c r="D17" s="310"/>
      <c r="E17" s="310"/>
      <c r="F17" s="310"/>
      <c r="G17" s="310"/>
      <c r="H17" s="196" t="s">
        <v>1054</v>
      </c>
      <c r="I17" s="196" t="s">
        <v>1055</v>
      </c>
      <c r="J17" s="196" t="s">
        <v>1056</v>
      </c>
      <c r="K17" s="196" t="s">
        <v>1057</v>
      </c>
    </row>
    <row r="18" spans="1:11" ht="21">
      <c r="A18" s="197">
        <v>1</v>
      </c>
      <c r="B18" s="198" t="s">
        <v>1058</v>
      </c>
      <c r="C18" s="199" t="s">
        <v>1059</v>
      </c>
      <c r="D18" s="313"/>
      <c r="E18" s="314"/>
      <c r="F18" s="314"/>
      <c r="G18" s="314"/>
      <c r="H18" s="314"/>
      <c r="I18" s="314"/>
      <c r="J18" s="314"/>
      <c r="K18" s="315"/>
    </row>
    <row r="19" spans="1:11" ht="21">
      <c r="A19" s="197" t="s">
        <v>33</v>
      </c>
      <c r="B19" s="198" t="s">
        <v>1060</v>
      </c>
      <c r="C19" s="199" t="s">
        <v>1061</v>
      </c>
      <c r="D19" s="316"/>
      <c r="E19" s="317"/>
      <c r="F19" s="317"/>
      <c r="G19" s="317"/>
      <c r="H19" s="317"/>
      <c r="I19" s="317"/>
      <c r="J19" s="317"/>
      <c r="K19" s="318"/>
    </row>
    <row r="20" spans="1:11" ht="21">
      <c r="A20" s="197">
        <v>2</v>
      </c>
      <c r="B20" s="198" t="s">
        <v>1062</v>
      </c>
      <c r="C20" s="199" t="s">
        <v>1063</v>
      </c>
      <c r="D20" s="316"/>
      <c r="E20" s="317"/>
      <c r="F20" s="317"/>
      <c r="G20" s="317"/>
      <c r="H20" s="317"/>
      <c r="I20" s="317"/>
      <c r="J20" s="317"/>
      <c r="K20" s="318"/>
    </row>
    <row r="21" spans="1:11" ht="21">
      <c r="A21" s="197" t="s">
        <v>76</v>
      </c>
      <c r="B21" s="198" t="s">
        <v>1064</v>
      </c>
      <c r="C21" s="199" t="s">
        <v>1065</v>
      </c>
      <c r="D21" s="316"/>
      <c r="E21" s="317"/>
      <c r="F21" s="317"/>
      <c r="G21" s="317"/>
      <c r="H21" s="317"/>
      <c r="I21" s="317"/>
      <c r="J21" s="317"/>
      <c r="K21" s="318"/>
    </row>
    <row r="22" spans="1:11" ht="21">
      <c r="A22" s="197" t="s">
        <v>942</v>
      </c>
      <c r="B22" s="200" t="s">
        <v>1066</v>
      </c>
      <c r="C22" s="199" t="s">
        <v>1067</v>
      </c>
      <c r="D22" s="316"/>
      <c r="E22" s="317"/>
      <c r="F22" s="317"/>
      <c r="G22" s="317"/>
      <c r="H22" s="317"/>
      <c r="I22" s="317"/>
      <c r="J22" s="317"/>
      <c r="K22" s="318"/>
    </row>
    <row r="23" spans="1:11" ht="21">
      <c r="A23" s="201" t="s">
        <v>15</v>
      </c>
      <c r="B23" s="200" t="s">
        <v>1068</v>
      </c>
      <c r="C23" s="199" t="s">
        <v>1069</v>
      </c>
      <c r="D23" s="316"/>
      <c r="E23" s="317"/>
      <c r="F23" s="317"/>
      <c r="G23" s="317"/>
      <c r="H23" s="317"/>
      <c r="I23" s="317"/>
      <c r="J23" s="317"/>
      <c r="K23" s="318"/>
    </row>
    <row r="24" spans="1:11" ht="21">
      <c r="A24" s="201" t="s">
        <v>83</v>
      </c>
      <c r="B24" s="198" t="s">
        <v>1070</v>
      </c>
      <c r="C24" s="199" t="s">
        <v>1071</v>
      </c>
      <c r="D24" s="316"/>
      <c r="E24" s="317"/>
      <c r="F24" s="317"/>
      <c r="G24" s="317"/>
      <c r="H24" s="317"/>
      <c r="I24" s="317"/>
      <c r="J24" s="317"/>
      <c r="K24" s="318"/>
    </row>
    <row r="25" spans="1:11" ht="21">
      <c r="A25" s="201" t="s">
        <v>20</v>
      </c>
      <c r="B25" s="198" t="s">
        <v>1072</v>
      </c>
      <c r="C25" s="199" t="s">
        <v>1073</v>
      </c>
      <c r="D25" s="316"/>
      <c r="E25" s="317"/>
      <c r="F25" s="317"/>
      <c r="G25" s="317"/>
      <c r="H25" s="317"/>
      <c r="I25" s="317"/>
      <c r="J25" s="317"/>
      <c r="K25" s="318"/>
    </row>
    <row r="26" spans="1:11" ht="21">
      <c r="A26" s="201" t="s">
        <v>87</v>
      </c>
      <c r="B26" s="198" t="s">
        <v>1070</v>
      </c>
      <c r="C26" s="199" t="s">
        <v>1074</v>
      </c>
      <c r="D26" s="316"/>
      <c r="E26" s="317"/>
      <c r="F26" s="317"/>
      <c r="G26" s="317"/>
      <c r="H26" s="317"/>
      <c r="I26" s="317"/>
      <c r="J26" s="317"/>
      <c r="K26" s="318"/>
    </row>
    <row r="27" spans="1:11" ht="21">
      <c r="A27" s="197" t="s">
        <v>977</v>
      </c>
      <c r="B27" s="200" t="s">
        <v>1075</v>
      </c>
      <c r="C27" s="199" t="s">
        <v>1076</v>
      </c>
      <c r="D27" s="319"/>
      <c r="E27" s="320"/>
      <c r="F27" s="320"/>
      <c r="G27" s="320"/>
      <c r="H27" s="320"/>
      <c r="I27" s="320"/>
      <c r="J27" s="320"/>
      <c r="K27" s="321"/>
    </row>
    <row r="28" spans="1:11" ht="12.75" customHeight="1">
      <c r="A28" s="195"/>
      <c r="B28" s="202"/>
      <c r="C28" s="202"/>
      <c r="D28" s="195"/>
      <c r="E28" s="195"/>
      <c r="F28" s="195"/>
      <c r="G28" s="195"/>
      <c r="H28" s="195"/>
      <c r="I28" s="195"/>
      <c r="J28" s="195"/>
      <c r="K28" s="195"/>
    </row>
    <row r="29" spans="1:11">
      <c r="A29" s="322" t="s">
        <v>291</v>
      </c>
      <c r="B29" s="322"/>
      <c r="C29" s="322"/>
      <c r="E29" s="203"/>
      <c r="F29" s="204"/>
      <c r="G29" s="204"/>
      <c r="H29" s="323" t="s">
        <v>292</v>
      </c>
      <c r="I29" s="323"/>
      <c r="J29" s="323"/>
      <c r="K29" s="323"/>
    </row>
    <row r="30" spans="1:11">
      <c r="A30" s="327" t="s">
        <v>293</v>
      </c>
      <c r="B30" s="327"/>
      <c r="C30" s="327"/>
      <c r="E30" s="205"/>
      <c r="F30" s="206"/>
      <c r="G30" s="206"/>
      <c r="H30" s="329" t="s">
        <v>294</v>
      </c>
      <c r="I30" s="329"/>
      <c r="J30" s="329"/>
      <c r="K30" s="329"/>
    </row>
    <row r="31" spans="1:11" ht="37.5" customHeight="1">
      <c r="A31" s="206"/>
      <c r="B31" s="207"/>
      <c r="C31" s="208"/>
      <c r="E31" s="205"/>
      <c r="F31" s="206"/>
      <c r="G31" s="206"/>
      <c r="H31" s="209"/>
      <c r="J31" s="210"/>
      <c r="K31" s="211"/>
    </row>
    <row r="32" spans="1:11" ht="26.25" customHeight="1">
      <c r="A32" s="207"/>
      <c r="B32" s="207"/>
      <c r="C32" s="330"/>
      <c r="D32" s="330"/>
      <c r="E32" s="330"/>
      <c r="F32" s="210"/>
      <c r="G32" s="210"/>
      <c r="H32" s="210"/>
      <c r="J32" s="210"/>
      <c r="K32" s="210"/>
    </row>
    <row r="33" spans="1:11" ht="23.25" customHeight="1">
      <c r="A33" s="207"/>
      <c r="B33" s="207"/>
      <c r="C33" s="212"/>
      <c r="D33" s="213"/>
      <c r="E33" s="214"/>
      <c r="F33" s="215"/>
      <c r="G33" s="210"/>
      <c r="H33" s="210"/>
      <c r="J33" s="210"/>
      <c r="K33" s="210"/>
    </row>
    <row r="34" spans="1:11">
      <c r="A34" s="216"/>
      <c r="B34" s="216"/>
      <c r="C34" s="217"/>
      <c r="D34" s="218"/>
      <c r="E34" s="219"/>
      <c r="F34" s="215"/>
      <c r="G34" s="220"/>
      <c r="H34" s="216"/>
      <c r="I34" s="216"/>
      <c r="J34" s="217"/>
      <c r="K34" s="210"/>
    </row>
    <row r="35" spans="1:11" s="221" customFormat="1">
      <c r="A35" s="327" t="s">
        <v>1077</v>
      </c>
      <c r="B35" s="327"/>
      <c r="C35" s="327"/>
      <c r="E35" s="206"/>
      <c r="F35" s="206"/>
      <c r="G35" s="222"/>
      <c r="H35" s="331" t="s">
        <v>1006</v>
      </c>
      <c r="I35" s="331"/>
      <c r="J35" s="331"/>
      <c r="K35" s="331"/>
    </row>
    <row r="36" spans="1:11" s="221" customFormat="1">
      <c r="A36" s="327" t="s">
        <v>297</v>
      </c>
      <c r="B36" s="327"/>
      <c r="C36" s="327"/>
      <c r="E36" s="223"/>
      <c r="F36" s="224"/>
      <c r="G36" s="222"/>
      <c r="H36" s="328" t="s">
        <v>575</v>
      </c>
      <c r="I36" s="328"/>
      <c r="J36" s="328"/>
      <c r="K36" s="328"/>
    </row>
    <row r="37" spans="1:11" s="221" customFormat="1">
      <c r="A37" s="327" t="s">
        <v>1014</v>
      </c>
      <c r="B37" s="327"/>
      <c r="C37" s="327"/>
      <c r="H37" s="328" t="s">
        <v>1015</v>
      </c>
      <c r="I37" s="328"/>
      <c r="J37" s="328"/>
      <c r="K37" s="328"/>
    </row>
  </sheetData>
  <mergeCells count="27">
    <mergeCell ref="A37:C37"/>
    <mergeCell ref="H37:K37"/>
    <mergeCell ref="A30:C30"/>
    <mergeCell ref="H30:K30"/>
    <mergeCell ref="C32:E32"/>
    <mergeCell ref="A35:C35"/>
    <mergeCell ref="H35:K35"/>
    <mergeCell ref="A36:C36"/>
    <mergeCell ref="H36:K36"/>
    <mergeCell ref="G16:G17"/>
    <mergeCell ref="H16:I16"/>
    <mergeCell ref="J16:K16"/>
    <mergeCell ref="D18:K27"/>
    <mergeCell ref="A29:C29"/>
    <mergeCell ref="H29:K29"/>
    <mergeCell ref="A16:A17"/>
    <mergeCell ref="B16:B17"/>
    <mergeCell ref="C16:C17"/>
    <mergeCell ref="D16:D17"/>
    <mergeCell ref="E16:E17"/>
    <mergeCell ref="F16:F17"/>
    <mergeCell ref="E1:K1"/>
    <mergeCell ref="A2:K2"/>
    <mergeCell ref="A3:K3"/>
    <mergeCell ref="A4:K4"/>
    <mergeCell ref="C13:F13"/>
    <mergeCell ref="G13:H13"/>
  </mergeCells>
  <pageMargins left="0.42" right="0.34" top="0.41" bottom="0.39" header="0.3" footer="0.3"/>
  <pageSetup paperSize="9" scale="74"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91"/>
  <sheetViews>
    <sheetView showGridLines="0" showZeros="0" showOutlineSymbols="0" view="pageBreakPreview" topLeftCell="A82" zoomScaleNormal="100" zoomScaleSheetLayoutView="100" workbookViewId="0">
      <selection activeCell="B92" sqref="B92"/>
    </sheetView>
  </sheetViews>
  <sheetFormatPr defaultRowHeight="15"/>
  <cols>
    <col min="1" max="1" width="35.7109375" style="1" customWidth="1"/>
    <col min="2" max="3" width="8.5703125" style="1" customWidth="1"/>
    <col min="4" max="7" width="16.42578125" style="1" customWidth="1"/>
    <col min="8" max="256" width="9.140625" style="1"/>
    <col min="257" max="257" width="35.7109375" style="1" customWidth="1"/>
    <col min="258" max="259" width="8.5703125" style="1" customWidth="1"/>
    <col min="260" max="263" width="16.42578125" style="1" customWidth="1"/>
    <col min="264" max="512" width="9.140625" style="1"/>
    <col min="513" max="513" width="35.7109375" style="1" customWidth="1"/>
    <col min="514" max="515" width="8.5703125" style="1" customWidth="1"/>
    <col min="516" max="519" width="16.42578125" style="1" customWidth="1"/>
    <col min="520" max="768" width="9.140625" style="1"/>
    <col min="769" max="769" width="35.7109375" style="1" customWidth="1"/>
    <col min="770" max="771" width="8.5703125" style="1" customWidth="1"/>
    <col min="772" max="775" width="16.42578125" style="1" customWidth="1"/>
    <col min="776" max="1024" width="9.140625" style="1"/>
    <col min="1025" max="1025" width="35.7109375" style="1" customWidth="1"/>
    <col min="1026" max="1027" width="8.5703125" style="1" customWidth="1"/>
    <col min="1028" max="1031" width="16.42578125" style="1" customWidth="1"/>
    <col min="1032" max="1280" width="9.140625" style="1"/>
    <col min="1281" max="1281" width="35.7109375" style="1" customWidth="1"/>
    <col min="1282" max="1283" width="8.5703125" style="1" customWidth="1"/>
    <col min="1284" max="1287" width="16.42578125" style="1" customWidth="1"/>
    <col min="1288" max="1536" width="9.140625" style="1"/>
    <col min="1537" max="1537" width="35.7109375" style="1" customWidth="1"/>
    <col min="1538" max="1539" width="8.5703125" style="1" customWidth="1"/>
    <col min="1540" max="1543" width="16.42578125" style="1" customWidth="1"/>
    <col min="1544" max="1792" width="9.140625" style="1"/>
    <col min="1793" max="1793" width="35.7109375" style="1" customWidth="1"/>
    <col min="1794" max="1795" width="8.5703125" style="1" customWidth="1"/>
    <col min="1796" max="1799" width="16.42578125" style="1" customWidth="1"/>
    <col min="1800" max="2048" width="9.140625" style="1"/>
    <col min="2049" max="2049" width="35.7109375" style="1" customWidth="1"/>
    <col min="2050" max="2051" width="8.5703125" style="1" customWidth="1"/>
    <col min="2052" max="2055" width="16.42578125" style="1" customWidth="1"/>
    <col min="2056" max="2304" width="9.140625" style="1"/>
    <col min="2305" max="2305" width="35.7109375" style="1" customWidth="1"/>
    <col min="2306" max="2307" width="8.5703125" style="1" customWidth="1"/>
    <col min="2308" max="2311" width="16.42578125" style="1" customWidth="1"/>
    <col min="2312" max="2560" width="9.140625" style="1"/>
    <col min="2561" max="2561" width="35.7109375" style="1" customWidth="1"/>
    <col min="2562" max="2563" width="8.5703125" style="1" customWidth="1"/>
    <col min="2564" max="2567" width="16.42578125" style="1" customWidth="1"/>
    <col min="2568" max="2816" width="9.140625" style="1"/>
    <col min="2817" max="2817" width="35.7109375" style="1" customWidth="1"/>
    <col min="2818" max="2819" width="8.5703125" style="1" customWidth="1"/>
    <col min="2820" max="2823" width="16.42578125" style="1" customWidth="1"/>
    <col min="2824" max="3072" width="9.140625" style="1"/>
    <col min="3073" max="3073" width="35.7109375" style="1" customWidth="1"/>
    <col min="3074" max="3075" width="8.5703125" style="1" customWidth="1"/>
    <col min="3076" max="3079" width="16.42578125" style="1" customWidth="1"/>
    <col min="3080" max="3328" width="9.140625" style="1"/>
    <col min="3329" max="3329" width="35.7109375" style="1" customWidth="1"/>
    <col min="3330" max="3331" width="8.5703125" style="1" customWidth="1"/>
    <col min="3332" max="3335" width="16.42578125" style="1" customWidth="1"/>
    <col min="3336" max="3584" width="9.140625" style="1"/>
    <col min="3585" max="3585" width="35.7109375" style="1" customWidth="1"/>
    <col min="3586" max="3587" width="8.5703125" style="1" customWidth="1"/>
    <col min="3588" max="3591" width="16.42578125" style="1" customWidth="1"/>
    <col min="3592" max="3840" width="9.140625" style="1"/>
    <col min="3841" max="3841" width="35.7109375" style="1" customWidth="1"/>
    <col min="3842" max="3843" width="8.5703125" style="1" customWidth="1"/>
    <col min="3844" max="3847" width="16.42578125" style="1" customWidth="1"/>
    <col min="3848" max="4096" width="9.140625" style="1"/>
    <col min="4097" max="4097" width="35.7109375" style="1" customWidth="1"/>
    <col min="4098" max="4099" width="8.5703125" style="1" customWidth="1"/>
    <col min="4100" max="4103" width="16.42578125" style="1" customWidth="1"/>
    <col min="4104" max="4352" width="9.140625" style="1"/>
    <col min="4353" max="4353" width="35.7109375" style="1" customWidth="1"/>
    <col min="4354" max="4355" width="8.5703125" style="1" customWidth="1"/>
    <col min="4356" max="4359" width="16.42578125" style="1" customWidth="1"/>
    <col min="4360" max="4608" width="9.140625" style="1"/>
    <col min="4609" max="4609" width="35.7109375" style="1" customWidth="1"/>
    <col min="4610" max="4611" width="8.5703125" style="1" customWidth="1"/>
    <col min="4612" max="4615" width="16.42578125" style="1" customWidth="1"/>
    <col min="4616" max="4864" width="9.140625" style="1"/>
    <col min="4865" max="4865" width="35.7109375" style="1" customWidth="1"/>
    <col min="4866" max="4867" width="8.5703125" style="1" customWidth="1"/>
    <col min="4868" max="4871" width="16.42578125" style="1" customWidth="1"/>
    <col min="4872" max="5120" width="9.140625" style="1"/>
    <col min="5121" max="5121" width="35.7109375" style="1" customWidth="1"/>
    <col min="5122" max="5123" width="8.5703125" style="1" customWidth="1"/>
    <col min="5124" max="5127" width="16.42578125" style="1" customWidth="1"/>
    <col min="5128" max="5376" width="9.140625" style="1"/>
    <col min="5377" max="5377" width="35.7109375" style="1" customWidth="1"/>
    <col min="5378" max="5379" width="8.5703125" style="1" customWidth="1"/>
    <col min="5380" max="5383" width="16.42578125" style="1" customWidth="1"/>
    <col min="5384" max="5632" width="9.140625" style="1"/>
    <col min="5633" max="5633" width="35.7109375" style="1" customWidth="1"/>
    <col min="5634" max="5635" width="8.5703125" style="1" customWidth="1"/>
    <col min="5636" max="5639" width="16.42578125" style="1" customWidth="1"/>
    <col min="5640" max="5888" width="9.140625" style="1"/>
    <col min="5889" max="5889" width="35.7109375" style="1" customWidth="1"/>
    <col min="5890" max="5891" width="8.5703125" style="1" customWidth="1"/>
    <col min="5892" max="5895" width="16.42578125" style="1" customWidth="1"/>
    <col min="5896" max="6144" width="9.140625" style="1"/>
    <col min="6145" max="6145" width="35.7109375" style="1" customWidth="1"/>
    <col min="6146" max="6147" width="8.5703125" style="1" customWidth="1"/>
    <col min="6148" max="6151" width="16.42578125" style="1" customWidth="1"/>
    <col min="6152" max="6400" width="9.140625" style="1"/>
    <col min="6401" max="6401" width="35.7109375" style="1" customWidth="1"/>
    <col min="6402" max="6403" width="8.5703125" style="1" customWidth="1"/>
    <col min="6404" max="6407" width="16.42578125" style="1" customWidth="1"/>
    <col min="6408" max="6656" width="9.140625" style="1"/>
    <col min="6657" max="6657" width="35.7109375" style="1" customWidth="1"/>
    <col min="6658" max="6659" width="8.5703125" style="1" customWidth="1"/>
    <col min="6660" max="6663" width="16.42578125" style="1" customWidth="1"/>
    <col min="6664" max="6912" width="9.140625" style="1"/>
    <col min="6913" max="6913" width="35.7109375" style="1" customWidth="1"/>
    <col min="6914" max="6915" width="8.5703125" style="1" customWidth="1"/>
    <col min="6916" max="6919" width="16.42578125" style="1" customWidth="1"/>
    <col min="6920" max="7168" width="9.140625" style="1"/>
    <col min="7169" max="7169" width="35.7109375" style="1" customWidth="1"/>
    <col min="7170" max="7171" width="8.5703125" style="1" customWidth="1"/>
    <col min="7172" max="7175" width="16.42578125" style="1" customWidth="1"/>
    <col min="7176" max="7424" width="9.140625" style="1"/>
    <col min="7425" max="7425" width="35.7109375" style="1" customWidth="1"/>
    <col min="7426" max="7427" width="8.5703125" style="1" customWidth="1"/>
    <col min="7428" max="7431" width="16.42578125" style="1" customWidth="1"/>
    <col min="7432" max="7680" width="9.140625" style="1"/>
    <col min="7681" max="7681" width="35.7109375" style="1" customWidth="1"/>
    <col min="7682" max="7683" width="8.5703125" style="1" customWidth="1"/>
    <col min="7684" max="7687" width="16.42578125" style="1" customWidth="1"/>
    <col min="7688" max="7936" width="9.140625" style="1"/>
    <col min="7937" max="7937" width="35.7109375" style="1" customWidth="1"/>
    <col min="7938" max="7939" width="8.5703125" style="1" customWidth="1"/>
    <col min="7940" max="7943" width="16.42578125" style="1" customWidth="1"/>
    <col min="7944" max="8192" width="9.140625" style="1"/>
    <col min="8193" max="8193" width="35.7109375" style="1" customWidth="1"/>
    <col min="8194" max="8195" width="8.5703125" style="1" customWidth="1"/>
    <col min="8196" max="8199" width="16.42578125" style="1" customWidth="1"/>
    <col min="8200" max="8448" width="9.140625" style="1"/>
    <col min="8449" max="8449" width="35.7109375" style="1" customWidth="1"/>
    <col min="8450" max="8451" width="8.5703125" style="1" customWidth="1"/>
    <col min="8452" max="8455" width="16.42578125" style="1" customWidth="1"/>
    <col min="8456" max="8704" width="9.140625" style="1"/>
    <col min="8705" max="8705" width="35.7109375" style="1" customWidth="1"/>
    <col min="8706" max="8707" width="8.5703125" style="1" customWidth="1"/>
    <col min="8708" max="8711" width="16.42578125" style="1" customWidth="1"/>
    <col min="8712" max="8960" width="9.140625" style="1"/>
    <col min="8961" max="8961" width="35.7109375" style="1" customWidth="1"/>
    <col min="8962" max="8963" width="8.5703125" style="1" customWidth="1"/>
    <col min="8964" max="8967" width="16.42578125" style="1" customWidth="1"/>
    <col min="8968" max="9216" width="9.140625" style="1"/>
    <col min="9217" max="9217" width="35.7109375" style="1" customWidth="1"/>
    <col min="9218" max="9219" width="8.5703125" style="1" customWidth="1"/>
    <col min="9220" max="9223" width="16.42578125" style="1" customWidth="1"/>
    <col min="9224" max="9472" width="9.140625" style="1"/>
    <col min="9473" max="9473" width="35.7109375" style="1" customWidth="1"/>
    <col min="9474" max="9475" width="8.5703125" style="1" customWidth="1"/>
    <col min="9476" max="9479" width="16.42578125" style="1" customWidth="1"/>
    <col min="9480" max="9728" width="9.140625" style="1"/>
    <col min="9729" max="9729" width="35.7109375" style="1" customWidth="1"/>
    <col min="9730" max="9731" width="8.5703125" style="1" customWidth="1"/>
    <col min="9732" max="9735" width="16.42578125" style="1" customWidth="1"/>
    <col min="9736" max="9984" width="9.140625" style="1"/>
    <col min="9985" max="9985" width="35.7109375" style="1" customWidth="1"/>
    <col min="9986" max="9987" width="8.5703125" style="1" customWidth="1"/>
    <col min="9988" max="9991" width="16.42578125" style="1" customWidth="1"/>
    <col min="9992" max="10240" width="9.140625" style="1"/>
    <col min="10241" max="10241" width="35.7109375" style="1" customWidth="1"/>
    <col min="10242" max="10243" width="8.5703125" style="1" customWidth="1"/>
    <col min="10244" max="10247" width="16.42578125" style="1" customWidth="1"/>
    <col min="10248" max="10496" width="9.140625" style="1"/>
    <col min="10497" max="10497" width="35.7109375" style="1" customWidth="1"/>
    <col min="10498" max="10499" width="8.5703125" style="1" customWidth="1"/>
    <col min="10500" max="10503" width="16.42578125" style="1" customWidth="1"/>
    <col min="10504" max="10752" width="9.140625" style="1"/>
    <col min="10753" max="10753" width="35.7109375" style="1" customWidth="1"/>
    <col min="10754" max="10755" width="8.5703125" style="1" customWidth="1"/>
    <col min="10756" max="10759" width="16.42578125" style="1" customWidth="1"/>
    <col min="10760" max="11008" width="9.140625" style="1"/>
    <col min="11009" max="11009" width="35.7109375" style="1" customWidth="1"/>
    <col min="11010" max="11011" width="8.5703125" style="1" customWidth="1"/>
    <col min="11012" max="11015" width="16.42578125" style="1" customWidth="1"/>
    <col min="11016" max="11264" width="9.140625" style="1"/>
    <col min="11265" max="11265" width="35.7109375" style="1" customWidth="1"/>
    <col min="11266" max="11267" width="8.5703125" style="1" customWidth="1"/>
    <col min="11268" max="11271" width="16.42578125" style="1" customWidth="1"/>
    <col min="11272" max="11520" width="9.140625" style="1"/>
    <col min="11521" max="11521" width="35.7109375" style="1" customWidth="1"/>
    <col min="11522" max="11523" width="8.5703125" style="1" customWidth="1"/>
    <col min="11524" max="11527" width="16.42578125" style="1" customWidth="1"/>
    <col min="11528" max="11776" width="9.140625" style="1"/>
    <col min="11777" max="11777" width="35.7109375" style="1" customWidth="1"/>
    <col min="11778" max="11779" width="8.5703125" style="1" customWidth="1"/>
    <col min="11780" max="11783" width="16.42578125" style="1" customWidth="1"/>
    <col min="11784" max="12032" width="9.140625" style="1"/>
    <col min="12033" max="12033" width="35.7109375" style="1" customWidth="1"/>
    <col min="12034" max="12035" width="8.5703125" style="1" customWidth="1"/>
    <col min="12036" max="12039" width="16.42578125" style="1" customWidth="1"/>
    <col min="12040" max="12288" width="9.140625" style="1"/>
    <col min="12289" max="12289" width="35.7109375" style="1" customWidth="1"/>
    <col min="12290" max="12291" width="8.5703125" style="1" customWidth="1"/>
    <col min="12292" max="12295" width="16.42578125" style="1" customWidth="1"/>
    <col min="12296" max="12544" width="9.140625" style="1"/>
    <col min="12545" max="12545" width="35.7109375" style="1" customWidth="1"/>
    <col min="12546" max="12547" width="8.5703125" style="1" customWidth="1"/>
    <col min="12548" max="12551" width="16.42578125" style="1" customWidth="1"/>
    <col min="12552" max="12800" width="9.140625" style="1"/>
    <col min="12801" max="12801" width="35.7109375" style="1" customWidth="1"/>
    <col min="12802" max="12803" width="8.5703125" style="1" customWidth="1"/>
    <col min="12804" max="12807" width="16.42578125" style="1" customWidth="1"/>
    <col min="12808" max="13056" width="9.140625" style="1"/>
    <col min="13057" max="13057" width="35.7109375" style="1" customWidth="1"/>
    <col min="13058" max="13059" width="8.5703125" style="1" customWidth="1"/>
    <col min="13060" max="13063" width="16.42578125" style="1" customWidth="1"/>
    <col min="13064" max="13312" width="9.140625" style="1"/>
    <col min="13313" max="13313" width="35.7109375" style="1" customWidth="1"/>
    <col min="13314" max="13315" width="8.5703125" style="1" customWidth="1"/>
    <col min="13316" max="13319" width="16.42578125" style="1" customWidth="1"/>
    <col min="13320" max="13568" width="9.140625" style="1"/>
    <col min="13569" max="13569" width="35.7109375" style="1" customWidth="1"/>
    <col min="13570" max="13571" width="8.5703125" style="1" customWidth="1"/>
    <col min="13572" max="13575" width="16.42578125" style="1" customWidth="1"/>
    <col min="13576" max="13824" width="9.140625" style="1"/>
    <col min="13825" max="13825" width="35.7109375" style="1" customWidth="1"/>
    <col min="13826" max="13827" width="8.5703125" style="1" customWidth="1"/>
    <col min="13828" max="13831" width="16.42578125" style="1" customWidth="1"/>
    <col min="13832" max="14080" width="9.140625" style="1"/>
    <col min="14081" max="14081" width="35.7109375" style="1" customWidth="1"/>
    <col min="14082" max="14083" width="8.5703125" style="1" customWidth="1"/>
    <col min="14084" max="14087" width="16.42578125" style="1" customWidth="1"/>
    <col min="14088" max="14336" width="9.140625" style="1"/>
    <col min="14337" max="14337" width="35.7109375" style="1" customWidth="1"/>
    <col min="14338" max="14339" width="8.5703125" style="1" customWidth="1"/>
    <col min="14340" max="14343" width="16.42578125" style="1" customWidth="1"/>
    <col min="14344" max="14592" width="9.140625" style="1"/>
    <col min="14593" max="14593" width="35.7109375" style="1" customWidth="1"/>
    <col min="14594" max="14595" width="8.5703125" style="1" customWidth="1"/>
    <col min="14596" max="14599" width="16.42578125" style="1" customWidth="1"/>
    <col min="14600" max="14848" width="9.140625" style="1"/>
    <col min="14849" max="14849" width="35.7109375" style="1" customWidth="1"/>
    <col min="14850" max="14851" width="8.5703125" style="1" customWidth="1"/>
    <col min="14852" max="14855" width="16.42578125" style="1" customWidth="1"/>
    <col min="14856" max="15104" width="9.140625" style="1"/>
    <col min="15105" max="15105" width="35.7109375" style="1" customWidth="1"/>
    <col min="15106" max="15107" width="8.5703125" style="1" customWidth="1"/>
    <col min="15108" max="15111" width="16.42578125" style="1" customWidth="1"/>
    <col min="15112" max="15360" width="9.140625" style="1"/>
    <col min="15361" max="15361" width="35.7109375" style="1" customWidth="1"/>
    <col min="15362" max="15363" width="8.5703125" style="1" customWidth="1"/>
    <col min="15364" max="15367" width="16.42578125" style="1" customWidth="1"/>
    <col min="15368" max="15616" width="9.140625" style="1"/>
    <col min="15617" max="15617" width="35.7109375" style="1" customWidth="1"/>
    <col min="15618" max="15619" width="8.5703125" style="1" customWidth="1"/>
    <col min="15620" max="15623" width="16.42578125" style="1" customWidth="1"/>
    <col min="15624" max="15872" width="9.140625" style="1"/>
    <col min="15873" max="15873" width="35.7109375" style="1" customWidth="1"/>
    <col min="15874" max="15875" width="8.5703125" style="1" customWidth="1"/>
    <col min="15876" max="15879" width="16.42578125" style="1" customWidth="1"/>
    <col min="15880" max="16128" width="9.140625" style="1"/>
    <col min="16129" max="16129" width="35.7109375" style="1" customWidth="1"/>
    <col min="16130" max="16131" width="8.5703125" style="1" customWidth="1"/>
    <col min="16132" max="16135" width="16.42578125" style="1" customWidth="1"/>
    <col min="16136" max="16384" width="9.140625" style="1"/>
  </cols>
  <sheetData>
    <row r="1" spans="1:7" ht="22.5" customHeight="1">
      <c r="A1" s="2"/>
      <c r="B1" s="273"/>
      <c r="C1" s="273"/>
      <c r="D1" s="274" t="s">
        <v>578</v>
      </c>
      <c r="E1" s="274"/>
      <c r="F1" s="274"/>
      <c r="G1" s="274"/>
    </row>
    <row r="2" spans="1:7" ht="22.5" customHeight="1">
      <c r="A2" s="332" t="s">
        <v>542</v>
      </c>
      <c r="B2" s="332"/>
      <c r="C2" s="332"/>
      <c r="D2" s="332"/>
      <c r="E2" s="332"/>
      <c r="F2" s="332"/>
      <c r="G2" s="332"/>
    </row>
    <row r="3" spans="1:7" ht="4.5" customHeight="1">
      <c r="A3" s="2"/>
      <c r="B3" s="273"/>
      <c r="C3" s="273"/>
      <c r="D3" s="273"/>
      <c r="E3" s="273"/>
      <c r="F3" s="273"/>
      <c r="G3" s="273"/>
    </row>
    <row r="4" spans="1:7" ht="13.5" customHeight="1">
      <c r="A4" s="333" t="s">
        <v>579</v>
      </c>
      <c r="B4" s="333"/>
      <c r="C4" s="333"/>
      <c r="D4" s="333"/>
      <c r="E4" s="333"/>
      <c r="F4" s="333"/>
      <c r="G4" s="333"/>
    </row>
    <row r="5" spans="1:7" ht="13.5" customHeight="1">
      <c r="A5" s="298" t="s">
        <v>580</v>
      </c>
      <c r="B5" s="298"/>
      <c r="C5" s="298"/>
      <c r="D5" s="298"/>
      <c r="E5" s="298"/>
      <c r="F5" s="298"/>
      <c r="G5" s="298"/>
    </row>
    <row r="6" spans="1:7" ht="12" customHeight="1">
      <c r="A6" s="301" t="s">
        <v>148</v>
      </c>
      <c r="B6" s="301"/>
      <c r="C6" s="301"/>
      <c r="D6" s="301"/>
      <c r="E6" s="301"/>
      <c r="F6" s="301"/>
      <c r="G6" s="301"/>
    </row>
    <row r="7" spans="1:7" ht="9.75" customHeight="1">
      <c r="A7" s="2"/>
      <c r="B7" s="273"/>
      <c r="C7" s="273"/>
      <c r="D7" s="273"/>
      <c r="E7" s="273"/>
      <c r="F7" s="273"/>
      <c r="G7" s="273"/>
    </row>
    <row r="8" spans="1:7" ht="15.75" customHeight="1">
      <c r="A8" s="64" t="s">
        <v>6</v>
      </c>
      <c r="B8" s="284" t="s">
        <v>7</v>
      </c>
      <c r="C8" s="284"/>
      <c r="D8" s="284"/>
      <c r="E8" s="284"/>
      <c r="F8" s="284"/>
      <c r="G8" s="284"/>
    </row>
    <row r="9" spans="1:7" ht="15.75" customHeight="1">
      <c r="A9" s="65" t="s">
        <v>8</v>
      </c>
      <c r="B9" s="292" t="s">
        <v>9</v>
      </c>
      <c r="C9" s="292"/>
      <c r="D9" s="292"/>
      <c r="E9" s="292"/>
      <c r="F9" s="292"/>
      <c r="G9" s="292"/>
    </row>
    <row r="10" spans="1:7" ht="15.75" customHeight="1">
      <c r="A10" s="64" t="s">
        <v>11</v>
      </c>
      <c r="B10" s="284" t="s">
        <v>12</v>
      </c>
      <c r="C10" s="284"/>
      <c r="D10" s="284"/>
      <c r="E10" s="284"/>
      <c r="F10" s="284"/>
      <c r="G10" s="284"/>
    </row>
    <row r="11" spans="1:7" ht="15.75" customHeight="1">
      <c r="A11" s="65" t="s">
        <v>13</v>
      </c>
      <c r="B11" s="292" t="s">
        <v>581</v>
      </c>
      <c r="C11" s="292"/>
      <c r="D11" s="292"/>
      <c r="E11" s="292"/>
      <c r="F11" s="292"/>
      <c r="G11" s="292"/>
    </row>
    <row r="12" spans="1:7">
      <c r="A12" s="64" t="s">
        <v>16</v>
      </c>
      <c r="B12" s="299" t="s">
        <v>17</v>
      </c>
      <c r="C12" s="299"/>
      <c r="D12" s="299"/>
      <c r="E12" s="299"/>
      <c r="F12" s="299"/>
      <c r="G12" s="299"/>
    </row>
    <row r="13" spans="1:7" ht="15.75" customHeight="1">
      <c r="A13" s="65" t="s">
        <v>18</v>
      </c>
      <c r="B13" s="292" t="s">
        <v>19</v>
      </c>
      <c r="C13" s="292"/>
      <c r="D13" s="292"/>
      <c r="E13" s="292"/>
      <c r="F13" s="292"/>
      <c r="G13" s="292"/>
    </row>
    <row r="14" spans="1:7" ht="15.75" customHeight="1">
      <c r="A14" s="64" t="s">
        <v>21</v>
      </c>
      <c r="B14" s="340">
        <v>44109</v>
      </c>
      <c r="C14" s="299"/>
      <c r="D14" s="299"/>
      <c r="E14" s="299"/>
      <c r="F14" s="299"/>
      <c r="G14" s="299"/>
    </row>
    <row r="15" spans="1:7" ht="15.75" customHeight="1">
      <c r="A15" s="65" t="s">
        <v>22</v>
      </c>
      <c r="B15" s="294">
        <v>44109</v>
      </c>
      <c r="C15" s="292"/>
      <c r="D15" s="292"/>
      <c r="E15" s="292"/>
      <c r="F15" s="292"/>
      <c r="G15" s="292"/>
    </row>
    <row r="16" spans="1:7" ht="16.5" customHeight="1">
      <c r="A16" s="6"/>
      <c r="B16" s="285"/>
      <c r="C16" s="285"/>
      <c r="D16" s="285"/>
      <c r="E16" s="285"/>
      <c r="F16" s="296" t="s">
        <v>25</v>
      </c>
      <c r="G16" s="296"/>
    </row>
    <row r="17" spans="1:7" ht="33.75" customHeight="1">
      <c r="A17" s="334" t="s">
        <v>153</v>
      </c>
      <c r="B17" s="336" t="s">
        <v>582</v>
      </c>
      <c r="C17" s="336" t="s">
        <v>583</v>
      </c>
      <c r="D17" s="336" t="s">
        <v>584</v>
      </c>
      <c r="E17" s="336"/>
      <c r="F17" s="336" t="s">
        <v>585</v>
      </c>
      <c r="G17" s="338"/>
    </row>
    <row r="18" spans="1:7" ht="33.75" customHeight="1">
      <c r="A18" s="335"/>
      <c r="B18" s="337"/>
      <c r="C18" s="337"/>
      <c r="D18" s="79" t="s">
        <v>154</v>
      </c>
      <c r="E18" s="79" t="s">
        <v>586</v>
      </c>
      <c r="F18" s="79" t="s">
        <v>587</v>
      </c>
      <c r="G18" s="80" t="s">
        <v>586</v>
      </c>
    </row>
    <row r="19" spans="1:7" ht="31.5">
      <c r="A19" s="81" t="s">
        <v>588</v>
      </c>
      <c r="B19" s="12" t="s">
        <v>589</v>
      </c>
      <c r="C19" s="82"/>
      <c r="D19" s="14">
        <f>D20+D23+D26+D30+D31+D32+D33+D34</f>
        <v>99234838759</v>
      </c>
      <c r="E19" s="14">
        <f>E20+E23+E26+E30+E31+E32+E33+E34</f>
        <v>207796961299</v>
      </c>
      <c r="F19" s="14">
        <f>F20+F23+F26+F30+F31+F32+F33+F34</f>
        <v>0</v>
      </c>
      <c r="G19" s="39">
        <f>G20+G23+G26+G30+G31+G32+G33+G34</f>
        <v>0</v>
      </c>
    </row>
    <row r="20" spans="1:7" ht="21">
      <c r="A20" s="83" t="s">
        <v>590</v>
      </c>
      <c r="B20" s="18" t="s">
        <v>591</v>
      </c>
      <c r="C20" s="84"/>
      <c r="D20" s="20">
        <f>D21+D22</f>
        <v>3366356000</v>
      </c>
      <c r="E20" s="20">
        <f>E21+E22</f>
        <v>12942242000</v>
      </c>
      <c r="F20" s="20">
        <f>F21+F22</f>
        <v>0</v>
      </c>
      <c r="G20" s="43">
        <f>G21+G22</f>
        <v>0</v>
      </c>
    </row>
    <row r="21" spans="1:7" ht="21">
      <c r="A21" s="85" t="s">
        <v>592</v>
      </c>
      <c r="B21" s="70" t="s">
        <v>593</v>
      </c>
      <c r="C21" s="86"/>
      <c r="D21" s="47">
        <v>3366356000</v>
      </c>
      <c r="E21" s="47">
        <v>12942242000</v>
      </c>
      <c r="F21" s="47">
        <v>0</v>
      </c>
      <c r="G21" s="48">
        <v>0</v>
      </c>
    </row>
    <row r="22" spans="1:7" ht="21">
      <c r="A22" s="85" t="s">
        <v>594</v>
      </c>
      <c r="B22" s="70" t="s">
        <v>595</v>
      </c>
      <c r="C22" s="86"/>
      <c r="D22" s="47">
        <v>0</v>
      </c>
      <c r="E22" s="47">
        <v>0</v>
      </c>
      <c r="F22" s="47">
        <v>0</v>
      </c>
      <c r="G22" s="48">
        <v>0</v>
      </c>
    </row>
    <row r="23" spans="1:7" ht="21">
      <c r="A23" s="83" t="s">
        <v>596</v>
      </c>
      <c r="B23" s="18" t="s">
        <v>597</v>
      </c>
      <c r="C23" s="84"/>
      <c r="D23" s="20">
        <f>D24+D25</f>
        <v>14605009</v>
      </c>
      <c r="E23" s="20">
        <f>E24+E25</f>
        <v>37182599</v>
      </c>
      <c r="F23" s="20">
        <f>F24+F25</f>
        <v>0</v>
      </c>
      <c r="G23" s="43">
        <f>G24+G25</f>
        <v>0</v>
      </c>
    </row>
    <row r="24" spans="1:7" ht="21">
      <c r="A24" s="85" t="s">
        <v>598</v>
      </c>
      <c r="B24" s="70" t="s">
        <v>599</v>
      </c>
      <c r="C24" s="86"/>
      <c r="D24" s="47">
        <v>14605009</v>
      </c>
      <c r="E24" s="47">
        <v>37182599</v>
      </c>
      <c r="F24" s="47">
        <v>0</v>
      </c>
      <c r="G24" s="48">
        <v>0</v>
      </c>
    </row>
    <row r="25" spans="1:7" ht="21">
      <c r="A25" s="85" t="s">
        <v>600</v>
      </c>
      <c r="B25" s="70" t="s">
        <v>601</v>
      </c>
      <c r="C25" s="86"/>
      <c r="D25" s="47">
        <v>0</v>
      </c>
      <c r="E25" s="47">
        <v>0</v>
      </c>
      <c r="F25" s="47">
        <v>0</v>
      </c>
      <c r="G25" s="48">
        <v>0</v>
      </c>
    </row>
    <row r="26" spans="1:7" ht="31.5">
      <c r="A26" s="83" t="s">
        <v>602</v>
      </c>
      <c r="B26" s="18" t="s">
        <v>603</v>
      </c>
      <c r="C26" s="84"/>
      <c r="D26" s="20">
        <f>D27+D28+D29</f>
        <v>1407637251</v>
      </c>
      <c r="E26" s="20">
        <f>E27+E28+E29</f>
        <v>518934544</v>
      </c>
      <c r="F26" s="20">
        <f>F27+F28+F29</f>
        <v>0</v>
      </c>
      <c r="G26" s="43">
        <f>G27+G28+G29</f>
        <v>0</v>
      </c>
    </row>
    <row r="27" spans="1:7" ht="21">
      <c r="A27" s="85" t="s">
        <v>604</v>
      </c>
      <c r="B27" s="70" t="s">
        <v>605</v>
      </c>
      <c r="C27" s="86"/>
      <c r="D27" s="47">
        <v>31878</v>
      </c>
      <c r="E27" s="47">
        <v>-929378122</v>
      </c>
      <c r="F27" s="47">
        <v>0</v>
      </c>
      <c r="G27" s="48">
        <v>0</v>
      </c>
    </row>
    <row r="28" spans="1:7" ht="42">
      <c r="A28" s="85" t="s">
        <v>606</v>
      </c>
      <c r="B28" s="70" t="s">
        <v>607</v>
      </c>
      <c r="C28" s="86"/>
      <c r="D28" s="47">
        <v>1407605373</v>
      </c>
      <c r="E28" s="47">
        <v>1448312666</v>
      </c>
      <c r="F28" s="47">
        <v>0</v>
      </c>
      <c r="G28" s="48">
        <v>0</v>
      </c>
    </row>
    <row r="29" spans="1:7" ht="42">
      <c r="A29" s="85" t="s">
        <v>608</v>
      </c>
      <c r="B29" s="70" t="s">
        <v>609</v>
      </c>
      <c r="C29" s="86"/>
      <c r="D29" s="47">
        <v>0</v>
      </c>
      <c r="E29" s="47">
        <v>0</v>
      </c>
      <c r="F29" s="47">
        <v>0</v>
      </c>
      <c r="G29" s="48">
        <v>0</v>
      </c>
    </row>
    <row r="30" spans="1:7" ht="42">
      <c r="A30" s="83" t="s">
        <v>610</v>
      </c>
      <c r="B30" s="18" t="s">
        <v>611</v>
      </c>
      <c r="C30" s="84"/>
      <c r="D30" s="20">
        <v>94446240499</v>
      </c>
      <c r="E30" s="20">
        <v>194298602156</v>
      </c>
      <c r="F30" s="20">
        <v>0</v>
      </c>
      <c r="G30" s="43">
        <v>0</v>
      </c>
    </row>
    <row r="31" spans="1:7" ht="21">
      <c r="A31" s="83" t="s">
        <v>612</v>
      </c>
      <c r="B31" s="18" t="s">
        <v>613</v>
      </c>
      <c r="C31" s="84"/>
      <c r="D31" s="20">
        <v>0</v>
      </c>
      <c r="E31" s="20">
        <v>0</v>
      </c>
      <c r="F31" s="20">
        <v>0</v>
      </c>
      <c r="G31" s="43">
        <v>0</v>
      </c>
    </row>
    <row r="32" spans="1:7" ht="42">
      <c r="A32" s="83" t="s">
        <v>614</v>
      </c>
      <c r="B32" s="18" t="s">
        <v>615</v>
      </c>
      <c r="C32" s="84"/>
      <c r="D32" s="20">
        <v>0</v>
      </c>
      <c r="E32" s="20">
        <v>0</v>
      </c>
      <c r="F32" s="20">
        <v>0</v>
      </c>
      <c r="G32" s="43">
        <v>0</v>
      </c>
    </row>
    <row r="33" spans="1:7" ht="21">
      <c r="A33" s="83" t="s">
        <v>616</v>
      </c>
      <c r="B33" s="18" t="s">
        <v>617</v>
      </c>
      <c r="C33" s="84"/>
      <c r="D33" s="20">
        <v>0</v>
      </c>
      <c r="E33" s="20">
        <v>0</v>
      </c>
      <c r="F33" s="20">
        <v>0</v>
      </c>
      <c r="G33" s="43">
        <v>0</v>
      </c>
    </row>
    <row r="34" spans="1:7" ht="63">
      <c r="A34" s="83" t="s">
        <v>618</v>
      </c>
      <c r="B34" s="18" t="s">
        <v>619</v>
      </c>
      <c r="C34" s="84"/>
      <c r="D34" s="20">
        <v>0</v>
      </c>
      <c r="E34" s="20">
        <v>0</v>
      </c>
      <c r="F34" s="20">
        <v>0</v>
      </c>
      <c r="G34" s="43">
        <v>0</v>
      </c>
    </row>
    <row r="35" spans="1:7" ht="21">
      <c r="A35" s="81" t="s">
        <v>620</v>
      </c>
      <c r="B35" s="12" t="s">
        <v>59</v>
      </c>
      <c r="C35" s="82"/>
      <c r="D35" s="14">
        <f>D36+D39+D40+D41+D42</f>
        <v>0</v>
      </c>
      <c r="E35" s="14">
        <f>E36+E39+E40+E41+E42</f>
        <v>104906957</v>
      </c>
      <c r="F35" s="14">
        <f>F36+F39+F40+F41+F42</f>
        <v>0</v>
      </c>
      <c r="G35" s="39">
        <f>G36+G39+G40+G41+G42</f>
        <v>0</v>
      </c>
    </row>
    <row r="36" spans="1:7" ht="21">
      <c r="A36" s="83" t="s">
        <v>621</v>
      </c>
      <c r="B36" s="18" t="s">
        <v>62</v>
      </c>
      <c r="C36" s="84"/>
      <c r="D36" s="20">
        <f>D37+D38</f>
        <v>0</v>
      </c>
      <c r="E36" s="20">
        <f>E37+E38</f>
        <v>104906957</v>
      </c>
      <c r="F36" s="20">
        <f>F37+F38</f>
        <v>0</v>
      </c>
      <c r="G36" s="43">
        <f>G37+G38</f>
        <v>0</v>
      </c>
    </row>
    <row r="37" spans="1:7" ht="21">
      <c r="A37" s="85" t="s">
        <v>622</v>
      </c>
      <c r="B37" s="70" t="s">
        <v>623</v>
      </c>
      <c r="C37" s="86"/>
      <c r="D37" s="47">
        <v>0</v>
      </c>
      <c r="E37" s="47">
        <v>104906957</v>
      </c>
      <c r="F37" s="47">
        <v>0</v>
      </c>
      <c r="G37" s="48">
        <v>0</v>
      </c>
    </row>
    <row r="38" spans="1:7" ht="21">
      <c r="A38" s="85" t="s">
        <v>624</v>
      </c>
      <c r="B38" s="70" t="s">
        <v>625</v>
      </c>
      <c r="C38" s="86"/>
      <c r="D38" s="47">
        <v>0</v>
      </c>
      <c r="E38" s="47">
        <v>0</v>
      </c>
      <c r="F38" s="47">
        <v>0</v>
      </c>
      <c r="G38" s="48">
        <v>0</v>
      </c>
    </row>
    <row r="39" spans="1:7" ht="31.5">
      <c r="A39" s="83" t="s">
        <v>626</v>
      </c>
      <c r="B39" s="18" t="s">
        <v>65</v>
      </c>
      <c r="C39" s="84"/>
      <c r="D39" s="20">
        <v>0</v>
      </c>
      <c r="E39" s="20">
        <v>0</v>
      </c>
      <c r="F39" s="20">
        <v>0</v>
      </c>
      <c r="G39" s="43">
        <v>0</v>
      </c>
    </row>
    <row r="40" spans="1:7" ht="21">
      <c r="A40" s="83" t="s">
        <v>627</v>
      </c>
      <c r="B40" s="18" t="s">
        <v>68</v>
      </c>
      <c r="C40" s="84"/>
      <c r="D40" s="20">
        <v>0</v>
      </c>
      <c r="E40" s="20">
        <v>0</v>
      </c>
      <c r="F40" s="20">
        <v>0</v>
      </c>
      <c r="G40" s="43">
        <v>0</v>
      </c>
    </row>
    <row r="41" spans="1:7" ht="52.5">
      <c r="A41" s="83" t="s">
        <v>628</v>
      </c>
      <c r="B41" s="18" t="s">
        <v>71</v>
      </c>
      <c r="C41" s="84"/>
      <c r="D41" s="20">
        <v>0</v>
      </c>
      <c r="E41" s="20">
        <v>0</v>
      </c>
      <c r="F41" s="20">
        <v>0</v>
      </c>
      <c r="G41" s="43">
        <v>0</v>
      </c>
    </row>
    <row r="42" spans="1:7" ht="21">
      <c r="A42" s="83" t="s">
        <v>629</v>
      </c>
      <c r="B42" s="18" t="s">
        <v>630</v>
      </c>
      <c r="C42" s="84"/>
      <c r="D42" s="20">
        <v>0</v>
      </c>
      <c r="E42" s="20">
        <v>0</v>
      </c>
      <c r="F42" s="20">
        <v>0</v>
      </c>
      <c r="G42" s="43">
        <v>0</v>
      </c>
    </row>
    <row r="43" spans="1:7" ht="21">
      <c r="A43" s="81" t="s">
        <v>631</v>
      </c>
      <c r="B43" s="12" t="s">
        <v>632</v>
      </c>
      <c r="C43" s="82"/>
      <c r="D43" s="14">
        <f>D44+D45+D50+D51+D52+D53+D56+D57+D58+D59</f>
        <v>1698275470</v>
      </c>
      <c r="E43" s="14">
        <f>E44+E45+E50+E51+E52+E53+E56+E57+E58+E59</f>
        <v>5778434870</v>
      </c>
      <c r="F43" s="14">
        <f>F44+F45+F50+F51+F52+F53+F56+F57+F58+F59</f>
        <v>0</v>
      </c>
      <c r="G43" s="39">
        <f>G44+G45+G50+G51+G52+G53+G56+G57+G58+G59</f>
        <v>0</v>
      </c>
    </row>
    <row r="44" spans="1:7" ht="21">
      <c r="A44" s="83" t="s">
        <v>633</v>
      </c>
      <c r="B44" s="18" t="s">
        <v>634</v>
      </c>
      <c r="C44" s="84"/>
      <c r="D44" s="20">
        <v>1344848804</v>
      </c>
      <c r="E44" s="20">
        <v>4430779210</v>
      </c>
      <c r="F44" s="20">
        <v>0</v>
      </c>
      <c r="G44" s="43">
        <v>0</v>
      </c>
    </row>
    <row r="45" spans="1:7" ht="21">
      <c r="A45" s="83" t="s">
        <v>635</v>
      </c>
      <c r="B45" s="18" t="s">
        <v>636</v>
      </c>
      <c r="C45" s="84"/>
      <c r="D45" s="20">
        <f>D46+D47+D48+D49</f>
        <v>50350629</v>
      </c>
      <c r="E45" s="20">
        <f>E46+E47+E48+E49</f>
        <v>169652103</v>
      </c>
      <c r="F45" s="20">
        <f>F46+F47+F48+F49</f>
        <v>0</v>
      </c>
      <c r="G45" s="43">
        <f>G46+G47+G48+G49</f>
        <v>0</v>
      </c>
    </row>
    <row r="46" spans="1:7" ht="21">
      <c r="A46" s="85" t="s">
        <v>637</v>
      </c>
      <c r="B46" s="70" t="s">
        <v>638</v>
      </c>
      <c r="C46" s="86"/>
      <c r="D46" s="47">
        <v>33621222</v>
      </c>
      <c r="E46" s="47">
        <v>117531154</v>
      </c>
      <c r="F46" s="47">
        <v>0</v>
      </c>
      <c r="G46" s="48">
        <v>0</v>
      </c>
    </row>
    <row r="47" spans="1:7" ht="21">
      <c r="A47" s="85" t="s">
        <v>639</v>
      </c>
      <c r="B47" s="70" t="s">
        <v>640</v>
      </c>
      <c r="C47" s="86"/>
      <c r="D47" s="47">
        <v>200000</v>
      </c>
      <c r="E47" s="47">
        <v>5700000</v>
      </c>
      <c r="F47" s="47">
        <v>0</v>
      </c>
      <c r="G47" s="48">
        <v>0</v>
      </c>
    </row>
    <row r="48" spans="1:7" ht="21">
      <c r="A48" s="85" t="s">
        <v>641</v>
      </c>
      <c r="B48" s="70" t="s">
        <v>642</v>
      </c>
      <c r="C48" s="86"/>
      <c r="D48" s="47">
        <v>16529407</v>
      </c>
      <c r="E48" s="47">
        <v>46420949</v>
      </c>
      <c r="F48" s="47">
        <v>0</v>
      </c>
      <c r="G48" s="48">
        <v>0</v>
      </c>
    </row>
    <row r="49" spans="1:7" ht="42">
      <c r="A49" s="85" t="s">
        <v>643</v>
      </c>
      <c r="B49" s="70" t="s">
        <v>644</v>
      </c>
      <c r="C49" s="86"/>
      <c r="D49" s="47">
        <v>0</v>
      </c>
      <c r="E49" s="47">
        <v>0</v>
      </c>
      <c r="F49" s="47">
        <v>0</v>
      </c>
      <c r="G49" s="48">
        <v>0</v>
      </c>
    </row>
    <row r="50" spans="1:7" ht="21">
      <c r="A50" s="83" t="s">
        <v>645</v>
      </c>
      <c r="B50" s="18" t="s">
        <v>646</v>
      </c>
      <c r="C50" s="84"/>
      <c r="D50" s="20">
        <v>73966684</v>
      </c>
      <c r="E50" s="20">
        <v>258910668</v>
      </c>
      <c r="F50" s="20">
        <v>0</v>
      </c>
      <c r="G50" s="43">
        <v>0</v>
      </c>
    </row>
    <row r="51" spans="1:7" ht="21">
      <c r="A51" s="83" t="s">
        <v>647</v>
      </c>
      <c r="B51" s="18" t="s">
        <v>648</v>
      </c>
      <c r="C51" s="84"/>
      <c r="D51" s="20">
        <v>36983344</v>
      </c>
      <c r="E51" s="20">
        <v>138786100</v>
      </c>
      <c r="F51" s="20">
        <v>0</v>
      </c>
      <c r="G51" s="43">
        <v>0</v>
      </c>
    </row>
    <row r="52" spans="1:7" ht="21">
      <c r="A52" s="83" t="s">
        <v>649</v>
      </c>
      <c r="B52" s="18" t="s">
        <v>650</v>
      </c>
      <c r="C52" s="84"/>
      <c r="D52" s="20">
        <v>5500000</v>
      </c>
      <c r="E52" s="20">
        <v>25548387</v>
      </c>
      <c r="F52" s="20">
        <v>0</v>
      </c>
      <c r="G52" s="43">
        <v>0</v>
      </c>
    </row>
    <row r="53" spans="1:7" ht="31.5">
      <c r="A53" s="83" t="s">
        <v>651</v>
      </c>
      <c r="B53" s="18" t="s">
        <v>652</v>
      </c>
      <c r="C53" s="84"/>
      <c r="D53" s="20">
        <f>D54+D55</f>
        <v>159154232</v>
      </c>
      <c r="E53" s="20">
        <f>E54+E55</f>
        <v>576150423</v>
      </c>
      <c r="F53" s="20">
        <f>F54+F55</f>
        <v>0</v>
      </c>
      <c r="G53" s="43">
        <f>G54+G55</f>
        <v>0</v>
      </c>
    </row>
    <row r="54" spans="1:7" ht="42">
      <c r="A54" s="85" t="s">
        <v>653</v>
      </c>
      <c r="B54" s="70" t="s">
        <v>654</v>
      </c>
      <c r="C54" s="86"/>
      <c r="D54" s="47">
        <v>84053051</v>
      </c>
      <c r="E54" s="47">
        <v>273856317</v>
      </c>
      <c r="F54" s="47">
        <v>0</v>
      </c>
      <c r="G54" s="48">
        <v>0</v>
      </c>
    </row>
    <row r="55" spans="1:7" ht="42">
      <c r="A55" s="85" t="s">
        <v>655</v>
      </c>
      <c r="B55" s="70" t="s">
        <v>656</v>
      </c>
      <c r="C55" s="86"/>
      <c r="D55" s="47">
        <v>75101181</v>
      </c>
      <c r="E55" s="47">
        <v>302294106</v>
      </c>
      <c r="F55" s="47">
        <v>0</v>
      </c>
      <c r="G55" s="48">
        <v>0</v>
      </c>
    </row>
    <row r="56" spans="1:7" ht="21">
      <c r="A56" s="83" t="s">
        <v>657</v>
      </c>
      <c r="B56" s="18" t="s">
        <v>658</v>
      </c>
      <c r="C56" s="84"/>
      <c r="D56" s="20">
        <v>0</v>
      </c>
      <c r="E56" s="20">
        <v>0</v>
      </c>
      <c r="F56" s="20">
        <v>0</v>
      </c>
      <c r="G56" s="43">
        <v>0</v>
      </c>
    </row>
    <row r="57" spans="1:7" ht="21">
      <c r="A57" s="83" t="s">
        <v>659</v>
      </c>
      <c r="B57" s="18" t="s">
        <v>660</v>
      </c>
      <c r="C57" s="84"/>
      <c r="D57" s="20">
        <v>15639810</v>
      </c>
      <c r="E57" s="20">
        <v>62037913</v>
      </c>
      <c r="F57" s="20">
        <v>0</v>
      </c>
      <c r="G57" s="43">
        <v>0</v>
      </c>
    </row>
    <row r="58" spans="1:7" ht="21">
      <c r="A58" s="83" t="s">
        <v>661</v>
      </c>
      <c r="B58" s="18" t="s">
        <v>662</v>
      </c>
      <c r="C58" s="84"/>
      <c r="D58" s="20">
        <v>0</v>
      </c>
      <c r="E58" s="20">
        <v>0</v>
      </c>
      <c r="F58" s="20">
        <v>0</v>
      </c>
      <c r="G58" s="43">
        <v>0</v>
      </c>
    </row>
    <row r="59" spans="1:7" ht="21">
      <c r="A59" s="83" t="s">
        <v>663</v>
      </c>
      <c r="B59" s="18" t="s">
        <v>664</v>
      </c>
      <c r="C59" s="84"/>
      <c r="D59" s="20">
        <f>D60+D61+D62+D63+D64+D65+D66+D67+D68+D70+D71+D72+D73</f>
        <v>11831967</v>
      </c>
      <c r="E59" s="20">
        <f>E60+E61+E62+E63+E64+E65+E66+E67+E68+E70+E71+E72+E73</f>
        <v>116570066</v>
      </c>
      <c r="F59" s="20">
        <f>F60+F61+F62+F63+F64+F65+F66+F67+F68+F70+F71+F72+F73</f>
        <v>0</v>
      </c>
      <c r="G59" s="43">
        <f>G60+G61+G62+G63+G64+G65+G66+G67+G68+G70+G71+G72+G73</f>
        <v>0</v>
      </c>
    </row>
    <row r="60" spans="1:7" ht="31.5">
      <c r="A60" s="85" t="s">
        <v>665</v>
      </c>
      <c r="B60" s="70" t="s">
        <v>666</v>
      </c>
      <c r="C60" s="86"/>
      <c r="D60" s="47">
        <v>9735985</v>
      </c>
      <c r="E60" s="47">
        <v>38993008</v>
      </c>
      <c r="F60" s="47">
        <v>0</v>
      </c>
      <c r="G60" s="48">
        <v>0</v>
      </c>
    </row>
    <row r="61" spans="1:7" ht="31.5">
      <c r="A61" s="85" t="s">
        <v>667</v>
      </c>
      <c r="B61" s="70" t="s">
        <v>668</v>
      </c>
      <c r="C61" s="86"/>
      <c r="D61" s="47">
        <v>0</v>
      </c>
      <c r="E61" s="47">
        <v>0</v>
      </c>
      <c r="F61" s="47">
        <v>0</v>
      </c>
      <c r="G61" s="48">
        <v>0</v>
      </c>
    </row>
    <row r="62" spans="1:7" ht="21">
      <c r="A62" s="85" t="s">
        <v>669</v>
      </c>
      <c r="B62" s="70" t="s">
        <v>670</v>
      </c>
      <c r="C62" s="86"/>
      <c r="D62" s="47">
        <v>0</v>
      </c>
      <c r="E62" s="47">
        <v>0</v>
      </c>
      <c r="F62" s="47">
        <v>0</v>
      </c>
      <c r="G62" s="48">
        <v>0</v>
      </c>
    </row>
    <row r="63" spans="1:7" ht="21">
      <c r="A63" s="85" t="s">
        <v>671</v>
      </c>
      <c r="B63" s="70" t="s">
        <v>672</v>
      </c>
      <c r="C63" s="86"/>
      <c r="D63" s="47">
        <v>0</v>
      </c>
      <c r="E63" s="47">
        <v>0</v>
      </c>
      <c r="F63" s="47">
        <v>0</v>
      </c>
      <c r="G63" s="48">
        <v>0</v>
      </c>
    </row>
    <row r="64" spans="1:7" ht="21">
      <c r="A64" s="85" t="s">
        <v>213</v>
      </c>
      <c r="B64" s="70" t="s">
        <v>673</v>
      </c>
      <c r="C64" s="86"/>
      <c r="D64" s="47">
        <v>0</v>
      </c>
      <c r="E64" s="47">
        <v>0</v>
      </c>
      <c r="F64" s="47">
        <v>0</v>
      </c>
      <c r="G64" s="48">
        <v>0</v>
      </c>
    </row>
    <row r="65" spans="1:7" ht="21">
      <c r="A65" s="85" t="s">
        <v>674</v>
      </c>
      <c r="B65" s="70" t="s">
        <v>675</v>
      </c>
      <c r="C65" s="86"/>
      <c r="D65" s="47">
        <v>0</v>
      </c>
      <c r="E65" s="47">
        <v>50000000</v>
      </c>
      <c r="F65" s="47">
        <v>0</v>
      </c>
      <c r="G65" s="48">
        <v>0</v>
      </c>
    </row>
    <row r="66" spans="1:7" ht="21">
      <c r="A66" s="85" t="s">
        <v>676</v>
      </c>
      <c r="B66" s="70" t="s">
        <v>677</v>
      </c>
      <c r="C66" s="86"/>
      <c r="D66" s="47">
        <v>590550</v>
      </c>
      <c r="E66" s="47">
        <v>3562985</v>
      </c>
      <c r="F66" s="47">
        <v>0</v>
      </c>
      <c r="G66" s="48">
        <v>0</v>
      </c>
    </row>
    <row r="67" spans="1:7" ht="21">
      <c r="A67" s="85" t="s">
        <v>241</v>
      </c>
      <c r="B67" s="70" t="s">
        <v>678</v>
      </c>
      <c r="C67" s="86"/>
      <c r="D67" s="47">
        <v>1505432</v>
      </c>
      <c r="E67" s="47">
        <v>6514073</v>
      </c>
      <c r="F67" s="47">
        <v>0</v>
      </c>
      <c r="G67" s="48">
        <v>0</v>
      </c>
    </row>
    <row r="68" spans="1:7" ht="21">
      <c r="A68" s="85" t="s">
        <v>223</v>
      </c>
      <c r="B68" s="70" t="s">
        <v>679</v>
      </c>
      <c r="C68" s="86"/>
      <c r="D68" s="47">
        <v>0</v>
      </c>
      <c r="E68" s="47">
        <v>0</v>
      </c>
      <c r="F68" s="47">
        <v>0</v>
      </c>
      <c r="G68" s="48">
        <v>0</v>
      </c>
    </row>
    <row r="69" spans="1:7" ht="21">
      <c r="A69" s="85" t="s">
        <v>225</v>
      </c>
      <c r="B69" s="70" t="s">
        <v>680</v>
      </c>
      <c r="C69" s="86"/>
      <c r="D69" s="47">
        <v>0</v>
      </c>
      <c r="E69" s="47">
        <v>0</v>
      </c>
      <c r="F69" s="47">
        <v>0</v>
      </c>
      <c r="G69" s="48">
        <v>0</v>
      </c>
    </row>
    <row r="70" spans="1:7" ht="21">
      <c r="A70" s="85" t="s">
        <v>247</v>
      </c>
      <c r="B70" s="70" t="s">
        <v>681</v>
      </c>
      <c r="C70" s="86"/>
      <c r="D70" s="47">
        <v>0</v>
      </c>
      <c r="E70" s="47">
        <v>0</v>
      </c>
      <c r="F70" s="47">
        <v>0</v>
      </c>
      <c r="G70" s="48">
        <v>0</v>
      </c>
    </row>
    <row r="71" spans="1:7" ht="21">
      <c r="A71" s="85" t="s">
        <v>249</v>
      </c>
      <c r="B71" s="70" t="s">
        <v>682</v>
      </c>
      <c r="C71" s="86"/>
      <c r="D71" s="47">
        <v>0</v>
      </c>
      <c r="E71" s="47">
        <v>0</v>
      </c>
      <c r="F71" s="47">
        <v>0</v>
      </c>
      <c r="G71" s="48">
        <v>0</v>
      </c>
    </row>
    <row r="72" spans="1:7" ht="21">
      <c r="A72" s="85" t="s">
        <v>683</v>
      </c>
      <c r="B72" s="70" t="s">
        <v>684</v>
      </c>
      <c r="C72" s="86"/>
      <c r="D72" s="47">
        <v>0</v>
      </c>
      <c r="E72" s="47">
        <v>17500000</v>
      </c>
      <c r="F72" s="47">
        <v>0</v>
      </c>
      <c r="G72" s="48">
        <v>0</v>
      </c>
    </row>
    <row r="73" spans="1:7" ht="21">
      <c r="A73" s="85" t="s">
        <v>685</v>
      </c>
      <c r="B73" s="70" t="s">
        <v>686</v>
      </c>
      <c r="C73" s="86"/>
      <c r="D73" s="47">
        <v>0</v>
      </c>
      <c r="E73" s="47">
        <v>0</v>
      </c>
      <c r="F73" s="47">
        <v>0</v>
      </c>
      <c r="G73" s="48">
        <v>0</v>
      </c>
    </row>
    <row r="74" spans="1:7" ht="31.5">
      <c r="A74" s="81" t="s">
        <v>687</v>
      </c>
      <c r="B74" s="12" t="s">
        <v>688</v>
      </c>
      <c r="C74" s="82"/>
      <c r="D74" s="14">
        <f>D19-D35-D43</f>
        <v>97536563289</v>
      </c>
      <c r="E74" s="14">
        <f>E19-E35-E43</f>
        <v>201913619472</v>
      </c>
      <c r="F74" s="14">
        <f>F19-F35-F43</f>
        <v>0</v>
      </c>
      <c r="G74" s="39">
        <f>G19-G35-G43</f>
        <v>0</v>
      </c>
    </row>
    <row r="75" spans="1:7" ht="21">
      <c r="A75" s="81" t="s">
        <v>689</v>
      </c>
      <c r="B75" s="12" t="s">
        <v>690</v>
      </c>
      <c r="C75" s="82"/>
      <c r="D75" s="14">
        <f>D76-D77</f>
        <v>0</v>
      </c>
      <c r="E75" s="14">
        <f>E76-E77</f>
        <v>0</v>
      </c>
      <c r="F75" s="14">
        <f>F76-F77</f>
        <v>0</v>
      </c>
      <c r="G75" s="39">
        <f>G76-G77</f>
        <v>0</v>
      </c>
    </row>
    <row r="76" spans="1:7" ht="21">
      <c r="A76" s="83" t="s">
        <v>691</v>
      </c>
      <c r="B76" s="18" t="s">
        <v>692</v>
      </c>
      <c r="C76" s="84"/>
      <c r="D76" s="20">
        <v>0</v>
      </c>
      <c r="E76" s="20">
        <v>0</v>
      </c>
      <c r="F76" s="20">
        <v>0</v>
      </c>
      <c r="G76" s="43">
        <v>0</v>
      </c>
    </row>
    <row r="77" spans="1:7" ht="21">
      <c r="A77" s="83" t="s">
        <v>693</v>
      </c>
      <c r="B77" s="18" t="s">
        <v>694</v>
      </c>
      <c r="C77" s="84"/>
      <c r="D77" s="20">
        <v>0</v>
      </c>
      <c r="E77" s="20">
        <v>0</v>
      </c>
      <c r="F77" s="20">
        <v>0</v>
      </c>
      <c r="G77" s="43">
        <v>0</v>
      </c>
    </row>
    <row r="78" spans="1:7" ht="42">
      <c r="A78" s="81" t="s">
        <v>695</v>
      </c>
      <c r="B78" s="12" t="s">
        <v>696</v>
      </c>
      <c r="C78" s="82"/>
      <c r="D78" s="14">
        <f>D74+D75</f>
        <v>97536563289</v>
      </c>
      <c r="E78" s="14">
        <f>E74+E75</f>
        <v>201913619472</v>
      </c>
      <c r="F78" s="14">
        <f>F74+F75</f>
        <v>0</v>
      </c>
      <c r="G78" s="39">
        <f>G74+G75</f>
        <v>0</v>
      </c>
    </row>
    <row r="79" spans="1:7" ht="21">
      <c r="A79" s="83" t="s">
        <v>697</v>
      </c>
      <c r="B79" s="18" t="s">
        <v>698</v>
      </c>
      <c r="C79" s="84"/>
      <c r="D79" s="20">
        <v>3090322790</v>
      </c>
      <c r="E79" s="20">
        <v>7615017316</v>
      </c>
      <c r="F79" s="20">
        <v>0</v>
      </c>
      <c r="G79" s="43">
        <v>0</v>
      </c>
    </row>
    <row r="80" spans="1:7" ht="21">
      <c r="A80" s="83" t="s">
        <v>699</v>
      </c>
      <c r="B80" s="18" t="s">
        <v>700</v>
      </c>
      <c r="C80" s="84"/>
      <c r="D80" s="20">
        <v>94446240499</v>
      </c>
      <c r="E80" s="20">
        <v>194298602156</v>
      </c>
      <c r="F80" s="20">
        <v>0</v>
      </c>
      <c r="G80" s="43">
        <v>0</v>
      </c>
    </row>
    <row r="81" spans="1:7" ht="21">
      <c r="A81" s="81" t="s">
        <v>701</v>
      </c>
      <c r="B81" s="12" t="s">
        <v>702</v>
      </c>
      <c r="C81" s="82"/>
      <c r="D81" s="14">
        <v>0</v>
      </c>
      <c r="E81" s="14">
        <v>0</v>
      </c>
      <c r="F81" s="14">
        <v>0</v>
      </c>
      <c r="G81" s="39">
        <v>0</v>
      </c>
    </row>
    <row r="82" spans="1:7" ht="31.5">
      <c r="A82" s="87" t="s">
        <v>703</v>
      </c>
      <c r="B82" s="24" t="s">
        <v>704</v>
      </c>
      <c r="C82" s="88"/>
      <c r="D82" s="26">
        <f>D78</f>
        <v>97536563289</v>
      </c>
      <c r="E82" s="26">
        <f>E78</f>
        <v>201913619472</v>
      </c>
      <c r="F82" s="26">
        <f>F78</f>
        <v>0</v>
      </c>
      <c r="G82" s="89">
        <f>G78</f>
        <v>0</v>
      </c>
    </row>
    <row r="83" spans="1:7" ht="10.5" customHeight="1">
      <c r="A83" s="2"/>
      <c r="B83" s="273"/>
      <c r="C83" s="273"/>
      <c r="D83" s="273"/>
      <c r="E83" s="273"/>
      <c r="F83" s="273"/>
      <c r="G83" s="273"/>
    </row>
    <row r="84" spans="1:7" ht="15" customHeight="1">
      <c r="A84" s="3" t="s">
        <v>705</v>
      </c>
      <c r="B84" s="274" t="s">
        <v>574</v>
      </c>
      <c r="C84" s="274"/>
      <c r="D84" s="274"/>
      <c r="E84" s="274"/>
      <c r="F84" s="341" t="s">
        <v>706</v>
      </c>
      <c r="G84" s="341"/>
    </row>
    <row r="85" spans="1:7" ht="15" customHeight="1">
      <c r="A85" s="90" t="s">
        <v>576</v>
      </c>
      <c r="B85" s="339" t="s">
        <v>576</v>
      </c>
      <c r="C85" s="339"/>
      <c r="D85" s="339"/>
      <c r="E85" s="339"/>
      <c r="F85" s="291" t="s">
        <v>577</v>
      </c>
      <c r="G85" s="291"/>
    </row>
    <row r="86" spans="1:7" ht="15" customHeight="1">
      <c r="A86" s="90"/>
      <c r="B86" s="233"/>
      <c r="C86" s="233"/>
      <c r="D86" s="233"/>
      <c r="E86" s="233"/>
      <c r="F86" s="231"/>
      <c r="G86" s="231"/>
    </row>
    <row r="87" spans="1:7" ht="15" customHeight="1">
      <c r="A87" s="90"/>
      <c r="B87" s="233"/>
      <c r="C87" s="233"/>
      <c r="D87" s="233"/>
      <c r="E87" s="233"/>
      <c r="F87" s="231"/>
      <c r="G87" s="231"/>
    </row>
    <row r="88" spans="1:7" ht="15" customHeight="1">
      <c r="A88" s="90"/>
      <c r="B88" s="233"/>
      <c r="C88" s="233"/>
      <c r="D88" s="233"/>
      <c r="E88" s="233"/>
      <c r="F88" s="231"/>
      <c r="G88" s="231"/>
    </row>
    <row r="89" spans="1:7" ht="15" customHeight="1">
      <c r="A89" s="90"/>
      <c r="B89" s="233"/>
      <c r="C89" s="233"/>
      <c r="D89" s="233"/>
      <c r="E89" s="233"/>
      <c r="F89" s="231"/>
      <c r="G89" s="231"/>
    </row>
    <row r="90" spans="1:7" ht="15.75" customHeight="1">
      <c r="A90" s="2"/>
      <c r="B90" s="273"/>
      <c r="C90" s="273"/>
      <c r="D90" s="273"/>
      <c r="E90" s="273"/>
      <c r="F90" s="273"/>
      <c r="G90" s="273"/>
    </row>
    <row r="91" spans="1:7" s="350" customFormat="1" ht="15" customHeight="1">
      <c r="A91" s="234" t="s">
        <v>1078</v>
      </c>
      <c r="B91" s="274" t="s">
        <v>1080</v>
      </c>
      <c r="C91" s="274"/>
      <c r="D91" s="274"/>
      <c r="E91" s="274"/>
      <c r="F91" s="345" t="s">
        <v>1079</v>
      </c>
      <c r="G91" s="345"/>
    </row>
  </sheetData>
  <mergeCells count="40">
    <mergeCell ref="B90:C90"/>
    <mergeCell ref="D90:E90"/>
    <mergeCell ref="F90:G90"/>
    <mergeCell ref="F91:G91"/>
    <mergeCell ref="B91:E91"/>
    <mergeCell ref="B85:E85"/>
    <mergeCell ref="F85:G85"/>
    <mergeCell ref="B14:G14"/>
    <mergeCell ref="B15:G15"/>
    <mergeCell ref="B16:C16"/>
    <mergeCell ref="D16:E16"/>
    <mergeCell ref="F16:G16"/>
    <mergeCell ref="B83:C83"/>
    <mergeCell ref="D83:E83"/>
    <mergeCell ref="F83:G83"/>
    <mergeCell ref="B84:E84"/>
    <mergeCell ref="F84:G84"/>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 right="0" top="0.59" bottom="0.59" header="0.5" footer="0.5"/>
  <pageSetup paperSize="9" scale="85"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29"/>
  <sheetViews>
    <sheetView showGridLines="0" showZeros="0" showOutlineSymbols="0" view="pageBreakPreview" topLeftCell="A121" zoomScaleNormal="100" zoomScaleSheetLayoutView="100" workbookViewId="0">
      <selection activeCell="C130" sqref="C130"/>
    </sheetView>
  </sheetViews>
  <sheetFormatPr defaultRowHeight="15"/>
  <cols>
    <col min="1" max="1" width="6.28515625" style="1" customWidth="1"/>
    <col min="2" max="2" width="42.85546875" style="1" customWidth="1"/>
    <col min="3" max="4" width="7.85546875" style="1" customWidth="1"/>
    <col min="5" max="6" width="21.140625" style="1" customWidth="1"/>
    <col min="7" max="256" width="9.140625" style="1"/>
    <col min="257" max="257" width="6.28515625" style="1" customWidth="1"/>
    <col min="258" max="258" width="42.85546875" style="1" customWidth="1"/>
    <col min="259" max="260" width="7.85546875" style="1" customWidth="1"/>
    <col min="261" max="262" width="21.140625" style="1" customWidth="1"/>
    <col min="263" max="512" width="9.140625" style="1"/>
    <col min="513" max="513" width="6.28515625" style="1" customWidth="1"/>
    <col min="514" max="514" width="42.85546875" style="1" customWidth="1"/>
    <col min="515" max="516" width="7.85546875" style="1" customWidth="1"/>
    <col min="517" max="518" width="21.140625" style="1" customWidth="1"/>
    <col min="519" max="768" width="9.140625" style="1"/>
    <col min="769" max="769" width="6.28515625" style="1" customWidth="1"/>
    <col min="770" max="770" width="42.85546875" style="1" customWidth="1"/>
    <col min="771" max="772" width="7.85546875" style="1" customWidth="1"/>
    <col min="773" max="774" width="21.140625" style="1" customWidth="1"/>
    <col min="775" max="1024" width="9.140625" style="1"/>
    <col min="1025" max="1025" width="6.28515625" style="1" customWidth="1"/>
    <col min="1026" max="1026" width="42.85546875" style="1" customWidth="1"/>
    <col min="1027" max="1028" width="7.85546875" style="1" customWidth="1"/>
    <col min="1029" max="1030" width="21.140625" style="1" customWidth="1"/>
    <col min="1031" max="1280" width="9.140625" style="1"/>
    <col min="1281" max="1281" width="6.28515625" style="1" customWidth="1"/>
    <col min="1282" max="1282" width="42.85546875" style="1" customWidth="1"/>
    <col min="1283" max="1284" width="7.85546875" style="1" customWidth="1"/>
    <col min="1285" max="1286" width="21.140625" style="1" customWidth="1"/>
    <col min="1287" max="1536" width="9.140625" style="1"/>
    <col min="1537" max="1537" width="6.28515625" style="1" customWidth="1"/>
    <col min="1538" max="1538" width="42.85546875" style="1" customWidth="1"/>
    <col min="1539" max="1540" width="7.85546875" style="1" customWidth="1"/>
    <col min="1541" max="1542" width="21.140625" style="1" customWidth="1"/>
    <col min="1543" max="1792" width="9.140625" style="1"/>
    <col min="1793" max="1793" width="6.28515625" style="1" customWidth="1"/>
    <col min="1794" max="1794" width="42.85546875" style="1" customWidth="1"/>
    <col min="1795" max="1796" width="7.85546875" style="1" customWidth="1"/>
    <col min="1797" max="1798" width="21.140625" style="1" customWidth="1"/>
    <col min="1799" max="2048" width="9.140625" style="1"/>
    <col min="2049" max="2049" width="6.28515625" style="1" customWidth="1"/>
    <col min="2050" max="2050" width="42.85546875" style="1" customWidth="1"/>
    <col min="2051" max="2052" width="7.85546875" style="1" customWidth="1"/>
    <col min="2053" max="2054" width="21.140625" style="1" customWidth="1"/>
    <col min="2055" max="2304" width="9.140625" style="1"/>
    <col min="2305" max="2305" width="6.28515625" style="1" customWidth="1"/>
    <col min="2306" max="2306" width="42.85546875" style="1" customWidth="1"/>
    <col min="2307" max="2308" width="7.85546875" style="1" customWidth="1"/>
    <col min="2309" max="2310" width="21.140625" style="1" customWidth="1"/>
    <col min="2311" max="2560" width="9.140625" style="1"/>
    <col min="2561" max="2561" width="6.28515625" style="1" customWidth="1"/>
    <col min="2562" max="2562" width="42.85546875" style="1" customWidth="1"/>
    <col min="2563" max="2564" width="7.85546875" style="1" customWidth="1"/>
    <col min="2565" max="2566" width="21.140625" style="1" customWidth="1"/>
    <col min="2567" max="2816" width="9.140625" style="1"/>
    <col min="2817" max="2817" width="6.28515625" style="1" customWidth="1"/>
    <col min="2818" max="2818" width="42.85546875" style="1" customWidth="1"/>
    <col min="2819" max="2820" width="7.85546875" style="1" customWidth="1"/>
    <col min="2821" max="2822" width="21.140625" style="1" customWidth="1"/>
    <col min="2823" max="3072" width="9.140625" style="1"/>
    <col min="3073" max="3073" width="6.28515625" style="1" customWidth="1"/>
    <col min="3074" max="3074" width="42.85546875" style="1" customWidth="1"/>
    <col min="3075" max="3076" width="7.85546875" style="1" customWidth="1"/>
    <col min="3077" max="3078" width="21.140625" style="1" customWidth="1"/>
    <col min="3079" max="3328" width="9.140625" style="1"/>
    <col min="3329" max="3329" width="6.28515625" style="1" customWidth="1"/>
    <col min="3330" max="3330" width="42.85546875" style="1" customWidth="1"/>
    <col min="3331" max="3332" width="7.85546875" style="1" customWidth="1"/>
    <col min="3333" max="3334" width="21.140625" style="1" customWidth="1"/>
    <col min="3335" max="3584" width="9.140625" style="1"/>
    <col min="3585" max="3585" width="6.28515625" style="1" customWidth="1"/>
    <col min="3586" max="3586" width="42.85546875" style="1" customWidth="1"/>
    <col min="3587" max="3588" width="7.85546875" style="1" customWidth="1"/>
    <col min="3589" max="3590" width="21.140625" style="1" customWidth="1"/>
    <col min="3591" max="3840" width="9.140625" style="1"/>
    <col min="3841" max="3841" width="6.28515625" style="1" customWidth="1"/>
    <col min="3842" max="3842" width="42.85546875" style="1" customWidth="1"/>
    <col min="3843" max="3844" width="7.85546875" style="1" customWidth="1"/>
    <col min="3845" max="3846" width="21.140625" style="1" customWidth="1"/>
    <col min="3847" max="4096" width="9.140625" style="1"/>
    <col min="4097" max="4097" width="6.28515625" style="1" customWidth="1"/>
    <col min="4098" max="4098" width="42.85546875" style="1" customWidth="1"/>
    <col min="4099" max="4100" width="7.85546875" style="1" customWidth="1"/>
    <col min="4101" max="4102" width="21.140625" style="1" customWidth="1"/>
    <col min="4103" max="4352" width="9.140625" style="1"/>
    <col min="4353" max="4353" width="6.28515625" style="1" customWidth="1"/>
    <col min="4354" max="4354" width="42.85546875" style="1" customWidth="1"/>
    <col min="4355" max="4356" width="7.85546875" style="1" customWidth="1"/>
    <col min="4357" max="4358" width="21.140625" style="1" customWidth="1"/>
    <col min="4359" max="4608" width="9.140625" style="1"/>
    <col min="4609" max="4609" width="6.28515625" style="1" customWidth="1"/>
    <col min="4610" max="4610" width="42.85546875" style="1" customWidth="1"/>
    <col min="4611" max="4612" width="7.85546875" style="1" customWidth="1"/>
    <col min="4613" max="4614" width="21.140625" style="1" customWidth="1"/>
    <col min="4615" max="4864" width="9.140625" style="1"/>
    <col min="4865" max="4865" width="6.28515625" style="1" customWidth="1"/>
    <col min="4866" max="4866" width="42.85546875" style="1" customWidth="1"/>
    <col min="4867" max="4868" width="7.85546875" style="1" customWidth="1"/>
    <col min="4869" max="4870" width="21.140625" style="1" customWidth="1"/>
    <col min="4871" max="5120" width="9.140625" style="1"/>
    <col min="5121" max="5121" width="6.28515625" style="1" customWidth="1"/>
    <col min="5122" max="5122" width="42.85546875" style="1" customWidth="1"/>
    <col min="5123" max="5124" width="7.85546875" style="1" customWidth="1"/>
    <col min="5125" max="5126" width="21.140625" style="1" customWidth="1"/>
    <col min="5127" max="5376" width="9.140625" style="1"/>
    <col min="5377" max="5377" width="6.28515625" style="1" customWidth="1"/>
    <col min="5378" max="5378" width="42.85546875" style="1" customWidth="1"/>
    <col min="5379" max="5380" width="7.85546875" style="1" customWidth="1"/>
    <col min="5381" max="5382" width="21.140625" style="1" customWidth="1"/>
    <col min="5383" max="5632" width="9.140625" style="1"/>
    <col min="5633" max="5633" width="6.28515625" style="1" customWidth="1"/>
    <col min="5634" max="5634" width="42.85546875" style="1" customWidth="1"/>
    <col min="5635" max="5636" width="7.85546875" style="1" customWidth="1"/>
    <col min="5637" max="5638" width="21.140625" style="1" customWidth="1"/>
    <col min="5639" max="5888" width="9.140625" style="1"/>
    <col min="5889" max="5889" width="6.28515625" style="1" customWidth="1"/>
    <col min="5890" max="5890" width="42.85546875" style="1" customWidth="1"/>
    <col min="5891" max="5892" width="7.85546875" style="1" customWidth="1"/>
    <col min="5893" max="5894" width="21.140625" style="1" customWidth="1"/>
    <col min="5895" max="6144" width="9.140625" style="1"/>
    <col min="6145" max="6145" width="6.28515625" style="1" customWidth="1"/>
    <col min="6146" max="6146" width="42.85546875" style="1" customWidth="1"/>
    <col min="6147" max="6148" width="7.85546875" style="1" customWidth="1"/>
    <col min="6149" max="6150" width="21.140625" style="1" customWidth="1"/>
    <col min="6151" max="6400" width="9.140625" style="1"/>
    <col min="6401" max="6401" width="6.28515625" style="1" customWidth="1"/>
    <col min="6402" max="6402" width="42.85546875" style="1" customWidth="1"/>
    <col min="6403" max="6404" width="7.85546875" style="1" customWidth="1"/>
    <col min="6405" max="6406" width="21.140625" style="1" customWidth="1"/>
    <col min="6407" max="6656" width="9.140625" style="1"/>
    <col min="6657" max="6657" width="6.28515625" style="1" customWidth="1"/>
    <col min="6658" max="6658" width="42.85546875" style="1" customWidth="1"/>
    <col min="6659" max="6660" width="7.85546875" style="1" customWidth="1"/>
    <col min="6661" max="6662" width="21.140625" style="1" customWidth="1"/>
    <col min="6663" max="6912" width="9.140625" style="1"/>
    <col min="6913" max="6913" width="6.28515625" style="1" customWidth="1"/>
    <col min="6914" max="6914" width="42.85546875" style="1" customWidth="1"/>
    <col min="6915" max="6916" width="7.85546875" style="1" customWidth="1"/>
    <col min="6917" max="6918" width="21.140625" style="1" customWidth="1"/>
    <col min="6919" max="7168" width="9.140625" style="1"/>
    <col min="7169" max="7169" width="6.28515625" style="1" customWidth="1"/>
    <col min="7170" max="7170" width="42.85546875" style="1" customWidth="1"/>
    <col min="7171" max="7172" width="7.85546875" style="1" customWidth="1"/>
    <col min="7173" max="7174" width="21.140625" style="1" customWidth="1"/>
    <col min="7175" max="7424" width="9.140625" style="1"/>
    <col min="7425" max="7425" width="6.28515625" style="1" customWidth="1"/>
    <col min="7426" max="7426" width="42.85546875" style="1" customWidth="1"/>
    <col min="7427" max="7428" width="7.85546875" style="1" customWidth="1"/>
    <col min="7429" max="7430" width="21.140625" style="1" customWidth="1"/>
    <col min="7431" max="7680" width="9.140625" style="1"/>
    <col min="7681" max="7681" width="6.28515625" style="1" customWidth="1"/>
    <col min="7682" max="7682" width="42.85546875" style="1" customWidth="1"/>
    <col min="7683" max="7684" width="7.85546875" style="1" customWidth="1"/>
    <col min="7685" max="7686" width="21.140625" style="1" customWidth="1"/>
    <col min="7687" max="7936" width="9.140625" style="1"/>
    <col min="7937" max="7937" width="6.28515625" style="1" customWidth="1"/>
    <col min="7938" max="7938" width="42.85546875" style="1" customWidth="1"/>
    <col min="7939" max="7940" width="7.85546875" style="1" customWidth="1"/>
    <col min="7941" max="7942" width="21.140625" style="1" customWidth="1"/>
    <col min="7943" max="8192" width="9.140625" style="1"/>
    <col min="8193" max="8193" width="6.28515625" style="1" customWidth="1"/>
    <col min="8194" max="8194" width="42.85546875" style="1" customWidth="1"/>
    <col min="8195" max="8196" width="7.85546875" style="1" customWidth="1"/>
    <col min="8197" max="8198" width="21.140625" style="1" customWidth="1"/>
    <col min="8199" max="8448" width="9.140625" style="1"/>
    <col min="8449" max="8449" width="6.28515625" style="1" customWidth="1"/>
    <col min="8450" max="8450" width="42.85546875" style="1" customWidth="1"/>
    <col min="8451" max="8452" width="7.85546875" style="1" customWidth="1"/>
    <col min="8453" max="8454" width="21.140625" style="1" customWidth="1"/>
    <col min="8455" max="8704" width="9.140625" style="1"/>
    <col min="8705" max="8705" width="6.28515625" style="1" customWidth="1"/>
    <col min="8706" max="8706" width="42.85546875" style="1" customWidth="1"/>
    <col min="8707" max="8708" width="7.85546875" style="1" customWidth="1"/>
    <col min="8709" max="8710" width="21.140625" style="1" customWidth="1"/>
    <col min="8711" max="8960" width="9.140625" style="1"/>
    <col min="8961" max="8961" width="6.28515625" style="1" customWidth="1"/>
    <col min="8962" max="8962" width="42.85546875" style="1" customWidth="1"/>
    <col min="8963" max="8964" width="7.85546875" style="1" customWidth="1"/>
    <col min="8965" max="8966" width="21.140625" style="1" customWidth="1"/>
    <col min="8967" max="9216" width="9.140625" style="1"/>
    <col min="9217" max="9217" width="6.28515625" style="1" customWidth="1"/>
    <col min="9218" max="9218" width="42.85546875" style="1" customWidth="1"/>
    <col min="9219" max="9220" width="7.85546875" style="1" customWidth="1"/>
    <col min="9221" max="9222" width="21.140625" style="1" customWidth="1"/>
    <col min="9223" max="9472" width="9.140625" style="1"/>
    <col min="9473" max="9473" width="6.28515625" style="1" customWidth="1"/>
    <col min="9474" max="9474" width="42.85546875" style="1" customWidth="1"/>
    <col min="9475" max="9476" width="7.85546875" style="1" customWidth="1"/>
    <col min="9477" max="9478" width="21.140625" style="1" customWidth="1"/>
    <col min="9479" max="9728" width="9.140625" style="1"/>
    <col min="9729" max="9729" width="6.28515625" style="1" customWidth="1"/>
    <col min="9730" max="9730" width="42.85546875" style="1" customWidth="1"/>
    <col min="9731" max="9732" width="7.85546875" style="1" customWidth="1"/>
    <col min="9733" max="9734" width="21.140625" style="1" customWidth="1"/>
    <col min="9735" max="9984" width="9.140625" style="1"/>
    <col min="9985" max="9985" width="6.28515625" style="1" customWidth="1"/>
    <col min="9986" max="9986" width="42.85546875" style="1" customWidth="1"/>
    <col min="9987" max="9988" width="7.85546875" style="1" customWidth="1"/>
    <col min="9989" max="9990" width="21.140625" style="1" customWidth="1"/>
    <col min="9991" max="10240" width="9.140625" style="1"/>
    <col min="10241" max="10241" width="6.28515625" style="1" customWidth="1"/>
    <col min="10242" max="10242" width="42.85546875" style="1" customWidth="1"/>
    <col min="10243" max="10244" width="7.85546875" style="1" customWidth="1"/>
    <col min="10245" max="10246" width="21.140625" style="1" customWidth="1"/>
    <col min="10247" max="10496" width="9.140625" style="1"/>
    <col min="10497" max="10497" width="6.28515625" style="1" customWidth="1"/>
    <col min="10498" max="10498" width="42.85546875" style="1" customWidth="1"/>
    <col min="10499" max="10500" width="7.85546875" style="1" customWidth="1"/>
    <col min="10501" max="10502" width="21.140625" style="1" customWidth="1"/>
    <col min="10503" max="10752" width="9.140625" style="1"/>
    <col min="10753" max="10753" width="6.28515625" style="1" customWidth="1"/>
    <col min="10754" max="10754" width="42.85546875" style="1" customWidth="1"/>
    <col min="10755" max="10756" width="7.85546875" style="1" customWidth="1"/>
    <col min="10757" max="10758" width="21.140625" style="1" customWidth="1"/>
    <col min="10759" max="11008" width="9.140625" style="1"/>
    <col min="11009" max="11009" width="6.28515625" style="1" customWidth="1"/>
    <col min="11010" max="11010" width="42.85546875" style="1" customWidth="1"/>
    <col min="11011" max="11012" width="7.85546875" style="1" customWidth="1"/>
    <col min="11013" max="11014" width="21.140625" style="1" customWidth="1"/>
    <col min="11015" max="11264" width="9.140625" style="1"/>
    <col min="11265" max="11265" width="6.28515625" style="1" customWidth="1"/>
    <col min="11266" max="11266" width="42.85546875" style="1" customWidth="1"/>
    <col min="11267" max="11268" width="7.85546875" style="1" customWidth="1"/>
    <col min="11269" max="11270" width="21.140625" style="1" customWidth="1"/>
    <col min="11271" max="11520" width="9.140625" style="1"/>
    <col min="11521" max="11521" width="6.28515625" style="1" customWidth="1"/>
    <col min="11522" max="11522" width="42.85546875" style="1" customWidth="1"/>
    <col min="11523" max="11524" width="7.85546875" style="1" customWidth="1"/>
    <col min="11525" max="11526" width="21.140625" style="1" customWidth="1"/>
    <col min="11527" max="11776" width="9.140625" style="1"/>
    <col min="11777" max="11777" width="6.28515625" style="1" customWidth="1"/>
    <col min="11778" max="11778" width="42.85546875" style="1" customWidth="1"/>
    <col min="11779" max="11780" width="7.85546875" style="1" customWidth="1"/>
    <col min="11781" max="11782" width="21.140625" style="1" customWidth="1"/>
    <col min="11783" max="12032" width="9.140625" style="1"/>
    <col min="12033" max="12033" width="6.28515625" style="1" customWidth="1"/>
    <col min="12034" max="12034" width="42.85546875" style="1" customWidth="1"/>
    <col min="12035" max="12036" width="7.85546875" style="1" customWidth="1"/>
    <col min="12037" max="12038" width="21.140625" style="1" customWidth="1"/>
    <col min="12039" max="12288" width="9.140625" style="1"/>
    <col min="12289" max="12289" width="6.28515625" style="1" customWidth="1"/>
    <col min="12290" max="12290" width="42.85546875" style="1" customWidth="1"/>
    <col min="12291" max="12292" width="7.85546875" style="1" customWidth="1"/>
    <col min="12293" max="12294" width="21.140625" style="1" customWidth="1"/>
    <col min="12295" max="12544" width="9.140625" style="1"/>
    <col min="12545" max="12545" width="6.28515625" style="1" customWidth="1"/>
    <col min="12546" max="12546" width="42.85546875" style="1" customWidth="1"/>
    <col min="12547" max="12548" width="7.85546875" style="1" customWidth="1"/>
    <col min="12549" max="12550" width="21.140625" style="1" customWidth="1"/>
    <col min="12551" max="12800" width="9.140625" style="1"/>
    <col min="12801" max="12801" width="6.28515625" style="1" customWidth="1"/>
    <col min="12802" max="12802" width="42.85546875" style="1" customWidth="1"/>
    <col min="12803" max="12804" width="7.85546875" style="1" customWidth="1"/>
    <col min="12805" max="12806" width="21.140625" style="1" customWidth="1"/>
    <col min="12807" max="13056" width="9.140625" style="1"/>
    <col min="13057" max="13057" width="6.28515625" style="1" customWidth="1"/>
    <col min="13058" max="13058" width="42.85546875" style="1" customWidth="1"/>
    <col min="13059" max="13060" width="7.85546875" style="1" customWidth="1"/>
    <col min="13061" max="13062" width="21.140625" style="1" customWidth="1"/>
    <col min="13063" max="13312" width="9.140625" style="1"/>
    <col min="13313" max="13313" width="6.28515625" style="1" customWidth="1"/>
    <col min="13314" max="13314" width="42.85546875" style="1" customWidth="1"/>
    <col min="13315" max="13316" width="7.85546875" style="1" customWidth="1"/>
    <col min="13317" max="13318" width="21.140625" style="1" customWidth="1"/>
    <col min="13319" max="13568" width="9.140625" style="1"/>
    <col min="13569" max="13569" width="6.28515625" style="1" customWidth="1"/>
    <col min="13570" max="13570" width="42.85546875" style="1" customWidth="1"/>
    <col min="13571" max="13572" width="7.85546875" style="1" customWidth="1"/>
    <col min="13573" max="13574" width="21.140625" style="1" customWidth="1"/>
    <col min="13575" max="13824" width="9.140625" style="1"/>
    <col min="13825" max="13825" width="6.28515625" style="1" customWidth="1"/>
    <col min="13826" max="13826" width="42.85546875" style="1" customWidth="1"/>
    <col min="13827" max="13828" width="7.85546875" style="1" customWidth="1"/>
    <col min="13829" max="13830" width="21.140625" style="1" customWidth="1"/>
    <col min="13831" max="14080" width="9.140625" style="1"/>
    <col min="14081" max="14081" width="6.28515625" style="1" customWidth="1"/>
    <col min="14082" max="14082" width="42.85546875" style="1" customWidth="1"/>
    <col min="14083" max="14084" width="7.85546875" style="1" customWidth="1"/>
    <col min="14085" max="14086" width="21.140625" style="1" customWidth="1"/>
    <col min="14087" max="14336" width="9.140625" style="1"/>
    <col min="14337" max="14337" width="6.28515625" style="1" customWidth="1"/>
    <col min="14338" max="14338" width="42.85546875" style="1" customWidth="1"/>
    <col min="14339" max="14340" width="7.85546875" style="1" customWidth="1"/>
    <col min="14341" max="14342" width="21.140625" style="1" customWidth="1"/>
    <col min="14343" max="14592" width="9.140625" style="1"/>
    <col min="14593" max="14593" width="6.28515625" style="1" customWidth="1"/>
    <col min="14594" max="14594" width="42.85546875" style="1" customWidth="1"/>
    <col min="14595" max="14596" width="7.85546875" style="1" customWidth="1"/>
    <col min="14597" max="14598" width="21.140625" style="1" customWidth="1"/>
    <col min="14599" max="14848" width="9.140625" style="1"/>
    <col min="14849" max="14849" width="6.28515625" style="1" customWidth="1"/>
    <col min="14850" max="14850" width="42.85546875" style="1" customWidth="1"/>
    <col min="14851" max="14852" width="7.85546875" style="1" customWidth="1"/>
    <col min="14853" max="14854" width="21.140625" style="1" customWidth="1"/>
    <col min="14855" max="15104" width="9.140625" style="1"/>
    <col min="15105" max="15105" width="6.28515625" style="1" customWidth="1"/>
    <col min="15106" max="15106" width="42.85546875" style="1" customWidth="1"/>
    <col min="15107" max="15108" width="7.85546875" style="1" customWidth="1"/>
    <col min="15109" max="15110" width="21.140625" style="1" customWidth="1"/>
    <col min="15111" max="15360" width="9.140625" style="1"/>
    <col min="15361" max="15361" width="6.28515625" style="1" customWidth="1"/>
    <col min="15362" max="15362" width="42.85546875" style="1" customWidth="1"/>
    <col min="15363" max="15364" width="7.85546875" style="1" customWidth="1"/>
    <col min="15365" max="15366" width="21.140625" style="1" customWidth="1"/>
    <col min="15367" max="15616" width="9.140625" style="1"/>
    <col min="15617" max="15617" width="6.28515625" style="1" customWidth="1"/>
    <col min="15618" max="15618" width="42.85546875" style="1" customWidth="1"/>
    <col min="15619" max="15620" width="7.85546875" style="1" customWidth="1"/>
    <col min="15621" max="15622" width="21.140625" style="1" customWidth="1"/>
    <col min="15623" max="15872" width="9.140625" style="1"/>
    <col min="15873" max="15873" width="6.28515625" style="1" customWidth="1"/>
    <col min="15874" max="15874" width="42.85546875" style="1" customWidth="1"/>
    <col min="15875" max="15876" width="7.85546875" style="1" customWidth="1"/>
    <col min="15877" max="15878" width="21.140625" style="1" customWidth="1"/>
    <col min="15879" max="16128" width="9.140625" style="1"/>
    <col min="16129" max="16129" width="6.28515625" style="1" customWidth="1"/>
    <col min="16130" max="16130" width="42.85546875" style="1" customWidth="1"/>
    <col min="16131" max="16132" width="7.85546875" style="1" customWidth="1"/>
    <col min="16133" max="16134" width="21.140625" style="1" customWidth="1"/>
    <col min="16135" max="16384" width="9.140625" style="1"/>
  </cols>
  <sheetData>
    <row r="1" spans="1:6" ht="23.25" customHeight="1">
      <c r="A1" s="273"/>
      <c r="B1" s="273"/>
      <c r="C1" s="274" t="s">
        <v>707</v>
      </c>
      <c r="D1" s="274"/>
      <c r="E1" s="274"/>
      <c r="F1" s="274"/>
    </row>
    <row r="2" spans="1:6" ht="24" customHeight="1">
      <c r="A2" s="275" t="s">
        <v>542</v>
      </c>
      <c r="B2" s="275"/>
      <c r="C2" s="275"/>
      <c r="D2" s="275"/>
      <c r="E2" s="275"/>
      <c r="F2" s="275"/>
    </row>
    <row r="3" spans="1:6" ht="3.75" customHeight="1">
      <c r="A3" s="2"/>
      <c r="B3" s="2"/>
      <c r="C3" s="2"/>
      <c r="D3" s="2"/>
      <c r="E3" s="2"/>
      <c r="F3" s="2"/>
    </row>
    <row r="4" spans="1:6" ht="30.75" customHeight="1">
      <c r="A4" s="290" t="s">
        <v>708</v>
      </c>
      <c r="B4" s="290"/>
      <c r="C4" s="290"/>
      <c r="D4" s="290"/>
      <c r="E4" s="290"/>
      <c r="F4" s="290"/>
    </row>
    <row r="5" spans="1:6" ht="11.25" customHeight="1">
      <c r="A5" s="301" t="s">
        <v>4</v>
      </c>
      <c r="B5" s="301"/>
      <c r="C5" s="301"/>
      <c r="D5" s="301"/>
      <c r="E5" s="301"/>
      <c r="F5" s="301"/>
    </row>
    <row r="6" spans="1:6" ht="5.25" customHeight="1">
      <c r="A6" s="2"/>
      <c r="B6" s="2"/>
      <c r="C6" s="91"/>
      <c r="D6" s="2"/>
      <c r="E6" s="2"/>
      <c r="F6" s="2"/>
    </row>
    <row r="7" spans="1:6" ht="4.5" customHeight="1">
      <c r="A7" s="2"/>
      <c r="B7" s="2"/>
      <c r="C7" s="2"/>
      <c r="D7" s="2"/>
      <c r="E7" s="2"/>
      <c r="F7" s="2"/>
    </row>
    <row r="8" spans="1:6" ht="12.75" customHeight="1">
      <c r="A8" s="284" t="s">
        <v>6</v>
      </c>
      <c r="B8" s="284"/>
      <c r="C8" s="284" t="s">
        <v>7</v>
      </c>
      <c r="D8" s="284"/>
      <c r="E8" s="284"/>
      <c r="F8" s="284"/>
    </row>
    <row r="9" spans="1:6" ht="12.75" customHeight="1">
      <c r="A9" s="292" t="s">
        <v>8</v>
      </c>
      <c r="B9" s="292"/>
      <c r="C9" s="292" t="s">
        <v>9</v>
      </c>
      <c r="D9" s="292"/>
      <c r="E9" s="292"/>
      <c r="F9" s="292"/>
    </row>
    <row r="10" spans="1:6" ht="12.75" customHeight="1">
      <c r="A10" s="284" t="s">
        <v>11</v>
      </c>
      <c r="B10" s="284"/>
      <c r="C10" s="284" t="s">
        <v>12</v>
      </c>
      <c r="D10" s="284"/>
      <c r="E10" s="284"/>
      <c r="F10" s="284"/>
    </row>
    <row r="11" spans="1:6" ht="12.75" customHeight="1">
      <c r="A11" s="292" t="s">
        <v>13</v>
      </c>
      <c r="B11" s="292"/>
      <c r="C11" s="292" t="s">
        <v>14</v>
      </c>
      <c r="D11" s="292"/>
      <c r="E11" s="292"/>
      <c r="F11" s="292"/>
    </row>
    <row r="12" spans="1:6" ht="12.75" customHeight="1">
      <c r="A12" s="284" t="s">
        <v>16</v>
      </c>
      <c r="B12" s="284"/>
      <c r="C12" s="284" t="s">
        <v>17</v>
      </c>
      <c r="D12" s="284"/>
      <c r="E12" s="284"/>
      <c r="F12" s="284"/>
    </row>
    <row r="13" spans="1:6" ht="12.75" customHeight="1">
      <c r="A13" s="292" t="s">
        <v>18</v>
      </c>
      <c r="B13" s="292"/>
      <c r="C13" s="292" t="s">
        <v>19</v>
      </c>
      <c r="D13" s="292"/>
      <c r="E13" s="292"/>
      <c r="F13" s="292"/>
    </row>
    <row r="14" spans="1:6" ht="12.75" customHeight="1">
      <c r="A14" s="284" t="s">
        <v>21</v>
      </c>
      <c r="B14" s="284"/>
      <c r="C14" s="293">
        <v>44109</v>
      </c>
      <c r="D14" s="284"/>
      <c r="E14" s="284"/>
      <c r="F14" s="284"/>
    </row>
    <row r="15" spans="1:6" ht="12.75" customHeight="1">
      <c r="A15" s="292" t="s">
        <v>22</v>
      </c>
      <c r="B15" s="292"/>
      <c r="C15" s="294">
        <v>44109</v>
      </c>
      <c r="D15" s="292"/>
      <c r="E15" s="292"/>
      <c r="F15" s="292"/>
    </row>
    <row r="16" spans="1:6" ht="12.75" customHeight="1">
      <c r="A16" s="6"/>
      <c r="B16" s="92"/>
      <c r="C16" s="6"/>
      <c r="D16" s="6"/>
      <c r="E16" s="6"/>
      <c r="F16" s="67" t="s">
        <v>25</v>
      </c>
    </row>
    <row r="17" spans="1:6" ht="36" customHeight="1">
      <c r="A17" s="7" t="s">
        <v>26</v>
      </c>
      <c r="B17" s="8" t="s">
        <v>709</v>
      </c>
      <c r="C17" s="8" t="s">
        <v>582</v>
      </c>
      <c r="D17" s="8" t="s">
        <v>710</v>
      </c>
      <c r="E17" s="93" t="s">
        <v>367</v>
      </c>
      <c r="F17" s="9" t="s">
        <v>369</v>
      </c>
    </row>
    <row r="18" spans="1:6" ht="21">
      <c r="A18" s="94" t="s">
        <v>33</v>
      </c>
      <c r="B18" s="95" t="s">
        <v>711</v>
      </c>
      <c r="C18" s="96" t="s">
        <v>33</v>
      </c>
      <c r="D18" s="96"/>
      <c r="E18" s="97">
        <v>0</v>
      </c>
      <c r="F18" s="98">
        <v>0</v>
      </c>
    </row>
    <row r="19" spans="1:6" ht="21">
      <c r="A19" s="94" t="s">
        <v>5</v>
      </c>
      <c r="B19" s="95" t="s">
        <v>712</v>
      </c>
      <c r="C19" s="96" t="s">
        <v>713</v>
      </c>
      <c r="D19" s="96"/>
      <c r="E19" s="97">
        <f>E20+E25+E26</f>
        <v>14866265764</v>
      </c>
      <c r="F19" s="98">
        <f>F20+F25+F26</f>
        <v>1386571201</v>
      </c>
    </row>
    <row r="20" spans="1:6" ht="21">
      <c r="A20" s="99" t="s">
        <v>714</v>
      </c>
      <c r="B20" s="100" t="s">
        <v>715</v>
      </c>
      <c r="C20" s="101" t="s">
        <v>716</v>
      </c>
      <c r="D20" s="101"/>
      <c r="E20" s="102">
        <f>E21+E22+E23+E24</f>
        <v>1328738761</v>
      </c>
      <c r="F20" s="103">
        <f>F21+F22+F23+F24</f>
        <v>1316002108</v>
      </c>
    </row>
    <row r="21" spans="1:6" ht="21">
      <c r="A21" s="104"/>
      <c r="B21" s="105" t="s">
        <v>717</v>
      </c>
      <c r="C21" s="106" t="s">
        <v>718</v>
      </c>
      <c r="D21" s="106"/>
      <c r="E21" s="107">
        <v>0</v>
      </c>
      <c r="F21" s="108">
        <v>0</v>
      </c>
    </row>
    <row r="22" spans="1:6" ht="21">
      <c r="A22" s="104"/>
      <c r="B22" s="105" t="s">
        <v>380</v>
      </c>
      <c r="C22" s="106" t="s">
        <v>719</v>
      </c>
      <c r="D22" s="106"/>
      <c r="E22" s="107">
        <v>0</v>
      </c>
      <c r="F22" s="108">
        <v>0</v>
      </c>
    </row>
    <row r="23" spans="1:6" ht="21">
      <c r="A23" s="104"/>
      <c r="B23" s="105" t="s">
        <v>382</v>
      </c>
      <c r="C23" s="106" t="s">
        <v>720</v>
      </c>
      <c r="D23" s="106"/>
      <c r="E23" s="107">
        <v>1328738761</v>
      </c>
      <c r="F23" s="108">
        <v>1316002108</v>
      </c>
    </row>
    <row r="24" spans="1:6" ht="31.5">
      <c r="A24" s="104"/>
      <c r="B24" s="105" t="s">
        <v>721</v>
      </c>
      <c r="C24" s="106" t="s">
        <v>722</v>
      </c>
      <c r="D24" s="106"/>
      <c r="E24" s="107">
        <v>0</v>
      </c>
      <c r="F24" s="108">
        <v>0</v>
      </c>
    </row>
    <row r="25" spans="1:6" ht="21">
      <c r="A25" s="99" t="s">
        <v>723</v>
      </c>
      <c r="B25" s="100" t="s">
        <v>724</v>
      </c>
      <c r="C25" s="101" t="s">
        <v>725</v>
      </c>
      <c r="D25" s="101"/>
      <c r="E25" s="102">
        <v>13500000000</v>
      </c>
      <c r="F25" s="103">
        <v>0</v>
      </c>
    </row>
    <row r="26" spans="1:6" ht="21">
      <c r="A26" s="99" t="s">
        <v>726</v>
      </c>
      <c r="B26" s="100" t="s">
        <v>727</v>
      </c>
      <c r="C26" s="101" t="s">
        <v>728</v>
      </c>
      <c r="D26" s="101"/>
      <c r="E26" s="102">
        <v>37527003</v>
      </c>
      <c r="F26" s="103">
        <v>70569093</v>
      </c>
    </row>
    <row r="27" spans="1:6" ht="21">
      <c r="A27" s="94" t="s">
        <v>10</v>
      </c>
      <c r="B27" s="95" t="s">
        <v>729</v>
      </c>
      <c r="C27" s="96" t="s">
        <v>730</v>
      </c>
      <c r="D27" s="96"/>
      <c r="E27" s="97">
        <f>E28-E38</f>
        <v>2232023736450</v>
      </c>
      <c r="F27" s="98">
        <f>F28-F38</f>
        <v>1845621176300</v>
      </c>
    </row>
    <row r="28" spans="1:6" ht="21">
      <c r="A28" s="99" t="s">
        <v>731</v>
      </c>
      <c r="B28" s="100" t="s">
        <v>732</v>
      </c>
      <c r="C28" s="101" t="s">
        <v>733</v>
      </c>
      <c r="D28" s="101"/>
      <c r="E28" s="102">
        <f>E29+E30+E31+E32+E33+E34+E35+E36+E37</f>
        <v>2232023736450</v>
      </c>
      <c r="F28" s="103">
        <f>F29+F30+F31+F32+F33+F34+F35+F36+F37</f>
        <v>1845621176300</v>
      </c>
    </row>
    <row r="29" spans="1:6" ht="21">
      <c r="A29" s="104"/>
      <c r="B29" s="105" t="s">
        <v>734</v>
      </c>
      <c r="C29" s="106" t="s">
        <v>735</v>
      </c>
      <c r="D29" s="106"/>
      <c r="E29" s="107">
        <v>2232023736450</v>
      </c>
      <c r="F29" s="108">
        <v>1845621176300</v>
      </c>
    </row>
    <row r="30" spans="1:6" ht="21">
      <c r="A30" s="104"/>
      <c r="B30" s="105" t="s">
        <v>736</v>
      </c>
      <c r="C30" s="106" t="s">
        <v>737</v>
      </c>
      <c r="D30" s="106"/>
      <c r="E30" s="107">
        <v>0</v>
      </c>
      <c r="F30" s="108">
        <v>0</v>
      </c>
    </row>
    <row r="31" spans="1:6" ht="21">
      <c r="A31" s="104"/>
      <c r="B31" s="105" t="s">
        <v>738</v>
      </c>
      <c r="C31" s="106" t="s">
        <v>739</v>
      </c>
      <c r="D31" s="106"/>
      <c r="E31" s="107">
        <v>0</v>
      </c>
      <c r="F31" s="108">
        <v>0</v>
      </c>
    </row>
    <row r="32" spans="1:6" ht="21">
      <c r="A32" s="104"/>
      <c r="B32" s="105" t="s">
        <v>740</v>
      </c>
      <c r="C32" s="106" t="s">
        <v>741</v>
      </c>
      <c r="D32" s="106"/>
      <c r="E32" s="107">
        <v>0</v>
      </c>
      <c r="F32" s="108">
        <v>0</v>
      </c>
    </row>
    <row r="33" spans="1:6" ht="21">
      <c r="A33" s="104"/>
      <c r="B33" s="105" t="s">
        <v>742</v>
      </c>
      <c r="C33" s="106" t="s">
        <v>743</v>
      </c>
      <c r="D33" s="106"/>
      <c r="E33" s="107">
        <v>0</v>
      </c>
      <c r="F33" s="108">
        <v>0</v>
      </c>
    </row>
    <row r="34" spans="1:6" ht="21">
      <c r="A34" s="104"/>
      <c r="B34" s="105" t="s">
        <v>398</v>
      </c>
      <c r="C34" s="106" t="s">
        <v>744</v>
      </c>
      <c r="D34" s="106"/>
      <c r="E34" s="107">
        <v>0</v>
      </c>
      <c r="F34" s="108">
        <v>0</v>
      </c>
    </row>
    <row r="35" spans="1:6" ht="21">
      <c r="A35" s="104"/>
      <c r="B35" s="105" t="s">
        <v>90</v>
      </c>
      <c r="C35" s="106" t="s">
        <v>745</v>
      </c>
      <c r="D35" s="106"/>
      <c r="E35" s="107">
        <v>0</v>
      </c>
      <c r="F35" s="108">
        <v>0</v>
      </c>
    </row>
    <row r="36" spans="1:6" ht="21">
      <c r="A36" s="104"/>
      <c r="B36" s="105" t="s">
        <v>402</v>
      </c>
      <c r="C36" s="106" t="s">
        <v>746</v>
      </c>
      <c r="D36" s="106"/>
      <c r="E36" s="107">
        <v>0</v>
      </c>
      <c r="F36" s="108">
        <v>0</v>
      </c>
    </row>
    <row r="37" spans="1:6" ht="21">
      <c r="A37" s="104"/>
      <c r="B37" s="105" t="s">
        <v>747</v>
      </c>
      <c r="C37" s="106" t="s">
        <v>748</v>
      </c>
      <c r="D37" s="106"/>
      <c r="E37" s="107">
        <v>0</v>
      </c>
      <c r="F37" s="108">
        <v>0</v>
      </c>
    </row>
    <row r="38" spans="1:6" ht="21">
      <c r="A38" s="99" t="s">
        <v>749</v>
      </c>
      <c r="B38" s="100" t="s">
        <v>750</v>
      </c>
      <c r="C38" s="101" t="s">
        <v>751</v>
      </c>
      <c r="D38" s="101"/>
      <c r="E38" s="102">
        <v>0</v>
      </c>
      <c r="F38" s="103">
        <v>0</v>
      </c>
    </row>
    <row r="39" spans="1:6" ht="21">
      <c r="A39" s="94" t="s">
        <v>15</v>
      </c>
      <c r="B39" s="95" t="s">
        <v>752</v>
      </c>
      <c r="C39" s="96" t="s">
        <v>753</v>
      </c>
      <c r="D39" s="96"/>
      <c r="E39" s="97">
        <f>E40+E42+E56-E64</f>
        <v>1595486703</v>
      </c>
      <c r="F39" s="98">
        <f>F40+F42+F56-F64</f>
        <v>8465845000</v>
      </c>
    </row>
    <row r="40" spans="1:6" ht="21">
      <c r="A40" s="99" t="s">
        <v>754</v>
      </c>
      <c r="B40" s="100" t="s">
        <v>755</v>
      </c>
      <c r="C40" s="101" t="s">
        <v>756</v>
      </c>
      <c r="D40" s="101"/>
      <c r="E40" s="102">
        <v>1581941500</v>
      </c>
      <c r="F40" s="103">
        <v>0</v>
      </c>
    </row>
    <row r="41" spans="1:6" ht="21">
      <c r="A41" s="99"/>
      <c r="B41" s="100" t="s">
        <v>757</v>
      </c>
      <c r="C41" s="101" t="s">
        <v>758</v>
      </c>
      <c r="D41" s="101"/>
      <c r="E41" s="102">
        <v>0</v>
      </c>
      <c r="F41" s="103">
        <v>0</v>
      </c>
    </row>
    <row r="42" spans="1:6" ht="21">
      <c r="A42" s="99" t="s">
        <v>759</v>
      </c>
      <c r="B42" s="100" t="s">
        <v>760</v>
      </c>
      <c r="C42" s="101" t="s">
        <v>761</v>
      </c>
      <c r="D42" s="101"/>
      <c r="E42" s="102">
        <f>E43+E49+E50</f>
        <v>13545203</v>
      </c>
      <c r="F42" s="103">
        <f>F43+F49+F50</f>
        <v>8465845000</v>
      </c>
    </row>
    <row r="43" spans="1:6" ht="21">
      <c r="A43" s="99" t="s">
        <v>762</v>
      </c>
      <c r="B43" s="100" t="s">
        <v>763</v>
      </c>
      <c r="C43" s="101" t="s">
        <v>764</v>
      </c>
      <c r="D43" s="101"/>
      <c r="E43" s="102">
        <f>E44+E45+E46+E47+E48</f>
        <v>0</v>
      </c>
      <c r="F43" s="103">
        <f>F44+F45+F46+F47+F48</f>
        <v>0</v>
      </c>
    </row>
    <row r="44" spans="1:6" ht="21">
      <c r="A44" s="104"/>
      <c r="B44" s="105" t="s">
        <v>765</v>
      </c>
      <c r="C44" s="106" t="s">
        <v>766</v>
      </c>
      <c r="D44" s="106"/>
      <c r="E44" s="107">
        <v>0</v>
      </c>
      <c r="F44" s="108">
        <v>0</v>
      </c>
    </row>
    <row r="45" spans="1:6" ht="21">
      <c r="A45" s="104"/>
      <c r="B45" s="105" t="s">
        <v>411</v>
      </c>
      <c r="C45" s="106" t="s">
        <v>767</v>
      </c>
      <c r="D45" s="106"/>
      <c r="E45" s="107">
        <v>0</v>
      </c>
      <c r="F45" s="108">
        <v>0</v>
      </c>
    </row>
    <row r="46" spans="1:6" ht="31.5">
      <c r="A46" s="104"/>
      <c r="B46" s="105" t="s">
        <v>768</v>
      </c>
      <c r="C46" s="106" t="s">
        <v>769</v>
      </c>
      <c r="D46" s="106"/>
      <c r="E46" s="107">
        <v>0</v>
      </c>
      <c r="F46" s="108">
        <v>0</v>
      </c>
    </row>
    <row r="47" spans="1:6" ht="31.5">
      <c r="A47" s="104"/>
      <c r="B47" s="105" t="s">
        <v>418</v>
      </c>
      <c r="C47" s="106" t="s">
        <v>770</v>
      </c>
      <c r="D47" s="106"/>
      <c r="E47" s="107">
        <v>0</v>
      </c>
      <c r="F47" s="108">
        <v>0</v>
      </c>
    </row>
    <row r="48" spans="1:6" ht="21">
      <c r="A48" s="104"/>
      <c r="B48" s="105" t="s">
        <v>771</v>
      </c>
      <c r="C48" s="106" t="s">
        <v>772</v>
      </c>
      <c r="D48" s="106"/>
      <c r="E48" s="107">
        <v>0</v>
      </c>
      <c r="F48" s="108">
        <v>0</v>
      </c>
    </row>
    <row r="49" spans="1:6" ht="42">
      <c r="A49" s="99"/>
      <c r="B49" s="100" t="s">
        <v>773</v>
      </c>
      <c r="C49" s="101" t="s">
        <v>774</v>
      </c>
      <c r="D49" s="101"/>
      <c r="E49" s="102">
        <v>0</v>
      </c>
      <c r="F49" s="103">
        <v>0</v>
      </c>
    </row>
    <row r="50" spans="1:6" ht="21">
      <c r="A50" s="99" t="s">
        <v>775</v>
      </c>
      <c r="B50" s="100" t="s">
        <v>776</v>
      </c>
      <c r="C50" s="101" t="s">
        <v>777</v>
      </c>
      <c r="D50" s="101"/>
      <c r="E50" s="102">
        <f>E51+E52+E53+E54+E55</f>
        <v>13545203</v>
      </c>
      <c r="F50" s="103">
        <f>F51+F52+F53+F54+F55</f>
        <v>8465845000</v>
      </c>
    </row>
    <row r="51" spans="1:6" ht="21">
      <c r="A51" s="104"/>
      <c r="B51" s="105" t="s">
        <v>778</v>
      </c>
      <c r="C51" s="106" t="s">
        <v>779</v>
      </c>
      <c r="D51" s="106"/>
      <c r="E51" s="107">
        <v>0</v>
      </c>
      <c r="F51" s="108">
        <v>8465845000</v>
      </c>
    </row>
    <row r="52" spans="1:6" ht="21">
      <c r="A52" s="104"/>
      <c r="B52" s="105" t="s">
        <v>780</v>
      </c>
      <c r="C52" s="106" t="s">
        <v>781</v>
      </c>
      <c r="D52" s="106"/>
      <c r="E52" s="107">
        <v>0</v>
      </c>
      <c r="F52" s="108">
        <v>0</v>
      </c>
    </row>
    <row r="53" spans="1:6" ht="31.5">
      <c r="A53" s="104"/>
      <c r="B53" s="105" t="s">
        <v>782</v>
      </c>
      <c r="C53" s="106" t="s">
        <v>783</v>
      </c>
      <c r="D53" s="106"/>
      <c r="E53" s="107">
        <v>13545203</v>
      </c>
      <c r="F53" s="108">
        <v>0</v>
      </c>
    </row>
    <row r="54" spans="1:6" ht="31.5">
      <c r="A54" s="104"/>
      <c r="B54" s="105" t="s">
        <v>784</v>
      </c>
      <c r="C54" s="106" t="s">
        <v>785</v>
      </c>
      <c r="D54" s="106"/>
      <c r="E54" s="107">
        <v>0</v>
      </c>
      <c r="F54" s="108">
        <v>0</v>
      </c>
    </row>
    <row r="55" spans="1:6" ht="21">
      <c r="A55" s="104"/>
      <c r="B55" s="105" t="s">
        <v>786</v>
      </c>
      <c r="C55" s="106" t="s">
        <v>787</v>
      </c>
      <c r="D55" s="106"/>
      <c r="E55" s="107">
        <v>0</v>
      </c>
      <c r="F55" s="108">
        <v>0</v>
      </c>
    </row>
    <row r="56" spans="1:6" ht="21">
      <c r="A56" s="99" t="s">
        <v>788</v>
      </c>
      <c r="B56" s="100" t="s">
        <v>789</v>
      </c>
      <c r="C56" s="101" t="s">
        <v>790</v>
      </c>
      <c r="D56" s="101"/>
      <c r="E56" s="102">
        <f>E57+E58+E63</f>
        <v>0</v>
      </c>
      <c r="F56" s="103">
        <f>F57+F58+F63</f>
        <v>0</v>
      </c>
    </row>
    <row r="57" spans="1:6" ht="31.5">
      <c r="A57" s="104"/>
      <c r="B57" s="105" t="s">
        <v>791</v>
      </c>
      <c r="C57" s="106" t="s">
        <v>792</v>
      </c>
      <c r="D57" s="106"/>
      <c r="E57" s="107">
        <v>0</v>
      </c>
      <c r="F57" s="108">
        <v>0</v>
      </c>
    </row>
    <row r="58" spans="1:6" ht="21">
      <c r="A58" s="104"/>
      <c r="B58" s="105" t="s">
        <v>435</v>
      </c>
      <c r="C58" s="106" t="s">
        <v>793</v>
      </c>
      <c r="D58" s="106"/>
      <c r="E58" s="107">
        <f>E59+E60+E61+E62</f>
        <v>0</v>
      </c>
      <c r="F58" s="108">
        <f>F59+F60+F61+F62</f>
        <v>0</v>
      </c>
    </row>
    <row r="59" spans="1:6" ht="21">
      <c r="A59" s="104"/>
      <c r="B59" s="105" t="s">
        <v>112</v>
      </c>
      <c r="C59" s="106" t="s">
        <v>794</v>
      </c>
      <c r="D59" s="106"/>
      <c r="E59" s="107">
        <v>0</v>
      </c>
      <c r="F59" s="108">
        <v>0</v>
      </c>
    </row>
    <row r="60" spans="1:6" ht="21">
      <c r="A60" s="104"/>
      <c r="B60" s="105" t="s">
        <v>795</v>
      </c>
      <c r="C60" s="106" t="s">
        <v>796</v>
      </c>
      <c r="D60" s="106"/>
      <c r="E60" s="107">
        <v>0</v>
      </c>
      <c r="F60" s="108">
        <v>0</v>
      </c>
    </row>
    <row r="61" spans="1:6" ht="21">
      <c r="A61" s="104"/>
      <c r="B61" s="105" t="s">
        <v>116</v>
      </c>
      <c r="C61" s="106" t="s">
        <v>797</v>
      </c>
      <c r="D61" s="106"/>
      <c r="E61" s="107">
        <v>0</v>
      </c>
      <c r="F61" s="108">
        <v>0</v>
      </c>
    </row>
    <row r="62" spans="1:6" ht="31.5">
      <c r="A62" s="104"/>
      <c r="B62" s="105" t="s">
        <v>118</v>
      </c>
      <c r="C62" s="106" t="s">
        <v>798</v>
      </c>
      <c r="D62" s="106"/>
      <c r="E62" s="107">
        <v>0</v>
      </c>
      <c r="F62" s="108">
        <v>0</v>
      </c>
    </row>
    <row r="63" spans="1:6" ht="21">
      <c r="A63" s="104"/>
      <c r="B63" s="105" t="s">
        <v>432</v>
      </c>
      <c r="C63" s="106" t="s">
        <v>799</v>
      </c>
      <c r="D63" s="106"/>
      <c r="E63" s="107">
        <v>0</v>
      </c>
      <c r="F63" s="108">
        <v>0</v>
      </c>
    </row>
    <row r="64" spans="1:6" ht="21">
      <c r="A64" s="99" t="s">
        <v>800</v>
      </c>
      <c r="B64" s="100" t="s">
        <v>801</v>
      </c>
      <c r="C64" s="101" t="s">
        <v>802</v>
      </c>
      <c r="D64" s="101"/>
      <c r="E64" s="102">
        <v>0</v>
      </c>
      <c r="F64" s="103">
        <v>0</v>
      </c>
    </row>
    <row r="65" spans="1:6" ht="21">
      <c r="A65" s="94"/>
      <c r="B65" s="95" t="s">
        <v>803</v>
      </c>
      <c r="C65" s="96" t="s">
        <v>804</v>
      </c>
      <c r="D65" s="96"/>
      <c r="E65" s="97">
        <f>E19+E27+E39</f>
        <v>2248485488917</v>
      </c>
      <c r="F65" s="98">
        <f>F19+F27+F39</f>
        <v>1855473592501</v>
      </c>
    </row>
    <row r="66" spans="1:6" ht="21">
      <c r="A66" s="94" t="s">
        <v>76</v>
      </c>
      <c r="B66" s="95" t="s">
        <v>805</v>
      </c>
      <c r="C66" s="96" t="s">
        <v>76</v>
      </c>
      <c r="D66" s="96"/>
      <c r="E66" s="97">
        <v>0</v>
      </c>
      <c r="F66" s="98">
        <v>0</v>
      </c>
    </row>
    <row r="67" spans="1:6" ht="21">
      <c r="A67" s="99" t="s">
        <v>5</v>
      </c>
      <c r="B67" s="100" t="s">
        <v>806</v>
      </c>
      <c r="C67" s="101" t="s">
        <v>807</v>
      </c>
      <c r="D67" s="101"/>
      <c r="E67" s="102">
        <v>0</v>
      </c>
      <c r="F67" s="103">
        <v>0</v>
      </c>
    </row>
    <row r="68" spans="1:6" ht="21">
      <c r="A68" s="99"/>
      <c r="B68" s="100" t="s">
        <v>808</v>
      </c>
      <c r="C68" s="101" t="s">
        <v>809</v>
      </c>
      <c r="D68" s="101"/>
      <c r="E68" s="102">
        <v>0</v>
      </c>
      <c r="F68" s="103">
        <v>0</v>
      </c>
    </row>
    <row r="69" spans="1:6" ht="21">
      <c r="A69" s="99"/>
      <c r="B69" s="100" t="s">
        <v>810</v>
      </c>
      <c r="C69" s="101" t="s">
        <v>811</v>
      </c>
      <c r="D69" s="101"/>
      <c r="E69" s="102">
        <v>0</v>
      </c>
      <c r="F69" s="103">
        <v>0</v>
      </c>
    </row>
    <row r="70" spans="1:6" ht="21">
      <c r="A70" s="99" t="s">
        <v>10</v>
      </c>
      <c r="B70" s="100" t="s">
        <v>812</v>
      </c>
      <c r="C70" s="101" t="s">
        <v>813</v>
      </c>
      <c r="D70" s="101"/>
      <c r="E70" s="102">
        <v>0</v>
      </c>
      <c r="F70" s="103">
        <v>0</v>
      </c>
    </row>
    <row r="71" spans="1:6" ht="42">
      <c r="A71" s="99" t="s">
        <v>15</v>
      </c>
      <c r="B71" s="100" t="s">
        <v>814</v>
      </c>
      <c r="C71" s="101" t="s">
        <v>815</v>
      </c>
      <c r="D71" s="101"/>
      <c r="E71" s="102">
        <f>E72+E73</f>
        <v>0</v>
      </c>
      <c r="F71" s="103">
        <f>F72+F73</f>
        <v>0</v>
      </c>
    </row>
    <row r="72" spans="1:6" ht="21">
      <c r="A72" s="104"/>
      <c r="B72" s="105" t="s">
        <v>816</v>
      </c>
      <c r="C72" s="106" t="s">
        <v>817</v>
      </c>
      <c r="D72" s="106"/>
      <c r="E72" s="107">
        <v>0</v>
      </c>
      <c r="F72" s="108">
        <v>0</v>
      </c>
    </row>
    <row r="73" spans="1:6" ht="31.5">
      <c r="A73" s="104"/>
      <c r="B73" s="105" t="s">
        <v>818</v>
      </c>
      <c r="C73" s="106" t="s">
        <v>819</v>
      </c>
      <c r="D73" s="106"/>
      <c r="E73" s="107">
        <v>0</v>
      </c>
      <c r="F73" s="108">
        <v>0</v>
      </c>
    </row>
    <row r="74" spans="1:6" ht="21">
      <c r="A74" s="99" t="s">
        <v>20</v>
      </c>
      <c r="B74" s="100" t="s">
        <v>820</v>
      </c>
      <c r="C74" s="101" t="s">
        <v>821</v>
      </c>
      <c r="D74" s="101"/>
      <c r="E74" s="102">
        <v>0</v>
      </c>
      <c r="F74" s="103">
        <v>0</v>
      </c>
    </row>
    <row r="75" spans="1:6" ht="21">
      <c r="A75" s="99" t="s">
        <v>44</v>
      </c>
      <c r="B75" s="100" t="s">
        <v>822</v>
      </c>
      <c r="C75" s="101" t="s">
        <v>823</v>
      </c>
      <c r="D75" s="101"/>
      <c r="E75" s="102">
        <v>0</v>
      </c>
      <c r="F75" s="103">
        <v>0</v>
      </c>
    </row>
    <row r="76" spans="1:6" ht="21">
      <c r="A76" s="99" t="s">
        <v>47</v>
      </c>
      <c r="B76" s="100" t="s">
        <v>824</v>
      </c>
      <c r="C76" s="101" t="s">
        <v>825</v>
      </c>
      <c r="D76" s="101"/>
      <c r="E76" s="102">
        <f>E77+E78+E79+E80+E81+E82+E83</f>
        <v>44593906</v>
      </c>
      <c r="F76" s="103">
        <f>F77+F78+F79+F80+F81+F82+F83</f>
        <v>27627561</v>
      </c>
    </row>
    <row r="77" spans="1:6" ht="21">
      <c r="A77" s="104"/>
      <c r="B77" s="105" t="s">
        <v>826</v>
      </c>
      <c r="C77" s="106" t="s">
        <v>827</v>
      </c>
      <c r="D77" s="106"/>
      <c r="E77" s="107">
        <v>0</v>
      </c>
      <c r="F77" s="108">
        <v>0</v>
      </c>
    </row>
    <row r="78" spans="1:6" ht="21">
      <c r="A78" s="104"/>
      <c r="B78" s="105" t="s">
        <v>828</v>
      </c>
      <c r="C78" s="106" t="s">
        <v>829</v>
      </c>
      <c r="D78" s="106"/>
      <c r="E78" s="107">
        <v>29037913</v>
      </c>
      <c r="F78" s="108">
        <v>13398103</v>
      </c>
    </row>
    <row r="79" spans="1:6" ht="21">
      <c r="A79" s="104"/>
      <c r="B79" s="105" t="s">
        <v>830</v>
      </c>
      <c r="C79" s="106" t="s">
        <v>831</v>
      </c>
      <c r="D79" s="106"/>
      <c r="E79" s="107">
        <v>0</v>
      </c>
      <c r="F79" s="108">
        <v>0</v>
      </c>
    </row>
    <row r="80" spans="1:6" ht="21">
      <c r="A80" s="104"/>
      <c r="B80" s="105" t="s">
        <v>832</v>
      </c>
      <c r="C80" s="106" t="s">
        <v>833</v>
      </c>
      <c r="D80" s="106"/>
      <c r="E80" s="107">
        <v>0</v>
      </c>
      <c r="F80" s="108">
        <v>0</v>
      </c>
    </row>
    <row r="81" spans="1:6" ht="31.5">
      <c r="A81" s="104"/>
      <c r="B81" s="105" t="s">
        <v>834</v>
      </c>
      <c r="C81" s="106" t="s">
        <v>835</v>
      </c>
      <c r="D81" s="106"/>
      <c r="E81" s="107">
        <v>11993008</v>
      </c>
      <c r="F81" s="108">
        <v>11257023</v>
      </c>
    </row>
    <row r="82" spans="1:6" ht="21">
      <c r="A82" s="104"/>
      <c r="B82" s="105" t="s">
        <v>836</v>
      </c>
      <c r="C82" s="106" t="s">
        <v>837</v>
      </c>
      <c r="D82" s="106"/>
      <c r="E82" s="107">
        <v>0</v>
      </c>
      <c r="F82" s="108">
        <v>0</v>
      </c>
    </row>
    <row r="83" spans="1:6" ht="21">
      <c r="A83" s="104"/>
      <c r="B83" s="105" t="s">
        <v>838</v>
      </c>
      <c r="C83" s="106" t="s">
        <v>839</v>
      </c>
      <c r="D83" s="106"/>
      <c r="E83" s="107">
        <v>3562985</v>
      </c>
      <c r="F83" s="108">
        <v>2972435</v>
      </c>
    </row>
    <row r="84" spans="1:6" ht="21">
      <c r="A84" s="99" t="s">
        <v>50</v>
      </c>
      <c r="B84" s="100" t="s">
        <v>840</v>
      </c>
      <c r="C84" s="101" t="s">
        <v>841</v>
      </c>
      <c r="D84" s="101"/>
      <c r="E84" s="102">
        <v>0</v>
      </c>
      <c r="F84" s="103">
        <v>0</v>
      </c>
    </row>
    <row r="85" spans="1:6" ht="21">
      <c r="A85" s="99" t="s">
        <v>53</v>
      </c>
      <c r="B85" s="100" t="s">
        <v>842</v>
      </c>
      <c r="C85" s="101" t="s">
        <v>843</v>
      </c>
      <c r="D85" s="101"/>
      <c r="E85" s="102">
        <v>1618848411</v>
      </c>
      <c r="F85" s="103">
        <v>30243897</v>
      </c>
    </row>
    <row r="86" spans="1:6" ht="21">
      <c r="A86" s="99" t="s">
        <v>56</v>
      </c>
      <c r="B86" s="100" t="s">
        <v>844</v>
      </c>
      <c r="C86" s="101" t="s">
        <v>845</v>
      </c>
      <c r="D86" s="101"/>
      <c r="E86" s="102">
        <f>E87+E88+E93+E94+E95+E96+E97</f>
        <v>1943050629</v>
      </c>
      <c r="F86" s="103">
        <f>F87+F88+F93+F94+F95+F96+F97</f>
        <v>1491074693</v>
      </c>
    </row>
    <row r="87" spans="1:6" ht="21">
      <c r="A87" s="104" t="s">
        <v>846</v>
      </c>
      <c r="B87" s="105" t="s">
        <v>847</v>
      </c>
      <c r="C87" s="106" t="s">
        <v>848</v>
      </c>
      <c r="D87" s="106"/>
      <c r="E87" s="107">
        <v>1344848804</v>
      </c>
      <c r="F87" s="108">
        <v>1087312281</v>
      </c>
    </row>
    <row r="88" spans="1:6" ht="21">
      <c r="A88" s="104" t="s">
        <v>849</v>
      </c>
      <c r="B88" s="105" t="s">
        <v>850</v>
      </c>
      <c r="C88" s="106" t="s">
        <v>851</v>
      </c>
      <c r="D88" s="106"/>
      <c r="E88" s="107">
        <f>E89+E90+E91</f>
        <v>39621222</v>
      </c>
      <c r="F88" s="108">
        <f>F89+F90+F91</f>
        <v>31082806</v>
      </c>
    </row>
    <row r="89" spans="1:6" ht="21">
      <c r="A89" s="104"/>
      <c r="B89" s="105" t="s">
        <v>852</v>
      </c>
      <c r="C89" s="106" t="s">
        <v>853</v>
      </c>
      <c r="D89" s="106"/>
      <c r="E89" s="107">
        <v>33621222</v>
      </c>
      <c r="F89" s="108">
        <v>27182806</v>
      </c>
    </row>
    <row r="90" spans="1:6" ht="21">
      <c r="A90" s="104"/>
      <c r="B90" s="105" t="s">
        <v>854</v>
      </c>
      <c r="C90" s="106" t="s">
        <v>855</v>
      </c>
      <c r="D90" s="106"/>
      <c r="E90" s="107">
        <v>6000000</v>
      </c>
      <c r="F90" s="108">
        <v>3900000</v>
      </c>
    </row>
    <row r="91" spans="1:6" ht="21">
      <c r="A91" s="104"/>
      <c r="B91" s="105" t="s">
        <v>856</v>
      </c>
      <c r="C91" s="106" t="s">
        <v>857</v>
      </c>
      <c r="D91" s="106"/>
      <c r="E91" s="107">
        <v>0</v>
      </c>
      <c r="F91" s="108">
        <v>0</v>
      </c>
    </row>
    <row r="92" spans="1:6" ht="42">
      <c r="A92" s="104"/>
      <c r="B92" s="105" t="s">
        <v>858</v>
      </c>
      <c r="C92" s="106" t="s">
        <v>859</v>
      </c>
      <c r="D92" s="106"/>
      <c r="E92" s="107">
        <v>0</v>
      </c>
      <c r="F92" s="108">
        <v>0</v>
      </c>
    </row>
    <row r="93" spans="1:6" ht="21">
      <c r="A93" s="104" t="s">
        <v>860</v>
      </c>
      <c r="B93" s="105" t="s">
        <v>861</v>
      </c>
      <c r="C93" s="106" t="s">
        <v>862</v>
      </c>
      <c r="D93" s="106"/>
      <c r="E93" s="107">
        <v>36983344</v>
      </c>
      <c r="F93" s="108">
        <v>29901088</v>
      </c>
    </row>
    <row r="94" spans="1:6" ht="21">
      <c r="A94" s="104" t="s">
        <v>863</v>
      </c>
      <c r="B94" s="105" t="s">
        <v>864</v>
      </c>
      <c r="C94" s="106" t="s">
        <v>865</v>
      </c>
      <c r="D94" s="106"/>
      <c r="E94" s="107">
        <v>73966684</v>
      </c>
      <c r="F94" s="108">
        <v>59802175</v>
      </c>
    </row>
    <row r="95" spans="1:6" ht="21">
      <c r="A95" s="104" t="s">
        <v>866</v>
      </c>
      <c r="B95" s="105" t="s">
        <v>867</v>
      </c>
      <c r="C95" s="106" t="s">
        <v>868</v>
      </c>
      <c r="D95" s="106"/>
      <c r="E95" s="107">
        <v>16500000</v>
      </c>
      <c r="F95" s="108">
        <v>11000000</v>
      </c>
    </row>
    <row r="96" spans="1:6" ht="31.5">
      <c r="A96" s="104" t="s">
        <v>869</v>
      </c>
      <c r="B96" s="105" t="s">
        <v>870</v>
      </c>
      <c r="C96" s="106" t="s">
        <v>871</v>
      </c>
      <c r="D96" s="106"/>
      <c r="E96" s="107">
        <v>213565597</v>
      </c>
      <c r="F96" s="108">
        <v>129512546</v>
      </c>
    </row>
    <row r="97" spans="1:6" ht="21">
      <c r="A97" s="104" t="s">
        <v>872</v>
      </c>
      <c r="B97" s="105" t="s">
        <v>873</v>
      </c>
      <c r="C97" s="106" t="s">
        <v>874</v>
      </c>
      <c r="D97" s="106"/>
      <c r="E97" s="107">
        <v>217564978</v>
      </c>
      <c r="F97" s="108">
        <v>142463797</v>
      </c>
    </row>
    <row r="98" spans="1:6" ht="21">
      <c r="A98" s="99" t="s">
        <v>59</v>
      </c>
      <c r="B98" s="100" t="s">
        <v>875</v>
      </c>
      <c r="C98" s="101" t="s">
        <v>876</v>
      </c>
      <c r="D98" s="101"/>
      <c r="E98" s="102">
        <f>E99+E100+E101</f>
        <v>0</v>
      </c>
      <c r="F98" s="103">
        <f>F99+F100+F101</f>
        <v>0</v>
      </c>
    </row>
    <row r="99" spans="1:6" ht="21">
      <c r="A99" s="104" t="s">
        <v>877</v>
      </c>
      <c r="B99" s="105" t="s">
        <v>878</v>
      </c>
      <c r="C99" s="106" t="s">
        <v>879</v>
      </c>
      <c r="D99" s="106"/>
      <c r="E99" s="107">
        <v>0</v>
      </c>
      <c r="F99" s="108">
        <v>0</v>
      </c>
    </row>
    <row r="100" spans="1:6" ht="31.5">
      <c r="A100" s="104" t="s">
        <v>880</v>
      </c>
      <c r="B100" s="105" t="s">
        <v>881</v>
      </c>
      <c r="C100" s="106" t="s">
        <v>882</v>
      </c>
      <c r="D100" s="106"/>
      <c r="E100" s="107">
        <v>0</v>
      </c>
      <c r="F100" s="108">
        <v>0</v>
      </c>
    </row>
    <row r="101" spans="1:6" ht="21">
      <c r="A101" s="104" t="s">
        <v>883</v>
      </c>
      <c r="B101" s="105" t="s">
        <v>884</v>
      </c>
      <c r="C101" s="106" t="s">
        <v>885</v>
      </c>
      <c r="D101" s="106"/>
      <c r="E101" s="107">
        <f>E102+E103+E104+E105+E106</f>
        <v>0</v>
      </c>
      <c r="F101" s="108">
        <f>F102+F103+F104+F105+F106</f>
        <v>0</v>
      </c>
    </row>
    <row r="102" spans="1:6" ht="31.5">
      <c r="A102" s="104"/>
      <c r="B102" s="105" t="s">
        <v>517</v>
      </c>
      <c r="C102" s="106" t="s">
        <v>886</v>
      </c>
      <c r="D102" s="106"/>
      <c r="E102" s="107">
        <v>0</v>
      </c>
      <c r="F102" s="108">
        <v>0</v>
      </c>
    </row>
    <row r="103" spans="1:6" ht="21">
      <c r="A103" s="104"/>
      <c r="B103" s="105" t="s">
        <v>519</v>
      </c>
      <c r="C103" s="106" t="s">
        <v>887</v>
      </c>
      <c r="D103" s="106"/>
      <c r="E103" s="107">
        <v>0</v>
      </c>
      <c r="F103" s="108">
        <v>0</v>
      </c>
    </row>
    <row r="104" spans="1:6" ht="21">
      <c r="A104" s="99"/>
      <c r="B104" s="100" t="s">
        <v>888</v>
      </c>
      <c r="C104" s="101" t="s">
        <v>889</v>
      </c>
      <c r="D104" s="101"/>
      <c r="E104" s="102">
        <v>0</v>
      </c>
      <c r="F104" s="103">
        <v>0</v>
      </c>
    </row>
    <row r="105" spans="1:6" ht="21">
      <c r="A105" s="104"/>
      <c r="B105" s="105" t="s">
        <v>521</v>
      </c>
      <c r="C105" s="106" t="s">
        <v>890</v>
      </c>
      <c r="D105" s="106"/>
      <c r="E105" s="107">
        <v>0</v>
      </c>
      <c r="F105" s="108">
        <v>0</v>
      </c>
    </row>
    <row r="106" spans="1:6" ht="21">
      <c r="A106" s="104"/>
      <c r="B106" s="105" t="s">
        <v>891</v>
      </c>
      <c r="C106" s="106" t="s">
        <v>892</v>
      </c>
      <c r="D106" s="106"/>
      <c r="E106" s="107">
        <v>0</v>
      </c>
      <c r="F106" s="108">
        <v>0</v>
      </c>
    </row>
    <row r="107" spans="1:6" ht="21">
      <c r="A107" s="94"/>
      <c r="B107" s="95" t="s">
        <v>893</v>
      </c>
      <c r="C107" s="96" t="s">
        <v>894</v>
      </c>
      <c r="D107" s="96"/>
      <c r="E107" s="97">
        <f>E67+E70+E71+E74+E75+E76+E84+E85+E86+E98</f>
        <v>3606492946</v>
      </c>
      <c r="F107" s="98">
        <f>F67+F70+F71+F74+F75+F76+F84+F85+F86+F98</f>
        <v>1548946151</v>
      </c>
    </row>
    <row r="108" spans="1:6" ht="31.5">
      <c r="A108" s="94" t="s">
        <v>83</v>
      </c>
      <c r="B108" s="95" t="s">
        <v>895</v>
      </c>
      <c r="C108" s="96" t="s">
        <v>896</v>
      </c>
      <c r="D108" s="96"/>
      <c r="E108" s="97">
        <f>E65-E107</f>
        <v>2244878995971</v>
      </c>
      <c r="F108" s="98">
        <f>F65-F107</f>
        <v>1853924646350</v>
      </c>
    </row>
    <row r="109" spans="1:6" ht="21">
      <c r="A109" s="99" t="s">
        <v>5</v>
      </c>
      <c r="B109" s="100" t="s">
        <v>897</v>
      </c>
      <c r="C109" s="101" t="s">
        <v>898</v>
      </c>
      <c r="D109" s="101"/>
      <c r="E109" s="102">
        <f>E110+E111</f>
        <v>1683000000000</v>
      </c>
      <c r="F109" s="103">
        <f>F110+F111</f>
        <v>1457000000000</v>
      </c>
    </row>
    <row r="110" spans="1:6" ht="21">
      <c r="A110" s="99" t="s">
        <v>714</v>
      </c>
      <c r="B110" s="100" t="s">
        <v>899</v>
      </c>
      <c r="C110" s="101" t="s">
        <v>900</v>
      </c>
      <c r="D110" s="101"/>
      <c r="E110" s="102">
        <v>1714000000000</v>
      </c>
      <c r="F110" s="103">
        <v>1469000000000</v>
      </c>
    </row>
    <row r="111" spans="1:6" ht="21">
      <c r="A111" s="99" t="s">
        <v>723</v>
      </c>
      <c r="B111" s="100" t="s">
        <v>901</v>
      </c>
      <c r="C111" s="101" t="s">
        <v>902</v>
      </c>
      <c r="D111" s="101"/>
      <c r="E111" s="102">
        <v>-31000000000</v>
      </c>
      <c r="F111" s="103">
        <v>-12000000000</v>
      </c>
    </row>
    <row r="112" spans="1:6" ht="21">
      <c r="A112" s="99" t="s">
        <v>10</v>
      </c>
      <c r="B112" s="100" t="s">
        <v>903</v>
      </c>
      <c r="C112" s="101" t="s">
        <v>904</v>
      </c>
      <c r="D112" s="101"/>
      <c r="E112" s="102">
        <v>359965376499</v>
      </c>
      <c r="F112" s="103">
        <v>292547590167</v>
      </c>
    </row>
    <row r="113" spans="1:6" ht="21">
      <c r="A113" s="99" t="s">
        <v>15</v>
      </c>
      <c r="B113" s="100" t="s">
        <v>905</v>
      </c>
      <c r="C113" s="101" t="s">
        <v>906</v>
      </c>
      <c r="D113" s="101"/>
      <c r="E113" s="102">
        <f>E114+E115</f>
        <v>201913619472</v>
      </c>
      <c r="F113" s="103">
        <f>F114+F115</f>
        <v>104377056183</v>
      </c>
    </row>
    <row r="114" spans="1:6" ht="21">
      <c r="A114" s="99" t="s">
        <v>754</v>
      </c>
      <c r="B114" s="100" t="s">
        <v>907</v>
      </c>
      <c r="C114" s="101" t="s">
        <v>908</v>
      </c>
      <c r="D114" s="101"/>
      <c r="E114" s="102">
        <v>104377056183</v>
      </c>
      <c r="F114" s="103">
        <v>-139366185506</v>
      </c>
    </row>
    <row r="115" spans="1:6" ht="21">
      <c r="A115" s="99" t="s">
        <v>759</v>
      </c>
      <c r="B115" s="100" t="s">
        <v>909</v>
      </c>
      <c r="C115" s="101" t="s">
        <v>910</v>
      </c>
      <c r="D115" s="101"/>
      <c r="E115" s="102">
        <v>97536563289</v>
      </c>
      <c r="F115" s="103">
        <v>243743241689</v>
      </c>
    </row>
    <row r="116" spans="1:6" ht="31.5">
      <c r="A116" s="109" t="s">
        <v>87</v>
      </c>
      <c r="B116" s="110" t="s">
        <v>911</v>
      </c>
      <c r="C116" s="111" t="s">
        <v>912</v>
      </c>
      <c r="D116" s="111"/>
      <c r="E116" s="13">
        <v>13338.55</v>
      </c>
      <c r="F116" s="112">
        <v>12724.25</v>
      </c>
    </row>
    <row r="117" spans="1:6" ht="21">
      <c r="A117" s="94" t="s">
        <v>97</v>
      </c>
      <c r="B117" s="95" t="s">
        <v>913</v>
      </c>
      <c r="C117" s="96" t="s">
        <v>914</v>
      </c>
      <c r="D117" s="96"/>
      <c r="E117" s="97">
        <f>E118+E119</f>
        <v>0</v>
      </c>
      <c r="F117" s="98">
        <f>F118+F119</f>
        <v>0</v>
      </c>
    </row>
    <row r="118" spans="1:6" ht="31.5">
      <c r="A118" s="99" t="s">
        <v>5</v>
      </c>
      <c r="B118" s="100" t="s">
        <v>915</v>
      </c>
      <c r="C118" s="101" t="s">
        <v>916</v>
      </c>
      <c r="D118" s="101"/>
      <c r="E118" s="102">
        <v>0</v>
      </c>
      <c r="F118" s="103">
        <v>0</v>
      </c>
    </row>
    <row r="119" spans="1:6" ht="31.5">
      <c r="A119" s="99" t="s">
        <v>10</v>
      </c>
      <c r="B119" s="100" t="s">
        <v>917</v>
      </c>
      <c r="C119" s="101" t="s">
        <v>918</v>
      </c>
      <c r="D119" s="101"/>
      <c r="E119" s="102">
        <v>0</v>
      </c>
      <c r="F119" s="103">
        <v>0</v>
      </c>
    </row>
    <row r="120" spans="1:6" ht="31.5">
      <c r="A120" s="94" t="s">
        <v>121</v>
      </c>
      <c r="B120" s="95" t="s">
        <v>919</v>
      </c>
      <c r="C120" s="96" t="s">
        <v>121</v>
      </c>
      <c r="D120" s="96"/>
      <c r="E120" s="97">
        <v>0</v>
      </c>
      <c r="F120" s="98">
        <v>0</v>
      </c>
    </row>
    <row r="121" spans="1:6" ht="21">
      <c r="A121" s="99" t="s">
        <v>5</v>
      </c>
      <c r="B121" s="100" t="s">
        <v>920</v>
      </c>
      <c r="C121" s="101" t="s">
        <v>921</v>
      </c>
      <c r="D121" s="101"/>
      <c r="E121" s="102">
        <v>0</v>
      </c>
      <c r="F121" s="103">
        <v>0</v>
      </c>
    </row>
    <row r="122" spans="1:6" ht="21">
      <c r="A122" s="99" t="s">
        <v>10</v>
      </c>
      <c r="B122" s="100" t="s">
        <v>922</v>
      </c>
      <c r="C122" s="101" t="s">
        <v>923</v>
      </c>
      <c r="D122" s="101"/>
      <c r="E122" s="102">
        <v>0</v>
      </c>
      <c r="F122" s="103">
        <v>0</v>
      </c>
    </row>
    <row r="123" spans="1:6" ht="21">
      <c r="A123" s="99" t="s">
        <v>15</v>
      </c>
      <c r="B123" s="100" t="s">
        <v>924</v>
      </c>
      <c r="C123" s="101" t="s">
        <v>925</v>
      </c>
      <c r="D123" s="101"/>
      <c r="E123" s="102">
        <v>0</v>
      </c>
      <c r="F123" s="103">
        <v>0</v>
      </c>
    </row>
    <row r="124" spans="1:6" ht="21">
      <c r="A124" s="113" t="s">
        <v>20</v>
      </c>
      <c r="B124" s="114" t="s">
        <v>926</v>
      </c>
      <c r="C124" s="115" t="s">
        <v>927</v>
      </c>
      <c r="D124" s="115"/>
      <c r="E124" s="116">
        <v>168300000</v>
      </c>
      <c r="F124" s="117">
        <v>145700000</v>
      </c>
    </row>
    <row r="125" spans="1:6" ht="10.5" customHeight="1">
      <c r="A125" s="2"/>
      <c r="B125" s="2"/>
      <c r="C125" s="2"/>
      <c r="D125" s="2"/>
      <c r="E125" s="2"/>
      <c r="F125" s="2"/>
    </row>
    <row r="126" spans="1:6" ht="15" customHeight="1">
      <c r="A126" s="274" t="s">
        <v>705</v>
      </c>
      <c r="B126" s="274"/>
      <c r="C126" s="274" t="s">
        <v>574</v>
      </c>
      <c r="D126" s="274"/>
      <c r="E126" s="274" t="s">
        <v>706</v>
      </c>
      <c r="F126" s="274"/>
    </row>
    <row r="127" spans="1:6" ht="15" customHeight="1">
      <c r="A127" s="339" t="s">
        <v>576</v>
      </c>
      <c r="B127" s="339"/>
      <c r="C127" s="339" t="s">
        <v>576</v>
      </c>
      <c r="D127" s="339"/>
      <c r="E127" s="339" t="s">
        <v>577</v>
      </c>
      <c r="F127" s="339"/>
    </row>
    <row r="128" spans="1:6" ht="64.5" customHeight="1">
      <c r="A128" s="2"/>
      <c r="B128" s="2"/>
      <c r="C128" s="2"/>
      <c r="D128" s="2"/>
      <c r="E128" s="2"/>
      <c r="F128" s="2"/>
    </row>
    <row r="129" spans="1:6" ht="15.75" customHeight="1">
      <c r="A129" s="288" t="s">
        <v>928</v>
      </c>
      <c r="B129" s="288"/>
      <c r="C129" s="274" t="s">
        <v>1080</v>
      </c>
      <c r="D129" s="274"/>
      <c r="E129" s="274" t="s">
        <v>1079</v>
      </c>
      <c r="F129" s="274"/>
    </row>
  </sheetData>
  <mergeCells count="30">
    <mergeCell ref="A129:B129"/>
    <mergeCell ref="A15:B15"/>
    <mergeCell ref="C15:F15"/>
    <mergeCell ref="A126:B126"/>
    <mergeCell ref="C126:D126"/>
    <mergeCell ref="E126:F126"/>
    <mergeCell ref="A127:B127"/>
    <mergeCell ref="C127:D127"/>
    <mergeCell ref="E127:F127"/>
    <mergeCell ref="E129:F129"/>
    <mergeCell ref="C129:D129"/>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 right="0" top="0.59" bottom="0.59" header="0.5" footer="0.5"/>
  <pageSetup paperSize="9" scale="94"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33"/>
  <sheetViews>
    <sheetView showGridLines="0" showZeros="0" showOutlineSymbols="0" view="pageBreakPreview" topLeftCell="A22" zoomScaleNormal="100" zoomScaleSheetLayoutView="100" workbookViewId="0">
      <selection activeCell="C34" sqref="C34"/>
    </sheetView>
  </sheetViews>
  <sheetFormatPr defaultRowHeight="15"/>
  <cols>
    <col min="1" max="1" width="6.28515625" style="1" customWidth="1"/>
    <col min="2" max="2" width="45" style="1" customWidth="1"/>
    <col min="3" max="3" width="8.5703125" style="1" customWidth="1"/>
    <col min="4" max="5" width="21.140625" style="1" customWidth="1"/>
    <col min="6" max="256" width="9.140625" style="1"/>
    <col min="257" max="257" width="6.28515625" style="1" customWidth="1"/>
    <col min="258" max="258" width="45" style="1" customWidth="1"/>
    <col min="259" max="259" width="8.5703125" style="1" customWidth="1"/>
    <col min="260" max="261" width="21.140625" style="1" customWidth="1"/>
    <col min="262" max="512" width="9.140625" style="1"/>
    <col min="513" max="513" width="6.28515625" style="1" customWidth="1"/>
    <col min="514" max="514" width="45" style="1" customWidth="1"/>
    <col min="515" max="515" width="8.5703125" style="1" customWidth="1"/>
    <col min="516" max="517" width="21.140625" style="1" customWidth="1"/>
    <col min="518" max="768" width="9.140625" style="1"/>
    <col min="769" max="769" width="6.28515625" style="1" customWidth="1"/>
    <col min="770" max="770" width="45" style="1" customWidth="1"/>
    <col min="771" max="771" width="8.5703125" style="1" customWidth="1"/>
    <col min="772" max="773" width="21.140625" style="1" customWidth="1"/>
    <col min="774" max="1024" width="9.140625" style="1"/>
    <col min="1025" max="1025" width="6.28515625" style="1" customWidth="1"/>
    <col min="1026" max="1026" width="45" style="1" customWidth="1"/>
    <col min="1027" max="1027" width="8.5703125" style="1" customWidth="1"/>
    <col min="1028" max="1029" width="21.140625" style="1" customWidth="1"/>
    <col min="1030" max="1280" width="9.140625" style="1"/>
    <col min="1281" max="1281" width="6.28515625" style="1" customWidth="1"/>
    <col min="1282" max="1282" width="45" style="1" customWidth="1"/>
    <col min="1283" max="1283" width="8.5703125" style="1" customWidth="1"/>
    <col min="1284" max="1285" width="21.140625" style="1" customWidth="1"/>
    <col min="1286" max="1536" width="9.140625" style="1"/>
    <col min="1537" max="1537" width="6.28515625" style="1" customWidth="1"/>
    <col min="1538" max="1538" width="45" style="1" customWidth="1"/>
    <col min="1539" max="1539" width="8.5703125" style="1" customWidth="1"/>
    <col min="1540" max="1541" width="21.140625" style="1" customWidth="1"/>
    <col min="1542" max="1792" width="9.140625" style="1"/>
    <col min="1793" max="1793" width="6.28515625" style="1" customWidth="1"/>
    <col min="1794" max="1794" width="45" style="1" customWidth="1"/>
    <col min="1795" max="1795" width="8.5703125" style="1" customWidth="1"/>
    <col min="1796" max="1797" width="21.140625" style="1" customWidth="1"/>
    <col min="1798" max="2048" width="9.140625" style="1"/>
    <col min="2049" max="2049" width="6.28515625" style="1" customWidth="1"/>
    <col min="2050" max="2050" width="45" style="1" customWidth="1"/>
    <col min="2051" max="2051" width="8.5703125" style="1" customWidth="1"/>
    <col min="2052" max="2053" width="21.140625" style="1" customWidth="1"/>
    <col min="2054" max="2304" width="9.140625" style="1"/>
    <col min="2305" max="2305" width="6.28515625" style="1" customWidth="1"/>
    <col min="2306" max="2306" width="45" style="1" customWidth="1"/>
    <col min="2307" max="2307" width="8.5703125" style="1" customWidth="1"/>
    <col min="2308" max="2309" width="21.140625" style="1" customWidth="1"/>
    <col min="2310" max="2560" width="9.140625" style="1"/>
    <col min="2561" max="2561" width="6.28515625" style="1" customWidth="1"/>
    <col min="2562" max="2562" width="45" style="1" customWidth="1"/>
    <col min="2563" max="2563" width="8.5703125" style="1" customWidth="1"/>
    <col min="2564" max="2565" width="21.140625" style="1" customWidth="1"/>
    <col min="2566" max="2816" width="9.140625" style="1"/>
    <col min="2817" max="2817" width="6.28515625" style="1" customWidth="1"/>
    <col min="2818" max="2818" width="45" style="1" customWidth="1"/>
    <col min="2819" max="2819" width="8.5703125" style="1" customWidth="1"/>
    <col min="2820" max="2821" width="21.140625" style="1" customWidth="1"/>
    <col min="2822" max="3072" width="9.140625" style="1"/>
    <col min="3073" max="3073" width="6.28515625" style="1" customWidth="1"/>
    <col min="3074" max="3074" width="45" style="1" customWidth="1"/>
    <col min="3075" max="3075" width="8.5703125" style="1" customWidth="1"/>
    <col min="3076" max="3077" width="21.140625" style="1" customWidth="1"/>
    <col min="3078" max="3328" width="9.140625" style="1"/>
    <col min="3329" max="3329" width="6.28515625" style="1" customWidth="1"/>
    <col min="3330" max="3330" width="45" style="1" customWidth="1"/>
    <col min="3331" max="3331" width="8.5703125" style="1" customWidth="1"/>
    <col min="3332" max="3333" width="21.140625" style="1" customWidth="1"/>
    <col min="3334" max="3584" width="9.140625" style="1"/>
    <col min="3585" max="3585" width="6.28515625" style="1" customWidth="1"/>
    <col min="3586" max="3586" width="45" style="1" customWidth="1"/>
    <col min="3587" max="3587" width="8.5703125" style="1" customWidth="1"/>
    <col min="3588" max="3589" width="21.140625" style="1" customWidth="1"/>
    <col min="3590" max="3840" width="9.140625" style="1"/>
    <col min="3841" max="3841" width="6.28515625" style="1" customWidth="1"/>
    <col min="3842" max="3842" width="45" style="1" customWidth="1"/>
    <col min="3843" max="3843" width="8.5703125" style="1" customWidth="1"/>
    <col min="3844" max="3845" width="21.140625" style="1" customWidth="1"/>
    <col min="3846" max="4096" width="9.140625" style="1"/>
    <col min="4097" max="4097" width="6.28515625" style="1" customWidth="1"/>
    <col min="4098" max="4098" width="45" style="1" customWidth="1"/>
    <col min="4099" max="4099" width="8.5703125" style="1" customWidth="1"/>
    <col min="4100" max="4101" width="21.140625" style="1" customWidth="1"/>
    <col min="4102" max="4352" width="9.140625" style="1"/>
    <col min="4353" max="4353" width="6.28515625" style="1" customWidth="1"/>
    <col min="4354" max="4354" width="45" style="1" customWidth="1"/>
    <col min="4355" max="4355" width="8.5703125" style="1" customWidth="1"/>
    <col min="4356" max="4357" width="21.140625" style="1" customWidth="1"/>
    <col min="4358" max="4608" width="9.140625" style="1"/>
    <col min="4609" max="4609" width="6.28515625" style="1" customWidth="1"/>
    <col min="4610" max="4610" width="45" style="1" customWidth="1"/>
    <col min="4611" max="4611" width="8.5703125" style="1" customWidth="1"/>
    <col min="4612" max="4613" width="21.140625" style="1" customWidth="1"/>
    <col min="4614" max="4864" width="9.140625" style="1"/>
    <col min="4865" max="4865" width="6.28515625" style="1" customWidth="1"/>
    <col min="4866" max="4866" width="45" style="1" customWidth="1"/>
    <col min="4867" max="4867" width="8.5703125" style="1" customWidth="1"/>
    <col min="4868" max="4869" width="21.140625" style="1" customWidth="1"/>
    <col min="4870" max="5120" width="9.140625" style="1"/>
    <col min="5121" max="5121" width="6.28515625" style="1" customWidth="1"/>
    <col min="5122" max="5122" width="45" style="1" customWidth="1"/>
    <col min="5123" max="5123" width="8.5703125" style="1" customWidth="1"/>
    <col min="5124" max="5125" width="21.140625" style="1" customWidth="1"/>
    <col min="5126" max="5376" width="9.140625" style="1"/>
    <col min="5377" max="5377" width="6.28515625" style="1" customWidth="1"/>
    <col min="5378" max="5378" width="45" style="1" customWidth="1"/>
    <col min="5379" max="5379" width="8.5703125" style="1" customWidth="1"/>
    <col min="5380" max="5381" width="21.140625" style="1" customWidth="1"/>
    <col min="5382" max="5632" width="9.140625" style="1"/>
    <col min="5633" max="5633" width="6.28515625" style="1" customWidth="1"/>
    <col min="5634" max="5634" width="45" style="1" customWidth="1"/>
    <col min="5635" max="5635" width="8.5703125" style="1" customWidth="1"/>
    <col min="5636" max="5637" width="21.140625" style="1" customWidth="1"/>
    <col min="5638" max="5888" width="9.140625" style="1"/>
    <col min="5889" max="5889" width="6.28515625" style="1" customWidth="1"/>
    <col min="5890" max="5890" width="45" style="1" customWidth="1"/>
    <col min="5891" max="5891" width="8.5703125" style="1" customWidth="1"/>
    <col min="5892" max="5893" width="21.140625" style="1" customWidth="1"/>
    <col min="5894" max="6144" width="9.140625" style="1"/>
    <col min="6145" max="6145" width="6.28515625" style="1" customWidth="1"/>
    <col min="6146" max="6146" width="45" style="1" customWidth="1"/>
    <col min="6147" max="6147" width="8.5703125" style="1" customWidth="1"/>
    <col min="6148" max="6149" width="21.140625" style="1" customWidth="1"/>
    <col min="6150" max="6400" width="9.140625" style="1"/>
    <col min="6401" max="6401" width="6.28515625" style="1" customWidth="1"/>
    <col min="6402" max="6402" width="45" style="1" customWidth="1"/>
    <col min="6403" max="6403" width="8.5703125" style="1" customWidth="1"/>
    <col min="6404" max="6405" width="21.140625" style="1" customWidth="1"/>
    <col min="6406" max="6656" width="9.140625" style="1"/>
    <col min="6657" max="6657" width="6.28515625" style="1" customWidth="1"/>
    <col min="6658" max="6658" width="45" style="1" customWidth="1"/>
    <col min="6659" max="6659" width="8.5703125" style="1" customWidth="1"/>
    <col min="6660" max="6661" width="21.140625" style="1" customWidth="1"/>
    <col min="6662" max="6912" width="9.140625" style="1"/>
    <col min="6913" max="6913" width="6.28515625" style="1" customWidth="1"/>
    <col min="6914" max="6914" width="45" style="1" customWidth="1"/>
    <col min="6915" max="6915" width="8.5703125" style="1" customWidth="1"/>
    <col min="6916" max="6917" width="21.140625" style="1" customWidth="1"/>
    <col min="6918" max="7168" width="9.140625" style="1"/>
    <col min="7169" max="7169" width="6.28515625" style="1" customWidth="1"/>
    <col min="7170" max="7170" width="45" style="1" customWidth="1"/>
    <col min="7171" max="7171" width="8.5703125" style="1" customWidth="1"/>
    <col min="7172" max="7173" width="21.140625" style="1" customWidth="1"/>
    <col min="7174" max="7424" width="9.140625" style="1"/>
    <col min="7425" max="7425" width="6.28515625" style="1" customWidth="1"/>
    <col min="7426" max="7426" width="45" style="1" customWidth="1"/>
    <col min="7427" max="7427" width="8.5703125" style="1" customWidth="1"/>
    <col min="7428" max="7429" width="21.140625" style="1" customWidth="1"/>
    <col min="7430" max="7680" width="9.140625" style="1"/>
    <col min="7681" max="7681" width="6.28515625" style="1" customWidth="1"/>
    <col min="7682" max="7682" width="45" style="1" customWidth="1"/>
    <col min="7683" max="7683" width="8.5703125" style="1" customWidth="1"/>
    <col min="7684" max="7685" width="21.140625" style="1" customWidth="1"/>
    <col min="7686" max="7936" width="9.140625" style="1"/>
    <col min="7937" max="7937" width="6.28515625" style="1" customWidth="1"/>
    <col min="7938" max="7938" width="45" style="1" customWidth="1"/>
    <col min="7939" max="7939" width="8.5703125" style="1" customWidth="1"/>
    <col min="7940" max="7941" width="21.140625" style="1" customWidth="1"/>
    <col min="7942" max="8192" width="9.140625" style="1"/>
    <col min="8193" max="8193" width="6.28515625" style="1" customWidth="1"/>
    <col min="8194" max="8194" width="45" style="1" customWidth="1"/>
    <col min="8195" max="8195" width="8.5703125" style="1" customWidth="1"/>
    <col min="8196" max="8197" width="21.140625" style="1" customWidth="1"/>
    <col min="8198" max="8448" width="9.140625" style="1"/>
    <col min="8449" max="8449" width="6.28515625" style="1" customWidth="1"/>
    <col min="8450" max="8450" width="45" style="1" customWidth="1"/>
    <col min="8451" max="8451" width="8.5703125" style="1" customWidth="1"/>
    <col min="8452" max="8453" width="21.140625" style="1" customWidth="1"/>
    <col min="8454" max="8704" width="9.140625" style="1"/>
    <col min="8705" max="8705" width="6.28515625" style="1" customWidth="1"/>
    <col min="8706" max="8706" width="45" style="1" customWidth="1"/>
    <col min="8707" max="8707" width="8.5703125" style="1" customWidth="1"/>
    <col min="8708" max="8709" width="21.140625" style="1" customWidth="1"/>
    <col min="8710" max="8960" width="9.140625" style="1"/>
    <col min="8961" max="8961" width="6.28515625" style="1" customWidth="1"/>
    <col min="8962" max="8962" width="45" style="1" customWidth="1"/>
    <col min="8963" max="8963" width="8.5703125" style="1" customWidth="1"/>
    <col min="8964" max="8965" width="21.140625" style="1" customWidth="1"/>
    <col min="8966" max="9216" width="9.140625" style="1"/>
    <col min="9217" max="9217" width="6.28515625" style="1" customWidth="1"/>
    <col min="9218" max="9218" width="45" style="1" customWidth="1"/>
    <col min="9219" max="9219" width="8.5703125" style="1" customWidth="1"/>
    <col min="9220" max="9221" width="21.140625" style="1" customWidth="1"/>
    <col min="9222" max="9472" width="9.140625" style="1"/>
    <col min="9473" max="9473" width="6.28515625" style="1" customWidth="1"/>
    <col min="9474" max="9474" width="45" style="1" customWidth="1"/>
    <col min="9475" max="9475" width="8.5703125" style="1" customWidth="1"/>
    <col min="9476" max="9477" width="21.140625" style="1" customWidth="1"/>
    <col min="9478" max="9728" width="9.140625" style="1"/>
    <col min="9729" max="9729" width="6.28515625" style="1" customWidth="1"/>
    <col min="9730" max="9730" width="45" style="1" customWidth="1"/>
    <col min="9731" max="9731" width="8.5703125" style="1" customWidth="1"/>
    <col min="9732" max="9733" width="21.140625" style="1" customWidth="1"/>
    <col min="9734" max="9984" width="9.140625" style="1"/>
    <col min="9985" max="9985" width="6.28515625" style="1" customWidth="1"/>
    <col min="9986" max="9986" width="45" style="1" customWidth="1"/>
    <col min="9987" max="9987" width="8.5703125" style="1" customWidth="1"/>
    <col min="9988" max="9989" width="21.140625" style="1" customWidth="1"/>
    <col min="9990" max="10240" width="9.140625" style="1"/>
    <col min="10241" max="10241" width="6.28515625" style="1" customWidth="1"/>
    <col min="10242" max="10242" width="45" style="1" customWidth="1"/>
    <col min="10243" max="10243" width="8.5703125" style="1" customWidth="1"/>
    <col min="10244" max="10245" width="21.140625" style="1" customWidth="1"/>
    <col min="10246" max="10496" width="9.140625" style="1"/>
    <col min="10497" max="10497" width="6.28515625" style="1" customWidth="1"/>
    <col min="10498" max="10498" width="45" style="1" customWidth="1"/>
    <col min="10499" max="10499" width="8.5703125" style="1" customWidth="1"/>
    <col min="10500" max="10501" width="21.140625" style="1" customWidth="1"/>
    <col min="10502" max="10752" width="9.140625" style="1"/>
    <col min="10753" max="10753" width="6.28515625" style="1" customWidth="1"/>
    <col min="10754" max="10754" width="45" style="1" customWidth="1"/>
    <col min="10755" max="10755" width="8.5703125" style="1" customWidth="1"/>
    <col min="10756" max="10757" width="21.140625" style="1" customWidth="1"/>
    <col min="10758" max="11008" width="9.140625" style="1"/>
    <col min="11009" max="11009" width="6.28515625" style="1" customWidth="1"/>
    <col min="11010" max="11010" width="45" style="1" customWidth="1"/>
    <col min="11011" max="11011" width="8.5703125" style="1" customWidth="1"/>
    <col min="11012" max="11013" width="21.140625" style="1" customWidth="1"/>
    <col min="11014" max="11264" width="9.140625" style="1"/>
    <col min="11265" max="11265" width="6.28515625" style="1" customWidth="1"/>
    <col min="11266" max="11266" width="45" style="1" customWidth="1"/>
    <col min="11267" max="11267" width="8.5703125" style="1" customWidth="1"/>
    <col min="11268" max="11269" width="21.140625" style="1" customWidth="1"/>
    <col min="11270" max="11520" width="9.140625" style="1"/>
    <col min="11521" max="11521" width="6.28515625" style="1" customWidth="1"/>
    <col min="11522" max="11522" width="45" style="1" customWidth="1"/>
    <col min="11523" max="11523" width="8.5703125" style="1" customWidth="1"/>
    <col min="11524" max="11525" width="21.140625" style="1" customWidth="1"/>
    <col min="11526" max="11776" width="9.140625" style="1"/>
    <col min="11777" max="11777" width="6.28515625" style="1" customWidth="1"/>
    <col min="11778" max="11778" width="45" style="1" customWidth="1"/>
    <col min="11779" max="11779" width="8.5703125" style="1" customWidth="1"/>
    <col min="11780" max="11781" width="21.140625" style="1" customWidth="1"/>
    <col min="11782" max="12032" width="9.140625" style="1"/>
    <col min="12033" max="12033" width="6.28515625" style="1" customWidth="1"/>
    <col min="12034" max="12034" width="45" style="1" customWidth="1"/>
    <col min="12035" max="12035" width="8.5703125" style="1" customWidth="1"/>
    <col min="12036" max="12037" width="21.140625" style="1" customWidth="1"/>
    <col min="12038" max="12288" width="9.140625" style="1"/>
    <col min="12289" max="12289" width="6.28515625" style="1" customWidth="1"/>
    <col min="12290" max="12290" width="45" style="1" customWidth="1"/>
    <col min="12291" max="12291" width="8.5703125" style="1" customWidth="1"/>
    <col min="12292" max="12293" width="21.140625" style="1" customWidth="1"/>
    <col min="12294" max="12544" width="9.140625" style="1"/>
    <col min="12545" max="12545" width="6.28515625" style="1" customWidth="1"/>
    <col min="12546" max="12546" width="45" style="1" customWidth="1"/>
    <col min="12547" max="12547" width="8.5703125" style="1" customWidth="1"/>
    <col min="12548" max="12549" width="21.140625" style="1" customWidth="1"/>
    <col min="12550" max="12800" width="9.140625" style="1"/>
    <col min="12801" max="12801" width="6.28515625" style="1" customWidth="1"/>
    <col min="12802" max="12802" width="45" style="1" customWidth="1"/>
    <col min="12803" max="12803" width="8.5703125" style="1" customWidth="1"/>
    <col min="12804" max="12805" width="21.140625" style="1" customWidth="1"/>
    <col min="12806" max="13056" width="9.140625" style="1"/>
    <col min="13057" max="13057" width="6.28515625" style="1" customWidth="1"/>
    <col min="13058" max="13058" width="45" style="1" customWidth="1"/>
    <col min="13059" max="13059" width="8.5703125" style="1" customWidth="1"/>
    <col min="13060" max="13061" width="21.140625" style="1" customWidth="1"/>
    <col min="13062" max="13312" width="9.140625" style="1"/>
    <col min="13313" max="13313" width="6.28515625" style="1" customWidth="1"/>
    <col min="13314" max="13314" width="45" style="1" customWidth="1"/>
    <col min="13315" max="13315" width="8.5703125" style="1" customWidth="1"/>
    <col min="13316" max="13317" width="21.140625" style="1" customWidth="1"/>
    <col min="13318" max="13568" width="9.140625" style="1"/>
    <col min="13569" max="13569" width="6.28515625" style="1" customWidth="1"/>
    <col min="13570" max="13570" width="45" style="1" customWidth="1"/>
    <col min="13571" max="13571" width="8.5703125" style="1" customWidth="1"/>
    <col min="13572" max="13573" width="21.140625" style="1" customWidth="1"/>
    <col min="13574" max="13824" width="9.140625" style="1"/>
    <col min="13825" max="13825" width="6.28515625" style="1" customWidth="1"/>
    <col min="13826" max="13826" width="45" style="1" customWidth="1"/>
    <col min="13827" max="13827" width="8.5703125" style="1" customWidth="1"/>
    <col min="13828" max="13829" width="21.140625" style="1" customWidth="1"/>
    <col min="13830" max="14080" width="9.140625" style="1"/>
    <col min="14081" max="14081" width="6.28515625" style="1" customWidth="1"/>
    <col min="14082" max="14082" width="45" style="1" customWidth="1"/>
    <col min="14083" max="14083" width="8.5703125" style="1" customWidth="1"/>
    <col min="14084" max="14085" width="21.140625" style="1" customWidth="1"/>
    <col min="14086" max="14336" width="9.140625" style="1"/>
    <col min="14337" max="14337" width="6.28515625" style="1" customWidth="1"/>
    <col min="14338" max="14338" width="45" style="1" customWidth="1"/>
    <col min="14339" max="14339" width="8.5703125" style="1" customWidth="1"/>
    <col min="14340" max="14341" width="21.140625" style="1" customWidth="1"/>
    <col min="14342" max="14592" width="9.140625" style="1"/>
    <col min="14593" max="14593" width="6.28515625" style="1" customWidth="1"/>
    <col min="14594" max="14594" width="45" style="1" customWidth="1"/>
    <col min="14595" max="14595" width="8.5703125" style="1" customWidth="1"/>
    <col min="14596" max="14597" width="21.140625" style="1" customWidth="1"/>
    <col min="14598" max="14848" width="9.140625" style="1"/>
    <col min="14849" max="14849" width="6.28515625" style="1" customWidth="1"/>
    <col min="14850" max="14850" width="45" style="1" customWidth="1"/>
    <col min="14851" max="14851" width="8.5703125" style="1" customWidth="1"/>
    <col min="14852" max="14853" width="21.140625" style="1" customWidth="1"/>
    <col min="14854" max="15104" width="9.140625" style="1"/>
    <col min="15105" max="15105" width="6.28515625" style="1" customWidth="1"/>
    <col min="15106" max="15106" width="45" style="1" customWidth="1"/>
    <col min="15107" max="15107" width="8.5703125" style="1" customWidth="1"/>
    <col min="15108" max="15109" width="21.140625" style="1" customWidth="1"/>
    <col min="15110" max="15360" width="9.140625" style="1"/>
    <col min="15361" max="15361" width="6.28515625" style="1" customWidth="1"/>
    <col min="15362" max="15362" width="45" style="1" customWidth="1"/>
    <col min="15363" max="15363" width="8.5703125" style="1" customWidth="1"/>
    <col min="15364" max="15365" width="21.140625" style="1" customWidth="1"/>
    <col min="15366" max="15616" width="9.140625" style="1"/>
    <col min="15617" max="15617" width="6.28515625" style="1" customWidth="1"/>
    <col min="15618" max="15618" width="45" style="1" customWidth="1"/>
    <col min="15619" max="15619" width="8.5703125" style="1" customWidth="1"/>
    <col min="15620" max="15621" width="21.140625" style="1" customWidth="1"/>
    <col min="15622" max="15872" width="9.140625" style="1"/>
    <col min="15873" max="15873" width="6.28515625" style="1" customWidth="1"/>
    <col min="15874" max="15874" width="45" style="1" customWidth="1"/>
    <col min="15875" max="15875" width="8.5703125" style="1" customWidth="1"/>
    <col min="15876" max="15877" width="21.140625" style="1" customWidth="1"/>
    <col min="15878" max="16128" width="9.140625" style="1"/>
    <col min="16129" max="16129" width="6.28515625" style="1" customWidth="1"/>
    <col min="16130" max="16130" width="45" style="1" customWidth="1"/>
    <col min="16131" max="16131" width="8.5703125" style="1" customWidth="1"/>
    <col min="16132" max="16133" width="21.140625" style="1" customWidth="1"/>
    <col min="16134" max="16384" width="9.140625" style="1"/>
  </cols>
  <sheetData>
    <row r="1" spans="1:5" ht="22.5" customHeight="1">
      <c r="A1" s="2"/>
      <c r="B1" s="342" t="s">
        <v>541</v>
      </c>
      <c r="C1" s="342"/>
      <c r="D1" s="342"/>
      <c r="E1" s="342"/>
    </row>
    <row r="2" spans="1:5" ht="20.25" customHeight="1">
      <c r="A2" s="332" t="s">
        <v>542</v>
      </c>
      <c r="B2" s="332"/>
      <c r="C2" s="332"/>
      <c r="D2" s="332"/>
      <c r="E2" s="332"/>
    </row>
    <row r="3" spans="1:5" ht="6" customHeight="1">
      <c r="A3" s="2"/>
      <c r="B3" s="2"/>
      <c r="C3" s="2"/>
      <c r="D3" s="273"/>
      <c r="E3" s="273"/>
    </row>
    <row r="4" spans="1:5" ht="31.5" customHeight="1">
      <c r="A4" s="343" t="s">
        <v>543</v>
      </c>
      <c r="B4" s="343"/>
      <c r="C4" s="343"/>
      <c r="D4" s="343"/>
      <c r="E4" s="343"/>
    </row>
    <row r="5" spans="1:5" ht="15.75" customHeight="1">
      <c r="A5" s="281" t="s">
        <v>148</v>
      </c>
      <c r="B5" s="281"/>
      <c r="C5" s="281"/>
      <c r="D5" s="281"/>
      <c r="E5" s="281"/>
    </row>
    <row r="6" spans="1:5" ht="3.75" customHeight="1">
      <c r="A6" s="2"/>
      <c r="B6" s="2"/>
      <c r="C6" s="2"/>
      <c r="D6" s="273"/>
      <c r="E6" s="273"/>
    </row>
    <row r="7" spans="1:5" ht="15.75" customHeight="1">
      <c r="A7" s="284" t="s">
        <v>544</v>
      </c>
      <c r="B7" s="284"/>
      <c r="C7" s="284" t="s">
        <v>7</v>
      </c>
      <c r="D7" s="284"/>
      <c r="E7" s="284"/>
    </row>
    <row r="8" spans="1:5" ht="15.75" customHeight="1">
      <c r="A8" s="292" t="s">
        <v>8</v>
      </c>
      <c r="B8" s="292"/>
      <c r="C8" s="292" t="s">
        <v>9</v>
      </c>
      <c r="D8" s="292"/>
      <c r="E8" s="292"/>
    </row>
    <row r="9" spans="1:5" ht="15.75" customHeight="1">
      <c r="A9" s="284" t="s">
        <v>149</v>
      </c>
      <c r="B9" s="284"/>
      <c r="C9" s="284" t="s">
        <v>12</v>
      </c>
      <c r="D9" s="284"/>
      <c r="E9" s="284"/>
    </row>
    <row r="10" spans="1:5" ht="15.75" customHeight="1">
      <c r="A10" s="292" t="s">
        <v>545</v>
      </c>
      <c r="B10" s="292"/>
      <c r="C10" s="344" t="s">
        <v>14</v>
      </c>
      <c r="D10" s="344"/>
      <c r="E10" s="344"/>
    </row>
    <row r="11" spans="1:5" ht="15" customHeight="1">
      <c r="A11" s="284" t="s">
        <v>546</v>
      </c>
      <c r="B11" s="284"/>
      <c r="C11" s="293">
        <v>44109</v>
      </c>
      <c r="D11" s="284"/>
      <c r="E11" s="284"/>
    </row>
    <row r="12" spans="1:5" ht="15.75" customHeight="1">
      <c r="A12" s="292" t="s">
        <v>547</v>
      </c>
      <c r="B12" s="292"/>
      <c r="C12" s="294">
        <v>44109</v>
      </c>
      <c r="D12" s="292"/>
      <c r="E12" s="292"/>
    </row>
    <row r="13" spans="1:5" ht="15.75" customHeight="1">
      <c r="A13" s="6"/>
      <c r="B13" s="6"/>
      <c r="C13" s="6"/>
      <c r="D13" s="296" t="s">
        <v>548</v>
      </c>
      <c r="E13" s="296"/>
    </row>
    <row r="14" spans="1:5" ht="59.25" customHeight="1">
      <c r="A14" s="7" t="s">
        <v>549</v>
      </c>
      <c r="B14" s="8" t="s">
        <v>550</v>
      </c>
      <c r="C14" s="8" t="s">
        <v>551</v>
      </c>
      <c r="D14" s="8" t="s">
        <v>154</v>
      </c>
      <c r="E14" s="9" t="s">
        <v>155</v>
      </c>
    </row>
    <row r="15" spans="1:5" ht="21">
      <c r="A15" s="36" t="s">
        <v>33</v>
      </c>
      <c r="B15" s="37" t="s">
        <v>552</v>
      </c>
      <c r="C15" s="38" t="s">
        <v>553</v>
      </c>
      <c r="D15" s="14">
        <v>1853924646350</v>
      </c>
      <c r="E15" s="39">
        <v>1419086091516</v>
      </c>
    </row>
    <row r="16" spans="1:5" ht="31.5">
      <c r="A16" s="36" t="s">
        <v>76</v>
      </c>
      <c r="B16" s="37" t="s">
        <v>554</v>
      </c>
      <c r="C16" s="38" t="s">
        <v>555</v>
      </c>
      <c r="D16" s="14">
        <v>97536563289</v>
      </c>
      <c r="E16" s="39">
        <v>243743241689</v>
      </c>
    </row>
    <row r="17" spans="1:5">
      <c r="A17" s="40"/>
      <c r="B17" s="41" t="s">
        <v>556</v>
      </c>
      <c r="C17" s="42"/>
      <c r="D17" s="20">
        <v>0</v>
      </c>
      <c r="E17" s="43">
        <v>0</v>
      </c>
    </row>
    <row r="18" spans="1:5" ht="42">
      <c r="A18" s="40" t="s">
        <v>451</v>
      </c>
      <c r="B18" s="41" t="s">
        <v>557</v>
      </c>
      <c r="C18" s="42" t="s">
        <v>558</v>
      </c>
      <c r="D18" s="20">
        <v>97536563289</v>
      </c>
      <c r="E18" s="43">
        <v>243743241689</v>
      </c>
    </row>
    <row r="19" spans="1:5" ht="42">
      <c r="A19" s="40" t="s">
        <v>454</v>
      </c>
      <c r="B19" s="41" t="s">
        <v>559</v>
      </c>
      <c r="C19" s="42" t="s">
        <v>560</v>
      </c>
      <c r="D19" s="20">
        <v>0</v>
      </c>
      <c r="E19" s="43">
        <v>0</v>
      </c>
    </row>
    <row r="20" spans="1:5" ht="42">
      <c r="A20" s="36" t="s">
        <v>83</v>
      </c>
      <c r="B20" s="37" t="s">
        <v>561</v>
      </c>
      <c r="C20" s="38" t="s">
        <v>562</v>
      </c>
      <c r="D20" s="14">
        <v>293417786332</v>
      </c>
      <c r="E20" s="39">
        <v>191095313145</v>
      </c>
    </row>
    <row r="21" spans="1:5" ht="21">
      <c r="A21" s="40" t="s">
        <v>563</v>
      </c>
      <c r="B21" s="41" t="s">
        <v>564</v>
      </c>
      <c r="C21" s="42" t="s">
        <v>565</v>
      </c>
      <c r="D21" s="20">
        <v>317870283704</v>
      </c>
      <c r="E21" s="43">
        <v>205509537947</v>
      </c>
    </row>
    <row r="22" spans="1:5" ht="21">
      <c r="A22" s="40" t="s">
        <v>566</v>
      </c>
      <c r="B22" s="41" t="s">
        <v>567</v>
      </c>
      <c r="C22" s="42" t="s">
        <v>568</v>
      </c>
      <c r="D22" s="20">
        <v>-24452497372</v>
      </c>
      <c r="E22" s="43">
        <v>-14414224802</v>
      </c>
    </row>
    <row r="23" spans="1:5" ht="31.5">
      <c r="A23" s="36" t="s">
        <v>87</v>
      </c>
      <c r="B23" s="37" t="s">
        <v>569</v>
      </c>
      <c r="C23" s="38" t="s">
        <v>570</v>
      </c>
      <c r="D23" s="14">
        <v>2244878995971</v>
      </c>
      <c r="E23" s="39">
        <v>1853924646350</v>
      </c>
    </row>
    <row r="24" spans="1:5" ht="31.5">
      <c r="A24" s="73" t="s">
        <v>97</v>
      </c>
      <c r="B24" s="74" t="s">
        <v>571</v>
      </c>
      <c r="C24" s="75" t="s">
        <v>572</v>
      </c>
      <c r="D24" s="25">
        <v>13338.55</v>
      </c>
      <c r="E24" s="76">
        <v>12724.25</v>
      </c>
    </row>
    <row r="25" spans="1:5" ht="15.75" customHeight="1">
      <c r="A25" s="273"/>
      <c r="B25" s="273"/>
      <c r="C25" s="273"/>
      <c r="D25" s="273"/>
      <c r="E25" s="2"/>
    </row>
    <row r="26" spans="1:5" ht="14.25" customHeight="1">
      <c r="A26" s="345" t="s">
        <v>573</v>
      </c>
      <c r="B26" s="345"/>
      <c r="C26" s="345" t="s">
        <v>574</v>
      </c>
      <c r="D26" s="345"/>
      <c r="E26" s="77" t="s">
        <v>575</v>
      </c>
    </row>
    <row r="27" spans="1:5" ht="14.25" customHeight="1">
      <c r="A27" s="339" t="s">
        <v>576</v>
      </c>
      <c r="B27" s="339"/>
      <c r="C27" s="301" t="s">
        <v>576</v>
      </c>
      <c r="D27" s="301"/>
      <c r="E27" s="78" t="s">
        <v>577</v>
      </c>
    </row>
    <row r="28" spans="1:5" ht="14.25" customHeight="1">
      <c r="A28" s="233"/>
      <c r="B28" s="233"/>
      <c r="C28" s="232"/>
      <c r="D28" s="232"/>
      <c r="E28" s="233"/>
    </row>
    <row r="29" spans="1:5" ht="14.25" customHeight="1">
      <c r="A29" s="233"/>
      <c r="B29" s="233"/>
      <c r="C29" s="232"/>
      <c r="D29" s="232"/>
      <c r="E29" s="233"/>
    </row>
    <row r="30" spans="1:5" ht="14.25" customHeight="1">
      <c r="A30" s="233"/>
      <c r="B30" s="233"/>
      <c r="C30" s="232"/>
      <c r="D30" s="232"/>
      <c r="E30" s="233"/>
    </row>
    <row r="31" spans="1:5" ht="14.25" customHeight="1">
      <c r="A31" s="233"/>
      <c r="B31" s="233"/>
      <c r="C31" s="232"/>
      <c r="D31" s="232"/>
      <c r="E31" s="233"/>
    </row>
    <row r="32" spans="1:5" ht="14.25" customHeight="1">
      <c r="A32" s="233"/>
      <c r="B32" s="233"/>
      <c r="C32" s="232"/>
      <c r="D32" s="232"/>
      <c r="E32" s="233"/>
    </row>
    <row r="33" spans="1:5" ht="14.25" customHeight="1">
      <c r="A33" s="345" t="s">
        <v>1078</v>
      </c>
      <c r="B33" s="345"/>
      <c r="C33" s="345" t="s">
        <v>1080</v>
      </c>
      <c r="D33" s="345"/>
      <c r="E33" s="234" t="s">
        <v>1079</v>
      </c>
    </row>
  </sheetData>
  <mergeCells count="27">
    <mergeCell ref="A33:B33"/>
    <mergeCell ref="C33:D33"/>
    <mergeCell ref="D13:E13"/>
    <mergeCell ref="A25:B25"/>
    <mergeCell ref="C25:D25"/>
    <mergeCell ref="A26:B26"/>
    <mergeCell ref="C26:D26"/>
    <mergeCell ref="A27:B27"/>
    <mergeCell ref="C27:D27"/>
    <mergeCell ref="A10:B10"/>
    <mergeCell ref="C10:E10"/>
    <mergeCell ref="A11:B11"/>
    <mergeCell ref="C11:E11"/>
    <mergeCell ref="A12:B12"/>
    <mergeCell ref="C12:E12"/>
    <mergeCell ref="A7:B7"/>
    <mergeCell ref="C7:E7"/>
    <mergeCell ref="A8:B8"/>
    <mergeCell ref="C8:E8"/>
    <mergeCell ref="A9:B9"/>
    <mergeCell ref="C9:E9"/>
    <mergeCell ref="D6:E6"/>
    <mergeCell ref="B1:E1"/>
    <mergeCell ref="A2:E2"/>
    <mergeCell ref="D3:E3"/>
    <mergeCell ref="A4:E4"/>
    <mergeCell ref="A5:E5"/>
  </mergeCells>
  <printOptions horizontalCentered="1"/>
  <pageMargins left="0" right="0" top="0.59" bottom="0.59" header="0.5" footer="0.5"/>
  <pageSetup paperSize="9" scale="98"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53"/>
  <sheetViews>
    <sheetView showGridLines="0" showZeros="0" tabSelected="1" showOutlineSymbols="0" zoomScaleNormal="100" workbookViewId="0">
      <selection activeCell="B29" sqref="B29"/>
    </sheetView>
  </sheetViews>
  <sheetFormatPr defaultRowHeight="15"/>
  <cols>
    <col min="1" max="1" width="6.28515625" style="1" customWidth="1"/>
    <col min="2" max="2" width="47" style="1" customWidth="1"/>
    <col min="3" max="3" width="8.5703125" style="1" customWidth="1"/>
    <col min="4" max="5" width="21.140625" style="1" customWidth="1"/>
    <col min="6" max="256" width="9.140625" style="1"/>
    <col min="257" max="257" width="6.28515625" style="1" customWidth="1"/>
    <col min="258" max="258" width="45" style="1" customWidth="1"/>
    <col min="259" max="259" width="8.5703125" style="1" customWidth="1"/>
    <col min="260" max="261" width="21.140625" style="1" customWidth="1"/>
    <col min="262" max="512" width="9.140625" style="1"/>
    <col min="513" max="513" width="6.28515625" style="1" customWidth="1"/>
    <col min="514" max="514" width="45" style="1" customWidth="1"/>
    <col min="515" max="515" width="8.5703125" style="1" customWidth="1"/>
    <col min="516" max="517" width="21.140625" style="1" customWidth="1"/>
    <col min="518" max="768" width="9.140625" style="1"/>
    <col min="769" max="769" width="6.28515625" style="1" customWidth="1"/>
    <col min="770" max="770" width="45" style="1" customWidth="1"/>
    <col min="771" max="771" width="8.5703125" style="1" customWidth="1"/>
    <col min="772" max="773" width="21.140625" style="1" customWidth="1"/>
    <col min="774" max="1024" width="9.140625" style="1"/>
    <col min="1025" max="1025" width="6.28515625" style="1" customWidth="1"/>
    <col min="1026" max="1026" width="45" style="1" customWidth="1"/>
    <col min="1027" max="1027" width="8.5703125" style="1" customWidth="1"/>
    <col min="1028" max="1029" width="21.140625" style="1" customWidth="1"/>
    <col min="1030" max="1280" width="9.140625" style="1"/>
    <col min="1281" max="1281" width="6.28515625" style="1" customWidth="1"/>
    <col min="1282" max="1282" width="45" style="1" customWidth="1"/>
    <col min="1283" max="1283" width="8.5703125" style="1" customWidth="1"/>
    <col min="1284" max="1285" width="21.140625" style="1" customWidth="1"/>
    <col min="1286" max="1536" width="9.140625" style="1"/>
    <col min="1537" max="1537" width="6.28515625" style="1" customWidth="1"/>
    <col min="1538" max="1538" width="45" style="1" customWidth="1"/>
    <col min="1539" max="1539" width="8.5703125" style="1" customWidth="1"/>
    <col min="1540" max="1541" width="21.140625" style="1" customWidth="1"/>
    <col min="1542" max="1792" width="9.140625" style="1"/>
    <col min="1793" max="1793" width="6.28515625" style="1" customWidth="1"/>
    <col min="1794" max="1794" width="45" style="1" customWidth="1"/>
    <col min="1795" max="1795" width="8.5703125" style="1" customWidth="1"/>
    <col min="1796" max="1797" width="21.140625" style="1" customWidth="1"/>
    <col min="1798" max="2048" width="9.140625" style="1"/>
    <col min="2049" max="2049" width="6.28515625" style="1" customWidth="1"/>
    <col min="2050" max="2050" width="45" style="1" customWidth="1"/>
    <col min="2051" max="2051" width="8.5703125" style="1" customWidth="1"/>
    <col min="2052" max="2053" width="21.140625" style="1" customWidth="1"/>
    <col min="2054" max="2304" width="9.140625" style="1"/>
    <col min="2305" max="2305" width="6.28515625" style="1" customWidth="1"/>
    <col min="2306" max="2306" width="45" style="1" customWidth="1"/>
    <col min="2307" max="2307" width="8.5703125" style="1" customWidth="1"/>
    <col min="2308" max="2309" width="21.140625" style="1" customWidth="1"/>
    <col min="2310" max="2560" width="9.140625" style="1"/>
    <col min="2561" max="2561" width="6.28515625" style="1" customWidth="1"/>
    <col min="2562" max="2562" width="45" style="1" customWidth="1"/>
    <col min="2563" max="2563" width="8.5703125" style="1" customWidth="1"/>
    <col min="2564" max="2565" width="21.140625" style="1" customWidth="1"/>
    <col min="2566" max="2816" width="9.140625" style="1"/>
    <col min="2817" max="2817" width="6.28515625" style="1" customWidth="1"/>
    <col min="2818" max="2818" width="45" style="1" customWidth="1"/>
    <col min="2819" max="2819" width="8.5703125" style="1" customWidth="1"/>
    <col min="2820" max="2821" width="21.140625" style="1" customWidth="1"/>
    <col min="2822" max="3072" width="9.140625" style="1"/>
    <col min="3073" max="3073" width="6.28515625" style="1" customWidth="1"/>
    <col min="3074" max="3074" width="45" style="1" customWidth="1"/>
    <col min="3075" max="3075" width="8.5703125" style="1" customWidth="1"/>
    <col min="3076" max="3077" width="21.140625" style="1" customWidth="1"/>
    <col min="3078" max="3328" width="9.140625" style="1"/>
    <col min="3329" max="3329" width="6.28515625" style="1" customWidth="1"/>
    <col min="3330" max="3330" width="45" style="1" customWidth="1"/>
    <col min="3331" max="3331" width="8.5703125" style="1" customWidth="1"/>
    <col min="3332" max="3333" width="21.140625" style="1" customWidth="1"/>
    <col min="3334" max="3584" width="9.140625" style="1"/>
    <col min="3585" max="3585" width="6.28515625" style="1" customWidth="1"/>
    <col min="3586" max="3586" width="45" style="1" customWidth="1"/>
    <col min="3587" max="3587" width="8.5703125" style="1" customWidth="1"/>
    <col min="3588" max="3589" width="21.140625" style="1" customWidth="1"/>
    <col min="3590" max="3840" width="9.140625" style="1"/>
    <col min="3841" max="3841" width="6.28515625" style="1" customWidth="1"/>
    <col min="3842" max="3842" width="45" style="1" customWidth="1"/>
    <col min="3843" max="3843" width="8.5703125" style="1" customWidth="1"/>
    <col min="3844" max="3845" width="21.140625" style="1" customWidth="1"/>
    <col min="3846" max="4096" width="9.140625" style="1"/>
    <col min="4097" max="4097" width="6.28515625" style="1" customWidth="1"/>
    <col min="4098" max="4098" width="45" style="1" customWidth="1"/>
    <col min="4099" max="4099" width="8.5703125" style="1" customWidth="1"/>
    <col min="4100" max="4101" width="21.140625" style="1" customWidth="1"/>
    <col min="4102" max="4352" width="9.140625" style="1"/>
    <col min="4353" max="4353" width="6.28515625" style="1" customWidth="1"/>
    <col min="4354" max="4354" width="45" style="1" customWidth="1"/>
    <col min="4355" max="4355" width="8.5703125" style="1" customWidth="1"/>
    <col min="4356" max="4357" width="21.140625" style="1" customWidth="1"/>
    <col min="4358" max="4608" width="9.140625" style="1"/>
    <col min="4609" max="4609" width="6.28515625" style="1" customWidth="1"/>
    <col min="4610" max="4610" width="45" style="1" customWidth="1"/>
    <col min="4611" max="4611" width="8.5703125" style="1" customWidth="1"/>
    <col min="4612" max="4613" width="21.140625" style="1" customWidth="1"/>
    <col min="4614" max="4864" width="9.140625" style="1"/>
    <col min="4865" max="4865" width="6.28515625" style="1" customWidth="1"/>
    <col min="4866" max="4866" width="45" style="1" customWidth="1"/>
    <col min="4867" max="4867" width="8.5703125" style="1" customWidth="1"/>
    <col min="4868" max="4869" width="21.140625" style="1" customWidth="1"/>
    <col min="4870" max="5120" width="9.140625" style="1"/>
    <col min="5121" max="5121" width="6.28515625" style="1" customWidth="1"/>
    <col min="5122" max="5122" width="45" style="1" customWidth="1"/>
    <col min="5123" max="5123" width="8.5703125" style="1" customWidth="1"/>
    <col min="5124" max="5125" width="21.140625" style="1" customWidth="1"/>
    <col min="5126" max="5376" width="9.140625" style="1"/>
    <col min="5377" max="5377" width="6.28515625" style="1" customWidth="1"/>
    <col min="5378" max="5378" width="45" style="1" customWidth="1"/>
    <col min="5379" max="5379" width="8.5703125" style="1" customWidth="1"/>
    <col min="5380" max="5381" width="21.140625" style="1" customWidth="1"/>
    <col min="5382" max="5632" width="9.140625" style="1"/>
    <col min="5633" max="5633" width="6.28515625" style="1" customWidth="1"/>
    <col min="5634" max="5634" width="45" style="1" customWidth="1"/>
    <col min="5635" max="5635" width="8.5703125" style="1" customWidth="1"/>
    <col min="5636" max="5637" width="21.140625" style="1" customWidth="1"/>
    <col min="5638" max="5888" width="9.140625" style="1"/>
    <col min="5889" max="5889" width="6.28515625" style="1" customWidth="1"/>
    <col min="5890" max="5890" width="45" style="1" customWidth="1"/>
    <col min="5891" max="5891" width="8.5703125" style="1" customWidth="1"/>
    <col min="5892" max="5893" width="21.140625" style="1" customWidth="1"/>
    <col min="5894" max="6144" width="9.140625" style="1"/>
    <col min="6145" max="6145" width="6.28515625" style="1" customWidth="1"/>
    <col min="6146" max="6146" width="45" style="1" customWidth="1"/>
    <col min="6147" max="6147" width="8.5703125" style="1" customWidth="1"/>
    <col min="6148" max="6149" width="21.140625" style="1" customWidth="1"/>
    <col min="6150" max="6400" width="9.140625" style="1"/>
    <col min="6401" max="6401" width="6.28515625" style="1" customWidth="1"/>
    <col min="6402" max="6402" width="45" style="1" customWidth="1"/>
    <col min="6403" max="6403" width="8.5703125" style="1" customWidth="1"/>
    <col min="6404" max="6405" width="21.140625" style="1" customWidth="1"/>
    <col min="6406" max="6656" width="9.140625" style="1"/>
    <col min="6657" max="6657" width="6.28515625" style="1" customWidth="1"/>
    <col min="6658" max="6658" width="45" style="1" customWidth="1"/>
    <col min="6659" max="6659" width="8.5703125" style="1" customWidth="1"/>
    <col min="6660" max="6661" width="21.140625" style="1" customWidth="1"/>
    <col min="6662" max="6912" width="9.140625" style="1"/>
    <col min="6913" max="6913" width="6.28515625" style="1" customWidth="1"/>
    <col min="6914" max="6914" width="45" style="1" customWidth="1"/>
    <col min="6915" max="6915" width="8.5703125" style="1" customWidth="1"/>
    <col min="6916" max="6917" width="21.140625" style="1" customWidth="1"/>
    <col min="6918" max="7168" width="9.140625" style="1"/>
    <col min="7169" max="7169" width="6.28515625" style="1" customWidth="1"/>
    <col min="7170" max="7170" width="45" style="1" customWidth="1"/>
    <col min="7171" max="7171" width="8.5703125" style="1" customWidth="1"/>
    <col min="7172" max="7173" width="21.140625" style="1" customWidth="1"/>
    <col min="7174" max="7424" width="9.140625" style="1"/>
    <col min="7425" max="7425" width="6.28515625" style="1" customWidth="1"/>
    <col min="7426" max="7426" width="45" style="1" customWidth="1"/>
    <col min="7427" max="7427" width="8.5703125" style="1" customWidth="1"/>
    <col min="7428" max="7429" width="21.140625" style="1" customWidth="1"/>
    <col min="7430" max="7680" width="9.140625" style="1"/>
    <col min="7681" max="7681" width="6.28515625" style="1" customWidth="1"/>
    <col min="7682" max="7682" width="45" style="1" customWidth="1"/>
    <col min="7683" max="7683" width="8.5703125" style="1" customWidth="1"/>
    <col min="7684" max="7685" width="21.140625" style="1" customWidth="1"/>
    <col min="7686" max="7936" width="9.140625" style="1"/>
    <col min="7937" max="7937" width="6.28515625" style="1" customWidth="1"/>
    <col min="7938" max="7938" width="45" style="1" customWidth="1"/>
    <col min="7939" max="7939" width="8.5703125" style="1" customWidth="1"/>
    <col min="7940" max="7941" width="21.140625" style="1" customWidth="1"/>
    <col min="7942" max="8192" width="9.140625" style="1"/>
    <col min="8193" max="8193" width="6.28515625" style="1" customWidth="1"/>
    <col min="8194" max="8194" width="45" style="1" customWidth="1"/>
    <col min="8195" max="8195" width="8.5703125" style="1" customWidth="1"/>
    <col min="8196" max="8197" width="21.140625" style="1" customWidth="1"/>
    <col min="8198" max="8448" width="9.140625" style="1"/>
    <col min="8449" max="8449" width="6.28515625" style="1" customWidth="1"/>
    <col min="8450" max="8450" width="45" style="1" customWidth="1"/>
    <col min="8451" max="8451" width="8.5703125" style="1" customWidth="1"/>
    <col min="8452" max="8453" width="21.140625" style="1" customWidth="1"/>
    <col min="8454" max="8704" width="9.140625" style="1"/>
    <col min="8705" max="8705" width="6.28515625" style="1" customWidth="1"/>
    <col min="8706" max="8706" width="45" style="1" customWidth="1"/>
    <col min="8707" max="8707" width="8.5703125" style="1" customWidth="1"/>
    <col min="8708" max="8709" width="21.140625" style="1" customWidth="1"/>
    <col min="8710" max="8960" width="9.140625" style="1"/>
    <col min="8961" max="8961" width="6.28515625" style="1" customWidth="1"/>
    <col min="8962" max="8962" width="45" style="1" customWidth="1"/>
    <col min="8963" max="8963" width="8.5703125" style="1" customWidth="1"/>
    <col min="8964" max="8965" width="21.140625" style="1" customWidth="1"/>
    <col min="8966" max="9216" width="9.140625" style="1"/>
    <col min="9217" max="9217" width="6.28515625" style="1" customWidth="1"/>
    <col min="9218" max="9218" width="45" style="1" customWidth="1"/>
    <col min="9219" max="9219" width="8.5703125" style="1" customWidth="1"/>
    <col min="9220" max="9221" width="21.140625" style="1" customWidth="1"/>
    <col min="9222" max="9472" width="9.140625" style="1"/>
    <col min="9473" max="9473" width="6.28515625" style="1" customWidth="1"/>
    <col min="9474" max="9474" width="45" style="1" customWidth="1"/>
    <col min="9475" max="9475" width="8.5703125" style="1" customWidth="1"/>
    <col min="9476" max="9477" width="21.140625" style="1" customWidth="1"/>
    <col min="9478" max="9728" width="9.140625" style="1"/>
    <col min="9729" max="9729" width="6.28515625" style="1" customWidth="1"/>
    <col min="9730" max="9730" width="45" style="1" customWidth="1"/>
    <col min="9731" max="9731" width="8.5703125" style="1" customWidth="1"/>
    <col min="9732" max="9733" width="21.140625" style="1" customWidth="1"/>
    <col min="9734" max="9984" width="9.140625" style="1"/>
    <col min="9985" max="9985" width="6.28515625" style="1" customWidth="1"/>
    <col min="9986" max="9986" width="45" style="1" customWidth="1"/>
    <col min="9987" max="9987" width="8.5703125" style="1" customWidth="1"/>
    <col min="9988" max="9989" width="21.140625" style="1" customWidth="1"/>
    <col min="9990" max="10240" width="9.140625" style="1"/>
    <col min="10241" max="10241" width="6.28515625" style="1" customWidth="1"/>
    <col min="10242" max="10242" width="45" style="1" customWidth="1"/>
    <col min="10243" max="10243" width="8.5703125" style="1" customWidth="1"/>
    <col min="10244" max="10245" width="21.140625" style="1" customWidth="1"/>
    <col min="10246" max="10496" width="9.140625" style="1"/>
    <col min="10497" max="10497" width="6.28515625" style="1" customWidth="1"/>
    <col min="10498" max="10498" width="45" style="1" customWidth="1"/>
    <col min="10499" max="10499" width="8.5703125" style="1" customWidth="1"/>
    <col min="10500" max="10501" width="21.140625" style="1" customWidth="1"/>
    <col min="10502" max="10752" width="9.140625" style="1"/>
    <col min="10753" max="10753" width="6.28515625" style="1" customWidth="1"/>
    <col min="10754" max="10754" width="45" style="1" customWidth="1"/>
    <col min="10755" max="10755" width="8.5703125" style="1" customWidth="1"/>
    <col min="10756" max="10757" width="21.140625" style="1" customWidth="1"/>
    <col min="10758" max="11008" width="9.140625" style="1"/>
    <col min="11009" max="11009" width="6.28515625" style="1" customWidth="1"/>
    <col min="11010" max="11010" width="45" style="1" customWidth="1"/>
    <col min="11011" max="11011" width="8.5703125" style="1" customWidth="1"/>
    <col min="11012" max="11013" width="21.140625" style="1" customWidth="1"/>
    <col min="11014" max="11264" width="9.140625" style="1"/>
    <col min="11265" max="11265" width="6.28515625" style="1" customWidth="1"/>
    <col min="11266" max="11266" width="45" style="1" customWidth="1"/>
    <col min="11267" max="11267" width="8.5703125" style="1" customWidth="1"/>
    <col min="11268" max="11269" width="21.140625" style="1" customWidth="1"/>
    <col min="11270" max="11520" width="9.140625" style="1"/>
    <col min="11521" max="11521" width="6.28515625" style="1" customWidth="1"/>
    <col min="11522" max="11522" width="45" style="1" customWidth="1"/>
    <col min="11523" max="11523" width="8.5703125" style="1" customWidth="1"/>
    <col min="11524" max="11525" width="21.140625" style="1" customWidth="1"/>
    <col min="11526" max="11776" width="9.140625" style="1"/>
    <col min="11777" max="11777" width="6.28515625" style="1" customWidth="1"/>
    <col min="11778" max="11778" width="45" style="1" customWidth="1"/>
    <col min="11779" max="11779" width="8.5703125" style="1" customWidth="1"/>
    <col min="11780" max="11781" width="21.140625" style="1" customWidth="1"/>
    <col min="11782" max="12032" width="9.140625" style="1"/>
    <col min="12033" max="12033" width="6.28515625" style="1" customWidth="1"/>
    <col min="12034" max="12034" width="45" style="1" customWidth="1"/>
    <col min="12035" max="12035" width="8.5703125" style="1" customWidth="1"/>
    <col min="12036" max="12037" width="21.140625" style="1" customWidth="1"/>
    <col min="12038" max="12288" width="9.140625" style="1"/>
    <col min="12289" max="12289" width="6.28515625" style="1" customWidth="1"/>
    <col min="12290" max="12290" width="45" style="1" customWidth="1"/>
    <col min="12291" max="12291" width="8.5703125" style="1" customWidth="1"/>
    <col min="12292" max="12293" width="21.140625" style="1" customWidth="1"/>
    <col min="12294" max="12544" width="9.140625" style="1"/>
    <col min="12545" max="12545" width="6.28515625" style="1" customWidth="1"/>
    <col min="12546" max="12546" width="45" style="1" customWidth="1"/>
    <col min="12547" max="12547" width="8.5703125" style="1" customWidth="1"/>
    <col min="12548" max="12549" width="21.140625" style="1" customWidth="1"/>
    <col min="12550" max="12800" width="9.140625" style="1"/>
    <col min="12801" max="12801" width="6.28515625" style="1" customWidth="1"/>
    <col min="12802" max="12802" width="45" style="1" customWidth="1"/>
    <col min="12803" max="12803" width="8.5703125" style="1" customWidth="1"/>
    <col min="12804" max="12805" width="21.140625" style="1" customWidth="1"/>
    <col min="12806" max="13056" width="9.140625" style="1"/>
    <col min="13057" max="13057" width="6.28515625" style="1" customWidth="1"/>
    <col min="13058" max="13058" width="45" style="1" customWidth="1"/>
    <col min="13059" max="13059" width="8.5703125" style="1" customWidth="1"/>
    <col min="13060" max="13061" width="21.140625" style="1" customWidth="1"/>
    <col min="13062" max="13312" width="9.140625" style="1"/>
    <col min="13313" max="13313" width="6.28515625" style="1" customWidth="1"/>
    <col min="13314" max="13314" width="45" style="1" customWidth="1"/>
    <col min="13315" max="13315" width="8.5703125" style="1" customWidth="1"/>
    <col min="13316" max="13317" width="21.140625" style="1" customWidth="1"/>
    <col min="13318" max="13568" width="9.140625" style="1"/>
    <col min="13569" max="13569" width="6.28515625" style="1" customWidth="1"/>
    <col min="13570" max="13570" width="45" style="1" customWidth="1"/>
    <col min="13571" max="13571" width="8.5703125" style="1" customWidth="1"/>
    <col min="13572" max="13573" width="21.140625" style="1" customWidth="1"/>
    <col min="13574" max="13824" width="9.140625" style="1"/>
    <col min="13825" max="13825" width="6.28515625" style="1" customWidth="1"/>
    <col min="13826" max="13826" width="45" style="1" customWidth="1"/>
    <col min="13827" max="13827" width="8.5703125" style="1" customWidth="1"/>
    <col min="13828" max="13829" width="21.140625" style="1" customWidth="1"/>
    <col min="13830" max="14080" width="9.140625" style="1"/>
    <col min="14081" max="14081" width="6.28515625" style="1" customWidth="1"/>
    <col min="14082" max="14082" width="45" style="1" customWidth="1"/>
    <col min="14083" max="14083" width="8.5703125" style="1" customWidth="1"/>
    <col min="14084" max="14085" width="21.140625" style="1" customWidth="1"/>
    <col min="14086" max="14336" width="9.140625" style="1"/>
    <col min="14337" max="14337" width="6.28515625" style="1" customWidth="1"/>
    <col min="14338" max="14338" width="45" style="1" customWidth="1"/>
    <col min="14339" max="14339" width="8.5703125" style="1" customWidth="1"/>
    <col min="14340" max="14341" width="21.140625" style="1" customWidth="1"/>
    <col min="14342" max="14592" width="9.140625" style="1"/>
    <col min="14593" max="14593" width="6.28515625" style="1" customWidth="1"/>
    <col min="14594" max="14594" width="45" style="1" customWidth="1"/>
    <col min="14595" max="14595" width="8.5703125" style="1" customWidth="1"/>
    <col min="14596" max="14597" width="21.140625" style="1" customWidth="1"/>
    <col min="14598" max="14848" width="9.140625" style="1"/>
    <col min="14849" max="14849" width="6.28515625" style="1" customWidth="1"/>
    <col min="14850" max="14850" width="45" style="1" customWidth="1"/>
    <col min="14851" max="14851" width="8.5703125" style="1" customWidth="1"/>
    <col min="14852" max="14853" width="21.140625" style="1" customWidth="1"/>
    <col min="14854" max="15104" width="9.140625" style="1"/>
    <col min="15105" max="15105" width="6.28515625" style="1" customWidth="1"/>
    <col min="15106" max="15106" width="45" style="1" customWidth="1"/>
    <col min="15107" max="15107" width="8.5703125" style="1" customWidth="1"/>
    <col min="15108" max="15109" width="21.140625" style="1" customWidth="1"/>
    <col min="15110" max="15360" width="9.140625" style="1"/>
    <col min="15361" max="15361" width="6.28515625" style="1" customWidth="1"/>
    <col min="15362" max="15362" width="45" style="1" customWidth="1"/>
    <col min="15363" max="15363" width="8.5703125" style="1" customWidth="1"/>
    <col min="15364" max="15365" width="21.140625" style="1" customWidth="1"/>
    <col min="15366" max="15616" width="9.140625" style="1"/>
    <col min="15617" max="15617" width="6.28515625" style="1" customWidth="1"/>
    <col min="15618" max="15618" width="45" style="1" customWidth="1"/>
    <col min="15619" max="15619" width="8.5703125" style="1" customWidth="1"/>
    <col min="15620" max="15621" width="21.140625" style="1" customWidth="1"/>
    <col min="15622" max="15872" width="9.140625" style="1"/>
    <col min="15873" max="15873" width="6.28515625" style="1" customWidth="1"/>
    <col min="15874" max="15874" width="45" style="1" customWidth="1"/>
    <col min="15875" max="15875" width="8.5703125" style="1" customWidth="1"/>
    <col min="15876" max="15877" width="21.140625" style="1" customWidth="1"/>
    <col min="15878" max="16128" width="9.140625" style="1"/>
    <col min="16129" max="16129" width="6.28515625" style="1" customWidth="1"/>
    <col min="16130" max="16130" width="45" style="1" customWidth="1"/>
    <col min="16131" max="16131" width="8.5703125" style="1" customWidth="1"/>
    <col min="16132" max="16133" width="21.140625" style="1" customWidth="1"/>
    <col min="16134" max="16384" width="9.140625" style="1"/>
  </cols>
  <sheetData>
    <row r="1" spans="1:5" ht="20.25" customHeight="1">
      <c r="A1" s="347"/>
      <c r="B1" s="347"/>
      <c r="C1" s="274" t="s">
        <v>929</v>
      </c>
      <c r="D1" s="274"/>
      <c r="E1" s="274"/>
    </row>
    <row r="2" spans="1:5" ht="12" customHeight="1">
      <c r="A2" s="275" t="s">
        <v>930</v>
      </c>
      <c r="B2" s="275"/>
      <c r="C2" s="275"/>
      <c r="D2" s="275"/>
      <c r="E2" s="275"/>
    </row>
    <row r="3" spans="1:5" ht="11.25" customHeight="1">
      <c r="A3" s="275" t="s">
        <v>931</v>
      </c>
      <c r="B3" s="275"/>
      <c r="C3" s="275"/>
      <c r="D3" s="275"/>
      <c r="E3" s="275"/>
    </row>
    <row r="4" spans="1:5" ht="29.25" customHeight="1">
      <c r="A4" s="343" t="s">
        <v>932</v>
      </c>
      <c r="B4" s="343"/>
      <c r="C4" s="343"/>
      <c r="D4" s="343"/>
      <c r="E4" s="343"/>
    </row>
    <row r="5" spans="1:5" ht="12" customHeight="1">
      <c r="A5" s="346" t="s">
        <v>148</v>
      </c>
      <c r="B5" s="346"/>
      <c r="C5" s="346"/>
      <c r="D5" s="346"/>
      <c r="E5" s="346"/>
    </row>
    <row r="6" spans="1:5" ht="6.75" customHeight="1">
      <c r="A6" s="2"/>
      <c r="B6" s="349"/>
      <c r="C6" s="349"/>
      <c r="D6" s="349"/>
      <c r="E6" s="349"/>
    </row>
    <row r="7" spans="1:5" ht="12.75" customHeight="1">
      <c r="A7" s="34" t="s">
        <v>5</v>
      </c>
      <c r="B7" s="64" t="s">
        <v>544</v>
      </c>
      <c r="C7" s="272" t="s">
        <v>7</v>
      </c>
      <c r="D7" s="272"/>
      <c r="E7" s="272"/>
    </row>
    <row r="8" spans="1:5" ht="12.75" customHeight="1">
      <c r="A8" s="2"/>
      <c r="B8" s="65" t="s">
        <v>8</v>
      </c>
      <c r="C8" s="278" t="s">
        <v>9</v>
      </c>
      <c r="D8" s="278"/>
      <c r="E8" s="278"/>
    </row>
    <row r="9" spans="1:5" ht="12.75" customHeight="1">
      <c r="A9" s="34" t="s">
        <v>10</v>
      </c>
      <c r="B9" s="64" t="s">
        <v>149</v>
      </c>
      <c r="C9" s="272" t="s">
        <v>12</v>
      </c>
      <c r="D9" s="272"/>
      <c r="E9" s="272"/>
    </row>
    <row r="10" spans="1:5" ht="12.75" customHeight="1">
      <c r="A10" s="2"/>
      <c r="B10" s="65" t="s">
        <v>13</v>
      </c>
      <c r="C10" s="280" t="s">
        <v>14</v>
      </c>
      <c r="D10" s="280"/>
      <c r="E10" s="280"/>
    </row>
    <row r="11" spans="1:5" ht="12.75" customHeight="1">
      <c r="A11" s="34" t="s">
        <v>15</v>
      </c>
      <c r="B11" s="64" t="s">
        <v>16</v>
      </c>
      <c r="C11" s="272" t="s">
        <v>17</v>
      </c>
      <c r="D11" s="272"/>
      <c r="E11" s="272"/>
    </row>
    <row r="12" spans="1:5" ht="12.75" customHeight="1">
      <c r="A12" s="2"/>
      <c r="B12" s="65" t="s">
        <v>18</v>
      </c>
      <c r="C12" s="278" t="s">
        <v>19</v>
      </c>
      <c r="D12" s="278"/>
      <c r="E12" s="278"/>
    </row>
    <row r="13" spans="1:5" ht="12.75" customHeight="1">
      <c r="A13" s="34" t="s">
        <v>20</v>
      </c>
      <c r="B13" s="64" t="s">
        <v>933</v>
      </c>
      <c r="C13" s="272" t="s">
        <v>934</v>
      </c>
      <c r="D13" s="272"/>
      <c r="E13" s="2"/>
    </row>
    <row r="14" spans="1:5" ht="12.75" customHeight="1">
      <c r="A14" s="2"/>
      <c r="B14" s="65" t="s">
        <v>935</v>
      </c>
      <c r="C14" s="278" t="s">
        <v>934</v>
      </c>
      <c r="D14" s="278"/>
      <c r="E14" s="2"/>
    </row>
    <row r="15" spans="1:5" ht="12.75" customHeight="1">
      <c r="A15" s="34" t="s">
        <v>44</v>
      </c>
      <c r="B15" s="64" t="s">
        <v>21</v>
      </c>
      <c r="C15" s="271">
        <v>44109</v>
      </c>
      <c r="D15" s="272"/>
      <c r="E15" s="272"/>
    </row>
    <row r="16" spans="1:5" ht="12.75" customHeight="1">
      <c r="A16" s="2"/>
      <c r="B16" s="65" t="s">
        <v>22</v>
      </c>
      <c r="C16" s="283">
        <v>44109</v>
      </c>
      <c r="D16" s="278"/>
      <c r="E16" s="278"/>
    </row>
    <row r="17" spans="1:6" ht="12.75" customHeight="1">
      <c r="A17" s="6"/>
      <c r="B17" s="6"/>
      <c r="C17" s="348" t="s">
        <v>936</v>
      </c>
      <c r="D17" s="348"/>
      <c r="E17" s="348"/>
    </row>
    <row r="18" spans="1:6" ht="30.75" customHeight="1">
      <c r="A18" s="7" t="s">
        <v>937</v>
      </c>
      <c r="B18" s="8" t="s">
        <v>938</v>
      </c>
      <c r="C18" s="8" t="s">
        <v>939</v>
      </c>
      <c r="D18" s="8" t="s">
        <v>940</v>
      </c>
      <c r="E18" s="9" t="s">
        <v>941</v>
      </c>
    </row>
    <row r="19" spans="1:6">
      <c r="A19" s="118" t="s">
        <v>942</v>
      </c>
      <c r="B19" s="119" t="s">
        <v>943</v>
      </c>
      <c r="C19" s="82" t="s">
        <v>944</v>
      </c>
      <c r="D19" s="120">
        <v>0</v>
      </c>
      <c r="E19" s="121">
        <v>0</v>
      </c>
    </row>
    <row r="20" spans="1:6">
      <c r="A20" s="118" t="s">
        <v>945</v>
      </c>
      <c r="B20" s="119" t="s">
        <v>946</v>
      </c>
      <c r="C20" s="82" t="s">
        <v>947</v>
      </c>
      <c r="D20" s="120">
        <v>0</v>
      </c>
      <c r="E20" s="121">
        <v>0</v>
      </c>
    </row>
    <row r="21" spans="1:6">
      <c r="A21" s="122"/>
      <c r="B21" s="123" t="s">
        <v>948</v>
      </c>
      <c r="C21" s="84" t="s">
        <v>949</v>
      </c>
      <c r="D21" s="124">
        <v>1853924646350</v>
      </c>
      <c r="E21" s="125">
        <v>1419086091516</v>
      </c>
    </row>
    <row r="22" spans="1:6">
      <c r="A22" s="122"/>
      <c r="B22" s="123" t="s">
        <v>950</v>
      </c>
      <c r="C22" s="84" t="s">
        <v>951</v>
      </c>
      <c r="D22" s="124">
        <v>1272425975</v>
      </c>
      <c r="E22" s="125">
        <v>1090765635</v>
      </c>
    </row>
    <row r="23" spans="1:6">
      <c r="A23" s="122"/>
      <c r="B23" s="123" t="s">
        <v>952</v>
      </c>
      <c r="C23" s="84" t="s">
        <v>953</v>
      </c>
      <c r="D23" s="126">
        <v>12724.25</v>
      </c>
      <c r="E23" s="127">
        <v>10907.65</v>
      </c>
    </row>
    <row r="24" spans="1:6">
      <c r="A24" s="118" t="s">
        <v>954</v>
      </c>
      <c r="B24" s="119" t="s">
        <v>955</v>
      </c>
      <c r="C24" s="82" t="s">
        <v>956</v>
      </c>
      <c r="D24" s="120">
        <v>0</v>
      </c>
      <c r="E24" s="121">
        <v>0</v>
      </c>
    </row>
    <row r="25" spans="1:6">
      <c r="A25" s="122"/>
      <c r="B25" s="123" t="s">
        <v>948</v>
      </c>
      <c r="C25" s="84" t="s">
        <v>957</v>
      </c>
      <c r="D25" s="124">
        <v>2244878995971</v>
      </c>
      <c r="E25" s="125">
        <v>1853924646350</v>
      </c>
    </row>
    <row r="26" spans="1:6">
      <c r="A26" s="122"/>
      <c r="B26" s="123" t="s">
        <v>950</v>
      </c>
      <c r="C26" s="84" t="s">
        <v>958</v>
      </c>
      <c r="D26" s="124">
        <v>1333855612</v>
      </c>
      <c r="E26" s="125">
        <v>1272425975</v>
      </c>
    </row>
    <row r="27" spans="1:6">
      <c r="A27" s="122"/>
      <c r="B27" s="123" t="s">
        <v>952</v>
      </c>
      <c r="C27" s="84" t="s">
        <v>959</v>
      </c>
      <c r="D27" s="126">
        <v>13338.55</v>
      </c>
      <c r="E27" s="127">
        <v>12724.25</v>
      </c>
      <c r="F27" s="230"/>
    </row>
    <row r="28" spans="1:6" ht="42">
      <c r="A28" s="118" t="s">
        <v>960</v>
      </c>
      <c r="B28" s="119" t="s">
        <v>961</v>
      </c>
      <c r="C28" s="82" t="s">
        <v>962</v>
      </c>
      <c r="D28" s="120">
        <v>0</v>
      </c>
      <c r="E28" s="121">
        <v>0</v>
      </c>
    </row>
    <row r="29" spans="1:6" ht="31.5">
      <c r="A29" s="122"/>
      <c r="B29" s="123" t="s">
        <v>963</v>
      </c>
      <c r="C29" s="84" t="s">
        <v>964</v>
      </c>
      <c r="D29" s="126">
        <v>-1129.1199999999999</v>
      </c>
      <c r="E29" s="127">
        <v>505.04</v>
      </c>
    </row>
    <row r="30" spans="1:6" ht="42">
      <c r="A30" s="122"/>
      <c r="B30" s="123" t="s">
        <v>965</v>
      </c>
      <c r="C30" s="84" t="s">
        <v>966</v>
      </c>
      <c r="D30" s="126">
        <v>1743.42</v>
      </c>
      <c r="E30" s="127">
        <v>1311.57</v>
      </c>
    </row>
    <row r="31" spans="1:6" ht="42">
      <c r="A31" s="128"/>
      <c r="B31" s="129" t="s">
        <v>277</v>
      </c>
      <c r="C31" s="86" t="s">
        <v>967</v>
      </c>
      <c r="D31" s="130">
        <v>0</v>
      </c>
      <c r="E31" s="131">
        <v>0</v>
      </c>
    </row>
    <row r="32" spans="1:6" ht="31.5">
      <c r="A32" s="128"/>
      <c r="B32" s="129" t="s">
        <v>968</v>
      </c>
      <c r="C32" s="86" t="s">
        <v>969</v>
      </c>
      <c r="D32" s="132">
        <v>1743.42</v>
      </c>
      <c r="E32" s="133">
        <v>1311.57</v>
      </c>
    </row>
    <row r="33" spans="1:5" ht="31.5">
      <c r="A33" s="118" t="s">
        <v>970</v>
      </c>
      <c r="B33" s="119" t="s">
        <v>971</v>
      </c>
      <c r="C33" s="82" t="s">
        <v>972</v>
      </c>
      <c r="D33" s="120">
        <v>0</v>
      </c>
      <c r="E33" s="121">
        <v>0</v>
      </c>
    </row>
    <row r="34" spans="1:5">
      <c r="A34" s="128"/>
      <c r="B34" s="129" t="s">
        <v>973</v>
      </c>
      <c r="C34" s="86" t="s">
        <v>974</v>
      </c>
      <c r="D34" s="130">
        <v>2244878995971</v>
      </c>
      <c r="E34" s="131">
        <v>1856848351764</v>
      </c>
    </row>
    <row r="35" spans="1:5">
      <c r="A35" s="128"/>
      <c r="B35" s="129" t="s">
        <v>975</v>
      </c>
      <c r="C35" s="86" t="s">
        <v>976</v>
      </c>
      <c r="D35" s="130">
        <v>109880505679</v>
      </c>
      <c r="E35" s="131">
        <v>109880505679</v>
      </c>
    </row>
    <row r="36" spans="1:5" ht="42">
      <c r="A36" s="118" t="s">
        <v>977</v>
      </c>
      <c r="B36" s="119" t="s">
        <v>978</v>
      </c>
      <c r="C36" s="82" t="s">
        <v>979</v>
      </c>
      <c r="D36" s="120">
        <v>0</v>
      </c>
      <c r="E36" s="121">
        <v>0</v>
      </c>
    </row>
    <row r="37" spans="1:5">
      <c r="A37" s="122" t="s">
        <v>980</v>
      </c>
      <c r="B37" s="123" t="s">
        <v>946</v>
      </c>
      <c r="C37" s="84" t="s">
        <v>981</v>
      </c>
      <c r="D37" s="126">
        <v>12750</v>
      </c>
      <c r="E37" s="127">
        <v>11100</v>
      </c>
    </row>
    <row r="38" spans="1:5">
      <c r="A38" s="122" t="s">
        <v>982</v>
      </c>
      <c r="B38" s="123" t="s">
        <v>983</v>
      </c>
      <c r="C38" s="84" t="s">
        <v>984</v>
      </c>
      <c r="D38" s="126">
        <v>13370</v>
      </c>
      <c r="E38" s="127">
        <v>12750</v>
      </c>
    </row>
    <row r="39" spans="1:5" ht="21">
      <c r="A39" s="122" t="s">
        <v>985</v>
      </c>
      <c r="B39" s="123" t="s">
        <v>986</v>
      </c>
      <c r="C39" s="84" t="s">
        <v>987</v>
      </c>
      <c r="D39" s="126">
        <v>620</v>
      </c>
      <c r="E39" s="127">
        <v>1650</v>
      </c>
    </row>
    <row r="40" spans="1:5" ht="42">
      <c r="A40" s="122" t="s">
        <v>988</v>
      </c>
      <c r="B40" s="123" t="s">
        <v>989</v>
      </c>
      <c r="C40" s="84" t="s">
        <v>990</v>
      </c>
      <c r="D40" s="126">
        <v>0</v>
      </c>
      <c r="E40" s="127">
        <v>0</v>
      </c>
    </row>
    <row r="41" spans="1:5">
      <c r="A41" s="128"/>
      <c r="B41" s="129" t="s">
        <v>991</v>
      </c>
      <c r="C41" s="86" t="s">
        <v>992</v>
      </c>
      <c r="D41" s="132">
        <v>31.45</v>
      </c>
      <c r="E41" s="133">
        <v>25.75</v>
      </c>
    </row>
    <row r="42" spans="1:5" ht="21">
      <c r="A42" s="128"/>
      <c r="B42" s="129" t="s">
        <v>993</v>
      </c>
      <c r="C42" s="86" t="s">
        <v>994</v>
      </c>
      <c r="D42" s="134">
        <v>2.3999999999999998E-3</v>
      </c>
      <c r="E42" s="135">
        <v>2E-3</v>
      </c>
    </row>
    <row r="43" spans="1:5" ht="31.5">
      <c r="A43" s="122" t="s">
        <v>995</v>
      </c>
      <c r="B43" s="123" t="s">
        <v>996</v>
      </c>
      <c r="C43" s="84" t="s">
        <v>997</v>
      </c>
      <c r="D43" s="126">
        <v>0</v>
      </c>
      <c r="E43" s="127">
        <v>0</v>
      </c>
    </row>
    <row r="44" spans="1:5">
      <c r="A44" s="128"/>
      <c r="B44" s="129" t="s">
        <v>998</v>
      </c>
      <c r="C44" s="86" t="s">
        <v>999</v>
      </c>
      <c r="D44" s="132">
        <v>13430</v>
      </c>
      <c r="E44" s="133">
        <v>12820</v>
      </c>
    </row>
    <row r="45" spans="1:5">
      <c r="A45" s="136"/>
      <c r="B45" s="137" t="s">
        <v>1000</v>
      </c>
      <c r="C45" s="138" t="s">
        <v>1001</v>
      </c>
      <c r="D45" s="139">
        <v>10500</v>
      </c>
      <c r="E45" s="140">
        <v>10500</v>
      </c>
    </row>
    <row r="46" spans="1:5" ht="6" customHeight="1">
      <c r="A46" s="273"/>
      <c r="B46" s="273"/>
      <c r="C46" s="273"/>
      <c r="D46" s="273"/>
      <c r="E46" s="273"/>
    </row>
    <row r="47" spans="1:5" ht="12.75" customHeight="1">
      <c r="A47" s="274" t="s">
        <v>1002</v>
      </c>
      <c r="B47" s="274"/>
      <c r="C47" s="274" t="s">
        <v>1003</v>
      </c>
      <c r="D47" s="274"/>
      <c r="E47" s="274"/>
    </row>
    <row r="48" spans="1:5" ht="12.75" customHeight="1">
      <c r="A48" s="301" t="s">
        <v>293</v>
      </c>
      <c r="B48" s="301"/>
      <c r="C48" s="301" t="s">
        <v>294</v>
      </c>
      <c r="D48" s="301"/>
      <c r="E48" s="301"/>
    </row>
    <row r="49" spans="1:5" ht="15.75" customHeight="1">
      <c r="A49" s="273"/>
      <c r="B49" s="273"/>
      <c r="C49" s="273"/>
      <c r="D49" s="273"/>
      <c r="E49" s="273"/>
    </row>
    <row r="50" spans="1:5" ht="54" customHeight="1">
      <c r="A50" s="273"/>
      <c r="B50" s="273"/>
      <c r="C50" s="273"/>
      <c r="D50" s="273"/>
      <c r="E50" s="273"/>
    </row>
    <row r="51" spans="1:5" ht="12.75" customHeight="1">
      <c r="A51" s="274" t="s">
        <v>295</v>
      </c>
      <c r="B51" s="274"/>
      <c r="C51" s="274" t="s">
        <v>296</v>
      </c>
      <c r="D51" s="274"/>
      <c r="E51" s="274"/>
    </row>
    <row r="52" spans="1:5" ht="12.75" customHeight="1">
      <c r="A52" s="287" t="s">
        <v>297</v>
      </c>
      <c r="B52" s="287"/>
      <c r="C52" s="287" t="s">
        <v>298</v>
      </c>
      <c r="D52" s="287"/>
      <c r="E52" s="287"/>
    </row>
    <row r="53" spans="1:5" ht="12.75" customHeight="1">
      <c r="A53" s="287" t="s">
        <v>299</v>
      </c>
      <c r="B53" s="287"/>
      <c r="C53" s="287" t="s">
        <v>300</v>
      </c>
      <c r="D53" s="287"/>
      <c r="E53" s="287"/>
    </row>
  </sheetData>
  <mergeCells count="34">
    <mergeCell ref="A52:B52"/>
    <mergeCell ref="C52:E52"/>
    <mergeCell ref="A53:B53"/>
    <mergeCell ref="C53:E53"/>
    <mergeCell ref="A49:B49"/>
    <mergeCell ref="C49:E49"/>
    <mergeCell ref="A50:B50"/>
    <mergeCell ref="C50:E50"/>
    <mergeCell ref="A51:B51"/>
    <mergeCell ref="C51:E51"/>
    <mergeCell ref="A46:B46"/>
    <mergeCell ref="C46:E46"/>
    <mergeCell ref="A47:B47"/>
    <mergeCell ref="C47:E47"/>
    <mergeCell ref="A48:B48"/>
    <mergeCell ref="C48:E48"/>
    <mergeCell ref="C17:E17"/>
    <mergeCell ref="B6:E6"/>
    <mergeCell ref="C7:E7"/>
    <mergeCell ref="C8:E8"/>
    <mergeCell ref="C9:E9"/>
    <mergeCell ref="C10:E10"/>
    <mergeCell ref="C11:E11"/>
    <mergeCell ref="C12:E12"/>
    <mergeCell ref="C13:D13"/>
    <mergeCell ref="C14:D14"/>
    <mergeCell ref="C15:E15"/>
    <mergeCell ref="C16:E16"/>
    <mergeCell ref="A5:E5"/>
    <mergeCell ref="A1:B1"/>
    <mergeCell ref="C1:E1"/>
    <mergeCell ref="A2:E2"/>
    <mergeCell ref="A3:E3"/>
    <mergeCell ref="A4:E4"/>
  </mergeCells>
  <printOptions horizontalCentered="1"/>
  <pageMargins left="0" right="0" top="0.59" bottom="0.59" header="0.5" footer="0.5"/>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8paGITEW6DuDoBS0wuThIOelXr8=</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RBi5wrVHnX5uVWxUgLRMUANBZVY=</DigestValue>
    </Reference>
  </SignedInfo>
  <SignatureValue>nRBhgK6sKqTVEGuqq9QCvGpl3AQV063z9Z1ywO7iqPX6f2Ql2+HHZzsoLVlhnD8ngp2eWAuT84c8
4d1vQS11fpoGq6txZG9e4oh9W9B6+NPwHIHpnJGPn+KKQ4ndlhw30rYpz1pZboZXw1QMtQn4HYEX
tXrXCWnrJCMTb2KLaa0=</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worksheets/sheet6.xml?ContentType=application/vnd.openxmlformats-officedocument.spreadsheetml.worksheet+xml">
        <DigestMethod Algorithm="http://www.w3.org/2000/09/xmldsig#sha1"/>
        <DigestValue>IpGuG7idxYA58OCM3u7cQFXvu74=</DigestValue>
      </Reference>
      <Reference URI="/xl/media/image1.jpeg?ContentType=image/jpeg">
        <DigestMethod Algorithm="http://www.w3.org/2000/09/xmldsig#sha1"/>
        <DigestValue>/Uk5f4VXnVpkRtrn0rMzZHB5SQg=</DigestValue>
      </Reference>
      <Reference URI="/xl/drawings/drawing5.xml?ContentType=application/vnd.openxmlformats-officedocument.drawing+xml">
        <DigestMethod Algorithm="http://www.w3.org/2000/09/xmldsig#sha1"/>
        <DigestValue>XMIoNcepdAO354Q+x2HymLv/aDY=</DigestValue>
      </Reference>
      <Reference URI="/xl/drawings/drawing6.xml?ContentType=application/vnd.openxmlformats-officedocument.drawing+xml">
        <DigestMethod Algorithm="http://www.w3.org/2000/09/xmldsig#sha1"/>
        <DigestValue>xn0g4aqhjro4jgyFoHx3yZPK7Ms=</DigestValue>
      </Reference>
      <Reference URI="/xl/drawings/drawing2.xml?ContentType=application/vnd.openxmlformats-officedocument.drawing+xml">
        <DigestMethod Algorithm="http://www.w3.org/2000/09/xmldsig#sha1"/>
        <DigestValue>tVzQvRI3g68zaRALoLUZOSIcnBk=</DigestValue>
      </Reference>
      <Reference URI="/xl/theme/theme1.xml?ContentType=application/vnd.openxmlformats-officedocument.theme+xml">
        <DigestMethod Algorithm="http://www.w3.org/2000/09/xmldsig#sha1"/>
        <DigestValue>9qmLS+LilE9mSl2hTMj5oHE8VR8=</DigestValue>
      </Reference>
      <Reference URI="/xl/printerSettings/printerSettings8.bin?ContentType=application/vnd.openxmlformats-officedocument.spreadsheetml.printerSettings">
        <DigestMethod Algorithm="http://www.w3.org/2000/09/xmldsig#sha1"/>
        <DigestValue>EqFbnoBrTYXV5qFeko23gkmQN4U=</DigestValue>
      </Reference>
      <Reference URI="/xl/worksheets/sheet10.xml?ContentType=application/vnd.openxmlformats-officedocument.spreadsheetml.worksheet+xml">
        <DigestMethod Algorithm="http://www.w3.org/2000/09/xmldsig#sha1"/>
        <DigestValue>j/BIqTaFPdj4O1hmmGZv3Bbh4m0=</DigestValue>
      </Reference>
      <Reference URI="/xl/drawings/drawing1.xml?ContentType=application/vnd.openxmlformats-officedocument.drawing+xml">
        <DigestMethod Algorithm="http://www.w3.org/2000/09/xmldsig#sha1"/>
        <DigestValue>tVzQvRI3g68zaRALoLUZOSIcnBk=</DigestValue>
      </Reference>
      <Reference URI="/xl/printerSettings/printerSettings1.bin?ContentType=application/vnd.openxmlformats-officedocument.spreadsheetml.printerSettings">
        <DigestMethod Algorithm="http://www.w3.org/2000/09/xmldsig#sha1"/>
        <DigestValue>EqFbnoBrTYXV5qFeko23gkmQN4U=</DigestValue>
      </Reference>
      <Reference URI="/xl/sharedStrings.xml?ContentType=application/vnd.openxmlformats-officedocument.spreadsheetml.sharedStrings+xml">
        <DigestMethod Algorithm="http://www.w3.org/2000/09/xmldsig#sha1"/>
        <DigestValue>L+Uwpbtwbzf3S2QwrCQqxOlGUsc=</DigestValue>
      </Reference>
      <Reference URI="/xl/media/image2.png?ContentType=image/png">
        <DigestMethod Algorithm="http://www.w3.org/2000/09/xmldsig#sha1"/>
        <DigestValue>Jb3+Ensyxuvbl7Xs1b78oocXMjk=</DigestValue>
      </Reference>
      <Reference URI="/xl/worksheets/sheet5.xml?ContentType=application/vnd.openxmlformats-officedocument.spreadsheetml.worksheet+xml">
        <DigestMethod Algorithm="http://www.w3.org/2000/09/xmldsig#sha1"/>
        <DigestValue>6DHF09MNSwJWM+NAliH2wer2rmI=</DigestValue>
      </Reference>
      <Reference URI="/xl/worksheets/sheet7.xml?ContentType=application/vnd.openxmlformats-officedocument.spreadsheetml.worksheet+xml">
        <DigestMethod Algorithm="http://www.w3.org/2000/09/xmldsig#sha1"/>
        <DigestValue>uDOo6gL0NqE7cQYDQxRPWxqvdwA=</DigestValue>
      </Reference>
      <Reference URI="/xl/worksheets/sheet9.xml?ContentType=application/vnd.openxmlformats-officedocument.spreadsheetml.worksheet+xml">
        <DigestMethod Algorithm="http://www.w3.org/2000/09/xmldsig#sha1"/>
        <DigestValue>koikIJN5KSseUQzSKRZwfQC3BYI=</DigestValue>
      </Reference>
      <Reference URI="/xl/worksheets/sheet8.xml?ContentType=application/vnd.openxmlformats-officedocument.spreadsheetml.worksheet+xml">
        <DigestMethod Algorithm="http://www.w3.org/2000/09/xmldsig#sha1"/>
        <DigestValue>XLIfOIvHbxtcIYP7D/isjKiNGbA=</DigestValue>
      </Reference>
      <Reference URI="/xl/drawings/drawing4.xml?ContentType=application/vnd.openxmlformats-officedocument.drawing+xml">
        <DigestMethod Algorithm="http://www.w3.org/2000/09/xmldsig#sha1"/>
        <DigestValue>bjXqotRuAtX5n2MDhYG1TwTz97I=</DigestValue>
      </Reference>
      <Reference URI="/xl/worksheets/sheet11.xml?ContentType=application/vnd.openxmlformats-officedocument.spreadsheetml.worksheet+xml">
        <DigestMethod Algorithm="http://www.w3.org/2000/09/xmldsig#sha1"/>
        <DigestValue>51ebC+A+oCUNbkWuQPd0F/Vu0zc=</DigestValue>
      </Reference>
      <Reference URI="/xl/drawings/drawing3.xml?ContentType=application/vnd.openxmlformats-officedocument.drawing+xml">
        <DigestMethod Algorithm="http://www.w3.org/2000/09/xmldsig#sha1"/>
        <DigestValue>KXKd2WExXquPlDbpIRFrOXPnnO8=</DigestValue>
      </Reference>
      <Reference URI="/xl/printerSettings/printerSettings3.bin?ContentType=application/vnd.openxmlformats-officedocument.spreadsheetml.printerSettings">
        <DigestMethod Algorithm="http://www.w3.org/2000/09/xmldsig#sha1"/>
        <DigestValue>EqFbnoBrTYXV5qFeko23gkmQN4U=</DigestValue>
      </Reference>
      <Reference URI="/xl/worksheets/sheet3.xml?ContentType=application/vnd.openxmlformats-officedocument.spreadsheetml.worksheet+xml">
        <DigestMethod Algorithm="http://www.w3.org/2000/09/xmldsig#sha1"/>
        <DigestValue>EGE9NLqtm27knZJWBvBOuuQmAdo=</DigestValue>
      </Reference>
      <Reference URI="/xl/printerSettings/printerSettings6.bin?ContentType=application/vnd.openxmlformats-officedocument.spreadsheetml.printerSettings">
        <DigestMethod Algorithm="http://www.w3.org/2000/09/xmldsig#sha1"/>
        <DigestValue>kVG/FCPm5sUAcsB8bI3+8KB5ffE=</DigestValue>
      </Reference>
      <Reference URI="/xl/worksheets/sheet2.xml?ContentType=application/vnd.openxmlformats-officedocument.spreadsheetml.worksheet+xml">
        <DigestMethod Algorithm="http://www.w3.org/2000/09/xmldsig#sha1"/>
        <DigestValue>FnzqcmgP/PR+Kk8oLy4gq3X09vs=</DigestValue>
      </Reference>
      <Reference URI="/xl/printerSettings/printerSettings5.bin?ContentType=application/vnd.openxmlformats-officedocument.spreadsheetml.printerSettings">
        <DigestMethod Algorithm="http://www.w3.org/2000/09/xmldsig#sha1"/>
        <DigestValue>EqFbnoBrTYXV5qFeko23gkmQN4U=</DigestValue>
      </Reference>
      <Reference URI="/xl/worksheets/sheet4.xml?ContentType=application/vnd.openxmlformats-officedocument.spreadsheetml.worksheet+xml">
        <DigestMethod Algorithm="http://www.w3.org/2000/09/xmldsig#sha1"/>
        <DigestValue>G4p0ckA9eBFMLMQL47T/T8BZUHc=</DigestValue>
      </Reference>
      <Reference URI="/xl/printerSettings/printerSettings4.bin?ContentType=application/vnd.openxmlformats-officedocument.spreadsheetml.printerSettings">
        <DigestMethod Algorithm="http://www.w3.org/2000/09/xmldsig#sha1"/>
        <DigestValue>EqFbnoBrTYXV5qFeko23gkmQN4U=</DigestValue>
      </Reference>
      <Reference URI="/xl/workbook.xml?ContentType=application/vnd.openxmlformats-officedocument.spreadsheetml.sheet.main+xml">
        <DigestMethod Algorithm="http://www.w3.org/2000/09/xmldsig#sha1"/>
        <DigestValue>ACfP5kTifyBpsO5mL+QidrceYjA=</DigestValue>
      </Reference>
      <Reference URI="/xl/styles.xml?ContentType=application/vnd.openxmlformats-officedocument.spreadsheetml.styles+xml">
        <DigestMethod Algorithm="http://www.w3.org/2000/09/xmldsig#sha1"/>
        <DigestValue>dtNSJKQGJ8mIWTYo8WrZ2Gr65PE=</DigestValue>
      </Reference>
      <Reference URI="/xl/calcChain.xml?ContentType=application/vnd.openxmlformats-officedocument.spreadsheetml.calcChain+xml">
        <DigestMethod Algorithm="http://www.w3.org/2000/09/xmldsig#sha1"/>
        <DigestValue>6guzrOKnIkdLTdf10FXLpaj6TsI=</DigestValue>
      </Reference>
      <Reference URI="/xl/printerSettings/printerSettings9.bin?ContentType=application/vnd.openxmlformats-officedocument.spreadsheetml.printerSettings">
        <DigestMethod Algorithm="http://www.w3.org/2000/09/xmldsig#sha1"/>
        <DigestValue>EqFbnoBrTYXV5qFeko23gkmQN4U=</DigestValue>
      </Reference>
      <Reference URI="/xl/drawings/drawing7.xml?ContentType=application/vnd.openxmlformats-officedocument.drawing+xml">
        <DigestMethod Algorithm="http://www.w3.org/2000/09/xmldsig#sha1"/>
        <DigestValue>tVzQvRI3g68zaRALoLUZOSIcnBk=</DigestValue>
      </Reference>
      <Reference URI="/xl/printerSettings/printerSettings2.bin?ContentType=application/vnd.openxmlformats-officedocument.spreadsheetml.printerSettings">
        <DigestMethod Algorithm="http://www.w3.org/2000/09/xmldsig#sha1"/>
        <DigestValue>EqFbnoBrTYXV5qFeko23gkmQN4U=</DigestValue>
      </Reference>
      <Reference URI="/xl/drawings/drawing9.xml?ContentType=application/vnd.openxmlformats-officedocument.drawing+xml">
        <DigestMethod Algorithm="http://www.w3.org/2000/09/xmldsig#sha1"/>
        <DigestValue>IJn7/lFvnHuaII5cq1UQ5VsmrGE=</DigestValue>
      </Reference>
      <Reference URI="/xl/worksheets/sheet1.xml?ContentType=application/vnd.openxmlformats-officedocument.spreadsheetml.worksheet+xml">
        <DigestMethod Algorithm="http://www.w3.org/2000/09/xmldsig#sha1"/>
        <DigestValue>28hYY277Do6hPwtibUq46ZccU1c=</DigestValue>
      </Reference>
      <Reference URI="/xl/printerSettings/printerSettings7.bin?ContentType=application/vnd.openxmlformats-officedocument.spreadsheetml.printerSettings">
        <DigestMethod Algorithm="http://www.w3.org/2000/09/xmldsig#sha1"/>
        <DigestValue>EqFbnoBrTYXV5qFeko23gkmQN4U=</DigestValue>
      </Reference>
      <Reference URI="/xl/drawings/drawing8.xml?ContentType=application/vnd.openxmlformats-officedocument.drawing+xml">
        <DigestMethod Algorithm="http://www.w3.org/2000/09/xmldsig#sha1"/>
        <DigestValue>tVzQvRI3g68zaRALoLUZOSIcnBk=</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worksheets/_rels/sheet10.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HyltGlINEqHdoGpSXCSvzsnYpQs=</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JRR9z9cNt/pv5sgGyCJ5rPJ+s3Y=</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9.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e6EjjVXi7TgJboLDkxdcAGm6NaA=</DigestValue>
      </Reference>
    </Manifest>
    <SignatureProperties>
      <SignatureProperty Id="idSignatureTime" Target="#idPackageSignature">
        <mdssi:SignatureTime>
          <mdssi:Format>YYYY-MM-DDThh:mm:ssTZD</mdssi:Format>
          <mdssi:Value>2020-10-05T04:23:16Z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2020-10-05T04:23:16Z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TONGQUAN</vt:lpstr>
      <vt:lpstr>BCTaiSan_06134</vt:lpstr>
      <vt:lpstr>BCKetQuaHoatDong_06135</vt:lpstr>
      <vt:lpstr>BCDanhMucDauTu_06136</vt:lpstr>
      <vt:lpstr>Khac_06137</vt:lpstr>
      <vt:lpstr>BCGiaodichTaiSan_06141</vt:lpstr>
      <vt:lpstr>BCThuNhap_06203</vt:lpstr>
      <vt:lpstr>BCTinhHinhTaiChinh_06105</vt:lpstr>
      <vt:lpstr>GTTSRong_06107</vt:lpstr>
      <vt:lpstr>DangHD_06182</vt:lpstr>
      <vt:lpstr>Sheet1</vt:lpstr>
      <vt:lpstr>BCGiaodichTaiSan_06141!Print_Area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2020-10-05T04:08:16Z</dcterms:modified>
</cp:coreProperties>
</file>