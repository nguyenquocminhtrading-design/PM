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alcChain.xml" ContentType="application/vnd.openxmlformats-officedocument.spreadsheetml.calcChain+xml"/>
  <Override PartName="/docMetadata/LabelInfo.xml" ContentType="application/vnd.ms-office.classificationlabel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6" Type="http://schemas.openxmlformats.org/package/2006/relationships/digital-signature/origin" Target="_xmlsignatures/origin.sigs"/><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mc:AlternateContent xmlns:mc="http://schemas.openxmlformats.org/markup-compatibility/2006">
    <mc:Choice Requires="x15">
      <x15ac:absPath xmlns:x15ac="http://schemas.microsoft.com/office/spreadsheetml/2010/11/ac" url="W:\GTO_SSO_FUNDSERVICES_GSSCKL\10. CLIENT PORTFOLIO-NAV recalculation\KYSO\2025\01. Jan\07.01\"/>
    </mc:Choice>
  </mc:AlternateContent>
  <xr:revisionPtr revIDLastSave="0" documentId="13_ncr:1_{5EF41ABA-CC83-4AA8-B1ED-A99BDC526B6A}" xr6:coauthVersionLast="47" xr6:coauthVersionMax="47" xr10:uidLastSave="{00000000-0000-0000-0000-000000000000}"/>
  <bookViews>
    <workbookView xWindow="-110" yWindow="-110" windowWidth="19420" windowHeight="10420" firstSheet="2" activeTab="5" xr2:uid="{00000000-000D-0000-FFFF-FFFF00000000}"/>
  </bookViews>
  <sheets>
    <sheet name="TONGQUAN" sheetId="1" r:id="rId1"/>
    <sheet name="BCTaiSan_06027" sheetId="43" r:id="rId2"/>
    <sheet name="BCKetQuaHoatDong_06028" sheetId="29" r:id="rId3"/>
    <sheet name="BCDanhMucDauTu_06029" sheetId="44" r:id="rId4"/>
    <sheet name="BCHoatDongVay_06026" sheetId="45" r:id="rId5"/>
    <sheet name="Khac_06030" sheetId="32" r:id="rId6"/>
    <sheet name="LogoFMS" sheetId="25" state="hidden" r:id="rId7"/>
  </sheets>
  <definedNames>
    <definedName name="_xlnm._FilterDatabase" localSheetId="3" hidden="1">BCDanhMucDauTu_06029!$A$18:$J$18</definedName>
    <definedName name="_xlnm._FilterDatabase" localSheetId="2" hidden="1">BCKetQuaHoatDong_06028!$A$18:$H$89</definedName>
    <definedName name="_xlnm._FilterDatabase" localSheetId="1" hidden="1">BCTaiSan_06027!$A$18:$F$18</definedName>
    <definedName name="_xlnm._FilterDatabase" localSheetId="5" hidden="1">Khac_06030!$A$18:$F$18</definedName>
    <definedName name="addlogo">INDEX(LogoFMS!$C$3:$C$76,MATCH(LogoFMS!$D$1,LogoFMS!$A$3:$A$76,0))</definedName>
    <definedName name="_xlnm.Print_Area" localSheetId="0">TONGQUAN!$A$1:$K$34</definedName>
    <definedName name="_xlnm.Print_Titles" localSheetId="3">BCDanhMucDauTu_06029!$18:$18</definedName>
    <definedName name="_xlnm.Print_Titles" localSheetId="2">BCKetQuaHoatDong_06028!$18:$18</definedName>
    <definedName name="_xlnm.Print_Titles" localSheetId="1">BCTaiSan_06027!$18:$18</definedName>
    <definedName name="_xlnm.Print_Titles" localSheetId="5">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1" i="45" l="1"/>
  <c r="G14" i="45" l="1"/>
  <c r="G13" i="45"/>
  <c r="G12" i="45"/>
  <c r="G10" i="45"/>
  <c r="G9" i="45"/>
  <c r="G8" i="45"/>
  <c r="G7" i="45"/>
  <c r="A5" i="45"/>
  <c r="C14" i="44" l="1"/>
  <c r="C13" i="44"/>
  <c r="C12" i="44"/>
  <c r="C11" i="44"/>
  <c r="C10" i="44"/>
  <c r="C9" i="44"/>
  <c r="C8" i="44"/>
  <c r="C7" i="44"/>
  <c r="A5" i="44"/>
  <c r="C14" i="43" l="1"/>
  <c r="C13" i="43"/>
  <c r="C12" i="43"/>
  <c r="C11" i="43"/>
  <c r="C10" i="43"/>
  <c r="C9" i="43"/>
  <c r="C8" i="43"/>
  <c r="C7" i="43"/>
  <c r="A5" i="43"/>
  <c r="F19" i="1" l="1"/>
</calcChain>
</file>

<file path=xl/sharedStrings.xml><?xml version="1.0" encoding="utf-8"?>
<sst xmlns="http://schemas.openxmlformats.org/spreadsheetml/2006/main" count="1132" uniqueCount="900">
  <si>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</si>
  <si>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</si>
  <si>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</si>
  <si>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</si>
  <si>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</si>
  <si>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</si>
  <si>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</si>
  <si>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</si>
  <si>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</si>
  <si>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</si>
  <si>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</si>
  <si>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</si>
  <si>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</si>
  <si>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</si>
  <si>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</si>
  <si>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</si>
  <si>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</si>
  <si>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</si>
  <si>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</si>
  <si>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</si>
  <si>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</si>
  <si>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II</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</si>
  <si>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</si>
  <si>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</si>
  <si>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</si>
  <si>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</si>
  <si>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</si>
  <si>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</si>
  <si>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</si>
  <si>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</si>
  <si>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</si>
  <si>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</si>
  <si>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Chi phí dịch vụ Đại lý Chuyển nhượng
Transfer Agency Fee</t>
  </si>
  <si>
    <t>Chi phí kiểm toán trả cho tổ chức kiểm toán
Audit fee</t>
  </si>
  <si>
    <t>Chi phí dịch vụ tư vấn pháp lý
Legal consultancy expenses</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</si>
  <si>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</si>
  <si>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</si>
  <si>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</si>
  <si>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</si>
  <si>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</si>
  <si>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</si>
  <si>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</si>
  <si>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</si>
  <si>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</si>
  <si>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</si>
  <si>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</si>
  <si>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</si>
  <si>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</si>
  <si>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</si>
  <si>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</si>
  <si>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</si>
  <si>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</si>
  <si>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</si>
  <si>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</si>
  <si>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</si>
  <si>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</si>
  <si>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</si>
  <si>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</si>
  <si>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</si>
  <si>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</si>
  <si>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</si>
  <si>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</si>
  <si>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</si>
  <si>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</si>
  <si>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</si>
  <si>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</si>
  <si>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</si>
  <si>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</si>
  <si>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</si>
  <si>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</si>
  <si>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</si>
  <si>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</si>
  <si>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</si>
  <si>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</si>
  <si>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</si>
  <si>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</si>
  <si>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</si>
  <si>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</si>
  <si>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</si>
  <si>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</si>
  <si>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</si>
  <si>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</si>
  <si>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</si>
  <si>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</si>
  <si>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</si>
  <si>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</si>
  <si>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</si>
  <si>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</si>
  <si>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</si>
  <si>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</si>
  <si>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</si>
  <si>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</si>
  <si>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</si>
  <si>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</si>
  <si>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</si>
  <si>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</si>
  <si>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</si>
  <si>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</si>
  <si>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</si>
  <si>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</si>
  <si>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</si>
  <si>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</si>
  <si>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</si>
  <si>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</si>
  <si>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</si>
  <si>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</si>
  <si>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</si>
  <si>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</si>
  <si>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</si>
  <si>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</si>
  <si>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</si>
  <si>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</si>
  <si>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</si>
  <si>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</si>
  <si>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</si>
  <si>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</si>
  <si>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</si>
  <si>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</si>
  <si>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</si>
  <si>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</si>
  <si>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</si>
  <si>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</si>
  <si>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</si>
  <si>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</si>
  <si>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</si>
  <si>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</si>
  <si>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</si>
  <si>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</si>
  <si>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</si>
  <si>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</si>
  <si>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</si>
  <si>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</si>
  <si>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</si>
  <si>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</si>
  <si>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</si>
  <si>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</si>
  <si>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</si>
  <si>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2284</t>
  </si>
  <si>
    <t>Số nhà đầu tư tham gia vào quỹ, kể cả giao dịch ký danh
Number of investors of the Fund at the end of the period</t>
  </si>
  <si>
    <t>22841</t>
  </si>
  <si>
    <t>2285</t>
  </si>
  <si>
    <t>Chi phí báo cáo thường niên
Annual report expenses</t>
  </si>
  <si>
    <t>STT
No.</t>
  </si>
  <si>
    <t>FUNDCODE</t>
  </si>
  <si>
    <t>FUNDNAME</t>
  </si>
  <si>
    <t>LOGO</t>
  </si>
  <si>
    <t>VFMVF1</t>
  </si>
  <si>
    <t>VFMVF4</t>
  </si>
  <si>
    <t>VFMVFA</t>
  </si>
  <si>
    <t>Quỹ Đầu tư Năng Động Việt Nam</t>
  </si>
  <si>
    <t>VFMVFB</t>
  </si>
  <si>
    <t>VFMVFC</t>
  </si>
  <si>
    <t>TCBF</t>
  </si>
  <si>
    <t>TCEF1</t>
  </si>
  <si>
    <t>Quỹ Đầu tư Cổ phiếu Techcom</t>
  </si>
  <si>
    <t>MBEF1</t>
  </si>
  <si>
    <t>Quỹ Đầu tư JAPAN ASIA MB CAPITAL</t>
  </si>
  <si>
    <t>MBVF</t>
  </si>
  <si>
    <t>Quỹ Đầu tư Giá trị MB Capital</t>
  </si>
  <si>
    <t>SSISCA</t>
  </si>
  <si>
    <t>Quỹ Đầu tư Lợi thế Cạnh tranh Bền vững SSI</t>
  </si>
  <si>
    <t>VCBBCF</t>
  </si>
  <si>
    <t>Quỹ Đầu tư Cổ Phiếu Hàng Đầu VCBF</t>
  </si>
  <si>
    <t>VCBFIF</t>
  </si>
  <si>
    <t xml:space="preserve">Quỹ Đầu Tư Trái Phiếu VCBF </t>
  </si>
  <si>
    <t>VCBTBF</t>
  </si>
  <si>
    <t>Quỹ Đầu tư Cân Bằng Chiến Lược VCBF</t>
  </si>
  <si>
    <t>VEOF</t>
  </si>
  <si>
    <t>Quỹ Đầu tư Cổ Phiếu Hưng Thịnh VinaWealth</t>
  </si>
  <si>
    <t>VESAF</t>
  </si>
  <si>
    <t>Quỹ Đầu tư Cổ Phiếu Tiếp Cận Thị Trường Việt Nam</t>
  </si>
  <si>
    <t>VFF</t>
  </si>
  <si>
    <t>Quỹ Đầu tư Trái Phiếu Bảo Thịnh VinaWealth</t>
  </si>
  <si>
    <t>VIBF</t>
  </si>
  <si>
    <t>Quỹ Đầu Tư Cân Bằng Tuệ Sáng VinaCapital</t>
  </si>
  <si>
    <t>VCAMBF</t>
  </si>
  <si>
    <t>Quỹ Đầu tư Cân bằng Bản Việt</t>
  </si>
  <si>
    <t>VFVN30</t>
  </si>
  <si>
    <t>Quỹ ETF VFMVN30</t>
  </si>
  <si>
    <t>2222.3</t>
  </si>
  <si>
    <t>Lãi tiền gửi ngân hàng
Interest income from bank deposits</t>
  </si>
  <si>
    <t>AM16</t>
  </si>
  <si>
    <t>AIA Dividend Portfolio</t>
  </si>
  <si>
    <t>AM19</t>
  </si>
  <si>
    <t>Tổng công ty cổ phần bảo hiểm Bưu điện</t>
  </si>
  <si>
    <t>AM20</t>
  </si>
  <si>
    <t>FRANKLIN TEMPLETON CAPITAL HOLDINGS PRIVATE LIMITED (FTCHPL)</t>
  </si>
  <si>
    <t>AM28</t>
  </si>
  <si>
    <t>Tổng Công ty Cổ Phần Tái Bảo Hiểm Quốc Gia Việt Nam ("VINARE") VINARE-04</t>
  </si>
  <si>
    <t>AM29</t>
  </si>
  <si>
    <t>Tổng Công ty Cổ Phần Tái Bảo Hiểm Quốc Gia Việt Nam ("VINARE") VINARE-05</t>
  </si>
  <si>
    <t>AM30</t>
  </si>
  <si>
    <t>Tổng Công ty Cổ Phần Tái Bảo Hiểm Quốc Gia Việt Nam ("VINARE") -VINARE EQUITY PORTFOLIO 6</t>
  </si>
  <si>
    <t>AM31</t>
  </si>
  <si>
    <t>Tổng công ty cổ phần bảo hiểm Petrolimex</t>
  </si>
  <si>
    <t>AMI01</t>
  </si>
  <si>
    <t>Ông Huỳnh Văn Loanh</t>
  </si>
  <si>
    <t>CBPF</t>
  </si>
  <si>
    <t>Quỹ Đầu tư Trái phiếu Mở rộng Chubb</t>
  </si>
  <si>
    <t>NA</t>
  </si>
  <si>
    <t>VVBALF</t>
  </si>
  <si>
    <t>Quỹ Prulink Cân bằng</t>
  </si>
  <si>
    <t>VVBALG</t>
  </si>
  <si>
    <t>Quỹ Prulink Tăng trưởng</t>
  </si>
  <si>
    <t>VVEQUI</t>
  </si>
  <si>
    <t>VVUPG1</t>
  </si>
  <si>
    <t>Quỹ Prulink Trái phiếu Việt Nam</t>
  </si>
  <si>
    <t>VVUSTA</t>
  </si>
  <si>
    <t>Quỹ Prulink Bền vững</t>
  </si>
  <si>
    <t>VVUWB1</t>
  </si>
  <si>
    <t>Quỹ Prulink cổ phiếu Việt Nam</t>
  </si>
  <si>
    <t>MAGEF</t>
  </si>
  <si>
    <t>Quỹ đầu tư cổ phiếu tăng trưởng Mira asset Việt Nam</t>
  </si>
  <si>
    <t>Cổ tức, trái tức được nhận
Dividend income, interest income from bonds</t>
  </si>
  <si>
    <t>Cổ tức được nhận
Dividends income</t>
  </si>
  <si>
    <t>Trái tức được nhận
Interest income from bonds</t>
  </si>
  <si>
    <t>Lãi được nhận
Interest income</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</si>
  <si>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</si>
  <si>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</si>
  <si>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</si>
  <si>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</si>
  <si>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</si>
  <si>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</si>
  <si>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</si>
  <si>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</si>
  <si>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</si>
  <si>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</si>
  <si>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</si>
  <si>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</si>
  <si>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</si>
  <si>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</si>
  <si>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Lãi hợp đồng mua lại đảo ngược
Interest income from reverse repo contracts</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</si>
  <si>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</si>
  <si>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</si>
  <si>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</si>
  <si>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</si>
  <si>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</si>
  <si>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</si>
  <si>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</si>
  <si>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</si>
  <si>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</si>
  <si>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</si>
  <si>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</si>
  <si>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</si>
  <si>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</si>
  <si>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</si>
  <si>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</si>
  <si>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Fund name:</t>
  </si>
  <si>
    <t>2287</t>
  </si>
  <si>
    <t>2288</t>
  </si>
  <si>
    <t>VFMVSF</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</si>
  <si>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</si>
  <si>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</si>
  <si>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</si>
  <si>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</si>
  <si>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</si>
  <si>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</si>
  <si>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</si>
  <si>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</si>
  <si>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dịch vụ lưu ký - bảo quản tài sản
Custodian service - Safe Custody Fee</t>
  </si>
  <si>
    <t>Chi phí dịch vụ lưu ký - giao dịch chứng khoán
Custodian service - Transaction fee</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</si>
  <si>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</si>
  <si>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</si>
  <si>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</si>
  <si>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</si>
  <si>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</si>
  <si>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</si>
  <si>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</si>
  <si>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</si>
  <si>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</si>
  <si>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</si>
  <si>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</si>
  <si>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</si>
  <si>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</si>
  <si>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</si>
  <si>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</si>
  <si>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</si>
  <si>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</si>
  <si>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</si>
  <si>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</si>
  <si>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</si>
  <si>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</si>
  <si>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</si>
  <si>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</si>
  <si>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</si>
  <si>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</si>
  <si>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</si>
  <si>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</si>
  <si>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</si>
  <si>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</si>
  <si>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</si>
  <si>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</si>
  <si>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</si>
  <si>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</si>
  <si>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</si>
  <si>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</si>
  <si>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</si>
  <si>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</si>
  <si>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</si>
  <si>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</si>
  <si>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</si>
  <si>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</si>
  <si>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</si>
  <si>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</si>
  <si>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</si>
  <si>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</si>
  <si>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</si>
  <si>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L0021</t>
  </si>
  <si>
    <t>Quỹ cổ phiếu hàng đầu</t>
  </si>
  <si>
    <t>L0022</t>
  </si>
  <si>
    <t>Quỹ tăng trưởng</t>
  </si>
  <si>
    <t>L0023</t>
  </si>
  <si>
    <t>Quỹ Bền vững</t>
  </si>
  <si>
    <t>PA1</t>
  </si>
  <si>
    <t>Quỹ hưu trí tự nguyện Phúc An</t>
  </si>
  <si>
    <t>TA1</t>
  </si>
  <si>
    <t>Quỹ hưu trí tự nguyện Thịnh An</t>
  </si>
  <si>
    <t>VA1</t>
  </si>
  <si>
    <t>Quỹ hưu trí tự nguyện Vĩnh An</t>
  </si>
  <si>
    <t>MAAF</t>
  </si>
  <si>
    <t>Quỹ Tăng Trưởng</t>
  </si>
  <si>
    <t>MABF</t>
  </si>
  <si>
    <t>Quỹ cân bằng</t>
  </si>
  <si>
    <t>MAPF</t>
  </si>
  <si>
    <t>Quỹ bền vững</t>
  </si>
  <si>
    <t>VLGF</t>
  </si>
  <si>
    <t>Quỹ Đầu tư Tăng Trưởng Dài Hạn Việt Nam</t>
  </si>
  <si>
    <t>UVEEF</t>
  </si>
  <si>
    <t>VFMMID</t>
  </si>
  <si>
    <t>Quỹ ETF DCVFMVNMIDCAP</t>
  </si>
  <si>
    <t>VCBMGF</t>
  </si>
  <si>
    <t>Quỹ Đầu Tư Cổ phiếu Tăng trưởng VCBF</t>
  </si>
  <si>
    <t>AM33</t>
  </si>
  <si>
    <t>AM34</t>
  </si>
  <si>
    <t>AM35</t>
  </si>
  <si>
    <t>AM36</t>
  </si>
  <si>
    <t>Tổng công ty cổ phần bảo hiểm Petrolimex - PJICO EQUITY PORTFOLIO 04</t>
  </si>
  <si>
    <t>AM37</t>
  </si>
  <si>
    <t>AM38</t>
  </si>
  <si>
    <t>AM39</t>
  </si>
  <si>
    <t>AM40</t>
  </si>
  <si>
    <t>AM41</t>
  </si>
  <si>
    <t>AM42</t>
  </si>
  <si>
    <t>AM43</t>
  </si>
  <si>
    <t>AM44</t>
  </si>
  <si>
    <t>AM45</t>
  </si>
  <si>
    <t>AM46</t>
  </si>
  <si>
    <t>AM47</t>
  </si>
  <si>
    <t>AM48</t>
  </si>
  <si>
    <t>AM49</t>
  </si>
  <si>
    <t>AM50</t>
  </si>
  <si>
    <t>Quỹ Đầu tư Chứng khoán Năng động DC</t>
  </si>
  <si>
    <t>Quỹ Đầu tư Doanh nghiệp Hàng đầu DC</t>
  </si>
  <si>
    <t>Quỹ Đầu tư Trái phiếu DC</t>
  </si>
  <si>
    <t>Quỹ Đầu tư Trái phiếu Gia tăng Thu nhập Cố định DC</t>
  </si>
  <si>
    <t>Quỹ Đầu Tư Cổ Phiếu Việt Nam Chọn Lọc</t>
  </si>
  <si>
    <t>QUỸ ĐẦU TƯ CỔ PHIẾU UNITED ESG VIỆT NAM</t>
  </si>
  <si>
    <t>Ghi chú:
Note:</t>
  </si>
  <si>
    <t>Tốc độ vòng quay danh mục trong kỳ (%)/Portfolio turnover rate (%)</t>
  </si>
  <si>
    <t>VMPF</t>
  </si>
  <si>
    <t>Quỹ Đầu Tư Cổ Phiếu Hiệu Suất Thị Trường Việt Nam VinaCapital (VinaCapital-VMPF)</t>
  </si>
  <si>
    <t>ENF</t>
  </si>
  <si>
    <t>EVESG</t>
  </si>
  <si>
    <t>Lãi công cụ thị trường tiền tệ
Interest income from Money market instruments</t>
  </si>
  <si>
    <t>Phí thực hiện quyền trả cho VSDC
Fee paid to VSDC for getting the list of investors</t>
  </si>
  <si>
    <t>Chi phí lưu ký, giám sát trả cho Ngân hàng Giám sát/VSDC
Custody fee, Supervising fee paid to Supervising Bank/VSDC</t>
  </si>
  <si>
    <t>Chi phí dịch vụ lưu ký cho chứng khoán cơ sở, phí quản lý vị thế và tài sản phái sinh trả cho VSDC
Custodian service -  Depository fee, Position and Margin management fee paid to VSDC</t>
  </si>
  <si>
    <t>UVDIF</t>
  </si>
  <si>
    <t>VDEF</t>
  </si>
  <si>
    <t>VCBAIF</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</si>
  <si>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</si>
  <si>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</si>
  <si>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</si>
  <si>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</si>
  <si>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</si>
  <si>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</si>
  <si>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</si>
  <si>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</si>
  <si>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</si>
  <si>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</si>
  <si>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</si>
  <si>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</si>
  <si>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</si>
  <si>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</si>
  <si>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</si>
  <si>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</si>
  <si>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</si>
  <si>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</si>
  <si>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</si>
  <si>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</si>
  <si>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1.1</t>
  </si>
  <si>
    <t>BAF122029</t>
  </si>
  <si>
    <t>2251.1.1</t>
  </si>
  <si>
    <t>1.2</t>
  </si>
  <si>
    <t>BAF123020</t>
  </si>
  <si>
    <t>2251.1.2</t>
  </si>
  <si>
    <t>1.3</t>
  </si>
  <si>
    <t>CII124021</t>
  </si>
  <si>
    <t>2251.1.3</t>
  </si>
  <si>
    <t>1.4</t>
  </si>
  <si>
    <t>HDB124006</t>
  </si>
  <si>
    <t>2251.1.4</t>
  </si>
  <si>
    <t>1.5</t>
  </si>
  <si>
    <t>HDB124018</t>
  </si>
  <si>
    <t>2251.1.5</t>
  </si>
  <si>
    <t>1.6</t>
  </si>
  <si>
    <t>MML121021</t>
  </si>
  <si>
    <t>2251.1.6</t>
  </si>
  <si>
    <t>1.7</t>
  </si>
  <si>
    <t>MSN123008</t>
  </si>
  <si>
    <t>2251.1.7</t>
  </si>
  <si>
    <t>1.8</t>
  </si>
  <si>
    <t>MSN123009</t>
  </si>
  <si>
    <t>2251.1.8</t>
  </si>
  <si>
    <t>1.9</t>
  </si>
  <si>
    <t>TNG122017</t>
  </si>
  <si>
    <t>2251.1.9</t>
  </si>
  <si>
    <t>1.10</t>
  </si>
  <si>
    <t>VBA122001</t>
  </si>
  <si>
    <t>2251.1.10</t>
  </si>
  <si>
    <t>1.11</t>
  </si>
  <si>
    <t>VIC123028</t>
  </si>
  <si>
    <t>2251.1.11</t>
  </si>
  <si>
    <t>1.12</t>
  </si>
  <si>
    <t>VND122014</t>
  </si>
  <si>
    <t>2251.1.12</t>
  </si>
  <si>
    <t>1.13</t>
  </si>
  <si>
    <t>VPI124001</t>
  </si>
  <si>
    <t>2251.1.13</t>
  </si>
  <si>
    <t>1.14</t>
  </si>
  <si>
    <t>VRE12007</t>
  </si>
  <si>
    <t>2251.1.14</t>
  </si>
  <si>
    <t>2</t>
  </si>
  <si>
    <t>Trái phiếu chưa niêm yết
Unlisted Bonds</t>
  </si>
  <si>
    <t>2251.2</t>
  </si>
  <si>
    <t>2.1</t>
  </si>
  <si>
    <t>CII12403</t>
  </si>
  <si>
    <t>2251.2.1</t>
  </si>
  <si>
    <t>2.2</t>
  </si>
  <si>
    <t>KBC12401</t>
  </si>
  <si>
    <t>2251.2.2</t>
  </si>
  <si>
    <t>2.3</t>
  </si>
  <si>
    <t>KDH12101</t>
  </si>
  <si>
    <t>2251.2.3</t>
  </si>
  <si>
    <t>2.4</t>
  </si>
  <si>
    <t>KDH12202</t>
  </si>
  <si>
    <t>2251.2.4</t>
  </si>
  <si>
    <t>TỔNG
	TOTAL</t>
  </si>
  <si>
    <t>2252</t>
  </si>
  <si>
    <t>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</si>
  <si>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</si>
  <si>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</si>
  <si>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</si>
  <si>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</si>
  <si>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</si>
  <si>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</si>
  <si>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</si>
  <si>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</si>
  <si>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</si>
  <si>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</si>
  <si>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</si>
  <si>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</si>
  <si>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</si>
  <si>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</si>
  <si>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</si>
  <si>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</si>
  <si>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</si>
  <si>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</si>
  <si>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</si>
  <si>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</si>
  <si>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</si>
  <si>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</si>
  <si>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công cụ thị trường tiền tệ được nhận
Interest receivables from bank deposits and Money market instruments</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</si>
  <si>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</si>
  <si>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</si>
  <si>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</si>
  <si>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</si>
  <si>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</si>
  <si>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</si>
  <si>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</si>
  <si>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</si>
  <si>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</si>
  <si>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</si>
  <si>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</si>
  <si>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</si>
  <si>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</si>
  <si>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</si>
  <si>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</si>
  <si>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</si>
  <si>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</si>
  <si>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</si>
  <si>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</si>
  <si>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</si>
  <si>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</si>
  <si>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</si>
  <si>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</si>
  <si>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</si>
  <si>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</si>
  <si>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</si>
  <si>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</si>
  <si>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</si>
  <si>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</si>
  <si>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</si>
  <si>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</si>
  <si>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Công cụ thị trường tiền tệ 
Money market instruments</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</si>
  <si>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</si>
  <si>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</si>
  <si>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</si>
  <si>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</si>
  <si>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</si>
  <si>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</si>
  <si>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</si>
  <si>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</si>
  <si>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</si>
  <si>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</si>
  <si>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</si>
  <si>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</si>
  <si>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</si>
  <si>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</si>
  <si>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</si>
  <si>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</si>
  <si>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</si>
  <si>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</si>
  <si>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</si>
  <si>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</si>
  <si>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</si>
  <si>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</si>
  <si>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</si>
  <si>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</si>
  <si>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</si>
  <si>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</si>
  <si>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</si>
  <si>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</si>
  <si>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</si>
  <si>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</si>
  <si>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</si>
  <si>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</si>
  <si>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</si>
  <si>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</si>
  <si>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</si>
  <si>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</si>
  <si>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</si>
  <si>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</si>
  <si>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</si>
  <si>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</si>
  <si>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</si>
  <si>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</si>
  <si>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</si>
  <si>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</si>
  <si>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</si>
  <si>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</si>
  <si>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</si>
  <si>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</si>
  <si>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</si>
  <si>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</si>
  <si>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</si>
  <si>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</si>
  <si>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</si>
  <si>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</si>
  <si>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</si>
  <si>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</si>
  <si>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</si>
  <si>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</si>
  <si>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</si>
  <si>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</si>
  <si>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</si>
  <si>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</si>
  <si>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</si>
  <si>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</si>
  <si>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</si>
  <si>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</si>
  <si>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</si>
  <si>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</si>
  <si>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</si>
  <si>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</si>
  <si>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</si>
  <si>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</si>
  <si>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</si>
  <si>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</si>
  <si>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</si>
  <si>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</si>
  <si>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</si>
  <si>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</si>
  <si>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</si>
  <si>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</si>
  <si>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</si>
  <si>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</si>
  <si>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</si>
  <si>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</si>
  <si>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</si>
  <si>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</si>
  <si>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</si>
  <si>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</si>
  <si>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</si>
  <si>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</si>
  <si>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</si>
  <si>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</si>
  <si>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</si>
  <si>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</si>
  <si>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cổ tức và mua lại chứng chỉ quỹ  
Cash at bank for Fund's dividend payment and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</si>
  <si>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</si>
  <si>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</si>
  <si>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</si>
  <si>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</si>
  <si>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</si>
  <si>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</si>
  <si>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</si>
  <si>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</si>
  <si>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</si>
  <si>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</si>
  <si>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</si>
  <si>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</si>
  <si>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</si>
  <si>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</si>
  <si>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</si>
  <si>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</si>
  <si>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</si>
  <si>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</si>
  <si>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</si>
  <si>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</si>
  <si>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</si>
  <si>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</si>
  <si>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</si>
  <si>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</si>
  <si>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</si>
  <si>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</si>
  <si>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</si>
  <si>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</si>
  <si>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</si>
  <si>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Công cụ thị trường tiền tệ
Money market instruments</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</si>
  <si>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</si>
  <si>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</si>
  <si>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</si>
  <si>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</si>
  <si>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</si>
  <si>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</si>
  <si>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</si>
  <si>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</si>
  <si>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</si>
  <si>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</si>
  <si>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</si>
  <si>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</si>
  <si>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</si>
  <si>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</si>
  <si>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</si>
  <si>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</si>
  <si>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</si>
  <si>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</si>
  <si>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</si>
  <si>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</si>
  <si>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</si>
  <si>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</si>
  <si>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</si>
  <si>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</si>
  <si>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</si>
  <si>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</si>
  <si>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</si>
  <si>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</si>
  <si>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</si>
  <si>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</si>
  <si>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</si>
  <si>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</si>
  <si>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</si>
  <si>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</si>
  <si>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</si>
  <si>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</si>
  <si>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</si>
  <si>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</si>
  <si>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</si>
  <si>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</si>
  <si>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</si>
  <si>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</si>
  <si>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</si>
  <si>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</si>
  <si>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</si>
  <si>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</si>
  <si>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</si>
  <si>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</si>
  <si>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</si>
  <si>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</si>
  <si>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</si>
  <si>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</si>
  <si>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</si>
  <si>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công cụ thị trường tiền tệ
Interest receivable from Money market instruments</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</si>
  <si>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</si>
  <si>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</si>
  <si>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</si>
  <si>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</si>
  <si>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</si>
  <si>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</si>
  <si>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</si>
  <si>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</si>
  <si>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</si>
  <si>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</si>
  <si>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</si>
  <si>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</si>
  <si>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</si>
  <si>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</si>
  <si>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</si>
  <si>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</si>
  <si>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</si>
  <si>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</si>
  <si>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</si>
  <si>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</si>
  <si>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</si>
  <si>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</si>
  <si>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</si>
  <si>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</si>
  <si>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</si>
  <si>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</si>
  <si>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</si>
  <si>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</si>
  <si>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</si>
  <si>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</si>
  <si>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</si>
  <si>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</si>
  <si>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</si>
  <si>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</si>
  <si>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</si>
  <si>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</si>
  <si>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</si>
  <si>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</si>
  <si>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</si>
  <si>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</si>
  <si>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</si>
  <si>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</si>
  <si>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</si>
  <si>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</si>
  <si>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</si>
  <si>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</si>
  <si>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</si>
  <si>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</si>
  <si>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</si>
  <si>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</si>
  <si>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</si>
  <si>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</si>
  <si>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</si>
  <si>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</si>
  <si>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</si>
  <si>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</si>
  <si>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</si>
  <si>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</si>
  <si>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</si>
  <si>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</si>
  <si>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</si>
  <si>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</si>
  <si>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</si>
  <si>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</si>
  <si>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</si>
  <si>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</si>
  <si>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</si>
  <si>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</si>
  <si>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</si>
  <si>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</si>
  <si>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</si>
  <si>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</si>
  <si>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</si>
  <si>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</si>
  <si>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</si>
  <si>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</si>
  <si>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</si>
  <si>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</si>
  <si>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</si>
  <si>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</si>
  <si>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</si>
  <si>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</si>
  <si>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</si>
  <si>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</si>
  <si>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</si>
  <si>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</si>
  <si>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</si>
  <si>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</si>
  <si>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</si>
  <si>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</si>
  <si>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</si>
  <si>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</si>
  <si>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</si>
  <si>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</si>
  <si>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</si>
  <si>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</si>
  <si>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</si>
  <si>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</si>
  <si>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</si>
  <si>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</si>
  <si>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</si>
  <si>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</si>
  <si>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</si>
  <si>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</si>
  <si>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</si>
  <si>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</si>
  <si>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</si>
  <si>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</si>
  <si>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</si>
  <si>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</si>
  <si>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</si>
  <si>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</si>
  <si>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</si>
  <si>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</si>
  <si>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</si>
  <si>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</si>
  <si>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</si>
  <si>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</si>
  <si>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</si>
  <si>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</si>
  <si>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</si>
  <si>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</si>
  <si>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</si>
  <si>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</si>
  <si>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</si>
  <si>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</si>
  <si>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</si>
  <si>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</si>
  <si>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</si>
  <si>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</si>
  <si>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</si>
  <si>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</si>
  <si>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</si>
  <si>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</si>
  <si>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</si>
  <si>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</si>
  <si>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</si>
  <si>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VSDC
Custodian service -  Depository fee, Position and Margin management fee paid to VSDC</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</si>
  <si>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</si>
  <si>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</si>
  <si>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</si>
  <si>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</si>
  <si>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</si>
  <si>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</si>
  <si>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</si>
  <si>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</si>
  <si>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</si>
  <si>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</si>
  <si>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</si>
  <si>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</si>
  <si>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</si>
  <si>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</si>
  <si>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</si>
  <si>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</si>
  <si>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</si>
  <si>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</si>
  <si>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</si>
  <si>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</si>
  <si>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</si>
  <si>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</si>
  <si>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</si>
  <si>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</si>
  <si>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</si>
  <si>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</si>
  <si>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</si>
  <si>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</si>
  <si>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</si>
  <si>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</si>
  <si>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</si>
  <si>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</si>
  <si>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</si>
  <si>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</si>
  <si>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</si>
  <si>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</si>
  <si>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</si>
  <si>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</si>
  <si>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</si>
  <si>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</si>
  <si>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</si>
  <si>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</si>
  <si>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</si>
  <si>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</si>
  <si>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</si>
  <si>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</si>
  <si>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</si>
  <si>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</si>
  <si>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</si>
  <si>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</si>
  <si>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</si>
  <si>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</si>
  <si>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</si>
  <si>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</si>
  <si>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</si>
  <si>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</si>
  <si>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</si>
  <si>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</si>
  <si>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Tại ngày 31 tháng 12 năm 2024
/ As at 31 Dec 2024</t>
  </si>
  <si>
    <t>Tháng 12 năm 2024
/ Dec 2024</t>
  </si>
  <si>
    <t>Công ty Cổ phần Quản lý Quỹ Đầu tư Dragon Capital Việt Nam</t>
  </si>
  <si>
    <t>Dragon Capital Vietfund Management Joint Stock Company</t>
  </si>
  <si>
    <t>Ngân hàng TNHH Một thành viên Standard Chartered (Việt Nam)</t>
  </si>
  <si>
    <t>Standard Chartered Bank (Vietnam) Limited</t>
  </si>
  <si>
    <t>Ngày 03 tháng 01 năm 2025</t>
  </si>
  <si>
    <t>03 Jan 2025</t>
  </si>
  <si>
    <t>Vũ Quang Phan</t>
  </si>
  <si>
    <t>Lê Hoàng Anh</t>
  </si>
  <si>
    <t>Phó phòng Dịch vụ nghiệp vụ giám sát Quỹ</t>
  </si>
  <si>
    <t>Quyền Giám đốc nghiệp vụ hỗ trợ đầu tư</t>
  </si>
  <si>
    <t>Ngày 31 tháng 12 năm 2024
 As at 31 Dec 2024</t>
  </si>
  <si>
    <t>Ngày 30 tháng 11 năm 2024
 As at 30 Nov 2024</t>
  </si>
  <si>
    <t>Tháng 12 năm 2024
Dec 2024</t>
  </si>
  <si>
    <t>Tháng 11 năm 2024
Nov 2024</t>
  </si>
  <si>
    <t>DC Bond Fund (DCBF)</t>
  </si>
  <si>
    <t>Tỷ lệ nắm giữ chứng chỉ quỹ của nhà đầu tư nước ngoài cuối kỳ
Foreign investors' ownership ratio at the end of the period (***)</t>
  </si>
  <si>
    <t>(***) 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</si>
  <si>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 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
(**) Không tính đến giá trị cam kết của các hợp đồng tương lai chỉ số.
Excluding the committed value of the Index Futures contracts.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</si>
</sst>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1" formatCode="_(* #,##0_);_(* \(#,##0\);_(* &quot;-&quot;_);_(@_)"/>
    <numFmt numFmtId="43" formatCode="_(* #,##0.00_);_(* \(#,##0.00\);_(* &quot;-&quot;??_);_(@_)"/>
    <numFmt numFmtId="164" formatCode="_-* #,##0.00\ _₫_-;\-* #,##0.00\ _₫_-;_-* &quot;-&quot;??\ _₫_-;_-@_-"/>
    <numFmt numFmtId="165" formatCode="_(* #,##0_);_(* \(#,##0\);_(* &quot;-&quot;??_);_(@_)"/>
  </numFmts>
  <fonts count="45">
    <font>
      <sz val="11"/>
      <color theme="1"/>
      <name val="Calibri"/>
      <family val="2"/>
      <scheme val="minor"/>
    </font>
    <font>
      <sz val="10"/>
      <color theme="1"/>
      <name val="Arial"/>
      <family val="2"/>
    </font>
    <font>
      <sz val="11"/>
      <color theme="1"/>
      <name val="Calibri"/>
      <family val="2"/>
      <scheme val="minor"/>
    </font>
    <font>
      <sz val="12"/>
      <name val=".VnTime"/>
      <family val="2"/>
    </font>
    <font>
      <sz val="10"/>
      <name val="Arial"/>
      <family val="2"/>
    </font>
    <font>
      <sz val="10"/>
      <color theme="1"/>
      <name val="Arial"/>
      <family val="2"/>
    </font>
    <font>
      <b/>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0"/>
      <name val="Tahoma"/>
    </font>
    <font>
      <sz val="10"/>
      <name val="Tahoma"/>
    </font>
    <font>
      <sz val="10"/>
      <name val="Tahoma"/>
    </font>
    <font>
      <sz val="10"/>
      <name val="Tahoma"/>
    </font>
    <font>
      <sz val="10"/>
      <name val="Tahoma"/>
    </font>
    <font>
      <b/>
      <sz val="10"/>
      <name val="Tahoma"/>
    </font>
    <font>
      <b/>
      <sz val="10"/>
      <name val="Tahoma"/>
    </font>
    <font>
      <b/>
      <sz val="10"/>
      <name val="Tahoma"/>
    </font>
    <font>
      <b/>
      <sz val="10"/>
      <name val="Tahoma"/>
    </font>
    <font>
      <sz val="10"/>
      <name val="Tahoma"/>
    </font>
    <font>
      <b/>
      <sz val="12"/>
      <name val="Tahoma"/>
      <family val="2"/>
    </font>
    <font>
      <sz val="12"/>
      <name val="Tahoma"/>
      <family val="2"/>
    </font>
    <font>
      <i/>
      <sz val="12"/>
      <name val="Tahoma"/>
      <family val="2"/>
    </font>
    <font>
      <sz val="12"/>
      <color theme="1"/>
      <name val="Tahoma"/>
      <family val="2"/>
    </font>
    <font>
      <b/>
      <sz val="12"/>
      <color indexed="30"/>
      <name val="Tahoma"/>
      <family val="2"/>
    </font>
    <font>
      <b/>
      <sz val="12"/>
      <color theme="1"/>
      <name val="Tahoma"/>
      <family val="2"/>
    </font>
    <font>
      <b/>
      <sz val="12"/>
      <color indexed="8"/>
      <name val="Tahoma"/>
      <family val="2"/>
    </font>
    <font>
      <i/>
      <sz val="12"/>
      <color theme="1"/>
      <name val="Tahoma"/>
      <family val="2"/>
    </font>
    <font>
      <b/>
      <sz val="11"/>
      <color theme="1"/>
      <name val="Tahoma"/>
      <family val="2"/>
    </font>
    <font>
      <sz val="11"/>
      <color theme="1"/>
      <name val="Tahoma"/>
      <family val="2"/>
    </font>
    <font>
      <i/>
      <sz val="11"/>
      <color theme="1"/>
      <name val="Tahoma"/>
      <family val="2"/>
    </font>
    <font>
      <b/>
      <sz val="11"/>
      <color indexed="30"/>
      <name val="Tahoma"/>
      <family val="2"/>
    </font>
    <font>
      <b/>
      <sz val="11"/>
      <name val="Tahoma"/>
      <family val="2"/>
    </font>
    <font>
      <sz val="11"/>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47">
    <xf numFmtId="0" fontId="0" fillId="0" borderId="0"/>
    <xf numFmtId="0" fontId="3" fillId="0" borderId="0"/>
    <xf numFmtId="0" fontId="2" fillId="0" borderId="0"/>
    <xf numFmtId="0" fontId="4" fillId="0" borderId="0"/>
    <xf numFmtId="0" fontId="4" fillId="0" borderId="0"/>
    <xf numFmtId="43" fontId="4" fillId="0" borderId="0" applyFont="0" applyFill="0" applyBorder="0" applyAlignment="0" applyProtection="0"/>
    <xf numFmtId="0" fontId="4" fillId="0" borderId="0"/>
    <xf numFmtId="43" fontId="2"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4" fontId="2" fillId="0" borderId="0" applyFont="0" applyFill="0" applyBorder="0" applyAlignment="0" applyProtection="0"/>
    <xf numFmtId="0" fontId="4" fillId="0" borderId="0"/>
    <xf numFmtId="0" fontId="2" fillId="0" borderId="0"/>
    <xf numFmtId="164" fontId="4" fillId="0" borderId="0" quotePrefix="1" applyFont="0" applyFill="0" applyBorder="0" applyAlignment="0">
      <protection locked="0"/>
    </xf>
    <xf numFmtId="0" fontId="4" fillId="5" borderId="0"/>
    <xf numFmtId="0" fontId="2" fillId="5" borderId="0"/>
    <xf numFmtId="0" fontId="2" fillId="5" borderId="0"/>
    <xf numFmtId="0" fontId="4" fillId="5" borderId="0"/>
    <xf numFmtId="0" fontId="4" fillId="5" borderId="0"/>
    <xf numFmtId="0" fontId="4" fillId="5" borderId="0"/>
    <xf numFmtId="165" fontId="4" fillId="5" borderId="0" quotePrefix="1" applyFont="0" applyFill="0" applyBorder="0" applyAlignment="0">
      <protection locked="0"/>
    </xf>
    <xf numFmtId="43" fontId="4" fillId="5" borderId="0" quotePrefix="1" applyFont="0" applyFill="0" applyBorder="0" applyAlignment="0">
      <protection locked="0"/>
    </xf>
    <xf numFmtId="43" fontId="4" fillId="5" borderId="0" applyFont="0" applyFill="0" applyBorder="0" applyAlignment="0" applyProtection="0"/>
    <xf numFmtId="0" fontId="2" fillId="5" borderId="0"/>
    <xf numFmtId="0" fontId="2" fillId="18" borderId="0"/>
    <xf numFmtId="0" fontId="2" fillId="18" borderId="0"/>
    <xf numFmtId="0" fontId="4" fillId="18" borderId="0"/>
    <xf numFmtId="0" fontId="4" fillId="18" borderId="0"/>
    <xf numFmtId="43" fontId="4" fillId="18" borderId="0" applyFont="0" applyFill="0" applyBorder="0" applyAlignment="0" applyProtection="0"/>
    <xf numFmtId="0" fontId="4" fillId="18" borderId="0"/>
    <xf numFmtId="43" fontId="2" fillId="18" borderId="0" applyFont="0" applyFill="0" applyBorder="0" applyAlignment="0" applyProtection="0"/>
    <xf numFmtId="43" fontId="1" fillId="18" borderId="0" applyFont="0" applyFill="0" applyBorder="0" applyAlignment="0" applyProtection="0"/>
    <xf numFmtId="165" fontId="1" fillId="18" borderId="0" applyFont="0" applyFill="0" applyBorder="0" applyAlignment="0" applyProtection="0"/>
    <xf numFmtId="165" fontId="2" fillId="18" borderId="0" applyFont="0" applyFill="0" applyBorder="0" applyAlignment="0" applyProtection="0"/>
    <xf numFmtId="0" fontId="4" fillId="18" borderId="0"/>
    <xf numFmtId="0" fontId="2" fillId="18" borderId="0"/>
    <xf numFmtId="164" fontId="4" fillId="18" borderId="0" quotePrefix="1" applyFont="0" applyFill="0" applyBorder="0" applyAlignment="0">
      <protection locked="0"/>
    </xf>
    <xf numFmtId="0" fontId="4" fillId="18" borderId="0"/>
    <xf numFmtId="0" fontId="2" fillId="18" borderId="0"/>
    <xf numFmtId="0" fontId="2" fillId="18" borderId="0"/>
    <xf numFmtId="0" fontId="4" fillId="18" borderId="0"/>
    <xf numFmtId="0" fontId="4" fillId="18" borderId="0"/>
    <xf numFmtId="0" fontId="4" fillId="18" borderId="0"/>
    <xf numFmtId="10" fontId="4" fillId="18" borderId="0" quotePrefix="1" applyFont="0" applyFill="0" applyBorder="0" applyAlignment="0">
      <protection locked="0"/>
    </xf>
    <xf numFmtId="43" fontId="4" fillId="18" borderId="0" quotePrefix="1" applyFont="0" applyFill="0" applyBorder="0" applyAlignment="0">
      <protection locked="0"/>
    </xf>
    <xf numFmtId="43" fontId="4" fillId="18" borderId="0" applyFont="0" applyFill="0" applyBorder="0" applyAlignment="0" applyProtection="0"/>
    <xf numFmtId="0" fontId="2" fillId="18" borderId="0"/>
  </cellStyleXfs>
  <cellXfs count="232">
    <xf numFmtId="0" fontId="0" fillId="0" borderId="0" xfId="0"/>
    <xf numFmtId="0" fontId="6" fillId="0" borderId="0" xfId="0" applyFont="1"/>
    <xf numFmtId="0" fontId="7" fillId="3" borderId="0" xfId="0" applyFont="1" applyFill="1"/>
    <xf numFmtId="0" fontId="8" fillId="3" borderId="0" xfId="0" applyFont="1" applyFill="1"/>
    <xf numFmtId="0" fontId="7" fillId="3" borderId="0" xfId="0" applyFont="1" applyFill="1" applyAlignment="1">
      <alignment vertical="center"/>
    </xf>
    <xf numFmtId="0" fontId="12" fillId="3" borderId="0" xfId="0" applyFont="1" applyFill="1" applyAlignment="1">
      <alignment vertical="center"/>
    </xf>
    <xf numFmtId="0" fontId="10" fillId="3" borderId="0" xfId="1" applyFont="1" applyFill="1" applyAlignment="1">
      <alignment vertical="center"/>
    </xf>
    <xf numFmtId="0" fontId="14" fillId="3" borderId="0" xfId="2" applyFont="1" applyFill="1" applyAlignment="1">
      <alignment horizontal="center" vertical="center"/>
    </xf>
    <xf numFmtId="0" fontId="14" fillId="3" borderId="0" xfId="2" applyFont="1" applyFill="1" applyAlignment="1">
      <alignment vertical="center"/>
    </xf>
    <xf numFmtId="0" fontId="14" fillId="3" borderId="0" xfId="0" applyFont="1" applyFill="1" applyAlignment="1">
      <alignment vertical="center"/>
    </xf>
    <xf numFmtId="0" fontId="7" fillId="3" borderId="5" xfId="0" applyFont="1" applyFill="1" applyBorder="1" applyAlignment="1">
      <alignment vertical="center"/>
    </xf>
    <xf numFmtId="0" fontId="14" fillId="2" borderId="9" xfId="0" applyFont="1" applyFill="1" applyBorder="1" applyAlignment="1">
      <alignment horizontal="center" vertical="center" wrapText="1"/>
    </xf>
    <xf numFmtId="0" fontId="9" fillId="3" borderId="5" xfId="1" applyFont="1" applyFill="1" applyBorder="1" applyAlignment="1">
      <alignment vertical="center"/>
    </xf>
    <xf numFmtId="0" fontId="9" fillId="3" borderId="0" xfId="1" applyFont="1" applyFill="1" applyAlignment="1">
      <alignment vertical="center"/>
    </xf>
    <xf numFmtId="0" fontId="8" fillId="3" borderId="0" xfId="1" applyFont="1" applyFill="1" applyAlignment="1">
      <alignment vertical="center"/>
    </xf>
    <xf numFmtId="0" fontId="7" fillId="3" borderId="0" xfId="0" applyFont="1" applyFill="1" applyAlignment="1">
      <alignment vertical="center" wrapText="1"/>
    </xf>
    <xf numFmtId="0" fontId="15" fillId="3" borderId="0" xfId="0" applyFont="1" applyFill="1" applyAlignment="1">
      <alignment vertical="center"/>
    </xf>
    <xf numFmtId="0" fontId="8" fillId="3" borderId="0" xfId="11" applyFont="1" applyFill="1"/>
    <xf numFmtId="0" fontId="15" fillId="3" borderId="0" xfId="11" applyFont="1" applyFill="1" applyAlignment="1">
      <alignment horizontal="left" vertical="top"/>
    </xf>
    <xf numFmtId="0" fontId="16" fillId="3" borderId="0" xfId="11" applyFont="1" applyFill="1" applyAlignment="1">
      <alignment horizontal="left" vertical="top"/>
    </xf>
    <xf numFmtId="0" fontId="8" fillId="3" borderId="0" xfId="11" applyFont="1" applyFill="1" applyAlignment="1">
      <alignment horizontal="left" vertical="top"/>
    </xf>
    <xf numFmtId="0" fontId="7" fillId="3" borderId="0" xfId="11" applyFont="1" applyFill="1" applyAlignment="1">
      <alignment horizontal="left" vertical="top"/>
    </xf>
    <xf numFmtId="0" fontId="7" fillId="4" borderId="0" xfId="12" applyFont="1" applyFill="1"/>
    <xf numFmtId="0" fontId="7" fillId="3" borderId="0" xfId="12" applyFont="1" applyFill="1"/>
    <xf numFmtId="0" fontId="14" fillId="3" borderId="0" xfId="11" applyFont="1" applyFill="1"/>
    <xf numFmtId="0" fontId="7" fillId="3" borderId="0" xfId="11" applyFont="1" applyFill="1"/>
    <xf numFmtId="165" fontId="7" fillId="3" borderId="0" xfId="13" applyNumberFormat="1" applyFont="1" applyFill="1">
      <protection locked="0"/>
    </xf>
    <xf numFmtId="165" fontId="14" fillId="3" borderId="0" xfId="13" applyNumberFormat="1" applyFont="1" applyFill="1">
      <protection locked="0"/>
    </xf>
    <xf numFmtId="0" fontId="13" fillId="3" borderId="0" xfId="11" applyFont="1" applyFill="1"/>
    <xf numFmtId="165" fontId="13" fillId="3" borderId="0" xfId="13" applyNumberFormat="1" applyFont="1" applyFill="1">
      <protection locked="0"/>
    </xf>
    <xf numFmtId="0" fontId="14" fillId="3" borderId="0" xfId="12" applyFont="1" applyFill="1" applyAlignment="1">
      <alignment horizontal="center"/>
    </xf>
    <xf numFmtId="0" fontId="14" fillId="3" borderId="0" xfId="12" applyFont="1" applyFill="1"/>
    <xf numFmtId="0" fontId="14" fillId="3" borderId="0" xfId="16" applyFont="1" applyFill="1" applyAlignment="1">
      <alignment horizontal="center" vertical="center"/>
    </xf>
    <xf numFmtId="0" fontId="14" fillId="3" borderId="0" xfId="16" applyFont="1" applyFill="1" applyAlignment="1">
      <alignment vertical="center"/>
    </xf>
    <xf numFmtId="0" fontId="8" fillId="3" borderId="0" xfId="0" applyFont="1" applyFill="1" applyAlignment="1">
      <alignment horizontal="left" vertical="center" wrapText="1"/>
    </xf>
    <xf numFmtId="0" fontId="11" fillId="3" borderId="0" xfId="0" applyFont="1" applyFill="1" applyAlignment="1">
      <alignment horizontal="left" vertical="center"/>
    </xf>
    <xf numFmtId="0" fontId="14" fillId="2" borderId="0" xfId="0" applyFont="1" applyFill="1"/>
    <xf numFmtId="0" fontId="7" fillId="2" borderId="0" xfId="0" applyFont="1" applyFill="1"/>
    <xf numFmtId="0" fontId="7" fillId="3" borderId="3" xfId="0" applyFont="1" applyFill="1" applyBorder="1"/>
    <xf numFmtId="0" fontId="13" fillId="3" borderId="4" xfId="0" applyFont="1" applyFill="1" applyBorder="1"/>
    <xf numFmtId="0" fontId="13" fillId="2" borderId="0" xfId="0" applyFont="1" applyFill="1"/>
    <xf numFmtId="0" fontId="11" fillId="3" borderId="0" xfId="0" applyFont="1" applyFill="1" applyAlignment="1">
      <alignment horizontal="left" vertical="center" wrapText="1"/>
    </xf>
    <xf numFmtId="0" fontId="11" fillId="3" borderId="0" xfId="0" applyFont="1" applyFill="1" applyAlignment="1">
      <alignment vertical="center" wrapText="1"/>
    </xf>
    <xf numFmtId="0" fontId="15" fillId="3" borderId="0" xfId="0" applyFont="1" applyFill="1" applyAlignment="1">
      <alignment vertical="center" wrapText="1"/>
    </xf>
    <xf numFmtId="0" fontId="16" fillId="3" borderId="0" xfId="0" applyFont="1" applyFill="1" applyAlignment="1">
      <alignment vertical="center" wrapText="1"/>
    </xf>
    <xf numFmtId="0" fontId="12" fillId="3" borderId="1" xfId="0" applyFont="1" applyFill="1" applyBorder="1" applyAlignment="1">
      <alignment vertical="center"/>
    </xf>
    <xf numFmtId="0" fontId="13" fillId="3" borderId="2" xfId="0" applyFont="1" applyFill="1" applyBorder="1"/>
    <xf numFmtId="0" fontId="7" fillId="3" borderId="5" xfId="0" applyFont="1" applyFill="1" applyBorder="1"/>
    <xf numFmtId="0" fontId="7" fillId="3" borderId="2" xfId="0" applyFont="1" applyFill="1" applyBorder="1"/>
    <xf numFmtId="0" fontId="10" fillId="3" borderId="6" xfId="1" applyFont="1" applyFill="1" applyBorder="1" applyAlignment="1">
      <alignment vertical="center"/>
    </xf>
    <xf numFmtId="0" fontId="13" fillId="3" borderId="7" xfId="0" applyFont="1" applyFill="1" applyBorder="1"/>
    <xf numFmtId="0" fontId="7" fillId="3" borderId="7" xfId="0" applyFont="1" applyFill="1" applyBorder="1"/>
    <xf numFmtId="0" fontId="7" fillId="3" borderId="6" xfId="0" applyFont="1" applyFill="1" applyBorder="1"/>
    <xf numFmtId="0" fontId="9" fillId="3" borderId="6" xfId="1" applyFont="1" applyFill="1" applyBorder="1" applyAlignment="1">
      <alignment vertical="center"/>
    </xf>
    <xf numFmtId="0" fontId="8" fillId="3" borderId="3" xfId="1" applyFont="1" applyFill="1" applyBorder="1" applyAlignment="1">
      <alignment vertical="center"/>
    </xf>
    <xf numFmtId="0" fontId="7" fillId="3" borderId="8" xfId="0" applyFont="1" applyFill="1" applyBorder="1"/>
    <xf numFmtId="0" fontId="7" fillId="3" borderId="4" xfId="0" applyFont="1" applyFill="1" applyBorder="1"/>
    <xf numFmtId="0" fontId="7" fillId="2" borderId="0" xfId="0" applyFont="1" applyFill="1" applyAlignment="1">
      <alignment horizontal="center" vertical="center"/>
    </xf>
    <xf numFmtId="0" fontId="7" fillId="0" borderId="0" xfId="0" applyFont="1"/>
    <xf numFmtId="0" fontId="10" fillId="3" borderId="0" xfId="11" applyFont="1" applyFill="1" applyAlignment="1">
      <alignment horizontal="center" vertical="center"/>
    </xf>
    <xf numFmtId="0" fontId="15" fillId="3" borderId="0" xfId="11" applyFont="1" applyFill="1" applyAlignment="1">
      <alignment horizontal="left" vertical="top" wrapText="1"/>
    </xf>
    <xf numFmtId="37" fontId="8" fillId="3" borderId="0" xfId="11" applyNumberFormat="1" applyFont="1" applyFill="1" applyAlignment="1">
      <alignment horizontal="left"/>
    </xf>
    <xf numFmtId="0" fontId="9" fillId="6" borderId="13" xfId="0" applyFont="1" applyFill="1" applyBorder="1" applyAlignment="1">
      <alignment horizontal="center" vertical="center" wrapText="1"/>
    </xf>
    <xf numFmtId="0" fontId="20" fillId="4" borderId="0" xfId="12" applyFont="1" applyFill="1" applyAlignment="1">
      <alignment vertical="center"/>
    </xf>
    <xf numFmtId="0" fontId="20" fillId="4" borderId="0" xfId="12" applyFont="1" applyFill="1"/>
    <xf numFmtId="0" fontId="20" fillId="3" borderId="0" xfId="12" applyFont="1" applyFill="1"/>
    <xf numFmtId="0" fontId="20" fillId="0" borderId="0" xfId="0" applyFont="1"/>
    <xf numFmtId="0" fontId="20" fillId="4" borderId="0" xfId="12" applyFont="1" applyFill="1" applyAlignment="1">
      <alignment horizontal="center"/>
    </xf>
    <xf numFmtId="0" fontId="20" fillId="3" borderId="0" xfId="12" applyFont="1" applyFill="1" applyAlignment="1">
      <alignment horizontal="center"/>
    </xf>
    <xf numFmtId="0" fontId="7" fillId="3" borderId="0" xfId="12" applyFont="1" applyFill="1" applyAlignment="1">
      <alignment horizontal="center"/>
    </xf>
    <xf numFmtId="0" fontId="14" fillId="3" borderId="5" xfId="12" applyFont="1" applyFill="1" applyBorder="1"/>
    <xf numFmtId="0" fontId="7" fillId="3" borderId="5" xfId="12" applyFont="1" applyFill="1" applyBorder="1"/>
    <xf numFmtId="4" fontId="21" fillId="8" borderId="15" xfId="0" applyNumberFormat="1" applyFont="1" applyFill="1" applyBorder="1" applyAlignment="1" applyProtection="1">
      <alignment horizontal="left" vertical="center" wrapText="1"/>
      <protection locked="0"/>
    </xf>
    <xf numFmtId="4" fontId="22" fillId="9" borderId="16" xfId="0" applyNumberFormat="1" applyFont="1" applyFill="1" applyBorder="1" applyAlignment="1" applyProtection="1">
      <alignment horizontal="center" vertical="center" wrapText="1"/>
      <protection locked="0"/>
    </xf>
    <xf numFmtId="0" fontId="23" fillId="10" borderId="17" xfId="0" applyNumberFormat="1" applyFont="1" applyFill="1" applyBorder="1" applyAlignment="1" applyProtection="1">
      <alignment horizontal="center" vertical="center" wrapText="1"/>
      <protection locked="0"/>
    </xf>
    <xf numFmtId="10" fontId="24" fillId="11" borderId="18" xfId="0" applyNumberFormat="1" applyFont="1" applyFill="1" applyBorder="1" applyAlignment="1" applyProtection="1">
      <alignment horizontal="right" vertical="center" wrapText="1"/>
      <protection locked="0"/>
    </xf>
    <xf numFmtId="165" fontId="25" fillId="12" borderId="19" xfId="0" applyNumberFormat="1" applyFont="1" applyFill="1" applyBorder="1" applyAlignment="1" applyProtection="1">
      <alignment horizontal="right" vertical="center" wrapText="1"/>
      <protection locked="0"/>
    </xf>
    <xf numFmtId="0" fontId="26" fillId="13" borderId="20" xfId="0" applyNumberFormat="1" applyFont="1" applyFill="1" applyBorder="1" applyAlignment="1" applyProtection="1">
      <alignment horizontal="left" vertical="center" wrapText="1"/>
      <protection locked="0"/>
    </xf>
    <xf numFmtId="0" fontId="27" fillId="14" borderId="21" xfId="0" applyNumberFormat="1" applyFont="1" applyFill="1" applyBorder="1" applyAlignment="1" applyProtection="1">
      <alignment horizontal="center" vertical="center" wrapText="1"/>
      <protection locked="0"/>
    </xf>
    <xf numFmtId="10" fontId="28" fillId="15" borderId="22" xfId="0" applyNumberFormat="1" applyFont="1" applyFill="1" applyBorder="1" applyAlignment="1" applyProtection="1">
      <alignment horizontal="right" vertical="center" wrapText="1"/>
      <protection locked="0"/>
    </xf>
    <xf numFmtId="165" fontId="29" fillId="16" borderId="23" xfId="0" applyNumberFormat="1" applyFont="1" applyFill="1" applyBorder="1" applyAlignment="1" applyProtection="1">
      <alignment horizontal="right" vertical="center" wrapText="1"/>
      <protection locked="0"/>
    </xf>
    <xf numFmtId="37" fontId="30" fillId="18" borderId="25" xfId="0" applyNumberFormat="1" applyFont="1" applyFill="1" applyBorder="1" applyAlignment="1" applyProtection="1">
      <alignment horizontal="right" vertical="center" wrapText="1"/>
      <protection locked="0"/>
    </xf>
    <xf numFmtId="0" fontId="32" fillId="3" borderId="0" xfId="0" applyFont="1" applyFill="1"/>
    <xf numFmtId="0" fontId="34" fillId="3" borderId="0" xfId="0" applyFont="1" applyFill="1" applyAlignment="1">
      <alignment vertical="center"/>
    </xf>
    <xf numFmtId="0" fontId="34" fillId="3" borderId="0" xfId="0" applyFont="1" applyFill="1"/>
    <xf numFmtId="0" fontId="32" fillId="3" borderId="0" xfId="0" applyFont="1" applyFill="1" applyAlignment="1">
      <alignment vertical="center"/>
    </xf>
    <xf numFmtId="0" fontId="36" fillId="3" borderId="0" xfId="16" applyFont="1" applyFill="1" applyAlignment="1">
      <alignment horizontal="center" vertical="center"/>
    </xf>
    <xf numFmtId="0" fontId="36" fillId="3" borderId="0" xfId="16" applyFont="1" applyFill="1" applyAlignment="1">
      <alignment vertical="center"/>
    </xf>
    <xf numFmtId="0" fontId="31" fillId="3" borderId="0" xfId="16" applyFont="1" applyFill="1" applyAlignment="1">
      <alignment horizontal="center" vertical="center"/>
    </xf>
    <xf numFmtId="0" fontId="31" fillId="3" borderId="0" xfId="16" applyFont="1" applyFill="1" applyAlignment="1">
      <alignment vertical="center"/>
    </xf>
    <xf numFmtId="0" fontId="31" fillId="2" borderId="9" xfId="6" applyFont="1" applyFill="1" applyBorder="1" applyAlignment="1">
      <alignment horizontal="center" vertical="center" wrapText="1"/>
    </xf>
    <xf numFmtId="165" fontId="31" fillId="2" borderId="9" xfId="7" applyNumberFormat="1" applyFont="1" applyFill="1" applyBorder="1" applyAlignment="1" applyProtection="1">
      <alignment horizontal="center" vertical="center" wrapText="1"/>
      <protection locked="0"/>
    </xf>
    <xf numFmtId="165" fontId="31" fillId="2" borderId="9" xfId="10" applyNumberFormat="1" applyFont="1" applyFill="1" applyBorder="1" applyAlignment="1" applyProtection="1">
      <alignment horizontal="center" vertical="center" wrapText="1"/>
    </xf>
    <xf numFmtId="0" fontId="31" fillId="14" borderId="21" xfId="0" applyNumberFormat="1" applyFont="1" applyFill="1" applyBorder="1" applyAlignment="1" applyProtection="1">
      <alignment horizontal="center" vertical="center" wrapText="1"/>
      <protection locked="0"/>
    </xf>
    <xf numFmtId="0" fontId="31" fillId="13" borderId="20" xfId="0" applyNumberFormat="1" applyFont="1" applyFill="1" applyBorder="1" applyAlignment="1" applyProtection="1">
      <alignment horizontal="left" vertical="center" wrapText="1"/>
      <protection locked="0"/>
    </xf>
    <xf numFmtId="165" fontId="31" fillId="16" borderId="23" xfId="0" applyNumberFormat="1" applyFont="1" applyFill="1" applyBorder="1" applyAlignment="1" applyProtection="1">
      <alignment horizontal="right" vertical="center" wrapText="1"/>
      <protection locked="0"/>
    </xf>
    <xf numFmtId="10" fontId="31" fillId="15" borderId="22" xfId="0" applyNumberFormat="1" applyFont="1" applyFill="1" applyBorder="1" applyAlignment="1" applyProtection="1">
      <alignment horizontal="right" vertical="center" wrapText="1"/>
      <protection locked="0"/>
    </xf>
    <xf numFmtId="4" fontId="32" fillId="9" borderId="16" xfId="0" applyNumberFormat="1" applyFont="1" applyFill="1" applyBorder="1" applyAlignment="1" applyProtection="1">
      <alignment horizontal="center" vertical="center" wrapText="1"/>
      <protection locked="0"/>
    </xf>
    <xf numFmtId="4" fontId="32" fillId="8" borderId="15" xfId="0" applyNumberFormat="1" applyFont="1" applyFill="1" applyBorder="1" applyAlignment="1" applyProtection="1">
      <alignment horizontal="left" vertical="center" wrapText="1"/>
      <protection locked="0"/>
    </xf>
    <xf numFmtId="165" fontId="32" fillId="12" borderId="19" xfId="0" applyNumberFormat="1" applyFont="1" applyFill="1" applyBorder="1" applyAlignment="1" applyProtection="1">
      <alignment horizontal="right" vertical="center" wrapText="1"/>
      <protection locked="0"/>
    </xf>
    <xf numFmtId="10" fontId="32" fillId="11" borderId="18" xfId="0" applyNumberFormat="1" applyFont="1" applyFill="1" applyBorder="1" applyAlignment="1" applyProtection="1">
      <alignment horizontal="right" vertical="center" wrapText="1"/>
      <protection locked="0"/>
    </xf>
    <xf numFmtId="43" fontId="32" fillId="17" borderId="24" xfId="0" applyNumberFormat="1" applyFont="1" applyFill="1" applyBorder="1" applyAlignment="1" applyProtection="1">
      <alignment horizontal="right" vertical="center" wrapText="1"/>
      <protection locked="0"/>
    </xf>
    <xf numFmtId="0" fontId="37" fillId="3" borderId="0" xfId="0" applyFont="1" applyFill="1" applyAlignment="1">
      <alignment vertical="center"/>
    </xf>
    <xf numFmtId="0" fontId="32" fillId="3" borderId="0" xfId="0" applyFont="1" applyFill="1" applyAlignment="1">
      <alignment horizontal="left" vertical="center"/>
    </xf>
    <xf numFmtId="0" fontId="33" fillId="3" borderId="0" xfId="1" applyFont="1" applyFill="1" applyAlignment="1">
      <alignment vertical="center"/>
    </xf>
    <xf numFmtId="0" fontId="33" fillId="3" borderId="0" xfId="0" applyFont="1" applyFill="1" applyAlignment="1">
      <alignment horizontal="left" vertical="center"/>
    </xf>
    <xf numFmtId="0" fontId="33" fillId="3" borderId="0" xfId="0" applyFont="1" applyFill="1"/>
    <xf numFmtId="0" fontId="32" fillId="3" borderId="8" xfId="0" applyFont="1" applyFill="1" applyBorder="1" applyAlignment="1">
      <alignment horizontal="left" vertical="center"/>
    </xf>
    <xf numFmtId="0" fontId="31" fillId="3" borderId="5" xfId="0" applyFont="1" applyFill="1" applyBorder="1" applyAlignment="1">
      <alignment horizontal="left" vertical="center"/>
    </xf>
    <xf numFmtId="0" fontId="32" fillId="3" borderId="5" xfId="0" applyFont="1" applyFill="1" applyBorder="1" applyAlignment="1">
      <alignment horizontal="left" vertical="center"/>
    </xf>
    <xf numFmtId="0" fontId="31" fillId="3" borderId="0" xfId="0" applyFont="1" applyFill="1" applyAlignment="1">
      <alignment horizontal="left" vertical="center"/>
    </xf>
    <xf numFmtId="0" fontId="34" fillId="0" borderId="0" xfId="0" applyFont="1" applyAlignment="1">
      <alignment vertical="center"/>
    </xf>
    <xf numFmtId="0" fontId="35" fillId="3" borderId="0" xfId="0" applyFont="1" applyFill="1" applyAlignment="1">
      <alignment horizontal="left" vertical="center"/>
    </xf>
    <xf numFmtId="0" fontId="36" fillId="3" borderId="0" xfId="2" applyFont="1" applyFill="1" applyAlignment="1">
      <alignment horizontal="center" vertical="center"/>
    </xf>
    <xf numFmtId="0" fontId="36" fillId="3" borderId="0" xfId="2" applyFont="1" applyFill="1" applyAlignment="1">
      <alignment vertical="center"/>
    </xf>
    <xf numFmtId="0" fontId="31" fillId="7" borderId="9" xfId="14" applyFont="1" applyFill="1" applyBorder="1" applyAlignment="1">
      <alignment horizontal="center" vertical="center" wrapText="1"/>
    </xf>
    <xf numFmtId="0" fontId="31" fillId="7" borderId="9" xfId="0" applyFont="1" applyFill="1" applyBorder="1" applyAlignment="1">
      <alignment horizontal="center" vertical="center" wrapText="1"/>
    </xf>
    <xf numFmtId="0" fontId="31" fillId="7" borderId="9" xfId="0" applyFont="1" applyFill="1" applyBorder="1" applyAlignment="1">
      <alignment horizontal="center" vertical="center"/>
    </xf>
    <xf numFmtId="49" fontId="31" fillId="7" borderId="9" xfId="14" applyNumberFormat="1" applyFont="1" applyFill="1" applyBorder="1" applyAlignment="1">
      <alignment horizontal="left" vertical="center" wrapText="1"/>
    </xf>
    <xf numFmtId="49" fontId="31" fillId="7" borderId="9" xfId="14" applyNumberFormat="1" applyFont="1" applyFill="1" applyBorder="1" applyAlignment="1">
      <alignment horizontal="center" vertical="center" wrapText="1"/>
    </xf>
    <xf numFmtId="41" fontId="31" fillId="7" borderId="9" xfId="22" applyNumberFormat="1" applyFont="1" applyFill="1" applyBorder="1" applyAlignment="1">
      <alignment horizontal="left"/>
    </xf>
    <xf numFmtId="0" fontId="36" fillId="0" borderId="0" xfId="0" applyFont="1" applyAlignment="1">
      <alignment vertical="center"/>
    </xf>
    <xf numFmtId="0" fontId="32" fillId="5" borderId="9" xfId="15" applyFont="1" applyBorder="1" applyAlignment="1">
      <alignment horizontal="center" vertical="center"/>
    </xf>
    <xf numFmtId="49" fontId="32" fillId="5" borderId="9" xfId="14" applyNumberFormat="1" applyFont="1" applyBorder="1" applyAlignment="1">
      <alignment horizontal="left" vertical="center" wrapText="1"/>
    </xf>
    <xf numFmtId="49" fontId="32" fillId="5" borderId="9" xfId="14" applyNumberFormat="1" applyFont="1" applyBorder="1" applyAlignment="1">
      <alignment horizontal="center" vertical="center" wrapText="1"/>
    </xf>
    <xf numFmtId="41" fontId="32" fillId="5" borderId="9" xfId="22" applyNumberFormat="1" applyFont="1" applyBorder="1"/>
    <xf numFmtId="0" fontId="32" fillId="0" borderId="9" xfId="0" applyFont="1" applyBorder="1" applyAlignment="1">
      <alignment horizontal="left"/>
    </xf>
    <xf numFmtId="41" fontId="32" fillId="0" borderId="9" xfId="0" applyNumberFormat="1" applyFont="1" applyBorder="1" applyAlignment="1">
      <alignment horizontal="left"/>
    </xf>
    <xf numFmtId="0" fontId="33" fillId="5" borderId="9" xfId="15" applyFont="1" applyBorder="1" applyAlignment="1">
      <alignment horizontal="center" vertical="center"/>
    </xf>
    <xf numFmtId="49" fontId="33" fillId="5" borderId="9" xfId="14" applyNumberFormat="1" applyFont="1" applyBorder="1" applyAlignment="1">
      <alignment horizontal="left" vertical="center" wrapText="1"/>
    </xf>
    <xf numFmtId="49" fontId="33" fillId="5" borderId="9" xfId="14" applyNumberFormat="1" applyFont="1" applyBorder="1" applyAlignment="1">
      <alignment horizontal="center" vertical="center" wrapText="1"/>
    </xf>
    <xf numFmtId="0" fontId="33" fillId="3" borderId="9" xfId="15" applyFont="1" applyFill="1" applyBorder="1" applyAlignment="1">
      <alignment horizontal="center" vertical="center"/>
    </xf>
    <xf numFmtId="49" fontId="33" fillId="3" borderId="9" xfId="14" applyNumberFormat="1" applyFont="1" applyFill="1" applyBorder="1" applyAlignment="1">
      <alignment horizontal="left" vertical="center" wrapText="1"/>
    </xf>
    <xf numFmtId="49" fontId="33" fillId="3" borderId="9" xfId="14" applyNumberFormat="1" applyFont="1" applyFill="1" applyBorder="1" applyAlignment="1">
      <alignment horizontal="center" vertical="center" wrapText="1"/>
    </xf>
    <xf numFmtId="41" fontId="31" fillId="7" borderId="9" xfId="22" applyNumberFormat="1" applyFont="1" applyFill="1" applyBorder="1"/>
    <xf numFmtId="0" fontId="32" fillId="3" borderId="9" xfId="15" applyFont="1" applyFill="1" applyBorder="1" applyAlignment="1">
      <alignment horizontal="center" vertical="center"/>
    </xf>
    <xf numFmtId="0" fontId="32" fillId="5" borderId="9" xfId="14" applyFont="1" applyBorder="1" applyAlignment="1">
      <alignment horizontal="left" vertical="center" wrapText="1"/>
    </xf>
    <xf numFmtId="0" fontId="33" fillId="5" borderId="9" xfId="14" applyFont="1" applyBorder="1" applyAlignment="1">
      <alignment horizontal="left" vertical="center" wrapText="1"/>
    </xf>
    <xf numFmtId="0" fontId="33" fillId="0" borderId="9" xfId="4" applyFont="1" applyBorder="1" applyAlignment="1">
      <alignment horizontal="left" vertical="center" wrapText="1"/>
    </xf>
    <xf numFmtId="0" fontId="31" fillId="7" borderId="9" xfId="15" applyFont="1" applyFill="1" applyBorder="1" applyAlignment="1">
      <alignment horizontal="center" vertical="center"/>
    </xf>
    <xf numFmtId="0" fontId="38" fillId="0" borderId="0" xfId="0" applyFont="1" applyAlignment="1">
      <alignment vertical="center"/>
    </xf>
    <xf numFmtId="0" fontId="32" fillId="0" borderId="9" xfId="0" applyFont="1" applyBorder="1" applyAlignment="1">
      <alignment horizontal="center" vertical="center"/>
    </xf>
    <xf numFmtId="0" fontId="36" fillId="3" borderId="5" xfId="0" applyFont="1" applyFill="1" applyBorder="1" applyAlignment="1">
      <alignment vertical="center"/>
    </xf>
    <xf numFmtId="0" fontId="34" fillId="3" borderId="5" xfId="0" applyFont="1" applyFill="1" applyBorder="1" applyAlignment="1">
      <alignment vertical="center"/>
    </xf>
    <xf numFmtId="0" fontId="36" fillId="3" borderId="0" xfId="0" applyFont="1" applyFill="1" applyAlignment="1">
      <alignment vertical="center"/>
    </xf>
    <xf numFmtId="0" fontId="37" fillId="3" borderId="0" xfId="0" applyFont="1" applyFill="1" applyBorder="1" applyAlignment="1">
      <alignment vertical="center"/>
    </xf>
    <xf numFmtId="0" fontId="33" fillId="3" borderId="0" xfId="1" applyFont="1" applyFill="1" applyBorder="1" applyAlignment="1">
      <alignment vertical="center"/>
    </xf>
    <xf numFmtId="0" fontId="34" fillId="3" borderId="0" xfId="0" applyFont="1" applyFill="1" applyBorder="1" applyAlignment="1">
      <alignment vertical="center"/>
    </xf>
    <xf numFmtId="0" fontId="36" fillId="3" borderId="0" xfId="0" applyFont="1" applyFill="1" applyBorder="1" applyAlignment="1">
      <alignment vertical="center"/>
    </xf>
    <xf numFmtId="0" fontId="12" fillId="3" borderId="0" xfId="0" applyFont="1" applyFill="1" applyBorder="1" applyAlignment="1">
      <alignment vertical="center"/>
    </xf>
    <xf numFmtId="0" fontId="10" fillId="3" borderId="0" xfId="1" applyFont="1" applyFill="1" applyBorder="1" applyAlignment="1">
      <alignment vertical="center"/>
    </xf>
    <xf numFmtId="0" fontId="7" fillId="3" borderId="0" xfId="0" applyFont="1" applyFill="1" applyBorder="1" applyAlignment="1">
      <alignment vertical="center"/>
    </xf>
    <xf numFmtId="0" fontId="14" fillId="3" borderId="0" xfId="0" applyFont="1" applyFill="1" applyBorder="1" applyAlignment="1">
      <alignment vertical="center"/>
    </xf>
    <xf numFmtId="0" fontId="9" fillId="3" borderId="0" xfId="1" applyFont="1" applyFill="1" applyBorder="1" applyAlignment="1">
      <alignment vertical="center"/>
    </xf>
    <xf numFmtId="0" fontId="8" fillId="3" borderId="0" xfId="1" applyFont="1" applyFill="1" applyBorder="1" applyAlignment="1">
      <alignment vertical="center"/>
    </xf>
    <xf numFmtId="0" fontId="14" fillId="3" borderId="5" xfId="17" applyFont="1" applyFill="1" applyBorder="1" applyAlignment="1">
      <alignment vertical="center"/>
    </xf>
    <xf numFmtId="0" fontId="39" fillId="0" borderId="0" xfId="0" applyFont="1" applyAlignment="1">
      <alignment wrapText="1"/>
    </xf>
    <xf numFmtId="0" fontId="40" fillId="0" borderId="0" xfId="0" applyFont="1"/>
    <xf numFmtId="0" fontId="41" fillId="0" borderId="0" xfId="0" applyFont="1" applyAlignment="1">
      <alignment wrapText="1"/>
    </xf>
    <xf numFmtId="0" fontId="41" fillId="0" borderId="0" xfId="0" applyFont="1"/>
    <xf numFmtId="0" fontId="40" fillId="3" borderId="0" xfId="0" applyFont="1" applyFill="1" applyAlignment="1">
      <alignment vertical="center"/>
    </xf>
    <xf numFmtId="0" fontId="42" fillId="3" borderId="0" xfId="0" applyFont="1" applyFill="1" applyAlignment="1">
      <alignment horizontal="left" vertical="center"/>
    </xf>
    <xf numFmtId="0" fontId="39" fillId="3" borderId="0" xfId="16" applyFont="1" applyFill="1" applyAlignment="1">
      <alignment horizontal="center" vertical="center"/>
    </xf>
    <xf numFmtId="0" fontId="39" fillId="3" borderId="0" xfId="16" applyFont="1" applyFill="1" applyAlignment="1">
      <alignment vertical="center"/>
    </xf>
    <xf numFmtId="0" fontId="39" fillId="3" borderId="0" xfId="2" applyFont="1" applyFill="1" applyAlignment="1">
      <alignment horizontal="center" vertical="center"/>
    </xf>
    <xf numFmtId="0" fontId="39" fillId="3" borderId="0" xfId="2" applyFont="1" applyFill="1" applyAlignment="1">
      <alignment vertical="center"/>
    </xf>
    <xf numFmtId="0" fontId="39" fillId="7" borderId="9" xfId="0" applyFont="1" applyFill="1" applyBorder="1" applyAlignment="1">
      <alignment horizontal="center" vertical="center" wrapText="1"/>
    </xf>
    <xf numFmtId="4" fontId="43" fillId="7" borderId="13" xfId="0" applyNumberFormat="1" applyFont="1" applyFill="1" applyBorder="1" applyAlignment="1">
      <alignment horizontal="center" vertical="center" wrapText="1"/>
    </xf>
    <xf numFmtId="49" fontId="39" fillId="3" borderId="9" xfId="0" applyNumberFormat="1" applyFont="1" applyFill="1" applyBorder="1" applyAlignment="1">
      <alignment horizontal="center" vertical="center"/>
    </xf>
    <xf numFmtId="49" fontId="39" fillId="3" borderId="9" xfId="0" applyNumberFormat="1" applyFont="1" applyFill="1" applyBorder="1" applyAlignment="1">
      <alignment horizontal="left" vertical="center" wrapText="1"/>
    </xf>
    <xf numFmtId="49" fontId="39" fillId="3" borderId="9" xfId="15" applyNumberFormat="1" applyFont="1" applyFill="1" applyBorder="1" applyAlignment="1">
      <alignment horizontal="center" vertical="center" wrapText="1"/>
    </xf>
    <xf numFmtId="10" fontId="44" fillId="11" borderId="18" xfId="0" applyNumberFormat="1" applyFont="1" applyFill="1" applyBorder="1" applyAlignment="1" applyProtection="1">
      <alignment horizontal="right" vertical="center" wrapText="1"/>
      <protection locked="0"/>
    </xf>
    <xf numFmtId="0" fontId="39" fillId="0" borderId="0" xfId="0" applyFont="1"/>
    <xf numFmtId="49" fontId="40" fillId="3" borderId="9" xfId="0" applyNumberFormat="1" applyFont="1" applyFill="1" applyBorder="1" applyAlignment="1">
      <alignment horizontal="center" vertical="center"/>
    </xf>
    <xf numFmtId="49" fontId="40" fillId="3" borderId="9" xfId="0" applyNumberFormat="1" applyFont="1" applyFill="1" applyBorder="1" applyAlignment="1">
      <alignment horizontal="left" vertical="center" wrapText="1"/>
    </xf>
    <xf numFmtId="49" fontId="40" fillId="3" borderId="9" xfId="15" applyNumberFormat="1" applyFont="1" applyFill="1" applyBorder="1" applyAlignment="1">
      <alignment horizontal="center" vertical="center" wrapText="1"/>
    </xf>
    <xf numFmtId="43" fontId="44" fillId="3" borderId="12" xfId="7" applyFont="1" applyFill="1" applyBorder="1" applyAlignment="1" applyProtection="1">
      <alignment horizontal="right" vertical="center" wrapText="1"/>
      <protection locked="0"/>
    </xf>
    <xf numFmtId="43" fontId="43" fillId="3" borderId="12" xfId="7" applyFont="1" applyFill="1" applyBorder="1" applyAlignment="1" applyProtection="1">
      <alignment horizontal="right" vertical="center" wrapText="1"/>
      <protection locked="0"/>
    </xf>
    <xf numFmtId="41" fontId="44" fillId="3" borderId="12" xfId="7" applyNumberFormat="1" applyFont="1" applyFill="1" applyBorder="1" applyAlignment="1" applyProtection="1">
      <alignment horizontal="right" vertical="center" wrapText="1"/>
      <protection locked="0"/>
    </xf>
    <xf numFmtId="0" fontId="39" fillId="3" borderId="0" xfId="0" applyFont="1" applyFill="1" applyAlignment="1">
      <alignment vertical="center"/>
    </xf>
    <xf numFmtId="0" fontId="41" fillId="3" borderId="0" xfId="0" applyFont="1" applyFill="1" applyAlignment="1">
      <alignment vertical="center"/>
    </xf>
    <xf numFmtId="0" fontId="40" fillId="3" borderId="8" xfId="0" applyFont="1" applyFill="1" applyBorder="1" applyAlignment="1">
      <alignment vertical="center"/>
    </xf>
    <xf numFmtId="0" fontId="7" fillId="3" borderId="1" xfId="0" applyFont="1" applyFill="1" applyBorder="1"/>
    <xf numFmtId="0" fontId="7" fillId="3" borderId="2" xfId="0" applyFont="1" applyFill="1" applyBorder="1"/>
    <xf numFmtId="0" fontId="8" fillId="3" borderId="0" xfId="0" applyFont="1" applyFill="1" applyAlignment="1">
      <alignment horizontal="left" vertical="center" wrapText="1"/>
    </xf>
    <xf numFmtId="0" fontId="11" fillId="3" borderId="0" xfId="0" applyFont="1" applyFill="1" applyAlignment="1">
      <alignment horizontal="left" vertical="center" wrapText="1"/>
    </xf>
    <xf numFmtId="0" fontId="31" fillId="3" borderId="0" xfId="0" applyFont="1" applyFill="1" applyAlignment="1">
      <alignment horizontal="right" vertical="center" wrapText="1"/>
    </xf>
    <xf numFmtId="0" fontId="33" fillId="3" borderId="0" xfId="0" applyFont="1" applyFill="1" applyAlignment="1">
      <alignment horizontal="right" vertical="center" wrapText="1"/>
    </xf>
    <xf numFmtId="0" fontId="31" fillId="3" borderId="0" xfId="0" applyFont="1" applyFill="1" applyAlignment="1">
      <alignment horizontal="center" vertical="center" wrapText="1"/>
    </xf>
    <xf numFmtId="0" fontId="33" fillId="3" borderId="0" xfId="0" applyFont="1" applyFill="1" applyAlignment="1">
      <alignment horizontal="center" vertical="center"/>
    </xf>
    <xf numFmtId="0" fontId="35" fillId="3" borderId="0" xfId="0" applyFont="1" applyFill="1" applyAlignment="1">
      <alignment horizontal="left" vertical="center" wrapText="1"/>
    </xf>
    <xf numFmtId="0" fontId="32" fillId="3" borderId="0" xfId="0" applyFont="1" applyFill="1" applyAlignment="1">
      <alignment horizontal="left" vertical="center" wrapText="1"/>
    </xf>
    <xf numFmtId="0" fontId="34" fillId="3" borderId="0" xfId="0" applyFont="1" applyFill="1" applyAlignment="1">
      <alignment horizontal="left" vertical="center"/>
    </xf>
    <xf numFmtId="0" fontId="36" fillId="3" borderId="0" xfId="0" applyFont="1" applyFill="1" applyAlignment="1">
      <alignment horizontal="right" vertical="center" wrapText="1"/>
    </xf>
    <xf numFmtId="0" fontId="38" fillId="3" borderId="0" xfId="0" applyFont="1" applyFill="1" applyAlignment="1">
      <alignment horizontal="right" vertical="center" wrapText="1"/>
    </xf>
    <xf numFmtId="0" fontId="36" fillId="3" borderId="0" xfId="0" applyFont="1" applyFill="1" applyAlignment="1">
      <alignment horizontal="center" vertical="center" wrapText="1"/>
    </xf>
    <xf numFmtId="0" fontId="38" fillId="3" borderId="0" xfId="0" applyFont="1" applyFill="1" applyAlignment="1">
      <alignment horizontal="center" vertical="center"/>
    </xf>
    <xf numFmtId="0" fontId="35" fillId="3" borderId="0" xfId="0" applyFont="1" applyFill="1" applyAlignment="1">
      <alignment horizontal="left" vertical="center"/>
    </xf>
    <xf numFmtId="0" fontId="7" fillId="3" borderId="0" xfId="0" applyFont="1" applyFill="1" applyAlignment="1">
      <alignment horizontal="left" vertical="center"/>
    </xf>
    <xf numFmtId="0" fontId="14" fillId="3" borderId="0" xfId="0" applyFont="1" applyFill="1" applyAlignment="1">
      <alignment horizontal="right" vertical="center" wrapText="1"/>
    </xf>
    <xf numFmtId="0" fontId="13" fillId="3" borderId="0" xfId="0" applyFont="1" applyFill="1" applyAlignment="1">
      <alignment horizontal="right" vertical="center" wrapText="1"/>
    </xf>
    <xf numFmtId="0" fontId="14" fillId="3" borderId="0" xfId="0" applyFont="1" applyFill="1" applyAlignment="1">
      <alignment horizontal="center" vertical="center" wrapText="1"/>
    </xf>
    <xf numFmtId="0" fontId="13" fillId="3" borderId="0" xfId="0" applyFont="1" applyFill="1" applyAlignment="1">
      <alignment horizontal="center" vertical="center"/>
    </xf>
    <xf numFmtId="0" fontId="11" fillId="3" borderId="0" xfId="0" applyFont="1" applyFill="1" applyAlignment="1">
      <alignment horizontal="left" vertical="center"/>
    </xf>
    <xf numFmtId="0" fontId="9" fillId="6" borderId="13" xfId="0" applyFont="1" applyFill="1" applyBorder="1" applyAlignment="1">
      <alignment horizontal="center" vertical="center" wrapText="1"/>
    </xf>
    <xf numFmtId="0" fontId="9" fillId="6" borderId="13" xfId="0" applyFont="1" applyFill="1" applyBorder="1" applyAlignment="1">
      <alignment horizontal="center" vertical="center"/>
    </xf>
    <xf numFmtId="0" fontId="11" fillId="3" borderId="0" xfId="11" applyFont="1" applyFill="1" applyAlignment="1">
      <alignment horizontal="left" vertical="top" wrapText="1"/>
    </xf>
    <xf numFmtId="0" fontId="15" fillId="3" borderId="0" xfId="11" applyFont="1" applyFill="1" applyAlignment="1">
      <alignment horizontal="left" vertical="top" wrapText="1"/>
    </xf>
    <xf numFmtId="0" fontId="16" fillId="3" borderId="0" xfId="11" applyFont="1" applyFill="1" applyAlignment="1">
      <alignment horizontal="left" vertical="center" wrapText="1"/>
    </xf>
    <xf numFmtId="0" fontId="17" fillId="3" borderId="0" xfId="11" applyFont="1" applyFill="1" applyAlignment="1">
      <alignment horizontal="left" vertical="center" wrapText="1"/>
    </xf>
    <xf numFmtId="37" fontId="8" fillId="3" borderId="0" xfId="11" applyNumberFormat="1" applyFont="1" applyFill="1" applyAlignment="1">
      <alignment horizontal="left"/>
    </xf>
    <xf numFmtId="0" fontId="8" fillId="3" borderId="0" xfId="11" applyFont="1" applyFill="1" applyAlignment="1">
      <alignment horizontal="left" vertical="center" wrapText="1"/>
    </xf>
    <xf numFmtId="0" fontId="7" fillId="3" borderId="0" xfId="11" applyFont="1" applyFill="1" applyAlignment="1">
      <alignment horizontal="left" vertical="top" wrapText="1"/>
    </xf>
    <xf numFmtId="0" fontId="16" fillId="3" borderId="0" xfId="11" applyFont="1" applyFill="1" applyAlignment="1">
      <alignment horizontal="left" vertical="top" wrapText="1"/>
    </xf>
    <xf numFmtId="0" fontId="19" fillId="0" borderId="0" xfId="11" applyFont="1" applyAlignment="1">
      <alignment horizontal="right" vertical="center" wrapText="1"/>
    </xf>
    <xf numFmtId="0" fontId="18" fillId="3" borderId="0" xfId="11" applyFont="1" applyFill="1" applyAlignment="1">
      <alignment horizontal="right" vertical="center" wrapText="1"/>
    </xf>
    <xf numFmtId="0" fontId="9" fillId="0" borderId="0" xfId="11" applyFont="1" applyAlignment="1">
      <alignment horizontal="center" vertical="center" wrapText="1"/>
    </xf>
    <xf numFmtId="0" fontId="10" fillId="3" borderId="0" xfId="11" applyFont="1" applyFill="1" applyAlignment="1">
      <alignment horizontal="center" vertical="center"/>
    </xf>
    <xf numFmtId="0" fontId="11" fillId="3" borderId="0" xfId="11" applyFont="1" applyFill="1" applyAlignment="1">
      <alignment horizontal="left" vertical="center" wrapText="1"/>
    </xf>
    <xf numFmtId="0" fontId="9" fillId="3" borderId="0" xfId="11" applyFont="1" applyFill="1" applyAlignment="1">
      <alignment horizontal="left" vertical="center"/>
    </xf>
    <xf numFmtId="0" fontId="39" fillId="3" borderId="0" xfId="0" applyFont="1" applyFill="1" applyAlignment="1">
      <alignment horizontal="right" vertical="center" wrapText="1"/>
    </xf>
    <xf numFmtId="0" fontId="41" fillId="3" borderId="0" xfId="0" applyFont="1" applyFill="1" applyAlignment="1">
      <alignment horizontal="right" vertical="center" wrapText="1"/>
    </xf>
    <xf numFmtId="0" fontId="39" fillId="3" borderId="0" xfId="0" applyFont="1" applyFill="1" applyAlignment="1">
      <alignment horizontal="center" vertical="center" wrapText="1"/>
    </xf>
    <xf numFmtId="0" fontId="41" fillId="3" borderId="0" xfId="0" applyFont="1" applyFill="1" applyAlignment="1">
      <alignment horizontal="center" vertical="center"/>
    </xf>
    <xf numFmtId="0" fontId="42" fillId="3" borderId="0" xfId="0" applyFont="1" applyFill="1" applyAlignment="1">
      <alignment horizontal="left" vertical="center"/>
    </xf>
    <xf numFmtId="0" fontId="40" fillId="3" borderId="0" xfId="24" applyFont="1" applyFill="1" applyAlignment="1">
      <alignment horizontal="left" vertical="top" wrapText="1"/>
    </xf>
    <xf numFmtId="0" fontId="40" fillId="3" borderId="0" xfId="0" applyFont="1" applyFill="1" applyAlignment="1">
      <alignment horizontal="left" vertical="center"/>
    </xf>
    <xf numFmtId="0" fontId="40" fillId="3" borderId="0" xfId="0" applyFont="1" applyFill="1" applyAlignment="1">
      <alignment horizontal="left" vertical="center" wrapText="1"/>
    </xf>
    <xf numFmtId="49" fontId="40" fillId="3" borderId="9" xfId="0" applyNumberFormat="1" applyFont="1" applyFill="1" applyBorder="1" applyAlignment="1">
      <alignment horizontal="center" vertical="center"/>
    </xf>
    <xf numFmtId="49" fontId="40" fillId="3" borderId="10" xfId="0" applyNumberFormat="1" applyFont="1" applyFill="1" applyBorder="1" applyAlignment="1">
      <alignment horizontal="center" vertical="center"/>
    </xf>
    <xf numFmtId="49" fontId="40" fillId="3" borderId="14" xfId="0" applyNumberFormat="1" applyFont="1" applyFill="1" applyBorder="1" applyAlignment="1">
      <alignment horizontal="center" vertical="center"/>
    </xf>
    <xf numFmtId="49" fontId="40" fillId="3" borderId="11" xfId="0" applyNumberFormat="1" applyFont="1" applyFill="1" applyBorder="1" applyAlignment="1">
      <alignment horizontal="center" vertical="center"/>
    </xf>
  </cellXfs>
  <cellStyles count="47">
    <cellStyle name="Comma" xfId="7" builtinId="3"/>
    <cellStyle name="Comma 2" xfId="5" xr:uid="{00000000-0005-0000-0000-000001000000}"/>
    <cellStyle name="Comma 2 2" xfId="28" xr:uid="{05BC9A09-B798-4D05-8DA2-54794C535D7B}"/>
    <cellStyle name="Comma 3" xfId="8" xr:uid="{00000000-0005-0000-0000-000002000000}"/>
    <cellStyle name="Comma 3 2" xfId="31" xr:uid="{F7A6FBBA-6BE7-4853-BE5D-D13AE91B6D77}"/>
    <cellStyle name="Comma 4" xfId="13" xr:uid="{00000000-0005-0000-0000-000003000000}"/>
    <cellStyle name="Comma 4 2" xfId="22" xr:uid="{00000000-0005-0000-0000-000004000000}"/>
    <cellStyle name="Comma 4 2 2" xfId="45" xr:uid="{851CCED9-E1CC-42B5-A78A-598A333D9740}"/>
    <cellStyle name="Comma 4 3" xfId="36" xr:uid="{11B21661-607E-4995-A1C7-0DA8C67C22D4}"/>
    <cellStyle name="Comma 5" xfId="21" xr:uid="{00000000-0005-0000-0000-000005000000}"/>
    <cellStyle name="Comma 5 2" xfId="44" xr:uid="{1B6C483E-3384-4246-9735-AABF00EC56D2}"/>
    <cellStyle name="Comma 6" xfId="30" xr:uid="{FCDEAF41-72B6-454B-BAD2-D3BA7B2DB02F}"/>
    <cellStyle name="Currency [0] 2" xfId="4" xr:uid="{00000000-0005-0000-0000-000006000000}"/>
    <cellStyle name="Currency [0] 2 2" xfId="27" xr:uid="{90C34747-F856-4ECD-8B43-114F730ECE89}"/>
    <cellStyle name="Normal" xfId="0" builtinId="0"/>
    <cellStyle name="Normal 2" xfId="3" xr:uid="{00000000-0005-0000-0000-000008000000}"/>
    <cellStyle name="Normal 2 2" xfId="6" xr:uid="{00000000-0005-0000-0000-000009000000}"/>
    <cellStyle name="Normal 2 2 2" xfId="29" xr:uid="{C8522873-6E60-4BAA-9DC5-DCCDE3107A25}"/>
    <cellStyle name="Normal 2 2 9" xfId="14" xr:uid="{00000000-0005-0000-0000-00000A000000}"/>
    <cellStyle name="Normal 2 2 9 2" xfId="37" xr:uid="{31C80172-1E3B-4A03-84E6-3F738CCB79F3}"/>
    <cellStyle name="Normal 2 3" xfId="17" xr:uid="{00000000-0005-0000-0000-00000B000000}"/>
    <cellStyle name="Normal 2 3 2" xfId="40" xr:uid="{B1F51198-6E5A-42E2-9367-7F9DF4BEE5ED}"/>
    <cellStyle name="Normal 2 4" xfId="26" xr:uid="{38CDA030-883D-420F-BFF3-1755C9A43987}"/>
    <cellStyle name="Normal 3" xfId="2" xr:uid="{00000000-0005-0000-0000-00000C000000}"/>
    <cellStyle name="Normal 3 2" xfId="12" xr:uid="{00000000-0005-0000-0000-00000D000000}"/>
    <cellStyle name="Normal 3 2 2" xfId="16" xr:uid="{00000000-0005-0000-0000-00000E000000}"/>
    <cellStyle name="Normal 3 2 2 2" xfId="39" xr:uid="{105CFDF7-0FCA-4069-86EA-5659E24F5294}"/>
    <cellStyle name="Normal 3 2 25" xfId="15" xr:uid="{00000000-0005-0000-0000-00000F000000}"/>
    <cellStyle name="Normal 3 2 25 2" xfId="38" xr:uid="{E772AC13-2482-4EDE-B53F-19D08600EB1D}"/>
    <cellStyle name="Normal 3 2 3" xfId="35" xr:uid="{C5F9FD1D-AB4B-4456-920D-BE8391002175}"/>
    <cellStyle name="Normal 3 3" xfId="23" xr:uid="{00000000-0005-0000-0000-000010000000}"/>
    <cellStyle name="Normal 3 3 2" xfId="46" xr:uid="{E52B922F-EDFF-449A-9C5C-98D868306CAF}"/>
    <cellStyle name="Normal 3 4" xfId="25" xr:uid="{3D4292F2-4EAB-4E7C-BC16-AB370D93FE89}"/>
    <cellStyle name="Normal 4" xfId="11" xr:uid="{00000000-0005-0000-0000-000011000000}"/>
    <cellStyle name="Normal 4 2" xfId="19" xr:uid="{00000000-0005-0000-0000-000012000000}"/>
    <cellStyle name="Normal 4 2 2" xfId="42" xr:uid="{96084DB8-156A-40E6-BBAD-05423756CFD7}"/>
    <cellStyle name="Normal 4 3" xfId="34" xr:uid="{AAEB4BEA-00FF-4EAE-B240-599DBB4B5D95}"/>
    <cellStyle name="Normal 5" xfId="18" xr:uid="{00000000-0005-0000-0000-000013000000}"/>
    <cellStyle name="Normal 5 2" xfId="41" xr:uid="{F8562D89-C38F-478E-AE8A-4FB50F697A15}"/>
    <cellStyle name="Normal 6" xfId="24" xr:uid="{B9B0EC27-475C-4DC3-8D73-FA78E8196CD0}"/>
    <cellStyle name="Normal_Bao cao tai chinh 280405" xfId="1" xr:uid="{00000000-0005-0000-0000-000014000000}"/>
    <cellStyle name="Percent 2" xfId="9" xr:uid="{00000000-0005-0000-0000-000016000000}"/>
    <cellStyle name="Percent 2 2" xfId="32" xr:uid="{F2AE767B-4645-4077-B5EB-208A72A9F38A}"/>
    <cellStyle name="Percent 3" xfId="10" xr:uid="{00000000-0005-0000-0000-000017000000}"/>
    <cellStyle name="Percent 3 2" xfId="33" xr:uid="{F7BB5CDD-730C-4ED0-B711-68CF1E0AA7E9}"/>
    <cellStyle name="Percent 4" xfId="20" xr:uid="{00000000-0005-0000-0000-000018000000}"/>
    <cellStyle name="Percent 4 2" xfId="43" xr:uid="{D2021E58-6CCD-42C1-B1EC-C10C1CC20D51}"/>
  </cellStyles>
  <dxfs count="1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3.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8" Type="http://schemas.openxmlformats.org/officeDocument/2006/relationships/image" Target="../media/image12.png"/><Relationship Id="rId13" Type="http://schemas.openxmlformats.org/officeDocument/2006/relationships/image" Target="../media/image17.jpeg"/><Relationship Id="rId3" Type="http://schemas.openxmlformats.org/officeDocument/2006/relationships/image" Target="../media/image7.jpeg"/><Relationship Id="rId7" Type="http://schemas.openxmlformats.org/officeDocument/2006/relationships/image" Target="../media/image11.png"/><Relationship Id="rId12" Type="http://schemas.openxmlformats.org/officeDocument/2006/relationships/image" Target="../media/image16.jpeg"/><Relationship Id="rId2" Type="http://schemas.openxmlformats.org/officeDocument/2006/relationships/image" Target="../media/image6.png"/><Relationship Id="rId16" Type="http://schemas.openxmlformats.org/officeDocument/2006/relationships/image" Target="../media/image19.png"/><Relationship Id="rId1" Type="http://schemas.openxmlformats.org/officeDocument/2006/relationships/image" Target="../media/image5.png"/><Relationship Id="rId6" Type="http://schemas.openxmlformats.org/officeDocument/2006/relationships/image" Target="../media/image10.png"/><Relationship Id="rId11" Type="http://schemas.openxmlformats.org/officeDocument/2006/relationships/image" Target="../media/image15.jpeg"/><Relationship Id="rId5" Type="http://schemas.openxmlformats.org/officeDocument/2006/relationships/image" Target="../media/image9.jpeg"/><Relationship Id="rId15" Type="http://schemas.openxmlformats.org/officeDocument/2006/relationships/image" Target="cid:image001.png@01D924FE.E96A4810" TargetMode="External"/><Relationship Id="rId10" Type="http://schemas.openxmlformats.org/officeDocument/2006/relationships/image" Target="../media/image14.png"/><Relationship Id="rId4" Type="http://schemas.openxmlformats.org/officeDocument/2006/relationships/image" Target="../media/image8.png"/><Relationship Id="rId9" Type="http://schemas.openxmlformats.org/officeDocument/2006/relationships/image" Target="../media/image13.png"/><Relationship Id="rId14" Type="http://schemas.openxmlformats.org/officeDocument/2006/relationships/image" Target="../media/image18.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2285371</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91"/>
                </a:ext>
              </a:extLst>
            </xdr:cNvPicPr>
          </xdr:nvPicPr>
          <xdr:blipFill>
            <a:blip xmlns:r="http://schemas.openxmlformats.org/officeDocument/2006/relationships" r:embed="rId1"/>
            <a:srcRect/>
            <a:stretch>
              <a:fillRect/>
            </a:stretch>
          </xdr:blipFill>
          <xdr:spPr bwMode="auto">
            <a:xfrm>
              <a:off x="57150" y="0"/>
              <a:ext cx="2809246"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7007"/>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0</xdr:row>
          <xdr:rowOff>466285</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511"/>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1304925</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61"/>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2656975</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300"/>
                </a:ext>
              </a:extLst>
            </xdr:cNvPicPr>
          </xdr:nvPicPr>
          <xdr:blipFill>
            <a:blip xmlns:r="http://schemas.openxmlformats.org/officeDocument/2006/relationships" r:embed="rId1"/>
            <a:srcRect/>
            <a:stretch>
              <a:fillRect/>
            </a:stretch>
          </xdr:blipFill>
          <xdr:spPr bwMode="auto">
            <a:xfrm>
              <a:off x="1" y="0"/>
              <a:ext cx="1774658" cy="70078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xdr:oneCellAnchor>
    <xdr:from>
      <xdr:col>2</xdr:col>
      <xdr:colOff>419100</xdr:colOff>
      <xdr:row>5</xdr:row>
      <xdr:rowOff>95250</xdr:rowOff>
    </xdr:from>
    <xdr:ext cx="1411605" cy="412325"/>
    <xdr:pic>
      <xdr:nvPicPr>
        <xdr:cNvPr id="100" name="Picture 99" descr="vfm-logo_915970.jpg">
          <a:extLst>
            <a:ext uri="{FF2B5EF4-FFF2-40B4-BE49-F238E27FC236}">
              <a16:creationId xmlns:a16="http://schemas.microsoft.com/office/drawing/2014/main" id="{00000000-0008-0000-0D00-000064000000}"/>
            </a:ext>
          </a:extLst>
        </xdr:cNvPr>
        <xdr:cNvPicPr>
          <a:picLocks noChangeAspect="1"/>
        </xdr:cNvPicPr>
      </xdr:nvPicPr>
      <xdr:blipFill>
        <a:blip xmlns:r="http://schemas.openxmlformats.org/officeDocument/2006/relationships" r:embed="rId1" cstate="print"/>
        <a:stretch>
          <a:fillRect/>
        </a:stretch>
      </xdr:blipFill>
      <xdr:spPr>
        <a:xfrm>
          <a:off x="4480560" y="3402330"/>
          <a:ext cx="1411605" cy="412325"/>
        </a:xfrm>
        <a:prstGeom prst="rect">
          <a:avLst/>
        </a:prstGeom>
      </xdr:spPr>
    </xdr:pic>
    <xdr:clientData/>
  </xdr:oneCellAnchor>
  <xdr:twoCellAnchor editAs="oneCell">
    <xdr:from>
      <xdr:col>2</xdr:col>
      <xdr:colOff>285751</xdr:colOff>
      <xdr:row>8</xdr:row>
      <xdr:rowOff>238125</xdr:rowOff>
    </xdr:from>
    <xdr:to>
      <xdr:col>3</xdr:col>
      <xdr:colOff>6921</xdr:colOff>
      <xdr:row>8</xdr:row>
      <xdr:rowOff>607644</xdr:rowOff>
    </xdr:to>
    <xdr:pic>
      <xdr:nvPicPr>
        <xdr:cNvPr id="103" name="Picture 102">
          <a:extLst>
            <a:ext uri="{FF2B5EF4-FFF2-40B4-BE49-F238E27FC236}">
              <a16:creationId xmlns:a16="http://schemas.microsoft.com/office/drawing/2014/main" id="{00000000-0008-0000-0D00-000067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4238626" y="5905500"/>
          <a:ext cx="1946910" cy="369519"/>
        </a:xfrm>
        <a:prstGeom prst="rect">
          <a:avLst/>
        </a:prstGeom>
        <a:noFill/>
      </xdr:spPr>
    </xdr:pic>
    <xdr:clientData/>
  </xdr:twoCellAnchor>
  <xdr:twoCellAnchor editAs="oneCell">
    <xdr:from>
      <xdr:col>2</xdr:col>
      <xdr:colOff>590551</xdr:colOff>
      <xdr:row>12</xdr:row>
      <xdr:rowOff>142876</xdr:rowOff>
    </xdr:from>
    <xdr:to>
      <xdr:col>2</xdr:col>
      <xdr:colOff>1706881</xdr:colOff>
      <xdr:row>12</xdr:row>
      <xdr:rowOff>535994</xdr:rowOff>
    </xdr:to>
    <xdr:pic>
      <xdr:nvPicPr>
        <xdr:cNvPr id="107" name="Picture 106">
          <a:extLst>
            <a:ext uri="{FF2B5EF4-FFF2-40B4-BE49-F238E27FC236}">
              <a16:creationId xmlns:a16="http://schemas.microsoft.com/office/drawing/2014/main" id="{00000000-0008-0000-0D00-00006B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652011" y="8890636"/>
          <a:ext cx="1116330" cy="393118"/>
        </a:xfrm>
        <a:prstGeom prst="rect">
          <a:avLst/>
        </a:prstGeom>
      </xdr:spPr>
    </xdr:pic>
    <xdr:clientData/>
  </xdr:twoCellAnchor>
  <xdr:twoCellAnchor editAs="oneCell">
    <xdr:from>
      <xdr:col>2</xdr:col>
      <xdr:colOff>533401</xdr:colOff>
      <xdr:row>13</xdr:row>
      <xdr:rowOff>95250</xdr:rowOff>
    </xdr:from>
    <xdr:to>
      <xdr:col>2</xdr:col>
      <xdr:colOff>1767841</xdr:colOff>
      <xdr:row>13</xdr:row>
      <xdr:rowOff>557814</xdr:rowOff>
    </xdr:to>
    <xdr:pic>
      <xdr:nvPicPr>
        <xdr:cNvPr id="108" name="Picture 107">
          <a:extLst>
            <a:ext uri="{FF2B5EF4-FFF2-40B4-BE49-F238E27FC236}">
              <a16:creationId xmlns:a16="http://schemas.microsoft.com/office/drawing/2014/main" id="{00000000-0008-0000-0D00-00006C00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4594861" y="9620250"/>
          <a:ext cx="1234440" cy="462564"/>
        </a:xfrm>
        <a:prstGeom prst="rect">
          <a:avLst/>
        </a:prstGeom>
        <a:noFill/>
        <a:ln w="1">
          <a:noFill/>
          <a:miter lim="800000"/>
          <a:headEnd/>
          <a:tailEnd type="none" w="med" len="med"/>
        </a:ln>
        <a:effectLst/>
      </xdr:spPr>
    </xdr:pic>
    <xdr:clientData/>
  </xdr:twoCellAnchor>
  <xdr:twoCellAnchor editAs="oneCell">
    <xdr:from>
      <xdr:col>2</xdr:col>
      <xdr:colOff>533401</xdr:colOff>
      <xdr:row>14</xdr:row>
      <xdr:rowOff>142875</xdr:rowOff>
    </xdr:from>
    <xdr:to>
      <xdr:col>2</xdr:col>
      <xdr:colOff>1767841</xdr:colOff>
      <xdr:row>14</xdr:row>
      <xdr:rowOff>605439</xdr:rowOff>
    </xdr:to>
    <xdr:pic>
      <xdr:nvPicPr>
        <xdr:cNvPr id="109" name="Picture 108">
          <a:extLst>
            <a:ext uri="{FF2B5EF4-FFF2-40B4-BE49-F238E27FC236}">
              <a16:creationId xmlns:a16="http://schemas.microsoft.com/office/drawing/2014/main" id="{00000000-0008-0000-0D00-00006D00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4594861" y="10445115"/>
          <a:ext cx="1234440" cy="462564"/>
        </a:xfrm>
        <a:prstGeom prst="rect">
          <a:avLst/>
        </a:prstGeom>
        <a:noFill/>
        <a:ln w="1">
          <a:noFill/>
          <a:miter lim="800000"/>
          <a:headEnd/>
          <a:tailEnd type="none" w="med" len="med"/>
        </a:ln>
        <a:effectLst/>
      </xdr:spPr>
    </xdr:pic>
    <xdr:clientData/>
  </xdr:twoCellAnchor>
  <xdr:twoCellAnchor editAs="oneCell">
    <xdr:from>
      <xdr:col>2</xdr:col>
      <xdr:colOff>533401</xdr:colOff>
      <xdr:row>15</xdr:row>
      <xdr:rowOff>142875</xdr:rowOff>
    </xdr:from>
    <xdr:to>
      <xdr:col>2</xdr:col>
      <xdr:colOff>1767841</xdr:colOff>
      <xdr:row>15</xdr:row>
      <xdr:rowOff>605439</xdr:rowOff>
    </xdr:to>
    <xdr:pic>
      <xdr:nvPicPr>
        <xdr:cNvPr id="110" name="Picture 109">
          <a:extLst>
            <a:ext uri="{FF2B5EF4-FFF2-40B4-BE49-F238E27FC236}">
              <a16:creationId xmlns:a16="http://schemas.microsoft.com/office/drawing/2014/main" id="{00000000-0008-0000-0D00-00006E00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4594861" y="11222355"/>
          <a:ext cx="1234440" cy="462564"/>
        </a:xfrm>
        <a:prstGeom prst="rect">
          <a:avLst/>
        </a:prstGeom>
        <a:noFill/>
        <a:ln w="1">
          <a:noFill/>
          <a:miter lim="800000"/>
          <a:headEnd/>
          <a:tailEnd type="none" w="med" len="med"/>
        </a:ln>
        <a:effectLst/>
      </xdr:spPr>
    </xdr:pic>
    <xdr:clientData/>
  </xdr:twoCellAnchor>
  <xdr:twoCellAnchor editAs="oneCell">
    <xdr:from>
      <xdr:col>2</xdr:col>
      <xdr:colOff>247650</xdr:colOff>
      <xdr:row>16</xdr:row>
      <xdr:rowOff>209550</xdr:rowOff>
    </xdr:from>
    <xdr:to>
      <xdr:col>2</xdr:col>
      <xdr:colOff>2093595</xdr:colOff>
      <xdr:row>16</xdr:row>
      <xdr:rowOff>537986</xdr:rowOff>
    </xdr:to>
    <xdr:pic>
      <xdr:nvPicPr>
        <xdr:cNvPr id="111" name="Picture 110" descr="6098e4vinacapital-010.jpg">
          <a:extLst>
            <a:ext uri="{FF2B5EF4-FFF2-40B4-BE49-F238E27FC236}">
              <a16:creationId xmlns:a16="http://schemas.microsoft.com/office/drawing/2014/main" id="{00000000-0008-0000-0D00-00006F000000}"/>
            </a:ext>
          </a:extLst>
        </xdr:cNvPr>
        <xdr:cNvPicPr>
          <a:picLocks noChangeAspect="1"/>
        </xdr:cNvPicPr>
      </xdr:nvPicPr>
      <xdr:blipFill>
        <a:blip xmlns:r="http://schemas.openxmlformats.org/officeDocument/2006/relationships" r:embed="rId5" cstate="print"/>
        <a:stretch>
          <a:fillRect/>
        </a:stretch>
      </xdr:blipFill>
      <xdr:spPr>
        <a:xfrm>
          <a:off x="4309110" y="12066270"/>
          <a:ext cx="1845945" cy="328436"/>
        </a:xfrm>
        <a:prstGeom prst="rect">
          <a:avLst/>
        </a:prstGeom>
      </xdr:spPr>
    </xdr:pic>
    <xdr:clientData/>
  </xdr:twoCellAnchor>
  <xdr:twoCellAnchor editAs="oneCell">
    <xdr:from>
      <xdr:col>2</xdr:col>
      <xdr:colOff>276225</xdr:colOff>
      <xdr:row>17</xdr:row>
      <xdr:rowOff>228600</xdr:rowOff>
    </xdr:from>
    <xdr:to>
      <xdr:col>2</xdr:col>
      <xdr:colOff>2122170</xdr:colOff>
      <xdr:row>17</xdr:row>
      <xdr:rowOff>557036</xdr:rowOff>
    </xdr:to>
    <xdr:pic>
      <xdr:nvPicPr>
        <xdr:cNvPr id="112" name="Picture 111" descr="6098e4vinacapital-010.jpg">
          <a:extLst>
            <a:ext uri="{FF2B5EF4-FFF2-40B4-BE49-F238E27FC236}">
              <a16:creationId xmlns:a16="http://schemas.microsoft.com/office/drawing/2014/main" id="{00000000-0008-0000-0D00-000070000000}"/>
            </a:ext>
          </a:extLst>
        </xdr:cNvPr>
        <xdr:cNvPicPr>
          <a:picLocks noChangeAspect="1"/>
        </xdr:cNvPicPr>
      </xdr:nvPicPr>
      <xdr:blipFill>
        <a:blip xmlns:r="http://schemas.openxmlformats.org/officeDocument/2006/relationships" r:embed="rId5" cstate="print"/>
        <a:stretch>
          <a:fillRect/>
        </a:stretch>
      </xdr:blipFill>
      <xdr:spPr>
        <a:xfrm>
          <a:off x="4337685" y="12862560"/>
          <a:ext cx="1845945" cy="328436"/>
        </a:xfrm>
        <a:prstGeom prst="rect">
          <a:avLst/>
        </a:prstGeom>
      </xdr:spPr>
    </xdr:pic>
    <xdr:clientData/>
  </xdr:twoCellAnchor>
  <xdr:twoCellAnchor editAs="oneCell">
    <xdr:from>
      <xdr:col>2</xdr:col>
      <xdr:colOff>276225</xdr:colOff>
      <xdr:row>18</xdr:row>
      <xdr:rowOff>228600</xdr:rowOff>
    </xdr:from>
    <xdr:to>
      <xdr:col>2</xdr:col>
      <xdr:colOff>2122170</xdr:colOff>
      <xdr:row>18</xdr:row>
      <xdr:rowOff>557036</xdr:rowOff>
    </xdr:to>
    <xdr:pic>
      <xdr:nvPicPr>
        <xdr:cNvPr id="113" name="Picture 112" descr="6098e4vinacapital-010.jpg">
          <a:extLst>
            <a:ext uri="{FF2B5EF4-FFF2-40B4-BE49-F238E27FC236}">
              <a16:creationId xmlns:a16="http://schemas.microsoft.com/office/drawing/2014/main" id="{00000000-0008-0000-0D00-000071000000}"/>
            </a:ext>
          </a:extLst>
        </xdr:cNvPr>
        <xdr:cNvPicPr>
          <a:picLocks noChangeAspect="1"/>
        </xdr:cNvPicPr>
      </xdr:nvPicPr>
      <xdr:blipFill>
        <a:blip xmlns:r="http://schemas.openxmlformats.org/officeDocument/2006/relationships" r:embed="rId5" cstate="print"/>
        <a:stretch>
          <a:fillRect/>
        </a:stretch>
      </xdr:blipFill>
      <xdr:spPr>
        <a:xfrm>
          <a:off x="4337685" y="13639800"/>
          <a:ext cx="1845945" cy="328436"/>
        </a:xfrm>
        <a:prstGeom prst="rect">
          <a:avLst/>
        </a:prstGeom>
      </xdr:spPr>
    </xdr:pic>
    <xdr:clientData/>
  </xdr:twoCellAnchor>
  <xdr:twoCellAnchor editAs="oneCell">
    <xdr:from>
      <xdr:col>2</xdr:col>
      <xdr:colOff>257175</xdr:colOff>
      <xdr:row>19</xdr:row>
      <xdr:rowOff>285750</xdr:rowOff>
    </xdr:from>
    <xdr:to>
      <xdr:col>2</xdr:col>
      <xdr:colOff>2103120</xdr:colOff>
      <xdr:row>19</xdr:row>
      <xdr:rowOff>614186</xdr:rowOff>
    </xdr:to>
    <xdr:pic>
      <xdr:nvPicPr>
        <xdr:cNvPr id="114" name="Picture 113" descr="6098e4vinacapital-010.jpg">
          <a:extLst>
            <a:ext uri="{FF2B5EF4-FFF2-40B4-BE49-F238E27FC236}">
              <a16:creationId xmlns:a16="http://schemas.microsoft.com/office/drawing/2014/main" id="{00000000-0008-0000-0D00-000072000000}"/>
            </a:ext>
          </a:extLst>
        </xdr:cNvPr>
        <xdr:cNvPicPr>
          <a:picLocks noChangeAspect="1"/>
        </xdr:cNvPicPr>
      </xdr:nvPicPr>
      <xdr:blipFill>
        <a:blip xmlns:r="http://schemas.openxmlformats.org/officeDocument/2006/relationships" r:embed="rId5" cstate="print"/>
        <a:stretch>
          <a:fillRect/>
        </a:stretch>
      </xdr:blipFill>
      <xdr:spPr>
        <a:xfrm>
          <a:off x="4318635" y="14474190"/>
          <a:ext cx="1845945" cy="328436"/>
        </a:xfrm>
        <a:prstGeom prst="rect">
          <a:avLst/>
        </a:prstGeom>
      </xdr:spPr>
    </xdr:pic>
    <xdr:clientData/>
  </xdr:twoCellAnchor>
  <xdr:twoCellAnchor>
    <xdr:from>
      <xdr:col>2</xdr:col>
      <xdr:colOff>504825</xdr:colOff>
      <xdr:row>20</xdr:row>
      <xdr:rowOff>190500</xdr:rowOff>
    </xdr:from>
    <xdr:to>
      <xdr:col>2</xdr:col>
      <xdr:colOff>1981200</xdr:colOff>
      <xdr:row>20</xdr:row>
      <xdr:rowOff>581167</xdr:rowOff>
    </xdr:to>
    <xdr:pic>
      <xdr:nvPicPr>
        <xdr:cNvPr id="115" name="Picture 114" descr="Adobe Systems">
          <a:extLst>
            <a:ext uri="{FF2B5EF4-FFF2-40B4-BE49-F238E27FC236}">
              <a16:creationId xmlns:a16="http://schemas.microsoft.com/office/drawing/2014/main" id="{00000000-0008-0000-0D00-000073000000}"/>
            </a:ext>
          </a:extLst>
        </xdr:cNvPr>
        <xdr:cNvPicPr>
          <a:picLocks noChangeAspect="1" noChangeArrowheads="1"/>
        </xdr:cNvPicPr>
      </xdr:nvPicPr>
      <xdr:blipFill>
        <a:blip xmlns:r="http://schemas.openxmlformats.org/officeDocument/2006/relationships" r:embed="rId6" cstate="print"/>
        <a:srcRect/>
        <a:stretch>
          <a:fillRect/>
        </a:stretch>
      </xdr:blipFill>
      <xdr:spPr bwMode="auto">
        <a:xfrm>
          <a:off x="4566285" y="15156180"/>
          <a:ext cx="1476375" cy="390667"/>
        </a:xfrm>
        <a:prstGeom prst="rect">
          <a:avLst/>
        </a:prstGeom>
        <a:noFill/>
        <a:ln w="9525">
          <a:noFill/>
          <a:miter lim="800000"/>
          <a:headEnd/>
          <a:tailEnd/>
        </a:ln>
      </xdr:spPr>
    </xdr:pic>
    <xdr:clientData/>
  </xdr:twoCellAnchor>
  <xdr:twoCellAnchor editAs="oneCell">
    <xdr:from>
      <xdr:col>2</xdr:col>
      <xdr:colOff>209551</xdr:colOff>
      <xdr:row>9</xdr:row>
      <xdr:rowOff>220980</xdr:rowOff>
    </xdr:from>
    <xdr:to>
      <xdr:col>2</xdr:col>
      <xdr:colOff>2156461</xdr:colOff>
      <xdr:row>9</xdr:row>
      <xdr:rowOff>590499</xdr:rowOff>
    </xdr:to>
    <xdr:pic>
      <xdr:nvPicPr>
        <xdr:cNvPr id="21" name="Picture 20">
          <a:extLst>
            <a:ext uri="{FF2B5EF4-FFF2-40B4-BE49-F238E27FC236}">
              <a16:creationId xmlns:a16="http://schemas.microsoft.com/office/drawing/2014/main" id="{00000000-0008-0000-0D00-000015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4271011" y="7414260"/>
          <a:ext cx="1946910" cy="369519"/>
        </a:xfrm>
        <a:prstGeom prst="rect">
          <a:avLst/>
        </a:prstGeom>
        <a:noFill/>
      </xdr:spPr>
    </xdr:pic>
    <xdr:clientData/>
  </xdr:twoCellAnchor>
  <xdr:twoCellAnchor editAs="oneCell">
    <xdr:from>
      <xdr:col>2</xdr:col>
      <xdr:colOff>561975</xdr:colOff>
      <xdr:row>21</xdr:row>
      <xdr:rowOff>161925</xdr:rowOff>
    </xdr:from>
    <xdr:to>
      <xdr:col>2</xdr:col>
      <xdr:colOff>1958738</xdr:colOff>
      <xdr:row>21</xdr:row>
      <xdr:rowOff>628559</xdr:rowOff>
    </xdr:to>
    <xdr:pic>
      <xdr:nvPicPr>
        <xdr:cNvPr id="2" name="Picture 1">
          <a:extLst>
            <a:ext uri="{FF2B5EF4-FFF2-40B4-BE49-F238E27FC236}">
              <a16:creationId xmlns:a16="http://schemas.microsoft.com/office/drawing/2014/main" id="{00000000-0008-0000-0D00-000002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200900" y="15982950"/>
          <a:ext cx="1396763" cy="466634"/>
        </a:xfrm>
        <a:prstGeom prst="rect">
          <a:avLst/>
        </a:prstGeom>
      </xdr:spPr>
    </xdr:pic>
    <xdr:clientData/>
  </xdr:twoCellAnchor>
  <xdr:twoCellAnchor editAs="oneCell">
    <xdr:from>
      <xdr:col>2</xdr:col>
      <xdr:colOff>714375</xdr:colOff>
      <xdr:row>22</xdr:row>
      <xdr:rowOff>180975</xdr:rowOff>
    </xdr:from>
    <xdr:to>
      <xdr:col>2</xdr:col>
      <xdr:colOff>2111138</xdr:colOff>
      <xdr:row>22</xdr:row>
      <xdr:rowOff>647609</xdr:rowOff>
    </xdr:to>
    <xdr:pic>
      <xdr:nvPicPr>
        <xdr:cNvPr id="23" name="Picture 22">
          <a:extLst>
            <a:ext uri="{FF2B5EF4-FFF2-40B4-BE49-F238E27FC236}">
              <a16:creationId xmlns:a16="http://schemas.microsoft.com/office/drawing/2014/main" id="{00000000-0008-0000-0D00-000017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53300" y="16783050"/>
          <a:ext cx="1396763" cy="466634"/>
        </a:xfrm>
        <a:prstGeom prst="rect">
          <a:avLst/>
        </a:prstGeom>
      </xdr:spPr>
    </xdr:pic>
    <xdr:clientData/>
  </xdr:twoCellAnchor>
  <xdr:twoCellAnchor editAs="oneCell">
    <xdr:from>
      <xdr:col>2</xdr:col>
      <xdr:colOff>600489</xdr:colOff>
      <xdr:row>23</xdr:row>
      <xdr:rowOff>165652</xdr:rowOff>
    </xdr:from>
    <xdr:to>
      <xdr:col>2</xdr:col>
      <xdr:colOff>1997252</xdr:colOff>
      <xdr:row>23</xdr:row>
      <xdr:rowOff>632286</xdr:rowOff>
    </xdr:to>
    <xdr:pic>
      <xdr:nvPicPr>
        <xdr:cNvPr id="24" name="Picture 23">
          <a:extLst>
            <a:ext uri="{FF2B5EF4-FFF2-40B4-BE49-F238E27FC236}">
              <a16:creationId xmlns:a16="http://schemas.microsoft.com/office/drawing/2014/main" id="{00000000-0008-0000-0D00-000018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247282" y="17683369"/>
          <a:ext cx="1396763" cy="466634"/>
        </a:xfrm>
        <a:prstGeom prst="rect">
          <a:avLst/>
        </a:prstGeom>
      </xdr:spPr>
    </xdr:pic>
    <xdr:clientData/>
  </xdr:twoCellAnchor>
  <xdr:twoCellAnchor editAs="oneCell">
    <xdr:from>
      <xdr:col>2</xdr:col>
      <xdr:colOff>579782</xdr:colOff>
      <xdr:row>24</xdr:row>
      <xdr:rowOff>186358</xdr:rowOff>
    </xdr:from>
    <xdr:to>
      <xdr:col>2</xdr:col>
      <xdr:colOff>1976545</xdr:colOff>
      <xdr:row>24</xdr:row>
      <xdr:rowOff>652992</xdr:rowOff>
    </xdr:to>
    <xdr:pic>
      <xdr:nvPicPr>
        <xdr:cNvPr id="25" name="Picture 24">
          <a:extLst>
            <a:ext uri="{FF2B5EF4-FFF2-40B4-BE49-F238E27FC236}">
              <a16:creationId xmlns:a16="http://schemas.microsoft.com/office/drawing/2014/main" id="{00000000-0008-0000-0D00-000019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226575" y="18490923"/>
          <a:ext cx="1396763" cy="466634"/>
        </a:xfrm>
        <a:prstGeom prst="rect">
          <a:avLst/>
        </a:prstGeom>
      </xdr:spPr>
    </xdr:pic>
    <xdr:clientData/>
  </xdr:twoCellAnchor>
  <xdr:twoCellAnchor editAs="oneCell">
    <xdr:from>
      <xdr:col>2</xdr:col>
      <xdr:colOff>683316</xdr:colOff>
      <xdr:row>25</xdr:row>
      <xdr:rowOff>124239</xdr:rowOff>
    </xdr:from>
    <xdr:to>
      <xdr:col>2</xdr:col>
      <xdr:colOff>2080079</xdr:colOff>
      <xdr:row>25</xdr:row>
      <xdr:rowOff>590873</xdr:rowOff>
    </xdr:to>
    <xdr:pic>
      <xdr:nvPicPr>
        <xdr:cNvPr id="26" name="Picture 25">
          <a:extLst>
            <a:ext uri="{FF2B5EF4-FFF2-40B4-BE49-F238E27FC236}">
              <a16:creationId xmlns:a16="http://schemas.microsoft.com/office/drawing/2014/main" id="{00000000-0008-0000-0D00-00001A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twoCellAnchor>
  <xdr:oneCellAnchor>
    <xdr:from>
      <xdr:col>2</xdr:col>
      <xdr:colOff>683316</xdr:colOff>
      <xdr:row>26</xdr:row>
      <xdr:rowOff>124239</xdr:rowOff>
    </xdr:from>
    <xdr:ext cx="1396763" cy="466634"/>
    <xdr:pic>
      <xdr:nvPicPr>
        <xdr:cNvPr id="27" name="Picture 26">
          <a:extLst>
            <a:ext uri="{FF2B5EF4-FFF2-40B4-BE49-F238E27FC236}">
              <a16:creationId xmlns:a16="http://schemas.microsoft.com/office/drawing/2014/main" id="{00000000-0008-0000-0D00-00001B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27</xdr:row>
      <xdr:rowOff>124239</xdr:rowOff>
    </xdr:from>
    <xdr:ext cx="1396763" cy="466634"/>
    <xdr:pic>
      <xdr:nvPicPr>
        <xdr:cNvPr id="28" name="Picture 27">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28</xdr:row>
      <xdr:rowOff>124239</xdr:rowOff>
    </xdr:from>
    <xdr:ext cx="1396763" cy="466634"/>
    <xdr:pic>
      <xdr:nvPicPr>
        <xdr:cNvPr id="29" name="Picture 28">
          <a:extLst>
            <a:ext uri="{FF2B5EF4-FFF2-40B4-BE49-F238E27FC236}">
              <a16:creationId xmlns:a16="http://schemas.microsoft.com/office/drawing/2014/main" id="{00000000-0008-0000-0D00-00001D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31</xdr:row>
      <xdr:rowOff>124239</xdr:rowOff>
    </xdr:from>
    <xdr:ext cx="1396763" cy="466634"/>
    <xdr:pic>
      <xdr:nvPicPr>
        <xdr:cNvPr id="32" name="Picture 31">
          <a:extLst>
            <a:ext uri="{FF2B5EF4-FFF2-40B4-BE49-F238E27FC236}">
              <a16:creationId xmlns:a16="http://schemas.microsoft.com/office/drawing/2014/main" id="{00000000-0008-0000-0D00-000020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32</xdr:row>
      <xdr:rowOff>124239</xdr:rowOff>
    </xdr:from>
    <xdr:ext cx="1396763" cy="466634"/>
    <xdr:pic>
      <xdr:nvPicPr>
        <xdr:cNvPr id="33" name="Picture 32">
          <a:extLst>
            <a:ext uri="{FF2B5EF4-FFF2-40B4-BE49-F238E27FC236}">
              <a16:creationId xmlns:a16="http://schemas.microsoft.com/office/drawing/2014/main" id="{00000000-0008-0000-0D00-000021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33</xdr:row>
      <xdr:rowOff>124239</xdr:rowOff>
    </xdr:from>
    <xdr:ext cx="1396763" cy="466634"/>
    <xdr:pic>
      <xdr:nvPicPr>
        <xdr:cNvPr id="34" name="Picture 33">
          <a:extLst>
            <a:ext uri="{FF2B5EF4-FFF2-40B4-BE49-F238E27FC236}">
              <a16:creationId xmlns:a16="http://schemas.microsoft.com/office/drawing/2014/main" id="{00000000-0008-0000-0D00-000022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34</xdr:row>
      <xdr:rowOff>124239</xdr:rowOff>
    </xdr:from>
    <xdr:ext cx="1396763" cy="466634"/>
    <xdr:pic>
      <xdr:nvPicPr>
        <xdr:cNvPr id="35" name="Picture 34">
          <a:extLst>
            <a:ext uri="{FF2B5EF4-FFF2-40B4-BE49-F238E27FC236}">
              <a16:creationId xmlns:a16="http://schemas.microsoft.com/office/drawing/2014/main" id="{00000000-0008-0000-0D00-000023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35</xdr:row>
      <xdr:rowOff>124239</xdr:rowOff>
    </xdr:from>
    <xdr:ext cx="1396763" cy="466634"/>
    <xdr:pic>
      <xdr:nvPicPr>
        <xdr:cNvPr id="36" name="Picture 35">
          <a:extLst>
            <a:ext uri="{FF2B5EF4-FFF2-40B4-BE49-F238E27FC236}">
              <a16:creationId xmlns:a16="http://schemas.microsoft.com/office/drawing/2014/main" id="{00000000-0008-0000-0D00-000024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oneCellAnchor>
    <xdr:from>
      <xdr:col>2</xdr:col>
      <xdr:colOff>683316</xdr:colOff>
      <xdr:row>36</xdr:row>
      <xdr:rowOff>124239</xdr:rowOff>
    </xdr:from>
    <xdr:ext cx="1396763" cy="466634"/>
    <xdr:pic>
      <xdr:nvPicPr>
        <xdr:cNvPr id="37" name="Picture 36">
          <a:extLst>
            <a:ext uri="{FF2B5EF4-FFF2-40B4-BE49-F238E27FC236}">
              <a16:creationId xmlns:a16="http://schemas.microsoft.com/office/drawing/2014/main" id="{00000000-0008-0000-0D00-000025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330109" y="19215652"/>
          <a:ext cx="1396763" cy="466634"/>
        </a:xfrm>
        <a:prstGeom prst="rect">
          <a:avLst/>
        </a:prstGeom>
      </xdr:spPr>
    </xdr:pic>
    <xdr:clientData/>
  </xdr:oneCellAnchor>
  <xdr:twoCellAnchor editAs="oneCell">
    <xdr:from>
      <xdr:col>2</xdr:col>
      <xdr:colOff>728954</xdr:colOff>
      <xdr:row>37</xdr:row>
      <xdr:rowOff>23329</xdr:rowOff>
    </xdr:from>
    <xdr:to>
      <xdr:col>2</xdr:col>
      <xdr:colOff>2037184</xdr:colOff>
      <xdr:row>37</xdr:row>
      <xdr:rowOff>729631</xdr:rowOff>
    </xdr:to>
    <xdr:pic>
      <xdr:nvPicPr>
        <xdr:cNvPr id="39" name="Picture 38" descr="chubb_logo_detail_0.png">
          <a:extLst>
            <a:ext uri="{FF2B5EF4-FFF2-40B4-BE49-F238E27FC236}">
              <a16:creationId xmlns:a16="http://schemas.microsoft.com/office/drawing/2014/main" id="{00000000-0008-0000-0D00-000027000000}"/>
            </a:ext>
          </a:extLst>
        </xdr:cNvPr>
        <xdr:cNvPicPr>
          <a:picLocks noChangeAspect="1"/>
        </xdr:cNvPicPr>
      </xdr:nvPicPr>
      <xdr:blipFill>
        <a:blip xmlns:r="http://schemas.openxmlformats.org/officeDocument/2006/relationships" r:embed="rId8" cstate="print"/>
        <a:stretch>
          <a:fillRect/>
        </a:stretch>
      </xdr:blipFill>
      <xdr:spPr>
        <a:xfrm>
          <a:off x="7367296" y="27373686"/>
          <a:ext cx="1308230" cy="706302"/>
        </a:xfrm>
        <a:prstGeom prst="rect">
          <a:avLst/>
        </a:prstGeom>
      </xdr:spPr>
    </xdr:pic>
    <xdr:clientData/>
  </xdr:twoCellAnchor>
  <xdr:twoCellAnchor editAs="oneCell">
    <xdr:from>
      <xdr:col>2</xdr:col>
      <xdr:colOff>295469</xdr:colOff>
      <xdr:row>38</xdr:row>
      <xdr:rowOff>155510</xdr:rowOff>
    </xdr:from>
    <xdr:to>
      <xdr:col>2</xdr:col>
      <xdr:colOff>2098868</xdr:colOff>
      <xdr:row>38</xdr:row>
      <xdr:rowOff>636840</xdr:rowOff>
    </xdr:to>
    <xdr:pic>
      <xdr:nvPicPr>
        <xdr:cNvPr id="40" name="Picture 39">
          <a:extLst>
            <a:ext uri="{FF2B5EF4-FFF2-40B4-BE49-F238E27FC236}">
              <a16:creationId xmlns:a16="http://schemas.microsoft.com/office/drawing/2014/main" id="{00000000-0008-0000-0D00-000028000000}"/>
            </a:ext>
          </a:extLst>
        </xdr:cNvPr>
        <xdr:cNvPicPr>
          <a:picLocks noChangeAspect="1"/>
        </xdr:cNvPicPr>
      </xdr:nvPicPr>
      <xdr:blipFill>
        <a:blip xmlns:r="http://schemas.openxmlformats.org/officeDocument/2006/relationships" r:embed="rId9" cstate="print"/>
        <a:stretch>
          <a:fillRect/>
        </a:stretch>
      </xdr:blipFill>
      <xdr:spPr>
        <a:xfrm>
          <a:off x="7122367" y="29119286"/>
          <a:ext cx="1803399" cy="481330"/>
        </a:xfrm>
        <a:prstGeom prst="rect">
          <a:avLst/>
        </a:prstGeom>
      </xdr:spPr>
    </xdr:pic>
    <xdr:clientData/>
  </xdr:twoCellAnchor>
  <xdr:twoCellAnchor editAs="oneCell">
    <xdr:from>
      <xdr:col>2</xdr:col>
      <xdr:colOff>524847</xdr:colOff>
      <xdr:row>29</xdr:row>
      <xdr:rowOff>9719</xdr:rowOff>
    </xdr:from>
    <xdr:to>
      <xdr:col>2</xdr:col>
      <xdr:colOff>1833077</xdr:colOff>
      <xdr:row>29</xdr:row>
      <xdr:rowOff>754898</xdr:rowOff>
    </xdr:to>
    <xdr:pic>
      <xdr:nvPicPr>
        <xdr:cNvPr id="41" name="Picture 40" descr="chubb_logo_detail_0.png">
          <a:extLst>
            <a:ext uri="{FF2B5EF4-FFF2-40B4-BE49-F238E27FC236}">
              <a16:creationId xmlns:a16="http://schemas.microsoft.com/office/drawing/2014/main" id="{00000000-0008-0000-0D00-000029000000}"/>
            </a:ext>
          </a:extLst>
        </xdr:cNvPr>
        <xdr:cNvPicPr>
          <a:picLocks noChangeAspect="1"/>
        </xdr:cNvPicPr>
      </xdr:nvPicPr>
      <xdr:blipFill>
        <a:blip xmlns:r="http://schemas.openxmlformats.org/officeDocument/2006/relationships" r:embed="rId8" cstate="print"/>
        <a:stretch>
          <a:fillRect/>
        </a:stretch>
      </xdr:blipFill>
      <xdr:spPr>
        <a:xfrm>
          <a:off x="7163189" y="21139668"/>
          <a:ext cx="1308230" cy="745179"/>
        </a:xfrm>
        <a:prstGeom prst="rect">
          <a:avLst/>
        </a:prstGeom>
      </xdr:spPr>
    </xdr:pic>
    <xdr:clientData/>
  </xdr:twoCellAnchor>
  <xdr:twoCellAnchor editAs="oneCell">
    <xdr:from>
      <xdr:col>2</xdr:col>
      <xdr:colOff>182842</xdr:colOff>
      <xdr:row>10</xdr:row>
      <xdr:rowOff>37089</xdr:rowOff>
    </xdr:from>
    <xdr:to>
      <xdr:col>2</xdr:col>
      <xdr:colOff>2089747</xdr:colOff>
      <xdr:row>10</xdr:row>
      <xdr:rowOff>599064</xdr:rowOff>
    </xdr:to>
    <xdr:pic>
      <xdr:nvPicPr>
        <xdr:cNvPr id="42" name="Picture 41">
          <a:extLst>
            <a:ext uri="{FF2B5EF4-FFF2-40B4-BE49-F238E27FC236}">
              <a16:creationId xmlns:a16="http://schemas.microsoft.com/office/drawing/2014/main" id="{00000000-0008-0000-0D00-00002A000000}"/>
            </a:ext>
          </a:extLst>
        </xdr:cNvPr>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6821184" y="6393569"/>
          <a:ext cx="1906905" cy="561975"/>
        </a:xfrm>
        <a:prstGeom prst="rect">
          <a:avLst/>
        </a:prstGeom>
      </xdr:spPr>
    </xdr:pic>
    <xdr:clientData/>
  </xdr:twoCellAnchor>
  <xdr:twoCellAnchor editAs="oneCell">
    <xdr:from>
      <xdr:col>2</xdr:col>
      <xdr:colOff>179732</xdr:colOff>
      <xdr:row>11</xdr:row>
      <xdr:rowOff>14540</xdr:rowOff>
    </xdr:from>
    <xdr:to>
      <xdr:col>2</xdr:col>
      <xdr:colOff>2086637</xdr:colOff>
      <xdr:row>11</xdr:row>
      <xdr:rowOff>576515</xdr:rowOff>
    </xdr:to>
    <xdr:pic>
      <xdr:nvPicPr>
        <xdr:cNvPr id="43" name="Picture 42">
          <a:extLst>
            <a:ext uri="{FF2B5EF4-FFF2-40B4-BE49-F238E27FC236}">
              <a16:creationId xmlns:a16="http://schemas.microsoft.com/office/drawing/2014/main" id="{00000000-0008-0000-0D00-00002B000000}"/>
            </a:ext>
          </a:extLst>
        </xdr:cNvPr>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6818074" y="7148571"/>
          <a:ext cx="1906905" cy="561975"/>
        </a:xfrm>
        <a:prstGeom prst="rect">
          <a:avLst/>
        </a:prstGeom>
      </xdr:spPr>
    </xdr:pic>
    <xdr:clientData/>
  </xdr:twoCellAnchor>
  <xdr:oneCellAnchor>
    <xdr:from>
      <xdr:col>2</xdr:col>
      <xdr:colOff>349898</xdr:colOff>
      <xdr:row>39</xdr:row>
      <xdr:rowOff>194388</xdr:rowOff>
    </xdr:from>
    <xdr:ext cx="1396763" cy="466634"/>
    <xdr:pic>
      <xdr:nvPicPr>
        <xdr:cNvPr id="44" name="Picture 43">
          <a:extLst>
            <a:ext uri="{FF2B5EF4-FFF2-40B4-BE49-F238E27FC236}">
              <a16:creationId xmlns:a16="http://schemas.microsoft.com/office/drawing/2014/main" id="{00000000-0008-0000-0D00-00002C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988240" y="29099847"/>
          <a:ext cx="1396763" cy="466634"/>
        </a:xfrm>
        <a:prstGeom prst="rect">
          <a:avLst/>
        </a:prstGeom>
      </xdr:spPr>
    </xdr:pic>
    <xdr:clientData/>
  </xdr:oneCellAnchor>
  <xdr:oneCellAnchor>
    <xdr:from>
      <xdr:col>2</xdr:col>
      <xdr:colOff>367393</xdr:colOff>
      <xdr:row>40</xdr:row>
      <xdr:rowOff>217714</xdr:rowOff>
    </xdr:from>
    <xdr:ext cx="1396763" cy="466634"/>
    <xdr:pic>
      <xdr:nvPicPr>
        <xdr:cNvPr id="45" name="Picture 44">
          <a:extLst>
            <a:ext uri="{FF2B5EF4-FFF2-40B4-BE49-F238E27FC236}">
              <a16:creationId xmlns:a16="http://schemas.microsoft.com/office/drawing/2014/main" id="{00000000-0008-0000-0D00-00002D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007679" y="29826857"/>
          <a:ext cx="1396763" cy="466634"/>
        </a:xfrm>
        <a:prstGeom prst="rect">
          <a:avLst/>
        </a:prstGeom>
      </xdr:spPr>
    </xdr:pic>
    <xdr:clientData/>
  </xdr:oneCellAnchor>
  <xdr:oneCellAnchor>
    <xdr:from>
      <xdr:col>2</xdr:col>
      <xdr:colOff>449036</xdr:colOff>
      <xdr:row>41</xdr:row>
      <xdr:rowOff>95251</xdr:rowOff>
    </xdr:from>
    <xdr:ext cx="1396763" cy="466634"/>
    <xdr:pic>
      <xdr:nvPicPr>
        <xdr:cNvPr id="46" name="Picture 45">
          <a:extLst>
            <a:ext uri="{FF2B5EF4-FFF2-40B4-BE49-F238E27FC236}">
              <a16:creationId xmlns:a16="http://schemas.microsoft.com/office/drawing/2014/main" id="{00000000-0008-0000-0D00-00002E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089322" y="30480001"/>
          <a:ext cx="1396763" cy="466634"/>
        </a:xfrm>
        <a:prstGeom prst="rect">
          <a:avLst/>
        </a:prstGeom>
      </xdr:spPr>
    </xdr:pic>
    <xdr:clientData/>
  </xdr:oneCellAnchor>
  <xdr:oneCellAnchor>
    <xdr:from>
      <xdr:col>2</xdr:col>
      <xdr:colOff>0</xdr:colOff>
      <xdr:row>42</xdr:row>
      <xdr:rowOff>0</xdr:rowOff>
    </xdr:from>
    <xdr:ext cx="1396763" cy="466634"/>
    <xdr:pic>
      <xdr:nvPicPr>
        <xdr:cNvPr id="47" name="Picture 46">
          <a:extLst>
            <a:ext uri="{FF2B5EF4-FFF2-40B4-BE49-F238E27FC236}">
              <a16:creationId xmlns:a16="http://schemas.microsoft.com/office/drawing/2014/main" id="{00000000-0008-0000-0D00-00002F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1160357"/>
          <a:ext cx="1396763" cy="466634"/>
        </a:xfrm>
        <a:prstGeom prst="rect">
          <a:avLst/>
        </a:prstGeom>
      </xdr:spPr>
    </xdr:pic>
    <xdr:clientData/>
  </xdr:oneCellAnchor>
  <xdr:oneCellAnchor>
    <xdr:from>
      <xdr:col>2</xdr:col>
      <xdr:colOff>0</xdr:colOff>
      <xdr:row>43</xdr:row>
      <xdr:rowOff>0</xdr:rowOff>
    </xdr:from>
    <xdr:ext cx="1396763" cy="466634"/>
    <xdr:pic>
      <xdr:nvPicPr>
        <xdr:cNvPr id="48" name="Picture 47">
          <a:extLst>
            <a:ext uri="{FF2B5EF4-FFF2-40B4-BE49-F238E27FC236}">
              <a16:creationId xmlns:a16="http://schemas.microsoft.com/office/drawing/2014/main" id="{00000000-0008-0000-0D00-000030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1935964"/>
          <a:ext cx="1396763" cy="466634"/>
        </a:xfrm>
        <a:prstGeom prst="rect">
          <a:avLst/>
        </a:prstGeom>
      </xdr:spPr>
    </xdr:pic>
    <xdr:clientData/>
  </xdr:oneCellAnchor>
  <xdr:oneCellAnchor>
    <xdr:from>
      <xdr:col>2</xdr:col>
      <xdr:colOff>0</xdr:colOff>
      <xdr:row>44</xdr:row>
      <xdr:rowOff>0</xdr:rowOff>
    </xdr:from>
    <xdr:ext cx="1396763" cy="466634"/>
    <xdr:pic>
      <xdr:nvPicPr>
        <xdr:cNvPr id="49" name="Picture 48">
          <a:extLst>
            <a:ext uri="{FF2B5EF4-FFF2-40B4-BE49-F238E27FC236}">
              <a16:creationId xmlns:a16="http://schemas.microsoft.com/office/drawing/2014/main" id="{00000000-0008-0000-0D00-000031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2711571"/>
          <a:ext cx="1396763" cy="466634"/>
        </a:xfrm>
        <a:prstGeom prst="rect">
          <a:avLst/>
        </a:prstGeom>
      </xdr:spPr>
    </xdr:pic>
    <xdr:clientData/>
  </xdr:oneCellAnchor>
  <xdr:oneCellAnchor>
    <xdr:from>
      <xdr:col>2</xdr:col>
      <xdr:colOff>0</xdr:colOff>
      <xdr:row>45</xdr:row>
      <xdr:rowOff>0</xdr:rowOff>
    </xdr:from>
    <xdr:ext cx="1396763" cy="466634"/>
    <xdr:pic>
      <xdr:nvPicPr>
        <xdr:cNvPr id="50" name="Picture 49">
          <a:extLst>
            <a:ext uri="{FF2B5EF4-FFF2-40B4-BE49-F238E27FC236}">
              <a16:creationId xmlns:a16="http://schemas.microsoft.com/office/drawing/2014/main" id="{00000000-0008-0000-0D00-000032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3487179"/>
          <a:ext cx="1396763" cy="466634"/>
        </a:xfrm>
        <a:prstGeom prst="rect">
          <a:avLst/>
        </a:prstGeom>
      </xdr:spPr>
    </xdr:pic>
    <xdr:clientData/>
  </xdr:oneCellAnchor>
  <xdr:oneCellAnchor>
    <xdr:from>
      <xdr:col>2</xdr:col>
      <xdr:colOff>0</xdr:colOff>
      <xdr:row>46</xdr:row>
      <xdr:rowOff>0</xdr:rowOff>
    </xdr:from>
    <xdr:ext cx="1396763" cy="466634"/>
    <xdr:pic>
      <xdr:nvPicPr>
        <xdr:cNvPr id="51" name="Picture 50">
          <a:extLst>
            <a:ext uri="{FF2B5EF4-FFF2-40B4-BE49-F238E27FC236}">
              <a16:creationId xmlns:a16="http://schemas.microsoft.com/office/drawing/2014/main" id="{00000000-0008-0000-0D00-000033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4262786"/>
          <a:ext cx="1396763" cy="466634"/>
        </a:xfrm>
        <a:prstGeom prst="rect">
          <a:avLst/>
        </a:prstGeom>
      </xdr:spPr>
    </xdr:pic>
    <xdr:clientData/>
  </xdr:oneCellAnchor>
  <xdr:oneCellAnchor>
    <xdr:from>
      <xdr:col>2</xdr:col>
      <xdr:colOff>0</xdr:colOff>
      <xdr:row>47</xdr:row>
      <xdr:rowOff>0</xdr:rowOff>
    </xdr:from>
    <xdr:ext cx="1396763" cy="466634"/>
    <xdr:pic>
      <xdr:nvPicPr>
        <xdr:cNvPr id="52" name="Picture 51">
          <a:extLst>
            <a:ext uri="{FF2B5EF4-FFF2-40B4-BE49-F238E27FC236}">
              <a16:creationId xmlns:a16="http://schemas.microsoft.com/office/drawing/2014/main" id="{00000000-0008-0000-0D00-000034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5038393"/>
          <a:ext cx="1396763" cy="466634"/>
        </a:xfrm>
        <a:prstGeom prst="rect">
          <a:avLst/>
        </a:prstGeom>
      </xdr:spPr>
    </xdr:pic>
    <xdr:clientData/>
  </xdr:oneCellAnchor>
  <xdr:oneCellAnchor>
    <xdr:from>
      <xdr:col>2</xdr:col>
      <xdr:colOff>0</xdr:colOff>
      <xdr:row>52</xdr:row>
      <xdr:rowOff>0</xdr:rowOff>
    </xdr:from>
    <xdr:ext cx="1396763" cy="466634"/>
    <xdr:pic>
      <xdr:nvPicPr>
        <xdr:cNvPr id="57" name="Picture 56">
          <a:extLst>
            <a:ext uri="{FF2B5EF4-FFF2-40B4-BE49-F238E27FC236}">
              <a16:creationId xmlns:a16="http://schemas.microsoft.com/office/drawing/2014/main" id="{00000000-0008-0000-0D00-000039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8916429"/>
          <a:ext cx="1396763" cy="466634"/>
        </a:xfrm>
        <a:prstGeom prst="rect">
          <a:avLst/>
        </a:prstGeom>
      </xdr:spPr>
    </xdr:pic>
    <xdr:clientData/>
  </xdr:oneCellAnchor>
  <xdr:oneCellAnchor>
    <xdr:from>
      <xdr:col>2</xdr:col>
      <xdr:colOff>0</xdr:colOff>
      <xdr:row>53</xdr:row>
      <xdr:rowOff>0</xdr:rowOff>
    </xdr:from>
    <xdr:ext cx="1396763" cy="466634"/>
    <xdr:pic>
      <xdr:nvPicPr>
        <xdr:cNvPr id="58" name="Picture 57">
          <a:extLst>
            <a:ext uri="{FF2B5EF4-FFF2-40B4-BE49-F238E27FC236}">
              <a16:creationId xmlns:a16="http://schemas.microsoft.com/office/drawing/2014/main" id="{00000000-0008-0000-0D00-00003A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39692036"/>
          <a:ext cx="1396763" cy="466634"/>
        </a:xfrm>
        <a:prstGeom prst="rect">
          <a:avLst/>
        </a:prstGeom>
      </xdr:spPr>
    </xdr:pic>
    <xdr:clientData/>
  </xdr:oneCellAnchor>
  <xdr:oneCellAnchor>
    <xdr:from>
      <xdr:col>2</xdr:col>
      <xdr:colOff>0</xdr:colOff>
      <xdr:row>54</xdr:row>
      <xdr:rowOff>0</xdr:rowOff>
    </xdr:from>
    <xdr:ext cx="1396763" cy="466634"/>
    <xdr:pic>
      <xdr:nvPicPr>
        <xdr:cNvPr id="59" name="Picture 58">
          <a:extLst>
            <a:ext uri="{FF2B5EF4-FFF2-40B4-BE49-F238E27FC236}">
              <a16:creationId xmlns:a16="http://schemas.microsoft.com/office/drawing/2014/main" id="{00000000-0008-0000-0D00-00003B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0467643"/>
          <a:ext cx="1396763" cy="466634"/>
        </a:xfrm>
        <a:prstGeom prst="rect">
          <a:avLst/>
        </a:prstGeom>
      </xdr:spPr>
    </xdr:pic>
    <xdr:clientData/>
  </xdr:oneCellAnchor>
  <xdr:oneCellAnchor>
    <xdr:from>
      <xdr:col>2</xdr:col>
      <xdr:colOff>0</xdr:colOff>
      <xdr:row>55</xdr:row>
      <xdr:rowOff>0</xdr:rowOff>
    </xdr:from>
    <xdr:ext cx="1396763" cy="466634"/>
    <xdr:pic>
      <xdr:nvPicPr>
        <xdr:cNvPr id="60" name="Picture 59">
          <a:extLst>
            <a:ext uri="{FF2B5EF4-FFF2-40B4-BE49-F238E27FC236}">
              <a16:creationId xmlns:a16="http://schemas.microsoft.com/office/drawing/2014/main" id="{00000000-0008-0000-0D00-00003C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1243250"/>
          <a:ext cx="1396763" cy="466634"/>
        </a:xfrm>
        <a:prstGeom prst="rect">
          <a:avLst/>
        </a:prstGeom>
      </xdr:spPr>
    </xdr:pic>
    <xdr:clientData/>
  </xdr:oneCellAnchor>
  <xdr:oneCellAnchor>
    <xdr:from>
      <xdr:col>2</xdr:col>
      <xdr:colOff>0</xdr:colOff>
      <xdr:row>56</xdr:row>
      <xdr:rowOff>0</xdr:rowOff>
    </xdr:from>
    <xdr:ext cx="1396763" cy="466634"/>
    <xdr:pic>
      <xdr:nvPicPr>
        <xdr:cNvPr id="61" name="Picture 60">
          <a:extLst>
            <a:ext uri="{FF2B5EF4-FFF2-40B4-BE49-F238E27FC236}">
              <a16:creationId xmlns:a16="http://schemas.microsoft.com/office/drawing/2014/main" id="{00000000-0008-0000-0D00-00003D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2018857"/>
          <a:ext cx="1396763" cy="466634"/>
        </a:xfrm>
        <a:prstGeom prst="rect">
          <a:avLst/>
        </a:prstGeom>
      </xdr:spPr>
    </xdr:pic>
    <xdr:clientData/>
  </xdr:oneCellAnchor>
  <xdr:oneCellAnchor>
    <xdr:from>
      <xdr:col>2</xdr:col>
      <xdr:colOff>0</xdr:colOff>
      <xdr:row>57</xdr:row>
      <xdr:rowOff>0</xdr:rowOff>
    </xdr:from>
    <xdr:ext cx="1396763" cy="466634"/>
    <xdr:pic>
      <xdr:nvPicPr>
        <xdr:cNvPr id="62" name="Picture 61">
          <a:extLst>
            <a:ext uri="{FF2B5EF4-FFF2-40B4-BE49-F238E27FC236}">
              <a16:creationId xmlns:a16="http://schemas.microsoft.com/office/drawing/2014/main" id="{00000000-0008-0000-0D00-00003E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2794464"/>
          <a:ext cx="1396763" cy="466634"/>
        </a:xfrm>
        <a:prstGeom prst="rect">
          <a:avLst/>
        </a:prstGeom>
      </xdr:spPr>
    </xdr:pic>
    <xdr:clientData/>
  </xdr:oneCellAnchor>
  <xdr:oneCellAnchor>
    <xdr:from>
      <xdr:col>2</xdr:col>
      <xdr:colOff>0</xdr:colOff>
      <xdr:row>58</xdr:row>
      <xdr:rowOff>0</xdr:rowOff>
    </xdr:from>
    <xdr:ext cx="1396763" cy="466634"/>
    <xdr:pic>
      <xdr:nvPicPr>
        <xdr:cNvPr id="63" name="Picture 62">
          <a:extLst>
            <a:ext uri="{FF2B5EF4-FFF2-40B4-BE49-F238E27FC236}">
              <a16:creationId xmlns:a16="http://schemas.microsoft.com/office/drawing/2014/main" id="{00000000-0008-0000-0D00-00003F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3570071"/>
          <a:ext cx="1396763" cy="466634"/>
        </a:xfrm>
        <a:prstGeom prst="rect">
          <a:avLst/>
        </a:prstGeom>
      </xdr:spPr>
    </xdr:pic>
    <xdr:clientData/>
  </xdr:oneCellAnchor>
  <xdr:oneCellAnchor>
    <xdr:from>
      <xdr:col>2</xdr:col>
      <xdr:colOff>0</xdr:colOff>
      <xdr:row>59</xdr:row>
      <xdr:rowOff>0</xdr:rowOff>
    </xdr:from>
    <xdr:ext cx="1396763" cy="466634"/>
    <xdr:pic>
      <xdr:nvPicPr>
        <xdr:cNvPr id="64" name="Picture 63">
          <a:extLst>
            <a:ext uri="{FF2B5EF4-FFF2-40B4-BE49-F238E27FC236}">
              <a16:creationId xmlns:a16="http://schemas.microsoft.com/office/drawing/2014/main" id="{00000000-0008-0000-0D00-000040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4345679"/>
          <a:ext cx="1396763" cy="466634"/>
        </a:xfrm>
        <a:prstGeom prst="rect">
          <a:avLst/>
        </a:prstGeom>
      </xdr:spPr>
    </xdr:pic>
    <xdr:clientData/>
  </xdr:oneCellAnchor>
  <xdr:oneCellAnchor>
    <xdr:from>
      <xdr:col>2</xdr:col>
      <xdr:colOff>0</xdr:colOff>
      <xdr:row>60</xdr:row>
      <xdr:rowOff>0</xdr:rowOff>
    </xdr:from>
    <xdr:ext cx="1396763" cy="466634"/>
    <xdr:pic>
      <xdr:nvPicPr>
        <xdr:cNvPr id="65" name="Picture 64">
          <a:extLst>
            <a:ext uri="{FF2B5EF4-FFF2-40B4-BE49-F238E27FC236}">
              <a16:creationId xmlns:a16="http://schemas.microsoft.com/office/drawing/2014/main" id="{00000000-0008-0000-0D00-000041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5121286"/>
          <a:ext cx="1396763" cy="466634"/>
        </a:xfrm>
        <a:prstGeom prst="rect">
          <a:avLst/>
        </a:prstGeom>
      </xdr:spPr>
    </xdr:pic>
    <xdr:clientData/>
  </xdr:oneCellAnchor>
  <xdr:oneCellAnchor>
    <xdr:from>
      <xdr:col>2</xdr:col>
      <xdr:colOff>0</xdr:colOff>
      <xdr:row>61</xdr:row>
      <xdr:rowOff>0</xdr:rowOff>
    </xdr:from>
    <xdr:ext cx="1396763" cy="466634"/>
    <xdr:pic>
      <xdr:nvPicPr>
        <xdr:cNvPr id="66" name="Picture 65">
          <a:extLst>
            <a:ext uri="{FF2B5EF4-FFF2-40B4-BE49-F238E27FC236}">
              <a16:creationId xmlns:a16="http://schemas.microsoft.com/office/drawing/2014/main" id="{00000000-0008-0000-0D00-000042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5896893"/>
          <a:ext cx="1396763" cy="466634"/>
        </a:xfrm>
        <a:prstGeom prst="rect">
          <a:avLst/>
        </a:prstGeom>
      </xdr:spPr>
    </xdr:pic>
    <xdr:clientData/>
  </xdr:oneCellAnchor>
  <xdr:oneCellAnchor>
    <xdr:from>
      <xdr:col>2</xdr:col>
      <xdr:colOff>0</xdr:colOff>
      <xdr:row>62</xdr:row>
      <xdr:rowOff>0</xdr:rowOff>
    </xdr:from>
    <xdr:ext cx="1396763" cy="466634"/>
    <xdr:pic>
      <xdr:nvPicPr>
        <xdr:cNvPr id="67" name="Picture 66">
          <a:extLst>
            <a:ext uri="{FF2B5EF4-FFF2-40B4-BE49-F238E27FC236}">
              <a16:creationId xmlns:a16="http://schemas.microsoft.com/office/drawing/2014/main" id="{00000000-0008-0000-0D00-000043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6672500"/>
          <a:ext cx="1396763" cy="466634"/>
        </a:xfrm>
        <a:prstGeom prst="rect">
          <a:avLst/>
        </a:prstGeom>
      </xdr:spPr>
    </xdr:pic>
    <xdr:clientData/>
  </xdr:oneCellAnchor>
  <xdr:oneCellAnchor>
    <xdr:from>
      <xdr:col>2</xdr:col>
      <xdr:colOff>0</xdr:colOff>
      <xdr:row>63</xdr:row>
      <xdr:rowOff>0</xdr:rowOff>
    </xdr:from>
    <xdr:ext cx="1396763" cy="466634"/>
    <xdr:pic>
      <xdr:nvPicPr>
        <xdr:cNvPr id="68" name="Picture 67">
          <a:extLst>
            <a:ext uri="{FF2B5EF4-FFF2-40B4-BE49-F238E27FC236}">
              <a16:creationId xmlns:a16="http://schemas.microsoft.com/office/drawing/2014/main" id="{00000000-0008-0000-0D00-000044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7448107"/>
          <a:ext cx="1396763" cy="466634"/>
        </a:xfrm>
        <a:prstGeom prst="rect">
          <a:avLst/>
        </a:prstGeom>
      </xdr:spPr>
    </xdr:pic>
    <xdr:clientData/>
  </xdr:oneCellAnchor>
  <xdr:oneCellAnchor>
    <xdr:from>
      <xdr:col>2</xdr:col>
      <xdr:colOff>0</xdr:colOff>
      <xdr:row>64</xdr:row>
      <xdr:rowOff>0</xdr:rowOff>
    </xdr:from>
    <xdr:ext cx="1396763" cy="466634"/>
    <xdr:pic>
      <xdr:nvPicPr>
        <xdr:cNvPr id="69" name="Picture 68">
          <a:extLst>
            <a:ext uri="{FF2B5EF4-FFF2-40B4-BE49-F238E27FC236}">
              <a16:creationId xmlns:a16="http://schemas.microsoft.com/office/drawing/2014/main" id="{00000000-0008-0000-0D00-000045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8223714"/>
          <a:ext cx="1396763" cy="466634"/>
        </a:xfrm>
        <a:prstGeom prst="rect">
          <a:avLst/>
        </a:prstGeom>
      </xdr:spPr>
    </xdr:pic>
    <xdr:clientData/>
  </xdr:oneCellAnchor>
  <xdr:oneCellAnchor>
    <xdr:from>
      <xdr:col>2</xdr:col>
      <xdr:colOff>0</xdr:colOff>
      <xdr:row>65</xdr:row>
      <xdr:rowOff>0</xdr:rowOff>
    </xdr:from>
    <xdr:ext cx="1396763" cy="466634"/>
    <xdr:pic>
      <xdr:nvPicPr>
        <xdr:cNvPr id="70" name="Picture 69">
          <a:extLst>
            <a:ext uri="{FF2B5EF4-FFF2-40B4-BE49-F238E27FC236}">
              <a16:creationId xmlns:a16="http://schemas.microsoft.com/office/drawing/2014/main" id="{00000000-0008-0000-0D00-000046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8999321"/>
          <a:ext cx="1396763" cy="466634"/>
        </a:xfrm>
        <a:prstGeom prst="rect">
          <a:avLst/>
        </a:prstGeom>
      </xdr:spPr>
    </xdr:pic>
    <xdr:clientData/>
  </xdr:oneCellAnchor>
  <xdr:oneCellAnchor>
    <xdr:from>
      <xdr:col>2</xdr:col>
      <xdr:colOff>0</xdr:colOff>
      <xdr:row>66</xdr:row>
      <xdr:rowOff>0</xdr:rowOff>
    </xdr:from>
    <xdr:ext cx="1396763" cy="466634"/>
    <xdr:pic>
      <xdr:nvPicPr>
        <xdr:cNvPr id="71" name="Picture 70">
          <a:extLst>
            <a:ext uri="{FF2B5EF4-FFF2-40B4-BE49-F238E27FC236}">
              <a16:creationId xmlns:a16="http://schemas.microsoft.com/office/drawing/2014/main" id="{00000000-0008-0000-0D00-000047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49774929"/>
          <a:ext cx="1396763" cy="466634"/>
        </a:xfrm>
        <a:prstGeom prst="rect">
          <a:avLst/>
        </a:prstGeom>
      </xdr:spPr>
    </xdr:pic>
    <xdr:clientData/>
  </xdr:oneCellAnchor>
  <xdr:oneCellAnchor>
    <xdr:from>
      <xdr:col>2</xdr:col>
      <xdr:colOff>0</xdr:colOff>
      <xdr:row>67</xdr:row>
      <xdr:rowOff>0</xdr:rowOff>
    </xdr:from>
    <xdr:ext cx="1396763" cy="466634"/>
    <xdr:pic>
      <xdr:nvPicPr>
        <xdr:cNvPr id="72" name="Picture 71">
          <a:extLst>
            <a:ext uri="{FF2B5EF4-FFF2-40B4-BE49-F238E27FC236}">
              <a16:creationId xmlns:a16="http://schemas.microsoft.com/office/drawing/2014/main" id="{00000000-0008-0000-0D00-000048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50550536"/>
          <a:ext cx="1396763" cy="466634"/>
        </a:xfrm>
        <a:prstGeom prst="rect">
          <a:avLst/>
        </a:prstGeom>
      </xdr:spPr>
    </xdr:pic>
    <xdr:clientData/>
  </xdr:oneCellAnchor>
  <xdr:oneCellAnchor>
    <xdr:from>
      <xdr:col>2</xdr:col>
      <xdr:colOff>0</xdr:colOff>
      <xdr:row>68</xdr:row>
      <xdr:rowOff>0</xdr:rowOff>
    </xdr:from>
    <xdr:ext cx="1396763" cy="466634"/>
    <xdr:pic>
      <xdr:nvPicPr>
        <xdr:cNvPr id="73" name="Picture 72">
          <a:extLst>
            <a:ext uri="{FF2B5EF4-FFF2-40B4-BE49-F238E27FC236}">
              <a16:creationId xmlns:a16="http://schemas.microsoft.com/office/drawing/2014/main" id="{00000000-0008-0000-0D00-000049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51326143"/>
          <a:ext cx="1396763" cy="466634"/>
        </a:xfrm>
        <a:prstGeom prst="rect">
          <a:avLst/>
        </a:prstGeom>
      </xdr:spPr>
    </xdr:pic>
    <xdr:clientData/>
  </xdr:oneCellAnchor>
  <xdr:oneCellAnchor>
    <xdr:from>
      <xdr:col>2</xdr:col>
      <xdr:colOff>0</xdr:colOff>
      <xdr:row>69</xdr:row>
      <xdr:rowOff>0</xdr:rowOff>
    </xdr:from>
    <xdr:ext cx="1396763" cy="466634"/>
    <xdr:pic>
      <xdr:nvPicPr>
        <xdr:cNvPr id="74" name="Picture 73">
          <a:extLst>
            <a:ext uri="{FF2B5EF4-FFF2-40B4-BE49-F238E27FC236}">
              <a16:creationId xmlns:a16="http://schemas.microsoft.com/office/drawing/2014/main" id="{00000000-0008-0000-0D00-00004A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640286" y="52101750"/>
          <a:ext cx="1396763" cy="466634"/>
        </a:xfrm>
        <a:prstGeom prst="rect">
          <a:avLst/>
        </a:prstGeom>
      </xdr:spPr>
    </xdr:pic>
    <xdr:clientData/>
  </xdr:oneCellAnchor>
  <xdr:twoCellAnchor editAs="oneCell">
    <xdr:from>
      <xdr:col>2</xdr:col>
      <xdr:colOff>387117</xdr:colOff>
      <xdr:row>48</xdr:row>
      <xdr:rowOff>93760</xdr:rowOff>
    </xdr:from>
    <xdr:to>
      <xdr:col>2</xdr:col>
      <xdr:colOff>1708854</xdr:colOff>
      <xdr:row>48</xdr:row>
      <xdr:rowOff>557893</xdr:rowOff>
    </xdr:to>
    <xdr:pic>
      <xdr:nvPicPr>
        <xdr:cNvPr id="75" name="Picture 74">
          <a:extLst>
            <a:ext uri="{FF2B5EF4-FFF2-40B4-BE49-F238E27FC236}">
              <a16:creationId xmlns:a16="http://schemas.microsoft.com/office/drawing/2014/main" id="{00000000-0008-0000-0D00-00004B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707760" y="35907760"/>
          <a:ext cx="1321737" cy="464133"/>
        </a:xfrm>
        <a:prstGeom prst="rect">
          <a:avLst/>
        </a:prstGeom>
      </xdr:spPr>
    </xdr:pic>
    <xdr:clientData/>
  </xdr:twoCellAnchor>
  <xdr:oneCellAnchor>
    <xdr:from>
      <xdr:col>2</xdr:col>
      <xdr:colOff>408215</xdr:colOff>
      <xdr:row>51</xdr:row>
      <xdr:rowOff>163285</xdr:rowOff>
    </xdr:from>
    <xdr:ext cx="1234440" cy="462564"/>
    <xdr:pic>
      <xdr:nvPicPr>
        <xdr:cNvPr id="76" name="Picture 75">
          <a:extLst>
            <a:ext uri="{FF2B5EF4-FFF2-40B4-BE49-F238E27FC236}">
              <a16:creationId xmlns:a16="http://schemas.microsoft.com/office/drawing/2014/main" id="{00000000-0008-0000-0D00-00004C00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7728858" y="38304106"/>
          <a:ext cx="1234440" cy="462564"/>
        </a:xfrm>
        <a:prstGeom prst="rect">
          <a:avLst/>
        </a:prstGeom>
        <a:noFill/>
        <a:ln w="1">
          <a:noFill/>
          <a:miter lim="800000"/>
          <a:headEnd/>
          <a:tailEnd type="none" w="med" len="med"/>
        </a:ln>
        <a:effectLst/>
      </xdr:spPr>
    </xdr:pic>
    <xdr:clientData/>
  </xdr:oneCellAnchor>
  <xdr:twoCellAnchor editAs="oneCell">
    <xdr:from>
      <xdr:col>2</xdr:col>
      <xdr:colOff>503465</xdr:colOff>
      <xdr:row>50</xdr:row>
      <xdr:rowOff>98650</xdr:rowOff>
    </xdr:from>
    <xdr:to>
      <xdr:col>2</xdr:col>
      <xdr:colOff>1673679</xdr:colOff>
      <xdr:row>50</xdr:row>
      <xdr:rowOff>755899</xdr:rowOff>
    </xdr:to>
    <xdr:pic>
      <xdr:nvPicPr>
        <xdr:cNvPr id="77" name="Picture 76">
          <a:extLst>
            <a:ext uri="{FF2B5EF4-FFF2-40B4-BE49-F238E27FC236}">
              <a16:creationId xmlns:a16="http://schemas.microsoft.com/office/drawing/2014/main" id="{00000000-0008-0000-0D00-00004D000000}"/>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7824108" y="37463864"/>
          <a:ext cx="1170214" cy="657249"/>
        </a:xfrm>
        <a:prstGeom prst="rect">
          <a:avLst/>
        </a:prstGeom>
      </xdr:spPr>
    </xdr:pic>
    <xdr:clientData/>
  </xdr:twoCellAnchor>
  <xdr:oneCellAnchor>
    <xdr:from>
      <xdr:col>2</xdr:col>
      <xdr:colOff>619369</xdr:colOff>
      <xdr:row>3</xdr:row>
      <xdr:rowOff>49951</xdr:rowOff>
    </xdr:from>
    <xdr:ext cx="976068" cy="546468"/>
    <xdr:pic>
      <xdr:nvPicPr>
        <xdr:cNvPr id="80" name="Picture 79">
          <a:extLst>
            <a:ext uri="{FF2B5EF4-FFF2-40B4-BE49-F238E27FC236}">
              <a16:creationId xmlns:a16="http://schemas.microsoft.com/office/drawing/2014/main" id="{00000000-0008-0000-0D00-000050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7929807" y="1573951"/>
          <a:ext cx="976068" cy="546468"/>
        </a:xfrm>
        <a:prstGeom prst="rect">
          <a:avLst/>
        </a:prstGeom>
      </xdr:spPr>
    </xdr:pic>
    <xdr:clientData/>
  </xdr:oneCellAnchor>
  <xdr:oneCellAnchor>
    <xdr:from>
      <xdr:col>2</xdr:col>
      <xdr:colOff>642937</xdr:colOff>
      <xdr:row>4</xdr:row>
      <xdr:rowOff>95250</xdr:rowOff>
    </xdr:from>
    <xdr:ext cx="976068" cy="546468"/>
    <xdr:pic>
      <xdr:nvPicPr>
        <xdr:cNvPr id="81" name="Picture 80">
          <a:extLst>
            <a:ext uri="{FF2B5EF4-FFF2-40B4-BE49-F238E27FC236}">
              <a16:creationId xmlns:a16="http://schemas.microsoft.com/office/drawing/2014/main" id="{00000000-0008-0000-0D00-000051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7953375" y="2286000"/>
          <a:ext cx="976068" cy="546468"/>
        </a:xfrm>
        <a:prstGeom prst="rect">
          <a:avLst/>
        </a:prstGeom>
      </xdr:spPr>
    </xdr:pic>
    <xdr:clientData/>
  </xdr:oneCellAnchor>
  <xdr:oneCellAnchor>
    <xdr:from>
      <xdr:col>2</xdr:col>
      <xdr:colOff>642938</xdr:colOff>
      <xdr:row>6</xdr:row>
      <xdr:rowOff>142875</xdr:rowOff>
    </xdr:from>
    <xdr:ext cx="976068" cy="546468"/>
    <xdr:pic>
      <xdr:nvPicPr>
        <xdr:cNvPr id="82" name="Picture 81">
          <a:extLst>
            <a:ext uri="{FF2B5EF4-FFF2-40B4-BE49-F238E27FC236}">
              <a16:creationId xmlns:a16="http://schemas.microsoft.com/office/drawing/2014/main" id="{00000000-0008-0000-0D00-000052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7953376" y="3857625"/>
          <a:ext cx="976068" cy="546468"/>
        </a:xfrm>
        <a:prstGeom prst="rect">
          <a:avLst/>
        </a:prstGeom>
      </xdr:spPr>
    </xdr:pic>
    <xdr:clientData/>
  </xdr:oneCellAnchor>
  <xdr:oneCellAnchor>
    <xdr:from>
      <xdr:col>2</xdr:col>
      <xdr:colOff>631031</xdr:colOff>
      <xdr:row>7</xdr:row>
      <xdr:rowOff>119062</xdr:rowOff>
    </xdr:from>
    <xdr:ext cx="976068" cy="546468"/>
    <xdr:pic>
      <xdr:nvPicPr>
        <xdr:cNvPr id="83" name="Picture 82">
          <a:extLst>
            <a:ext uri="{FF2B5EF4-FFF2-40B4-BE49-F238E27FC236}">
              <a16:creationId xmlns:a16="http://schemas.microsoft.com/office/drawing/2014/main" id="{00000000-0008-0000-0D00-000053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7941469" y="4619625"/>
          <a:ext cx="976068" cy="546468"/>
        </a:xfrm>
        <a:prstGeom prst="rect">
          <a:avLst/>
        </a:prstGeom>
      </xdr:spPr>
    </xdr:pic>
    <xdr:clientData/>
  </xdr:oneCellAnchor>
  <xdr:oneCellAnchor>
    <xdr:from>
      <xdr:col>2</xdr:col>
      <xdr:colOff>678656</xdr:colOff>
      <xdr:row>2</xdr:row>
      <xdr:rowOff>142874</xdr:rowOff>
    </xdr:from>
    <xdr:ext cx="976068" cy="546468"/>
    <xdr:pic>
      <xdr:nvPicPr>
        <xdr:cNvPr id="84" name="Picture 83">
          <a:extLst>
            <a:ext uri="{FF2B5EF4-FFF2-40B4-BE49-F238E27FC236}">
              <a16:creationId xmlns:a16="http://schemas.microsoft.com/office/drawing/2014/main" id="{00000000-0008-0000-0D00-000054000000}"/>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7989094" y="1131093"/>
          <a:ext cx="976068" cy="546468"/>
        </a:xfrm>
        <a:prstGeom prst="rect">
          <a:avLst/>
        </a:prstGeom>
      </xdr:spPr>
    </xdr:pic>
    <xdr:clientData/>
  </xdr:oneCellAnchor>
  <xdr:twoCellAnchor editAs="oneCell">
    <xdr:from>
      <xdr:col>4</xdr:col>
      <xdr:colOff>0</xdr:colOff>
      <xdr:row>29</xdr:row>
      <xdr:rowOff>0</xdr:rowOff>
    </xdr:from>
    <xdr:to>
      <xdr:col>6</xdr:col>
      <xdr:colOff>175182</xdr:colOff>
      <xdr:row>29</xdr:row>
      <xdr:rowOff>469809</xdr:rowOff>
    </xdr:to>
    <xdr:pic>
      <xdr:nvPicPr>
        <xdr:cNvPr id="96" name="Picture 95">
          <a:extLst>
            <a:ext uri="{FF2B5EF4-FFF2-40B4-BE49-F238E27FC236}">
              <a16:creationId xmlns:a16="http://schemas.microsoft.com/office/drawing/2014/main" id="{00000000-0008-0000-0D00-000060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658100" y="18764250"/>
          <a:ext cx="1396763" cy="469809"/>
        </a:xfrm>
        <a:prstGeom prst="rect">
          <a:avLst/>
        </a:prstGeom>
      </xdr:spPr>
    </xdr:pic>
    <xdr:clientData/>
  </xdr:twoCellAnchor>
  <xdr:twoCellAnchor editAs="oneCell">
    <xdr:from>
      <xdr:col>4</xdr:col>
      <xdr:colOff>0</xdr:colOff>
      <xdr:row>29</xdr:row>
      <xdr:rowOff>0</xdr:rowOff>
    </xdr:from>
    <xdr:to>
      <xdr:col>6</xdr:col>
      <xdr:colOff>175182</xdr:colOff>
      <xdr:row>29</xdr:row>
      <xdr:rowOff>469809</xdr:rowOff>
    </xdr:to>
    <xdr:pic>
      <xdr:nvPicPr>
        <xdr:cNvPr id="98" name="Picture 97">
          <a:extLst>
            <a:ext uri="{FF2B5EF4-FFF2-40B4-BE49-F238E27FC236}">
              <a16:creationId xmlns:a16="http://schemas.microsoft.com/office/drawing/2014/main" id="{00000000-0008-0000-0D00-000062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810500" y="18764250"/>
          <a:ext cx="1396763" cy="469809"/>
        </a:xfrm>
        <a:prstGeom prst="rect">
          <a:avLst/>
        </a:prstGeom>
      </xdr:spPr>
    </xdr:pic>
    <xdr:clientData/>
  </xdr:twoCellAnchor>
  <xdr:twoCellAnchor editAs="oneCell">
    <xdr:from>
      <xdr:col>4</xdr:col>
      <xdr:colOff>0</xdr:colOff>
      <xdr:row>29</xdr:row>
      <xdr:rowOff>0</xdr:rowOff>
    </xdr:from>
    <xdr:to>
      <xdr:col>6</xdr:col>
      <xdr:colOff>175182</xdr:colOff>
      <xdr:row>29</xdr:row>
      <xdr:rowOff>469809</xdr:rowOff>
    </xdr:to>
    <xdr:pic>
      <xdr:nvPicPr>
        <xdr:cNvPr id="104" name="Picture 103">
          <a:extLst>
            <a:ext uri="{FF2B5EF4-FFF2-40B4-BE49-F238E27FC236}">
              <a16:creationId xmlns:a16="http://schemas.microsoft.com/office/drawing/2014/main" id="{00000000-0008-0000-0D00-000068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696614" y="18764250"/>
          <a:ext cx="1396763" cy="469809"/>
        </a:xfrm>
        <a:prstGeom prst="rect">
          <a:avLst/>
        </a:prstGeom>
      </xdr:spPr>
    </xdr:pic>
    <xdr:clientData/>
  </xdr:twoCellAnchor>
  <xdr:twoCellAnchor editAs="oneCell">
    <xdr:from>
      <xdr:col>4</xdr:col>
      <xdr:colOff>0</xdr:colOff>
      <xdr:row>29</xdr:row>
      <xdr:rowOff>0</xdr:rowOff>
    </xdr:from>
    <xdr:to>
      <xdr:col>6</xdr:col>
      <xdr:colOff>175182</xdr:colOff>
      <xdr:row>29</xdr:row>
      <xdr:rowOff>469809</xdr:rowOff>
    </xdr:to>
    <xdr:pic>
      <xdr:nvPicPr>
        <xdr:cNvPr id="105" name="Picture 104">
          <a:extLst>
            <a:ext uri="{FF2B5EF4-FFF2-40B4-BE49-F238E27FC236}">
              <a16:creationId xmlns:a16="http://schemas.microsoft.com/office/drawing/2014/main" id="{00000000-0008-0000-0D00-000069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675907" y="18764250"/>
          <a:ext cx="1396763" cy="469809"/>
        </a:xfrm>
        <a:prstGeom prst="rect">
          <a:avLst/>
        </a:prstGeom>
      </xdr:spPr>
    </xdr:pic>
    <xdr:clientData/>
  </xdr:twoCellAnchor>
  <xdr:twoCellAnchor editAs="oneCell">
    <xdr:from>
      <xdr:col>4</xdr:col>
      <xdr:colOff>0</xdr:colOff>
      <xdr:row>29</xdr:row>
      <xdr:rowOff>0</xdr:rowOff>
    </xdr:from>
    <xdr:to>
      <xdr:col>6</xdr:col>
      <xdr:colOff>175182</xdr:colOff>
      <xdr:row>29</xdr:row>
      <xdr:rowOff>469809</xdr:rowOff>
    </xdr:to>
    <xdr:pic>
      <xdr:nvPicPr>
        <xdr:cNvPr id="106" name="Picture 105">
          <a:extLst>
            <a:ext uri="{FF2B5EF4-FFF2-40B4-BE49-F238E27FC236}">
              <a16:creationId xmlns:a16="http://schemas.microsoft.com/office/drawing/2014/main" id="{00000000-0008-0000-0D00-00006A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18764250"/>
          <a:ext cx="1396763" cy="469809"/>
        </a:xfrm>
        <a:prstGeom prst="rect">
          <a:avLst/>
        </a:prstGeom>
      </xdr:spPr>
    </xdr:pic>
    <xdr:clientData/>
  </xdr:twoCellAnchor>
  <xdr:oneCellAnchor>
    <xdr:from>
      <xdr:col>4</xdr:col>
      <xdr:colOff>0</xdr:colOff>
      <xdr:row>29</xdr:row>
      <xdr:rowOff>0</xdr:rowOff>
    </xdr:from>
    <xdr:ext cx="1396763" cy="466634"/>
    <xdr:pic>
      <xdr:nvPicPr>
        <xdr:cNvPr id="116" name="Picture 115">
          <a:extLst>
            <a:ext uri="{FF2B5EF4-FFF2-40B4-BE49-F238E27FC236}">
              <a16:creationId xmlns:a16="http://schemas.microsoft.com/office/drawing/2014/main" id="{00000000-0008-0000-0D00-000074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18764250"/>
          <a:ext cx="1396763" cy="466634"/>
        </a:xfrm>
        <a:prstGeom prst="rect">
          <a:avLst/>
        </a:prstGeom>
      </xdr:spPr>
    </xdr:pic>
    <xdr:clientData/>
  </xdr:oneCellAnchor>
  <xdr:oneCellAnchor>
    <xdr:from>
      <xdr:col>4</xdr:col>
      <xdr:colOff>0</xdr:colOff>
      <xdr:row>29</xdr:row>
      <xdr:rowOff>0</xdr:rowOff>
    </xdr:from>
    <xdr:ext cx="1396763" cy="466634"/>
    <xdr:pic>
      <xdr:nvPicPr>
        <xdr:cNvPr id="117" name="Picture 116">
          <a:extLst>
            <a:ext uri="{FF2B5EF4-FFF2-40B4-BE49-F238E27FC236}">
              <a16:creationId xmlns:a16="http://schemas.microsoft.com/office/drawing/2014/main" id="{00000000-0008-0000-0D00-000075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18764250"/>
          <a:ext cx="1396763" cy="466634"/>
        </a:xfrm>
        <a:prstGeom prst="rect">
          <a:avLst/>
        </a:prstGeom>
      </xdr:spPr>
    </xdr:pic>
    <xdr:clientData/>
  </xdr:oneCellAnchor>
  <xdr:oneCellAnchor>
    <xdr:from>
      <xdr:col>4</xdr:col>
      <xdr:colOff>0</xdr:colOff>
      <xdr:row>29</xdr:row>
      <xdr:rowOff>0</xdr:rowOff>
    </xdr:from>
    <xdr:ext cx="1396763" cy="466634"/>
    <xdr:pic>
      <xdr:nvPicPr>
        <xdr:cNvPr id="118" name="Picture 117">
          <a:extLst>
            <a:ext uri="{FF2B5EF4-FFF2-40B4-BE49-F238E27FC236}">
              <a16:creationId xmlns:a16="http://schemas.microsoft.com/office/drawing/2014/main" id="{00000000-0008-0000-0D00-000076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18764250"/>
          <a:ext cx="1396763" cy="466634"/>
        </a:xfrm>
        <a:prstGeom prst="rect">
          <a:avLst/>
        </a:prstGeom>
      </xdr:spPr>
    </xdr:pic>
    <xdr:clientData/>
  </xdr:oneCellAnchor>
  <xdr:oneCellAnchor>
    <xdr:from>
      <xdr:col>4</xdr:col>
      <xdr:colOff>0</xdr:colOff>
      <xdr:row>32</xdr:row>
      <xdr:rowOff>0</xdr:rowOff>
    </xdr:from>
    <xdr:ext cx="1396763" cy="466634"/>
    <xdr:pic>
      <xdr:nvPicPr>
        <xdr:cNvPr id="119" name="Picture 118">
          <a:extLst>
            <a:ext uri="{FF2B5EF4-FFF2-40B4-BE49-F238E27FC236}">
              <a16:creationId xmlns:a16="http://schemas.microsoft.com/office/drawing/2014/main" id="{00000000-0008-0000-0D00-000077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21107400"/>
          <a:ext cx="1396763" cy="466634"/>
        </a:xfrm>
        <a:prstGeom prst="rect">
          <a:avLst/>
        </a:prstGeom>
      </xdr:spPr>
    </xdr:pic>
    <xdr:clientData/>
  </xdr:oneCellAnchor>
  <xdr:oneCellAnchor>
    <xdr:from>
      <xdr:col>4</xdr:col>
      <xdr:colOff>0</xdr:colOff>
      <xdr:row>32</xdr:row>
      <xdr:rowOff>0</xdr:rowOff>
    </xdr:from>
    <xdr:ext cx="1396763" cy="466634"/>
    <xdr:pic>
      <xdr:nvPicPr>
        <xdr:cNvPr id="120" name="Picture 119">
          <a:extLst>
            <a:ext uri="{FF2B5EF4-FFF2-40B4-BE49-F238E27FC236}">
              <a16:creationId xmlns:a16="http://schemas.microsoft.com/office/drawing/2014/main" id="{00000000-0008-0000-0D00-000078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21107400"/>
          <a:ext cx="1396763" cy="466634"/>
        </a:xfrm>
        <a:prstGeom prst="rect">
          <a:avLst/>
        </a:prstGeom>
      </xdr:spPr>
    </xdr:pic>
    <xdr:clientData/>
  </xdr:oneCellAnchor>
  <xdr:oneCellAnchor>
    <xdr:from>
      <xdr:col>4</xdr:col>
      <xdr:colOff>0</xdr:colOff>
      <xdr:row>32</xdr:row>
      <xdr:rowOff>0</xdr:rowOff>
    </xdr:from>
    <xdr:ext cx="1396763" cy="466634"/>
    <xdr:pic>
      <xdr:nvPicPr>
        <xdr:cNvPr id="121" name="Picture 120">
          <a:extLst>
            <a:ext uri="{FF2B5EF4-FFF2-40B4-BE49-F238E27FC236}">
              <a16:creationId xmlns:a16="http://schemas.microsoft.com/office/drawing/2014/main" id="{00000000-0008-0000-0D00-000079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21107400"/>
          <a:ext cx="1396763" cy="466634"/>
        </a:xfrm>
        <a:prstGeom prst="rect">
          <a:avLst/>
        </a:prstGeom>
      </xdr:spPr>
    </xdr:pic>
    <xdr:clientData/>
  </xdr:oneCellAnchor>
  <xdr:oneCellAnchor>
    <xdr:from>
      <xdr:col>4</xdr:col>
      <xdr:colOff>0</xdr:colOff>
      <xdr:row>32</xdr:row>
      <xdr:rowOff>0</xdr:rowOff>
    </xdr:from>
    <xdr:ext cx="1396763" cy="466634"/>
    <xdr:pic>
      <xdr:nvPicPr>
        <xdr:cNvPr id="122" name="Picture 121">
          <a:extLst>
            <a:ext uri="{FF2B5EF4-FFF2-40B4-BE49-F238E27FC236}">
              <a16:creationId xmlns:a16="http://schemas.microsoft.com/office/drawing/2014/main" id="{00000000-0008-0000-0D00-00007A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21107400"/>
          <a:ext cx="1396763" cy="466634"/>
        </a:xfrm>
        <a:prstGeom prst="rect">
          <a:avLst/>
        </a:prstGeom>
      </xdr:spPr>
    </xdr:pic>
    <xdr:clientData/>
  </xdr:oneCellAnchor>
  <xdr:oneCellAnchor>
    <xdr:from>
      <xdr:col>4</xdr:col>
      <xdr:colOff>0</xdr:colOff>
      <xdr:row>32</xdr:row>
      <xdr:rowOff>0</xdr:rowOff>
    </xdr:from>
    <xdr:ext cx="1396763" cy="466634"/>
    <xdr:pic>
      <xdr:nvPicPr>
        <xdr:cNvPr id="123" name="Picture 122">
          <a:extLst>
            <a:ext uri="{FF2B5EF4-FFF2-40B4-BE49-F238E27FC236}">
              <a16:creationId xmlns:a16="http://schemas.microsoft.com/office/drawing/2014/main" id="{00000000-0008-0000-0D00-00007B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21107400"/>
          <a:ext cx="1396763" cy="466634"/>
        </a:xfrm>
        <a:prstGeom prst="rect">
          <a:avLst/>
        </a:prstGeom>
      </xdr:spPr>
    </xdr:pic>
    <xdr:clientData/>
  </xdr:oneCellAnchor>
  <xdr:oneCellAnchor>
    <xdr:from>
      <xdr:col>4</xdr:col>
      <xdr:colOff>0</xdr:colOff>
      <xdr:row>32</xdr:row>
      <xdr:rowOff>0</xdr:rowOff>
    </xdr:from>
    <xdr:ext cx="1396763" cy="466634"/>
    <xdr:pic>
      <xdr:nvPicPr>
        <xdr:cNvPr id="124" name="Picture 123">
          <a:extLst>
            <a:ext uri="{FF2B5EF4-FFF2-40B4-BE49-F238E27FC236}">
              <a16:creationId xmlns:a16="http://schemas.microsoft.com/office/drawing/2014/main" id="{00000000-0008-0000-0D00-00007C00000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7779441" y="21107400"/>
          <a:ext cx="1396763" cy="466634"/>
        </a:xfrm>
        <a:prstGeom prst="rect">
          <a:avLst/>
        </a:prstGeom>
      </xdr:spPr>
    </xdr:pic>
    <xdr:clientData/>
  </xdr:oneCellAnchor>
  <xdr:twoCellAnchor editAs="oneCell">
    <xdr:from>
      <xdr:col>2</xdr:col>
      <xdr:colOff>559594</xdr:colOff>
      <xdr:row>30</xdr:row>
      <xdr:rowOff>23813</xdr:rowOff>
    </xdr:from>
    <xdr:to>
      <xdr:col>2</xdr:col>
      <xdr:colOff>1825625</xdr:colOff>
      <xdr:row>30</xdr:row>
      <xdr:rowOff>742064</xdr:rowOff>
    </xdr:to>
    <xdr:pic>
      <xdr:nvPicPr>
        <xdr:cNvPr id="139" name="Picture 138">
          <a:extLst>
            <a:ext uri="{FF2B5EF4-FFF2-40B4-BE49-F238E27FC236}">
              <a16:creationId xmlns:a16="http://schemas.microsoft.com/office/drawing/2014/main" id="{00000000-0008-0000-0D00-00008B000000}"/>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7870032" y="22788563"/>
          <a:ext cx="1266031" cy="718251"/>
        </a:xfrm>
        <a:prstGeom prst="rect">
          <a:avLst/>
        </a:prstGeom>
      </xdr:spPr>
    </xdr:pic>
    <xdr:clientData/>
  </xdr:twoCellAnchor>
  <xdr:twoCellAnchor editAs="oneCell">
    <xdr:from>
      <xdr:col>2</xdr:col>
      <xdr:colOff>0</xdr:colOff>
      <xdr:row>49</xdr:row>
      <xdr:rowOff>202406</xdr:rowOff>
    </xdr:from>
    <xdr:to>
      <xdr:col>2</xdr:col>
      <xdr:colOff>2114550</xdr:colOff>
      <xdr:row>49</xdr:row>
      <xdr:rowOff>538956</xdr:rowOff>
    </xdr:to>
    <xdr:pic>
      <xdr:nvPicPr>
        <xdr:cNvPr id="85" name="Picture 84">
          <a:extLst>
            <a:ext uri="{FF2B5EF4-FFF2-40B4-BE49-F238E27FC236}">
              <a16:creationId xmlns:a16="http://schemas.microsoft.com/office/drawing/2014/main" id="{464EFE4E-F3CA-4CA4-9A28-267BF73F09A1}"/>
            </a:ext>
          </a:extLst>
        </xdr:cNvPr>
        <xdr:cNvPicPr>
          <a:picLocks noChangeAspect="1"/>
        </xdr:cNvPicPr>
      </xdr:nvPicPr>
      <xdr:blipFill>
        <a:blip xmlns:r="http://schemas.openxmlformats.org/officeDocument/2006/relationships" r:embed="rId14" r:link="rId15">
          <a:extLst>
            <a:ext uri="{28A0092B-C50C-407E-A947-70E740481C1C}">
              <a14:useLocalDpi xmlns:a14="http://schemas.microsoft.com/office/drawing/2010/main" val="0"/>
            </a:ext>
          </a:extLst>
        </a:blip>
        <a:srcRect/>
        <a:stretch>
          <a:fillRect/>
        </a:stretch>
      </xdr:blipFill>
      <xdr:spPr bwMode="auto">
        <a:xfrm>
          <a:off x="7310438" y="37897594"/>
          <a:ext cx="2114550" cy="336550"/>
        </a:xfrm>
        <a:prstGeom prst="rect">
          <a:avLst/>
        </a:prstGeom>
        <a:noFill/>
        <a:ln>
          <a:noFill/>
        </a:ln>
      </xdr:spPr>
    </xdr:pic>
    <xdr:clientData/>
  </xdr:twoCellAnchor>
  <xdr:oneCellAnchor>
    <xdr:from>
      <xdr:col>2</xdr:col>
      <xdr:colOff>276225</xdr:colOff>
      <xdr:row>70</xdr:row>
      <xdr:rowOff>228600</xdr:rowOff>
    </xdr:from>
    <xdr:ext cx="1845945" cy="328436"/>
    <xdr:pic>
      <xdr:nvPicPr>
        <xdr:cNvPr id="3" name="Picture 2" descr="6098e4vinacapital-010.jpg">
          <a:extLst>
            <a:ext uri="{FF2B5EF4-FFF2-40B4-BE49-F238E27FC236}">
              <a16:creationId xmlns:a16="http://schemas.microsoft.com/office/drawing/2014/main" id="{7F20A50F-4012-4E3F-992F-F26BFF14E829}"/>
            </a:ext>
          </a:extLst>
        </xdr:cNvPr>
        <xdr:cNvPicPr>
          <a:picLocks noChangeAspect="1"/>
        </xdr:cNvPicPr>
      </xdr:nvPicPr>
      <xdr:blipFill>
        <a:blip xmlns:r="http://schemas.openxmlformats.org/officeDocument/2006/relationships" r:embed="rId5" cstate="print"/>
        <a:stretch>
          <a:fillRect/>
        </a:stretch>
      </xdr:blipFill>
      <xdr:spPr>
        <a:xfrm>
          <a:off x="7586663" y="12777788"/>
          <a:ext cx="1845945" cy="328436"/>
        </a:xfrm>
        <a:prstGeom prst="rect">
          <a:avLst/>
        </a:prstGeom>
      </xdr:spPr>
    </xdr:pic>
    <xdr:clientData/>
  </xdr:oneCellAnchor>
  <xdr:twoCellAnchor editAs="oneCell">
    <xdr:from>
      <xdr:col>2</xdr:col>
      <xdr:colOff>523876</xdr:colOff>
      <xdr:row>71</xdr:row>
      <xdr:rowOff>73745</xdr:rowOff>
    </xdr:from>
    <xdr:to>
      <xdr:col>2</xdr:col>
      <xdr:colOff>1752600</xdr:colOff>
      <xdr:row>71</xdr:row>
      <xdr:rowOff>707947</xdr:rowOff>
    </xdr:to>
    <xdr:pic>
      <xdr:nvPicPr>
        <xdr:cNvPr id="6" name="Picture 5">
          <a:extLst>
            <a:ext uri="{FF2B5EF4-FFF2-40B4-BE49-F238E27FC236}">
              <a16:creationId xmlns:a16="http://schemas.microsoft.com/office/drawing/2014/main" id="{9B4627AF-52DC-4523-B6DD-B881A7656E11}"/>
            </a:ext>
          </a:extLst>
        </xdr:cNvPr>
        <xdr:cNvPicPr>
          <a:picLocks noChangeAspect="1"/>
        </xdr:cNvPicPr>
      </xdr:nvPicPr>
      <xdr:blipFill>
        <a:blip xmlns:r="http://schemas.openxmlformats.org/officeDocument/2006/relationships" r:embed="rId16"/>
        <a:stretch>
          <a:fillRect/>
        </a:stretch>
      </xdr:blipFill>
      <xdr:spPr>
        <a:xfrm>
          <a:off x="7839076" y="54728195"/>
          <a:ext cx="1228724" cy="634202"/>
        </a:xfrm>
        <a:prstGeom prst="rect">
          <a:avLst/>
        </a:prstGeom>
      </xdr:spPr>
    </xdr:pic>
    <xdr:clientData/>
  </xdr:twoCellAnchor>
  <xdr:twoCellAnchor editAs="oneCell">
    <xdr:from>
      <xdr:col>2</xdr:col>
      <xdr:colOff>476250</xdr:colOff>
      <xdr:row>72</xdr:row>
      <xdr:rowOff>47625</xdr:rowOff>
    </xdr:from>
    <xdr:to>
      <xdr:col>2</xdr:col>
      <xdr:colOff>1704974</xdr:colOff>
      <xdr:row>72</xdr:row>
      <xdr:rowOff>681827</xdr:rowOff>
    </xdr:to>
    <xdr:pic>
      <xdr:nvPicPr>
        <xdr:cNvPr id="7" name="Picture 6">
          <a:extLst>
            <a:ext uri="{FF2B5EF4-FFF2-40B4-BE49-F238E27FC236}">
              <a16:creationId xmlns:a16="http://schemas.microsoft.com/office/drawing/2014/main" id="{A43FD6C1-6DC0-4ACE-BDC4-1780F6CD779F}"/>
            </a:ext>
          </a:extLst>
        </xdr:cNvPr>
        <xdr:cNvPicPr>
          <a:picLocks noChangeAspect="1"/>
        </xdr:cNvPicPr>
      </xdr:nvPicPr>
      <xdr:blipFill>
        <a:blip xmlns:r="http://schemas.openxmlformats.org/officeDocument/2006/relationships" r:embed="rId16"/>
        <a:stretch>
          <a:fillRect/>
        </a:stretch>
      </xdr:blipFill>
      <xdr:spPr>
        <a:xfrm>
          <a:off x="7791450" y="55483125"/>
          <a:ext cx="1228724" cy="634202"/>
        </a:xfrm>
        <a:prstGeom prst="rect">
          <a:avLst/>
        </a:prstGeom>
      </xdr:spPr>
    </xdr:pic>
    <xdr:clientData/>
  </xdr:twoCellAnchor>
  <xdr:oneCellAnchor>
    <xdr:from>
      <xdr:col>2</xdr:col>
      <xdr:colOff>0</xdr:colOff>
      <xdr:row>73</xdr:row>
      <xdr:rowOff>202406</xdr:rowOff>
    </xdr:from>
    <xdr:ext cx="2114550" cy="336550"/>
    <xdr:pic>
      <xdr:nvPicPr>
        <xdr:cNvPr id="4" name="Picture 3">
          <a:extLst>
            <a:ext uri="{FF2B5EF4-FFF2-40B4-BE49-F238E27FC236}">
              <a16:creationId xmlns:a16="http://schemas.microsoft.com/office/drawing/2014/main" id="{DB9149FE-8687-47F6-9F57-F8FC08B0926E}"/>
            </a:ext>
          </a:extLst>
        </xdr:cNvPr>
        <xdr:cNvPicPr>
          <a:picLocks noChangeAspect="1"/>
        </xdr:cNvPicPr>
      </xdr:nvPicPr>
      <xdr:blipFill>
        <a:blip xmlns:r="http://schemas.openxmlformats.org/officeDocument/2006/relationships" r:embed="rId14" r:link="rId15">
          <a:extLst>
            <a:ext uri="{28A0092B-C50C-407E-A947-70E740481C1C}">
              <a14:useLocalDpi xmlns:a14="http://schemas.microsoft.com/office/drawing/2010/main" val="0"/>
            </a:ext>
          </a:extLst>
        </a:blip>
        <a:srcRect/>
        <a:stretch>
          <a:fillRect/>
        </a:stretch>
      </xdr:blipFill>
      <xdr:spPr bwMode="auto">
        <a:xfrm>
          <a:off x="7315200" y="37673756"/>
          <a:ext cx="2114550" cy="336550"/>
        </a:xfrm>
        <a:prstGeom prst="rect">
          <a:avLst/>
        </a:prstGeom>
        <a:noFill/>
        <a:ln>
          <a:noFill/>
        </a:ln>
      </xdr:spPr>
    </xdr:pic>
    <xdr:clientData/>
  </xdr:oneCellAnchor>
  <xdr:oneCellAnchor>
    <xdr:from>
      <xdr:col>2</xdr:col>
      <xdr:colOff>276225</xdr:colOff>
      <xdr:row>74</xdr:row>
      <xdr:rowOff>228600</xdr:rowOff>
    </xdr:from>
    <xdr:ext cx="1845945" cy="328436"/>
    <xdr:pic>
      <xdr:nvPicPr>
        <xdr:cNvPr id="5" name="Picture 4" descr="6098e4vinacapital-010.jpg">
          <a:extLst>
            <a:ext uri="{FF2B5EF4-FFF2-40B4-BE49-F238E27FC236}">
              <a16:creationId xmlns:a16="http://schemas.microsoft.com/office/drawing/2014/main" id="{54C173D7-A0E9-42EC-8DBD-998A3DD7168D}"/>
            </a:ext>
          </a:extLst>
        </xdr:cNvPr>
        <xdr:cNvPicPr>
          <a:picLocks noChangeAspect="1"/>
        </xdr:cNvPicPr>
      </xdr:nvPicPr>
      <xdr:blipFill>
        <a:blip xmlns:r="http://schemas.openxmlformats.org/officeDocument/2006/relationships" r:embed="rId5" cstate="print"/>
        <a:stretch>
          <a:fillRect/>
        </a:stretch>
      </xdr:blipFill>
      <xdr:spPr>
        <a:xfrm>
          <a:off x="7591425" y="12706350"/>
          <a:ext cx="1845945" cy="328436"/>
        </a:xfrm>
        <a:prstGeom prst="rect">
          <a:avLst/>
        </a:prstGeom>
      </xdr:spPr>
    </xdr:pic>
    <xdr:clientData/>
  </xdr:oneCellAnchor>
  <xdr:oneCellAnchor>
    <xdr:from>
      <xdr:col>2</xdr:col>
      <xdr:colOff>533401</xdr:colOff>
      <xdr:row>75</xdr:row>
      <xdr:rowOff>142875</xdr:rowOff>
    </xdr:from>
    <xdr:ext cx="1234440" cy="462564"/>
    <xdr:pic>
      <xdr:nvPicPr>
        <xdr:cNvPr id="8" name="Picture 7">
          <a:extLst>
            <a:ext uri="{FF2B5EF4-FFF2-40B4-BE49-F238E27FC236}">
              <a16:creationId xmlns:a16="http://schemas.microsoft.com/office/drawing/2014/main" id="{AE9032C8-E780-42C4-94FB-6AFBBF99008D}"/>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7848601" y="10277475"/>
          <a:ext cx="1234440" cy="462564"/>
        </a:xfrm>
        <a:prstGeom prst="rect">
          <a:avLst/>
        </a:prstGeom>
        <a:noFill/>
        <a:ln w="1">
          <a:noFill/>
          <a:miter lim="800000"/>
          <a:headEnd/>
          <a:tailEnd type="none" w="med" len="med"/>
        </a:ln>
        <a:effectLs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view="pageBreakPreview" zoomScaleSheetLayoutView="100" workbookViewId="0">
      <selection activeCell="D11" sqref="D11:I11"/>
    </sheetView>
  </sheetViews>
  <sheetFormatPr defaultColWidth="9.1796875" defaultRowHeight="12.5"/>
  <cols>
    <col min="1" max="2" width="9.1796875" style="37"/>
    <col min="3" max="3" width="30.1796875" style="37" customWidth="1"/>
    <col min="4" max="4" width="30.81640625" style="37" customWidth="1"/>
    <col min="5" max="5" width="21.1796875" style="37" customWidth="1"/>
    <col min="6" max="9" width="9.1796875" style="37"/>
    <col min="10" max="10" width="11.81640625" style="37" customWidth="1"/>
    <col min="11" max="11" width="15" style="37" customWidth="1"/>
    <col min="12" max="16384" width="9.1796875" style="37"/>
  </cols>
  <sheetData>
    <row r="1" spans="1:11">
      <c r="A1" s="36" t="s">
        <v>0</v>
      </c>
      <c r="C1" s="182" t="s">
        <v>880</v>
      </c>
      <c r="D1" s="183"/>
    </row>
    <row r="2" spans="1:11">
      <c r="C2" s="38" t="s">
        <v>881</v>
      </c>
      <c r="D2" s="39"/>
    </row>
    <row r="3" spans="1:11">
      <c r="D3" s="40"/>
    </row>
    <row r="4" spans="1:11">
      <c r="A4" s="36" t="s">
        <v>1</v>
      </c>
      <c r="D4" s="40"/>
    </row>
    <row r="5" spans="1:11" ht="15" customHeight="1">
      <c r="C5" s="41" t="s">
        <v>2</v>
      </c>
      <c r="D5" s="185" t="s">
        <v>882</v>
      </c>
      <c r="E5" s="185"/>
      <c r="F5" s="185"/>
      <c r="G5" s="185"/>
      <c r="H5" s="185"/>
      <c r="I5" s="185"/>
    </row>
    <row r="6" spans="1:11">
      <c r="C6" s="34" t="s">
        <v>15</v>
      </c>
      <c r="D6" s="184" t="s">
        <v>883</v>
      </c>
      <c r="E6" s="184"/>
      <c r="F6" s="184"/>
      <c r="G6" s="184"/>
      <c r="H6" s="184"/>
      <c r="I6" s="184"/>
    </row>
    <row r="7" spans="1:11">
      <c r="C7" s="42" t="s">
        <v>3</v>
      </c>
      <c r="D7" s="185" t="s">
        <v>884</v>
      </c>
      <c r="E7" s="185"/>
      <c r="F7" s="185"/>
      <c r="G7" s="185"/>
      <c r="H7" s="185"/>
      <c r="I7" s="185"/>
    </row>
    <row r="8" spans="1:11" ht="15" customHeight="1">
      <c r="C8" s="15" t="s">
        <v>4</v>
      </c>
      <c r="D8" s="184" t="s">
        <v>885</v>
      </c>
      <c r="E8" s="184"/>
      <c r="F8" s="184"/>
      <c r="G8" s="184"/>
      <c r="H8" s="184"/>
      <c r="I8" s="184"/>
    </row>
    <row r="9" spans="1:11" ht="15" customHeight="1">
      <c r="C9" s="42" t="s">
        <v>5</v>
      </c>
      <c r="D9" s="185" t="s">
        <v>353</v>
      </c>
      <c r="E9" s="185"/>
      <c r="F9" s="185"/>
      <c r="G9" s="185"/>
      <c r="H9" s="185"/>
      <c r="I9" s="185"/>
    </row>
    <row r="10" spans="1:11" ht="15" customHeight="1">
      <c r="C10" s="43" t="s">
        <v>6</v>
      </c>
      <c r="D10" s="184" t="s">
        <v>896</v>
      </c>
      <c r="E10" s="184"/>
      <c r="F10" s="184"/>
      <c r="G10" s="184"/>
      <c r="H10" s="184"/>
      <c r="I10" s="184"/>
    </row>
    <row r="11" spans="1:11">
      <c r="C11" s="44" t="s">
        <v>7</v>
      </c>
      <c r="D11" s="185" t="s">
        <v>886</v>
      </c>
      <c r="E11" s="185"/>
      <c r="F11" s="185"/>
      <c r="G11" s="185"/>
      <c r="H11" s="185"/>
      <c r="I11" s="185"/>
    </row>
    <row r="12" spans="1:11">
      <c r="C12" s="3" t="s">
        <v>8</v>
      </c>
      <c r="D12" s="184" t="s">
        <v>887</v>
      </c>
      <c r="E12" s="184"/>
      <c r="F12" s="184"/>
      <c r="G12" s="184"/>
      <c r="H12" s="184"/>
      <c r="I12" s="184"/>
    </row>
    <row r="13" spans="1:11">
      <c r="D13" s="40"/>
    </row>
    <row r="14" spans="1:11">
      <c r="A14" s="36" t="s">
        <v>9</v>
      </c>
      <c r="D14" s="40"/>
    </row>
    <row r="15" spans="1:11">
      <c r="D15" s="40"/>
    </row>
    <row r="16" spans="1:11">
      <c r="C16" s="45" t="s">
        <v>10</v>
      </c>
      <c r="D16" s="46"/>
      <c r="F16" s="45" t="s">
        <v>11</v>
      </c>
      <c r="G16" s="47"/>
      <c r="H16" s="47"/>
      <c r="I16" s="47"/>
      <c r="J16" s="47"/>
      <c r="K16" s="48"/>
    </row>
    <row r="17" spans="3:11">
      <c r="C17" s="49" t="s">
        <v>12</v>
      </c>
      <c r="D17" s="50"/>
      <c r="F17" s="49" t="s">
        <v>13</v>
      </c>
      <c r="G17" s="2"/>
      <c r="H17" s="2"/>
      <c r="I17" s="2"/>
      <c r="J17" s="2"/>
      <c r="K17" s="51"/>
    </row>
    <row r="18" spans="3:11">
      <c r="C18" s="52"/>
      <c r="D18" s="50"/>
      <c r="F18" s="52"/>
      <c r="G18" s="2"/>
      <c r="H18" s="2"/>
      <c r="I18" s="2"/>
      <c r="J18" s="2"/>
      <c r="K18" s="51"/>
    </row>
    <row r="19" spans="3:11">
      <c r="C19" s="53" t="s">
        <v>14</v>
      </c>
      <c r="D19" s="50"/>
      <c r="F19" s="53" t="str">
        <f>D5</f>
        <v>Công ty Cổ phần Quản lý Quỹ Đầu tư Dragon Capital Việt Nam</v>
      </c>
      <c r="G19" s="2"/>
      <c r="H19" s="2"/>
      <c r="I19" s="2"/>
      <c r="J19" s="2"/>
      <c r="K19" s="51"/>
    </row>
    <row r="20" spans="3:11">
      <c r="C20" s="53" t="s">
        <v>888</v>
      </c>
      <c r="D20" s="50"/>
      <c r="F20" s="53" t="s">
        <v>889</v>
      </c>
      <c r="G20" s="2"/>
      <c r="H20" s="2"/>
      <c r="I20" s="2"/>
      <c r="J20" s="2"/>
      <c r="K20" s="51"/>
    </row>
    <row r="21" spans="3:11">
      <c r="C21" s="54" t="s">
        <v>890</v>
      </c>
      <c r="D21" s="39"/>
      <c r="F21" s="54" t="s">
        <v>891</v>
      </c>
      <c r="G21" s="55"/>
      <c r="H21" s="55"/>
      <c r="I21" s="55"/>
      <c r="J21" s="55"/>
      <c r="K21" s="56"/>
    </row>
    <row r="22" spans="3:11">
      <c r="D22" s="40"/>
    </row>
    <row r="23" spans="3:11">
      <c r="D23" s="40"/>
    </row>
    <row r="24" spans="3:11">
      <c r="D24" s="40"/>
    </row>
    <row r="25" spans="3:11">
      <c r="D25" s="40"/>
    </row>
    <row r="26" spans="3:11">
      <c r="D26" s="40"/>
    </row>
    <row r="27" spans="3:11">
      <c r="D27" s="40"/>
    </row>
    <row r="28" spans="3:11">
      <c r="D28" s="40"/>
    </row>
    <row r="29" spans="3:11">
      <c r="D29" s="40"/>
    </row>
    <row r="30" spans="3:11">
      <c r="D30" s="40"/>
    </row>
    <row r="31" spans="3:11">
      <c r="D31" s="40"/>
    </row>
    <row r="32" spans="3:11">
      <c r="D32" s="40"/>
    </row>
    <row r="33" spans="4:4">
      <c r="D33" s="40"/>
    </row>
    <row r="34" spans="4:4">
      <c r="D34" s="57"/>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&amp;L&amp;"Arial"&amp;9&amp;KA80000CONFIDENTIAL&amp;1#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topLeftCell="A74" zoomScale="80" zoomScaleNormal="100" zoomScaleSheetLayoutView="80" workbookViewId="0">
      <selection activeCell="A78" sqref="A78:XFD78"/>
    </sheetView>
  </sheetViews>
  <sheetFormatPr defaultColWidth="8.7265625" defaultRowHeight="15"/>
  <cols>
    <col min="1" max="1" width="8.7265625" style="84"/>
    <col min="2" max="2" width="44.26953125" style="84" customWidth="1"/>
    <col min="3" max="3" width="10.26953125" style="84" customWidth="1"/>
    <col min="4" max="5" width="41.1796875" style="84" customWidth="1"/>
    <col min="6" max="6" width="37.54296875" style="84" customWidth="1"/>
    <col min="7" max="16384" width="8.7265625" style="84"/>
  </cols>
  <sheetData>
    <row r="1" spans="1:6" s="82" customFormat="1" ht="54.75" customHeight="1">
      <c r="A1" s="186" t="s">
        <v>300</v>
      </c>
      <c r="B1" s="186"/>
      <c r="C1" s="186"/>
      <c r="D1" s="186"/>
      <c r="E1" s="186"/>
      <c r="F1" s="186"/>
    </row>
    <row r="2" spans="1:6" s="82" customFormat="1" ht="50.5" customHeight="1">
      <c r="A2" s="187" t="s">
        <v>301</v>
      </c>
      <c r="B2" s="187"/>
      <c r="C2" s="187"/>
      <c r="D2" s="187"/>
      <c r="E2" s="187"/>
      <c r="F2" s="187"/>
    </row>
    <row r="3" spans="1:6" s="82" customFormat="1">
      <c r="A3" s="188" t="s">
        <v>251</v>
      </c>
      <c r="B3" s="188"/>
      <c r="C3" s="188"/>
      <c r="D3" s="188"/>
      <c r="E3" s="188"/>
      <c r="F3" s="188"/>
    </row>
    <row r="4" spans="1:6" s="82" customFormat="1" ht="32.65" customHeight="1">
      <c r="A4" s="188"/>
      <c r="B4" s="188"/>
      <c r="C4" s="188"/>
      <c r="D4" s="188"/>
      <c r="E4" s="188"/>
      <c r="F4" s="188"/>
    </row>
    <row r="5" spans="1:6" s="82" customFormat="1" ht="16.899999999999999" customHeight="1">
      <c r="A5" s="189" t="str">
        <f>TONGQUAN!C1</f>
        <v>Tại ngày 31 tháng 12 năm 2024
/ As at 31 Dec 2024</v>
      </c>
      <c r="B5" s="189"/>
      <c r="C5" s="189"/>
      <c r="D5" s="189"/>
      <c r="E5" s="189"/>
      <c r="F5" s="189"/>
    </row>
    <row r="6" spans="1:6">
      <c r="A6" s="83"/>
      <c r="B6" s="83"/>
      <c r="C6" s="83"/>
      <c r="D6" s="83"/>
      <c r="E6" s="83"/>
      <c r="F6" s="83"/>
    </row>
    <row r="7" spans="1:6" ht="16.899999999999999" customHeight="1">
      <c r="A7" s="190" t="s">
        <v>2</v>
      </c>
      <c r="B7" s="190"/>
      <c r="C7" s="190" t="str">
        <f>TONGQUAN!D5</f>
        <v>Công ty Cổ phần Quản lý Quỹ Đầu tư Dragon Capital Việt Nam</v>
      </c>
      <c r="D7" s="190"/>
      <c r="E7" s="190"/>
      <c r="F7" s="190"/>
    </row>
    <row r="8" spans="1:6" s="82" customFormat="1" ht="16.899999999999999" customHeight="1">
      <c r="A8" s="191" t="s">
        <v>15</v>
      </c>
      <c r="B8" s="191"/>
      <c r="C8" s="191" t="str">
        <f>TONGQUAN!D6</f>
        <v>Dragon Capital Vietfund Management Joint Stock Company</v>
      </c>
      <c r="D8" s="191"/>
      <c r="E8" s="191"/>
      <c r="F8" s="191"/>
    </row>
    <row r="9" spans="1:6" ht="16.899999999999999" customHeight="1">
      <c r="A9" s="190" t="s">
        <v>3</v>
      </c>
      <c r="B9" s="190"/>
      <c r="C9" s="190" t="str">
        <f>TONGQUAN!D7</f>
        <v>Ngân hàng TNHH Một thành viên Standard Chartered (Việt Nam)</v>
      </c>
      <c r="D9" s="190"/>
      <c r="E9" s="190"/>
      <c r="F9" s="190"/>
    </row>
    <row r="10" spans="1:6" s="82" customFormat="1" ht="16.899999999999999" customHeight="1">
      <c r="A10" s="191" t="s">
        <v>4</v>
      </c>
      <c r="B10" s="191"/>
      <c r="C10" s="191" t="str">
        <f>TONGQUAN!D8</f>
        <v>Standard Chartered Bank (Vietnam) Limited</v>
      </c>
      <c r="D10" s="191"/>
      <c r="E10" s="191"/>
      <c r="F10" s="191"/>
    </row>
    <row r="11" spans="1:6" ht="16.899999999999999" customHeight="1">
      <c r="A11" s="190" t="s">
        <v>5</v>
      </c>
      <c r="B11" s="190"/>
      <c r="C11" s="190" t="str">
        <f>TONGQUAN!D9</f>
        <v>Quỹ Đầu tư Trái phiếu DC</v>
      </c>
      <c r="D11" s="190"/>
      <c r="E11" s="190"/>
      <c r="F11" s="190"/>
    </row>
    <row r="12" spans="1:6" s="82" customFormat="1" ht="16.899999999999999" customHeight="1">
      <c r="A12" s="191" t="s">
        <v>6</v>
      </c>
      <c r="B12" s="191"/>
      <c r="C12" s="191" t="str">
        <f>TONGQUAN!D10</f>
        <v>DC Bond Fund (DCBF)</v>
      </c>
      <c r="D12" s="191"/>
      <c r="E12" s="191"/>
      <c r="F12" s="191"/>
    </row>
    <row r="13" spans="1:6" ht="16.899999999999999" customHeight="1">
      <c r="A13" s="190" t="s">
        <v>7</v>
      </c>
      <c r="B13" s="190"/>
      <c r="C13" s="190" t="str">
        <f>TONGQUAN!D11</f>
        <v>Ngày 03 tháng 01 năm 2025</v>
      </c>
      <c r="D13" s="190"/>
      <c r="E13" s="190"/>
      <c r="F13" s="190"/>
    </row>
    <row r="14" spans="1:6" s="82" customFormat="1" ht="16.899999999999999" customHeight="1">
      <c r="A14" s="191" t="s">
        <v>8</v>
      </c>
      <c r="B14" s="191"/>
      <c r="C14" s="191" t="str">
        <f>TONGQUAN!D12</f>
        <v>03 Jan 2025</v>
      </c>
      <c r="D14" s="191"/>
      <c r="E14" s="191"/>
      <c r="F14" s="191"/>
    </row>
    <row r="15" spans="1:6" s="82" customFormat="1" ht="7.5" customHeight="1">
      <c r="A15" s="85"/>
      <c r="B15" s="85"/>
      <c r="C15" s="85"/>
      <c r="D15" s="85"/>
      <c r="E15" s="85"/>
      <c r="F15" s="85"/>
    </row>
    <row r="16" spans="1:6" s="82" customFormat="1" ht="16.899999999999999" customHeight="1">
      <c r="A16" s="86" t="s">
        <v>298</v>
      </c>
      <c r="B16" s="87" t="s">
        <v>299</v>
      </c>
      <c r="C16" s="85"/>
      <c r="D16" s="85"/>
      <c r="E16" s="85"/>
      <c r="F16" s="85"/>
    </row>
    <row r="17" spans="1:6" s="82" customFormat="1" ht="16.899999999999999" customHeight="1">
      <c r="A17" s="88" t="s">
        <v>16</v>
      </c>
      <c r="B17" s="89" t="s">
        <v>252</v>
      </c>
      <c r="C17" s="85"/>
      <c r="D17" s="85"/>
      <c r="E17" s="85"/>
      <c r="F17" s="85"/>
    </row>
    <row r="18" spans="1:6" s="82" customFormat="1" ht="50.65" customHeight="1">
      <c r="A18" s="90" t="s">
        <v>17</v>
      </c>
      <c r="B18" s="90" t="s">
        <v>18</v>
      </c>
      <c r="C18" s="90" t="s">
        <v>19</v>
      </c>
      <c r="D18" s="91" t="s">
        <v>892</v>
      </c>
      <c r="E18" s="91" t="s">
        <v>893</v>
      </c>
      <c r="F18" s="92" t="s">
        <v>20</v>
      </c>
    </row>
    <row r="19" spans="1:6" ht="39" customHeight="1">
      <c r="A19" s="93" t="s">
        <v>571</v>
      </c>
      <c r="B19" s="94" t="s">
        <v>572</v>
      </c>
      <c r="C19" s="93" t="s">
        <v>573</v>
      </c>
      <c r="D19" s="95"/>
      <c r="E19" s="95"/>
      <c r="F19" s="96"/>
    </row>
    <row r="20" spans="1:6" ht="39" customHeight="1">
      <c r="A20" s="97" t="s">
        <v>574</v>
      </c>
      <c r="B20" s="98" t="s">
        <v>575</v>
      </c>
      <c r="C20" s="97" t="s">
        <v>576</v>
      </c>
      <c r="D20" s="99">
        <v>260940922040</v>
      </c>
      <c r="E20" s="99">
        <v>335400487305</v>
      </c>
      <c r="F20" s="100">
        <v>3.7632083441245801</v>
      </c>
    </row>
    <row r="21" spans="1:6" ht="39" customHeight="1">
      <c r="A21" s="97" t="s">
        <v>577</v>
      </c>
      <c r="B21" s="98" t="s">
        <v>578</v>
      </c>
      <c r="C21" s="97" t="s">
        <v>579</v>
      </c>
      <c r="D21" s="99"/>
      <c r="E21" s="99"/>
      <c r="F21" s="100"/>
    </row>
    <row r="22" spans="1:6" ht="39" customHeight="1">
      <c r="A22" s="97" t="s">
        <v>580</v>
      </c>
      <c r="B22" s="98" t="s">
        <v>581</v>
      </c>
      <c r="C22" s="97" t="s">
        <v>582</v>
      </c>
      <c r="D22" s="99" t="s">
        <v>583</v>
      </c>
      <c r="E22" s="99" t="s">
        <v>584</v>
      </c>
      <c r="F22" s="100" t="s">
        <v>585</v>
      </c>
    </row>
    <row r="23" spans="1:6" ht="39" customHeight="1">
      <c r="A23" s="97" t="s">
        <v>586</v>
      </c>
      <c r="B23" s="98" t="s">
        <v>587</v>
      </c>
      <c r="C23" s="97" t="s">
        <v>588</v>
      </c>
      <c r="D23" s="99">
        <v>260940922040</v>
      </c>
      <c r="E23" s="99">
        <v>335400487305</v>
      </c>
      <c r="F23" s="100">
        <v>3.7632083441245801</v>
      </c>
    </row>
    <row r="24" spans="1:6" ht="39" customHeight="1">
      <c r="A24" s="97" t="s">
        <v>589</v>
      </c>
      <c r="B24" s="98" t="s">
        <v>590</v>
      </c>
      <c r="C24" s="97" t="s">
        <v>591</v>
      </c>
      <c r="D24" s="99" t="s">
        <v>592</v>
      </c>
      <c r="E24" s="99" t="s">
        <v>593</v>
      </c>
      <c r="F24" s="100" t="s">
        <v>594</v>
      </c>
    </row>
    <row r="25" spans="1:6" ht="52" customHeight="1">
      <c r="A25" s="97" t="s">
        <v>595</v>
      </c>
      <c r="B25" s="98" t="s">
        <v>596</v>
      </c>
      <c r="C25" s="97" t="s">
        <v>597</v>
      </c>
      <c r="D25" s="99">
        <v>9923142711</v>
      </c>
      <c r="E25" s="99">
        <v>3079827759</v>
      </c>
      <c r="F25" s="100">
        <v>62.736740929385903</v>
      </c>
    </row>
    <row r="26" spans="1:6" ht="78" customHeight="1">
      <c r="A26" s="97" t="s">
        <v>598</v>
      </c>
      <c r="B26" s="98" t="s">
        <v>599</v>
      </c>
      <c r="C26" s="97" t="s">
        <v>600</v>
      </c>
      <c r="D26" s="99">
        <v>4391073</v>
      </c>
      <c r="E26" s="99">
        <v>4391073</v>
      </c>
      <c r="F26" s="100">
        <v>0.41283769439762902</v>
      </c>
    </row>
    <row r="27" spans="1:6" ht="42" customHeight="1">
      <c r="A27" s="97" t="s">
        <v>601</v>
      </c>
      <c r="B27" s="98" t="s">
        <v>602</v>
      </c>
      <c r="C27" s="97" t="s">
        <v>603</v>
      </c>
      <c r="D27" s="99">
        <v>2213388256</v>
      </c>
      <c r="E27" s="99">
        <v>147316268473</v>
      </c>
      <c r="F27" s="100">
        <v>4.9849731400090601E-2</v>
      </c>
    </row>
    <row r="28" spans="1:6" ht="48" customHeight="1">
      <c r="A28" s="97" t="s">
        <v>604</v>
      </c>
      <c r="B28" s="98" t="s">
        <v>605</v>
      </c>
      <c r="C28" s="97" t="s">
        <v>606</v>
      </c>
      <c r="D28" s="99">
        <v>0</v>
      </c>
      <c r="E28" s="99">
        <v>0</v>
      </c>
      <c r="F28" s="100"/>
    </row>
    <row r="29" spans="1:6" ht="39" customHeight="1">
      <c r="A29" s="97" t="s">
        <v>607</v>
      </c>
      <c r="B29" s="98" t="s">
        <v>608</v>
      </c>
      <c r="C29" s="97" t="s">
        <v>609</v>
      </c>
      <c r="D29" s="99">
        <v>248800000000</v>
      </c>
      <c r="E29" s="99">
        <v>185000000000</v>
      </c>
      <c r="F29" s="100">
        <v>10.0444085587404</v>
      </c>
    </row>
    <row r="30" spans="1:6" ht="39" customHeight="1">
      <c r="A30" s="97" t="s">
        <v>610</v>
      </c>
      <c r="B30" s="98" t="s">
        <v>611</v>
      </c>
      <c r="C30" s="97" t="s">
        <v>612</v>
      </c>
      <c r="D30" s="99">
        <v>1383107257612</v>
      </c>
      <c r="E30" s="99">
        <v>1385322537697</v>
      </c>
      <c r="F30" s="100">
        <v>3.3522179052261998</v>
      </c>
    </row>
    <row r="31" spans="1:6" ht="39" customHeight="1">
      <c r="A31" s="97" t="s">
        <v>613</v>
      </c>
      <c r="B31" s="98" t="s">
        <v>614</v>
      </c>
      <c r="C31" s="97" t="s">
        <v>615</v>
      </c>
      <c r="D31" s="99" t="s">
        <v>616</v>
      </c>
      <c r="E31" s="99" t="s">
        <v>617</v>
      </c>
      <c r="F31" s="100" t="s">
        <v>618</v>
      </c>
    </row>
    <row r="32" spans="1:6" ht="39" customHeight="1">
      <c r="A32" s="97" t="s">
        <v>619</v>
      </c>
      <c r="B32" s="98" t="s">
        <v>620</v>
      </c>
      <c r="C32" s="97" t="s">
        <v>621</v>
      </c>
      <c r="D32" s="99">
        <v>0</v>
      </c>
      <c r="E32" s="99">
        <v>0</v>
      </c>
      <c r="F32" s="100"/>
    </row>
    <row r="33" spans="1:6" ht="39" customHeight="1">
      <c r="A33" s="97" t="s">
        <v>622</v>
      </c>
      <c r="B33" s="98" t="s">
        <v>623</v>
      </c>
      <c r="C33" s="97" t="s">
        <v>624</v>
      </c>
      <c r="D33" s="99">
        <v>0</v>
      </c>
      <c r="E33" s="99">
        <v>0</v>
      </c>
      <c r="F33" s="100"/>
    </row>
    <row r="34" spans="1:6" ht="39" customHeight="1">
      <c r="A34" s="97" t="s">
        <v>625</v>
      </c>
      <c r="B34" s="98" t="s">
        <v>626</v>
      </c>
      <c r="C34" s="97" t="s">
        <v>627</v>
      </c>
      <c r="D34" s="99">
        <v>956884352009</v>
      </c>
      <c r="E34" s="99">
        <v>909099632094</v>
      </c>
      <c r="F34" s="100">
        <v>2.5341574312433002</v>
      </c>
    </row>
    <row r="35" spans="1:6" ht="39" customHeight="1">
      <c r="A35" s="97" t="s">
        <v>628</v>
      </c>
      <c r="B35" s="98" t="s">
        <v>629</v>
      </c>
      <c r="C35" s="97" t="s">
        <v>630</v>
      </c>
      <c r="D35" s="99">
        <v>265122905603</v>
      </c>
      <c r="E35" s="99">
        <v>315122905603</v>
      </c>
      <c r="F35" s="100">
        <v>7.5749401600857098</v>
      </c>
    </row>
    <row r="36" spans="1:6" ht="52" customHeight="1">
      <c r="A36" s="97" t="s">
        <v>631</v>
      </c>
      <c r="B36" s="98" t="s">
        <v>632</v>
      </c>
      <c r="C36" s="97" t="s">
        <v>633</v>
      </c>
      <c r="D36" s="99">
        <v>161100000000</v>
      </c>
      <c r="E36" s="99">
        <v>161100000000</v>
      </c>
      <c r="F36" s="100"/>
    </row>
    <row r="37" spans="1:6" ht="39" customHeight="1">
      <c r="A37" s="97" t="s">
        <v>634</v>
      </c>
      <c r="B37" s="98" t="s">
        <v>635</v>
      </c>
      <c r="C37" s="97" t="s">
        <v>636</v>
      </c>
      <c r="D37" s="99">
        <v>0</v>
      </c>
      <c r="E37" s="99">
        <v>0</v>
      </c>
      <c r="F37" s="100"/>
    </row>
    <row r="38" spans="1:6" ht="39" customHeight="1">
      <c r="A38" s="97" t="s">
        <v>637</v>
      </c>
      <c r="B38" s="98" t="s">
        <v>638</v>
      </c>
      <c r="C38" s="97" t="s">
        <v>639</v>
      </c>
      <c r="D38" s="99">
        <v>0</v>
      </c>
      <c r="E38" s="99">
        <v>0</v>
      </c>
      <c r="F38" s="100"/>
    </row>
    <row r="39" spans="1:6" ht="39" customHeight="1">
      <c r="A39" s="97" t="s">
        <v>640</v>
      </c>
      <c r="B39" s="98" t="s">
        <v>641</v>
      </c>
      <c r="C39" s="97" t="s">
        <v>642</v>
      </c>
      <c r="D39" s="99">
        <v>0</v>
      </c>
      <c r="E39" s="99">
        <v>0</v>
      </c>
      <c r="F39" s="100"/>
    </row>
    <row r="40" spans="1:6" ht="39" customHeight="1">
      <c r="A40" s="97" t="s">
        <v>643</v>
      </c>
      <c r="B40" s="98" t="s">
        <v>644</v>
      </c>
      <c r="C40" s="97" t="s">
        <v>645</v>
      </c>
      <c r="D40" s="99">
        <v>0</v>
      </c>
      <c r="E40" s="99">
        <v>0</v>
      </c>
      <c r="F40" s="100"/>
    </row>
    <row r="41" spans="1:6" ht="67.5" customHeight="1">
      <c r="A41" s="97" t="s">
        <v>646</v>
      </c>
      <c r="B41" s="98" t="s">
        <v>647</v>
      </c>
      <c r="C41" s="97" t="s">
        <v>648</v>
      </c>
      <c r="D41" s="99">
        <v>0</v>
      </c>
      <c r="E41" s="99">
        <v>0</v>
      </c>
      <c r="F41" s="100"/>
    </row>
    <row r="42" spans="1:6" ht="39" customHeight="1">
      <c r="A42" s="97" t="s">
        <v>649</v>
      </c>
      <c r="B42" s="98" t="s">
        <v>650</v>
      </c>
      <c r="C42" s="97" t="s">
        <v>651</v>
      </c>
      <c r="D42" s="99" t="s">
        <v>652</v>
      </c>
      <c r="E42" s="99" t="s">
        <v>653</v>
      </c>
      <c r="F42" s="100" t="s">
        <v>654</v>
      </c>
    </row>
    <row r="43" spans="1:6" ht="39" customHeight="1">
      <c r="A43" s="97" t="s">
        <v>655</v>
      </c>
      <c r="B43" s="98" t="s">
        <v>656</v>
      </c>
      <c r="C43" s="97" t="s">
        <v>657</v>
      </c>
      <c r="D43" s="99">
        <v>30288039815</v>
      </c>
      <c r="E43" s="99">
        <v>25458069893</v>
      </c>
      <c r="F43" s="100">
        <v>2.24536452085575</v>
      </c>
    </row>
    <row r="44" spans="1:6" ht="39" customHeight="1">
      <c r="A44" s="97" t="s">
        <v>658</v>
      </c>
      <c r="B44" s="98" t="s">
        <v>659</v>
      </c>
      <c r="C44" s="97" t="s">
        <v>660</v>
      </c>
      <c r="D44" s="99" t="s">
        <v>661</v>
      </c>
      <c r="E44" s="99" t="s">
        <v>662</v>
      </c>
      <c r="F44" s="100" t="s">
        <v>663</v>
      </c>
    </row>
    <row r="45" spans="1:6" ht="39" customHeight="1">
      <c r="A45" s="97" t="s">
        <v>664</v>
      </c>
      <c r="B45" s="98" t="s">
        <v>665</v>
      </c>
      <c r="C45" s="97" t="s">
        <v>666</v>
      </c>
      <c r="D45" s="99">
        <v>0</v>
      </c>
      <c r="E45" s="99">
        <v>0</v>
      </c>
      <c r="F45" s="100"/>
    </row>
    <row r="46" spans="1:6" ht="39" customHeight="1">
      <c r="A46" s="97" t="s">
        <v>667</v>
      </c>
      <c r="B46" s="98" t="s">
        <v>668</v>
      </c>
      <c r="C46" s="97" t="s">
        <v>669</v>
      </c>
      <c r="D46" s="99">
        <v>30288039815</v>
      </c>
      <c r="E46" s="99">
        <v>25458069893</v>
      </c>
      <c r="F46" s="100">
        <v>2.24536452085575</v>
      </c>
    </row>
    <row r="47" spans="1:6" ht="39" customHeight="1">
      <c r="A47" s="97" t="s">
        <v>670</v>
      </c>
      <c r="B47" s="98" t="s">
        <v>671</v>
      </c>
      <c r="C47" s="97" t="s">
        <v>672</v>
      </c>
      <c r="D47" s="99">
        <v>13444436440</v>
      </c>
      <c r="E47" s="99">
        <v>12436029590</v>
      </c>
      <c r="F47" s="100">
        <v>8.1848375956018504</v>
      </c>
    </row>
    <row r="48" spans="1:6" ht="39" customHeight="1">
      <c r="A48" s="97" t="s">
        <v>673</v>
      </c>
      <c r="B48" s="98" t="s">
        <v>674</v>
      </c>
      <c r="C48" s="97" t="s">
        <v>675</v>
      </c>
      <c r="D48" s="99" t="s">
        <v>676</v>
      </c>
      <c r="E48" s="99" t="s">
        <v>677</v>
      </c>
      <c r="F48" s="100" t="s">
        <v>678</v>
      </c>
    </row>
    <row r="49" spans="1:6" ht="39" customHeight="1">
      <c r="A49" s="97" t="s">
        <v>679</v>
      </c>
      <c r="B49" s="98" t="s">
        <v>680</v>
      </c>
      <c r="C49" s="97" t="s">
        <v>681</v>
      </c>
      <c r="D49" s="99">
        <v>3842326851</v>
      </c>
      <c r="E49" s="99">
        <v>2890824110</v>
      </c>
      <c r="F49" s="100">
        <v>133.566722113114</v>
      </c>
    </row>
    <row r="50" spans="1:6" ht="55" customHeight="1">
      <c r="A50" s="97" t="s">
        <v>682</v>
      </c>
      <c r="B50" s="98" t="s">
        <v>683</v>
      </c>
      <c r="C50" s="97" t="s">
        <v>684</v>
      </c>
      <c r="D50" s="99">
        <v>9602109589</v>
      </c>
      <c r="E50" s="99">
        <v>9545205480</v>
      </c>
      <c r="F50" s="100">
        <v>5.9498684338120302</v>
      </c>
    </row>
    <row r="51" spans="1:6" ht="59" customHeight="1">
      <c r="A51" s="97" t="s">
        <v>685</v>
      </c>
      <c r="B51" s="98" t="s">
        <v>686</v>
      </c>
      <c r="C51" s="97" t="s">
        <v>687</v>
      </c>
      <c r="D51" s="99">
        <v>0</v>
      </c>
      <c r="E51" s="99">
        <v>0</v>
      </c>
      <c r="F51" s="100"/>
    </row>
    <row r="52" spans="1:6" ht="63" customHeight="1">
      <c r="A52" s="97" t="s">
        <v>688</v>
      </c>
      <c r="B52" s="98" t="s">
        <v>689</v>
      </c>
      <c r="C52" s="97" t="s">
        <v>690</v>
      </c>
      <c r="D52" s="99">
        <v>0</v>
      </c>
      <c r="E52" s="99">
        <v>0</v>
      </c>
      <c r="F52" s="100"/>
    </row>
    <row r="53" spans="1:6" ht="39" customHeight="1">
      <c r="A53" s="97" t="s">
        <v>691</v>
      </c>
      <c r="B53" s="98" t="s">
        <v>692</v>
      </c>
      <c r="C53" s="97" t="s">
        <v>693</v>
      </c>
      <c r="D53" s="99" t="s">
        <v>694</v>
      </c>
      <c r="E53" s="99" t="s">
        <v>695</v>
      </c>
      <c r="F53" s="100" t="s">
        <v>696</v>
      </c>
    </row>
    <row r="54" spans="1:6" ht="39" customHeight="1">
      <c r="A54" s="97" t="s">
        <v>697</v>
      </c>
      <c r="B54" s="98" t="s">
        <v>698</v>
      </c>
      <c r="C54" s="97" t="s">
        <v>699</v>
      </c>
      <c r="D54" s="99">
        <v>0</v>
      </c>
      <c r="E54" s="99">
        <v>0</v>
      </c>
      <c r="F54" s="100"/>
    </row>
    <row r="55" spans="1:6" ht="39" customHeight="1">
      <c r="A55" s="97" t="s">
        <v>700</v>
      </c>
      <c r="B55" s="98" t="s">
        <v>701</v>
      </c>
      <c r="C55" s="97" t="s">
        <v>702</v>
      </c>
      <c r="D55" s="99" t="s">
        <v>703</v>
      </c>
      <c r="E55" s="99" t="s">
        <v>704</v>
      </c>
      <c r="F55" s="100" t="s">
        <v>705</v>
      </c>
    </row>
    <row r="56" spans="1:6" ht="39" customHeight="1">
      <c r="A56" s="97" t="s">
        <v>706</v>
      </c>
      <c r="B56" s="98" t="s">
        <v>707</v>
      </c>
      <c r="C56" s="97" t="s">
        <v>708</v>
      </c>
      <c r="D56" s="99">
        <v>0</v>
      </c>
      <c r="E56" s="99">
        <v>0</v>
      </c>
      <c r="F56" s="100"/>
    </row>
    <row r="57" spans="1:6" ht="39" customHeight="1">
      <c r="A57" s="97" t="s">
        <v>709</v>
      </c>
      <c r="B57" s="98" t="s">
        <v>710</v>
      </c>
      <c r="C57" s="97" t="s">
        <v>711</v>
      </c>
      <c r="D57" s="99" t="s">
        <v>712</v>
      </c>
      <c r="E57" s="99" t="s">
        <v>713</v>
      </c>
      <c r="F57" s="100" t="s">
        <v>714</v>
      </c>
    </row>
    <row r="58" spans="1:6" ht="39" customHeight="1">
      <c r="A58" s="97" t="s">
        <v>715</v>
      </c>
      <c r="B58" s="98" t="s">
        <v>716</v>
      </c>
      <c r="C58" s="97" t="s">
        <v>717</v>
      </c>
      <c r="D58" s="99">
        <v>0</v>
      </c>
      <c r="E58" s="99">
        <v>0</v>
      </c>
      <c r="F58" s="100"/>
    </row>
    <row r="59" spans="1:6" ht="39" customHeight="1">
      <c r="A59" s="97" t="s">
        <v>718</v>
      </c>
      <c r="B59" s="98" t="s">
        <v>719</v>
      </c>
      <c r="C59" s="97" t="s">
        <v>720</v>
      </c>
      <c r="D59" s="99">
        <v>0</v>
      </c>
      <c r="E59" s="99">
        <v>0</v>
      </c>
      <c r="F59" s="100"/>
    </row>
    <row r="60" spans="1:6" ht="39" customHeight="1">
      <c r="A60" s="97" t="s">
        <v>721</v>
      </c>
      <c r="B60" s="98" t="s">
        <v>722</v>
      </c>
      <c r="C60" s="97" t="s">
        <v>723</v>
      </c>
      <c r="D60" s="99">
        <v>0</v>
      </c>
      <c r="E60" s="99">
        <v>0</v>
      </c>
      <c r="F60" s="100"/>
    </row>
    <row r="61" spans="1:6" ht="39" customHeight="1">
      <c r="A61" s="97" t="s">
        <v>724</v>
      </c>
      <c r="B61" s="98" t="s">
        <v>725</v>
      </c>
      <c r="C61" s="97" t="s">
        <v>726</v>
      </c>
      <c r="D61" s="99">
        <v>0</v>
      </c>
      <c r="E61" s="99">
        <v>12327062</v>
      </c>
      <c r="F61" s="100"/>
    </row>
    <row r="62" spans="1:6" ht="39" customHeight="1">
      <c r="A62" s="97" t="s">
        <v>727</v>
      </c>
      <c r="B62" s="98" t="s">
        <v>728</v>
      </c>
      <c r="C62" s="97" t="s">
        <v>729</v>
      </c>
      <c r="D62" s="99" t="s">
        <v>730</v>
      </c>
      <c r="E62" s="99" t="s">
        <v>731</v>
      </c>
      <c r="F62" s="100" t="s">
        <v>732</v>
      </c>
    </row>
    <row r="63" spans="1:6" ht="39" customHeight="1">
      <c r="A63" s="93" t="s">
        <v>733</v>
      </c>
      <c r="B63" s="94" t="s">
        <v>734</v>
      </c>
      <c r="C63" s="93" t="s">
        <v>735</v>
      </c>
      <c r="D63" s="95">
        <v>1687780655907</v>
      </c>
      <c r="E63" s="95">
        <v>1758629451547</v>
      </c>
      <c r="F63" s="96">
        <v>3.3954830582717701</v>
      </c>
    </row>
    <row r="64" spans="1:6" ht="39" customHeight="1">
      <c r="A64" s="93" t="s">
        <v>736</v>
      </c>
      <c r="B64" s="94" t="s">
        <v>737</v>
      </c>
      <c r="C64" s="93" t="s">
        <v>738</v>
      </c>
      <c r="D64" s="95"/>
      <c r="E64" s="95"/>
      <c r="F64" s="96"/>
    </row>
    <row r="65" spans="1:6" ht="56.5" customHeight="1">
      <c r="A65" s="97" t="s">
        <v>739</v>
      </c>
      <c r="B65" s="98" t="s">
        <v>740</v>
      </c>
      <c r="C65" s="97" t="s">
        <v>741</v>
      </c>
      <c r="D65" s="99">
        <v>0</v>
      </c>
      <c r="E65" s="99">
        <v>0</v>
      </c>
      <c r="F65" s="100"/>
    </row>
    <row r="66" spans="1:6" ht="39" customHeight="1">
      <c r="A66" s="97" t="s">
        <v>742</v>
      </c>
      <c r="B66" s="98" t="s">
        <v>743</v>
      </c>
      <c r="C66" s="97" t="s">
        <v>744</v>
      </c>
      <c r="D66" s="99" t="s">
        <v>745</v>
      </c>
      <c r="E66" s="99" t="s">
        <v>746</v>
      </c>
      <c r="F66" s="100" t="s">
        <v>747</v>
      </c>
    </row>
    <row r="67" spans="1:6" ht="39" customHeight="1">
      <c r="A67" s="97" t="s">
        <v>748</v>
      </c>
      <c r="B67" s="98" t="s">
        <v>749</v>
      </c>
      <c r="C67" s="97" t="s">
        <v>750</v>
      </c>
      <c r="D67" s="99">
        <v>0</v>
      </c>
      <c r="E67" s="99">
        <v>101703000000</v>
      </c>
      <c r="F67" s="100">
        <v>0</v>
      </c>
    </row>
    <row r="68" spans="1:6" ht="39" customHeight="1">
      <c r="A68" s="97" t="s">
        <v>751</v>
      </c>
      <c r="B68" s="98" t="s">
        <v>752</v>
      </c>
      <c r="C68" s="97" t="s">
        <v>753</v>
      </c>
      <c r="D68" s="99" t="s">
        <v>754</v>
      </c>
      <c r="E68" s="99" t="s">
        <v>755</v>
      </c>
      <c r="F68" s="100" t="s">
        <v>756</v>
      </c>
    </row>
    <row r="69" spans="1:6" ht="39" customHeight="1">
      <c r="A69" s="97" t="s">
        <v>757</v>
      </c>
      <c r="B69" s="98" t="s">
        <v>758</v>
      </c>
      <c r="C69" s="97" t="s">
        <v>759</v>
      </c>
      <c r="D69" s="99">
        <v>39206607425</v>
      </c>
      <c r="E69" s="99">
        <v>23334971278</v>
      </c>
      <c r="F69" s="100">
        <v>29.483668501836998</v>
      </c>
    </row>
    <row r="70" spans="1:6" ht="39" customHeight="1">
      <c r="A70" s="97" t="s">
        <v>760</v>
      </c>
      <c r="B70" s="98" t="s">
        <v>761</v>
      </c>
      <c r="C70" s="97" t="s">
        <v>762</v>
      </c>
      <c r="D70" s="99" t="s">
        <v>763</v>
      </c>
      <c r="E70" s="99" t="s">
        <v>764</v>
      </c>
      <c r="F70" s="100" t="s">
        <v>765</v>
      </c>
    </row>
    <row r="71" spans="1:6" ht="39" customHeight="1">
      <c r="A71" s="97" t="s">
        <v>766</v>
      </c>
      <c r="B71" s="98" t="s">
        <v>767</v>
      </c>
      <c r="C71" s="97" t="s">
        <v>768</v>
      </c>
      <c r="D71" s="99">
        <v>36492948218</v>
      </c>
      <c r="E71" s="99">
        <v>20804499100</v>
      </c>
      <c r="F71" s="100">
        <v>73.772542350422896</v>
      </c>
    </row>
    <row r="72" spans="1:6" ht="52.5" customHeight="1">
      <c r="A72" s="97" t="s">
        <v>769</v>
      </c>
      <c r="B72" s="98" t="s">
        <v>770</v>
      </c>
      <c r="C72" s="97" t="s">
        <v>771</v>
      </c>
      <c r="D72" s="99">
        <v>9923142711</v>
      </c>
      <c r="E72" s="99">
        <v>3079827759</v>
      </c>
      <c r="F72" s="100">
        <v>62.736740929385903</v>
      </c>
    </row>
    <row r="73" spans="1:6" ht="55.5" customHeight="1">
      <c r="A73" s="97" t="s">
        <v>772</v>
      </c>
      <c r="B73" s="98" t="s">
        <v>773</v>
      </c>
      <c r="C73" s="97" t="s">
        <v>774</v>
      </c>
      <c r="D73" s="99">
        <v>0</v>
      </c>
      <c r="E73" s="99">
        <v>0</v>
      </c>
      <c r="F73" s="100"/>
    </row>
    <row r="74" spans="1:6" ht="39" customHeight="1">
      <c r="A74" s="97" t="s">
        <v>775</v>
      </c>
      <c r="B74" s="98" t="s">
        <v>776</v>
      </c>
      <c r="C74" s="97" t="s">
        <v>777</v>
      </c>
      <c r="D74" s="99">
        <v>0</v>
      </c>
      <c r="E74" s="99">
        <v>0</v>
      </c>
      <c r="F74" s="100"/>
    </row>
    <row r="75" spans="1:6" ht="52" customHeight="1">
      <c r="A75" s="97" t="s">
        <v>778</v>
      </c>
      <c r="B75" s="98" t="s">
        <v>779</v>
      </c>
      <c r="C75" s="97" t="s">
        <v>780</v>
      </c>
      <c r="D75" s="99">
        <v>26569805507</v>
      </c>
      <c r="E75" s="99">
        <v>17724671341</v>
      </c>
      <c r="F75" s="100">
        <v>78.959940686950503</v>
      </c>
    </row>
    <row r="76" spans="1:6" ht="56" customHeight="1">
      <c r="A76" s="97" t="s">
        <v>781</v>
      </c>
      <c r="B76" s="98" t="s">
        <v>782</v>
      </c>
      <c r="C76" s="97" t="s">
        <v>783</v>
      </c>
      <c r="D76" s="99">
        <v>137193084</v>
      </c>
      <c r="E76" s="99">
        <v>118600619</v>
      </c>
      <c r="F76" s="100">
        <v>25.899923089208599</v>
      </c>
    </row>
    <row r="77" spans="1:6" ht="90">
      <c r="A77" s="97" t="s">
        <v>784</v>
      </c>
      <c r="B77" s="98" t="s">
        <v>785</v>
      </c>
      <c r="C77" s="97" t="s">
        <v>786</v>
      </c>
      <c r="D77" s="99">
        <v>405658375</v>
      </c>
      <c r="E77" s="99">
        <v>312076424</v>
      </c>
      <c r="F77" s="100">
        <v>36.680522813928</v>
      </c>
    </row>
    <row r="78" spans="1:6" ht="48" customHeight="1">
      <c r="A78" s="97" t="s">
        <v>787</v>
      </c>
      <c r="B78" s="98" t="s">
        <v>788</v>
      </c>
      <c r="C78" s="97" t="s">
        <v>789</v>
      </c>
      <c r="D78" s="99">
        <v>0</v>
      </c>
      <c r="E78" s="99">
        <v>0</v>
      </c>
      <c r="F78" s="100"/>
    </row>
    <row r="79" spans="1:6" ht="57" customHeight="1">
      <c r="A79" s="97" t="s">
        <v>790</v>
      </c>
      <c r="B79" s="98" t="s">
        <v>791</v>
      </c>
      <c r="C79" s="97" t="s">
        <v>792</v>
      </c>
      <c r="D79" s="99">
        <v>12000000</v>
      </c>
      <c r="E79" s="99">
        <v>11491803</v>
      </c>
      <c r="F79" s="100">
        <v>1</v>
      </c>
    </row>
    <row r="80" spans="1:6" ht="39" customHeight="1">
      <c r="A80" s="97" t="s">
        <v>793</v>
      </c>
      <c r="B80" s="98" t="s">
        <v>794</v>
      </c>
      <c r="C80" s="97" t="s">
        <v>795</v>
      </c>
      <c r="D80" s="99">
        <v>1650065860</v>
      </c>
      <c r="E80" s="99">
        <v>1585755322</v>
      </c>
      <c r="F80" s="100">
        <v>3.7948064640627801</v>
      </c>
    </row>
    <row r="81" spans="1:6" ht="39" customHeight="1">
      <c r="A81" s="97" t="s">
        <v>796</v>
      </c>
      <c r="B81" s="98" t="s">
        <v>797</v>
      </c>
      <c r="C81" s="97" t="s">
        <v>798</v>
      </c>
      <c r="D81" s="99">
        <v>45376811</v>
      </c>
      <c r="E81" s="99">
        <v>43608272</v>
      </c>
      <c r="F81" s="100">
        <v>3.7948063864606998</v>
      </c>
    </row>
    <row r="82" spans="1:6" ht="39" customHeight="1">
      <c r="A82" s="97" t="s">
        <v>799</v>
      </c>
      <c r="B82" s="98" t="s">
        <v>800</v>
      </c>
      <c r="C82" s="97" t="s">
        <v>801</v>
      </c>
      <c r="D82" s="99">
        <v>60502415</v>
      </c>
      <c r="E82" s="99">
        <v>58144361</v>
      </c>
      <c r="F82" s="100">
        <v>3.6587037905258599</v>
      </c>
    </row>
    <row r="83" spans="1:6" ht="39" customHeight="1">
      <c r="A83" s="97" t="s">
        <v>802</v>
      </c>
      <c r="B83" s="98" t="s">
        <v>803</v>
      </c>
      <c r="C83" s="97" t="s">
        <v>804</v>
      </c>
      <c r="D83" s="99">
        <v>192537125</v>
      </c>
      <c r="E83" s="99">
        <v>207792575</v>
      </c>
      <c r="F83" s="100">
        <v>0.96675476832649399</v>
      </c>
    </row>
    <row r="84" spans="1:6" ht="39" customHeight="1">
      <c r="A84" s="97" t="s">
        <v>805</v>
      </c>
      <c r="B84" s="98" t="s">
        <v>806</v>
      </c>
      <c r="C84" s="97" t="s">
        <v>807</v>
      </c>
      <c r="D84" s="99">
        <v>192537125</v>
      </c>
      <c r="E84" s="99">
        <v>207792575</v>
      </c>
      <c r="F84" s="100">
        <v>0.96675476832649399</v>
      </c>
    </row>
    <row r="85" spans="1:6" ht="58.5" customHeight="1">
      <c r="A85" s="97" t="s">
        <v>808</v>
      </c>
      <c r="B85" s="98" t="s">
        <v>809</v>
      </c>
      <c r="C85" s="97" t="s">
        <v>810</v>
      </c>
      <c r="D85" s="99">
        <v>0</v>
      </c>
      <c r="E85" s="99">
        <v>0</v>
      </c>
      <c r="F85" s="100"/>
    </row>
    <row r="86" spans="1:6" ht="39" customHeight="1">
      <c r="A86" s="97" t="s">
        <v>811</v>
      </c>
      <c r="B86" s="98" t="s">
        <v>812</v>
      </c>
      <c r="C86" s="97" t="s">
        <v>813</v>
      </c>
      <c r="D86" s="99">
        <v>49976921</v>
      </c>
      <c r="E86" s="99">
        <v>47801197</v>
      </c>
      <c r="F86" s="100">
        <v>2.9956347831288701</v>
      </c>
    </row>
    <row r="87" spans="1:6" ht="39" customHeight="1">
      <c r="A87" s="97" t="s">
        <v>814</v>
      </c>
      <c r="B87" s="98" t="s">
        <v>815</v>
      </c>
      <c r="C87" s="97" t="s">
        <v>816</v>
      </c>
      <c r="D87" s="99">
        <v>48126921</v>
      </c>
      <c r="E87" s="99">
        <v>46251197</v>
      </c>
      <c r="F87" s="100">
        <v>3.2013652537784698</v>
      </c>
    </row>
    <row r="88" spans="1:6" ht="39" customHeight="1">
      <c r="A88" s="97" t="s">
        <v>817</v>
      </c>
      <c r="B88" s="98" t="s">
        <v>818</v>
      </c>
      <c r="C88" s="97" t="s">
        <v>819</v>
      </c>
      <c r="D88" s="99">
        <v>1100000</v>
      </c>
      <c r="E88" s="99">
        <v>800000</v>
      </c>
      <c r="F88" s="100">
        <v>1.2222222222222201</v>
      </c>
    </row>
    <row r="89" spans="1:6" ht="72.5" customHeight="1">
      <c r="A89" s="97" t="s">
        <v>820</v>
      </c>
      <c r="B89" s="98" t="s">
        <v>821</v>
      </c>
      <c r="C89" s="97" t="s">
        <v>822</v>
      </c>
      <c r="D89" s="99">
        <v>750000</v>
      </c>
      <c r="E89" s="99">
        <v>750000</v>
      </c>
      <c r="F89" s="100">
        <v>1</v>
      </c>
    </row>
    <row r="90" spans="1:6" ht="39" customHeight="1">
      <c r="A90" s="97" t="s">
        <v>823</v>
      </c>
      <c r="B90" s="98" t="s">
        <v>824</v>
      </c>
      <c r="C90" s="97" t="s">
        <v>825</v>
      </c>
      <c r="D90" s="99">
        <v>74480000</v>
      </c>
      <c r="E90" s="99">
        <v>62666697</v>
      </c>
      <c r="F90" s="100">
        <v>0.95</v>
      </c>
    </row>
    <row r="91" spans="1:6" ht="39" customHeight="1">
      <c r="A91" s="97" t="s">
        <v>826</v>
      </c>
      <c r="B91" s="98" t="s">
        <v>827</v>
      </c>
      <c r="C91" s="97" t="s">
        <v>828</v>
      </c>
      <c r="D91" s="99">
        <v>39618616</v>
      </c>
      <c r="E91" s="99">
        <v>33797871</v>
      </c>
      <c r="F91" s="100"/>
    </row>
    <row r="92" spans="1:6" ht="39" customHeight="1">
      <c r="A92" s="97" t="s">
        <v>829</v>
      </c>
      <c r="B92" s="98" t="s">
        <v>830</v>
      </c>
      <c r="C92" s="97" t="s">
        <v>831</v>
      </c>
      <c r="D92" s="99">
        <v>0</v>
      </c>
      <c r="E92" s="99">
        <v>0</v>
      </c>
      <c r="F92" s="100"/>
    </row>
    <row r="93" spans="1:6" ht="39" customHeight="1">
      <c r="A93" s="97" t="s">
        <v>832</v>
      </c>
      <c r="B93" s="98" t="s">
        <v>833</v>
      </c>
      <c r="C93" s="97" t="s">
        <v>834</v>
      </c>
      <c r="D93" s="99">
        <v>11000000</v>
      </c>
      <c r="E93" s="99">
        <v>11000000</v>
      </c>
      <c r="F93" s="100">
        <v>1</v>
      </c>
    </row>
    <row r="94" spans="1:6" ht="72" customHeight="1">
      <c r="A94" s="97" t="s">
        <v>835</v>
      </c>
      <c r="B94" s="98" t="s">
        <v>836</v>
      </c>
      <c r="C94" s="97" t="s">
        <v>837</v>
      </c>
      <c r="D94" s="99">
        <v>0</v>
      </c>
      <c r="E94" s="99">
        <v>0</v>
      </c>
      <c r="F94" s="100"/>
    </row>
    <row r="95" spans="1:6" ht="67" customHeight="1">
      <c r="A95" s="97" t="s">
        <v>838</v>
      </c>
      <c r="B95" s="98" t="s">
        <v>839</v>
      </c>
      <c r="C95" s="97" t="s">
        <v>840</v>
      </c>
      <c r="D95" s="99">
        <v>0</v>
      </c>
      <c r="E95" s="99">
        <v>0</v>
      </c>
      <c r="F95" s="100"/>
    </row>
    <row r="96" spans="1:6" ht="39" customHeight="1">
      <c r="A96" s="97" t="s">
        <v>841</v>
      </c>
      <c r="B96" s="98" t="s">
        <v>842</v>
      </c>
      <c r="C96" s="97" t="s">
        <v>843</v>
      </c>
      <c r="D96" s="99">
        <v>35250000</v>
      </c>
      <c r="E96" s="99">
        <v>37737037</v>
      </c>
      <c r="F96" s="100">
        <v>0.92298628612574896</v>
      </c>
    </row>
    <row r="97" spans="1:6" ht="39" customHeight="1">
      <c r="A97" s="97" t="s">
        <v>844</v>
      </c>
      <c r="B97" s="98" t="s">
        <v>845</v>
      </c>
      <c r="C97" s="97" t="s">
        <v>846</v>
      </c>
      <c r="D97" s="99">
        <v>35250000</v>
      </c>
      <c r="E97" s="99">
        <v>23372283</v>
      </c>
      <c r="F97" s="100">
        <v>1.5</v>
      </c>
    </row>
    <row r="98" spans="1:6" ht="76" customHeight="1">
      <c r="A98" s="97" t="s">
        <v>847</v>
      </c>
      <c r="B98" s="98" t="s">
        <v>848</v>
      </c>
      <c r="C98" s="97" t="s">
        <v>849</v>
      </c>
      <c r="D98" s="99">
        <v>0</v>
      </c>
      <c r="E98" s="99">
        <v>0</v>
      </c>
      <c r="F98" s="100"/>
    </row>
    <row r="99" spans="1:6" ht="70" customHeight="1">
      <c r="A99" s="97" t="s">
        <v>850</v>
      </c>
      <c r="B99" s="98" t="s">
        <v>851</v>
      </c>
      <c r="C99" s="97" t="s">
        <v>852</v>
      </c>
      <c r="D99" s="99">
        <v>0</v>
      </c>
      <c r="E99" s="99">
        <v>14364754</v>
      </c>
      <c r="F99" s="100">
        <v>0</v>
      </c>
    </row>
    <row r="100" spans="1:6" ht="48" customHeight="1">
      <c r="A100" s="97" t="s">
        <v>853</v>
      </c>
      <c r="B100" s="98" t="s">
        <v>854</v>
      </c>
      <c r="C100" s="97" t="s">
        <v>855</v>
      </c>
      <c r="D100" s="99">
        <v>0</v>
      </c>
      <c r="E100" s="99">
        <v>0</v>
      </c>
      <c r="F100" s="100">
        <v>0</v>
      </c>
    </row>
    <row r="101" spans="1:6" ht="39" customHeight="1">
      <c r="A101" s="97" t="s">
        <v>856</v>
      </c>
      <c r="B101" s="98" t="s">
        <v>857</v>
      </c>
      <c r="C101" s="97" t="s">
        <v>858</v>
      </c>
      <c r="D101" s="99">
        <v>0</v>
      </c>
      <c r="E101" s="99">
        <v>0</v>
      </c>
      <c r="F101" s="100"/>
    </row>
    <row r="102" spans="1:6" ht="39" customHeight="1">
      <c r="A102" s="97" t="s">
        <v>859</v>
      </c>
      <c r="B102" s="98" t="s">
        <v>860</v>
      </c>
      <c r="C102" s="97" t="s">
        <v>861</v>
      </c>
      <c r="D102" s="99">
        <v>0</v>
      </c>
      <c r="E102" s="99">
        <v>0</v>
      </c>
      <c r="F102" s="100"/>
    </row>
    <row r="103" spans="1:6" ht="39" customHeight="1">
      <c r="A103" s="97" t="s">
        <v>862</v>
      </c>
      <c r="B103" s="98" t="s">
        <v>863</v>
      </c>
      <c r="C103" s="97" t="s">
        <v>864</v>
      </c>
      <c r="D103" s="99">
        <v>0</v>
      </c>
      <c r="E103" s="99">
        <v>0</v>
      </c>
      <c r="F103" s="100"/>
    </row>
    <row r="104" spans="1:6" ht="46" customHeight="1">
      <c r="A104" s="97" t="s">
        <v>865</v>
      </c>
      <c r="B104" s="98" t="s">
        <v>866</v>
      </c>
      <c r="C104" s="97" t="s">
        <v>867</v>
      </c>
      <c r="D104" s="99">
        <v>0</v>
      </c>
      <c r="E104" s="99">
        <v>0</v>
      </c>
      <c r="F104" s="100"/>
    </row>
    <row r="105" spans="1:6" ht="39" customHeight="1">
      <c r="A105" s="93" t="s">
        <v>868</v>
      </c>
      <c r="B105" s="94" t="s">
        <v>869</v>
      </c>
      <c r="C105" s="93" t="s">
        <v>870</v>
      </c>
      <c r="D105" s="95">
        <v>39206607425</v>
      </c>
      <c r="E105" s="95">
        <v>125037971278</v>
      </c>
      <c r="F105" s="96">
        <v>0.86224890342136595</v>
      </c>
    </row>
    <row r="106" spans="1:6" ht="39" customHeight="1">
      <c r="A106" s="97" t="s">
        <v>871</v>
      </c>
      <c r="B106" s="98" t="s">
        <v>872</v>
      </c>
      <c r="C106" s="97" t="s">
        <v>873</v>
      </c>
      <c r="D106" s="99">
        <v>1648574048482</v>
      </c>
      <c r="E106" s="99">
        <v>1633591480269</v>
      </c>
      <c r="F106" s="100">
        <v>3.65054849433192</v>
      </c>
    </row>
    <row r="107" spans="1:6" ht="39" customHeight="1">
      <c r="A107" s="97" t="s">
        <v>874</v>
      </c>
      <c r="B107" s="98" t="s">
        <v>875</v>
      </c>
      <c r="C107" s="97" t="s">
        <v>876</v>
      </c>
      <c r="D107" s="101">
        <v>60787851.609999999</v>
      </c>
      <c r="E107" s="101">
        <v>60574783.780000001</v>
      </c>
      <c r="F107" s="100">
        <v>3.4176075410664901</v>
      </c>
    </row>
    <row r="108" spans="1:6" ht="39" customHeight="1">
      <c r="A108" s="97" t="s">
        <v>877</v>
      </c>
      <c r="B108" s="98" t="s">
        <v>878</v>
      </c>
      <c r="C108" s="97" t="s">
        <v>879</v>
      </c>
      <c r="D108" s="101">
        <v>27120.12</v>
      </c>
      <c r="E108" s="101">
        <v>26968.17</v>
      </c>
      <c r="F108" s="100">
        <v>1.0681590368336</v>
      </c>
    </row>
    <row r="109" spans="1:6" s="82" customFormat="1" ht="16.899999999999999" customHeight="1"/>
    <row r="110" spans="1:6" s="82" customFormat="1" ht="16.899999999999999" customHeight="1">
      <c r="A110" s="102" t="s">
        <v>10</v>
      </c>
      <c r="B110" s="103"/>
      <c r="C110" s="103"/>
      <c r="E110" s="102" t="s">
        <v>11</v>
      </c>
      <c r="F110" s="103"/>
    </row>
    <row r="111" spans="1:6" s="106" customFormat="1" ht="16.899999999999999" customHeight="1">
      <c r="A111" s="104" t="s">
        <v>12</v>
      </c>
      <c r="B111" s="105"/>
      <c r="C111" s="105"/>
      <c r="E111" s="104" t="s">
        <v>13</v>
      </c>
      <c r="F111" s="105"/>
    </row>
    <row r="112" spans="1:6" s="82" customFormat="1" ht="16.899999999999999" customHeight="1">
      <c r="A112" s="103"/>
      <c r="B112" s="103"/>
      <c r="C112" s="103"/>
      <c r="D112" s="103"/>
      <c r="E112" s="103"/>
      <c r="F112" s="103"/>
    </row>
    <row r="113" spans="1:6" s="82" customFormat="1" ht="16.899999999999999" customHeight="1">
      <c r="A113" s="103"/>
      <c r="B113" s="103"/>
      <c r="C113" s="103"/>
      <c r="D113" s="103"/>
      <c r="E113" s="103"/>
      <c r="F113" s="103"/>
    </row>
    <row r="114" spans="1:6" s="82" customFormat="1" ht="16.899999999999999" customHeight="1">
      <c r="A114" s="103"/>
      <c r="B114" s="103"/>
      <c r="C114" s="103"/>
      <c r="D114" s="103"/>
      <c r="E114" s="103"/>
      <c r="F114" s="103"/>
    </row>
    <row r="115" spans="1:6" s="82" customFormat="1" ht="16.899999999999999" customHeight="1">
      <c r="A115" s="103"/>
      <c r="B115" s="103"/>
      <c r="C115" s="103"/>
      <c r="D115" s="103"/>
      <c r="E115" s="103"/>
      <c r="F115" s="103"/>
    </row>
    <row r="116" spans="1:6" s="82" customFormat="1" ht="16.899999999999999" customHeight="1">
      <c r="A116" s="103"/>
      <c r="B116" s="103"/>
      <c r="C116" s="103"/>
      <c r="D116" s="103"/>
      <c r="E116" s="103"/>
      <c r="F116" s="103"/>
    </row>
    <row r="117" spans="1:6" s="82" customFormat="1" ht="16.899999999999999" customHeight="1">
      <c r="A117" s="103"/>
      <c r="B117" s="103"/>
      <c r="C117" s="103"/>
      <c r="D117" s="103"/>
      <c r="E117" s="103"/>
      <c r="F117" s="103"/>
    </row>
    <row r="118" spans="1:6" s="82" customFormat="1" ht="16.899999999999999" customHeight="1">
      <c r="A118" s="107"/>
      <c r="B118" s="107"/>
      <c r="C118" s="103"/>
      <c r="D118" s="103"/>
      <c r="E118" s="107"/>
      <c r="F118" s="107"/>
    </row>
    <row r="119" spans="1:6" s="82" customFormat="1" ht="16.899999999999999" customHeight="1">
      <c r="A119" s="108" t="s">
        <v>14</v>
      </c>
      <c r="B119" s="109"/>
      <c r="C119" s="103"/>
      <c r="E119" s="108" t="s">
        <v>882</v>
      </c>
      <c r="F119" s="109"/>
    </row>
    <row r="120" spans="1:6" s="82" customFormat="1" ht="16.899999999999999" customHeight="1">
      <c r="A120" s="110" t="s">
        <v>888</v>
      </c>
      <c r="B120" s="103"/>
      <c r="C120" s="103"/>
      <c r="E120" s="110" t="s">
        <v>889</v>
      </c>
      <c r="F120" s="103"/>
    </row>
    <row r="121" spans="1:6" s="82" customFormat="1" ht="16.899999999999999" customHeight="1">
      <c r="A121" s="103" t="s">
        <v>890</v>
      </c>
      <c r="B121" s="103"/>
      <c r="C121" s="103"/>
      <c r="E121" s="103" t="s">
        <v>891</v>
      </c>
      <c r="F121" s="103"/>
    </row>
    <row r="122" spans="1:6" ht="16.899999999999999" customHeight="1"/>
  </sheetData>
  <mergeCells count="20">
    <mergeCell ref="A14:B14"/>
    <mergeCell ref="C14:F14"/>
    <mergeCell ref="A11:B11"/>
    <mergeCell ref="C11:F11"/>
    <mergeCell ref="A12:B12"/>
    <mergeCell ref="C12:F12"/>
    <mergeCell ref="A13:B13"/>
    <mergeCell ref="C13:F13"/>
    <mergeCell ref="A8:B8"/>
    <mergeCell ref="C8:F8"/>
    <mergeCell ref="A9:B9"/>
    <mergeCell ref="C9:F9"/>
    <mergeCell ref="A10:B10"/>
    <mergeCell ref="C10:F10"/>
    <mergeCell ref="A1:F1"/>
    <mergeCell ref="A2:F2"/>
    <mergeCell ref="A3:F4"/>
    <mergeCell ref="A5:F5"/>
    <mergeCell ref="A7:B7"/>
    <mergeCell ref="C7:F7"/>
  </mergeCells>
  <printOptions horizontalCentered="1"/>
  <pageMargins left="0.3" right="0.3" top="0.75" bottom="0.5" header="0.3" footer="0.3"/>
  <pageSetup paperSize="9" scale="53" fitToHeight="0" orientation="portrait" r:id="rId1"/>
  <headerFooter>
    <oddHeader>&amp;L&amp;"Arial"&amp;9&amp;KA80000CONFIDENTIAL&amp;1#</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8"/>
  <sheetViews>
    <sheetView view="pageBreakPreview" zoomScale="80" zoomScaleNormal="100" zoomScaleSheetLayoutView="80" workbookViewId="0">
      <selection activeCell="A100" sqref="A100:XFD100"/>
    </sheetView>
  </sheetViews>
  <sheetFormatPr defaultColWidth="8.7265625" defaultRowHeight="15"/>
  <cols>
    <col min="1" max="1" width="8.7265625" style="83"/>
    <col min="2" max="2" width="46.26953125" style="83" customWidth="1"/>
    <col min="3" max="3" width="10.7265625" style="83" bestFit="1" customWidth="1"/>
    <col min="4" max="6" width="36.81640625" style="83" customWidth="1"/>
    <col min="7" max="16384" width="8.7265625" style="111"/>
  </cols>
  <sheetData>
    <row r="1" spans="1:6" ht="54.75" customHeight="1">
      <c r="A1" s="193" t="s">
        <v>300</v>
      </c>
      <c r="B1" s="193"/>
      <c r="C1" s="193"/>
      <c r="D1" s="193"/>
      <c r="E1" s="193"/>
      <c r="F1" s="193"/>
    </row>
    <row r="2" spans="1:6" ht="54.75" customHeight="1">
      <c r="A2" s="194" t="s">
        <v>301</v>
      </c>
      <c r="B2" s="194"/>
      <c r="C2" s="194"/>
      <c r="D2" s="194"/>
      <c r="E2" s="194"/>
      <c r="F2" s="194"/>
    </row>
    <row r="3" spans="1:6" ht="22.5" customHeight="1">
      <c r="A3" s="195" t="s">
        <v>251</v>
      </c>
      <c r="B3" s="195"/>
      <c r="C3" s="195"/>
      <c r="D3" s="195"/>
      <c r="E3" s="195"/>
      <c r="F3" s="195"/>
    </row>
    <row r="4" spans="1:6" ht="21" customHeight="1">
      <c r="A4" s="195"/>
      <c r="B4" s="195"/>
      <c r="C4" s="195"/>
      <c r="D4" s="195"/>
      <c r="E4" s="195"/>
      <c r="F4" s="195"/>
    </row>
    <row r="5" spans="1:6" ht="16.149999999999999" customHeight="1">
      <c r="A5" s="196" t="s">
        <v>881</v>
      </c>
      <c r="B5" s="196"/>
      <c r="C5" s="196"/>
      <c r="D5" s="196"/>
      <c r="E5" s="196"/>
      <c r="F5" s="196"/>
    </row>
    <row r="7" spans="1:6" ht="16.899999999999999" customHeight="1">
      <c r="A7" s="112" t="s">
        <v>2</v>
      </c>
      <c r="C7" s="197" t="s">
        <v>882</v>
      </c>
      <c r="D7" s="197"/>
      <c r="E7" s="197"/>
      <c r="F7" s="197"/>
    </row>
    <row r="8" spans="1:6" ht="16.899999999999999" customHeight="1">
      <c r="A8" s="83" t="s">
        <v>15</v>
      </c>
      <c r="C8" s="192" t="s">
        <v>883</v>
      </c>
      <c r="D8" s="192"/>
      <c r="E8" s="192"/>
      <c r="F8" s="192"/>
    </row>
    <row r="9" spans="1:6" ht="16.899999999999999" customHeight="1">
      <c r="A9" s="112" t="s">
        <v>3</v>
      </c>
      <c r="C9" s="197" t="s">
        <v>884</v>
      </c>
      <c r="D9" s="197"/>
      <c r="E9" s="197"/>
      <c r="F9" s="197"/>
    </row>
    <row r="10" spans="1:6" ht="16.899999999999999" customHeight="1">
      <c r="A10" s="83" t="s">
        <v>4</v>
      </c>
      <c r="C10" s="192" t="s">
        <v>885</v>
      </c>
      <c r="D10" s="192"/>
      <c r="E10" s="192"/>
      <c r="F10" s="192"/>
    </row>
    <row r="11" spans="1:6" ht="16.899999999999999" customHeight="1">
      <c r="A11" s="112" t="s">
        <v>5</v>
      </c>
      <c r="C11" s="197" t="s">
        <v>353</v>
      </c>
      <c r="D11" s="197"/>
      <c r="E11" s="197"/>
      <c r="F11" s="197"/>
    </row>
    <row r="12" spans="1:6" ht="16.899999999999999" customHeight="1">
      <c r="A12" s="83" t="s">
        <v>6</v>
      </c>
      <c r="C12" s="192" t="s">
        <v>896</v>
      </c>
      <c r="D12" s="192"/>
      <c r="E12" s="192"/>
      <c r="F12" s="192"/>
    </row>
    <row r="13" spans="1:6" ht="16.899999999999999" customHeight="1">
      <c r="A13" s="112" t="s">
        <v>7</v>
      </c>
      <c r="C13" s="197" t="s">
        <v>886</v>
      </c>
      <c r="D13" s="197"/>
      <c r="E13" s="197"/>
      <c r="F13" s="197"/>
    </row>
    <row r="14" spans="1:6" ht="16.899999999999999" customHeight="1">
      <c r="A14" s="83" t="s">
        <v>8</v>
      </c>
      <c r="C14" s="192" t="s">
        <v>887</v>
      </c>
      <c r="D14" s="192"/>
      <c r="E14" s="192"/>
      <c r="F14" s="192"/>
    </row>
    <row r="15" spans="1:6" ht="16.899999999999999" customHeight="1"/>
    <row r="16" spans="1:6" ht="16.899999999999999" customHeight="1">
      <c r="A16" s="86" t="s">
        <v>298</v>
      </c>
      <c r="B16" s="87" t="s">
        <v>299</v>
      </c>
    </row>
    <row r="17" spans="1:6" ht="16.899999999999999" customHeight="1">
      <c r="A17" s="113" t="s">
        <v>21</v>
      </c>
      <c r="B17" s="114" t="s">
        <v>22</v>
      </c>
    </row>
    <row r="18" spans="1:6" ht="45">
      <c r="A18" s="115" t="s">
        <v>17</v>
      </c>
      <c r="B18" s="115" t="s">
        <v>18</v>
      </c>
      <c r="C18" s="115" t="s">
        <v>19</v>
      </c>
      <c r="D18" s="116" t="s">
        <v>894</v>
      </c>
      <c r="E18" s="116" t="s">
        <v>895</v>
      </c>
      <c r="F18" s="116" t="s">
        <v>304</v>
      </c>
    </row>
    <row r="19" spans="1:6" s="121" customFormat="1" ht="40" customHeight="1">
      <c r="A19" s="117" t="s">
        <v>16</v>
      </c>
      <c r="B19" s="118" t="s">
        <v>30</v>
      </c>
      <c r="C19" s="119" t="s">
        <v>44</v>
      </c>
      <c r="D19" s="120">
        <v>10832961716</v>
      </c>
      <c r="E19" s="120">
        <v>9989120950</v>
      </c>
      <c r="F19" s="120">
        <v>94422054315</v>
      </c>
    </row>
    <row r="20" spans="1:6" ht="58" customHeight="1">
      <c r="A20" s="122">
        <v>1</v>
      </c>
      <c r="B20" s="123" t="s">
        <v>255</v>
      </c>
      <c r="C20" s="124" t="s">
        <v>51</v>
      </c>
      <c r="D20" s="125">
        <v>0</v>
      </c>
      <c r="E20" s="125">
        <v>0</v>
      </c>
      <c r="F20" s="125">
        <v>0</v>
      </c>
    </row>
    <row r="21" spans="1:6">
      <c r="A21" s="126" t="s">
        <v>256</v>
      </c>
      <c r="B21" s="126" t="s">
        <v>256</v>
      </c>
      <c r="C21" s="126" t="s">
        <v>256</v>
      </c>
      <c r="D21" s="127" t="s">
        <v>256</v>
      </c>
      <c r="E21" s="127" t="s">
        <v>257</v>
      </c>
      <c r="F21" s="127" t="s">
        <v>257</v>
      </c>
    </row>
    <row r="22" spans="1:6" ht="40.5" customHeight="1">
      <c r="A22" s="122">
        <v>2</v>
      </c>
      <c r="B22" s="123" t="s">
        <v>213</v>
      </c>
      <c r="C22" s="124" t="s">
        <v>45</v>
      </c>
      <c r="D22" s="125">
        <v>7749155913</v>
      </c>
      <c r="E22" s="125">
        <v>6626768211</v>
      </c>
      <c r="F22" s="125">
        <v>64672633442</v>
      </c>
    </row>
    <row r="23" spans="1:6">
      <c r="A23" s="126" t="s">
        <v>256</v>
      </c>
      <c r="B23" s="126" t="s">
        <v>256</v>
      </c>
      <c r="C23" s="126" t="s">
        <v>256</v>
      </c>
      <c r="D23" s="127" t="s">
        <v>256</v>
      </c>
      <c r="E23" s="127" t="s">
        <v>257</v>
      </c>
      <c r="F23" s="127" t="s">
        <v>257</v>
      </c>
    </row>
    <row r="24" spans="1:6" ht="39.5" customHeight="1">
      <c r="A24" s="128"/>
      <c r="B24" s="129" t="s">
        <v>214</v>
      </c>
      <c r="C24" s="130" t="s">
        <v>46</v>
      </c>
      <c r="D24" s="125">
        <v>0</v>
      </c>
      <c r="E24" s="125">
        <v>0</v>
      </c>
      <c r="F24" s="125">
        <v>0</v>
      </c>
    </row>
    <row r="25" spans="1:6" ht="39.5" customHeight="1">
      <c r="A25" s="128"/>
      <c r="B25" s="129" t="s">
        <v>215</v>
      </c>
      <c r="C25" s="130" t="s">
        <v>47</v>
      </c>
      <c r="D25" s="125">
        <v>7749155913</v>
      </c>
      <c r="E25" s="125">
        <v>6626768211</v>
      </c>
      <c r="F25" s="125">
        <v>64672633442</v>
      </c>
    </row>
    <row r="26" spans="1:6" ht="39.5" customHeight="1">
      <c r="A26" s="122">
        <v>3</v>
      </c>
      <c r="B26" s="123" t="s">
        <v>216</v>
      </c>
      <c r="C26" s="124" t="s">
        <v>48</v>
      </c>
      <c r="D26" s="125">
        <v>3083805803</v>
      </c>
      <c r="E26" s="125">
        <v>3362352739</v>
      </c>
      <c r="F26" s="125">
        <v>29749420873</v>
      </c>
    </row>
    <row r="27" spans="1:6">
      <c r="A27" s="126" t="s">
        <v>256</v>
      </c>
      <c r="B27" s="126" t="s">
        <v>256</v>
      </c>
      <c r="C27" s="126" t="s">
        <v>256</v>
      </c>
      <c r="D27" s="127" t="s">
        <v>256</v>
      </c>
      <c r="E27" s="127" t="s">
        <v>256</v>
      </c>
      <c r="F27" s="127" t="s">
        <v>256</v>
      </c>
    </row>
    <row r="28" spans="1:6" ht="43" customHeight="1">
      <c r="A28" s="128"/>
      <c r="B28" s="129" t="s">
        <v>180</v>
      </c>
      <c r="C28" s="130" t="s">
        <v>49</v>
      </c>
      <c r="D28" s="125">
        <v>1472655119</v>
      </c>
      <c r="E28" s="125">
        <v>1622352738</v>
      </c>
      <c r="F28" s="125">
        <v>13238023615</v>
      </c>
    </row>
    <row r="29" spans="1:6" ht="54.5" customHeight="1">
      <c r="A29" s="128"/>
      <c r="B29" s="129" t="s">
        <v>363</v>
      </c>
      <c r="C29" s="130" t="s">
        <v>50</v>
      </c>
      <c r="D29" s="125">
        <v>1611150684</v>
      </c>
      <c r="E29" s="125">
        <v>1740000001</v>
      </c>
      <c r="F29" s="125">
        <v>16511397258</v>
      </c>
    </row>
    <row r="30" spans="1:6" ht="44.5" customHeight="1">
      <c r="A30" s="128"/>
      <c r="B30" s="129" t="s">
        <v>231</v>
      </c>
      <c r="C30" s="130" t="s">
        <v>179</v>
      </c>
      <c r="D30" s="125">
        <v>0</v>
      </c>
      <c r="E30" s="125">
        <v>0</v>
      </c>
      <c r="F30" s="125">
        <v>0</v>
      </c>
    </row>
    <row r="31" spans="1:6" s="121" customFormat="1" ht="44.5" customHeight="1">
      <c r="A31" s="122">
        <v>4</v>
      </c>
      <c r="B31" s="123" t="s">
        <v>217</v>
      </c>
      <c r="C31" s="124" t="s">
        <v>51</v>
      </c>
      <c r="D31" s="125">
        <v>0</v>
      </c>
      <c r="E31" s="125">
        <v>0</v>
      </c>
      <c r="F31" s="125">
        <v>0</v>
      </c>
    </row>
    <row r="32" spans="1:6">
      <c r="A32" s="126" t="s">
        <v>256</v>
      </c>
      <c r="B32" s="126" t="s">
        <v>256</v>
      </c>
      <c r="C32" s="126" t="s">
        <v>256</v>
      </c>
      <c r="D32" s="127" t="s">
        <v>256</v>
      </c>
      <c r="E32" s="127" t="s">
        <v>256</v>
      </c>
      <c r="F32" s="127" t="s">
        <v>256</v>
      </c>
    </row>
    <row r="33" spans="1:6" ht="45" customHeight="1">
      <c r="A33" s="131"/>
      <c r="B33" s="132" t="s">
        <v>218</v>
      </c>
      <c r="C33" s="133" t="s">
        <v>52</v>
      </c>
      <c r="D33" s="125">
        <v>0</v>
      </c>
      <c r="E33" s="125">
        <v>0</v>
      </c>
      <c r="F33" s="125">
        <v>0</v>
      </c>
    </row>
    <row r="34" spans="1:6" ht="45" customHeight="1">
      <c r="A34" s="131"/>
      <c r="B34" s="132" t="s">
        <v>219</v>
      </c>
      <c r="C34" s="133" t="s">
        <v>53</v>
      </c>
      <c r="D34" s="125">
        <v>0</v>
      </c>
      <c r="E34" s="125">
        <v>0</v>
      </c>
      <c r="F34" s="125">
        <v>0</v>
      </c>
    </row>
    <row r="35" spans="1:6" ht="101.5" customHeight="1">
      <c r="A35" s="131"/>
      <c r="B35" s="132" t="s">
        <v>31</v>
      </c>
      <c r="C35" s="133" t="s">
        <v>54</v>
      </c>
      <c r="D35" s="125">
        <v>0</v>
      </c>
      <c r="E35" s="125">
        <v>0</v>
      </c>
      <c r="F35" s="125">
        <v>0</v>
      </c>
    </row>
    <row r="36" spans="1:6" ht="40.5" customHeight="1">
      <c r="A36" s="117" t="s">
        <v>21</v>
      </c>
      <c r="B36" s="118" t="s">
        <v>220</v>
      </c>
      <c r="C36" s="119" t="s">
        <v>55</v>
      </c>
      <c r="D36" s="134">
        <v>1954948016</v>
      </c>
      <c r="E36" s="134">
        <v>1849025149</v>
      </c>
      <c r="F36" s="134">
        <v>17785928645</v>
      </c>
    </row>
    <row r="37" spans="1:6" ht="55" customHeight="1">
      <c r="A37" s="122">
        <v>1</v>
      </c>
      <c r="B37" s="123" t="s">
        <v>258</v>
      </c>
      <c r="C37" s="124" t="s">
        <v>56</v>
      </c>
      <c r="D37" s="125">
        <v>1650065860</v>
      </c>
      <c r="E37" s="125">
        <v>1585755322</v>
      </c>
      <c r="F37" s="125">
        <v>14826392925</v>
      </c>
    </row>
    <row r="38" spans="1:6">
      <c r="A38" s="126" t="s">
        <v>256</v>
      </c>
      <c r="B38" s="126" t="s">
        <v>256</v>
      </c>
      <c r="C38" s="126" t="s">
        <v>256</v>
      </c>
      <c r="D38" s="127" t="s">
        <v>256</v>
      </c>
      <c r="E38" s="127" t="s">
        <v>256</v>
      </c>
      <c r="F38" s="127" t="s">
        <v>256</v>
      </c>
    </row>
    <row r="39" spans="1:6" ht="68" customHeight="1">
      <c r="A39" s="122">
        <v>2</v>
      </c>
      <c r="B39" s="123" t="s">
        <v>365</v>
      </c>
      <c r="C39" s="124" t="s">
        <v>57</v>
      </c>
      <c r="D39" s="125">
        <v>111379944</v>
      </c>
      <c r="E39" s="125">
        <v>108641463</v>
      </c>
      <c r="F39" s="125">
        <v>1048321067</v>
      </c>
    </row>
    <row r="40" spans="1:6">
      <c r="A40" s="126" t="s">
        <v>256</v>
      </c>
      <c r="B40" s="126" t="s">
        <v>256</v>
      </c>
      <c r="C40" s="126" t="s">
        <v>256</v>
      </c>
      <c r="D40" s="127" t="s">
        <v>256</v>
      </c>
      <c r="E40" s="127" t="s">
        <v>256</v>
      </c>
      <c r="F40" s="127" t="s">
        <v>256</v>
      </c>
    </row>
    <row r="41" spans="1:6" ht="37.5" customHeight="1">
      <c r="A41" s="135"/>
      <c r="B41" s="129" t="s">
        <v>259</v>
      </c>
      <c r="C41" s="130" t="s">
        <v>58</v>
      </c>
      <c r="D41" s="125">
        <v>48126921</v>
      </c>
      <c r="E41" s="125">
        <v>46251197</v>
      </c>
      <c r="F41" s="125">
        <v>474411221</v>
      </c>
    </row>
    <row r="42" spans="1:6" ht="45">
      <c r="A42" s="135"/>
      <c r="B42" s="129" t="s">
        <v>260</v>
      </c>
      <c r="C42" s="130" t="s">
        <v>59</v>
      </c>
      <c r="D42" s="125">
        <v>1300000</v>
      </c>
      <c r="E42" s="125">
        <v>2900000</v>
      </c>
      <c r="F42" s="125">
        <v>19500000</v>
      </c>
    </row>
    <row r="43" spans="1:6" ht="86.5" customHeight="1">
      <c r="A43" s="135"/>
      <c r="B43" s="129" t="s">
        <v>366</v>
      </c>
      <c r="C43" s="130" t="s">
        <v>60</v>
      </c>
      <c r="D43" s="125">
        <v>1450608</v>
      </c>
      <c r="E43" s="125">
        <v>1345905</v>
      </c>
      <c r="F43" s="125">
        <v>10775439</v>
      </c>
    </row>
    <row r="44" spans="1:6" ht="45" customHeight="1">
      <c r="A44" s="135"/>
      <c r="B44" s="129" t="s">
        <v>261</v>
      </c>
      <c r="C44" s="130" t="s">
        <v>61</v>
      </c>
      <c r="D44" s="125">
        <v>60502415</v>
      </c>
      <c r="E44" s="125">
        <v>58144361</v>
      </c>
      <c r="F44" s="125">
        <v>543634407</v>
      </c>
    </row>
    <row r="45" spans="1:6" ht="84.5" customHeight="1">
      <c r="A45" s="122">
        <v>3</v>
      </c>
      <c r="B45" s="136" t="s">
        <v>262</v>
      </c>
      <c r="C45" s="124" t="s">
        <v>62</v>
      </c>
      <c r="D45" s="125">
        <v>56376811</v>
      </c>
      <c r="E45" s="125">
        <v>54608272</v>
      </c>
      <c r="F45" s="125">
        <v>539725800</v>
      </c>
    </row>
    <row r="46" spans="1:6">
      <c r="A46" s="126" t="s">
        <v>256</v>
      </c>
      <c r="B46" s="126" t="s">
        <v>256</v>
      </c>
      <c r="C46" s="126" t="s">
        <v>256</v>
      </c>
      <c r="D46" s="127" t="s">
        <v>256</v>
      </c>
      <c r="E46" s="127" t="s">
        <v>256</v>
      </c>
      <c r="F46" s="127" t="s">
        <v>256</v>
      </c>
    </row>
    <row r="47" spans="1:6" ht="39" customHeight="1">
      <c r="A47" s="135"/>
      <c r="B47" s="137" t="s">
        <v>232</v>
      </c>
      <c r="C47" s="130" t="s">
        <v>63</v>
      </c>
      <c r="D47" s="125">
        <v>45376811</v>
      </c>
      <c r="E47" s="125">
        <v>43608272</v>
      </c>
      <c r="F47" s="125">
        <v>407725800</v>
      </c>
    </row>
    <row r="48" spans="1:6" ht="39" customHeight="1">
      <c r="A48" s="135"/>
      <c r="B48" s="137" t="s">
        <v>32</v>
      </c>
      <c r="C48" s="130" t="s">
        <v>64</v>
      </c>
      <c r="D48" s="125">
        <v>11000000</v>
      </c>
      <c r="E48" s="125">
        <v>11000000</v>
      </c>
      <c r="F48" s="125">
        <v>132000000</v>
      </c>
    </row>
    <row r="49" spans="1:6" ht="70" customHeight="1">
      <c r="A49" s="135">
        <v>4</v>
      </c>
      <c r="B49" s="137" t="s">
        <v>263</v>
      </c>
      <c r="C49" s="130"/>
      <c r="D49" s="125">
        <v>0</v>
      </c>
      <c r="E49" s="125">
        <v>0</v>
      </c>
      <c r="F49" s="125">
        <v>0</v>
      </c>
    </row>
    <row r="50" spans="1:6">
      <c r="A50" s="126" t="s">
        <v>256</v>
      </c>
      <c r="B50" s="126" t="s">
        <v>256</v>
      </c>
      <c r="C50" s="126" t="s">
        <v>256</v>
      </c>
      <c r="D50" s="127" t="s">
        <v>256</v>
      </c>
      <c r="E50" s="127" t="s">
        <v>256</v>
      </c>
      <c r="F50" s="127" t="s">
        <v>256</v>
      </c>
    </row>
    <row r="51" spans="1:6" ht="68" customHeight="1">
      <c r="A51" s="135">
        <v>5</v>
      </c>
      <c r="B51" s="137" t="s">
        <v>264</v>
      </c>
      <c r="C51" s="130"/>
      <c r="D51" s="125">
        <v>0</v>
      </c>
      <c r="E51" s="125">
        <v>0</v>
      </c>
      <c r="F51" s="125">
        <v>0</v>
      </c>
    </row>
    <row r="52" spans="1:6">
      <c r="A52" s="126" t="s">
        <v>256</v>
      </c>
      <c r="B52" s="126" t="s">
        <v>256</v>
      </c>
      <c r="C52" s="126" t="s">
        <v>256</v>
      </c>
      <c r="D52" s="127" t="s">
        <v>256</v>
      </c>
      <c r="E52" s="127" t="s">
        <v>256</v>
      </c>
      <c r="F52" s="127" t="s">
        <v>256</v>
      </c>
    </row>
    <row r="53" spans="1:6" ht="41.5" customHeight="1">
      <c r="A53" s="122">
        <v>6</v>
      </c>
      <c r="B53" s="123" t="s">
        <v>33</v>
      </c>
      <c r="C53" s="124" t="s">
        <v>65</v>
      </c>
      <c r="D53" s="125">
        <v>11813303</v>
      </c>
      <c r="E53" s="125">
        <v>11432230</v>
      </c>
      <c r="F53" s="125">
        <v>145957528</v>
      </c>
    </row>
    <row r="54" spans="1:6">
      <c r="A54" s="126" t="s">
        <v>256</v>
      </c>
      <c r="B54" s="126" t="s">
        <v>256</v>
      </c>
      <c r="C54" s="126" t="s">
        <v>256</v>
      </c>
      <c r="D54" s="127" t="s">
        <v>256</v>
      </c>
      <c r="E54" s="127" t="s">
        <v>256</v>
      </c>
      <c r="F54" s="127" t="s">
        <v>256</v>
      </c>
    </row>
    <row r="55" spans="1:6" ht="100.5" customHeight="1">
      <c r="A55" s="122">
        <v>7</v>
      </c>
      <c r="B55" s="123" t="s">
        <v>233</v>
      </c>
      <c r="C55" s="124" t="s">
        <v>66</v>
      </c>
      <c r="D55" s="125">
        <v>22070048</v>
      </c>
      <c r="E55" s="125">
        <v>21551660</v>
      </c>
      <c r="F55" s="125">
        <v>238700000</v>
      </c>
    </row>
    <row r="56" spans="1:6">
      <c r="A56" s="126" t="s">
        <v>256</v>
      </c>
      <c r="B56" s="126" t="s">
        <v>256</v>
      </c>
      <c r="C56" s="126" t="s">
        <v>256</v>
      </c>
      <c r="D56" s="127" t="s">
        <v>256</v>
      </c>
      <c r="E56" s="127" t="s">
        <v>256</v>
      </c>
      <c r="F56" s="127" t="s">
        <v>256</v>
      </c>
    </row>
    <row r="57" spans="1:6" ht="54.5" customHeight="1">
      <c r="A57" s="135"/>
      <c r="B57" s="138" t="s">
        <v>234</v>
      </c>
      <c r="C57" s="130" t="s">
        <v>67</v>
      </c>
      <c r="D57" s="125">
        <v>6508197</v>
      </c>
      <c r="E57" s="125">
        <v>6491803</v>
      </c>
      <c r="F57" s="125">
        <v>78000000</v>
      </c>
    </row>
    <row r="58" spans="1:6" ht="39" customHeight="1">
      <c r="A58" s="135"/>
      <c r="B58" s="138" t="s">
        <v>221</v>
      </c>
      <c r="C58" s="130" t="s">
        <v>68</v>
      </c>
      <c r="D58" s="125">
        <v>11877717</v>
      </c>
      <c r="E58" s="125">
        <v>11494566</v>
      </c>
      <c r="F58" s="125">
        <v>117500000</v>
      </c>
    </row>
    <row r="59" spans="1:6" ht="39" customHeight="1">
      <c r="A59" s="135"/>
      <c r="B59" s="138" t="s">
        <v>34</v>
      </c>
      <c r="C59" s="130" t="s">
        <v>69</v>
      </c>
      <c r="D59" s="125">
        <v>3684134</v>
      </c>
      <c r="E59" s="125">
        <v>3565291</v>
      </c>
      <c r="F59" s="125">
        <v>43200000</v>
      </c>
    </row>
    <row r="60" spans="1:6" ht="210">
      <c r="A60" s="122">
        <v>8</v>
      </c>
      <c r="B60" s="136" t="s">
        <v>235</v>
      </c>
      <c r="C60" s="124" t="s">
        <v>70</v>
      </c>
      <c r="D60" s="125">
        <v>14463673</v>
      </c>
      <c r="E60" s="125">
        <v>13997111</v>
      </c>
      <c r="F60" s="125">
        <v>142737439</v>
      </c>
    </row>
    <row r="61" spans="1:6">
      <c r="A61" s="126" t="s">
        <v>256</v>
      </c>
      <c r="B61" s="126" t="s">
        <v>256</v>
      </c>
      <c r="C61" s="126" t="s">
        <v>256</v>
      </c>
      <c r="D61" s="127" t="s">
        <v>256</v>
      </c>
      <c r="E61" s="127" t="s">
        <v>256</v>
      </c>
      <c r="F61" s="127" t="s">
        <v>256</v>
      </c>
    </row>
    <row r="62" spans="1:6" ht="39.5" customHeight="1">
      <c r="A62" s="135"/>
      <c r="B62" s="137" t="s">
        <v>222</v>
      </c>
      <c r="C62" s="130" t="s">
        <v>71</v>
      </c>
      <c r="D62" s="125">
        <v>14463673</v>
      </c>
      <c r="E62" s="125">
        <v>13997111</v>
      </c>
      <c r="F62" s="125">
        <v>142737439</v>
      </c>
    </row>
    <row r="63" spans="1:6" ht="39.5" customHeight="1">
      <c r="A63" s="135"/>
      <c r="B63" s="137" t="s">
        <v>141</v>
      </c>
      <c r="C63" s="130" t="s">
        <v>72</v>
      </c>
      <c r="D63" s="125">
        <v>0</v>
      </c>
      <c r="E63" s="125">
        <v>0</v>
      </c>
      <c r="F63" s="125">
        <v>0</v>
      </c>
    </row>
    <row r="64" spans="1:6" s="121" customFormat="1" ht="54" customHeight="1">
      <c r="A64" s="135"/>
      <c r="B64" s="137" t="s">
        <v>236</v>
      </c>
      <c r="C64" s="130" t="s">
        <v>73</v>
      </c>
      <c r="D64" s="125">
        <v>0</v>
      </c>
      <c r="E64" s="125">
        <v>0</v>
      </c>
      <c r="F64" s="125">
        <v>0</v>
      </c>
    </row>
    <row r="65" spans="1:6" s="121" customFormat="1" ht="45">
      <c r="A65" s="135"/>
      <c r="B65" s="138" t="s">
        <v>223</v>
      </c>
      <c r="C65" s="130" t="s">
        <v>74</v>
      </c>
      <c r="D65" s="125">
        <v>0</v>
      </c>
      <c r="E65" s="125">
        <v>0</v>
      </c>
      <c r="F65" s="125">
        <v>0</v>
      </c>
    </row>
    <row r="66" spans="1:6" ht="36.5" customHeight="1">
      <c r="A66" s="135"/>
      <c r="B66" s="138" t="s">
        <v>265</v>
      </c>
      <c r="C66" s="130" t="s">
        <v>75</v>
      </c>
      <c r="D66" s="125">
        <v>0</v>
      </c>
      <c r="E66" s="125">
        <v>0</v>
      </c>
      <c r="F66" s="125">
        <v>0</v>
      </c>
    </row>
    <row r="67" spans="1:6" ht="69" customHeight="1">
      <c r="A67" s="122">
        <v>9</v>
      </c>
      <c r="B67" s="123" t="s">
        <v>237</v>
      </c>
      <c r="C67" s="124" t="s">
        <v>76</v>
      </c>
      <c r="D67" s="125">
        <v>85706631</v>
      </c>
      <c r="E67" s="125">
        <v>51418937</v>
      </c>
      <c r="F67" s="125">
        <v>770495036</v>
      </c>
    </row>
    <row r="68" spans="1:6" s="121" customFormat="1">
      <c r="A68" s="126" t="s">
        <v>256</v>
      </c>
      <c r="B68" s="126" t="s">
        <v>256</v>
      </c>
      <c r="C68" s="126" t="s">
        <v>256</v>
      </c>
      <c r="D68" s="127" t="s">
        <v>256</v>
      </c>
      <c r="E68" s="127" t="s">
        <v>256</v>
      </c>
      <c r="F68" s="127" t="s">
        <v>256</v>
      </c>
    </row>
    <row r="69" spans="1:6" s="121" customFormat="1" ht="36.5" customHeight="1">
      <c r="A69" s="135"/>
      <c r="B69" s="129" t="s">
        <v>35</v>
      </c>
      <c r="C69" s="130" t="s">
        <v>77</v>
      </c>
      <c r="D69" s="125">
        <v>85256631</v>
      </c>
      <c r="E69" s="125">
        <v>50653928</v>
      </c>
      <c r="F69" s="125">
        <v>758459498</v>
      </c>
    </row>
    <row r="70" spans="1:6" s="121" customFormat="1" ht="36.5" customHeight="1">
      <c r="A70" s="135"/>
      <c r="B70" s="129" t="s">
        <v>36</v>
      </c>
      <c r="C70" s="130" t="s">
        <v>78</v>
      </c>
      <c r="D70" s="125">
        <v>450000</v>
      </c>
      <c r="E70" s="125">
        <v>765009</v>
      </c>
      <c r="F70" s="125">
        <v>3735538</v>
      </c>
    </row>
    <row r="71" spans="1:6" ht="36.5" customHeight="1">
      <c r="A71" s="135"/>
      <c r="B71" s="129" t="s">
        <v>37</v>
      </c>
      <c r="C71" s="130" t="s">
        <v>79</v>
      </c>
      <c r="D71" s="125">
        <v>0</v>
      </c>
      <c r="E71" s="125">
        <v>0</v>
      </c>
      <c r="F71" s="125">
        <v>8300000</v>
      </c>
    </row>
    <row r="72" spans="1:6" ht="36.5" customHeight="1">
      <c r="A72" s="122">
        <v>10</v>
      </c>
      <c r="B72" s="123" t="s">
        <v>266</v>
      </c>
      <c r="C72" s="124" t="s">
        <v>80</v>
      </c>
      <c r="D72" s="125">
        <v>3071746</v>
      </c>
      <c r="E72" s="125">
        <v>1620154</v>
      </c>
      <c r="F72" s="125">
        <v>73598850</v>
      </c>
    </row>
    <row r="73" spans="1:6">
      <c r="A73" s="126" t="s">
        <v>256</v>
      </c>
      <c r="B73" s="126" t="s">
        <v>256</v>
      </c>
      <c r="C73" s="126" t="s">
        <v>256</v>
      </c>
      <c r="D73" s="127" t="s">
        <v>256</v>
      </c>
      <c r="E73" s="127" t="s">
        <v>256</v>
      </c>
      <c r="F73" s="127" t="s">
        <v>256</v>
      </c>
    </row>
    <row r="74" spans="1:6" ht="39" customHeight="1">
      <c r="A74" s="122"/>
      <c r="B74" s="129" t="s">
        <v>38</v>
      </c>
      <c r="C74" s="130" t="s">
        <v>81</v>
      </c>
      <c r="D74" s="125">
        <v>0</v>
      </c>
      <c r="E74" s="125">
        <v>0</v>
      </c>
      <c r="F74" s="125">
        <v>0</v>
      </c>
    </row>
    <row r="75" spans="1:6" ht="39" customHeight="1">
      <c r="A75" s="122"/>
      <c r="B75" s="129" t="s">
        <v>238</v>
      </c>
      <c r="C75" s="130" t="s">
        <v>82</v>
      </c>
      <c r="D75" s="125">
        <v>0</v>
      </c>
      <c r="E75" s="125">
        <v>0</v>
      </c>
      <c r="F75" s="125">
        <v>0</v>
      </c>
    </row>
    <row r="76" spans="1:6" ht="39" customHeight="1">
      <c r="A76" s="122"/>
      <c r="B76" s="129" t="s">
        <v>39</v>
      </c>
      <c r="C76" s="130" t="s">
        <v>83</v>
      </c>
      <c r="D76" s="125">
        <v>635246</v>
      </c>
      <c r="E76" s="125">
        <v>614754</v>
      </c>
      <c r="F76" s="125">
        <v>7500000</v>
      </c>
    </row>
    <row r="77" spans="1:6" ht="39" customHeight="1">
      <c r="A77" s="122"/>
      <c r="B77" s="129" t="s">
        <v>40</v>
      </c>
      <c r="C77" s="130" t="s">
        <v>84</v>
      </c>
      <c r="D77" s="125">
        <v>2436500</v>
      </c>
      <c r="E77" s="125">
        <v>1005400</v>
      </c>
      <c r="F77" s="125">
        <v>63451850</v>
      </c>
    </row>
    <row r="78" spans="1:6" ht="39" customHeight="1">
      <c r="A78" s="122"/>
      <c r="B78" s="129" t="s">
        <v>239</v>
      </c>
      <c r="C78" s="130" t="s">
        <v>85</v>
      </c>
      <c r="D78" s="125">
        <v>0</v>
      </c>
      <c r="E78" s="125">
        <v>0</v>
      </c>
      <c r="F78" s="125">
        <v>0</v>
      </c>
    </row>
    <row r="79" spans="1:6" ht="39" customHeight="1">
      <c r="A79" s="122"/>
      <c r="B79" s="129" t="s">
        <v>37</v>
      </c>
      <c r="C79" s="130" t="s">
        <v>86</v>
      </c>
      <c r="D79" s="125">
        <v>0</v>
      </c>
      <c r="E79" s="125">
        <v>0</v>
      </c>
      <c r="F79" s="125">
        <v>1547000</v>
      </c>
    </row>
    <row r="80" spans="1:6" ht="57" customHeight="1">
      <c r="A80" s="122"/>
      <c r="B80" s="129" t="s">
        <v>364</v>
      </c>
      <c r="C80" s="130" t="s">
        <v>87</v>
      </c>
      <c r="D80" s="125">
        <v>0</v>
      </c>
      <c r="E80" s="125">
        <v>0</v>
      </c>
      <c r="F80" s="125">
        <v>1100000</v>
      </c>
    </row>
    <row r="81" spans="1:6" ht="67" customHeight="1">
      <c r="A81" s="139" t="s">
        <v>23</v>
      </c>
      <c r="B81" s="118" t="s">
        <v>240</v>
      </c>
      <c r="C81" s="119" t="s">
        <v>88</v>
      </c>
      <c r="D81" s="134">
        <v>8878013700</v>
      </c>
      <c r="E81" s="134">
        <v>8140095801</v>
      </c>
      <c r="F81" s="134">
        <v>76636125670</v>
      </c>
    </row>
    <row r="82" spans="1:6" ht="39.5" customHeight="1">
      <c r="A82" s="139" t="s">
        <v>24</v>
      </c>
      <c r="B82" s="118" t="s">
        <v>224</v>
      </c>
      <c r="C82" s="119" t="s">
        <v>89</v>
      </c>
      <c r="D82" s="134">
        <v>225500161</v>
      </c>
      <c r="E82" s="134">
        <v>1660190696</v>
      </c>
      <c r="F82" s="134">
        <v>5087561936</v>
      </c>
    </row>
    <row r="83" spans="1:6" ht="74" customHeight="1">
      <c r="A83" s="122">
        <v>1</v>
      </c>
      <c r="B83" s="123" t="s">
        <v>267</v>
      </c>
      <c r="C83" s="124" t="s">
        <v>90</v>
      </c>
      <c r="D83" s="125">
        <v>1211063828</v>
      </c>
      <c r="E83" s="125">
        <v>1770815068</v>
      </c>
      <c r="F83" s="125">
        <v>6377328833</v>
      </c>
    </row>
    <row r="84" spans="1:6" ht="54" customHeight="1">
      <c r="A84" s="122">
        <v>2</v>
      </c>
      <c r="B84" s="123" t="s">
        <v>41</v>
      </c>
      <c r="C84" s="124" t="s">
        <v>91</v>
      </c>
      <c r="D84" s="125">
        <v>-985563667</v>
      </c>
      <c r="E84" s="125">
        <v>-110624372</v>
      </c>
      <c r="F84" s="125">
        <v>-1289766897</v>
      </c>
    </row>
    <row r="85" spans="1:6" ht="118" customHeight="1">
      <c r="A85" s="139" t="s">
        <v>25</v>
      </c>
      <c r="B85" s="118" t="s">
        <v>241</v>
      </c>
      <c r="C85" s="119" t="s">
        <v>92</v>
      </c>
      <c r="D85" s="134">
        <v>9103513861</v>
      </c>
      <c r="E85" s="134">
        <v>9800286497</v>
      </c>
      <c r="F85" s="134">
        <v>81723687606</v>
      </c>
    </row>
    <row r="86" spans="1:6" ht="55" customHeight="1">
      <c r="A86" s="139" t="s">
        <v>26</v>
      </c>
      <c r="B86" s="118" t="s">
        <v>42</v>
      </c>
      <c r="C86" s="119" t="s">
        <v>93</v>
      </c>
      <c r="D86" s="134">
        <v>1633591480269</v>
      </c>
      <c r="E86" s="134">
        <v>1586926568438</v>
      </c>
      <c r="F86" s="134">
        <v>451596260409</v>
      </c>
    </row>
    <row r="87" spans="1:6" ht="72.5" customHeight="1">
      <c r="A87" s="139" t="s">
        <v>27</v>
      </c>
      <c r="B87" s="118" t="s">
        <v>305</v>
      </c>
      <c r="C87" s="119" t="s">
        <v>94</v>
      </c>
      <c r="D87" s="134">
        <v>14982568213</v>
      </c>
      <c r="E87" s="134">
        <v>46664911831</v>
      </c>
      <c r="F87" s="134">
        <v>1196977788073</v>
      </c>
    </row>
    <row r="88" spans="1:6" s="121" customFormat="1" ht="69.5" customHeight="1">
      <c r="A88" s="122">
        <v>1</v>
      </c>
      <c r="B88" s="123" t="s">
        <v>268</v>
      </c>
      <c r="C88" s="124" t="s">
        <v>95</v>
      </c>
      <c r="D88" s="125">
        <v>9103513861</v>
      </c>
      <c r="E88" s="125">
        <v>9800286497</v>
      </c>
      <c r="F88" s="125">
        <v>81723687606</v>
      </c>
    </row>
    <row r="89" spans="1:6" ht="87.5" customHeight="1">
      <c r="A89" s="122">
        <v>2</v>
      </c>
      <c r="B89" s="123" t="s">
        <v>269</v>
      </c>
      <c r="C89" s="124" t="s">
        <v>96</v>
      </c>
      <c r="D89" s="125">
        <v>0</v>
      </c>
      <c r="E89" s="125">
        <v>0</v>
      </c>
      <c r="F89" s="125">
        <v>0</v>
      </c>
    </row>
    <row r="90" spans="1:6" ht="70.5" customHeight="1">
      <c r="A90" s="122">
        <v>3</v>
      </c>
      <c r="B90" s="123" t="s">
        <v>270</v>
      </c>
      <c r="C90" s="124" t="s">
        <v>97</v>
      </c>
      <c r="D90" s="125">
        <v>5879054352</v>
      </c>
      <c r="E90" s="125">
        <v>36864625334</v>
      </c>
      <c r="F90" s="125">
        <v>1115254100467</v>
      </c>
    </row>
    <row r="91" spans="1:6" ht="65.5" customHeight="1">
      <c r="A91" s="122"/>
      <c r="B91" s="123" t="s">
        <v>242</v>
      </c>
      <c r="C91" s="124" t="s">
        <v>271</v>
      </c>
      <c r="D91" s="125">
        <v>143294899607</v>
      </c>
      <c r="E91" s="125">
        <v>155543841101</v>
      </c>
      <c r="F91" s="125">
        <v>2142176039473</v>
      </c>
    </row>
    <row r="92" spans="1:6" ht="67" customHeight="1">
      <c r="A92" s="122"/>
      <c r="B92" s="123" t="s">
        <v>243</v>
      </c>
      <c r="C92" s="124" t="s">
        <v>272</v>
      </c>
      <c r="D92" s="125">
        <v>-137415845255</v>
      </c>
      <c r="E92" s="125">
        <v>-118679215767</v>
      </c>
      <c r="F92" s="125">
        <v>-1026921939006</v>
      </c>
    </row>
    <row r="93" spans="1:6" s="140" customFormat="1" ht="37.5" customHeight="1">
      <c r="A93" s="117" t="s">
        <v>28</v>
      </c>
      <c r="B93" s="118" t="s">
        <v>43</v>
      </c>
      <c r="C93" s="119" t="s">
        <v>98</v>
      </c>
      <c r="D93" s="134">
        <v>1648574048482</v>
      </c>
      <c r="E93" s="134">
        <v>1633591480269</v>
      </c>
      <c r="F93" s="134">
        <v>1648574048482</v>
      </c>
    </row>
    <row r="94" spans="1:6" ht="70.5" customHeight="1">
      <c r="A94" s="117" t="s">
        <v>29</v>
      </c>
      <c r="B94" s="118" t="s">
        <v>225</v>
      </c>
      <c r="C94" s="119" t="s">
        <v>99</v>
      </c>
      <c r="D94" s="134">
        <v>0</v>
      </c>
      <c r="E94" s="134">
        <v>0</v>
      </c>
      <c r="F94" s="134">
        <v>0</v>
      </c>
    </row>
    <row r="95" spans="1:6" ht="71.5" customHeight="1">
      <c r="A95" s="141"/>
      <c r="B95" s="123" t="s">
        <v>226</v>
      </c>
      <c r="C95" s="124" t="s">
        <v>100</v>
      </c>
      <c r="D95" s="100">
        <v>0</v>
      </c>
      <c r="E95" s="100">
        <v>0</v>
      </c>
      <c r="F95" s="100">
        <v>0</v>
      </c>
    </row>
    <row r="96" spans="1:6" ht="16.899999999999999" customHeight="1"/>
    <row r="97" spans="1:6" ht="16.899999999999999" customHeight="1">
      <c r="A97" s="102" t="s">
        <v>10</v>
      </c>
      <c r="D97" s="145"/>
      <c r="E97" s="102" t="s">
        <v>11</v>
      </c>
    </row>
    <row r="98" spans="1:6" ht="16.899999999999999" customHeight="1">
      <c r="A98" s="104" t="s">
        <v>12</v>
      </c>
      <c r="D98" s="146"/>
      <c r="E98" s="104" t="s">
        <v>13</v>
      </c>
    </row>
    <row r="99" spans="1:6" ht="16.899999999999999" customHeight="1">
      <c r="A99" s="104"/>
      <c r="D99" s="146"/>
      <c r="E99" s="104"/>
    </row>
    <row r="100" spans="1:6" ht="16.899999999999999" customHeight="1">
      <c r="A100" s="104"/>
      <c r="D100" s="146"/>
      <c r="E100" s="104"/>
    </row>
    <row r="101" spans="1:6" ht="16.899999999999999" customHeight="1">
      <c r="A101" s="104"/>
      <c r="D101" s="146"/>
      <c r="E101" s="104"/>
    </row>
    <row r="102" spans="1:6" ht="16.899999999999999" customHeight="1">
      <c r="A102" s="104"/>
      <c r="D102" s="146"/>
      <c r="E102" s="104"/>
    </row>
    <row r="103" spans="1:6" ht="16.899999999999999" customHeight="1">
      <c r="A103" s="104"/>
      <c r="D103" s="146"/>
      <c r="E103" s="104"/>
    </row>
    <row r="104" spans="1:6" ht="16.899999999999999" customHeight="1">
      <c r="D104" s="147"/>
    </row>
    <row r="105" spans="1:6" ht="16.899999999999999" customHeight="1">
      <c r="D105" s="147"/>
    </row>
    <row r="106" spans="1:6" ht="16.899999999999999" customHeight="1">
      <c r="A106" s="142" t="s">
        <v>14</v>
      </c>
      <c r="B106" s="143"/>
      <c r="D106" s="148"/>
      <c r="E106" s="142" t="s">
        <v>882</v>
      </c>
      <c r="F106" s="143"/>
    </row>
    <row r="107" spans="1:6" ht="16.899999999999999" customHeight="1">
      <c r="A107" s="144" t="s">
        <v>888</v>
      </c>
      <c r="D107" s="148"/>
      <c r="E107" s="144" t="s">
        <v>889</v>
      </c>
    </row>
    <row r="108" spans="1:6" ht="16.899999999999999" customHeight="1">
      <c r="A108" s="83" t="s">
        <v>890</v>
      </c>
      <c r="D108" s="147"/>
      <c r="E108" s="83" t="s">
        <v>891</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55" fitToHeight="0" orientation="portrait" r:id="rId1"/>
  <headerFooter>
    <oddHeader>&amp;L&amp;"Arial"&amp;9&amp;KA80000CONFIDENTIAL&amp;1#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90"/>
  <sheetViews>
    <sheetView view="pageBreakPreview" zoomScale="90" zoomScaleNormal="100" zoomScaleSheetLayoutView="90" workbookViewId="0">
      <selection activeCell="D86" sqref="D86"/>
    </sheetView>
  </sheetViews>
  <sheetFormatPr defaultColWidth="8.7265625" defaultRowHeight="12.5"/>
  <cols>
    <col min="1" max="1" width="9" style="4" customWidth="1"/>
    <col min="2" max="2" width="39.81640625" style="4" customWidth="1"/>
    <col min="3" max="3" width="9.26953125" style="4" customWidth="1"/>
    <col min="4" max="4" width="28" style="4" customWidth="1"/>
    <col min="5" max="5" width="33.81640625" style="4" customWidth="1"/>
    <col min="6" max="6" width="32.1796875" style="4" customWidth="1"/>
    <col min="7" max="7" width="28.54296875" style="4" customWidth="1"/>
    <col min="8" max="16384" width="8.7265625" style="58"/>
  </cols>
  <sheetData>
    <row r="1" spans="1:7" ht="44.25" customHeight="1">
      <c r="A1" s="199" t="s">
        <v>300</v>
      </c>
      <c r="B1" s="199"/>
      <c r="C1" s="199"/>
      <c r="D1" s="199"/>
      <c r="E1" s="199"/>
      <c r="F1" s="199"/>
      <c r="G1" s="199"/>
    </row>
    <row r="2" spans="1:7" ht="59.25" customHeight="1">
      <c r="A2" s="200" t="s">
        <v>301</v>
      </c>
      <c r="B2" s="200"/>
      <c r="C2" s="200"/>
      <c r="D2" s="200"/>
      <c r="E2" s="200"/>
      <c r="F2" s="200"/>
      <c r="G2" s="200"/>
    </row>
    <row r="3" spans="1:7" ht="15" customHeight="1">
      <c r="A3" s="201" t="s">
        <v>251</v>
      </c>
      <c r="B3" s="201"/>
      <c r="C3" s="201"/>
      <c r="D3" s="201"/>
      <c r="E3" s="201"/>
      <c r="F3" s="201"/>
      <c r="G3" s="201"/>
    </row>
    <row r="4" spans="1:7" ht="27.4" customHeight="1">
      <c r="A4" s="201"/>
      <c r="B4" s="201"/>
      <c r="C4" s="201"/>
      <c r="D4" s="201"/>
      <c r="E4" s="201"/>
      <c r="F4" s="201"/>
      <c r="G4" s="201"/>
    </row>
    <row r="5" spans="1:7" ht="16.899999999999999" customHeight="1">
      <c r="A5" s="202" t="str">
        <f>TONGQUAN!C1</f>
        <v>Tại ngày 31 tháng 12 năm 2024
/ As at 31 Dec 2024</v>
      </c>
      <c r="B5" s="202"/>
      <c r="C5" s="202"/>
      <c r="D5" s="202"/>
      <c r="E5" s="202"/>
      <c r="F5" s="202"/>
      <c r="G5" s="202"/>
    </row>
    <row r="6" spans="1:7" ht="16.899999999999999" customHeight="1"/>
    <row r="7" spans="1:7" ht="16.899999999999999" customHeight="1">
      <c r="A7" s="35" t="s">
        <v>2</v>
      </c>
      <c r="C7" s="203" t="str">
        <f>TONGQUAN!D5</f>
        <v>Công ty Cổ phần Quản lý Quỹ Đầu tư Dragon Capital Việt Nam</v>
      </c>
      <c r="D7" s="203"/>
      <c r="E7" s="203"/>
      <c r="F7" s="203"/>
      <c r="G7" s="203"/>
    </row>
    <row r="8" spans="1:7" ht="16.899999999999999" customHeight="1">
      <c r="A8" s="4" t="s">
        <v>15</v>
      </c>
      <c r="C8" s="198" t="str">
        <f>TONGQUAN!D6</f>
        <v>Dragon Capital Vietfund Management Joint Stock Company</v>
      </c>
      <c r="D8" s="198"/>
      <c r="E8" s="198"/>
      <c r="F8" s="198"/>
      <c r="G8" s="198"/>
    </row>
    <row r="9" spans="1:7" ht="16.899999999999999" customHeight="1">
      <c r="A9" s="35" t="s">
        <v>3</v>
      </c>
      <c r="C9" s="203" t="str">
        <f>TONGQUAN!D7</f>
        <v>Ngân hàng TNHH Một thành viên Standard Chartered (Việt Nam)</v>
      </c>
      <c r="D9" s="203"/>
      <c r="E9" s="203"/>
      <c r="F9" s="203"/>
      <c r="G9" s="203"/>
    </row>
    <row r="10" spans="1:7" ht="16.899999999999999" customHeight="1">
      <c r="A10" s="4" t="s">
        <v>4</v>
      </c>
      <c r="C10" s="198" t="str">
        <f>TONGQUAN!D8</f>
        <v>Standard Chartered Bank (Vietnam) Limited</v>
      </c>
      <c r="D10" s="198"/>
      <c r="E10" s="198"/>
      <c r="F10" s="198"/>
      <c r="G10" s="198"/>
    </row>
    <row r="11" spans="1:7" ht="16.899999999999999" customHeight="1">
      <c r="A11" s="35" t="s">
        <v>5</v>
      </c>
      <c r="C11" s="203" t="str">
        <f>TONGQUAN!D9</f>
        <v>Quỹ Đầu tư Trái phiếu DC</v>
      </c>
      <c r="D11" s="203"/>
      <c r="E11" s="203"/>
      <c r="F11" s="203"/>
      <c r="G11" s="203"/>
    </row>
    <row r="12" spans="1:7" ht="16.899999999999999" customHeight="1">
      <c r="A12" s="4" t="s">
        <v>6</v>
      </c>
      <c r="C12" s="198" t="str">
        <f>TONGQUAN!D10</f>
        <v>DC Bond Fund (DCBF)</v>
      </c>
      <c r="D12" s="198"/>
      <c r="E12" s="198"/>
      <c r="F12" s="198"/>
      <c r="G12" s="198"/>
    </row>
    <row r="13" spans="1:7" ht="16.899999999999999" customHeight="1">
      <c r="A13" s="35" t="s">
        <v>7</v>
      </c>
      <c r="C13" s="203" t="str">
        <f>TONGQUAN!D11</f>
        <v>Ngày 03 tháng 01 năm 2025</v>
      </c>
      <c r="D13" s="203"/>
      <c r="E13" s="203"/>
      <c r="F13" s="203"/>
      <c r="G13" s="203"/>
    </row>
    <row r="14" spans="1:7" ht="16.899999999999999" customHeight="1">
      <c r="A14" s="4" t="s">
        <v>8</v>
      </c>
      <c r="C14" s="198" t="str">
        <f>TONGQUAN!D12</f>
        <v>03 Jan 2025</v>
      </c>
      <c r="D14" s="198"/>
      <c r="E14" s="198"/>
      <c r="F14" s="198"/>
      <c r="G14" s="198"/>
    </row>
    <row r="15" spans="1:7" ht="18" hidden="1" customHeight="1"/>
    <row r="16" spans="1:7" ht="16.899999999999999" customHeight="1">
      <c r="A16" s="32" t="s">
        <v>298</v>
      </c>
      <c r="B16" s="33" t="s">
        <v>299</v>
      </c>
    </row>
    <row r="17" spans="1:7" ht="16.899999999999999" customHeight="1">
      <c r="A17" s="7" t="s">
        <v>23</v>
      </c>
      <c r="B17" s="8" t="s">
        <v>253</v>
      </c>
    </row>
    <row r="18" spans="1:7" ht="75.400000000000006" customHeight="1">
      <c r="A18" s="11" t="s">
        <v>142</v>
      </c>
      <c r="B18" s="11" t="s">
        <v>101</v>
      </c>
      <c r="C18" s="11" t="s">
        <v>19</v>
      </c>
      <c r="D18" s="11" t="s">
        <v>102</v>
      </c>
      <c r="E18" s="11" t="s">
        <v>103</v>
      </c>
      <c r="F18" s="11" t="s">
        <v>104</v>
      </c>
      <c r="G18" s="11" t="s">
        <v>105</v>
      </c>
    </row>
    <row r="19" spans="1:7" ht="58" customHeight="1">
      <c r="A19" s="78" t="s">
        <v>370</v>
      </c>
      <c r="B19" s="77" t="s">
        <v>371</v>
      </c>
      <c r="C19" s="78"/>
      <c r="D19" s="80"/>
      <c r="E19" s="80"/>
      <c r="F19" s="80"/>
      <c r="G19" s="79"/>
    </row>
    <row r="20" spans="1:7" ht="39" customHeight="1">
      <c r="A20" s="73"/>
      <c r="B20" s="72"/>
      <c r="C20" s="74"/>
      <c r="D20" s="76"/>
      <c r="E20" s="81"/>
      <c r="F20" s="76"/>
      <c r="G20" s="75"/>
    </row>
    <row r="21" spans="1:7" ht="39" customHeight="1">
      <c r="A21" s="78"/>
      <c r="B21" s="77" t="s">
        <v>372</v>
      </c>
      <c r="C21" s="78" t="s">
        <v>373</v>
      </c>
      <c r="D21" s="80"/>
      <c r="E21" s="80"/>
      <c r="F21" s="80"/>
      <c r="G21" s="79"/>
    </row>
    <row r="22" spans="1:7" ht="73.5" customHeight="1">
      <c r="A22" s="78" t="s">
        <v>374</v>
      </c>
      <c r="B22" s="77" t="s">
        <v>375</v>
      </c>
      <c r="C22" s="78" t="s">
        <v>376</v>
      </c>
      <c r="D22" s="80"/>
      <c r="E22" s="80"/>
      <c r="F22" s="80"/>
      <c r="G22" s="79"/>
    </row>
    <row r="23" spans="1:7" ht="39" customHeight="1">
      <c r="A23" s="73"/>
      <c r="B23" s="72"/>
      <c r="C23" s="74"/>
      <c r="D23" s="76"/>
      <c r="E23" s="81"/>
      <c r="F23" s="76"/>
      <c r="G23" s="75"/>
    </row>
    <row r="24" spans="1:7" ht="39" customHeight="1">
      <c r="A24" s="78"/>
      <c r="B24" s="77" t="s">
        <v>377</v>
      </c>
      <c r="C24" s="78" t="s">
        <v>378</v>
      </c>
      <c r="D24" s="80"/>
      <c r="E24" s="80"/>
      <c r="F24" s="80"/>
      <c r="G24" s="79"/>
    </row>
    <row r="25" spans="1:7" ht="83" customHeight="1">
      <c r="A25" s="78" t="s">
        <v>379</v>
      </c>
      <c r="B25" s="77" t="s">
        <v>380</v>
      </c>
      <c r="C25" s="78" t="s">
        <v>381</v>
      </c>
      <c r="D25" s="80"/>
      <c r="E25" s="80"/>
      <c r="F25" s="80"/>
      <c r="G25" s="79"/>
    </row>
    <row r="26" spans="1:7" ht="39" customHeight="1">
      <c r="A26" s="73"/>
      <c r="B26" s="72"/>
      <c r="C26" s="74"/>
      <c r="D26" s="76"/>
      <c r="E26" s="81"/>
      <c r="F26" s="76"/>
      <c r="G26" s="75"/>
    </row>
    <row r="27" spans="1:7" ht="39" customHeight="1">
      <c r="A27" s="78"/>
      <c r="B27" s="77" t="s">
        <v>382</v>
      </c>
      <c r="C27" s="78" t="s">
        <v>383</v>
      </c>
      <c r="D27" s="80"/>
      <c r="E27" s="80"/>
      <c r="F27" s="80">
        <v>0</v>
      </c>
      <c r="G27" s="79">
        <v>0</v>
      </c>
    </row>
    <row r="28" spans="1:7" ht="39" customHeight="1">
      <c r="A28" s="78" t="s">
        <v>384</v>
      </c>
      <c r="B28" s="77" t="s">
        <v>385</v>
      </c>
      <c r="C28" s="78" t="s">
        <v>386</v>
      </c>
      <c r="D28" s="80"/>
      <c r="E28" s="80"/>
      <c r="F28" s="80"/>
      <c r="G28" s="79"/>
    </row>
    <row r="29" spans="1:7" ht="39" customHeight="1">
      <c r="A29" s="73"/>
      <c r="B29" s="72"/>
      <c r="C29" s="74"/>
      <c r="D29" s="76"/>
      <c r="E29" s="81"/>
      <c r="F29" s="76"/>
      <c r="G29" s="75"/>
    </row>
    <row r="30" spans="1:7" ht="39" customHeight="1">
      <c r="A30" s="73" t="s">
        <v>387</v>
      </c>
      <c r="B30" s="72" t="s">
        <v>388</v>
      </c>
      <c r="C30" s="74" t="s">
        <v>389</v>
      </c>
      <c r="D30" s="76"/>
      <c r="E30" s="81"/>
      <c r="F30" s="76">
        <v>803804814079</v>
      </c>
      <c r="G30" s="75">
        <v>0.476249571451002</v>
      </c>
    </row>
    <row r="31" spans="1:7" ht="34" customHeight="1">
      <c r="A31" s="73" t="s">
        <v>390</v>
      </c>
      <c r="B31" s="72" t="s">
        <v>391</v>
      </c>
      <c r="C31" s="74" t="s">
        <v>392</v>
      </c>
      <c r="D31" s="76">
        <v>390000</v>
      </c>
      <c r="E31" s="81">
        <v>100539.325</v>
      </c>
      <c r="F31" s="76">
        <v>39210336750</v>
      </c>
      <c r="G31" s="75">
        <v>2.32318913081325E-2</v>
      </c>
    </row>
    <row r="32" spans="1:7" ht="34" customHeight="1">
      <c r="A32" s="73" t="s">
        <v>393</v>
      </c>
      <c r="B32" s="72" t="s">
        <v>394</v>
      </c>
      <c r="C32" s="74" t="s">
        <v>395</v>
      </c>
      <c r="D32" s="76">
        <v>452357</v>
      </c>
      <c r="E32" s="81">
        <v>100750.686</v>
      </c>
      <c r="F32" s="76">
        <v>45575278067</v>
      </c>
      <c r="G32" s="75">
        <v>2.7003081180894398E-2</v>
      </c>
    </row>
    <row r="33" spans="1:7" ht="34" customHeight="1">
      <c r="A33" s="73" t="s">
        <v>396</v>
      </c>
      <c r="B33" s="72" t="s">
        <v>397</v>
      </c>
      <c r="C33" s="74" t="s">
        <v>398</v>
      </c>
      <c r="D33" s="76">
        <v>993</v>
      </c>
      <c r="E33" s="81">
        <v>100055449</v>
      </c>
      <c r="F33" s="76">
        <v>99355060857</v>
      </c>
      <c r="G33" s="75">
        <v>5.8867282611203602E-2</v>
      </c>
    </row>
    <row r="34" spans="1:7" ht="34" customHeight="1">
      <c r="A34" s="73" t="s">
        <v>399</v>
      </c>
      <c r="B34" s="72" t="s">
        <v>400</v>
      </c>
      <c r="C34" s="74" t="s">
        <v>401</v>
      </c>
      <c r="D34" s="76">
        <v>100000</v>
      </c>
      <c r="E34" s="81">
        <v>100571.288</v>
      </c>
      <c r="F34" s="76">
        <v>10057128800</v>
      </c>
      <c r="G34" s="75">
        <v>5.9587889959524304E-3</v>
      </c>
    </row>
    <row r="35" spans="1:7" ht="34" customHeight="1">
      <c r="A35" s="73" t="s">
        <v>402</v>
      </c>
      <c r="B35" s="72" t="s">
        <v>403</v>
      </c>
      <c r="C35" s="74" t="s">
        <v>404</v>
      </c>
      <c r="D35" s="76">
        <v>1000000</v>
      </c>
      <c r="E35" s="81">
        <v>99787.479000000007</v>
      </c>
      <c r="F35" s="76">
        <v>99787479000</v>
      </c>
      <c r="G35" s="75">
        <v>5.9123487788983499E-2</v>
      </c>
    </row>
    <row r="36" spans="1:7" ht="34" customHeight="1">
      <c r="A36" s="73" t="s">
        <v>405</v>
      </c>
      <c r="B36" s="72" t="s">
        <v>406</v>
      </c>
      <c r="C36" s="74" t="s">
        <v>407</v>
      </c>
      <c r="D36" s="76">
        <v>400230</v>
      </c>
      <c r="E36" s="81">
        <v>99943.095998999997</v>
      </c>
      <c r="F36" s="76">
        <v>40000225312</v>
      </c>
      <c r="G36" s="75">
        <v>2.36998955829981E-2</v>
      </c>
    </row>
    <row r="37" spans="1:7" ht="34" customHeight="1">
      <c r="A37" s="73" t="s">
        <v>408</v>
      </c>
      <c r="B37" s="72" t="s">
        <v>409</v>
      </c>
      <c r="C37" s="74" t="s">
        <v>410</v>
      </c>
      <c r="D37" s="76">
        <v>500000</v>
      </c>
      <c r="E37" s="81">
        <v>99645.297000000006</v>
      </c>
      <c r="F37" s="76">
        <v>49822648500</v>
      </c>
      <c r="G37" s="75">
        <v>2.9519622899828599E-2</v>
      </c>
    </row>
    <row r="38" spans="1:7" ht="34" customHeight="1">
      <c r="A38" s="73" t="s">
        <v>411</v>
      </c>
      <c r="B38" s="72" t="s">
        <v>412</v>
      </c>
      <c r="C38" s="74" t="s">
        <v>413</v>
      </c>
      <c r="D38" s="76">
        <v>250000</v>
      </c>
      <c r="E38" s="81">
        <v>99644.331999999995</v>
      </c>
      <c r="F38" s="76">
        <v>24911083000</v>
      </c>
      <c r="G38" s="75">
        <v>1.4759668510724199E-2</v>
      </c>
    </row>
    <row r="39" spans="1:7" ht="34" customHeight="1">
      <c r="A39" s="73" t="s">
        <v>414</v>
      </c>
      <c r="B39" s="72" t="s">
        <v>415</v>
      </c>
      <c r="C39" s="74" t="s">
        <v>416</v>
      </c>
      <c r="D39" s="76">
        <v>1100000</v>
      </c>
      <c r="E39" s="81">
        <v>101016.372</v>
      </c>
      <c r="F39" s="76">
        <v>111118009200</v>
      </c>
      <c r="G39" s="75">
        <v>6.58367595404665E-2</v>
      </c>
    </row>
    <row r="40" spans="1:7" ht="34" customHeight="1">
      <c r="A40" s="73" t="s">
        <v>417</v>
      </c>
      <c r="B40" s="72" t="s">
        <v>418</v>
      </c>
      <c r="C40" s="74" t="s">
        <v>419</v>
      </c>
      <c r="D40" s="76">
        <v>220480</v>
      </c>
      <c r="E40" s="81">
        <v>98098.339999000003</v>
      </c>
      <c r="F40" s="76">
        <v>21628722003</v>
      </c>
      <c r="G40" s="75">
        <v>1.2814889142912299E-2</v>
      </c>
    </row>
    <row r="41" spans="1:7" ht="34" customHeight="1">
      <c r="A41" s="73" t="s">
        <v>420</v>
      </c>
      <c r="B41" s="72" t="s">
        <v>421</v>
      </c>
      <c r="C41" s="74" t="s">
        <v>422</v>
      </c>
      <c r="D41" s="76">
        <v>380000</v>
      </c>
      <c r="E41" s="81">
        <v>99662.45</v>
      </c>
      <c r="F41" s="76">
        <v>37871731000</v>
      </c>
      <c r="G41" s="75">
        <v>2.2438775363051E-2</v>
      </c>
    </row>
    <row r="42" spans="1:7" ht="34" customHeight="1">
      <c r="A42" s="73" t="s">
        <v>423</v>
      </c>
      <c r="B42" s="72" t="s">
        <v>424</v>
      </c>
      <c r="C42" s="74" t="s">
        <v>425</v>
      </c>
      <c r="D42" s="76">
        <v>654430</v>
      </c>
      <c r="E42" s="81">
        <v>100317.725999</v>
      </c>
      <c r="F42" s="76">
        <v>65650929426</v>
      </c>
      <c r="G42" s="75">
        <v>3.8897785204629998E-2</v>
      </c>
    </row>
    <row r="43" spans="1:7" ht="34" customHeight="1">
      <c r="A43" s="73" t="s">
        <v>426</v>
      </c>
      <c r="B43" s="72" t="s">
        <v>427</v>
      </c>
      <c r="C43" s="74" t="s">
        <v>428</v>
      </c>
      <c r="D43" s="76">
        <v>1383233</v>
      </c>
      <c r="E43" s="81">
        <v>100328.76700000001</v>
      </c>
      <c r="F43" s="76">
        <v>138778061364</v>
      </c>
      <c r="G43" s="75">
        <v>8.2225175930471697E-2</v>
      </c>
    </row>
    <row r="44" spans="1:7" ht="34" customHeight="1">
      <c r="A44" s="73" t="s">
        <v>429</v>
      </c>
      <c r="B44" s="72" t="s">
        <v>430</v>
      </c>
      <c r="C44" s="74" t="s">
        <v>431</v>
      </c>
      <c r="D44" s="76">
        <v>200000</v>
      </c>
      <c r="E44" s="81">
        <v>100190.60400000001</v>
      </c>
      <c r="F44" s="76">
        <v>20038120800</v>
      </c>
      <c r="G44" s="75">
        <v>1.1872467390753301E-2</v>
      </c>
    </row>
    <row r="45" spans="1:7" ht="39" customHeight="1">
      <c r="A45" s="73" t="s">
        <v>432</v>
      </c>
      <c r="B45" s="72" t="s">
        <v>433</v>
      </c>
      <c r="C45" s="74" t="s">
        <v>434</v>
      </c>
      <c r="D45" s="76"/>
      <c r="E45" s="81"/>
      <c r="F45" s="76">
        <v>153079537930</v>
      </c>
      <c r="G45" s="75">
        <v>9.0698715733139104E-2</v>
      </c>
    </row>
    <row r="46" spans="1:7" ht="34" customHeight="1">
      <c r="A46" s="73" t="s">
        <v>435</v>
      </c>
      <c r="B46" s="72" t="s">
        <v>436</v>
      </c>
      <c r="C46" s="74" t="s">
        <v>437</v>
      </c>
      <c r="D46" s="76">
        <v>360</v>
      </c>
      <c r="E46" s="81">
        <v>99965873</v>
      </c>
      <c r="F46" s="76">
        <v>35987714280</v>
      </c>
      <c r="G46" s="75">
        <v>2.1322506662253701E-2</v>
      </c>
    </row>
    <row r="47" spans="1:7" ht="34" customHeight="1">
      <c r="A47" s="73" t="s">
        <v>438</v>
      </c>
      <c r="B47" s="72" t="s">
        <v>439</v>
      </c>
      <c r="C47" s="74" t="s">
        <v>440</v>
      </c>
      <c r="D47" s="76">
        <v>75</v>
      </c>
      <c r="E47" s="81">
        <v>999709240</v>
      </c>
      <c r="F47" s="76">
        <v>74978193000</v>
      </c>
      <c r="G47" s="75">
        <v>4.4424133395288397E-2</v>
      </c>
    </row>
    <row r="48" spans="1:7" ht="34" customHeight="1">
      <c r="A48" s="73" t="s">
        <v>441</v>
      </c>
      <c r="B48" s="72" t="s">
        <v>442</v>
      </c>
      <c r="C48" s="74" t="s">
        <v>443</v>
      </c>
      <c r="D48" s="76">
        <v>35</v>
      </c>
      <c r="E48" s="81">
        <v>1003246590</v>
      </c>
      <c r="F48" s="76">
        <v>35113630650</v>
      </c>
      <c r="G48" s="75">
        <v>2.0804617310375698E-2</v>
      </c>
    </row>
    <row r="49" spans="1:7" ht="34" customHeight="1">
      <c r="A49" s="73" t="s">
        <v>444</v>
      </c>
      <c r="B49" s="72" t="s">
        <v>445</v>
      </c>
      <c r="C49" s="74" t="s">
        <v>446</v>
      </c>
      <c r="D49" s="76">
        <v>7</v>
      </c>
      <c r="E49" s="81">
        <v>1000000000</v>
      </c>
      <c r="F49" s="76">
        <v>7000000000</v>
      </c>
      <c r="G49" s="75">
        <v>4.1474583652211898E-3</v>
      </c>
    </row>
    <row r="50" spans="1:7" ht="39" customHeight="1">
      <c r="A50" s="78"/>
      <c r="B50" s="77" t="s">
        <v>447</v>
      </c>
      <c r="C50" s="78" t="s">
        <v>448</v>
      </c>
      <c r="D50" s="80"/>
      <c r="E50" s="80"/>
      <c r="F50" s="80">
        <v>956884352009</v>
      </c>
      <c r="G50" s="79">
        <v>0.56694828718414103</v>
      </c>
    </row>
    <row r="51" spans="1:7" ht="39" customHeight="1">
      <c r="A51" s="78" t="s">
        <v>449</v>
      </c>
      <c r="B51" s="77" t="s">
        <v>450</v>
      </c>
      <c r="C51" s="78" t="s">
        <v>451</v>
      </c>
      <c r="D51" s="80"/>
      <c r="E51" s="80"/>
      <c r="F51" s="80"/>
      <c r="G51" s="79"/>
    </row>
    <row r="52" spans="1:7" ht="39" customHeight="1">
      <c r="A52" s="73"/>
      <c r="B52" s="72"/>
      <c r="C52" s="74"/>
      <c r="D52" s="76"/>
      <c r="E52" s="81"/>
      <c r="F52" s="76"/>
      <c r="G52" s="75"/>
    </row>
    <row r="53" spans="1:7" ht="39" customHeight="1">
      <c r="A53" s="73" t="s">
        <v>452</v>
      </c>
      <c r="B53" s="72" t="s">
        <v>453</v>
      </c>
      <c r="C53" s="74" t="s">
        <v>454</v>
      </c>
      <c r="D53" s="76"/>
      <c r="E53" s="81"/>
      <c r="F53" s="76">
        <v>0</v>
      </c>
      <c r="G53" s="75">
        <v>0</v>
      </c>
    </row>
    <row r="54" spans="1:7" ht="39" customHeight="1">
      <c r="A54" s="73" t="s">
        <v>455</v>
      </c>
      <c r="B54" s="72" t="s">
        <v>456</v>
      </c>
      <c r="C54" s="74" t="s">
        <v>457</v>
      </c>
      <c r="D54" s="76"/>
      <c r="E54" s="81"/>
      <c r="F54" s="76">
        <v>0</v>
      </c>
      <c r="G54" s="75">
        <v>0</v>
      </c>
    </row>
    <row r="55" spans="1:7" ht="34" customHeight="1">
      <c r="A55" s="78"/>
      <c r="B55" s="77" t="s">
        <v>458</v>
      </c>
      <c r="C55" s="78" t="s">
        <v>459</v>
      </c>
      <c r="D55" s="80"/>
      <c r="E55" s="80"/>
      <c r="F55" s="80">
        <v>0</v>
      </c>
      <c r="G55" s="79">
        <v>0</v>
      </c>
    </row>
    <row r="56" spans="1:7" ht="39" customHeight="1">
      <c r="A56" s="78"/>
      <c r="B56" s="77" t="s">
        <v>460</v>
      </c>
      <c r="C56" s="78" t="s">
        <v>461</v>
      </c>
      <c r="D56" s="80"/>
      <c r="E56" s="80"/>
      <c r="F56" s="80">
        <v>956884352009</v>
      </c>
      <c r="G56" s="79">
        <v>0.56694828718414103</v>
      </c>
    </row>
    <row r="57" spans="1:7" ht="39" customHeight="1">
      <c r="A57" s="78" t="s">
        <v>462</v>
      </c>
      <c r="B57" s="77" t="s">
        <v>463</v>
      </c>
      <c r="C57" s="78" t="s">
        <v>464</v>
      </c>
      <c r="D57" s="80"/>
      <c r="E57" s="80"/>
      <c r="F57" s="80"/>
      <c r="G57" s="79"/>
    </row>
    <row r="58" spans="1:7" ht="39" customHeight="1">
      <c r="A58" s="73"/>
      <c r="B58" s="72"/>
      <c r="C58" s="74"/>
      <c r="D58" s="76"/>
      <c r="E58" s="81"/>
      <c r="F58" s="76"/>
      <c r="G58" s="75"/>
    </row>
    <row r="59" spans="1:7" ht="39" customHeight="1">
      <c r="A59" s="73" t="s">
        <v>465</v>
      </c>
      <c r="B59" s="72" t="s">
        <v>466</v>
      </c>
      <c r="C59" s="74" t="s">
        <v>467</v>
      </c>
      <c r="D59" s="76"/>
      <c r="E59" s="81"/>
      <c r="F59" s="76">
        <v>0</v>
      </c>
      <c r="G59" s="75">
        <v>0</v>
      </c>
    </row>
    <row r="60" spans="1:7" ht="39" customHeight="1">
      <c r="A60" s="73" t="s">
        <v>468</v>
      </c>
      <c r="B60" s="72" t="s">
        <v>469</v>
      </c>
      <c r="C60" s="74" t="s">
        <v>470</v>
      </c>
      <c r="D60" s="76"/>
      <c r="E60" s="81"/>
      <c r="F60" s="76">
        <v>30288039815</v>
      </c>
      <c r="G60" s="75">
        <v>1.7945483442410599E-2</v>
      </c>
    </row>
    <row r="61" spans="1:7" ht="60.5" customHeight="1">
      <c r="A61" s="73" t="s">
        <v>471</v>
      </c>
      <c r="B61" s="72" t="s">
        <v>472</v>
      </c>
      <c r="C61" s="74" t="s">
        <v>473</v>
      </c>
      <c r="D61" s="76"/>
      <c r="E61" s="81"/>
      <c r="F61" s="76">
        <v>13444436440</v>
      </c>
      <c r="G61" s="75">
        <v>7.9657486255375193E-3</v>
      </c>
    </row>
    <row r="62" spans="1:7" ht="45" customHeight="1">
      <c r="A62" s="73" t="s">
        <v>474</v>
      </c>
      <c r="B62" s="72" t="s">
        <v>475</v>
      </c>
      <c r="C62" s="74" t="s">
        <v>476</v>
      </c>
      <c r="D62" s="76"/>
      <c r="E62" s="81"/>
      <c r="F62" s="76">
        <v>0</v>
      </c>
      <c r="G62" s="75">
        <v>0</v>
      </c>
    </row>
    <row r="63" spans="1:7" ht="57" customHeight="1">
      <c r="A63" s="73" t="s">
        <v>477</v>
      </c>
      <c r="B63" s="72" t="s">
        <v>478</v>
      </c>
      <c r="C63" s="74" t="s">
        <v>479</v>
      </c>
      <c r="D63" s="76"/>
      <c r="E63" s="81"/>
      <c r="F63" s="76">
        <v>0</v>
      </c>
      <c r="G63" s="75">
        <v>0</v>
      </c>
    </row>
    <row r="64" spans="1:7" ht="39" customHeight="1">
      <c r="A64" s="73" t="s">
        <v>480</v>
      </c>
      <c r="B64" s="72" t="s">
        <v>481</v>
      </c>
      <c r="C64" s="74" t="s">
        <v>482</v>
      </c>
      <c r="D64" s="76"/>
      <c r="E64" s="81"/>
      <c r="F64" s="76">
        <v>0</v>
      </c>
      <c r="G64" s="75">
        <v>0</v>
      </c>
    </row>
    <row r="65" spans="1:7" ht="39" customHeight="1">
      <c r="A65" s="73" t="s">
        <v>483</v>
      </c>
      <c r="B65" s="72" t="s">
        <v>484</v>
      </c>
      <c r="C65" s="74" t="s">
        <v>485</v>
      </c>
      <c r="D65" s="76"/>
      <c r="E65" s="81"/>
      <c r="F65" s="76">
        <v>0</v>
      </c>
      <c r="G65" s="75">
        <v>0</v>
      </c>
    </row>
    <row r="66" spans="1:7" ht="39" customHeight="1">
      <c r="A66" s="78"/>
      <c r="B66" s="77" t="s">
        <v>486</v>
      </c>
      <c r="C66" s="78" t="s">
        <v>487</v>
      </c>
      <c r="D66" s="80"/>
      <c r="E66" s="80"/>
      <c r="F66" s="80">
        <v>43732476255</v>
      </c>
      <c r="G66" s="79">
        <v>2.5911232067948101E-2</v>
      </c>
    </row>
    <row r="67" spans="1:7" ht="39" customHeight="1">
      <c r="A67" s="78" t="s">
        <v>488</v>
      </c>
      <c r="B67" s="77" t="s">
        <v>489</v>
      </c>
      <c r="C67" s="78" t="s">
        <v>490</v>
      </c>
      <c r="D67" s="80"/>
      <c r="E67" s="80"/>
      <c r="F67" s="80"/>
      <c r="G67" s="79"/>
    </row>
    <row r="68" spans="1:7" ht="39" customHeight="1">
      <c r="A68" s="73" t="s">
        <v>491</v>
      </c>
      <c r="B68" s="72" t="s">
        <v>492</v>
      </c>
      <c r="C68" s="74" t="s">
        <v>493</v>
      </c>
      <c r="D68" s="76"/>
      <c r="E68" s="81"/>
      <c r="F68" s="76">
        <v>260940922040</v>
      </c>
      <c r="G68" s="75">
        <v>0.15460594427761801</v>
      </c>
    </row>
    <row r="69" spans="1:7" ht="39" customHeight="1">
      <c r="A69" s="73"/>
      <c r="B69" s="72"/>
      <c r="C69" s="74"/>
      <c r="D69" s="76"/>
      <c r="E69" s="81"/>
      <c r="F69" s="76"/>
      <c r="G69" s="75"/>
    </row>
    <row r="70" spans="1:7" ht="39" customHeight="1">
      <c r="A70" s="73" t="s">
        <v>494</v>
      </c>
      <c r="B70" s="72" t="s">
        <v>495</v>
      </c>
      <c r="C70" s="74" t="s">
        <v>496</v>
      </c>
      <c r="D70" s="76"/>
      <c r="E70" s="81"/>
      <c r="F70" s="76">
        <v>12140922040</v>
      </c>
      <c r="G70" s="75">
        <v>7.1934240966137703E-3</v>
      </c>
    </row>
    <row r="71" spans="1:7" ht="39" customHeight="1">
      <c r="A71" s="73" t="s">
        <v>497</v>
      </c>
      <c r="B71" s="72" t="s">
        <v>498</v>
      </c>
      <c r="C71" s="74" t="s">
        <v>499</v>
      </c>
      <c r="D71" s="76"/>
      <c r="E71" s="81"/>
      <c r="F71" s="76">
        <v>248800000000</v>
      </c>
      <c r="G71" s="75">
        <v>0.14741252018100501</v>
      </c>
    </row>
    <row r="72" spans="1:7" ht="39" customHeight="1">
      <c r="A72" s="73" t="s">
        <v>500</v>
      </c>
      <c r="B72" s="72" t="s">
        <v>501</v>
      </c>
      <c r="C72" s="74" t="s">
        <v>502</v>
      </c>
      <c r="D72" s="76"/>
      <c r="E72" s="81"/>
      <c r="F72" s="76">
        <v>161100000000</v>
      </c>
      <c r="G72" s="75">
        <v>9.5450791805304899E-2</v>
      </c>
    </row>
    <row r="73" spans="1:7" ht="39" customHeight="1">
      <c r="A73" s="73"/>
      <c r="B73" s="72"/>
      <c r="C73" s="74"/>
      <c r="D73" s="76"/>
      <c r="E73" s="81"/>
      <c r="F73" s="76"/>
      <c r="G73" s="75"/>
    </row>
    <row r="74" spans="1:7" ht="39" customHeight="1">
      <c r="A74" s="73" t="s">
        <v>503</v>
      </c>
      <c r="B74" s="72" t="s">
        <v>504</v>
      </c>
      <c r="C74" s="74" t="s">
        <v>505</v>
      </c>
      <c r="D74" s="76"/>
      <c r="E74" s="81"/>
      <c r="F74" s="76">
        <v>265122905603</v>
      </c>
      <c r="G74" s="75">
        <v>0.15708374466498701</v>
      </c>
    </row>
    <row r="75" spans="1:7" ht="39" customHeight="1">
      <c r="A75" s="78"/>
      <c r="B75" s="77" t="s">
        <v>506</v>
      </c>
      <c r="C75" s="78" t="s">
        <v>507</v>
      </c>
      <c r="D75" s="80"/>
      <c r="E75" s="80"/>
      <c r="F75" s="80">
        <v>687163827643</v>
      </c>
      <c r="G75" s="79">
        <v>0.40714048074791098</v>
      </c>
    </row>
    <row r="76" spans="1:7" ht="39" customHeight="1">
      <c r="A76" s="78" t="s">
        <v>508</v>
      </c>
      <c r="B76" s="77" t="s">
        <v>509</v>
      </c>
      <c r="C76" s="78" t="s">
        <v>510</v>
      </c>
      <c r="D76" s="80"/>
      <c r="E76" s="80"/>
      <c r="F76" s="80">
        <v>1687780655907</v>
      </c>
      <c r="G76" s="79">
        <v>1</v>
      </c>
    </row>
    <row r="77" spans="1:7" ht="16.899999999999999" customHeight="1">
      <c r="A77" s="16"/>
      <c r="E77" s="5"/>
    </row>
    <row r="78" spans="1:7" ht="16.899999999999999" customHeight="1">
      <c r="A78" s="5" t="s">
        <v>10</v>
      </c>
      <c r="E78" s="149"/>
      <c r="F78" s="5" t="s">
        <v>11</v>
      </c>
    </row>
    <row r="79" spans="1:7" ht="16.899999999999999" customHeight="1">
      <c r="A79" s="6" t="s">
        <v>12</v>
      </c>
      <c r="E79" s="150"/>
      <c r="F79" s="6" t="s">
        <v>13</v>
      </c>
    </row>
    <row r="80" spans="1:7" ht="16.899999999999999" customHeight="1">
      <c r="E80" s="151"/>
    </row>
    <row r="81" spans="1:7" ht="16.899999999999999" customHeight="1">
      <c r="A81" s="9"/>
      <c r="E81" s="152"/>
      <c r="F81" s="9"/>
    </row>
    <row r="82" spans="1:7" ht="16.899999999999999" customHeight="1">
      <c r="E82" s="151"/>
    </row>
    <row r="83" spans="1:7" ht="16.899999999999999" customHeight="1">
      <c r="E83" s="151"/>
    </row>
    <row r="84" spans="1:7" ht="16.899999999999999" customHeight="1">
      <c r="E84" s="151"/>
    </row>
    <row r="85" spans="1:7" ht="16.899999999999999" customHeight="1">
      <c r="E85" s="151"/>
    </row>
    <row r="86" spans="1:7" ht="16.899999999999999" customHeight="1">
      <c r="E86" s="151"/>
    </row>
    <row r="87" spans="1:7" ht="16.899999999999999" customHeight="1">
      <c r="E87" s="151"/>
    </row>
    <row r="88" spans="1:7" ht="16.899999999999999" customHeight="1">
      <c r="A88" s="12" t="s">
        <v>14</v>
      </c>
      <c r="B88" s="10"/>
      <c r="C88" s="10"/>
      <c r="E88" s="153"/>
      <c r="F88" s="12" t="s">
        <v>882</v>
      </c>
      <c r="G88" s="10"/>
    </row>
    <row r="89" spans="1:7" ht="16.899999999999999" customHeight="1">
      <c r="A89" s="13" t="s">
        <v>888</v>
      </c>
      <c r="E89" s="153"/>
      <c r="F89" s="13" t="s">
        <v>889</v>
      </c>
    </row>
    <row r="90" spans="1:7" ht="16.899999999999999" customHeight="1">
      <c r="A90" s="14" t="s">
        <v>890</v>
      </c>
      <c r="E90" s="154"/>
      <c r="F90" s="14" t="s">
        <v>891</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54" fitToHeight="0" orientation="portrait" r:id="rId1"/>
  <headerFooter>
    <oddHeader>&amp;L&amp;"Arial"&amp;9&amp;KA80000CONFIDENTIAL&amp;1#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9"/>
  <sheetViews>
    <sheetView view="pageBreakPreview" topLeftCell="A33" zoomScaleNormal="85" zoomScaleSheetLayoutView="100" workbookViewId="0">
      <selection activeCell="B39" sqref="B39"/>
    </sheetView>
  </sheetViews>
  <sheetFormatPr defaultColWidth="9.1796875" defaultRowHeight="13"/>
  <cols>
    <col min="1" max="1" width="4.81640625" style="67" customWidth="1"/>
    <col min="2" max="2" width="34.453125" style="64" customWidth="1"/>
    <col min="3" max="3" width="14.453125" style="64" customWidth="1"/>
    <col min="4" max="4" width="11.81640625" style="64" customWidth="1"/>
    <col min="5" max="5" width="12.26953125" style="64" customWidth="1"/>
    <col min="6" max="6" width="12.54296875" style="64" customWidth="1"/>
    <col min="7" max="7" width="16.453125" style="64" customWidth="1"/>
    <col min="8" max="9" width="19" style="64" customWidth="1"/>
    <col min="10" max="10" width="43.54296875" style="64" customWidth="1"/>
    <col min="11" max="16384" width="9.1796875" style="64"/>
  </cols>
  <sheetData>
    <row r="1" spans="1:10" s="63" customFormat="1" ht="46.5" customHeight="1">
      <c r="A1" s="214" t="s">
        <v>300</v>
      </c>
      <c r="B1" s="214"/>
      <c r="C1" s="214"/>
      <c r="D1" s="214"/>
      <c r="E1" s="214"/>
      <c r="F1" s="214"/>
      <c r="G1" s="214"/>
      <c r="H1" s="214"/>
      <c r="I1" s="214"/>
      <c r="J1" s="214"/>
    </row>
    <row r="2" spans="1:10" ht="49" customHeight="1">
      <c r="A2" s="215" t="s">
        <v>302</v>
      </c>
      <c r="B2" s="215"/>
      <c r="C2" s="215"/>
      <c r="D2" s="215"/>
      <c r="E2" s="215"/>
      <c r="F2" s="215"/>
      <c r="G2" s="215"/>
      <c r="H2" s="215"/>
      <c r="I2" s="215"/>
      <c r="J2" s="215"/>
    </row>
    <row r="3" spans="1:10" ht="19.149999999999999" customHeight="1">
      <c r="A3" s="216" t="s">
        <v>251</v>
      </c>
      <c r="B3" s="216"/>
      <c r="C3" s="216"/>
      <c r="D3" s="216"/>
      <c r="E3" s="216"/>
      <c r="F3" s="216"/>
      <c r="G3" s="216"/>
      <c r="H3" s="216"/>
      <c r="I3" s="216"/>
      <c r="J3" s="216"/>
    </row>
    <row r="4" spans="1:10" ht="21.65" customHeight="1">
      <c r="A4" s="216"/>
      <c r="B4" s="216"/>
      <c r="C4" s="216"/>
      <c r="D4" s="216"/>
      <c r="E4" s="216"/>
      <c r="F4" s="216"/>
      <c r="G4" s="216"/>
      <c r="H4" s="216"/>
      <c r="I4" s="216"/>
      <c r="J4" s="216"/>
    </row>
    <row r="5" spans="1:10">
      <c r="A5" s="217" t="str">
        <f>TONGQUAN!C2</f>
        <v>Tháng 12 năm 2024
/ Dec 2024</v>
      </c>
      <c r="B5" s="217"/>
      <c r="C5" s="217"/>
      <c r="D5" s="217"/>
      <c r="E5" s="217"/>
      <c r="F5" s="217"/>
      <c r="G5" s="217"/>
      <c r="H5" s="217"/>
      <c r="I5" s="217"/>
      <c r="J5" s="217"/>
    </row>
    <row r="6" spans="1:10">
      <c r="A6" s="59"/>
      <c r="B6" s="59"/>
      <c r="C6" s="59"/>
      <c r="D6" s="59"/>
      <c r="E6" s="59"/>
      <c r="F6" s="17"/>
      <c r="G6" s="65"/>
      <c r="H6" s="65"/>
      <c r="I6" s="65"/>
      <c r="J6" s="65"/>
    </row>
    <row r="7" spans="1:10">
      <c r="A7" s="218" t="s">
        <v>2</v>
      </c>
      <c r="B7" s="219"/>
      <c r="C7" s="65"/>
      <c r="D7" s="65"/>
      <c r="E7" s="65"/>
      <c r="F7" s="65"/>
      <c r="G7" s="208" t="str">
        <f>TONGQUAN!D5</f>
        <v>Công ty Cổ phần Quản lý Quỹ Đầu tư Dragon Capital Việt Nam</v>
      </c>
      <c r="H7" s="208"/>
      <c r="I7" s="208"/>
      <c r="J7" s="208"/>
    </row>
    <row r="8" spans="1:10" ht="15" customHeight="1">
      <c r="A8" s="211" t="s">
        <v>15</v>
      </c>
      <c r="B8" s="211"/>
      <c r="C8" s="65"/>
      <c r="D8" s="65"/>
      <c r="E8" s="65"/>
      <c r="F8" s="65"/>
      <c r="G8" s="209" t="str">
        <f>TONGQUAN!D6</f>
        <v>Dragon Capital Vietfund Management Joint Stock Company</v>
      </c>
      <c r="H8" s="209"/>
      <c r="I8" s="209"/>
      <c r="J8" s="209"/>
    </row>
    <row r="9" spans="1:10">
      <c r="A9" s="206" t="s">
        <v>3</v>
      </c>
      <c r="B9" s="212"/>
      <c r="C9" s="65"/>
      <c r="D9" s="65"/>
      <c r="E9" s="65"/>
      <c r="F9" s="65"/>
      <c r="G9" s="213" t="str">
        <f>TONGQUAN!D7</f>
        <v>Ngân hàng TNHH Một thành viên Standard Chartered (Việt Nam)</v>
      </c>
      <c r="H9" s="213"/>
      <c r="I9" s="213"/>
      <c r="J9" s="213"/>
    </row>
    <row r="10" spans="1:10" ht="15" customHeight="1">
      <c r="A10" s="212" t="s">
        <v>4</v>
      </c>
      <c r="B10" s="212"/>
      <c r="C10" s="65"/>
      <c r="D10" s="65"/>
      <c r="E10" s="65"/>
      <c r="F10" s="65"/>
      <c r="G10" s="209" t="str">
        <f>TONGQUAN!D8</f>
        <v>Standard Chartered Bank (Vietnam) Limited</v>
      </c>
      <c r="H10" s="209"/>
      <c r="I10" s="209"/>
      <c r="J10" s="209"/>
    </row>
    <row r="11" spans="1:10" ht="15" customHeight="1">
      <c r="A11" s="206" t="s">
        <v>5</v>
      </c>
      <c r="B11" s="207"/>
      <c r="C11" s="65"/>
      <c r="D11" s="65"/>
      <c r="E11" s="65"/>
      <c r="F11" s="65"/>
      <c r="G11" s="208" t="str">
        <f>TONGQUAN!D9</f>
        <v>Quỹ Đầu tư Trái phiếu DC</v>
      </c>
      <c r="H11" s="208"/>
      <c r="I11" s="208"/>
      <c r="J11" s="208"/>
    </row>
    <row r="12" spans="1:10" ht="15" customHeight="1">
      <c r="A12" s="18" t="s">
        <v>247</v>
      </c>
      <c r="B12" s="60"/>
      <c r="C12" s="65"/>
      <c r="D12" s="65"/>
      <c r="E12" s="65"/>
      <c r="F12" s="65"/>
      <c r="G12" s="209" t="str">
        <f>TONGQUAN!D10</f>
        <v>DC Bond Fund (DCBF)</v>
      </c>
      <c r="H12" s="209"/>
      <c r="I12" s="209"/>
      <c r="J12" s="209"/>
    </row>
    <row r="13" spans="1:10" ht="15" customHeight="1">
      <c r="A13" s="19" t="s">
        <v>7</v>
      </c>
      <c r="B13" s="20"/>
      <c r="C13" s="65"/>
      <c r="D13" s="65"/>
      <c r="E13" s="65"/>
      <c r="F13" s="65"/>
      <c r="G13" s="208" t="str">
        <f>TONGQUAN!D11</f>
        <v>Ngày 03 tháng 01 năm 2025</v>
      </c>
      <c r="H13" s="208"/>
      <c r="I13" s="208"/>
      <c r="J13" s="208"/>
    </row>
    <row r="14" spans="1:10">
      <c r="A14" s="21" t="s">
        <v>8</v>
      </c>
      <c r="B14" s="21"/>
      <c r="C14" s="23"/>
      <c r="D14" s="23"/>
      <c r="E14" s="23"/>
      <c r="F14" s="23"/>
      <c r="G14" s="210" t="str">
        <f>TONGQUAN!D12</f>
        <v>03 Jan 2025</v>
      </c>
      <c r="H14" s="210"/>
      <c r="I14" s="210"/>
      <c r="J14" s="210"/>
    </row>
    <row r="15" spans="1:10">
      <c r="A15" s="32" t="s">
        <v>298</v>
      </c>
      <c r="B15" s="33" t="s">
        <v>299</v>
      </c>
      <c r="C15" s="23"/>
      <c r="D15" s="23"/>
      <c r="E15" s="23"/>
      <c r="F15" s="23"/>
      <c r="G15" s="61"/>
      <c r="H15" s="61"/>
      <c r="I15" s="61"/>
      <c r="J15" s="61"/>
    </row>
    <row r="16" spans="1:10">
      <c r="A16" s="30" t="s">
        <v>24</v>
      </c>
      <c r="B16" s="31" t="s">
        <v>254</v>
      </c>
      <c r="C16" s="23"/>
      <c r="D16" s="23"/>
      <c r="E16" s="23"/>
      <c r="F16" s="23"/>
      <c r="G16" s="23"/>
      <c r="H16" s="23"/>
      <c r="I16" s="23"/>
      <c r="J16" s="23"/>
    </row>
    <row r="17" spans="1:10" s="22" customFormat="1" ht="36" customHeight="1">
      <c r="A17" s="204" t="s">
        <v>142</v>
      </c>
      <c r="B17" s="204" t="s">
        <v>289</v>
      </c>
      <c r="C17" s="204" t="s">
        <v>290</v>
      </c>
      <c r="D17" s="204" t="s">
        <v>291</v>
      </c>
      <c r="E17" s="204" t="s">
        <v>292</v>
      </c>
      <c r="F17" s="204" t="s">
        <v>293</v>
      </c>
      <c r="G17" s="204" t="s">
        <v>294</v>
      </c>
      <c r="H17" s="205"/>
      <c r="I17" s="204" t="s">
        <v>303</v>
      </c>
      <c r="J17" s="205"/>
    </row>
    <row r="18" spans="1:10" s="22" customFormat="1" ht="87" customHeight="1">
      <c r="A18" s="205"/>
      <c r="B18" s="205"/>
      <c r="C18" s="205"/>
      <c r="D18" s="205"/>
      <c r="E18" s="205"/>
      <c r="F18" s="205"/>
      <c r="G18" s="62" t="s">
        <v>295</v>
      </c>
      <c r="H18" s="62" t="s">
        <v>296</v>
      </c>
      <c r="I18" s="62" t="s">
        <v>295</v>
      </c>
      <c r="J18" s="62" t="s">
        <v>297</v>
      </c>
    </row>
    <row r="19" spans="1:10" s="22" customFormat="1" ht="45.75" customHeight="1">
      <c r="A19" s="73" t="s">
        <v>511</v>
      </c>
      <c r="B19" s="73" t="s">
        <v>512</v>
      </c>
      <c r="C19" s="73"/>
      <c r="D19" s="73"/>
      <c r="E19" s="73"/>
      <c r="F19" s="76"/>
      <c r="G19" s="73"/>
      <c r="H19" s="75"/>
      <c r="I19" s="73"/>
      <c r="J19" s="75"/>
    </row>
    <row r="20" spans="1:10">
      <c r="A20" s="73" t="s">
        <v>513</v>
      </c>
      <c r="B20" s="73" t="s">
        <v>514</v>
      </c>
      <c r="C20" s="73" t="s">
        <v>515</v>
      </c>
      <c r="D20" s="73" t="s">
        <v>516</v>
      </c>
      <c r="E20" s="73" t="s">
        <v>517</v>
      </c>
      <c r="F20" s="76" t="s">
        <v>518</v>
      </c>
      <c r="G20" s="73" t="s">
        <v>519</v>
      </c>
      <c r="H20" s="75" t="s">
        <v>520</v>
      </c>
      <c r="I20" s="73" t="s">
        <v>521</v>
      </c>
      <c r="J20" s="75" t="s">
        <v>522</v>
      </c>
    </row>
    <row r="21" spans="1:10" ht="33" customHeight="1">
      <c r="A21" s="78" t="s">
        <v>523</v>
      </c>
      <c r="B21" s="78" t="s">
        <v>524</v>
      </c>
      <c r="C21" s="78"/>
      <c r="D21" s="78"/>
      <c r="E21" s="78"/>
      <c r="F21" s="80">
        <v>0</v>
      </c>
      <c r="G21" s="78"/>
      <c r="H21" s="79">
        <v>0</v>
      </c>
      <c r="I21" s="78"/>
      <c r="J21" s="79">
        <v>0</v>
      </c>
    </row>
    <row r="22" spans="1:10" ht="33" customHeight="1">
      <c r="A22" s="73" t="s">
        <v>525</v>
      </c>
      <c r="B22" s="73" t="s">
        <v>526</v>
      </c>
      <c r="C22" s="73"/>
      <c r="D22" s="73"/>
      <c r="E22" s="73"/>
      <c r="F22" s="76"/>
      <c r="G22" s="73"/>
      <c r="H22" s="75"/>
      <c r="I22" s="73"/>
      <c r="J22" s="75"/>
    </row>
    <row r="23" spans="1:10">
      <c r="A23" s="73" t="s">
        <v>527</v>
      </c>
      <c r="B23" s="73" t="s">
        <v>528</v>
      </c>
      <c r="C23" s="73" t="s">
        <v>529</v>
      </c>
      <c r="D23" s="73" t="s">
        <v>530</v>
      </c>
      <c r="E23" s="73" t="s">
        <v>531</v>
      </c>
      <c r="F23" s="76" t="s">
        <v>532</v>
      </c>
      <c r="G23" s="73" t="s">
        <v>533</v>
      </c>
      <c r="H23" s="75" t="s">
        <v>534</v>
      </c>
      <c r="I23" s="73" t="s">
        <v>535</v>
      </c>
      <c r="J23" s="75" t="s">
        <v>536</v>
      </c>
    </row>
    <row r="24" spans="1:10" ht="31.5" customHeight="1">
      <c r="A24" s="78" t="s">
        <v>537</v>
      </c>
      <c r="B24" s="78" t="s">
        <v>538</v>
      </c>
      <c r="C24" s="78"/>
      <c r="D24" s="78"/>
      <c r="E24" s="78"/>
      <c r="F24" s="80">
        <v>0</v>
      </c>
      <c r="G24" s="78"/>
      <c r="H24" s="79">
        <v>0</v>
      </c>
      <c r="I24" s="78"/>
      <c r="J24" s="79">
        <v>0</v>
      </c>
    </row>
    <row r="25" spans="1:10" ht="31.5" customHeight="1">
      <c r="A25" s="78" t="s">
        <v>539</v>
      </c>
      <c r="B25" s="78" t="s">
        <v>540</v>
      </c>
      <c r="C25" s="78"/>
      <c r="D25" s="78"/>
      <c r="E25" s="78"/>
      <c r="F25" s="80">
        <v>0</v>
      </c>
      <c r="G25" s="78"/>
      <c r="H25" s="79">
        <v>0</v>
      </c>
      <c r="I25" s="78"/>
      <c r="J25" s="79">
        <v>0</v>
      </c>
    </row>
    <row r="26" spans="1:10" ht="31.5" customHeight="1">
      <c r="A26" s="73" t="s">
        <v>541</v>
      </c>
      <c r="B26" s="73" t="s">
        <v>542</v>
      </c>
      <c r="C26" s="73"/>
      <c r="D26" s="73"/>
      <c r="E26" s="73"/>
      <c r="F26" s="76"/>
      <c r="G26" s="73"/>
      <c r="H26" s="75"/>
      <c r="I26" s="73"/>
      <c r="J26" s="75"/>
    </row>
    <row r="27" spans="1:10">
      <c r="A27" s="73" t="s">
        <v>543</v>
      </c>
      <c r="B27" s="73" t="s">
        <v>544</v>
      </c>
      <c r="C27" s="73" t="s">
        <v>545</v>
      </c>
      <c r="D27" s="73" t="s">
        <v>546</v>
      </c>
      <c r="E27" s="73" t="s">
        <v>547</v>
      </c>
      <c r="F27" s="76" t="s">
        <v>548</v>
      </c>
      <c r="G27" s="73" t="s">
        <v>549</v>
      </c>
      <c r="H27" s="75" t="s">
        <v>550</v>
      </c>
      <c r="I27" s="73" t="s">
        <v>551</v>
      </c>
      <c r="J27" s="75" t="s">
        <v>552</v>
      </c>
    </row>
    <row r="28" spans="1:10" ht="31.5" customHeight="1">
      <c r="A28" s="78" t="s">
        <v>553</v>
      </c>
      <c r="B28" s="78" t="s">
        <v>554</v>
      </c>
      <c r="C28" s="78"/>
      <c r="D28" s="78"/>
      <c r="E28" s="78"/>
      <c r="F28" s="80">
        <v>0</v>
      </c>
      <c r="G28" s="78"/>
      <c r="H28" s="79">
        <v>0</v>
      </c>
      <c r="I28" s="78"/>
      <c r="J28" s="79">
        <v>0</v>
      </c>
    </row>
    <row r="29" spans="1:10" ht="31.5" customHeight="1">
      <c r="A29" s="73" t="s">
        <v>555</v>
      </c>
      <c r="B29" s="73" t="s">
        <v>556</v>
      </c>
      <c r="C29" s="73"/>
      <c r="D29" s="73"/>
      <c r="E29" s="73"/>
      <c r="F29" s="76"/>
      <c r="G29" s="73"/>
      <c r="H29" s="75"/>
      <c r="I29" s="73"/>
      <c r="J29" s="75"/>
    </row>
    <row r="30" spans="1:10">
      <c r="A30" s="73" t="s">
        <v>557</v>
      </c>
      <c r="B30" s="73" t="s">
        <v>558</v>
      </c>
      <c r="C30" s="73" t="s">
        <v>559</v>
      </c>
      <c r="D30" s="73" t="s">
        <v>560</v>
      </c>
      <c r="E30" s="73" t="s">
        <v>561</v>
      </c>
      <c r="F30" s="76" t="s">
        <v>562</v>
      </c>
      <c r="G30" s="73" t="s">
        <v>563</v>
      </c>
      <c r="H30" s="75" t="s">
        <v>564</v>
      </c>
      <c r="I30" s="73" t="s">
        <v>565</v>
      </c>
      <c r="J30" s="75" t="s">
        <v>566</v>
      </c>
    </row>
    <row r="31" spans="1:10" ht="30" customHeight="1">
      <c r="A31" s="78" t="s">
        <v>567</v>
      </c>
      <c r="B31" s="78" t="s">
        <v>568</v>
      </c>
      <c r="C31" s="78"/>
      <c r="D31" s="78"/>
      <c r="E31" s="78"/>
      <c r="F31" s="80">
        <v>0</v>
      </c>
      <c r="G31" s="78"/>
      <c r="H31" s="79">
        <v>0</v>
      </c>
      <c r="I31" s="78"/>
      <c r="J31" s="79">
        <v>0</v>
      </c>
    </row>
    <row r="32" spans="1:10" ht="30" customHeight="1">
      <c r="A32" s="78" t="s">
        <v>569</v>
      </c>
      <c r="B32" s="78" t="s">
        <v>570</v>
      </c>
      <c r="C32" s="78"/>
      <c r="D32" s="78"/>
      <c r="E32" s="78"/>
      <c r="F32" s="80">
        <v>0</v>
      </c>
      <c r="G32" s="78"/>
      <c r="H32" s="79">
        <v>0</v>
      </c>
      <c r="I32" s="78"/>
      <c r="J32" s="79">
        <v>0</v>
      </c>
    </row>
    <row r="33" spans="1:10" s="66" customFormat="1" ht="45.75" customHeight="1">
      <c r="A33" s="24" t="s">
        <v>10</v>
      </c>
      <c r="B33" s="25"/>
      <c r="C33" s="26"/>
      <c r="D33" s="23"/>
      <c r="E33" s="23"/>
      <c r="F33" s="23"/>
      <c r="G33" s="23"/>
      <c r="H33" s="23"/>
      <c r="I33" s="27" t="s">
        <v>11</v>
      </c>
      <c r="J33" s="23"/>
    </row>
    <row r="34" spans="1:10">
      <c r="A34" s="28" t="s">
        <v>12</v>
      </c>
      <c r="B34" s="25"/>
      <c r="C34" s="26"/>
      <c r="D34" s="23"/>
      <c r="E34" s="23"/>
      <c r="F34" s="23"/>
      <c r="G34" s="23"/>
      <c r="H34" s="23"/>
      <c r="I34" s="29" t="s">
        <v>13</v>
      </c>
      <c r="J34" s="23"/>
    </row>
    <row r="35" spans="1:10">
      <c r="A35" s="25"/>
      <c r="B35" s="25"/>
      <c r="C35" s="26"/>
      <c r="D35" s="65"/>
      <c r="E35" s="65"/>
      <c r="F35" s="65"/>
      <c r="G35" s="65"/>
      <c r="H35" s="65"/>
      <c r="I35" s="26"/>
      <c r="J35" s="65"/>
    </row>
    <row r="36" spans="1:10">
      <c r="A36" s="25"/>
      <c r="B36" s="25"/>
      <c r="C36" s="26"/>
      <c r="D36" s="65"/>
      <c r="E36" s="65"/>
      <c r="F36" s="65"/>
      <c r="G36" s="65"/>
      <c r="H36" s="65"/>
      <c r="I36" s="26"/>
      <c r="J36" s="65"/>
    </row>
    <row r="37" spans="1:10">
      <c r="A37" s="25"/>
      <c r="B37" s="25"/>
      <c r="C37" s="26"/>
      <c r="D37" s="65"/>
      <c r="E37" s="65"/>
      <c r="F37" s="65"/>
      <c r="G37" s="65"/>
      <c r="H37" s="65"/>
      <c r="I37" s="26"/>
      <c r="J37" s="65"/>
    </row>
    <row r="38" spans="1:10">
      <c r="A38" s="25"/>
      <c r="B38" s="25"/>
      <c r="C38" s="26"/>
      <c r="D38" s="65"/>
      <c r="E38" s="65"/>
      <c r="F38" s="65"/>
      <c r="G38" s="65"/>
      <c r="H38" s="65"/>
      <c r="I38" s="26"/>
      <c r="J38" s="65"/>
    </row>
    <row r="39" spans="1:10">
      <c r="A39" s="68"/>
      <c r="B39" s="65"/>
      <c r="C39" s="65"/>
      <c r="D39" s="65"/>
      <c r="E39" s="65"/>
      <c r="F39" s="65"/>
      <c r="G39" s="23"/>
      <c r="H39" s="65"/>
      <c r="I39" s="65"/>
      <c r="J39" s="65"/>
    </row>
    <row r="40" spans="1:10">
      <c r="A40" s="68"/>
      <c r="B40" s="65"/>
      <c r="C40" s="65"/>
      <c r="D40" s="65"/>
      <c r="E40" s="65"/>
      <c r="F40" s="65"/>
      <c r="G40" s="65"/>
      <c r="H40" s="65"/>
      <c r="I40" s="65"/>
      <c r="J40" s="65"/>
    </row>
    <row r="41" spans="1:10">
      <c r="A41" s="68"/>
      <c r="B41" s="65"/>
      <c r="C41" s="65"/>
      <c r="D41" s="65"/>
      <c r="E41" s="65"/>
      <c r="F41" s="65"/>
      <c r="G41" s="65"/>
      <c r="H41" s="65"/>
      <c r="I41" s="65"/>
      <c r="J41" s="65"/>
    </row>
    <row r="42" spans="1:10">
      <c r="A42" s="68"/>
      <c r="B42" s="65"/>
      <c r="C42" s="65"/>
      <c r="D42" s="65"/>
      <c r="E42" s="65"/>
      <c r="F42" s="65"/>
      <c r="G42" s="65"/>
      <c r="H42" s="65"/>
      <c r="I42" s="65"/>
      <c r="J42" s="65"/>
    </row>
    <row r="43" spans="1:10" s="22" customFormat="1" ht="14" customHeight="1">
      <c r="A43" s="155" t="s">
        <v>14</v>
      </c>
      <c r="B43" s="155"/>
      <c r="C43" s="71"/>
      <c r="D43" s="23"/>
      <c r="E43" s="23"/>
      <c r="F43" s="23"/>
      <c r="G43" s="23"/>
      <c r="H43" s="23"/>
      <c r="I43" s="70" t="s">
        <v>882</v>
      </c>
      <c r="J43" s="71"/>
    </row>
    <row r="44" spans="1:10" s="22" customFormat="1" ht="14" customHeight="1">
      <c r="A44" s="31" t="s">
        <v>888</v>
      </c>
      <c r="B44" s="23"/>
      <c r="C44" s="23"/>
      <c r="D44" s="23"/>
      <c r="E44" s="23"/>
      <c r="F44" s="23"/>
      <c r="G44" s="23"/>
      <c r="H44" s="23"/>
      <c r="I44" s="31" t="s">
        <v>889</v>
      </c>
      <c r="J44" s="23"/>
    </row>
    <row r="45" spans="1:10" s="22" customFormat="1" ht="14" customHeight="1">
      <c r="A45" s="23" t="s">
        <v>890</v>
      </c>
      <c r="B45" s="23"/>
      <c r="C45" s="23"/>
      <c r="D45" s="23"/>
      <c r="E45" s="23"/>
      <c r="F45" s="23"/>
      <c r="G45" s="23"/>
      <c r="H45" s="23"/>
      <c r="I45" s="23" t="s">
        <v>891</v>
      </c>
      <c r="J45" s="23"/>
    </row>
    <row r="46" spans="1:10" s="22" customFormat="1" ht="12.5">
      <c r="A46" s="69"/>
      <c r="B46" s="23"/>
      <c r="C46" s="23"/>
      <c r="D46" s="23"/>
      <c r="E46" s="23"/>
      <c r="F46" s="23"/>
      <c r="G46" s="23"/>
      <c r="H46" s="23"/>
      <c r="I46" s="23"/>
      <c r="J46" s="23"/>
    </row>
    <row r="47" spans="1:10" s="22" customFormat="1" ht="12.5">
      <c r="A47" s="69"/>
      <c r="B47" s="23"/>
      <c r="C47" s="23"/>
      <c r="D47" s="23"/>
      <c r="E47" s="23"/>
      <c r="F47" s="23"/>
      <c r="G47" s="23"/>
      <c r="H47" s="23"/>
      <c r="I47" s="23"/>
      <c r="J47" s="23"/>
    </row>
    <row r="48" spans="1:10">
      <c r="A48" s="68"/>
      <c r="B48" s="65"/>
      <c r="C48" s="65"/>
      <c r="D48" s="65"/>
      <c r="E48" s="65"/>
      <c r="F48" s="65"/>
      <c r="G48" s="65"/>
      <c r="H48" s="65"/>
      <c r="I48" s="65"/>
      <c r="J48" s="65"/>
    </row>
    <row r="49" spans="1:10">
      <c r="A49" s="68"/>
      <c r="B49" s="65"/>
      <c r="C49" s="65"/>
      <c r="D49" s="65"/>
      <c r="E49" s="65"/>
      <c r="F49" s="65"/>
      <c r="G49" s="65"/>
      <c r="H49" s="65"/>
      <c r="I49" s="65"/>
      <c r="J49" s="65"/>
    </row>
  </sheetData>
  <mergeCells count="25">
    <mergeCell ref="A1:J1"/>
    <mergeCell ref="A2:J2"/>
    <mergeCell ref="A3:J4"/>
    <mergeCell ref="A5:J5"/>
    <mergeCell ref="A7:B7"/>
    <mergeCell ref="G7:J7"/>
    <mergeCell ref="A8:B8"/>
    <mergeCell ref="G8:J8"/>
    <mergeCell ref="A9:B9"/>
    <mergeCell ref="G9:J9"/>
    <mergeCell ref="A10:B10"/>
    <mergeCell ref="G10:J10"/>
    <mergeCell ref="A11:B11"/>
    <mergeCell ref="G11:J11"/>
    <mergeCell ref="G12:J12"/>
    <mergeCell ref="G13:J13"/>
    <mergeCell ref="G14:J14"/>
    <mergeCell ref="F17:F18"/>
    <mergeCell ref="G17:H17"/>
    <mergeCell ref="I17:J17"/>
    <mergeCell ref="A17:A18"/>
    <mergeCell ref="B17:B18"/>
    <mergeCell ref="C17:C18"/>
    <mergeCell ref="D17:D18"/>
    <mergeCell ref="E17:E18"/>
  </mergeCells>
  <printOptions horizontalCentered="1"/>
  <pageMargins left="0.3" right="0.3" top="0.75" bottom="0.5" header="0.3" footer="0.3"/>
  <pageSetup paperSize="9" scale="51" fitToHeight="0" orientation="portrait" r:id="rId1"/>
  <headerFooter>
    <oddHeader>&amp;L&amp;"Arial"&amp;9&amp;KA80000CONFIDENTIAL&amp;1#</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6"/>
  <sheetViews>
    <sheetView tabSelected="1" view="pageBreakPreview" topLeftCell="A50" zoomScale="80" zoomScaleNormal="100" zoomScaleSheetLayoutView="80" workbookViewId="0">
      <selection activeCell="B42" sqref="A42:XFD42"/>
    </sheetView>
  </sheetViews>
  <sheetFormatPr defaultColWidth="8.7265625" defaultRowHeight="53.25" customHeight="1"/>
  <cols>
    <col min="1" max="1" width="8.7265625" style="160"/>
    <col min="2" max="2" width="64.36328125" style="160" customWidth="1"/>
    <col min="3" max="3" width="10.7265625" style="160" bestFit="1" customWidth="1"/>
    <col min="4" max="4" width="41.7265625" style="160" customWidth="1"/>
    <col min="5" max="5" width="39.54296875" style="160" customWidth="1"/>
    <col min="6" max="6" width="8.453125" style="157" customWidth="1"/>
    <col min="7" max="16384" width="8.7265625" style="157"/>
  </cols>
  <sheetData>
    <row r="1" spans="1:6" ht="53.25" customHeight="1">
      <c r="A1" s="220" t="s">
        <v>300</v>
      </c>
      <c r="B1" s="220"/>
      <c r="C1" s="220"/>
      <c r="D1" s="220"/>
      <c r="E1" s="220"/>
      <c r="F1" s="156"/>
    </row>
    <row r="2" spans="1:6" ht="66" customHeight="1">
      <c r="A2" s="221" t="s">
        <v>301</v>
      </c>
      <c r="B2" s="221"/>
      <c r="C2" s="221"/>
      <c r="D2" s="221"/>
      <c r="E2" s="221"/>
      <c r="F2" s="158"/>
    </row>
    <row r="3" spans="1:6" ht="40.5" customHeight="1">
      <c r="A3" s="222" t="s">
        <v>251</v>
      </c>
      <c r="B3" s="222"/>
      <c r="C3" s="222"/>
      <c r="D3" s="222"/>
      <c r="E3" s="222"/>
      <c r="F3" s="156"/>
    </row>
    <row r="4" spans="1:6" ht="14" hidden="1">
      <c r="A4" s="222"/>
      <c r="B4" s="222"/>
      <c r="C4" s="222"/>
      <c r="D4" s="222"/>
      <c r="E4" s="222"/>
      <c r="F4" s="156"/>
    </row>
    <row r="5" spans="1:6" ht="14">
      <c r="A5" s="223" t="s">
        <v>881</v>
      </c>
      <c r="B5" s="223"/>
      <c r="C5" s="223"/>
      <c r="D5" s="223"/>
      <c r="E5" s="223"/>
      <c r="F5" s="159"/>
    </row>
    <row r="6" spans="1:6" ht="14"/>
    <row r="7" spans="1:6" ht="14">
      <c r="A7" s="161" t="s">
        <v>2</v>
      </c>
      <c r="C7" s="224" t="s">
        <v>882</v>
      </c>
      <c r="D7" s="224"/>
      <c r="E7" s="224"/>
    </row>
    <row r="8" spans="1:6" ht="14">
      <c r="A8" s="160" t="s">
        <v>15</v>
      </c>
      <c r="C8" s="226" t="s">
        <v>883</v>
      </c>
      <c r="D8" s="226"/>
      <c r="E8" s="226"/>
    </row>
    <row r="9" spans="1:6" ht="14">
      <c r="A9" s="161" t="s">
        <v>3</v>
      </c>
      <c r="C9" s="224" t="s">
        <v>884</v>
      </c>
      <c r="D9" s="224"/>
      <c r="E9" s="224"/>
    </row>
    <row r="10" spans="1:6" ht="14">
      <c r="A10" s="160" t="s">
        <v>4</v>
      </c>
      <c r="C10" s="226" t="s">
        <v>885</v>
      </c>
      <c r="D10" s="226"/>
      <c r="E10" s="226"/>
    </row>
    <row r="11" spans="1:6" ht="14">
      <c r="A11" s="161" t="s">
        <v>5</v>
      </c>
      <c r="C11" s="224" t="s">
        <v>353</v>
      </c>
      <c r="D11" s="224"/>
      <c r="E11" s="224"/>
    </row>
    <row r="12" spans="1:6" ht="14">
      <c r="A12" s="160" t="s">
        <v>6</v>
      </c>
      <c r="C12" s="226" t="s">
        <v>896</v>
      </c>
      <c r="D12" s="226"/>
      <c r="E12" s="226"/>
    </row>
    <row r="13" spans="1:6" ht="14">
      <c r="A13" s="161" t="s">
        <v>7</v>
      </c>
      <c r="C13" s="224" t="s">
        <v>886</v>
      </c>
      <c r="D13" s="224"/>
      <c r="E13" s="224"/>
    </row>
    <row r="14" spans="1:6" ht="14">
      <c r="A14" s="160" t="s">
        <v>8</v>
      </c>
      <c r="C14" s="226" t="s">
        <v>887</v>
      </c>
      <c r="D14" s="226"/>
      <c r="E14" s="226"/>
    </row>
    <row r="15" spans="1:6" ht="14"/>
    <row r="16" spans="1:6" ht="14">
      <c r="A16" s="162" t="s">
        <v>298</v>
      </c>
      <c r="B16" s="163" t="s">
        <v>299</v>
      </c>
    </row>
    <row r="17" spans="1:5" ht="14">
      <c r="A17" s="164" t="s">
        <v>25</v>
      </c>
      <c r="B17" s="165" t="s">
        <v>244</v>
      </c>
    </row>
    <row r="18" spans="1:5" ht="42">
      <c r="A18" s="166" t="s">
        <v>17</v>
      </c>
      <c r="B18" s="166" t="s">
        <v>288</v>
      </c>
      <c r="C18" s="166" t="s">
        <v>19</v>
      </c>
      <c r="D18" s="167" t="s">
        <v>894</v>
      </c>
      <c r="E18" s="167" t="s">
        <v>895</v>
      </c>
    </row>
    <row r="19" spans="1:5" s="172" customFormat="1" ht="41.5" customHeight="1">
      <c r="A19" s="168" t="s">
        <v>16</v>
      </c>
      <c r="B19" s="169" t="s">
        <v>106</v>
      </c>
      <c r="C19" s="170" t="s">
        <v>107</v>
      </c>
      <c r="D19" s="171"/>
      <c r="E19" s="171"/>
    </row>
    <row r="20" spans="1:5" ht="61" customHeight="1">
      <c r="A20" s="173">
        <v>1</v>
      </c>
      <c r="B20" s="174" t="s">
        <v>273</v>
      </c>
      <c r="C20" s="175" t="s">
        <v>108</v>
      </c>
      <c r="D20" s="171">
        <v>1.2198485002808601E-2</v>
      </c>
      <c r="E20" s="171">
        <v>1.18049703885595E-2</v>
      </c>
    </row>
    <row r="21" spans="1:5" ht="62" customHeight="1">
      <c r="A21" s="173">
        <v>2</v>
      </c>
      <c r="B21" s="174" t="s">
        <v>274</v>
      </c>
      <c r="C21" s="175" t="s">
        <v>109</v>
      </c>
      <c r="D21" s="171">
        <v>8.1267747492497796E-4</v>
      </c>
      <c r="E21" s="171">
        <v>7.9874925686295296E-4</v>
      </c>
    </row>
    <row r="22" spans="1:5" ht="81.5" customHeight="1">
      <c r="A22" s="173">
        <v>3</v>
      </c>
      <c r="B22" s="174" t="s">
        <v>275</v>
      </c>
      <c r="C22" s="175" t="s">
        <v>110</v>
      </c>
      <c r="D22" s="171">
        <v>4.27502271589712E-4</v>
      </c>
      <c r="E22" s="171">
        <v>4.1654433911540099E-4</v>
      </c>
    </row>
    <row r="23" spans="1:5" ht="54" customHeight="1">
      <c r="A23" s="173">
        <v>4</v>
      </c>
      <c r="B23" s="174" t="s">
        <v>245</v>
      </c>
      <c r="C23" s="175" t="s">
        <v>111</v>
      </c>
      <c r="D23" s="171">
        <v>8.7332513793803601E-5</v>
      </c>
      <c r="E23" s="171">
        <v>8.5105901744658997E-5</v>
      </c>
    </row>
    <row r="24" spans="1:5" ht="62.5" customHeight="1">
      <c r="A24" s="173">
        <v>5</v>
      </c>
      <c r="B24" s="174" t="s">
        <v>276</v>
      </c>
      <c r="C24" s="175" t="s">
        <v>277</v>
      </c>
      <c r="D24" s="176"/>
      <c r="E24" s="176"/>
    </row>
    <row r="25" spans="1:5" ht="70.5" customHeight="1">
      <c r="A25" s="173">
        <v>6</v>
      </c>
      <c r="B25" s="174" t="s">
        <v>278</v>
      </c>
      <c r="C25" s="175"/>
      <c r="D25" s="176"/>
      <c r="E25" s="176"/>
    </row>
    <row r="26" spans="1:5" ht="84" customHeight="1">
      <c r="A26" s="173">
        <v>7</v>
      </c>
      <c r="B26" s="174" t="s">
        <v>246</v>
      </c>
      <c r="C26" s="175" t="s">
        <v>112</v>
      </c>
      <c r="D26" s="171">
        <v>1.63157820584972E-4</v>
      </c>
      <c r="E26" s="171">
        <v>1.6043881713316601E-4</v>
      </c>
    </row>
    <row r="27" spans="1:5" ht="39.5" customHeight="1">
      <c r="A27" s="173">
        <v>8</v>
      </c>
      <c r="B27" s="174" t="s">
        <v>279</v>
      </c>
      <c r="C27" s="175" t="s">
        <v>113</v>
      </c>
      <c r="D27" s="171">
        <v>1.35959059302058E-2</v>
      </c>
      <c r="E27" s="171">
        <v>1.36051041031914E-2</v>
      </c>
    </row>
    <row r="28" spans="1:5" ht="35" customHeight="1">
      <c r="A28" s="173">
        <v>9</v>
      </c>
      <c r="B28" s="174" t="s">
        <v>358</v>
      </c>
      <c r="C28" s="175" t="s">
        <v>114</v>
      </c>
      <c r="D28" s="171">
        <v>1.78539308532777</v>
      </c>
      <c r="E28" s="171">
        <v>1.79421271862431</v>
      </c>
    </row>
    <row r="29" spans="1:5" ht="75" customHeight="1">
      <c r="A29" s="173">
        <v>10</v>
      </c>
      <c r="B29" s="174" t="s">
        <v>280</v>
      </c>
      <c r="C29" s="175" t="s">
        <v>248</v>
      </c>
      <c r="D29" s="176"/>
      <c r="E29" s="176"/>
    </row>
    <row r="30" spans="1:5" s="172" customFormat="1" ht="38" customHeight="1">
      <c r="A30" s="168" t="s">
        <v>21</v>
      </c>
      <c r="B30" s="169" t="s">
        <v>115</v>
      </c>
      <c r="C30" s="170" t="s">
        <v>116</v>
      </c>
      <c r="D30" s="177"/>
      <c r="E30" s="177"/>
    </row>
    <row r="31" spans="1:5" ht="45.5" customHeight="1">
      <c r="A31" s="229">
        <v>1</v>
      </c>
      <c r="B31" s="174" t="s">
        <v>117</v>
      </c>
      <c r="C31" s="175" t="s">
        <v>118</v>
      </c>
      <c r="D31" s="178">
        <v>605747837800</v>
      </c>
      <c r="E31" s="178">
        <v>592045779300</v>
      </c>
    </row>
    <row r="32" spans="1:5" ht="41.5" customHeight="1">
      <c r="A32" s="230"/>
      <c r="B32" s="174" t="s">
        <v>119</v>
      </c>
      <c r="C32" s="175" t="s">
        <v>120</v>
      </c>
      <c r="D32" s="178">
        <v>605747837800</v>
      </c>
      <c r="E32" s="178">
        <v>592045779300</v>
      </c>
    </row>
    <row r="33" spans="1:5" ht="46.5" customHeight="1">
      <c r="A33" s="231"/>
      <c r="B33" s="174" t="s">
        <v>281</v>
      </c>
      <c r="C33" s="175" t="s">
        <v>121</v>
      </c>
      <c r="D33" s="176">
        <v>60574783.780000001</v>
      </c>
      <c r="E33" s="176">
        <v>59204577.93</v>
      </c>
    </row>
    <row r="34" spans="1:5" ht="51" customHeight="1">
      <c r="A34" s="228">
        <v>2</v>
      </c>
      <c r="B34" s="174" t="s">
        <v>122</v>
      </c>
      <c r="C34" s="175" t="s">
        <v>123</v>
      </c>
      <c r="D34" s="178">
        <v>2130678300</v>
      </c>
      <c r="E34" s="178">
        <v>13702058500</v>
      </c>
    </row>
    <row r="35" spans="1:5" ht="35.5" customHeight="1">
      <c r="A35" s="228"/>
      <c r="B35" s="174" t="s">
        <v>124</v>
      </c>
      <c r="C35" s="175" t="s">
        <v>282</v>
      </c>
      <c r="D35" s="176">
        <v>213067.83</v>
      </c>
      <c r="E35" s="176">
        <v>1370205.85</v>
      </c>
    </row>
    <row r="36" spans="1:5" ht="42.5" customHeight="1">
      <c r="A36" s="228"/>
      <c r="B36" s="174" t="s">
        <v>125</v>
      </c>
      <c r="C36" s="175" t="s">
        <v>283</v>
      </c>
      <c r="D36" s="178">
        <v>2130678300</v>
      </c>
      <c r="E36" s="178">
        <v>13702058500</v>
      </c>
    </row>
    <row r="37" spans="1:5" ht="37.5" customHeight="1">
      <c r="A37" s="228"/>
      <c r="B37" s="174" t="s">
        <v>284</v>
      </c>
      <c r="C37" s="175" t="s">
        <v>126</v>
      </c>
      <c r="D37" s="176">
        <v>5296415.87</v>
      </c>
      <c r="E37" s="176">
        <v>5785561.9800000004</v>
      </c>
    </row>
    <row r="38" spans="1:5" ht="28">
      <c r="A38" s="228"/>
      <c r="B38" s="174" t="s">
        <v>227</v>
      </c>
      <c r="C38" s="175" t="s">
        <v>127</v>
      </c>
      <c r="D38" s="178">
        <v>52964158700</v>
      </c>
      <c r="E38" s="178">
        <v>57855619800</v>
      </c>
    </row>
    <row r="39" spans="1:5" ht="36.5" customHeight="1">
      <c r="A39" s="228"/>
      <c r="B39" s="174" t="s">
        <v>306</v>
      </c>
      <c r="C39" s="175" t="s">
        <v>128</v>
      </c>
      <c r="D39" s="176">
        <v>-5083348.04</v>
      </c>
      <c r="E39" s="176">
        <v>-4415356.13</v>
      </c>
    </row>
    <row r="40" spans="1:5" ht="49" customHeight="1">
      <c r="A40" s="228"/>
      <c r="B40" s="174" t="s">
        <v>228</v>
      </c>
      <c r="C40" s="175" t="s">
        <v>129</v>
      </c>
      <c r="D40" s="178">
        <v>-50833480400</v>
      </c>
      <c r="E40" s="178">
        <v>-44153561300</v>
      </c>
    </row>
    <row r="41" spans="1:5" ht="38" customHeight="1">
      <c r="A41" s="228">
        <v>3</v>
      </c>
      <c r="B41" s="174" t="s">
        <v>229</v>
      </c>
      <c r="C41" s="175" t="s">
        <v>130</v>
      </c>
      <c r="D41" s="178">
        <v>607878516100</v>
      </c>
      <c r="E41" s="178">
        <v>605747837800</v>
      </c>
    </row>
    <row r="42" spans="1:5" ht="54.5" customHeight="1">
      <c r="A42" s="228"/>
      <c r="B42" s="174" t="s">
        <v>285</v>
      </c>
      <c r="C42" s="175" t="s">
        <v>131</v>
      </c>
      <c r="D42" s="178">
        <v>607878516100</v>
      </c>
      <c r="E42" s="178">
        <v>605747837800</v>
      </c>
    </row>
    <row r="43" spans="1:5" ht="55.5" customHeight="1">
      <c r="A43" s="228"/>
      <c r="B43" s="174" t="s">
        <v>286</v>
      </c>
      <c r="C43" s="175" t="s">
        <v>132</v>
      </c>
      <c r="D43" s="176">
        <v>60787851.609999999</v>
      </c>
      <c r="E43" s="176">
        <v>60574783.780000001</v>
      </c>
    </row>
    <row r="44" spans="1:5" ht="56">
      <c r="A44" s="173">
        <v>4</v>
      </c>
      <c r="B44" s="174" t="s">
        <v>133</v>
      </c>
      <c r="C44" s="175" t="s">
        <v>134</v>
      </c>
      <c r="D44" s="171">
        <v>6.89474934381548E-5</v>
      </c>
      <c r="E44" s="171">
        <v>6.9190011725370803E-5</v>
      </c>
    </row>
    <row r="45" spans="1:5" ht="53" customHeight="1">
      <c r="A45" s="173">
        <v>5</v>
      </c>
      <c r="B45" s="174" t="s">
        <v>135</v>
      </c>
      <c r="C45" s="175" t="s">
        <v>136</v>
      </c>
      <c r="D45" s="171">
        <v>0.28310000000000002</v>
      </c>
      <c r="E45" s="171">
        <v>0.28460000000000002</v>
      </c>
    </row>
    <row r="46" spans="1:5" ht="28">
      <c r="A46" s="173">
        <v>6</v>
      </c>
      <c r="B46" s="174" t="s">
        <v>897</v>
      </c>
      <c r="C46" s="175" t="s">
        <v>137</v>
      </c>
      <c r="D46" s="171">
        <v>8.0999999999999996E-3</v>
      </c>
      <c r="E46" s="171">
        <v>8.0999999999999996E-3</v>
      </c>
    </row>
    <row r="47" spans="1:5" ht="39" customHeight="1">
      <c r="A47" s="173">
        <v>7</v>
      </c>
      <c r="B47" s="174" t="s">
        <v>138</v>
      </c>
      <c r="C47" s="175" t="s">
        <v>139</v>
      </c>
      <c r="D47" s="178">
        <v>11859</v>
      </c>
      <c r="E47" s="178">
        <v>11815</v>
      </c>
    </row>
    <row r="48" spans="1:5" ht="39" customHeight="1">
      <c r="A48" s="173">
        <v>8</v>
      </c>
      <c r="B48" s="174" t="s">
        <v>230</v>
      </c>
      <c r="C48" s="175" t="s">
        <v>140</v>
      </c>
      <c r="D48" s="176">
        <v>27120.12</v>
      </c>
      <c r="E48" s="176">
        <v>26968.17</v>
      </c>
    </row>
    <row r="49" spans="1:5" ht="67" customHeight="1">
      <c r="A49" s="173">
        <v>9</v>
      </c>
      <c r="B49" s="174" t="s">
        <v>287</v>
      </c>
      <c r="C49" s="175" t="s">
        <v>249</v>
      </c>
      <c r="D49" s="176"/>
      <c r="E49" s="176"/>
    </row>
    <row r="50" spans="1:5" ht="31.5" customHeight="1">
      <c r="A50" s="227" t="s">
        <v>357</v>
      </c>
      <c r="B50" s="226"/>
      <c r="C50" s="226"/>
      <c r="D50" s="226"/>
      <c r="E50" s="226"/>
    </row>
    <row r="51" spans="1:5" ht="95.25" customHeight="1">
      <c r="A51" s="227" t="s">
        <v>899</v>
      </c>
      <c r="B51" s="226"/>
      <c r="C51" s="226"/>
      <c r="D51" s="226"/>
      <c r="E51" s="226"/>
    </row>
    <row r="52" spans="1:5" ht="73.5" customHeight="1">
      <c r="A52" s="225" t="s">
        <v>898</v>
      </c>
      <c r="B52" s="225"/>
      <c r="C52" s="225"/>
      <c r="D52" s="225"/>
      <c r="E52" s="225"/>
    </row>
    <row r="53" spans="1:5" ht="14">
      <c r="A53" s="179" t="s">
        <v>10</v>
      </c>
      <c r="D53" s="179" t="s">
        <v>11</v>
      </c>
    </row>
    <row r="54" spans="1:5" s="159" customFormat="1" ht="14">
      <c r="A54" s="180" t="s">
        <v>12</v>
      </c>
      <c r="B54" s="180"/>
      <c r="C54" s="180"/>
      <c r="D54" s="180" t="s">
        <v>13</v>
      </c>
      <c r="E54" s="180"/>
    </row>
    <row r="55" spans="1:5" ht="14"/>
    <row r="56" spans="1:5" ht="14"/>
    <row r="57" spans="1:5" ht="14"/>
    <row r="58" spans="1:5" ht="14"/>
    <row r="59" spans="1:5" ht="14"/>
    <row r="60" spans="1:5" ht="14"/>
    <row r="61" spans="1:5" ht="14"/>
    <row r="62" spans="1:5" ht="14"/>
    <row r="63" spans="1:5" ht="14">
      <c r="A63" s="181"/>
      <c r="B63" s="181"/>
      <c r="D63" s="181"/>
      <c r="E63" s="181"/>
    </row>
    <row r="64" spans="1:5" ht="14">
      <c r="A64" s="179" t="s">
        <v>14</v>
      </c>
      <c r="D64" s="179" t="s">
        <v>882</v>
      </c>
    </row>
    <row r="65" spans="1:4" ht="14">
      <c r="A65" s="179" t="s">
        <v>888</v>
      </c>
      <c r="D65" s="179" t="s">
        <v>889</v>
      </c>
    </row>
    <row r="66" spans="1:4" ht="14">
      <c r="A66" s="160" t="s">
        <v>890</v>
      </c>
      <c r="D66" s="160" t="s">
        <v>891</v>
      </c>
    </row>
  </sheetData>
  <mergeCells count="18">
    <mergeCell ref="A52:E52"/>
    <mergeCell ref="C13:E13"/>
    <mergeCell ref="C8:E8"/>
    <mergeCell ref="C9:E9"/>
    <mergeCell ref="C10:E10"/>
    <mergeCell ref="C11:E11"/>
    <mergeCell ref="C12:E12"/>
    <mergeCell ref="A51:E51"/>
    <mergeCell ref="A50:E50"/>
    <mergeCell ref="A34:A40"/>
    <mergeCell ref="A41:A43"/>
    <mergeCell ref="C14:E14"/>
    <mergeCell ref="A31:A33"/>
    <mergeCell ref="A1:E1"/>
    <mergeCell ref="A2:E2"/>
    <mergeCell ref="A3:E4"/>
    <mergeCell ref="A5:E5"/>
    <mergeCell ref="C7:E7"/>
  </mergeCells>
  <printOptions horizontalCentered="1"/>
  <pageMargins left="0.3" right="0.3" top="0.75" bottom="0.5" header="0.3" footer="0.3"/>
  <pageSetup paperSize="9" scale="59" fitToHeight="0" orientation="portrait" r:id="rId1"/>
  <headerFooter>
    <oddHeader>&amp;L&amp;"Arial"&amp;9&amp;KA80000CONFIDENTIAL&amp;1#</oddHeader>
  </headerFooter>
  <rowBreaks count="1" manualBreakCount="1">
    <brk id="34" max="16383" man="1"/>
  </rowBreaks>
  <drawing r:id="rId2"/>
  <legacy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D76"/>
  <sheetViews>
    <sheetView zoomScaleNormal="100" workbookViewId="0">
      <selection activeCell="D2" sqref="D2"/>
    </sheetView>
  </sheetViews>
  <sheetFormatPr defaultRowHeight="61.5" customHeight="1"/>
  <cols>
    <col min="1" max="1" width="11.453125" bestFit="1" customWidth="1"/>
    <col min="2" max="2" width="98.26953125" customWidth="1"/>
    <col min="3" max="3" width="33.453125" customWidth="1"/>
    <col min="4" max="4" width="10.26953125" customWidth="1"/>
  </cols>
  <sheetData>
    <row r="1" spans="1:4" ht="15.75" customHeight="1">
      <c r="D1" t="s">
        <v>150</v>
      </c>
    </row>
    <row r="2" spans="1:4" s="1" customFormat="1" ht="61.5" customHeight="1">
      <c r="A2" s="1" t="s">
        <v>143</v>
      </c>
      <c r="B2" s="1" t="s">
        <v>144</v>
      </c>
      <c r="C2" s="1" t="s">
        <v>145</v>
      </c>
    </row>
    <row r="3" spans="1:4" ht="57" customHeight="1">
      <c r="A3" t="s">
        <v>250</v>
      </c>
      <c r="B3" t="s">
        <v>355</v>
      </c>
    </row>
    <row r="4" spans="1:4" ht="52.5" customHeight="1">
      <c r="A4" t="s">
        <v>146</v>
      </c>
      <c r="B4" t="s">
        <v>351</v>
      </c>
    </row>
    <row r="5" spans="1:4" ht="57.75" customHeight="1">
      <c r="A5" t="s">
        <v>147</v>
      </c>
      <c r="B5" t="s">
        <v>352</v>
      </c>
    </row>
    <row r="6" spans="1:4" ht="61.5" customHeight="1">
      <c r="A6" t="s">
        <v>148</v>
      </c>
      <c r="B6" t="s">
        <v>149</v>
      </c>
    </row>
    <row r="7" spans="1:4" ht="61.5" customHeight="1">
      <c r="A7" t="s">
        <v>150</v>
      </c>
      <c r="B7" t="s">
        <v>353</v>
      </c>
    </row>
    <row r="8" spans="1:4" ht="61.5" customHeight="1">
      <c r="A8" t="s">
        <v>151</v>
      </c>
      <c r="B8" t="s">
        <v>354</v>
      </c>
    </row>
    <row r="9" spans="1:4" ht="61.5" customHeight="1">
      <c r="A9" t="s">
        <v>153</v>
      </c>
      <c r="B9" t="s">
        <v>154</v>
      </c>
    </row>
    <row r="10" spans="1:4" ht="61.5" customHeight="1">
      <c r="A10" t="s">
        <v>152</v>
      </c>
      <c r="B10" t="s">
        <v>154</v>
      </c>
    </row>
    <row r="11" spans="1:4" ht="61.5" customHeight="1">
      <c r="A11" t="s">
        <v>155</v>
      </c>
      <c r="B11" t="s">
        <v>156</v>
      </c>
    </row>
    <row r="12" spans="1:4" ht="61.5" customHeight="1">
      <c r="A12" t="s">
        <v>157</v>
      </c>
      <c r="B12" t="s">
        <v>158</v>
      </c>
    </row>
    <row r="13" spans="1:4" ht="61.5" customHeight="1">
      <c r="A13" t="s">
        <v>159</v>
      </c>
      <c r="B13" t="s">
        <v>160</v>
      </c>
    </row>
    <row r="14" spans="1:4" ht="61.5" customHeight="1">
      <c r="A14" t="s">
        <v>161</v>
      </c>
      <c r="B14" t="s">
        <v>162</v>
      </c>
    </row>
    <row r="15" spans="1:4" ht="61.5" customHeight="1">
      <c r="A15" t="s">
        <v>163</v>
      </c>
      <c r="B15" t="s">
        <v>164</v>
      </c>
    </row>
    <row r="16" spans="1:4" ht="61.5" customHeight="1">
      <c r="A16" t="s">
        <v>165</v>
      </c>
      <c r="B16" t="s">
        <v>166</v>
      </c>
    </row>
    <row r="17" spans="1:2" ht="61.5" customHeight="1">
      <c r="A17" t="s">
        <v>167</v>
      </c>
      <c r="B17" t="s">
        <v>168</v>
      </c>
    </row>
    <row r="18" spans="1:2" ht="61.5" customHeight="1">
      <c r="A18" t="s">
        <v>169</v>
      </c>
      <c r="B18" t="s">
        <v>170</v>
      </c>
    </row>
    <row r="19" spans="1:2" ht="61.5" customHeight="1">
      <c r="A19" t="s">
        <v>171</v>
      </c>
      <c r="B19" t="s">
        <v>172</v>
      </c>
    </row>
    <row r="20" spans="1:2" ht="61.5" customHeight="1">
      <c r="A20" t="s">
        <v>173</v>
      </c>
      <c r="B20" t="s">
        <v>174</v>
      </c>
    </row>
    <row r="21" spans="1:2" ht="61.5" customHeight="1">
      <c r="A21" t="s">
        <v>175</v>
      </c>
      <c r="B21" t="s">
        <v>176</v>
      </c>
    </row>
    <row r="22" spans="1:2" ht="61.5" customHeight="1">
      <c r="A22" t="s">
        <v>181</v>
      </c>
      <c r="B22" t="s">
        <v>182</v>
      </c>
    </row>
    <row r="23" spans="1:2" ht="61.5" customHeight="1">
      <c r="A23" t="s">
        <v>183</v>
      </c>
      <c r="B23" t="s">
        <v>184</v>
      </c>
    </row>
    <row r="24" spans="1:2" ht="61.5" customHeight="1">
      <c r="A24" t="s">
        <v>185</v>
      </c>
      <c r="B24" t="s">
        <v>186</v>
      </c>
    </row>
    <row r="25" spans="1:2" ht="61.5" customHeight="1">
      <c r="A25" t="s">
        <v>187</v>
      </c>
      <c r="B25" t="s">
        <v>188</v>
      </c>
    </row>
    <row r="26" spans="1:2" ht="61.5" customHeight="1">
      <c r="A26" t="s">
        <v>189</v>
      </c>
      <c r="B26" t="s">
        <v>190</v>
      </c>
    </row>
    <row r="27" spans="1:2" ht="61.5" customHeight="1">
      <c r="A27" t="s">
        <v>191</v>
      </c>
      <c r="B27" t="s">
        <v>192</v>
      </c>
    </row>
    <row r="28" spans="1:2" ht="61.5" customHeight="1">
      <c r="A28" t="s">
        <v>193</v>
      </c>
      <c r="B28" t="s">
        <v>194</v>
      </c>
    </row>
    <row r="29" spans="1:2" ht="61.5" customHeight="1">
      <c r="A29" t="s">
        <v>195</v>
      </c>
      <c r="B29" t="s">
        <v>196</v>
      </c>
    </row>
    <row r="30" spans="1:2" ht="61.5" customHeight="1">
      <c r="A30" t="s">
        <v>197</v>
      </c>
      <c r="B30" t="s">
        <v>198</v>
      </c>
    </row>
    <row r="31" spans="1:2" ht="61.5" customHeight="1">
      <c r="A31" t="s">
        <v>177</v>
      </c>
      <c r="B31" t="s">
        <v>178</v>
      </c>
    </row>
    <row r="32" spans="1:2" ht="61.5" customHeight="1">
      <c r="A32" t="s">
        <v>200</v>
      </c>
      <c r="B32" t="s">
        <v>201</v>
      </c>
    </row>
    <row r="33" spans="1:2" ht="61.5" customHeight="1">
      <c r="A33" t="s">
        <v>202</v>
      </c>
      <c r="B33" t="s">
        <v>203</v>
      </c>
    </row>
    <row r="34" spans="1:2" ht="61.5" customHeight="1">
      <c r="A34" t="s">
        <v>204</v>
      </c>
      <c r="B34" t="s">
        <v>199</v>
      </c>
    </row>
    <row r="35" spans="1:2" ht="61.5" customHeight="1">
      <c r="A35" t="s">
        <v>205</v>
      </c>
      <c r="B35" t="s">
        <v>206</v>
      </c>
    </row>
    <row r="36" spans="1:2" ht="61.5" customHeight="1">
      <c r="A36" t="s">
        <v>207</v>
      </c>
      <c r="B36" t="s">
        <v>208</v>
      </c>
    </row>
    <row r="37" spans="1:2" ht="61.5" customHeight="1">
      <c r="A37" t="s">
        <v>209</v>
      </c>
      <c r="B37" t="s">
        <v>210</v>
      </c>
    </row>
    <row r="38" spans="1:2" ht="61.5" customHeight="1">
      <c r="A38" t="s">
        <v>197</v>
      </c>
      <c r="B38" t="s">
        <v>198</v>
      </c>
    </row>
    <row r="39" spans="1:2" ht="61.5" customHeight="1">
      <c r="A39" t="s">
        <v>211</v>
      </c>
      <c r="B39" t="s">
        <v>212</v>
      </c>
    </row>
    <row r="40" spans="1:2" ht="61.5" customHeight="1">
      <c r="A40" t="s">
        <v>307</v>
      </c>
      <c r="B40" t="s">
        <v>308</v>
      </c>
    </row>
    <row r="41" spans="1:2" ht="61.5" customHeight="1">
      <c r="A41" t="s">
        <v>309</v>
      </c>
      <c r="B41" t="s">
        <v>310</v>
      </c>
    </row>
    <row r="42" spans="1:2" ht="61.5" customHeight="1">
      <c r="A42" t="s">
        <v>311</v>
      </c>
      <c r="B42" t="s">
        <v>312</v>
      </c>
    </row>
    <row r="43" spans="1:2" ht="61.5" customHeight="1">
      <c r="A43" t="s">
        <v>313</v>
      </c>
      <c r="B43" t="s">
        <v>314</v>
      </c>
    </row>
    <row r="44" spans="1:2" ht="61.5" customHeight="1">
      <c r="A44" t="s">
        <v>315</v>
      </c>
      <c r="B44" t="s">
        <v>316</v>
      </c>
    </row>
    <row r="45" spans="1:2" ht="61.5" customHeight="1">
      <c r="A45" t="s">
        <v>317</v>
      </c>
      <c r="B45" t="s">
        <v>318</v>
      </c>
    </row>
    <row r="46" spans="1:2" ht="61.5" customHeight="1">
      <c r="A46" t="s">
        <v>319</v>
      </c>
      <c r="B46" t="s">
        <v>320</v>
      </c>
    </row>
    <row r="47" spans="1:2" ht="61.5" customHeight="1">
      <c r="A47" t="s">
        <v>321</v>
      </c>
      <c r="B47" t="s">
        <v>322</v>
      </c>
    </row>
    <row r="48" spans="1:2" ht="61.5" customHeight="1">
      <c r="A48" t="s">
        <v>323</v>
      </c>
      <c r="B48" t="s">
        <v>324</v>
      </c>
    </row>
    <row r="49" spans="1:2" ht="61.5" customHeight="1">
      <c r="A49" t="s">
        <v>325</v>
      </c>
      <c r="B49" t="s">
        <v>326</v>
      </c>
    </row>
    <row r="50" spans="1:2" ht="61.5" customHeight="1">
      <c r="A50" t="s">
        <v>327</v>
      </c>
      <c r="B50" t="s">
        <v>356</v>
      </c>
    </row>
    <row r="51" spans="1:2" ht="61.5" customHeight="1">
      <c r="A51" t="s">
        <v>328</v>
      </c>
      <c r="B51" t="s">
        <v>329</v>
      </c>
    </row>
    <row r="52" spans="1:2" ht="61.5" customHeight="1">
      <c r="A52" t="s">
        <v>330</v>
      </c>
      <c r="B52" t="s">
        <v>331</v>
      </c>
    </row>
    <row r="53" spans="1:2" ht="61.5" customHeight="1">
      <c r="A53" t="s">
        <v>332</v>
      </c>
    </row>
    <row r="54" spans="1:2" ht="61.5" customHeight="1">
      <c r="A54" t="s">
        <v>333</v>
      </c>
    </row>
    <row r="55" spans="1:2" ht="61.5" customHeight="1">
      <c r="A55" t="s">
        <v>334</v>
      </c>
    </row>
    <row r="56" spans="1:2" ht="61.5" customHeight="1">
      <c r="A56" t="s">
        <v>335</v>
      </c>
      <c r="B56" t="s">
        <v>336</v>
      </c>
    </row>
    <row r="57" spans="1:2" ht="61.5" customHeight="1">
      <c r="A57" t="s">
        <v>337</v>
      </c>
    </row>
    <row r="58" spans="1:2" ht="61.5" customHeight="1">
      <c r="A58" t="s">
        <v>338</v>
      </c>
    </row>
    <row r="59" spans="1:2" ht="61.5" customHeight="1">
      <c r="A59" t="s">
        <v>339</v>
      </c>
    </row>
    <row r="60" spans="1:2" ht="61.5" customHeight="1">
      <c r="A60" t="s">
        <v>340</v>
      </c>
    </row>
    <row r="61" spans="1:2" ht="61.5" customHeight="1">
      <c r="A61" t="s">
        <v>341</v>
      </c>
    </row>
    <row r="62" spans="1:2" ht="61.5" customHeight="1">
      <c r="A62" t="s">
        <v>342</v>
      </c>
    </row>
    <row r="63" spans="1:2" ht="61.5" customHeight="1">
      <c r="A63" t="s">
        <v>343</v>
      </c>
    </row>
    <row r="64" spans="1:2" ht="61.5" customHeight="1">
      <c r="A64" t="s">
        <v>344</v>
      </c>
    </row>
    <row r="65" spans="1:2" ht="61.5" customHeight="1">
      <c r="A65" t="s">
        <v>345</v>
      </c>
    </row>
    <row r="66" spans="1:2" ht="61.5" customHeight="1">
      <c r="A66" t="s">
        <v>346</v>
      </c>
    </row>
    <row r="67" spans="1:2" ht="61.5" customHeight="1">
      <c r="A67" t="s">
        <v>347</v>
      </c>
    </row>
    <row r="68" spans="1:2" ht="61.5" customHeight="1">
      <c r="A68" t="s">
        <v>348</v>
      </c>
    </row>
    <row r="69" spans="1:2" ht="61.5" customHeight="1">
      <c r="A69" t="s">
        <v>349</v>
      </c>
    </row>
    <row r="70" spans="1:2" ht="61.5" customHeight="1">
      <c r="A70" t="s">
        <v>350</v>
      </c>
    </row>
    <row r="71" spans="1:2" ht="61.5" customHeight="1">
      <c r="A71" t="s">
        <v>359</v>
      </c>
      <c r="B71" t="s">
        <v>360</v>
      </c>
    </row>
    <row r="72" spans="1:2" ht="61.5" customHeight="1">
      <c r="A72" t="s">
        <v>361</v>
      </c>
    </row>
    <row r="73" spans="1:2" ht="61.5" customHeight="1">
      <c r="A73" t="s">
        <v>362</v>
      </c>
    </row>
    <row r="74" spans="1:2" ht="61.5" customHeight="1">
      <c r="A74" t="s">
        <v>367</v>
      </c>
    </row>
    <row r="75" spans="1:2" ht="61.5" customHeight="1">
      <c r="A75" t="s">
        <v>368</v>
      </c>
    </row>
    <row r="76" spans="1:2" ht="61.5" customHeight="1">
      <c r="A76" t="s">
        <v>369</v>
      </c>
    </row>
  </sheetData>
  <conditionalFormatting sqref="A38:A70 A1:A21 A72:A73 A76:A1048576">
    <cfRule type="duplicateValues" dxfId="10" priority="26"/>
    <cfRule type="duplicateValues" dxfId="9" priority="29"/>
  </conditionalFormatting>
  <conditionalFormatting sqref="A71">
    <cfRule type="duplicateValues" dxfId="8" priority="5"/>
    <cfRule type="duplicateValues" dxfId="7" priority="6"/>
  </conditionalFormatting>
  <conditionalFormatting sqref="A74">
    <cfRule type="duplicateValues" dxfId="6" priority="3"/>
    <cfRule type="duplicateValues" dxfId="5" priority="4"/>
  </conditionalFormatting>
  <conditionalFormatting sqref="A75">
    <cfRule type="duplicateValues" dxfId="4" priority="1"/>
    <cfRule type="duplicateValues" dxfId="3" priority="2"/>
  </conditionalFormatting>
  <conditionalFormatting sqref="A22:B37 B39">
    <cfRule type="duplicateValues" dxfId="2" priority="41"/>
  </conditionalFormatting>
  <conditionalFormatting sqref="D1">
    <cfRule type="duplicateValues" dxfId="1" priority="13"/>
    <cfRule type="duplicateValues" dxfId="0" priority="14"/>
  </conditionalFormatting>
  <pageMargins left="0.7" right="0.7" top="0.75" bottom="0.75" header="0.3" footer="0.3"/>
  <pageSetup orientation="portrait" r:id="rId1"/>
  <headerFooter>
    <oddHeader>&amp;L&amp;"Arial"&amp;9&amp;KA80000CONFIDENTIAL&amp;1#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wOSBAgU9G/EmVAnoBwW35Z94rTR6MMhrebzD4k2f4bU=</DigestValue>
    </Reference>
    <Reference Type="http://www.w3.org/2000/09/xmldsig#Object" URI="#idOfficeObject">
      <DigestMethod Algorithm="http://www.w3.org/2001/04/xmlenc#sha256"/>
      <DigestValue>sqSEqIh5oFgpJv7bLY5+7wSvUTUmhsDZk9WvKxg1l0Y=</DigestValue>
    </Reference>
    <Reference Type="http://uri.etsi.org/01903#SignedProperties" URI="#idSignedProperties">
      <Transforms>
        <Transform Algorithm="http://www.w3.org/TR/2001/REC-xml-c14n-20010315"/>
      </Transforms>
      <DigestMethod Algorithm="http://www.w3.org/2001/04/xmlenc#sha256"/>
      <DigestValue>gKboztJGQ+1P8KtkBhXnQurN7gOyAgAsdDHCSg7dxzA=</DigestValue>
    </Reference>
  </SignedInfo>
  <SignatureValue>pYfbU2DiH0YkbFLY6aDeg0wryptJoSyOz2ooTZ09PBFuu6aeriqrZVo+9CCZgwV+pWIKuu/lf45f
QK8wPnDhF+uJk+aQgTh24YHo8S+xnjgy/UmhbJqfkm4G6B/SA3Ny9JsSeF5Vgu+I7nVv7S53qfY4
RXZu9k5MrSX+OMq5Jd21QKwRFcX74TogFZQ7A/DbXSFHvcesqQ6qgiPOuAUdetarcNc590RIx+Vv
BG9AsMWnEfHeVqEZJdfMNw74jVb42z17mj+fNbZrWfPRMxkHJuu+s06H9aFzWA8uNsLQneqMTJNW
wYDb4qEc/PHip9ofEf9goVHzdlvY+WzjxaNd3w==</SignatureValue>
  <KeyInfo>
    <X509Data>
      <X509Certificate>MIIFVTCCBD2gAwIBAgIQVAEBAVJeHBcT07K+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h6kd1XDXm2XLp+FtTmAUwMUmgaWFnXSv5qpzl8zvg1EV/6RbPsbO83dBfxZGIpiCVWA/f5luQ6G++28dRbg7WFWe+0VS+oDY799LEX54pp+ow+IS1AHLLbz2B86JgBpkuPFARzGtO+rAsuwBPHBYnPQy7EsieB/0rRRM2hOUmvj1cLAmWc5HpjNoiXi+SJkYFHzzfqspjogPjmldrBPBEhFxdUOYjlAhi2imITt0tW7Wx5OxSDhXXXfEowg08y61WeZxNNzmNe6u1WiA8rvXIJSiWGDBEQx7/RfMK39c7tPWX/R7aJU29TH8jMz75VjRszvAgMBAAGjggHJMIIBxTB+BggrBgEFBQcBAQRyMHAwOQYIKwYBBQUHMAKGLWh0dHA6Ly9wdWIudm5wdC1jYS52bi9jZXJ0cy92bnB0Y2Etc2hhMjU2LmNlcjAzBggrBgEFBQcwAYYnaHR0cDovL29jc3Atc2hhMjU2LnZucHQtY2Eudm4vcmVzcG9uZGVyMB0GA1UdDgQWBBSKiVkYljMrYn541r0VRU92+6Lhoz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BrwNMw2ouxj+4EP6cnwOSdtiQBjU6Ix47NTbB65hp7C1m0ZKRhQqmwtrjmJwt58/2CC/bJeopyr0MKK/5Pauvsm50/kL62lgY63F14KTwhmG+kBqKNM4q/pbCEHYMe4f/HELx4w4+lzkAhSzqVmp4QwhIma77TLLCRx/x/TMJxlp/Tw2KTtUdWGVQ6THLyKik625S/8nE/Xr6pVCge2cQ6p/kGtRrNiYhc1upTOUFFM0a9xp0owucbRsdUz9PDYDEm/N+orMk6nW3ETQo4/YOIPYkFJUHxlPyGEHOi7V4iajJLb6LBp9S/koV392ABW/u4cDlk7eUX0rDauleQqLV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XivyjnAvUk2/1WyCa4I86tomXh7WrWas1GjGAge/8nw=</DigestValue>
      </Reference>
      <Reference URI="/docMetadata/LabelInfo.xml?ContentType=application/vnd.ms-office.classificationlabels+xml">
        <DigestMethod Algorithm="http://www.w3.org/2001/04/xmlenc#sha256"/>
        <DigestValue>SKyPqQFunk9PNlYZJe2/wLsialC1VqMzTVqblB5exZY=</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Transform>
          <Transform Algorithm="http://www.w3.org/TR/2001/REC-xml-c14n-20010315"/>
        </Transforms>
        <DigestMethod Algorithm="http://www.w3.org/2001/04/xmlenc#sha256"/>
        <DigestValue>9hkTQ75JAfW23smmIrr+KrL38a95DOPJIMJM2bZ4cJo=</DigestValue>
      </Reference>
      <Reference URI="/xl/calcChain.xml?ContentType=application/vnd.openxmlformats-officedocument.spreadsheetml.calcChain+xml">
        <DigestMethod Algorithm="http://www.w3.org/2001/04/xmlenc#sha256"/>
        <DigestValue>VQYzhk96wu1Gma0sfpIv4/iqEm2OhQpfXQ3WF/YXo30=</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HKLkyK+cCxDfx6AK7JJczcjttDSSh5FDL1PQYt6e0vI=</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9"/>
            <mdssi:RelationshipReference xmlns:mdssi="http://schemas.openxmlformats.org/package/2006/digital-signature" SourceId="rId14"/>
            <mdssi:RelationshipReference xmlns:mdssi="http://schemas.openxmlformats.org/package/2006/digital-signature" SourceId="rId8"/>
            <mdssi:RelationshipReference xmlns:mdssi="http://schemas.openxmlformats.org/package/2006/digital-signature" SourceId="rId13"/>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6"/>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5"/>
            <mdssi:RelationshipReference xmlns:mdssi="http://schemas.openxmlformats.org/package/2006/digital-signature" SourceId="rId10"/>
            <mdssi:RelationshipReference xmlns:mdssi="http://schemas.openxmlformats.org/package/2006/digital-signature" SourceId="rId4"/>
          </Transform>
          <Transform Algorithm="http://www.w3.org/TR/2001/REC-xml-c14n-20010315"/>
        </Transforms>
        <DigestMethod Algorithm="http://www.w3.org/2001/04/xmlenc#sha256"/>
        <DigestValue>27YXyh4rcOcAdehOJe6WKvrIx5yq+XvCMTl7FmFEy68=</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rZlRfGZnw17KFUlOrAHS9vgQGJds3OOnwZpUniCcoDg=</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drawing1.xml?ContentType=application/vnd.openxmlformats-officedocument.drawing+xml">
        <DigestMethod Algorithm="http://www.w3.org/2001/04/xmlenc#sha256"/>
        <DigestValue>xGTAo/Sb5tmsYq3GfKzWplSdgUDQ7LN+ocy7Ew8iXAQ=</DigestValue>
      </Reference>
      <Reference URI="/xl/drawings/drawing2.xml?ContentType=application/vnd.openxmlformats-officedocument.drawing+xml">
        <DigestMethod Algorithm="http://www.w3.org/2001/04/xmlenc#sha256"/>
        <DigestValue>j5N71UESMFfavg6v8ZO7IXrqTxkY7hxXCejQ4OwwMZY=</DigestValue>
      </Reference>
      <Reference URI="/xl/drawings/drawing3.xml?ContentType=application/vnd.openxmlformats-officedocument.drawing+xml">
        <DigestMethod Algorithm="http://www.w3.org/2001/04/xmlenc#sha256"/>
        <DigestValue>g8IFpBapwXg3fv389TfU6MPiCXAugjAOhFtg2OKV6BM=</DigestValue>
      </Reference>
      <Reference URI="/xl/drawings/drawing4.xml?ContentType=application/vnd.openxmlformats-officedocument.drawing+xml">
        <DigestMethod Algorithm="http://www.w3.org/2001/04/xmlenc#sha256"/>
        <DigestValue>VOlG12CTRYu7/fQq30JsE/i0+hcF85v2mL+BisOxJ5o=</DigestValue>
      </Reference>
      <Reference URI="/xl/drawings/drawing5.xml?ContentType=application/vnd.openxmlformats-officedocument.drawing+xml">
        <DigestMethod Algorithm="http://www.w3.org/2001/04/xmlenc#sha256"/>
        <DigestValue>T7r4VUZMoregaUhcHlsrMBHavK4xyqSgOTOfHP0qBRw=</DigestValue>
      </Reference>
      <Reference URI="/xl/drawings/drawing6.xml?ContentType=application/vnd.openxmlformats-officedocument.drawing+xml">
        <DigestMethod Algorithm="http://www.w3.org/2001/04/xmlenc#sha256"/>
        <DigestValue>eC4bGMtmbpMJyPFOJDt+/zZ0/anNLSoDOWNA5DB9dDE=</DigestValue>
      </Reference>
      <Reference URI="/xl/drawings/vmlDrawing1.vml?ContentType=application/vnd.openxmlformats-officedocument.vmlDrawing">
        <DigestMethod Algorithm="http://www.w3.org/2001/04/xmlenc#sha256"/>
        <DigestValue>0gvvsT+CcyHGi4FiMFrgmQjFv9Nb7Si/uM8xOyi1cPs=</DigestValue>
      </Reference>
      <Reference URI="/xl/drawings/vmlDrawing2.vml?ContentType=application/vnd.openxmlformats-officedocument.vmlDrawing">
        <DigestMethod Algorithm="http://www.w3.org/2001/04/xmlenc#sha256"/>
        <DigestValue>EFtedJEMEHIGHWgoGHOLQ4cYo8TOAZf0Su0YD47Nmew=</DigestValue>
      </Reference>
      <Reference URI="/xl/drawings/vmlDrawing3.vml?ContentType=application/vnd.openxmlformats-officedocument.vmlDrawing">
        <DigestMethod Algorithm="http://www.w3.org/2001/04/xmlenc#sha256"/>
        <DigestValue>kgau01N6CM4OYzAP4YmtmdO5riDE7FAyk8qEDeC71GE=</DigestValue>
      </Reference>
      <Reference URI="/xl/drawings/vmlDrawing4.vml?ContentType=application/vnd.openxmlformats-officedocument.vmlDrawing">
        <DigestMethod Algorithm="http://www.w3.org/2001/04/xmlenc#sha256"/>
        <DigestValue>iLYueZTYD1Uf9ElUfn+T1iP12LGempkueXYKVwzbNSQ=</DigestValue>
      </Reference>
      <Reference URI="/xl/drawings/vmlDrawing5.vml?ContentType=application/vnd.openxmlformats-officedocument.vmlDrawing">
        <DigestMethod Algorithm="http://www.w3.org/2001/04/xmlenc#sha256"/>
        <DigestValue>LLkcjwlx1Em8zLaPJ/3JAboDpEqcn8cSdR0UlZU6n5Y=</DigestValue>
      </Reference>
      <Reference URI="/xl/media/image1.emf?ContentType=image/x-emf">
        <DigestMethod Algorithm="http://www.w3.org/2001/04/xmlenc#sha256"/>
        <DigestValue>fXPE9/AJ5L+eCQ1IWyM4qZVLwN2ECDZisVn/cnA4dOk=</DigestValue>
      </Reference>
      <Reference URI="/xl/media/image10.png?ContentType=image/png">
        <DigestMethod Algorithm="http://www.w3.org/2001/04/xmlenc#sha256"/>
        <DigestValue>ZAdetHgtteZB1XilMQsHJFgDMLNGPPl+fVxeCb02eWA=</DigestValue>
      </Reference>
      <Reference URI="/xl/media/image11.png?ContentType=image/png">
        <DigestMethod Algorithm="http://www.w3.org/2001/04/xmlenc#sha256"/>
        <DigestValue>9mlgneoHMIJFBiBt9idi29PyzEtQryIcH8mytcR8HuQ=</DigestValue>
      </Reference>
      <Reference URI="/xl/media/image12.png?ContentType=image/png">
        <DigestMethod Algorithm="http://www.w3.org/2001/04/xmlenc#sha256"/>
        <DigestValue>SF6lIEP1cWrixGLlmKbDwtfQEVVVSqyr4UGAExXHkRI=</DigestValue>
      </Reference>
      <Reference URI="/xl/media/image13.png?ContentType=image/png">
        <DigestMethod Algorithm="http://www.w3.org/2001/04/xmlenc#sha256"/>
        <DigestValue>nm7L/P9WE9GNscuDnBKAar5SNauglawjFq/j/r/Q3Y0=</DigestValue>
      </Reference>
      <Reference URI="/xl/media/image14.png?ContentType=image/png">
        <DigestMethod Algorithm="http://www.w3.org/2001/04/xmlenc#sha256"/>
        <DigestValue>RTP7uLdrbjo2BTyctwZo7RYHvZa5BeSgClbeqqlfBa4=</DigestValue>
      </Reference>
      <Reference URI="/xl/media/image15.jpeg?ContentType=image/jpeg">
        <DigestMethod Algorithm="http://www.w3.org/2001/04/xmlenc#sha256"/>
        <DigestValue>iIytnUqpm1OstWpGPvo3d9ZyLo1HT/gkVsavSoNMx/0=</DigestValue>
      </Reference>
      <Reference URI="/xl/media/image16.jpeg?ContentType=image/jpeg">
        <DigestMethod Algorithm="http://www.w3.org/2001/04/xmlenc#sha256"/>
        <DigestValue>p0cj4QWkXd7goU0cJIoMMYvkHzp5h8sNoH6P0OF3thM=</DigestValue>
      </Reference>
      <Reference URI="/xl/media/image17.jpeg?ContentType=image/jpeg">
        <DigestMethod Algorithm="http://www.w3.org/2001/04/xmlenc#sha256"/>
        <DigestValue>JrspNEDe+jYbcdSixaxxOarORGrZkGqSTV3XwCn1Z+g=</DigestValue>
      </Reference>
      <Reference URI="/xl/media/image18.png?ContentType=image/png">
        <DigestMethod Algorithm="http://www.w3.org/2001/04/xmlenc#sha256"/>
        <DigestValue>i/PXx/R/9nHm50D6GxNe6CcA3SrZA5u15aqMWRgWAcg=</DigestValue>
      </Reference>
      <Reference URI="/xl/media/image19.png?ContentType=image/png">
        <DigestMethod Algorithm="http://www.w3.org/2001/04/xmlenc#sha256"/>
        <DigestValue>4KCN1qWg6RjwirJ67bKzplrsu6pXfpywX+kyFPWsH70=</DigestValue>
      </Reference>
      <Reference URI="/xl/media/image2.emf?ContentType=image/x-emf">
        <DigestMethod Algorithm="http://www.w3.org/2001/04/xmlenc#sha256"/>
        <DigestValue>fXPE9/AJ5L+eCQ1IWyM4qZVLwN2ECDZisVn/cnA4dOk=</DigestValue>
      </Reference>
      <Reference URI="/xl/media/image3.emf?ContentType=image/x-emf">
        <DigestMethod Algorithm="http://www.w3.org/2001/04/xmlenc#sha256"/>
        <DigestValue>O70Vz+qdbjSPN1mdCy3f6GaS8VwkM63LaYw0NzZZI/U=</DigestValue>
      </Reference>
      <Reference URI="/xl/media/image4.emf?ContentType=image/x-emf">
        <DigestMethod Algorithm="http://www.w3.org/2001/04/xmlenc#sha256"/>
        <DigestValue>O70Vz+qdbjSPN1mdCy3f6GaS8VwkM63LaYw0NzZZI/U=</DigestValue>
      </Reference>
      <Reference URI="/xl/media/image5.png?ContentType=image/png">
        <DigestMethod Algorithm="http://www.w3.org/2001/04/xmlenc#sha256"/>
        <DigestValue>087Yfkclt1EWim42tzxri9gvbNwr0tHdA5eGfJE27Rc=</DigestValue>
      </Reference>
      <Reference URI="/xl/media/image6.png?ContentType=image/png">
        <DigestMethod Algorithm="http://www.w3.org/2001/04/xmlenc#sha256"/>
        <DigestValue>nW2hOUOanxbHMRg2qIT6c6+JIUDHq5OoSjtxS1q6nNs=</DigestValue>
      </Reference>
      <Reference URI="/xl/media/image7.jpeg?ContentType=image/jpeg">
        <DigestMethod Algorithm="http://www.w3.org/2001/04/xmlenc#sha256"/>
        <DigestValue>0M8VOz7RUZ2vQENMoLLx5pJ3bci0svbUb1Yo1a4j7pk=</DigestValue>
      </Reference>
      <Reference URI="/xl/media/image8.png?ContentType=image/png">
        <DigestMethod Algorithm="http://www.w3.org/2001/04/xmlenc#sha256"/>
        <DigestValue>gw8E7gkqw3ghkRPZhJ33JzMUW5xh5PkuKoWt7H0R+9Q=</DigestValue>
      </Reference>
      <Reference URI="/xl/media/image9.jpeg?ContentType=image/jpeg">
        <DigestMethod Algorithm="http://www.w3.org/2001/04/xmlenc#sha256"/>
        <DigestValue>6xAH77ExkRKub6MvxU8ZySJxevPGibTT7vYIq8OWz2o=</DigestValue>
      </Reference>
      <Reference URI="/xl/printerSettings/printerSettings1.bin?ContentType=application/vnd.openxmlformats-officedocument.spreadsheetml.printerSettings">
        <DigestMethod Algorithm="http://www.w3.org/2001/04/xmlenc#sha256"/>
        <DigestValue>4xC/VcQ2Jub2g4ybHKqHX6rUAwPiqX0RRTxRjvCeP2E=</DigestValue>
      </Reference>
      <Reference URI="/xl/printerSettings/printerSettings2.bin?ContentType=application/vnd.openxmlformats-officedocument.spreadsheetml.printerSettings">
        <DigestMethod Algorithm="http://www.w3.org/2001/04/xmlenc#sha256"/>
        <DigestValue>syRRG4a5+Dq+1F5BRjCog/CG0znwV49H/fSN1S4CYGo=</DigestValue>
      </Reference>
      <Reference URI="/xl/printerSettings/printerSettings3.bin?ContentType=application/vnd.openxmlformats-officedocument.spreadsheetml.printerSettings">
        <DigestMethod Algorithm="http://www.w3.org/2001/04/xmlenc#sha256"/>
        <DigestValue>syRRG4a5+Dq+1F5BRjCog/CG0znwV49H/fSN1S4CYGo=</DigestValue>
      </Reference>
      <Reference URI="/xl/printerSettings/printerSettings4.bin?ContentType=application/vnd.openxmlformats-officedocument.spreadsheetml.printerSettings">
        <DigestMethod Algorithm="http://www.w3.org/2001/04/xmlenc#sha256"/>
        <DigestValue>syRRG4a5+Dq+1F5BRjCog/CG0znwV49H/fSN1S4CYGo=</DigestValue>
      </Reference>
      <Reference URI="/xl/printerSettings/printerSettings5.bin?ContentType=application/vnd.openxmlformats-officedocument.spreadsheetml.printerSettings">
        <DigestMethod Algorithm="http://www.w3.org/2001/04/xmlenc#sha256"/>
        <DigestValue>syRRG4a5+Dq+1F5BRjCog/CG0znwV49H/fSN1S4CYGo=</DigestValue>
      </Reference>
      <Reference URI="/xl/printerSettings/printerSettings6.bin?ContentType=application/vnd.openxmlformats-officedocument.spreadsheetml.printerSettings">
        <DigestMethod Algorithm="http://www.w3.org/2001/04/xmlenc#sha256"/>
        <DigestValue>syRRG4a5+Dq+1F5BRjCog/CG0znwV49H/fSN1S4CYGo=</DigestValue>
      </Reference>
      <Reference URI="/xl/printerSettings/printerSettings7.bin?ContentType=application/vnd.openxmlformats-officedocument.spreadsheetml.printerSettings">
        <DigestMethod Algorithm="http://www.w3.org/2001/04/xmlenc#sha256"/>
        <DigestValue>dVFifNrZHTmdHzpDWXItWzUtA0LfpyKgBKr32UVgWR4=</DigestValue>
      </Reference>
      <Reference URI="/xl/sharedStrings.xml?ContentType=application/vnd.openxmlformats-officedocument.spreadsheetml.sharedStrings+xml">
        <DigestMethod Algorithm="http://www.w3.org/2001/04/xmlenc#sha256"/>
        <DigestValue>WI/EBLb0DKwXrmatzjXxeiWIDyX6kgNvkpYNO7knkpU=</DigestValue>
      </Reference>
      <Reference URI="/xl/styles.xml?ContentType=application/vnd.openxmlformats-officedocument.spreadsheetml.styles+xml">
        <DigestMethod Algorithm="http://www.w3.org/2001/04/xmlenc#sha256"/>
        <DigestValue>0z/uxdrDQh3mxvpibKq7emRK6I7PEiHO3JB7Ua3RUG0=</DigestValue>
      </Reference>
      <Reference URI="/xl/theme/theme1.xml?ContentType=application/vnd.openxmlformats-officedocument.theme+xml">
        <DigestMethod Algorithm="http://www.w3.org/2001/04/xmlenc#sha256"/>
        <DigestValue>5gKatJWEFLi7hisX/+06cI0VE+YaB9iOlmBxzKMdG9Q=</DigestValue>
      </Reference>
      <Reference URI="/xl/workbook.xml?ContentType=application/vnd.openxmlformats-officedocument.spreadsheetml.sheet.main+xml">
        <DigestMethod Algorithm="http://www.w3.org/2001/04/xmlenc#sha256"/>
        <DigestValue>WySiZB2sq2JmDkMSfxsEYCIGGWy1CZIdakhT5QHSRf8=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mYjFtcQvwYDTf1j7tGVuxlQVGkUOyJ38hFZpHQ3XCHM=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iEcJx5m5cAK4XJ8fs3jtyQJpwQSJaA0GvM7eVFRQD/A=</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StPS/6amf8jz01ZZrBHmJlLhrs5LJ46DmNQ44UesUn0=</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9vVuJJ2djPK55rMm1tkF+0J2U4pxOhThtgSKP8XLDcI=</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AV4WLL9LjJnXWTKUwpMTtJwgvd2sEQOiM43jjJ2G5gc=</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1/04/xmlenc#sha256"/>
        <DigestValue>9T+yw4wrsh9mj6LX9ttMHSq7Qcj1J3NzJF8ZBQ59Fos=</DigestValue>
      </Reference>
      <Reference URI="/xl/worksheets/sheet1.xml?ContentType=application/vnd.openxmlformats-officedocument.spreadsheetml.worksheet+xml">
        <DigestMethod Algorithm="http://www.w3.org/2001/04/xmlenc#sha256"/>
        <DigestValue>M+Dn/ddjEnF4BIIpi0zmkUna+T0EoySkmD6huZzKVJ0=</DigestValue>
      </Reference>
      <Reference URI="/xl/worksheets/sheet2.xml?ContentType=application/vnd.openxmlformats-officedocument.spreadsheetml.worksheet+xml">
        <DigestMethod Algorithm="http://www.w3.org/2001/04/xmlenc#sha256"/>
        <DigestValue>ARHjBNwIlkQT3wbk/py6SQjcFCrTyNDpA7PV/JDXuWo=</DigestValue>
      </Reference>
      <Reference URI="/xl/worksheets/sheet3.xml?ContentType=application/vnd.openxmlformats-officedocument.spreadsheetml.worksheet+xml">
        <DigestMethod Algorithm="http://www.w3.org/2001/04/xmlenc#sha256"/>
        <DigestValue>btXv1fmLRij7knjJrjYTTlAvuD71jPLNwSJnk5Nog2k=</DigestValue>
      </Reference>
      <Reference URI="/xl/worksheets/sheet4.xml?ContentType=application/vnd.openxmlformats-officedocument.spreadsheetml.worksheet+xml">
        <DigestMethod Algorithm="http://www.w3.org/2001/04/xmlenc#sha256"/>
        <DigestValue>QpnVeaJTcDhjjCYz4CV42m5WznfeApokDC2fH/isfB8=</DigestValue>
      </Reference>
      <Reference URI="/xl/worksheets/sheet5.xml?ContentType=application/vnd.openxmlformats-officedocument.spreadsheetml.worksheet+xml">
        <DigestMethod Algorithm="http://www.w3.org/2001/04/xmlenc#sha256"/>
        <DigestValue>vTcwlpV36b3LFsF30EcIvlm42S8whKTB9lvlSU6zcBY=</DigestValue>
      </Reference>
      <Reference URI="/xl/worksheets/sheet6.xml?ContentType=application/vnd.openxmlformats-officedocument.spreadsheetml.worksheet+xml">
        <DigestMethod Algorithm="http://www.w3.org/2001/04/xmlenc#sha256"/>
        <DigestValue>f7mOGQairHKvoMktvfngEN3KMVZMofQG5w8tQkBmd2s=</DigestValue>
      </Reference>
      <Reference URI="/xl/worksheets/sheet7.xml?ContentType=application/vnd.openxmlformats-officedocument.spreadsheetml.worksheet+xml">
        <DigestMethod Algorithm="http://www.w3.org/2001/04/xmlenc#sha256"/>
        <DigestValue>ix+72Nvm5Uo+8royuCT3qAvR1Gw3haNYcC+OQ99ewXY=</DigestValue>
      </Reference>
    </Manifest>
    <SignatureProperties>
      <SignatureProperty Id="idSignatureTime" Target="#idPackageSignature">
        <mdssi:SignatureTime xmlns:mdssi="http://schemas.openxmlformats.org/package/2006/digital-signature">
          <mdssi:Format>YYYY-MM-DDThh:mm:ssTZD</mdssi:Format>
          <mdssi:Value>2025-01-07T03:22:00Z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16.0.16731/25</OfficeVersion>
          <ApplicationVersion>16.0.16731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2025-01-07T03:22:00Z</xd:SigningTime>
          <xd:SigningCertificate>
            <xd:Cert>
              <xd:CertDigest>
                <DigestMethod Algorithm="http://www.w3.org/2001/04/xmlenc#sha256"/>
                <DigestValue>Qx8IKgcDbWeF/vgq3ACV3Lr6t5K9wAHyaoUd5xValLc=</DigestValue>
              </xd:CertDigest>
              <xd:IssuerSerial>
                <X509IssuerName>CN=VNPT-CA SHA-256, O=VIETNAM POSTS AND TELECOMMUNICATIONS GROUP, C=VN</X509IssuerName>
                <X509SerialNumber>111660364329920776801842471959869492248</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docMetadata/LabelInfo.xml><?xml version="1.0" encoding="utf-8"?>
<clbl:labelList xmlns:clbl="http://schemas.microsoft.com/office/2020/mipLabelMetadata">
  <clbl:label id="{76274c26-8161-4bde-aa07-b2b522e14278}"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5</vt:i4>
      </vt:variant>
    </vt:vector>
  </HeadingPairs>
  <TitlesOfParts>
    <vt:vector size="12" baseType="lpstr">
      <vt:lpstr>TONGQUAN</vt:lpstr>
      <vt:lpstr>BCTaiSan_06027</vt:lpstr>
      <vt:lpstr>BCKetQuaHoatDong_06028</vt:lpstr>
      <vt:lpstr>BCDanhMucDauTu_06029</vt:lpstr>
      <vt:lpstr>BCHoatDongVay_06026</vt:lpstr>
      <vt:lpstr>Khac_06030</vt:lpstr>
      <vt:lpstr>LogoFMS</vt:lpstr>
      <vt:lpstr>TONGQUAN!Print_Area</vt:lpstr>
      <vt:lpstr>BCDanhMucDauTu_06029!Print_Titles</vt:lpstr>
      <vt:lpstr>BCKetQuaHoatDong_06028!Print_Titles</vt:lpstr>
      <vt:lpstr>BCTaiSan_06027!Print_Titles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Phan Quang, Vu</cp:lastModifiedBy>
  <cp:lastPrinted>2025-01-05T15:18:38Z</cp:lastPrinted>
  <dcterms:created xsi:type="dcterms:W3CDTF">2019-03-13T13:30:00Z</dcterms:created>
  <dcterms:modified xsi:type="dcterms:W3CDTF">2025-01-07T03:21:57Z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6274c26-8161-4bde-aa07-b2b522e14278_Enabled">
    <vt:lpwstr>true</vt:lpwstr>
  </property>
  <property fmtid="{D5CDD505-2E9C-101B-9397-08002B2CF9AE}" pid="3" name="MSIP_Label_76274c26-8161-4bde-aa07-b2b522e14278_SetDate">
    <vt:lpwstr>2024-03-25T07:19:28Z</vt:lpwstr>
  </property>
  <property fmtid="{D5CDD505-2E9C-101B-9397-08002B2CF9AE}" pid="4" name="MSIP_Label_76274c26-8161-4bde-aa07-b2b522e14278_Method">
    <vt:lpwstr>Privileged</vt:lpwstr>
  </property>
  <property fmtid="{D5CDD505-2E9C-101B-9397-08002B2CF9AE}" pid="5" name="MSIP_Label_76274c26-8161-4bde-aa07-b2b522e14278_Name">
    <vt:lpwstr>Label Only</vt:lpwstr>
  </property>
  <property fmtid="{D5CDD505-2E9C-101B-9397-08002B2CF9AE}" pid="6" name="MSIP_Label_76274c26-8161-4bde-aa07-b2b522e14278_SiteId">
    <vt:lpwstr>b44900f1-2def-4c3b-9ec6-9020d604e19e</vt:lpwstr>
  </property>
  <property fmtid="{D5CDD505-2E9C-101B-9397-08002B2CF9AE}" pid="7" name="MSIP_Label_76274c26-8161-4bde-aa07-b2b522e14278_ActionId">
    <vt:lpwstr>88424cee-e4e2-4682-9a27-d85634db89ae</vt:lpwstr>
  </property>
  <property fmtid="{D5CDD505-2E9C-101B-9397-08002B2CF9AE}" pid="8" name="MSIP_Label_76274c26-8161-4bde-aa07-b2b522e14278_ContentBits">
    <vt:lpwstr>1</vt:lpwstr>
  </property>
</Properties>
</file>