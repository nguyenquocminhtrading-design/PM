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drawings/drawing4.xml" ContentType="application/vnd.openxmlformats-officedocument.drawing+xml"/>
  <Override PartName="/xl/theme/theme1.xml" ContentType="application/vnd.openxmlformats-officedocument.theme+xml"/>
  <Override PartName="/xl/drawings/drawing3.xml" ContentType="application/vnd.openxmlformats-officedocument.drawing+xml"/>
  <Override PartName="/xl/styles.xml" ContentType="application/vnd.openxmlformats-officedocument.spreadsheetml.styles+xml"/>
  <Override PartName="/xl/drawings/drawing2.xml" ContentType="application/vnd.openxmlformats-officedocument.drawing+xml"/>
  <Override PartName="/xl/sharedStrings.xml" ContentType="application/vnd.openxmlformats-officedocument.spreadsheetml.sharedStrings+xml"/>
  <Override PartName="/xl/drawings/drawing1.xml" ContentType="application/vnd.openxmlformats-officedocument.drawing+xml"/>
  <Override PartName="/xl/worksheets/sheet10.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9.xml" ContentType="application/vnd.openxmlformats-officedocument.spreadsheetml.workshee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mc:AlternateContent xmlns:mc="http://schemas.openxmlformats.org/markup-compatibility/2006">
    <mc:Choice Requires="x15">
      <x15ac:absPath xmlns:x15ac="http://schemas.microsoft.com/office/spreadsheetml/2010/11/ac" url="W:\GTO_SSO_FUNDSERVICES_GSSCKL\10. CLIENT PORTFOLIO-VN\1.01 VFMVF1\2019 VF1\3. Mar\Monthly\FMS\"/>
    </mc:Choice>
  </mc:AlternateContent>
  <bookViews>
    <workbookView xWindow="480" yWindow="110" windowWidth="14920" windowHeight="7930" tabRatio="952" firstSheet="2" activeTab="9"/>
  </bookViews>
  <sheets>
    <sheet name="Tong quat" sheetId="34" r:id="rId1"/>
    <sheet name="BCthunhap" sheetId="16" r:id="rId2"/>
    <sheet name="BCtinhhinhtaichinh" sheetId="17" r:id="rId3"/>
    <sheet name="BCTaiSan_06027" sheetId="9" r:id="rId4"/>
    <sheet name="BCKetQuaHoatDong_06028" sheetId="10" r:id="rId5"/>
    <sheet name="BCDanhMucDauTu_06029" sheetId="11" r:id="rId6"/>
    <sheet name="Port" sheetId="33" state="hidden" r:id="rId7"/>
    <sheet name="Khac_06030" sheetId="12" r:id="rId8"/>
    <sheet name="GiaTriTaiSanRong_06129" sheetId="14" r:id="rId9"/>
    <sheet name="BCHoatDongVay_06026" sheetId="8" r:id="rId10"/>
  </sheets>
  <definedNames>
    <definedName name="_xlnm._FilterDatabase" localSheetId="5" hidden="1">BCDanhMucDauTu_06029!$A$17:$G$42</definedName>
    <definedName name="_xlnm._FilterDatabase" localSheetId="3" hidden="1">BCTaiSan_06027!$A$16:$F$87</definedName>
    <definedName name="_xlnm.Print_Area" localSheetId="5">BCDanhMucDauTu_06029!$A$1:$G$98</definedName>
    <definedName name="_xlnm.Print_Area" localSheetId="9">BCHoatDongVay_06026!$A$1:$K$46</definedName>
    <definedName name="_xlnm.Print_Area" localSheetId="4">BCKetQuaHoatDong_06028!$A$1:$F$91</definedName>
    <definedName name="_xlnm.Print_Area" localSheetId="3">BCTaiSan_06027!$A$1:$F$100</definedName>
    <definedName name="_xlnm.Print_Area" localSheetId="1">BCthunhap!$A$1:$G$93</definedName>
    <definedName name="_xlnm.Print_Area" localSheetId="2">BCtinhhinhtaichinh!$A$1:$F$130</definedName>
    <definedName name="_xlnm.Print_Area" localSheetId="8">GiaTriTaiSanRong_06129!$A$1:$F$43</definedName>
    <definedName name="_xlnm.Print_Area" localSheetId="7">Khac_06030!$A$1:$E$63</definedName>
    <definedName name="_xlnm.Print_Area" localSheetId="0">'Tong quat'!$A$1:$L$45</definedName>
    <definedName name="_xlnm.Print_Titles" localSheetId="5">BCDanhMucDauTu_06029!$17:$17</definedName>
    <definedName name="_xlnm.Print_Titles" localSheetId="9">BCHoatDongVay_06026!$16:$17</definedName>
    <definedName name="_xlnm.Print_Titles" localSheetId="4">BCKetQuaHoatDong_06028!$17:$17</definedName>
    <definedName name="_xlnm.Print_Titles" localSheetId="3">BCTaiSan_06027!$17:$17</definedName>
    <definedName name="_xlnm.Print_Titles" localSheetId="1">BCthunhap!$16:$17</definedName>
    <definedName name="_xlnm.Print_Titles" localSheetId="2">BCtinhhinhtaichinh!$16:$16</definedName>
    <definedName name="_xlnm.Print_Titles" localSheetId="7">Khac_06030!$16:$16</definedName>
  </definedNames>
  <calcPr calcId="171027"/>
</workbook>
</file>

<file path=xl/calcChain.xml><?xml version="1.0" encoding="utf-8"?>
<calcChain xmlns="http://schemas.openxmlformats.org/spreadsheetml/2006/main">
  <c r="I51" i="33" l="1"/>
  <c r="H51" i="33"/>
  <c r="I61" i="33" l="1"/>
  <c r="H61" i="33"/>
</calcChain>
</file>

<file path=xl/comments1.xml><?xml version="1.0" encoding="utf-8"?>
<comments xmlns="http://schemas.openxmlformats.org/spreadsheetml/2006/main">
  <authors>
    <author>1556948</author>
  </authors>
  <commentList>
    <comment ref="B45" authorId="0" shapeId="0">
      <text>
        <r>
          <rPr>
            <b/>
            <sz val="9"/>
            <color indexed="81"/>
            <rFont val="Tahoma"/>
            <family val="2"/>
          </rPr>
          <t>1556948:</t>
        </r>
        <r>
          <rPr>
            <sz val="9"/>
            <color indexed="81"/>
            <rFont val="Tahoma"/>
            <family val="2"/>
          </rPr>
          <t xml:space="preserve">
New unlisted Sec input ngay 13/03</t>
        </r>
      </text>
    </comment>
    <comment ref="G45" authorId="0" shapeId="0">
      <text>
        <r>
          <rPr>
            <b/>
            <sz val="9"/>
            <color indexed="81"/>
            <rFont val="Tahoma"/>
            <family val="2"/>
          </rPr>
          <t>1556948:</t>
        </r>
        <r>
          <rPr>
            <sz val="9"/>
            <color indexed="81"/>
            <rFont val="Tahoma"/>
            <family val="2"/>
          </rPr>
          <t xml:space="preserve">
Input tay</t>
        </r>
      </text>
    </comment>
  </commentList>
</comments>
</file>

<file path=xl/sharedStrings.xml><?xml version="1.0" encoding="utf-8"?>
<sst xmlns="http://schemas.openxmlformats.org/spreadsheetml/2006/main" count="1474" uniqueCount="1004">
  <si>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</si>
  <si>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</si>
  <si>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</si>
  <si>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</si>
  <si>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</si>
  <si>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</si>
  <si>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</si>
  <si>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</si>
  <si>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</si>
  <si>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</si>
  <si>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</si>
  <si>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</si>
  <si>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</si>
  <si>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</si>
  <si>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</si>
  <si>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</si>
  <si>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</si>
  <si>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</si>
  <si>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</si>
  <si>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</si>
  <si>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</si>
  <si>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</si>
  <si>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</si>
  <si>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</si>
  <si>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</si>
  <si>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</si>
  <si>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</si>
  <si>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</si>
  <si>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</si>
  <si>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</si>
  <si>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</si>
  <si>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</si>
  <si>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</si>
  <si>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</si>
  <si>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</si>
  <si>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</si>
  <si>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</si>
  <si>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</si>
  <si>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</si>
  <si>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</si>
  <si>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</si>
  <si>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</si>
  <si>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</si>
  <si>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</si>
  <si>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</si>
  <si>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</si>
  <si>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</si>
  <si>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</si>
  <si>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</si>
  <si>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</si>
  <si>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</si>
  <si>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</si>
  <si>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</si>
  <si>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</si>
  <si>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</si>
  <si>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</si>
  <si>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</si>
  <si>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</si>
  <si>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</si>
  <si>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</si>
  <si>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</si>
  <si>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</si>
  <si>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</si>
  <si>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</si>
  <si>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</si>
  <si>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</si>
  <si>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</si>
  <si>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</si>
  <si>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</si>
  <si>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</si>
  <si>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</si>
  <si>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</si>
  <si>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</si>
  <si>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</si>
  <si>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</si>
  <si>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</si>
  <si>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</si>
  <si>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</si>
  <si>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</si>
  <si>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</si>
  <si>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</si>
  <si>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</si>
  <si>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</si>
  <si>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</si>
  <si>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</si>
  <si>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</si>
  <si>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</si>
  <si>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</si>
  <si>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</si>
  <si>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</si>
  <si>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</si>
  <si>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</si>
  <si>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</si>
  <si>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</si>
  <si>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</si>
  <si>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</si>
  <si>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</si>
  <si>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</si>
  <si>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</si>
  <si>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</si>
  <si>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</si>
  <si>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</si>
  <si>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</si>
  <si>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</si>
  <si>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</si>
  <si>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</si>
  <si>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</si>
  <si>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</si>
  <si>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</si>
  <si>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</si>
  <si>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</si>
  <si>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</si>
  <si>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</si>
  <si>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</si>
  <si>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</si>
  <si>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</si>
  <si>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</si>
  <si>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</si>
  <si>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</si>
  <si>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</si>
  <si>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</si>
  <si>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</si>
  <si>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</si>
  <si>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</si>
  <si>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</si>
  <si>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</si>
  <si>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</si>
  <si>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</si>
  <si>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</si>
  <si>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</si>
  <si>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</si>
  <si>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</si>
  <si>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</si>
  <si>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</si>
  <si>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</si>
  <si>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</si>
  <si>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</si>
  <si>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</si>
  <si>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</si>
  <si>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</si>
  <si>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</si>
  <si>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</si>
  <si>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</si>
  <si>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</si>
  <si>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</si>
  <si>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</si>
  <si>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</si>
  <si>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</si>
  <si>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</si>
  <si>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</si>
  <si>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</si>
  <si>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</si>
  <si>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</si>
  <si>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</si>
  <si>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</si>
  <si>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</si>
  <si>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</si>
  <si>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</si>
  <si>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</si>
  <si>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</si>
  <si>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</si>
  <si>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</si>
  <si>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</si>
  <si>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</si>
  <si>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</si>
  <si>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</si>
  <si>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</si>
  <si>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</si>
  <si>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</si>
  <si>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</si>
  <si>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</si>
  <si>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</si>
  <si>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</si>
  <si>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</si>
  <si>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</si>
  <si>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</si>
  <si>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</si>
  <si>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</si>
  <si>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</si>
  <si>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</si>
  <si>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</si>
  <si>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</si>
  <si>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</si>
  <si>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</si>
  <si>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</si>
  <si>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</si>
  <si>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</si>
  <si>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</si>
  <si>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</si>
  <si>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</si>
  <si>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</si>
  <si>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</si>
  <si>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</si>
  <si>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</si>
  <si>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</si>
  <si>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</si>
  <si>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</si>
  <si>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</si>
  <si>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</si>
  <si>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</si>
  <si>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</si>
  <si>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</si>
  <si>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</si>
  <si>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</si>
  <si>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</si>
  <si>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</si>
  <si>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</si>
  <si>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</si>
  <si>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</si>
  <si>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</si>
  <si>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</si>
  <si>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</si>
  <si>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</si>
  <si>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</si>
  <si>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</si>
  <si>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</si>
  <si>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</si>
  <si>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</si>
  <si>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</si>
  <si>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</si>
  <si>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</si>
  <si>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bố thông tin của Quỹ
Expenses for information disclosure of the Fund</t>
  </si>
  <si>
    <t>Phí ngân hàng
Bank charges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</si>
  <si>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</si>
  <si>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</si>
  <si>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</si>
  <si>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</si>
  <si>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</si>
  <si>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</si>
  <si>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</si>
  <si>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</si>
  <si>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</si>
  <si>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</si>
  <si>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</si>
  <si>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</si>
  <si>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</si>
  <si>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</si>
  <si>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</si>
  <si>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</si>
  <si>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</si>
  <si>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</si>
  <si>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2215.3</t>
  </si>
  <si>
    <t>2215.15</t>
  </si>
  <si>
    <t>2215.5</t>
  </si>
  <si>
    <t>2215.14</t>
  </si>
  <si>
    <t>2215.8</t>
  </si>
  <si>
    <t>2215.7</t>
  </si>
  <si>
    <t>2215.4</t>
  </si>
  <si>
    <t>2215.12</t>
  </si>
  <si>
    <t>2215.9</t>
  </si>
  <si>
    <t>2215.6</t>
  </si>
  <si>
    <t>2215.11</t>
  </si>
  <si>
    <t>2232.3</t>
  </si>
  <si>
    <t>2227.1</t>
  </si>
  <si>
    <t>2226.1</t>
  </si>
  <si>
    <t>2226.4</t>
  </si>
  <si>
    <t>2230.2</t>
  </si>
  <si>
    <t>2231.2</t>
  </si>
  <si>
    <t>2226.2</t>
  </si>
  <si>
    <t>2227.2</t>
  </si>
  <si>
    <t>2231.1</t>
  </si>
  <si>
    <t>2232.2</t>
  </si>
  <si>
    <t>2230.4</t>
  </si>
  <si>
    <t>2230.3</t>
  </si>
  <si>
    <t>2230.1</t>
  </si>
  <si>
    <t>I. TÀI SẢN
ASSETS</t>
  </si>
  <si>
    <t>TỔNG TÀI SẢN
TOTAL ASSETS</t>
  </si>
  <si>
    <t>TỔNG NỢ PHẢI TRẢ
TOTAL LIABILITIES</t>
  </si>
  <si>
    <t>VI. CÁC CHỈ TIÊU NGOÀI BÁO CÁO TÌNH HÌNH TÀI CHÍNH
OFF BALANCE SHEET ITEMS</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</si>
  <si>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</si>
  <si>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</si>
  <si>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</si>
  <si>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</si>
  <si>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</si>
  <si>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%/cùng kỳ năm trước
%/against last year</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</si>
  <si>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</si>
  <si>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</si>
  <si>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</si>
  <si>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</si>
  <si>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</si>
  <si>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</si>
  <si>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</si>
  <si>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</si>
  <si>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</si>
  <si>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</si>
  <si>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</si>
  <si>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</si>
  <si>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</si>
  <si>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</si>
  <si>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</si>
  <si>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thu nhập cho nhà đầu tư
Income payable to investors</t>
  </si>
  <si>
    <t>Phải trả thù lao ban đại diện quỹ
Remuneration Payable to Fund's Board of Representatives</t>
  </si>
  <si>
    <t>Thuế và các khoản phải nộp Nhà nước
Taxes Payables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</si>
  <si>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</si>
  <si>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</si>
  <si>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</si>
  <si>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</si>
  <si>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</si>
  <si>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</si>
  <si>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</si>
  <si>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</si>
  <si>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</si>
  <si>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</si>
  <si>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</si>
  <si>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</si>
  <si>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</si>
  <si>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</si>
  <si>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</si>
  <si>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</si>
  <si>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</si>
  <si>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</si>
  <si>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</si>
  <si>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</si>
  <si>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</si>
  <si>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</si>
  <si>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</si>
  <si>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</si>
  <si>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</si>
  <si>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</si>
  <si>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</si>
  <si>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</si>
  <si>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</si>
  <si>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</si>
  <si>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</si>
  <si>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</si>
  <si>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</si>
  <si>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</si>
  <si>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</si>
  <si>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</si>
  <si>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</si>
  <si>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</si>
  <si>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</si>
  <si>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</si>
  <si>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</si>
  <si>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</si>
  <si>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</si>
  <si>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</si>
  <si>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</si>
  <si>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</si>
  <si>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</si>
  <si>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</si>
  <si>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</si>
  <si>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</si>
  <si>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</si>
  <si>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</si>
  <si>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</si>
  <si>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</si>
  <si>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</si>
  <si>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</si>
  <si>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</si>
  <si>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</si>
  <si>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</si>
  <si>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</si>
  <si>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</si>
  <si>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</si>
  <si>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</si>
  <si>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</si>
  <si>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</si>
  <si>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</si>
  <si>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</si>
  <si>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</si>
  <si>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</si>
  <si>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</si>
  <si>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</si>
  <si>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</si>
  <si>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</si>
  <si>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</si>
  <si>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</si>
  <si>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</si>
  <si>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</si>
  <si>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</si>
  <si>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</si>
  <si>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</si>
  <si>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</si>
  <si>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</si>
  <si>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</si>
  <si>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</si>
  <si>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</si>
  <si>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</si>
  <si>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</si>
  <si>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</si>
  <si>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</si>
  <si>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</si>
  <si>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</si>
  <si>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</si>
  <si>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</si>
  <si>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</si>
  <si>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</si>
  <si>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</si>
  <si>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</si>
  <si>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</si>
  <si>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</si>
  <si>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</si>
  <si>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</si>
  <si>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</si>
  <si>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</si>
  <si>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</si>
  <si>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</si>
  <si>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</si>
  <si>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</si>
  <si>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</si>
  <si>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</si>
  <si>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</si>
  <si>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</si>
  <si>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</si>
  <si>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Phải trả phí phát hành thanh toán bù trừ chứng khoán
Clearing Settlement Payables</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</si>
  <si>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</si>
  <si>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</si>
  <si>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</si>
  <si>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Chi phí cung cấp báo giá chứng khoán 
Price feed fee Expenses</t>
  </si>
  <si>
    <t>Phí niêm yết
Listing fee expenses</t>
  </si>
  <si>
    <t>20.10.01</t>
  </si>
  <si>
    <t>20.10.02</t>
  </si>
  <si>
    <t>20.10.03</t>
  </si>
  <si>
    <t>20.10.04</t>
  </si>
  <si>
    <t>20.10.05</t>
  </si>
  <si>
    <t>20.10.06</t>
  </si>
  <si>
    <t>20.10.07</t>
  </si>
  <si>
    <t>20.10.08</t>
  </si>
  <si>
    <t>20.10.09</t>
  </si>
  <si>
    <t>20.10.10</t>
  </si>
  <si>
    <t>2215.10</t>
  </si>
  <si>
    <t>2229.1</t>
  </si>
  <si>
    <t>2229.2</t>
  </si>
  <si>
    <t>2232.4</t>
  </si>
  <si>
    <t>2232.5</t>
  </si>
  <si>
    <r>
      <rPr>
        <b/>
        <sz val="10"/>
        <color indexed="30"/>
        <rFont val="Tahoma"/>
        <family val="2"/>
      </rPr>
      <t>Tên Quỹ:</t>
    </r>
    <r>
      <rPr>
        <sz val="10"/>
        <color indexed="8"/>
        <rFont val="Tahoma"/>
        <family val="2"/>
      </rPr>
      <t xml:space="preserve">
</t>
    </r>
  </si>
  <si>
    <t xml:space="preserve">Fund name: </t>
  </si>
  <si>
    <t>Fund name:</t>
  </si>
  <si>
    <t>Tên Quỹ:</t>
  </si>
  <si>
    <t>Tên Công ty quản lý quỹ:</t>
  </si>
  <si>
    <t>Tên ngân hàng giám sát:</t>
  </si>
  <si>
    <t xml:space="preserve">Supervising bank: </t>
  </si>
  <si>
    <t>Standard Chartered Bank (Vietnam) Ltd.</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</si>
  <si>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</si>
  <si>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</si>
  <si>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</si>
  <si>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</si>
  <si>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</si>
  <si>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</si>
  <si>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</si>
  <si>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</si>
  <si>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</si>
  <si>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</si>
  <si>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</si>
  <si>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</si>
  <si>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2246.10</t>
  </si>
  <si>
    <t>2246.11</t>
  </si>
  <si>
    <t>2246.12</t>
  </si>
  <si>
    <t>2246.13</t>
  </si>
  <si>
    <t>2246.14</t>
  </si>
  <si>
    <t>2246.15</t>
  </si>
  <si>
    <t>2246.16</t>
  </si>
  <si>
    <t>2246.17</t>
  </si>
  <si>
    <t>2246.18</t>
  </si>
  <si>
    <t>2246.19</t>
  </si>
  <si>
    <t>2246.20</t>
  </si>
  <si>
    <t>Số lũy kế
Year-to-date</t>
  </si>
  <si>
    <t>Phí dịch vụ lưu ký - bảo quản tài sản
Custodian service - Safe Custody Fee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</si>
  <si>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</si>
  <si>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</si>
  <si>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</si>
  <si>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</si>
  <si>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</si>
  <si>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</si>
  <si>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lãi tiền gửi có kỳ hạn dưới 3 tháng
Interest receivable from deposit with term less than three (03) months</t>
  </si>
  <si>
    <t>Phải trả phí báo giá
Price feed fee payable</t>
  </si>
  <si>
    <t>Phải trả khác
Other payables</t>
  </si>
  <si>
    <t>121.1</t>
  </si>
  <si>
    <t>2205.6</t>
  </si>
  <si>
    <t>121.6</t>
  </si>
  <si>
    <t>320.4</t>
  </si>
  <si>
    <t>11.1</t>
  </si>
  <si>
    <t>Vietnam Securities Investment Fund (VFMVF1)</t>
  </si>
  <si>
    <t>Quỹ đầu tư Chứng khoán Việt Nam</t>
  </si>
  <si>
    <t>Quyền mua chứng khoán
Investment - Rights</t>
  </si>
  <si>
    <t>02.1</t>
  </si>
  <si>
    <t>1.3. Tiền lãi được nhận
Interest income</t>
  </si>
  <si>
    <t>1.4. Lãi (lỗ) bán các khoản đầu tư
Realized gain (losses) from disposal investments</t>
  </si>
  <si>
    <t>1.5. Chênh lệch tăng, giảm đánh giá lại các khoản đầu tư chưa thực hiện
Unrealized gain (losses) from investment revaluation</t>
  </si>
  <si>
    <t>1.6. Doanh thu khác
Other income</t>
  </si>
  <si>
    <t xml:space="preserve">1.7. Chênh lệch lãi, lỗ tỷ giá hối đoái đã và chưa thực hiện
Realized and unrealized gain (losses) from foreign exchange </t>
  </si>
  <si>
    <t>1.9.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</si>
  <si>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02.2</t>
  </si>
  <si>
    <t>03.1</t>
  </si>
  <si>
    <t>03.2</t>
  </si>
  <si>
    <t>Cổ tức được nhận
Dividend received</t>
  </si>
  <si>
    <t>Trái tức được nhận
Coupon received</t>
  </si>
  <si>
    <t>2221.2</t>
  </si>
  <si>
    <t>2222.1</t>
  </si>
  <si>
    <t>2222.2</t>
  </si>
  <si>
    <t>2223.1</t>
  </si>
  <si>
    <t>2223.2</t>
  </si>
  <si>
    <t>1.8. Doanh thu khác về đầu tư 
Other investment income</t>
  </si>
  <si>
    <t>Số Lượng
Quantity</t>
  </si>
  <si>
    <t>1.1. Cổ tức, trái tức được chia
Dividend and interest income</t>
  </si>
  <si>
    <t>Cổ tức được chia
Dividend income</t>
  </si>
  <si>
    <t>Trái tức được chia
Interest income</t>
  </si>
  <si>
    <t>02</t>
  </si>
  <si>
    <t>Đối tác
Counterparty</t>
  </si>
  <si>
    <t>Vietnam Investment Fund Management Joint Stock Company</t>
  </si>
  <si>
    <r>
      <t xml:space="preserve">Vay tiền </t>
    </r>
    <r>
      <rPr>
        <i/>
        <sz val="10"/>
        <color theme="1"/>
        <rFont val="Tahoma"/>
        <family val="2"/>
      </rPr>
      <t>(nêu chi tiết từng hợp đồng)
Borrowings (detail by each contract)</t>
    </r>
  </si>
  <si>
    <r>
      <t xml:space="preserve">Hợp đồng Repo </t>
    </r>
    <r>
      <rPr>
        <i/>
        <sz val="10"/>
        <color theme="1"/>
        <rFont val="Tahoma"/>
        <family val="2"/>
      </rPr>
      <t>(nêu chi tiết từng hợp đồng)
Repo (detail by each contract)</t>
    </r>
  </si>
  <si>
    <r>
      <t xml:space="preserve">Cho vay chứng khoán </t>
    </r>
    <r>
      <rPr>
        <i/>
        <sz val="10"/>
        <color theme="1"/>
        <rFont val="Tahoma"/>
        <family val="2"/>
      </rPr>
      <t>(nêu chi tiết từng hợp đồng)
Margin (detail by each contract)</t>
    </r>
  </si>
  <si>
    <r>
      <t>Hợp đồng Reverse Repo</t>
    </r>
    <r>
      <rPr>
        <i/>
        <sz val="10"/>
        <color theme="1"/>
        <rFont val="Tahoma"/>
        <family val="2"/>
      </rPr>
      <t xml:space="preserve"> (nêu chi tiết từng hợp đồng)
Reverse Repo (Detail by each contract)</t>
    </r>
  </si>
  <si>
    <t>Chi phí dịch vụ tư vấn pháp lý
Legal consultancy expenses</t>
  </si>
  <si>
    <t>20.10.12</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</si>
  <si>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</si>
  <si>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</si>
  <si>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</si>
  <si>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Phải thu cổ tức
Dividend receivable</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</si>
  <si>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</si>
  <si>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</si>
  <si>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135</t>
  </si>
  <si>
    <t>Phí giao dịch
Transaction fee</t>
  </si>
  <si>
    <t>Phải trả phí môi giới
Brokerage fee payables</t>
  </si>
  <si>
    <t>316.1.1</t>
  </si>
  <si>
    <t>Phải trả phí giao dịch thanh toán bù trừ chứng khoán
Clearing Settlement Fee payables</t>
  </si>
  <si>
    <t>316.1.2</t>
  </si>
  <si>
    <t>319.2.1</t>
  </si>
  <si>
    <t>319.2.2</t>
  </si>
  <si>
    <t>319.2.3</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</si>
  <si>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</si>
  <si>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</si>
  <si>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</si>
  <si>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</si>
  <si>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</si>
  <si>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</si>
  <si>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</si>
  <si>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</si>
  <si>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</si>
  <si>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2203.1</t>
  </si>
  <si>
    <t>2203.2</t>
  </si>
  <si>
    <t>2203.3</t>
  </si>
  <si>
    <t>Chứng chỉ tiền gửi 
Certificate of Deposit</t>
  </si>
  <si>
    <t>Phải trả phí quản lý cho công ty quản lý quỹ
Management fee payable</t>
  </si>
  <si>
    <t>Phải trả cho nhà đầu tư chờ mua chứng chỉ quỹ
Subscription Pending allotment</t>
  </si>
  <si>
    <t>Phải trả cho Nhà đầu tư về mua lại Chứng chỉ quỹ
Redemption payable to investors</t>
  </si>
  <si>
    <t xml:space="preserve">Trích trước phí lưu ký tài sản Quỹ mở
Accrued expense for Custodian fee </t>
  </si>
  <si>
    <t>2215.10.1</t>
  </si>
  <si>
    <t>2215.10.2</t>
  </si>
  <si>
    <t>Phải trả nhà đầu tư
Payables to investors</t>
  </si>
  <si>
    <t>2215.1</t>
  </si>
  <si>
    <t>2215.2</t>
  </si>
  <si>
    <t>2215.1.2</t>
  </si>
  <si>
    <t>2215.9.1</t>
  </si>
  <si>
    <t>2215.9.2</t>
  </si>
  <si>
    <t>2215.10.3</t>
  </si>
  <si>
    <t>2215.13</t>
  </si>
  <si>
    <t>Phí thiết kế, in ấn, gửi thư…
Designing, prining, posting... Expenses</t>
  </si>
  <si>
    <t>Chi phí báo cáo thường niên
Annual report expenses</t>
  </si>
  <si>
    <t>Chi phí công tác, họp của ban đại diện
Fund's Board of Representatives travelling, meeting expenses</t>
  </si>
  <si>
    <t xml:space="preserve">Chứng chỉ tiền gửi 
Certificate of Deposit </t>
  </si>
  <si>
    <t>Trích trước phí quản lý thường niên trả cho UBCKNN
Accrued expense for Annual Management  Fee pay to SSC</t>
  </si>
  <si>
    <t>Trích trước phí quản lý thường niên trả UBCKNN
Accrued expense for Annual Management Fee pay to SSC</t>
  </si>
  <si>
    <t xml:space="preserve">Chi phí môi giới
Brokerage fee </t>
  </si>
  <si>
    <t>Phí quản lý thường niên trả cho UBCKNN
Annual management fee paid to SSC</t>
  </si>
  <si>
    <t>Tiền gửi Ngân hàng
Cash at bank</t>
  </si>
  <si>
    <t>2.3. Chi phí lãi vay
Borrowing interest expense</t>
  </si>
  <si>
    <t>Phí thực hiện quyền trả cho VSD
Payables to VSD for getting the list of investors</t>
  </si>
  <si>
    <t>Phí đăng ký niêm yết bổ sung trả VSD
Additional registration fee pay for VSD</t>
  </si>
  <si>
    <t>20.10.13</t>
  </si>
  <si>
    <t>20.10.14</t>
  </si>
  <si>
    <t>Cổ phiếu chưa niêm yết
Unlisted Shares</t>
  </si>
  <si>
    <t>121.5</t>
  </si>
  <si>
    <t>Trái phiếu chưa niêm yết 
Unlisted Bonds</t>
  </si>
  <si>
    <t>121.7</t>
  </si>
  <si>
    <t>Đầu tư khác
Other Investments</t>
  </si>
  <si>
    <t>Phải thu trái tức
Coupon receivables</t>
  </si>
  <si>
    <t>Phải thu lãi tiền gửi có kỳ hạn trên 3 tháng
Interest receivables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</si>
  <si>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</si>
  <si>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</si>
  <si>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</si>
  <si>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</si>
  <si>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</si>
  <si>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 Shorterm loans Principal</t>
  </si>
  <si>
    <t>Trich trước lãi vay ngắn hạn - Accrued Interest Expense</t>
  </si>
  <si>
    <t>317.1</t>
  </si>
  <si>
    <t>Phải trả nhà đầu tư trên tài sản giữ hộ
Payables to investors for investment bought on behalf</t>
  </si>
  <si>
    <t>317.2</t>
  </si>
  <si>
    <t>Trích trước phí lưu ký tài sản Quỹ mở
Accrued expense for Custodian fee</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</si>
  <si>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</si>
  <si>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</si>
  <si>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</si>
  <si>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</si>
  <si>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Phí Ngân hàng S2B
S2B Bank charge</t>
  </si>
  <si>
    <t>320.5</t>
  </si>
  <si>
    <t>1</t>
  </si>
  <si>
    <t/>
  </si>
  <si>
    <t>2</t>
  </si>
  <si>
    <t>3</t>
  </si>
  <si>
    <t>3.1</t>
  </si>
  <si>
    <t>3.2</t>
  </si>
  <si>
    <t>3.2.1</t>
  </si>
  <si>
    <t>3.2.2</t>
  </si>
  <si>
    <t>3.3</t>
  </si>
  <si>
    <t>3.4</t>
  </si>
  <si>
    <t>4</t>
  </si>
  <si>
    <t>5</t>
  </si>
  <si>
    <t>6</t>
  </si>
  <si>
    <t>7</t>
  </si>
  <si>
    <t>8</t>
  </si>
  <si>
    <t>9</t>
  </si>
  <si>
    <t>Trong đó: Phải thu khó đòi về bán các khoản đầu tư
In which: Overdue receivables from selling investments</t>
  </si>
  <si>
    <t>132</t>
  </si>
  <si>
    <t>Tiền gửi ngân hàng và tương đương tiền
Cash at bank and cash equivalent</t>
  </si>
  <si>
    <t xml:space="preserve">Tiền gửi ngân hàng cho hoạt động của Quỹ mở
Cash at bank for Fund's operation </t>
  </si>
  <si>
    <t>Tiền gửi có kỳ hạn dưới 3 tháng
Term deposit less than 3 months</t>
  </si>
  <si>
    <t>Các khoản đầu tư thuần
Investment</t>
  </si>
  <si>
    <t>Các khoản đầu tư
Investments</t>
  </si>
  <si>
    <t>Dự phòng giảm giá tài sản nhận thế chấp 
Impairment of devaluation of assets as pledge</t>
  </si>
  <si>
    <t>Các khoản phải thu
Receivables</t>
  </si>
  <si>
    <t>Phải thu về bán các khoản đầu tư
Receivables from investments sold but not yet settled</t>
  </si>
  <si>
    <t>Phải thu và dự thu cổ tức, tiền lãi các khoản đầu tư
Dividend and interest receivables</t>
  </si>
  <si>
    <t>Các khoản phải thu khác
Other receivables</t>
  </si>
  <si>
    <t>Dự phòng nợ phải thu khó đòi
Provision for doubtful debt</t>
  </si>
  <si>
    <t>NỢ PHẢI TRẢ
TOTAL LIABILITIES</t>
  </si>
  <si>
    <t>Vay ngắn hạn
Shorterm loans</t>
  </si>
  <si>
    <t>Phải trả về mua các khoản đầu tư
Payables for securities bought but not yet settled</t>
  </si>
  <si>
    <t>Phải trả phí cho các Đại lý phân phối, Công ty quản lý quỹ về mua bán Chứng chỉ quỹ
Subscription and Redemption fee payable to distributors and fund management company</t>
  </si>
  <si>
    <t>Thuế và các khoản phải nộp Nhà nước
Tax payables and obligations to the State Budget</t>
  </si>
  <si>
    <t>Phải trả thu nhập cho Nhà đầu tư
Profit distribution payables</t>
  </si>
  <si>
    <t>Chi phí phải trả
Expense Accuals</t>
  </si>
  <si>
    <t>Phải trả cho Nhà đầu tư về mua Chứng chỉ quỹ
Subscription Suspense Payable</t>
  </si>
  <si>
    <t>Phải trả cho Nhà đầu tư về mua lại Chứng chỉ quỹ
Redemption payable</t>
  </si>
  <si>
    <t>Phải trả dịch vụ quản lý Quỹ mở
Fund management related service expense payable</t>
  </si>
  <si>
    <t>Phải trả, phải nộp khác
Other payables</t>
  </si>
  <si>
    <t xml:space="preserve">	GIÁ TRỊ TÀI SẢN RÒNG CÓ THỂ PHÂN PHỐI CHO NHÀ ĐẦU TƯ NẮM GIỮ CHỨNG CHỈ QUỸ MỞ (I-II)
DISTRIBUTABLE NET ASSET VALUE (I-II)</t>
  </si>
  <si>
    <t>Vốn góp của Nhà đầu tư
Paid up capital</t>
  </si>
  <si>
    <t>Vốn góp phát hành
Capital from subscription</t>
  </si>
  <si>
    <t>Vốn góp mua lại
Capital from redeemption</t>
  </si>
  <si>
    <t>Thặng dư vốn góp của Nhà đầu tư
Share premium</t>
  </si>
  <si>
    <t>Lợi nhuận chưa phân phối 
Undistributed earnings</t>
  </si>
  <si>
    <t>Lợi nhuận chưa phân phối  đầu kỳ
Undistributed earnings  at the beginning of the period</t>
  </si>
  <si>
    <t>Lợi nhuận chưa phân phối  trong kỳ
Undistributed earnings during the period</t>
  </si>
  <si>
    <t xml:space="preserve">GIÁ TRỊ TÀI SẢN RÒNG QUỸ MỞ TRÊN 1 ĐƠN VỊ CHỨNG CHỈ QUỸ (IV=III/VI.4)
NET ASSET VALUE  PER FUND CERTIFICATE </t>
  </si>
  <si>
    <t>LỢI NHUẬN ĐÃ PHÂN PHỐI CHO NHÀ ĐẦU TƯ
DISTRIBUTED EARNINGS</t>
  </si>
  <si>
    <t>Lợi nhuận/Tài sản đã phân phối cho Nhà đầu tư trong năm
Distributed earnings assets in the period</t>
  </si>
  <si>
    <t>Lợi nhuận đã phân phối cho Nhà đầu tư lũy kế từ khi thành lập Quỹ mở đến kỳ lập báo cáo này
Accumulated distributed profit/ assets</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</si>
  <si>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</si>
  <si>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</si>
  <si>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</si>
  <si>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</si>
  <si>
    <t>Quyền mua chứng khoán
Investment Rights</t>
  </si>
  <si>
    <t>Đầu tư khác
Other investments</t>
  </si>
  <si>
    <t>2205.7</t>
  </si>
  <si>
    <t>Phải thu cổ tức, trái tức
Dividend, Coupon receivables</t>
  </si>
  <si>
    <t>2206.1</t>
  </si>
  <si>
    <t>Phải thu trái tức
Coupon receivable</t>
  </si>
  <si>
    <t>2206.2</t>
  </si>
  <si>
    <t>Phải thu lãi tiền gửi có kỳ hạn
Interest receivable from term deposit</t>
  </si>
  <si>
    <t>Phải thu lãi chứng chỉ tiền gửi
Interest receivable from Certificates of Deposits</t>
  </si>
  <si>
    <t>Dự phòng giảm giá tài sản nhận thế chấp
Impairment of devaluation of assets as pledge</t>
  </si>
  <si>
    <t>2210.2</t>
  </si>
  <si>
    <t>Phải trả nhà đầu tư trên cổ tức đã thu
Payables to investors for collected dividend</t>
  </si>
  <si>
    <t>2215.1.3</t>
  </si>
  <si>
    <t>2215.1.4</t>
  </si>
  <si>
    <t>Phải trả phí họp đại hội thưởng niên
General meeting expense payable</t>
  </si>
  <si>
    <t>Phải trả phí báo cáo thường niên
Annual report fee payable</t>
  </si>
  <si>
    <t>2215.17</t>
  </si>
  <si>
    <t>2215.17.4</t>
  </si>
  <si>
    <t>2215.17.1</t>
  </si>
  <si>
    <t>2215.17.3</t>
  </si>
  <si>
    <t>2215.17.2</t>
  </si>
  <si>
    <t>Vay ngắn hạn 
Shorterm loans</t>
  </si>
  <si>
    <t>2215.18.1</t>
  </si>
  <si>
    <t>2215.18.2</t>
  </si>
  <si>
    <t>2221.1</t>
  </si>
  <si>
    <t>Lãi chứng chỉ tiền gửi
Interest from Certificate of Deposits</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</si>
  <si>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</si>
  <si>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</si>
  <si>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</si>
  <si>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</si>
  <si>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cung cấp báo giá chứng khoán
Price feed fee Expenses</t>
  </si>
  <si>
    <t>Phí thiết kế, in ấn, gửi thư…
Designing, prining, posting... expense</t>
  </si>
  <si>
    <t>2230.5</t>
  </si>
  <si>
    <t>Phí niêm yết, phí đăng ký chứng khoán
Listing, Registration fee expenses</t>
  </si>
  <si>
    <t>2232.6</t>
  </si>
  <si>
    <t>Phải thu cho khoản cổ phiếu hạn chế chờ mua
Receivable from AP/Investors on bought  investment</t>
  </si>
  <si>
    <t>2256.5</t>
  </si>
  <si>
    <t>2259.1</t>
  </si>
  <si>
    <t>2259.2</t>
  </si>
  <si>
    <t>Tiền gửi có kỳ hạn trên 3 tháng
Deposit with term over three (03) months</t>
  </si>
  <si>
    <t>Cổ phiếu niêm yết
Listed Shares</t>
  </si>
  <si>
    <t>Trái phiếu niêm yết
Listed Bonds</t>
  </si>
  <si>
    <t>Phải thu cổ tức, tiền lãi đến ngày nhận
Dividend and interest receivables on or after payment date</t>
  </si>
  <si>
    <t>Dự thu cổ tức, tiền lãi chưa đến ngày nhận 
Dividend and interest receivables before payment date</t>
  </si>
  <si>
    <t>136.1</t>
  </si>
  <si>
    <t>136.3</t>
  </si>
  <si>
    <t>136.5</t>
  </si>
  <si>
    <t>111.1</t>
  </si>
  <si>
    <t>111.2</t>
  </si>
  <si>
    <t>111.3</t>
  </si>
  <si>
    <t>121.4</t>
  </si>
  <si>
    <t>316.1</t>
  </si>
  <si>
    <t>316.2</t>
  </si>
  <si>
    <t>316.3</t>
  </si>
  <si>
    <t>316.4</t>
  </si>
  <si>
    <t>316.5</t>
  </si>
  <si>
    <t>319.1</t>
  </si>
  <si>
    <t>319.2</t>
  </si>
  <si>
    <t>319.3</t>
  </si>
  <si>
    <t>319.4</t>
  </si>
  <si>
    <t>319.5</t>
  </si>
  <si>
    <t>320.1</t>
  </si>
  <si>
    <t>320.2</t>
  </si>
  <si>
    <t>320.3</t>
  </si>
  <si>
    <t>420.1</t>
  </si>
  <si>
    <t>420.2</t>
  </si>
  <si>
    <t>Chi phí báo cáo thường niên
Annual report expense</t>
  </si>
  <si>
    <t>Lãi chứng chỉ tiền gửi
Interest income from Certificate of Deposit</t>
  </si>
  <si>
    <t>11.2</t>
  </si>
  <si>
    <t>121.2</t>
  </si>
  <si>
    <t>134.1</t>
  </si>
  <si>
    <t>134.2</t>
  </si>
  <si>
    <t>134.3</t>
  </si>
  <si>
    <t>134.4</t>
  </si>
  <si>
    <t>134.5</t>
  </si>
  <si>
    <t>136.2</t>
  </si>
  <si>
    <t>136.4</t>
  </si>
  <si>
    <t>311.1</t>
  </si>
  <si>
    <t>311.2</t>
  </si>
  <si>
    <t>2210.1</t>
  </si>
  <si>
    <t>2215.16</t>
  </si>
  <si>
    <t>2215.18</t>
  </si>
  <si>
    <t>4067.1</t>
  </si>
  <si>
    <t>2246</t>
  </si>
  <si>
    <t>2246.1</t>
  </si>
  <si>
    <t>2246.2</t>
  </si>
  <si>
    <t>2246.3</t>
  </si>
  <si>
    <t>2246.4</t>
  </si>
  <si>
    <t>2246.5</t>
  </si>
  <si>
    <t>2246.6</t>
  </si>
  <si>
    <t>2246.7</t>
  </si>
  <si>
    <t>2246.8</t>
  </si>
  <si>
    <t>2246.9</t>
  </si>
  <si>
    <t>2247</t>
  </si>
  <si>
    <t>2248</t>
  </si>
  <si>
    <t>2249</t>
  </si>
  <si>
    <t>2250</t>
  </si>
  <si>
    <t>2251</t>
  </si>
  <si>
    <t>2252</t>
  </si>
  <si>
    <t>2253</t>
  </si>
  <si>
    <t>2254</t>
  </si>
  <si>
    <t>2255</t>
  </si>
  <si>
    <t>2256</t>
  </si>
  <si>
    <t>2256.1</t>
  </si>
  <si>
    <t>2256.2</t>
  </si>
  <si>
    <t>2256.3</t>
  </si>
  <si>
    <t>2256.4</t>
  </si>
  <si>
    <t>2256.6</t>
  </si>
  <si>
    <t>2256.7</t>
  </si>
  <si>
    <t>2257</t>
  </si>
  <si>
    <t>2258</t>
  </si>
  <si>
    <t>2259</t>
  </si>
  <si>
    <t>2259.3</t>
  </si>
  <si>
    <t>2260</t>
  </si>
  <si>
    <t>2261</t>
  </si>
  <si>
    <t>2262</t>
  </si>
  <si>
    <t>2263</t>
  </si>
  <si>
    <t>Chi phí khác
Other expenses</t>
  </si>
  <si>
    <t>2229.3</t>
  </si>
  <si>
    <t>Ghi chú / Notes:</t>
  </si>
  <si>
    <t>2246.21</t>
  </si>
  <si>
    <t>2246.22</t>
  </si>
  <si>
    <t>2246.23</t>
  </si>
  <si>
    <t>Phí quản lý thường niên trả UBCKNN
Annual management fee paid to SSC</t>
  </si>
  <si>
    <t>Người lập:</t>
  </si>
  <si>
    <t xml:space="preserve">             Người duyệt:</t>
  </si>
  <si>
    <t>____________________________________________</t>
  </si>
  <si>
    <t>_____________________________________</t>
  </si>
  <si>
    <t>Ông Nguyễn Minh Đăng Khánh</t>
  </si>
  <si>
    <t>Ông Trần Thanh Tân</t>
  </si>
  <si>
    <t xml:space="preserve">Phó Tổng Giám đốc kiêm 
Giám đốc Tài chính
</t>
  </si>
  <si>
    <t>Tổng Giám đốc</t>
  </si>
  <si>
    <t>______________________________________</t>
  </si>
  <si>
    <t xml:space="preserve">         Ông Nguyễn Minh Đăng Khánh</t>
  </si>
  <si>
    <t xml:space="preserve">            Ông Trần Thanh Tân</t>
  </si>
  <si>
    <t xml:space="preserve">   Phó Tổng Giám đốc kiêm 
Giám đốc Tài chính
</t>
  </si>
  <si>
    <t xml:space="preserve">                 Tổng Giám đốc</t>
  </si>
  <si>
    <t>2246.24</t>
  </si>
  <si>
    <t>Cổ phiếu niêm yết
Listed shares</t>
  </si>
  <si>
    <t>Bà Lâm Thị Loan</t>
  </si>
  <si>
    <t>Kế toán Quỹ</t>
  </si>
  <si>
    <t>ACB</t>
  </si>
  <si>
    <t>BMP</t>
  </si>
  <si>
    <t>CII</t>
  </si>
  <si>
    <t>DHG</t>
  </si>
  <si>
    <t>FPT</t>
  </si>
  <si>
    <t>GAS</t>
  </si>
  <si>
    <t>HAG</t>
  </si>
  <si>
    <t>HPG</t>
  </si>
  <si>
    <t>KDH</t>
  </si>
  <si>
    <t>MBB</t>
  </si>
  <si>
    <t>MWG</t>
  </si>
  <si>
    <t>PNJ</t>
  </si>
  <si>
    <t>SAB</t>
  </si>
  <si>
    <t>VCB</t>
  </si>
  <si>
    <t>VJC</t>
  </si>
  <si>
    <t>VNM</t>
  </si>
  <si>
    <t>HSG</t>
  </si>
  <si>
    <t>VGC</t>
  </si>
  <si>
    <t>2232.7</t>
  </si>
  <si>
    <t>VPB</t>
  </si>
  <si>
    <t xml:space="preserve">Phụ lục 31: Mẫu Báo cáo hoạt động vay, giao dịch mua bán lại của quỹ
Appendix 31: Report on borrowing operation, repo/reverse repo transactions of the fund
</t>
  </si>
  <si>
    <t>2276.1</t>
  </si>
  <si>
    <t>2276.2</t>
  </si>
  <si>
    <t>Thay đổi số lượng chứng chỉ quỹ trong kỳ
Change of Number of Fund Certificates during the period</t>
  </si>
  <si>
    <t>Thay đổi giá trị vốn trong kỳ (theo mệnh giá) 
Change in capital amount during the period (based on par value)</t>
  </si>
  <si>
    <t>BÁO CÁO HOẠT ĐỘNG VAY, GIAO DỊCH MUA BÁN LẠI CỦA QUỸ
REPORT ON BORROWING OPERATION, REPO/REVERSE REPO TRANSACTIONS OF THE FUND</t>
  </si>
  <si>
    <t>BÁO CÁO THAY ĐỔI GIÁ TRỊ TÀI SẢN RÒNG, GIAO DỊCH CHỨNG CHỈ QŨY
REPORT ON CHANGE OF NET ASSET VALUE, TRADING OF FUND CERTIFICATE</t>
  </si>
  <si>
    <t>CTG</t>
  </si>
  <si>
    <t>PC1</t>
  </si>
  <si>
    <t>PME</t>
  </si>
  <si>
    <t>NKG</t>
  </si>
  <si>
    <t>2246.25</t>
  </si>
  <si>
    <t>2246.26</t>
  </si>
  <si>
    <t>Total</t>
  </si>
  <si>
    <t>I. Listed shares</t>
  </si>
  <si>
    <t>Exchange</t>
  </si>
  <si>
    <t>HSX</t>
  </si>
  <si>
    <t>CLOSING BALANCE</t>
  </si>
  <si>
    <t>MARK TO MARKET</t>
  </si>
  <si>
    <t>Quantity</t>
  </si>
  <si>
    <t>Avg. Cost 
per Unit</t>
  </si>
  <si>
    <t>Total Cost of
Investment</t>
  </si>
  <si>
    <t>Market price</t>
  </si>
  <si>
    <t>Market value</t>
  </si>
  <si>
    <t>Unrealised P/L</t>
  </si>
  <si>
    <t>HNX</t>
  </si>
  <si>
    <t>DBD</t>
  </si>
  <si>
    <t>UPCOM</t>
  </si>
  <si>
    <t>II. Unlisted shares</t>
  </si>
  <si>
    <t>AST</t>
  </si>
  <si>
    <t>Unlisted</t>
  </si>
  <si>
    <t>III. Option</t>
  </si>
  <si>
    <t>TOTAL EQUITY</t>
  </si>
  <si>
    <t xml:space="preserve">III. </t>
  </si>
  <si>
    <t>IV. Corporate Bond</t>
  </si>
  <si>
    <t>CII11713</t>
  </si>
  <si>
    <t>TOTAL OTHER SECURITIES</t>
  </si>
  <si>
    <t>ACV</t>
  </si>
  <si>
    <t>MSN</t>
  </si>
  <si>
    <t>CTD</t>
  </si>
  <si>
    <t>2246.27</t>
  </si>
  <si>
    <t>HDB</t>
  </si>
  <si>
    <t>Ton Dong A</t>
  </si>
  <si>
    <t>BECAMEX IDC</t>
  </si>
  <si>
    <t>Fund Management Company:</t>
  </si>
  <si>
    <t>Năm 2018
Year 2018</t>
  </si>
  <si>
    <t>VIC</t>
  </si>
  <si>
    <t>SSI</t>
  </si>
  <si>
    <t>BID</t>
  </si>
  <si>
    <t>DXG</t>
  </si>
  <si>
    <t>NLG</t>
  </si>
  <si>
    <t>VNFPTSHOPUL1</t>
  </si>
  <si>
    <t>VNBSR2018UL1</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</si>
  <si>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</si>
  <si>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2253.1</t>
  </si>
  <si>
    <t>PLX</t>
  </si>
  <si>
    <t>Lãi TGNH
Interest income from bank deposits</t>
  </si>
  <si>
    <t>Lãi tiền gửi ngân hàng
Interest from bank deposits</t>
  </si>
  <si>
    <t>2231.3</t>
  </si>
  <si>
    <t>Chi phi lãi vay  
Borrowing Interest Expenses</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</si>
  <si>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</si>
  <si>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</si>
  <si>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</si>
  <si>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IV. Giá trị tài sản ròng của Quỹ mở cuối kỳ 
( = I + II + III) 
NAV at the end of period (= I + II + III)</t>
  </si>
  <si>
    <t>VCI</t>
  </si>
  <si>
    <t>VHM</t>
  </si>
  <si>
    <t>TCB</t>
  </si>
  <si>
    <t xml:space="preserve">Giá trị tài sản ròng trên một đơn vị quỹ cuối kỳ
NAV per unit at the end of period </t>
  </si>
  <si>
    <t>II. Thay đổi NAV so với kỳ trước (= II.1 + II.2), 
trong đó:
Change of NAV during the period (= II.1 + II.2),
of which:</t>
  </si>
  <si>
    <t>111.4</t>
  </si>
  <si>
    <t>2203.4</t>
  </si>
  <si>
    <t>Hợp đồng tương lai chỉ số
Index furture contracts</t>
  </si>
  <si>
    <t>2205.8</t>
  </si>
  <si>
    <t>2253.2</t>
  </si>
  <si>
    <t>Quyền mua
Rights</t>
  </si>
  <si>
    <t>Lãi tiền gửi và chứng chỉ tiền gửi được nhận
Interest receivables from deposits and certificates of deposit</t>
  </si>
  <si>
    <t>(**) Không tính đến giá trị cam kết của các hợp đồng tương lai chỉ số.
Excluding the committed value of the Index Futures contracts.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</si>
  <si>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</si>
  <si>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Tốc độ vòng quay danh mục trong kỳ (%) = (Tổng giá trị danh mục mua vào + tổng giá trị danh mục bán ra)/2/ Giá trị tài sản ròng trung bình trong kỳ
Portfolio turnover rate (%) = (total value of buy-in portfolio + total proceeds of sale-out portfolio) / 2 / Average NAV (**)</t>
  </si>
  <si>
    <t>Mẫu số B01g - QM. Báo cáo thu nhập
Template B01g - QM. Statement of Comprehensive Income</t>
  </si>
  <si>
    <t>Mẫu số B02g - QM. Báo cáo tình hình tài chính
Template B02g - QM. Statement of Financial Position</t>
  </si>
  <si>
    <t>Tiền gửi ký quỹ cho hoạt động đầu tư chứng khoán phái sinh
Margin account for trading derivatives</t>
  </si>
  <si>
    <t>KBC</t>
  </si>
  <si>
    <t>POW</t>
  </si>
  <si>
    <t>VTP</t>
  </si>
  <si>
    <t>2246.28</t>
  </si>
  <si>
    <t>2246.29</t>
  </si>
  <si>
    <t>2246.30</t>
  </si>
  <si>
    <t>Năm 2019
Year 2019</t>
  </si>
  <si>
    <t>2246.31</t>
  </si>
  <si>
    <t>VRE</t>
  </si>
  <si>
    <t>Chi tiết loại hợp đồng phái sinh(*)
Index future contracts</t>
  </si>
  <si>
    <t>Tháng 02 năm 2019
Feb 2019</t>
  </si>
  <si>
    <t>Ngày 28 tháng 02 năm 2019
As at 28 Feb 2019</t>
  </si>
  <si>
    <t xml:space="preserve">Trái phiếu Doanh Nghiệp KBC11806
Corporate Bond KBC11806
</t>
  </si>
  <si>
    <t>Trái phiếu Doanh Nghiệp CII11713
Corporate Bond CII11713</t>
  </si>
  <si>
    <t>Tháng 03 năm 2018
Mar 2018</t>
  </si>
  <si>
    <t>Tháng 03 năm 2019
Mar 2019</t>
  </si>
  <si>
    <t>Ngày 31 tháng 03 năm 2019
As at 31 Mar 2019</t>
  </si>
  <si>
    <t>Ngày 01 tháng 04 năm 2019</t>
  </si>
  <si>
    <t>Tháng 03 năm 2019/ Mar 2019</t>
  </si>
  <si>
    <t>BVH</t>
  </si>
  <si>
    <t>2246.32</t>
  </si>
  <si>
    <t xml:space="preserve">Ngân hàng TNHH một thành viên Standard Chartered (Việt Nam)
</t>
  </si>
  <si>
    <t xml:space="preserve">Vũ Hương Giang </t>
  </si>
  <si>
    <t>Phó Phòng Nghiệp vụ Dịch vụ Chứng khoán</t>
  </si>
  <si>
    <t>Kỳ báo cáo:</t>
  </si>
  <si>
    <t>Thông tin chung:</t>
  </si>
  <si>
    <r>
      <rPr>
        <b/>
        <sz val="10"/>
        <color indexed="30"/>
        <rFont val="Tahoma"/>
        <family val="2"/>
      </rPr>
      <t>Ngân hàng TNHH một thành viên Standard Chartered (Việt Nam)</t>
    </r>
    <r>
      <rPr>
        <sz val="10"/>
        <color indexed="8"/>
        <rFont val="Tahoma"/>
        <family val="2"/>
      </rPr>
      <t xml:space="preserve">
</t>
    </r>
  </si>
  <si>
    <t>Người ký báo cáo:</t>
  </si>
  <si>
    <t>STT</t>
  </si>
  <si>
    <t>Nội dung</t>
  </si>
  <si>
    <t>Tên sheet</t>
  </si>
  <si>
    <t>Báo cáo thu nhập giữa niên độ</t>
  </si>
  <si>
    <t>BCThuNhap_06203</t>
  </si>
  <si>
    <t>Báo cáo tình hình tài chính giữa niên độ</t>
  </si>
  <si>
    <t>BCTinhHinhTaiChinh_06105</t>
  </si>
  <si>
    <t>Báo cáo lưu chuyển tiền tệ</t>
  </si>
  <si>
    <t>BCLCGT_06262</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</si>
  <si>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</si>
  <si>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</si>
  <si>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</si>
  <si>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</si>
  <si>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</si>
  <si>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</si>
  <si>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</si>
  <si>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</si>
  <si>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</si>
  <si>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Bchoatdongvay_06026</t>
  </si>
  <si>
    <t>Báo cáo chỉ tiêu khác</t>
  </si>
  <si>
    <t>Khac_06030</t>
  </si>
  <si>
    <t>Thống kê phí giao dịch</t>
  </si>
  <si>
    <t>Thống kê các Thuyết minh BCTC</t>
  </si>
  <si>
    <t>Có trình bày Y/N/O</t>
  </si>
  <si>
    <t>Nguyên nhân không trình bày</t>
  </si>
  <si>
    <t>1/</t>
  </si>
  <si>
    <t>Tiền gửi Ngân hàng</t>
  </si>
  <si>
    <t>Y</t>
  </si>
  <si>
    <t>2/</t>
  </si>
  <si>
    <t>Các khoản đầu tư</t>
  </si>
  <si>
    <t>3/</t>
  </si>
  <si>
    <t>Các khoản dự phòng</t>
  </si>
  <si>
    <t>O</t>
  </si>
  <si>
    <t>Chỉ có VF1 trình bày, các Quỹ khác không có khoản mục này không phải trình bày</t>
  </si>
  <si>
    <t>4/</t>
  </si>
  <si>
    <t>Vay ngắn hạn</t>
  </si>
  <si>
    <t>N</t>
  </si>
  <si>
    <t>Không có số dư không trình bày</t>
  </si>
  <si>
    <t>5/</t>
  </si>
  <si>
    <t>Phải trả mua các khoản đầu tư</t>
  </si>
  <si>
    <t>6/</t>
  </si>
  <si>
    <t>Phải trả các Đại lý phân phối, Công ty Quản lý quỹ về phí phát hành và mua lại Chứng chỉ quỹ</t>
  </si>
  <si>
    <t>Trên báo cáo chính đã chi tiết theo từng khoản mục</t>
  </si>
  <si>
    <t>7/</t>
  </si>
  <si>
    <t>Thuế và các khoản phải nộp Nhà nước</t>
  </si>
  <si>
    <t>Không bắt buộc, Quỹ chỉ có khoản mục thuế từ hoạt động mua bán CCQ và Thù lao BDD</t>
  </si>
  <si>
    <t>8/</t>
  </si>
  <si>
    <t>Phải trả thu nhập cho Nhà đầu tư</t>
  </si>
  <si>
    <t>Quỹ nào có chia cổ tức mới trình bày</t>
  </si>
  <si>
    <t>9/</t>
  </si>
  <si>
    <t>Chi phí phải trả</t>
  </si>
  <si>
    <t>10/</t>
  </si>
  <si>
    <t>Phải trả dịch vụ quản lý quỹ</t>
  </si>
  <si>
    <t>11/</t>
  </si>
  <si>
    <t>Phải trả, phải nộp khác</t>
  </si>
  <si>
    <t>Chi tiết theo nature khoản mục của từng quỹ</t>
  </si>
  <si>
    <t>12/</t>
  </si>
  <si>
    <t>Tình hình biến động vốn chủ sở hữu</t>
  </si>
  <si>
    <t>13/</t>
  </si>
  <si>
    <t>Lợi nhuận chưa phân phối</t>
  </si>
  <si>
    <t>14/</t>
  </si>
  <si>
    <t xml:space="preserve">Lãi, lỗ bán các khoản đầu tư </t>
  </si>
  <si>
    <t>Tính toán lại dựa trên Báo cáo Sale and Purchase Report, checking với cân đối</t>
  </si>
  <si>
    <t>15/</t>
  </si>
  <si>
    <t>Chênh lệch đánh giá lại các khoản đầu tư</t>
  </si>
  <si>
    <t>Dựa trên báo cáo Portfolio Valuation</t>
  </si>
  <si>
    <t>16/</t>
  </si>
  <si>
    <t>Doanh thu hoạt động đầu tư</t>
  </si>
  <si>
    <t>17/</t>
  </si>
  <si>
    <t>Chi phí giao dịch mua các khoản đầu tư</t>
  </si>
  <si>
    <t>Hệ thống ko support nhặt số liệu báo cáo này</t>
  </si>
  <si>
    <t>18/</t>
  </si>
  <si>
    <t>Chi phí giao dịch bán các khoản đầu tư</t>
  </si>
  <si>
    <t>19/</t>
  </si>
  <si>
    <t>Chi phí đầu tư</t>
  </si>
  <si>
    <t>20/</t>
  </si>
  <si>
    <t>Chi phí quản lý Quỹ mở</t>
  </si>
  <si>
    <t>21/</t>
  </si>
  <si>
    <t>Thuyết minh về giá trị tài sản ròng</t>
  </si>
  <si>
    <t>Thống kê theo từng kỳ NAV</t>
  </si>
  <si>
    <t>22/</t>
  </si>
  <si>
    <t>Thuyết minh về danh mục các khoản đầu tư</t>
  </si>
  <si>
    <t>Báo cáo theo thông tư 183 đã có thông tin</t>
  </si>
  <si>
    <t>23/</t>
  </si>
  <si>
    <t>Thuyết minh về các Tài khoản loại 0</t>
  </si>
  <si>
    <t>Không coó</t>
  </si>
  <si>
    <t>24/</t>
  </si>
  <si>
    <t>Những thông tin khác</t>
  </si>
  <si>
    <t>Không bắt buộc trình bày</t>
  </si>
  <si>
    <t>Tại ngày 31 tháng 03 năm 2019/As at 31 Mar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</si>
</sst>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7">
    <numFmt numFmtId="43" formatCode="_(* #,##0.00_);_(* \(#,##0.00\);_(* &quot;-&quot;??_);_(@_)"/>
    <numFmt numFmtId="164" formatCode="_-* #,##0_-;\-* #,##0_-;_-* &quot;-&quot;_-;_-@_-"/>
    <numFmt numFmtId="165" formatCode="_-* #,##0.00_-;\-* #,##0.00_-;_-* &quot;-&quot;??_-;_-@_-"/>
    <numFmt numFmtId="166" formatCode="#,##0\ &quot;₫&quot;;\-#,##0\ &quot;₫&quot;"/>
    <numFmt numFmtId="167" formatCode="#,##0\ &quot;₫&quot;;[Red]\-#,##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_(* #,##0_);_(* \(#,##0\);_(* &quot;-&quot;??_);_(@_)"/>
    <numFmt numFmtId="173" formatCode="_(* #,##0.00_);_(* \(#,##0.00\);_(* &quot;-&quot;_);_(@_)"/>
    <numFmt numFmtId="174" formatCode="[$-409]d\-mmm\-yy;@"/>
    <numFmt numFmtId="175" formatCode="#,##0.####"/>
    <numFmt numFmtId="176" formatCode="_(* #,##0.0_);_(* \(#,##0.0\);_(* &quot;-&quot;??_);_(@_)"/>
    <numFmt numFmtId="177" formatCode="0.000%"/>
    <numFmt numFmtId="178" formatCode="#,##0,_);[Red]\(#,##0,\)"/>
    <numFmt numFmtId="179" formatCode="&quot;₫&quot;#,##0.00"/>
    <numFmt numFmtId="180" formatCode="_([$€-2]* #,##0.00_);_([$€-2]* \(#,##0.00\);_([$€-2]* &quot;-&quot;??_)"/>
    <numFmt numFmtId="181" formatCode="[$-409]dd\ mmmm\ yyyy;@"/>
    <numFmt numFmtId="182" formatCode="0.000"/>
    <numFmt numFmtId="183" formatCode="&quot;\&quot;#,##0;[Red]&quot;\&quot;&quot;\&quot;\-#,##0"/>
    <numFmt numFmtId="184" formatCode="&quot;\&quot;#,##0.00;[Red]&quot;\&quot;\-#,##0.00"/>
    <numFmt numFmtId="185" formatCode="0.0"/>
    <numFmt numFmtId="186" formatCode="&quot;\&quot;#,##0;[Red]&quot;\&quot;\-#,##0"/>
    <numFmt numFmtId="187" formatCode="#,##0;[Red]&quot;-&quot;#,##0"/>
    <numFmt numFmtId="188" formatCode="#,##0.00;[Red]&quot;-&quot;#,##0.00"/>
    <numFmt numFmtId="189" formatCode="mmm"/>
    <numFmt numFmtId="190" formatCode="#,##0;\(#,##0\)"/>
    <numFmt numFmtId="191" formatCode="_(* #.##0_);_(* \(#.##0\);_(* &quot;-&quot;_);_(@_)"/>
    <numFmt numFmtId="192" formatCode="_ &quot;R&quot;\ * #,##0_ ;_ &quot;R&quot;\ * \-#,##0_ ;_ &quot;R&quot;\ * &quot;-&quot;_ ;_ @_ "/>
    <numFmt numFmtId="193" formatCode="\$#&quot;,&quot;##0\ ;\(\$#&quot;,&quot;##0\)"/>
    <numFmt numFmtId="194" formatCode="\t0.00%"/>
    <numFmt numFmtId="195" formatCode="_-* #,##0\ _D_M_-;\-* #,##0\ _D_M_-;_-* &quot;-&quot;\ _D_M_-;_-@_-"/>
    <numFmt numFmtId="196" formatCode="_-* #,##0.00\ _D_M_-;\-* #,##0.00\ _D_M_-;_-* &quot;-&quot;??\ _D_M_-;_-@_-"/>
    <numFmt numFmtId="197" formatCode="\t#\ ??/??"/>
    <numFmt numFmtId="198" formatCode="#,##0\ "/>
    <numFmt numFmtId="199" formatCode="#."/>
    <numFmt numFmtId="200" formatCode="#,###"/>
    <numFmt numFmtId="201" formatCode="_-&quot;₫&quot;* #,##0_-;\-&quot;₫&quot;* #,##0_-;_-&quot;₫&quot;* &quot;-&quot;_-;_-@_-"/>
    <numFmt numFmtId="202" formatCode="_-&quot;₫&quot;* #,##0.00_-;\-&quot;₫&quot;* #,##0.00_-;_-&quot;₫&quot;* &quot;-&quot;??_-;_-@_-"/>
    <numFmt numFmtId="203" formatCode="#,##0\ &quot;F&quot;;[Red]\-#,##0\ &quot;F&quot;"/>
    <numFmt numFmtId="204" formatCode="#,##0.000;[Red]#,##0.000"/>
    <numFmt numFmtId="205" formatCode="0.00_)"/>
    <numFmt numFmtId="206" formatCode="#,##0.0;[Red]#,##0.0"/>
    <numFmt numFmtId="207" formatCode="0%_);\(0%\)"/>
    <numFmt numFmtId="208" formatCode="d"/>
    <numFmt numFmtId="209" formatCode="#"/>
    <numFmt numFmtId="210" formatCode="&quot;¡Ì&quot;#,##0;[Red]\-&quot;¡Ì&quot;#,##0"/>
    <numFmt numFmtId="211" formatCode="#,##0.00\ &quot;F&quot;;[Red]\-#,##0.00\ &quot;F&quot;"/>
    <numFmt numFmtId="212" formatCode="_-* #,##0\ &quot;F&quot;_-;\-* #,##0\ &quot;F&quot;_-;_-* &quot;-&quot;\ &quot;F&quot;_-;_-@_-"/>
    <numFmt numFmtId="213" formatCode="#,##0.00\ &quot;F&quot;;\-#,##0.00\ &quot;F&quot;"/>
    <numFmt numFmtId="214" formatCode="_-* #,##0\ &quot;DM&quot;_-;\-* #,##0\ &quot;DM&quot;_-;_-* &quot;-&quot;\ &quot;DM&quot;_-;_-@_-"/>
    <numFmt numFmtId="215" formatCode="_-* #,##0.00\ &quot;DM&quot;_-;\-* #,##0.00\ &quot;DM&quot;_-;_-* &quot;-&quot;??\ &quot;DM&quot;_-;_-@_-"/>
    <numFmt numFmtId="216" formatCode="_ * #,##0.00_ ;_ * \-#,##0.00_ ;_ * &quot;-&quot;??_ ;_ @_ "/>
    <numFmt numFmtId="217" formatCode="_ * #,##0_ ;_ * \-#,##0_ ;_ * &quot;-&quot;_ ;_ @_ "/>
    <numFmt numFmtId="218" formatCode="#,##0\ &quot;₫&quot;_);[Red]\(#,##0\ &quot;₫&quot;\)"/>
    <numFmt numFmtId="219" formatCode="_(* #,##0.000000_);_(* \(#,##0.000000\);_(* &quot;-&quot;??_);_(@_)"/>
  </numFmts>
  <fonts count="17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2"/>
      <name val=".VnTime"/>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9"/>
      <color indexed="81"/>
      <name val="Tahoma"/>
      <family val="2"/>
    </font>
    <font>
      <b/>
      <sz val="9"/>
      <color indexed="81"/>
      <name val="Tahoma"/>
      <family val="2"/>
    </font>
    <font>
      <sz val="10"/>
      <color theme="1" tint="4.9989318521683403E-2"/>
      <name val="Tahoma"/>
      <family val="2"/>
    </font>
    <font>
      <sz val="11"/>
      <name val="Times New Roman"/>
      <family val="1"/>
    </font>
    <font>
      <sz val="8"/>
      <color theme="1"/>
      <name val="Tahoma"/>
      <family val="2"/>
    </font>
    <font>
      <sz val="10"/>
      <color rgb="FF00B0F0"/>
      <name val="Arial"/>
      <family val="2"/>
    </font>
    <font>
      <sz val="10"/>
      <color rgb="FFFF0000"/>
      <name val="Arial"/>
      <family val="2"/>
    </font>
    <font>
      <b/>
      <sz val="11"/>
      <color theme="1"/>
      <name val="Calibri"/>
      <family val="2"/>
      <scheme val="minor"/>
    </font>
    <font>
      <sz val="9"/>
      <name val="Arial"/>
      <family val="2"/>
    </font>
    <font>
      <sz val="10"/>
      <name val="Times New Roman"/>
      <family val="1"/>
    </font>
    <font>
      <i/>
      <sz val="11"/>
      <color theme="1"/>
      <name val="Calibri"/>
      <family val="2"/>
      <scheme val="minor"/>
    </font>
    <font>
      <b/>
      <sz val="10"/>
      <name val="Arial"/>
      <family val="2"/>
    </font>
    <font>
      <i/>
      <sz val="10"/>
      <name val="Arial"/>
      <family val="2"/>
    </font>
    <font>
      <b/>
      <sz val="11"/>
      <name val="Tahoma"/>
      <family val="2"/>
    </font>
    <font>
      <sz val="7"/>
      <color rgb="FF000000"/>
      <name val="Arial"/>
      <family val="2"/>
    </font>
    <font>
      <sz val="10"/>
      <color theme="1"/>
      <name val="Arial"/>
      <family val="2"/>
    </font>
    <font>
      <sz val="10"/>
      <name val="Arial"/>
      <family val="2"/>
    </font>
    <font>
      <b/>
      <sz val="10"/>
      <color rgb="FFFF0000"/>
      <name val="Tahoma"/>
      <family val="2"/>
    </font>
    <font>
      <b/>
      <sz val="10"/>
      <name val="Times New Roman"/>
      <family val="1"/>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color indexed="10"/>
      <name val="Arial"/>
      <family val="2"/>
    </font>
    <font>
      <sz val="10"/>
      <name val="?? ??"/>
      <family val="1"/>
      <charset val="136"/>
    </font>
    <font>
      <sz val="14"/>
      <name val="??"/>
      <family val="3"/>
      <charset val="129"/>
    </font>
    <font>
      <sz val="11"/>
      <name val="??"/>
      <family val="3"/>
      <charset val="129"/>
    </font>
    <font>
      <sz val="12"/>
      <name val="Courier"/>
      <family val="3"/>
    </font>
    <font>
      <sz val="10"/>
      <name val=".VnTime"/>
      <family val="2"/>
    </font>
    <font>
      <sz val="12"/>
      <name val="¹UAAA¼"/>
      <family val="3"/>
      <charset val="129"/>
    </font>
    <font>
      <sz val="12"/>
      <name val="¹ÙÅÁÃ¼"/>
      <family val="1"/>
      <charset val="129"/>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
      <color indexed="8"/>
      <name val="Courier"/>
      <family val="3"/>
    </font>
    <font>
      <sz val="12"/>
      <name val="VNI-Aptima"/>
    </font>
    <font>
      <b/>
      <sz val="11"/>
      <name val="Helv"/>
    </font>
    <font>
      <sz val="10"/>
      <name val=".VnAvant"/>
      <family val="2"/>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rgb="FF000000"/>
      <name val="Arial"/>
      <family val="2"/>
    </font>
    <font>
      <sz val="10"/>
      <color indexed="10"/>
      <name val="Arial"/>
      <family val="2"/>
    </font>
    <font>
      <b/>
      <sz val="11"/>
      <color theme="1"/>
      <name val="Times New Roman"/>
      <family val="1"/>
    </font>
    <font>
      <sz val="11"/>
      <color theme="1"/>
      <name val="Times New Roman"/>
      <family val="1"/>
    </font>
    <font>
      <i/>
      <sz val="11"/>
      <color theme="1"/>
      <name val="Times New Roman"/>
      <family val="1"/>
    </font>
    <font>
      <u/>
      <sz val="11"/>
      <color theme="10"/>
      <name val="Calibri"/>
      <family val="2"/>
      <scheme val="minor"/>
    </font>
    <font>
      <sz val="11"/>
      <color theme="0" tint="-4.9989318521683403E-2"/>
      <name val="Times New Roman"/>
      <family val="1"/>
    </font>
    <font>
      <sz val="11"/>
      <color rgb="FFFF0000"/>
      <name val="Times New Roman"/>
      <family val="1"/>
    </font>
  </fonts>
  <fills count="43">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indexed="62"/>
        <bgColor indexed="64"/>
      </patternFill>
    </fill>
    <fill>
      <patternFill patternType="solid">
        <fgColor rgb="FFCDCDCD"/>
        <bgColor rgb="FFCDCDCD"/>
      </patternFill>
    </fill>
    <fill>
      <patternFill patternType="solid">
        <fgColor rgb="FFFFFFFF"/>
        <bgColor rgb="FF000000"/>
      </patternFill>
    </fill>
    <fill>
      <patternFill patternType="solid">
        <fgColor rgb="FF7D7D7D"/>
        <bgColor rgb="FF7D7D7D"/>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theme="7" tint="0.39997558519241921"/>
        <bgColor indexed="64"/>
      </patternFill>
    </fill>
    <fill>
      <patternFill patternType="solid">
        <fgColor theme="0" tint="-4.9989318521683403E-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right/>
      <top style="medium">
        <color indexed="64"/>
      </top>
      <bottom/>
      <diagonal/>
    </border>
    <border>
      <left/>
      <right/>
      <top/>
      <bottom style="medium">
        <color indexed="64"/>
      </bottom>
      <diagonal/>
    </border>
    <border>
      <left style="thin">
        <color indexed="58"/>
      </left>
      <right style="thin">
        <color indexed="58"/>
      </right>
      <top style="thin">
        <color indexed="58"/>
      </top>
      <bottom style="thin">
        <color indexed="58"/>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
      <left/>
      <right/>
      <top style="medium">
        <color indexed="64"/>
      </top>
      <bottom style="medium">
        <color indexed="64"/>
      </bottom>
      <diagonal/>
    </border>
    <border>
      <left style="thin">
        <color indexed="64"/>
      </left>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640">
    <xf numFmtId="0" fontId="0" fillId="0" borderId="0"/>
    <xf numFmtId="171" fontId="51" fillId="0" borderId="0" quotePrefix="1" applyFont="0" applyFill="0" applyBorder="0" applyAlignment="0">
      <protection locked="0"/>
    </xf>
    <xf numFmtId="0" fontId="51" fillId="0" borderId="0"/>
    <xf numFmtId="0" fontId="51" fillId="0" borderId="0"/>
    <xf numFmtId="9" fontId="51" fillId="0" borderId="0" quotePrefix="1" applyFont="0" applyFill="0" applyBorder="0" applyAlignment="0">
      <protection locked="0"/>
    </xf>
    <xf numFmtId="0" fontId="50" fillId="0" borderId="0"/>
    <xf numFmtId="171" fontId="50" fillId="0" borderId="0" applyFont="0" applyFill="0" applyBorder="0" applyAlignment="0" applyProtection="0"/>
    <xf numFmtId="9" fontId="50" fillId="0" borderId="0" applyFont="0" applyFill="0" applyBorder="0" applyAlignment="0" applyProtection="0"/>
    <xf numFmtId="171" fontId="51" fillId="0" borderId="0" applyFont="0" applyFill="0" applyBorder="0" applyAlignment="0" applyProtection="0"/>
    <xf numFmtId="0" fontId="64" fillId="0" borderId="0"/>
    <xf numFmtId="171" fontId="50" fillId="0" borderId="0" applyFont="0" applyFill="0" applyBorder="0" applyAlignment="0" applyProtection="0"/>
    <xf numFmtId="171" fontId="72" fillId="0" borderId="0" applyFont="0" applyFill="0" applyBorder="0" applyAlignment="0" applyProtection="0"/>
    <xf numFmtId="0" fontId="48" fillId="0" borderId="0"/>
    <xf numFmtId="0" fontId="47" fillId="0" borderId="0"/>
    <xf numFmtId="0" fontId="46" fillId="0" borderId="0"/>
    <xf numFmtId="0" fontId="45" fillId="0" borderId="0"/>
    <xf numFmtId="0" fontId="44" fillId="0" borderId="0"/>
    <xf numFmtId="0" fontId="43" fillId="0" borderId="0"/>
    <xf numFmtId="171" fontId="51" fillId="0" borderId="0" applyFont="0" applyFill="0" applyBorder="0" applyAlignment="0" applyProtection="0"/>
    <xf numFmtId="0" fontId="42" fillId="0" borderId="0"/>
    <xf numFmtId="175" fontId="51" fillId="11" borderId="10" applyNumberFormat="0" applyFont="0" applyFill="0" applyBorder="0" applyAlignment="0" applyProtection="0">
      <alignment vertical="center"/>
    </xf>
    <xf numFmtId="0" fontId="41" fillId="0" borderId="0"/>
    <xf numFmtId="0" fontId="51" fillId="11" borderId="10" applyNumberFormat="0" applyFont="0" applyFill="0" applyBorder="0" applyAlignment="0" applyProtection="0">
      <alignment vertical="center"/>
    </xf>
    <xf numFmtId="175" fontId="51" fillId="11" borderId="10" applyNumberFormat="0" applyFont="0" applyFill="0" applyBorder="0" applyAlignment="0" applyProtection="0">
      <alignment vertical="center"/>
    </xf>
    <xf numFmtId="0" fontId="40" fillId="0" borderId="0"/>
    <xf numFmtId="0" fontId="39" fillId="0" borderId="0"/>
    <xf numFmtId="0" fontId="38" fillId="0" borderId="0"/>
    <xf numFmtId="0" fontId="37" fillId="0" borderId="0"/>
    <xf numFmtId="171" fontId="51" fillId="0" borderId="0" applyFont="0" applyFill="0" applyBorder="0" applyAlignment="0" applyProtection="0"/>
    <xf numFmtId="0" fontId="36" fillId="0" borderId="0"/>
    <xf numFmtId="0" fontId="35" fillId="0" borderId="0"/>
    <xf numFmtId="0" fontId="34" fillId="0" borderId="0"/>
    <xf numFmtId="0" fontId="33" fillId="0" borderId="0"/>
    <xf numFmtId="0" fontId="32" fillId="0" borderId="0"/>
    <xf numFmtId="0" fontId="83" fillId="12" borderId="0">
      <alignment horizontal="center" vertical="top"/>
    </xf>
    <xf numFmtId="0" fontId="83" fillId="13" borderId="0">
      <alignment horizontal="center" vertical="top"/>
    </xf>
    <xf numFmtId="0" fontId="83" fillId="14" borderId="0">
      <alignment horizontal="center" vertical="top"/>
    </xf>
    <xf numFmtId="0" fontId="31" fillId="0" borderId="0"/>
    <xf numFmtId="0" fontId="30" fillId="0" borderId="0"/>
    <xf numFmtId="0" fontId="29" fillId="0" borderId="0"/>
    <xf numFmtId="0" fontId="28" fillId="0" borderId="0"/>
    <xf numFmtId="0" fontId="27" fillId="0" borderId="0"/>
    <xf numFmtId="0" fontId="26" fillId="0" borderId="0"/>
    <xf numFmtId="0" fontId="85" fillId="0" borderId="0"/>
    <xf numFmtId="171" fontId="51" fillId="0" borderId="0" quotePrefix="1" applyFont="0" applyFill="0" applyBorder="0" applyAlignment="0">
      <protection locked="0"/>
    </xf>
    <xf numFmtId="9" fontId="51" fillId="0" borderId="0" quotePrefix="1" applyFont="0" applyFill="0" applyBorder="0" applyAlignment="0">
      <protection locked="0"/>
    </xf>
    <xf numFmtId="0" fontId="26" fillId="0" borderId="0"/>
    <xf numFmtId="171" fontId="26" fillId="0" borderId="0" applyFont="0" applyFill="0" applyBorder="0" applyAlignment="0" applyProtection="0"/>
    <xf numFmtId="9" fontId="26" fillId="0" borderId="0" applyFont="0" applyFill="0" applyBorder="0" applyAlignment="0" applyProtection="0"/>
    <xf numFmtId="171"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171" fontId="20" fillId="0" borderId="0" applyFont="0" applyFill="0" applyBorder="0" applyAlignment="0" applyProtection="0"/>
    <xf numFmtId="0" fontId="51" fillId="0" borderId="0"/>
    <xf numFmtId="171" fontId="51" fillId="0" borderId="0" applyFont="0" applyFill="0" applyBorder="0" applyAlignment="0" applyProtection="0"/>
    <xf numFmtId="171" fontId="20" fillId="0" borderId="0" applyFont="0" applyFill="0" applyBorder="0" applyAlignment="0" applyProtection="0"/>
    <xf numFmtId="0" fontId="20" fillId="0" borderId="0"/>
    <xf numFmtId="9" fontId="51"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51" fillId="0" borderId="0"/>
    <xf numFmtId="171" fontId="51" fillId="0" borderId="0" applyFont="0" applyFill="0" applyBorder="0" applyAlignment="0" applyProtection="0"/>
    <xf numFmtId="171" fontId="20" fillId="0" borderId="0" applyFont="0" applyFill="0" applyBorder="0" applyAlignment="0" applyProtection="0"/>
    <xf numFmtId="0" fontId="20" fillId="0" borderId="0"/>
    <xf numFmtId="9" fontId="51"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51" fillId="0" borderId="0"/>
    <xf numFmtId="171" fontId="51" fillId="0" borderId="0" applyFont="0" applyFill="0" applyBorder="0" applyAlignment="0" applyProtection="0"/>
    <xf numFmtId="171" fontId="20" fillId="0" borderId="0" applyFont="0" applyFill="0" applyBorder="0" applyAlignment="0" applyProtection="0"/>
    <xf numFmtId="0" fontId="20" fillId="0" borderId="0"/>
    <xf numFmtId="9" fontId="51"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171"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0" fontId="90" fillId="0" borderId="0"/>
    <xf numFmtId="0" fontId="93" fillId="0" borderId="0" applyNumberFormat="0" applyFill="0" applyBorder="0" applyAlignment="0" applyProtection="0">
      <alignment vertical="top"/>
      <protection locked="0"/>
    </xf>
    <xf numFmtId="0" fontId="87" fillId="0" borderId="0" applyFill="0">
      <alignment horizontal="center" vertical="center" wrapText="1"/>
    </xf>
    <xf numFmtId="0" fontId="87" fillId="0" borderId="0" applyFill="0">
      <alignment horizontal="center" vertical="center" wrapText="1"/>
    </xf>
    <xf numFmtId="178" fontId="95" fillId="0" borderId="0" applyFill="0"/>
    <xf numFmtId="0" fontId="78" fillId="0" borderId="0" applyFill="0">
      <alignment horizontal="center" vertical="center" wrapText="1"/>
    </xf>
    <xf numFmtId="178" fontId="89" fillId="0" borderId="0" applyFill="0"/>
    <xf numFmtId="178" fontId="89" fillId="0" borderId="0" applyBorder="0"/>
    <xf numFmtId="0" fontId="78" fillId="0" borderId="0" applyFill="0" applyBorder="0">
      <alignment horizontal="center" vertical="center" wrapText="1"/>
    </xf>
    <xf numFmtId="178" fontId="89" fillId="0" borderId="0" applyFill="0"/>
    <xf numFmtId="0" fontId="87" fillId="0" borderId="0">
      <alignment horizontal="center" vertical="center" wrapText="1"/>
    </xf>
    <xf numFmtId="0" fontId="87" fillId="0" borderId="0" applyFill="0" applyBorder="0">
      <alignment horizontal="center" vertical="center"/>
    </xf>
    <xf numFmtId="178" fontId="89" fillId="0" borderId="12" applyFill="0" applyBorder="0"/>
    <xf numFmtId="0" fontId="89" fillId="0" borderId="0" applyFill="0">
      <alignment vertical="center" wrapText="1"/>
    </xf>
    <xf numFmtId="0" fontId="89" fillId="0" borderId="0" applyFill="0">
      <alignment horizontal="center" vertical="center" wrapText="1"/>
    </xf>
    <xf numFmtId="0" fontId="89" fillId="0" borderId="0" applyNumberFormat="0" applyAlignment="0">
      <alignment horizontal="center"/>
    </xf>
    <xf numFmtId="181" fontId="107" fillId="24" borderId="0" applyNumberFormat="0" applyBorder="0" applyAlignment="0" applyProtection="0"/>
    <xf numFmtId="0" fontId="51" fillId="0" borderId="0"/>
    <xf numFmtId="0" fontId="89" fillId="0" borderId="0" applyNumberFormat="0" applyAlignment="0"/>
    <xf numFmtId="179" fontId="89" fillId="0" borderId="0" applyNumberFormat="0" applyFill="0" applyBorder="0" applyAlignment="0">
      <alignment horizontal="center"/>
    </xf>
    <xf numFmtId="0" fontId="87" fillId="0" borderId="0" applyNumberFormat="0" applyFill="0">
      <alignment horizontal="center" vertical="center" wrapText="1"/>
    </xf>
    <xf numFmtId="0" fontId="89" fillId="0" borderId="0" applyNumberFormat="0" applyAlignment="0">
      <alignment horizontal="center"/>
    </xf>
    <xf numFmtId="178" fontId="89" fillId="0" borderId="0" applyFill="0"/>
    <xf numFmtId="0" fontId="87" fillId="0" borderId="0" applyFill="0" applyBorder="0">
      <alignment horizontal="center" vertical="center" wrapText="1"/>
    </xf>
    <xf numFmtId="165" fontId="51" fillId="0" borderId="0" applyFont="0" applyFill="0" applyBorder="0" applyAlignment="0" applyProtection="0"/>
    <xf numFmtId="0" fontId="87" fillId="0" borderId="0" applyFill="0" applyBorder="0">
      <alignment horizontal="center" vertical="center"/>
    </xf>
    <xf numFmtId="169" fontId="89" fillId="0" borderId="0" applyAlignment="0"/>
    <xf numFmtId="0" fontId="78" fillId="0" borderId="0" applyNumberFormat="0" applyAlignment="0">
      <alignment horizontal="center"/>
    </xf>
    <xf numFmtId="178" fontId="89" fillId="0" borderId="0" applyFill="0"/>
    <xf numFmtId="178" fontId="89" fillId="0" borderId="7" applyFill="0" applyBorder="0"/>
    <xf numFmtId="0" fontId="89" fillId="0" borderId="0" applyNumberFormat="0" applyAlignment="0">
      <alignment horizontal="center"/>
    </xf>
    <xf numFmtId="0" fontId="89" fillId="0" borderId="0" applyFill="0">
      <alignment horizontal="center" vertical="center" wrapText="1"/>
    </xf>
    <xf numFmtId="0" fontId="87" fillId="0" borderId="0" applyFill="0">
      <alignment horizontal="center" vertical="center" wrapText="1"/>
    </xf>
    <xf numFmtId="178" fontId="96" fillId="0" borderId="0" applyFill="0"/>
    <xf numFmtId="0" fontId="89" fillId="0" borderId="0" applyNumberFormat="0" applyAlignment="0">
      <alignment horizontal="center"/>
    </xf>
    <xf numFmtId="0" fontId="97" fillId="0" borderId="0">
      <alignment horizontal="center" wrapText="1"/>
    </xf>
    <xf numFmtId="0" fontId="87" fillId="0" borderId="0" applyFill="0">
      <alignment horizontal="center" vertical="center" wrapText="1"/>
    </xf>
    <xf numFmtId="181" fontId="107" fillId="27" borderId="0" applyNumberFormat="0" applyBorder="0" applyAlignment="0" applyProtection="0"/>
    <xf numFmtId="165" fontId="51" fillId="0" borderId="0" applyFont="0" applyFill="0" applyBorder="0" applyAlignment="0" applyProtection="0"/>
    <xf numFmtId="181" fontId="107" fillId="26" borderId="0" applyNumberFormat="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81" fontId="107" fillId="18" borderId="0" applyNumberFormat="0" applyBorder="0" applyAlignment="0" applyProtection="0"/>
    <xf numFmtId="181" fontId="107" fillId="25" borderId="0" applyNumberFormat="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65" fontId="51" fillId="0" borderId="0" applyFont="0" applyFill="0" applyBorder="0" applyAlignment="0" applyProtection="0"/>
    <xf numFmtId="171" fontId="51" fillId="0" borderId="0" applyFont="0" applyFill="0" applyBorder="0" applyAlignment="0" applyProtection="0"/>
    <xf numFmtId="180" fontId="51" fillId="0" borderId="0" applyFont="0" applyFill="0" applyBorder="0" applyAlignment="0" applyProtection="0"/>
    <xf numFmtId="0" fontId="98" fillId="0" borderId="0" applyNumberFormat="0" applyFont="0" applyBorder="0" applyAlignment="0"/>
    <xf numFmtId="0" fontId="51" fillId="0" borderId="0"/>
    <xf numFmtId="0" fontId="51" fillId="0" borderId="0"/>
    <xf numFmtId="181" fontId="80" fillId="0" borderId="0" applyNumberFormat="0" applyFill="0" applyBorder="0" applyAlignment="0" applyProtection="0"/>
    <xf numFmtId="181" fontId="80"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0" fillId="0" borderId="0" applyNumberFormat="0" applyFill="0" applyBorder="0" applyAlignment="0" applyProtection="0"/>
    <xf numFmtId="0" fontId="94" fillId="0" borderId="0"/>
    <xf numFmtId="0" fontId="20" fillId="0" borderId="0"/>
    <xf numFmtId="40" fontId="98" fillId="0" borderId="0">
      <alignment horizontal="right"/>
    </xf>
    <xf numFmtId="40" fontId="99" fillId="0" borderId="0">
      <alignment horizontal="center" wrapText="1"/>
    </xf>
    <xf numFmtId="178" fontId="98" fillId="0" borderId="0" applyBorder="0" applyAlignment="0"/>
    <xf numFmtId="0" fontId="100"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38" fontId="89" fillId="15" borderId="13" applyFill="0">
      <alignment horizontal="right"/>
    </xf>
    <xf numFmtId="0" fontId="89" fillId="0" borderId="13" applyNumberFormat="0" applyFill="0" applyAlignment="0">
      <alignment horizontal="left" indent="7"/>
    </xf>
    <xf numFmtId="0" fontId="101" fillId="0" borderId="13" applyFill="0">
      <alignment horizontal="left" indent="8"/>
    </xf>
    <xf numFmtId="178" fontId="87" fillId="19" borderId="0" applyFill="0">
      <alignment horizontal="right"/>
    </xf>
    <xf numFmtId="0" fontId="87" fillId="20" borderId="0" applyNumberFormat="0">
      <alignment horizontal="right"/>
    </xf>
    <xf numFmtId="0" fontId="102" fillId="19" borderId="11" applyFill="0"/>
    <xf numFmtId="0" fontId="78" fillId="21" borderId="11" applyFill="0" applyBorder="0"/>
    <xf numFmtId="178" fontId="78" fillId="22" borderId="14" applyFill="0"/>
    <xf numFmtId="0" fontId="89" fillId="0" borderId="15" applyNumberFormat="0" applyAlignment="0"/>
    <xf numFmtId="0" fontId="102" fillId="0" borderId="0" applyFill="0">
      <alignment horizontal="left" indent="1"/>
    </xf>
    <xf numFmtId="0" fontId="92" fillId="22" borderId="0" applyFill="0">
      <alignment horizontal="left" indent="1"/>
    </xf>
    <xf numFmtId="178" fontId="89" fillId="23" borderId="14" applyFill="0"/>
    <xf numFmtId="0" fontId="89" fillId="0" borderId="14" applyNumberFormat="0" applyAlignment="0"/>
    <xf numFmtId="0" fontId="102" fillId="0" borderId="0" applyFill="0">
      <alignment horizontal="left" indent="2"/>
    </xf>
    <xf numFmtId="0" fontId="103" fillId="23" borderId="0" applyFill="0">
      <alignment horizontal="left" indent="2"/>
    </xf>
    <xf numFmtId="178" fontId="89" fillId="0" borderId="14" applyFill="0"/>
    <xf numFmtId="0" fontId="98" fillId="0" borderId="14" applyNumberFormat="0" applyAlignment="0"/>
    <xf numFmtId="0" fontId="104" fillId="0" borderId="0">
      <alignment horizontal="left" indent="3"/>
    </xf>
    <xf numFmtId="0" fontId="105" fillId="0" borderId="0" applyFill="0">
      <alignment horizontal="left" indent="3"/>
    </xf>
    <xf numFmtId="38" fontId="89" fillId="0" borderId="0" applyFill="0"/>
    <xf numFmtId="0" fontId="51" fillId="0" borderId="14" applyNumberFormat="0" applyFont="0" applyAlignment="0"/>
    <xf numFmtId="0" fontId="104" fillId="0" borderId="0">
      <alignment horizontal="left" indent="4"/>
    </xf>
    <xf numFmtId="0" fontId="89" fillId="0" borderId="0" applyFill="0" applyProtection="0">
      <alignment horizontal="left" indent="4"/>
    </xf>
    <xf numFmtId="38" fontId="89" fillId="0" borderId="0" applyFill="0"/>
    <xf numFmtId="0" fontId="89" fillId="0" borderId="0" applyNumberFormat="0" applyAlignment="0"/>
    <xf numFmtId="0" fontId="104" fillId="0" borderId="0">
      <alignment horizontal="left" indent="5"/>
    </xf>
    <xf numFmtId="0" fontId="89" fillId="0" borderId="0" applyFill="0">
      <alignment horizontal="left" indent="5"/>
    </xf>
    <xf numFmtId="178" fontId="89" fillId="0" borderId="0" applyFill="0"/>
    <xf numFmtId="0" fontId="78" fillId="0" borderId="0" applyNumberFormat="0" applyFill="0" applyAlignment="0"/>
    <xf numFmtId="0" fontId="106" fillId="0" borderId="0" applyFill="0">
      <alignment horizontal="left" indent="6"/>
    </xf>
    <xf numFmtId="0" fontId="89" fillId="0" borderId="0" applyFill="0">
      <alignment horizontal="left" indent="6"/>
    </xf>
    <xf numFmtId="3" fontId="91" fillId="0" borderId="0" applyFill="0" applyBorder="0" applyAlignment="0" applyProtection="0">
      <alignment horizontal="right"/>
    </xf>
    <xf numFmtId="181" fontId="107" fillId="23" borderId="0" applyNumberFormat="0" applyBorder="0" applyAlignment="0" applyProtection="0"/>
    <xf numFmtId="181" fontId="107" fillId="17" borderId="0" applyNumberFormat="0" applyBorder="0" applyAlignment="0" applyProtection="0"/>
    <xf numFmtId="181" fontId="107" fillId="28" borderId="0" applyNumberFormat="0" applyBorder="0" applyAlignment="0" applyProtection="0"/>
    <xf numFmtId="181" fontId="107" fillId="29" borderId="0" applyNumberFormat="0" applyBorder="0" applyAlignment="0" applyProtection="0"/>
    <xf numFmtId="181" fontId="107" fillId="26" borderId="0" applyNumberFormat="0" applyBorder="0" applyAlignment="0" applyProtection="0"/>
    <xf numFmtId="181" fontId="107" fillId="17" borderId="0" applyNumberFormat="0" applyBorder="0" applyAlignment="0" applyProtection="0"/>
    <xf numFmtId="181" fontId="107" fillId="19" borderId="0" applyNumberFormat="0" applyBorder="0" applyAlignment="0" applyProtection="0"/>
    <xf numFmtId="181" fontId="108" fillId="30" borderId="0" applyNumberFormat="0" applyBorder="0" applyAlignment="0" applyProtection="0"/>
    <xf numFmtId="181" fontId="108" fillId="28" borderId="0" applyNumberFormat="0" applyBorder="0" applyAlignment="0" applyProtection="0"/>
    <xf numFmtId="181" fontId="108" fillId="29" borderId="0" applyNumberFormat="0" applyBorder="0" applyAlignment="0" applyProtection="0"/>
    <xf numFmtId="181" fontId="108" fillId="31" borderId="0" applyNumberFormat="0" applyBorder="0" applyAlignment="0" applyProtection="0"/>
    <xf numFmtId="181" fontId="108" fillId="32" borderId="0" applyNumberFormat="0" applyBorder="0" applyAlignment="0" applyProtection="0"/>
    <xf numFmtId="181" fontId="108" fillId="33" borderId="0" applyNumberFormat="0" applyBorder="0" applyAlignment="0" applyProtection="0"/>
    <xf numFmtId="181" fontId="108" fillId="11" borderId="0" applyNumberFormat="0" applyBorder="0" applyAlignment="0" applyProtection="0"/>
    <xf numFmtId="181" fontId="108" fillId="34" borderId="0" applyNumberFormat="0" applyBorder="0" applyAlignment="0" applyProtection="0"/>
    <xf numFmtId="181" fontId="108" fillId="35" borderId="0" applyNumberFormat="0" applyBorder="0" applyAlignment="0" applyProtection="0"/>
    <xf numFmtId="181" fontId="108" fillId="31" borderId="0" applyNumberFormat="0" applyBorder="0" applyAlignment="0" applyProtection="0"/>
    <xf numFmtId="181" fontId="108" fillId="32" borderId="0" applyNumberFormat="0" applyBorder="0" applyAlignment="0" applyProtection="0"/>
    <xf numFmtId="181" fontId="108" fillId="36" borderId="0" applyNumberFormat="0" applyBorder="0" applyAlignment="0" applyProtection="0"/>
    <xf numFmtId="181" fontId="109" fillId="25" borderId="0" applyNumberFormat="0" applyBorder="0" applyAlignment="0" applyProtection="0"/>
    <xf numFmtId="181" fontId="110" fillId="15" borderId="16" applyNumberFormat="0" applyAlignment="0" applyProtection="0"/>
    <xf numFmtId="181" fontId="111" fillId="37" borderId="17" applyNumberFormat="0" applyAlignment="0" applyProtection="0"/>
    <xf numFmtId="171" fontId="51" fillId="0" borderId="0" applyFont="0" applyFill="0" applyBorder="0" applyAlignment="0" applyProtection="0"/>
    <xf numFmtId="171" fontId="94" fillId="0" borderId="0" applyFont="0" applyFill="0" applyBorder="0" applyAlignment="0" applyProtection="0"/>
    <xf numFmtId="171" fontId="51" fillId="0" borderId="0" applyFont="0" applyFill="0" applyBorder="0" applyAlignment="0" applyProtection="0"/>
    <xf numFmtId="181" fontId="112" fillId="0" borderId="0" applyNumberFormat="0" applyFill="0" applyBorder="0" applyAlignment="0" applyProtection="0"/>
    <xf numFmtId="181" fontId="113" fillId="18" borderId="0" applyNumberFormat="0" applyBorder="0" applyAlignment="0" applyProtection="0"/>
    <xf numFmtId="181" fontId="114" fillId="0" borderId="18" applyNumberFormat="0" applyFill="0" applyAlignment="0" applyProtection="0"/>
    <xf numFmtId="181" fontId="115" fillId="0" borderId="19" applyNumberFormat="0" applyFill="0" applyAlignment="0" applyProtection="0"/>
    <xf numFmtId="181" fontId="116" fillId="0" borderId="20" applyNumberFormat="0" applyFill="0" applyAlignment="0" applyProtection="0"/>
    <xf numFmtId="181" fontId="116" fillId="0" borderId="0" applyNumberFormat="0" applyFill="0" applyBorder="0" applyAlignment="0" applyProtection="0"/>
    <xf numFmtId="181" fontId="117" fillId="23" borderId="16" applyNumberFormat="0" applyAlignment="0" applyProtection="0"/>
    <xf numFmtId="181" fontId="118" fillId="0" borderId="21" applyNumberFormat="0" applyFill="0" applyAlignment="0" applyProtection="0"/>
    <xf numFmtId="181" fontId="119" fillId="16" borderId="0" applyNumberFormat="0" applyBorder="0" applyAlignment="0" applyProtection="0"/>
    <xf numFmtId="181" fontId="84" fillId="0" borderId="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94"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0" fontId="94" fillId="0" borderId="0"/>
    <xf numFmtId="181" fontId="94" fillId="22" borderId="22" applyNumberFormat="0" applyFont="0" applyAlignment="0" applyProtection="0"/>
    <xf numFmtId="181" fontId="120" fillId="15" borderId="23" applyNumberFormat="0" applyAlignment="0" applyProtection="0"/>
    <xf numFmtId="9" fontId="94" fillId="0" borderId="0" applyFont="0" applyFill="0" applyBorder="0" applyAlignment="0" applyProtection="0"/>
    <xf numFmtId="181" fontId="121" fillId="0" borderId="0" applyNumberFormat="0" applyFill="0" applyBorder="0" applyAlignment="0" applyProtection="0"/>
    <xf numFmtId="181" fontId="122" fillId="0" borderId="24" applyNumberFormat="0" applyFill="0" applyAlignment="0" applyProtection="0"/>
    <xf numFmtId="181" fontId="123" fillId="0" borderId="0" applyNumberFormat="0" applyFill="0" applyBorder="0" applyAlignment="0" applyProtection="0"/>
    <xf numFmtId="0" fontId="51" fillId="0" borderId="0"/>
    <xf numFmtId="0" fontId="20" fillId="0" borderId="0"/>
    <xf numFmtId="9" fontId="20" fillId="0" borderId="0" applyFont="0" applyFill="0" applyBorder="0" applyAlignment="0" applyProtection="0"/>
    <xf numFmtId="0" fontId="20" fillId="0" borderId="0"/>
    <xf numFmtId="0" fontId="88" fillId="0" borderId="0" applyNumberFormat="0" applyFill="0" applyBorder="0" applyAlignment="0" applyProtection="0">
      <alignment vertical="top"/>
      <protection locked="0"/>
    </xf>
    <xf numFmtId="0" fontId="20" fillId="0" borderId="0"/>
    <xf numFmtId="0" fontId="51" fillId="0" borderId="0"/>
    <xf numFmtId="171" fontId="20" fillId="0" borderId="0" applyFont="0" applyFill="0" applyBorder="0" applyAlignment="0" applyProtection="0"/>
    <xf numFmtId="0" fontId="20" fillId="0" borderId="0"/>
    <xf numFmtId="0" fontId="20" fillId="0" borderId="0"/>
    <xf numFmtId="0" fontId="94" fillId="0" borderId="0"/>
    <xf numFmtId="171" fontId="51" fillId="0" borderId="0" applyFont="0" applyFill="0" applyBorder="0" applyAlignment="0" applyProtection="0"/>
    <xf numFmtId="171" fontId="94" fillId="0" borderId="0" applyFont="0" applyFill="0" applyBorder="0" applyAlignment="0" applyProtection="0"/>
    <xf numFmtId="181" fontId="51" fillId="0" borderId="0" applyNumberFormat="0" applyFill="0" applyBorder="0" applyAlignment="0" applyProtection="0"/>
    <xf numFmtId="181" fontId="20" fillId="0" borderId="0"/>
    <xf numFmtId="181" fontId="20" fillId="0" borderId="0"/>
    <xf numFmtId="181" fontId="20" fillId="0" borderId="0"/>
    <xf numFmtId="181" fontId="20" fillId="0" borderId="0"/>
    <xf numFmtId="181" fontId="20" fillId="0" borderId="0"/>
    <xf numFmtId="9" fontId="94" fillId="0" borderId="0" applyFont="0" applyFill="0" applyBorder="0" applyAlignment="0" applyProtection="0"/>
    <xf numFmtId="171" fontId="51" fillId="0" borderId="0" applyFont="0" applyFill="0" applyBorder="0" applyAlignment="0" applyProtection="0"/>
    <xf numFmtId="0" fontId="51" fillId="0" borderId="0"/>
    <xf numFmtId="171" fontId="51" fillId="0" borderId="0" applyFont="0" applyFill="0" applyBorder="0" applyAlignment="0" applyProtection="0"/>
    <xf numFmtId="171" fontId="51" fillId="0" borderId="0" applyFont="0" applyFill="0" applyBorder="0" applyAlignment="0" applyProtection="0"/>
    <xf numFmtId="0" fontId="98" fillId="0" borderId="14" applyNumberFormat="0" applyAlignment="0"/>
    <xf numFmtId="178" fontId="89" fillId="0" borderId="14" applyFill="0"/>
    <xf numFmtId="0" fontId="51" fillId="0" borderId="14" applyNumberFormat="0" applyFont="0" applyAlignment="0"/>
    <xf numFmtId="0" fontId="98" fillId="0" borderId="14" applyNumberFormat="0" applyAlignment="0"/>
    <xf numFmtId="178" fontId="78" fillId="22" borderId="14" applyFill="0"/>
    <xf numFmtId="0" fontId="89" fillId="0" borderId="15" applyNumberFormat="0" applyAlignment="0"/>
    <xf numFmtId="178" fontId="89" fillId="23" borderId="14" applyFill="0"/>
    <xf numFmtId="0" fontId="51" fillId="0" borderId="14" applyNumberFormat="0" applyFont="0" applyAlignment="0"/>
    <xf numFmtId="178" fontId="89" fillId="0" borderId="14" applyFill="0"/>
    <xf numFmtId="0" fontId="89" fillId="0" borderId="14" applyNumberFormat="0" applyAlignment="0"/>
    <xf numFmtId="178" fontId="89" fillId="23" borderId="14" applyFill="0"/>
    <xf numFmtId="0" fontId="89" fillId="0" borderId="15" applyNumberFormat="0" applyAlignment="0"/>
    <xf numFmtId="178" fontId="78" fillId="22" borderId="14" applyFill="0"/>
    <xf numFmtId="0" fontId="89" fillId="0" borderId="14" applyNumberFormat="0" applyAlignment="0"/>
    <xf numFmtId="0" fontId="19" fillId="0" borderId="0"/>
    <xf numFmtId="0" fontId="18" fillId="0" borderId="0"/>
    <xf numFmtId="171" fontId="18" fillId="0" borderId="0" applyFont="0" applyFill="0" applyBorder="0" applyAlignment="0" applyProtection="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0" fontId="18" fillId="0" borderId="0"/>
    <xf numFmtId="181" fontId="18" fillId="0" borderId="0"/>
    <xf numFmtId="181" fontId="18" fillId="0" borderId="0"/>
    <xf numFmtId="181" fontId="18" fillId="0" borderId="0"/>
    <xf numFmtId="181" fontId="18" fillId="0" borderId="0"/>
    <xf numFmtId="181" fontId="18" fillId="0" borderId="0"/>
    <xf numFmtId="0" fontId="51" fillId="0" borderId="0"/>
    <xf numFmtId="0" fontId="125" fillId="0" borderId="0" applyFont="0" applyFill="0" applyBorder="0" applyAlignment="0" applyProtection="0"/>
    <xf numFmtId="183" fontId="51" fillId="0" borderId="0" applyFont="0" applyFill="0" applyBorder="0" applyAlignment="0" applyProtection="0"/>
    <xf numFmtId="40" fontId="126" fillId="0" borderId="0" applyFont="0" applyFill="0" applyBorder="0" applyAlignment="0" applyProtection="0"/>
    <xf numFmtId="38" fontId="126" fillId="0" borderId="0" applyFont="0" applyFill="0" applyBorder="0" applyAlignment="0" applyProtection="0"/>
    <xf numFmtId="164" fontId="77" fillId="0" borderId="0" applyFont="0" applyFill="0" applyBorder="0" applyAlignment="0" applyProtection="0"/>
    <xf numFmtId="9" fontId="127" fillId="0" borderId="0" applyFont="0" applyFill="0" applyBorder="0" applyAlignment="0" applyProtection="0"/>
    <xf numFmtId="167" fontId="128" fillId="0" borderId="0" applyFont="0" applyFill="0" applyBorder="0" applyAlignment="0" applyProtection="0"/>
    <xf numFmtId="0" fontId="91" fillId="0" borderId="0">
      <alignment vertical="center"/>
    </xf>
    <xf numFmtId="0" fontId="94" fillId="0" borderId="0">
      <alignment vertical="top"/>
    </xf>
    <xf numFmtId="0" fontId="129" fillId="0" borderId="0" applyNumberFormat="0" applyFill="0" applyBorder="0" applyAlignment="0" applyProtection="0"/>
    <xf numFmtId="0" fontId="129" fillId="0" borderId="0" applyNumberFormat="0" applyFill="0" applyBorder="0" applyAlignment="0" applyProtection="0"/>
    <xf numFmtId="0" fontId="78" fillId="0" borderId="0"/>
    <xf numFmtId="0" fontId="64" fillId="0" borderId="0"/>
    <xf numFmtId="0" fontId="51" fillId="0" borderId="0" applyFont="0" applyFill="0" applyBorder="0" applyAlignment="0" applyProtection="0"/>
    <xf numFmtId="0" fontId="130" fillId="0" borderId="0" applyFont="0" applyFill="0" applyBorder="0" applyAlignment="0" applyProtection="0"/>
    <xf numFmtId="184" fontId="131" fillId="0" borderId="0" applyFont="0" applyFill="0" applyBorder="0" applyAlignment="0" applyProtection="0"/>
    <xf numFmtId="185" fontId="51" fillId="0" borderId="0" applyFont="0" applyFill="0" applyBorder="0" applyAlignment="0" applyProtection="0"/>
    <xf numFmtId="0" fontId="130" fillId="0" borderId="0" applyFont="0" applyFill="0" applyBorder="0" applyAlignment="0" applyProtection="0"/>
    <xf numFmtId="186" fontId="131" fillId="0" borderId="0" applyFont="0" applyFill="0" applyBorder="0" applyAlignment="0" applyProtection="0"/>
    <xf numFmtId="0" fontId="98" fillId="0" borderId="0">
      <alignment horizontal="center" wrapText="1"/>
      <protection locked="0"/>
    </xf>
    <xf numFmtId="0" fontId="51" fillId="0" borderId="0" applyFont="0" applyFill="0" applyBorder="0" applyAlignment="0" applyProtection="0"/>
    <xf numFmtId="0" fontId="130" fillId="0" borderId="0" applyFont="0" applyFill="0" applyBorder="0" applyAlignment="0" applyProtection="0"/>
    <xf numFmtId="187" fontId="131" fillId="0" borderId="0" applyFont="0" applyFill="0" applyBorder="0" applyAlignment="0" applyProtection="0"/>
    <xf numFmtId="182" fontId="51" fillId="0" borderId="0" applyFont="0" applyFill="0" applyBorder="0" applyAlignment="0" applyProtection="0"/>
    <xf numFmtId="0" fontId="130" fillId="0" borderId="0" applyFont="0" applyFill="0" applyBorder="0" applyAlignment="0" applyProtection="0"/>
    <xf numFmtId="188" fontId="131" fillId="0" borderId="0" applyFont="0" applyFill="0" applyBorder="0" applyAlignment="0" applyProtection="0"/>
    <xf numFmtId="0" fontId="130" fillId="0" borderId="0"/>
    <xf numFmtId="0" fontId="132" fillId="0" borderId="0"/>
    <xf numFmtId="0" fontId="130" fillId="0" borderId="0"/>
    <xf numFmtId="37" fontId="133" fillId="0" borderId="0"/>
    <xf numFmtId="189" fontId="51" fillId="0" borderId="0" applyFill="0" applyBorder="0" applyAlignment="0"/>
    <xf numFmtId="0" fontId="134" fillId="0" borderId="0"/>
    <xf numFmtId="1" fontId="135" fillId="0" borderId="5" applyBorder="0"/>
    <xf numFmtId="171" fontId="51" fillId="0" borderId="0" applyFont="0" applyFill="0" applyBorder="0" applyAlignment="0" applyProtection="0"/>
    <xf numFmtId="171" fontId="94" fillId="0" borderId="0" applyFont="0" applyFill="0" applyBorder="0" applyAlignment="0" applyProtection="0"/>
    <xf numFmtId="171" fontId="51" fillId="0" borderId="0" applyFont="0" applyFill="0" applyBorder="0" applyAlignment="0" applyProtection="0"/>
    <xf numFmtId="171" fontId="51" fillId="0" borderId="0" applyFont="0" applyFill="0" applyBorder="0" applyAlignment="0" applyProtection="0"/>
    <xf numFmtId="171" fontId="51" fillId="0" borderId="0" applyFont="0" applyFill="0" applyBorder="0" applyAlignment="0" applyProtection="0"/>
    <xf numFmtId="171" fontId="51" fillId="0" borderId="0" applyFont="0" applyFill="0" applyBorder="0" applyAlignment="0" applyProtection="0"/>
    <xf numFmtId="190" fontId="78" fillId="0" borderId="0"/>
    <xf numFmtId="191" fontId="136" fillId="0" borderId="0"/>
    <xf numFmtId="3" fontId="51" fillId="0" borderId="0" applyFont="0" applyFill="0" applyBorder="0" applyAlignment="0" applyProtection="0"/>
    <xf numFmtId="0" fontId="137" fillId="0" borderId="0" applyNumberFormat="0" applyAlignment="0">
      <alignment horizontal="left"/>
    </xf>
    <xf numFmtId="0" fontId="138" fillId="0" borderId="0" applyNumberFormat="0" applyAlignment="0"/>
    <xf numFmtId="192" fontId="139" fillId="0" borderId="0" applyFont="0" applyFill="0" applyBorder="0" applyAlignment="0" applyProtection="0"/>
    <xf numFmtId="193" fontId="51" fillId="0" borderId="0" applyFont="0" applyFill="0" applyBorder="0" applyAlignment="0" applyProtection="0"/>
    <xf numFmtId="194" fontId="51" fillId="0" borderId="0"/>
    <xf numFmtId="0" fontId="51" fillId="0" borderId="0" applyFont="0" applyFill="0" applyBorder="0" applyAlignment="0" applyProtection="0"/>
    <xf numFmtId="195" fontId="51" fillId="0" borderId="0" applyFont="0" applyFill="0" applyBorder="0" applyAlignment="0" applyProtection="0"/>
    <xf numFmtId="196" fontId="51" fillId="0" borderId="0" applyFont="0" applyFill="0" applyBorder="0" applyAlignment="0" applyProtection="0"/>
    <xf numFmtId="197" fontId="51" fillId="0" borderId="0"/>
    <xf numFmtId="0" fontId="140" fillId="0" borderId="0" applyNumberFormat="0" applyAlignment="0">
      <alignment horizontal="left"/>
    </xf>
    <xf numFmtId="2" fontId="51" fillId="0" borderId="0" applyFont="0" applyFill="0" applyBorder="0" applyAlignment="0" applyProtection="0"/>
    <xf numFmtId="198" fontId="64" fillId="0" borderId="27" applyFont="0" applyFill="0" applyBorder="0" applyProtection="0"/>
    <xf numFmtId="38" fontId="141" fillId="15" borderId="0" applyNumberFormat="0" applyBorder="0" applyAlignment="0" applyProtection="0"/>
    <xf numFmtId="0" fontId="142" fillId="0" borderId="0">
      <alignment horizontal="left"/>
    </xf>
    <xf numFmtId="0" fontId="143" fillId="0" borderId="26" applyNumberFormat="0" applyAlignment="0" applyProtection="0">
      <alignment horizontal="left" vertical="center"/>
    </xf>
    <xf numFmtId="0" fontId="143" fillId="0" borderId="11">
      <alignment horizontal="left" vertical="center"/>
    </xf>
    <xf numFmtId="14" fontId="80" fillId="27" borderId="9">
      <alignment horizontal="center" vertical="center" wrapText="1"/>
    </xf>
    <xf numFmtId="199" fontId="144" fillId="0" borderId="0">
      <protection locked="0"/>
    </xf>
    <xf numFmtId="199" fontId="144" fillId="0" borderId="0">
      <protection locked="0"/>
    </xf>
    <xf numFmtId="10" fontId="141" fillId="22" borderId="1" applyNumberFormat="0" applyBorder="0" applyAlignment="0" applyProtection="0"/>
    <xf numFmtId="189" fontId="145" fillId="38" borderId="0"/>
    <xf numFmtId="189" fontId="145" fillId="39" borderId="0"/>
    <xf numFmtId="164" fontId="51" fillId="0" borderId="0" applyFont="0" applyFill="0" applyBorder="0" applyAlignment="0" applyProtection="0"/>
    <xf numFmtId="165" fontId="51" fillId="0" borderId="0" applyFont="0" applyFill="0" applyBorder="0" applyAlignment="0" applyProtection="0"/>
    <xf numFmtId="0" fontId="146" fillId="0" borderId="9"/>
    <xf numFmtId="200" fontId="147" fillId="0" borderId="28"/>
    <xf numFmtId="201" fontId="51" fillId="0" borderId="0" applyFont="0" applyFill="0" applyBorder="0" applyAlignment="0" applyProtection="0"/>
    <xf numFmtId="202" fontId="51" fillId="0" borderId="0" applyFont="0" applyFill="0" applyBorder="0" applyAlignment="0" applyProtection="0"/>
    <xf numFmtId="203" fontId="90" fillId="0" borderId="0" applyFont="0" applyFill="0" applyBorder="0" applyAlignment="0" applyProtection="0"/>
    <xf numFmtId="204" fontId="90" fillId="0" borderId="0" applyFont="0" applyFill="0" applyBorder="0" applyAlignment="0" applyProtection="0"/>
    <xf numFmtId="0" fontId="148" fillId="0" borderId="0" applyNumberFormat="0" applyFont="0" applyFill="0" applyAlignment="0"/>
    <xf numFmtId="0" fontId="139" fillId="0" borderId="1"/>
    <xf numFmtId="0" fontId="78" fillId="0" borderId="0"/>
    <xf numFmtId="37" fontId="149" fillId="0" borderId="0"/>
    <xf numFmtId="0" fontId="150" fillId="0" borderId="1" applyNumberFormat="0" applyFont="0" applyFill="0" applyBorder="0" applyAlignment="0">
      <alignment horizontal="center"/>
    </xf>
    <xf numFmtId="205" fontId="151" fillId="0" borderId="0"/>
    <xf numFmtId="0" fontId="84" fillId="0" borderId="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94" fillId="0" borderId="0"/>
    <xf numFmtId="0" fontId="94" fillId="0" borderId="0"/>
    <xf numFmtId="0" fontId="64" fillId="0" borderId="0"/>
    <xf numFmtId="181" fontId="94" fillId="22" borderId="22" applyNumberFormat="0" applyFont="0" applyAlignment="0" applyProtection="0"/>
    <xf numFmtId="206" fontId="90" fillId="0" borderId="0" applyFont="0" applyFill="0" applyBorder="0" applyAlignment="0" applyProtection="0"/>
    <xf numFmtId="177" fontId="90" fillId="0" borderId="0" applyFont="0" applyFill="0" applyBorder="0" applyAlignment="0" applyProtection="0"/>
    <xf numFmtId="0" fontId="51" fillId="0" borderId="0" applyFont="0" applyFill="0" applyBorder="0" applyAlignment="0" applyProtection="0"/>
    <xf numFmtId="0" fontId="78" fillId="0" borderId="0"/>
    <xf numFmtId="14" fontId="98" fillId="0" borderId="0">
      <alignment horizontal="center" wrapText="1"/>
      <protection locked="0"/>
    </xf>
    <xf numFmtId="207" fontId="51" fillId="0" borderId="0" applyFont="0" applyFill="0" applyBorder="0" applyAlignment="0" applyProtection="0"/>
    <xf numFmtId="10" fontId="51" fillId="0" borderId="0" applyFont="0" applyFill="0" applyBorder="0" applyAlignment="0" applyProtection="0"/>
    <xf numFmtId="9" fontId="94" fillId="0" borderId="0" applyFont="0" applyFill="0" applyBorder="0" applyAlignment="0" applyProtection="0"/>
    <xf numFmtId="9" fontId="72" fillId="0" borderId="0" applyFont="0" applyFill="0" applyBorder="0" applyAlignment="0" applyProtection="0"/>
    <xf numFmtId="9" fontId="152" fillId="0" borderId="8" applyNumberFormat="0" applyBorder="0"/>
    <xf numFmtId="166" fontId="153" fillId="0" borderId="0"/>
    <xf numFmtId="0" fontId="152" fillId="0" borderId="0" applyNumberFormat="0" applyFont="0" applyFill="0" applyBorder="0" applyAlignment="0" applyProtection="0">
      <alignment horizontal="left"/>
    </xf>
    <xf numFmtId="208" fontId="51" fillId="0" borderId="0" applyNumberFormat="0" applyFill="0" applyBorder="0" applyAlignment="0" applyProtection="0">
      <alignment horizontal="left"/>
    </xf>
    <xf numFmtId="209" fontId="154" fillId="0" borderId="0" applyFont="0" applyFill="0" applyBorder="0" applyAlignment="0" applyProtection="0"/>
    <xf numFmtId="210" fontId="139" fillId="0" borderId="0" applyFont="0" applyFill="0" applyBorder="0" applyAlignment="0" applyProtection="0"/>
    <xf numFmtId="0" fontId="146" fillId="0" borderId="0"/>
    <xf numFmtId="40" fontId="155" fillId="0" borderId="0" applyBorder="0">
      <alignment horizontal="right"/>
    </xf>
    <xf numFmtId="211" fontId="139" fillId="0" borderId="2">
      <alignment horizontal="right" vertical="center"/>
    </xf>
    <xf numFmtId="212" fontId="139" fillId="0" borderId="2">
      <alignment horizontal="center"/>
    </xf>
    <xf numFmtId="3" fontId="156" fillId="0" borderId="29" applyNumberFormat="0" applyBorder="0" applyAlignment="0"/>
    <xf numFmtId="0" fontId="124" fillId="0" borderId="0" applyFill="0" applyBorder="0" applyProtection="0">
      <alignment horizontal="left" vertical="top"/>
    </xf>
    <xf numFmtId="203" fontId="139" fillId="0" borderId="0"/>
    <xf numFmtId="213" fontId="139" fillId="0" borderId="1"/>
    <xf numFmtId="0" fontId="157" fillId="40" borderId="1">
      <alignment horizontal="left" vertical="center"/>
    </xf>
    <xf numFmtId="166" fontId="158" fillId="0" borderId="4">
      <alignment horizontal="left" vertical="top"/>
    </xf>
    <xf numFmtId="166" fontId="129" fillId="0" borderId="25">
      <alignment horizontal="left" vertical="top"/>
    </xf>
    <xf numFmtId="0" fontId="159" fillId="0" borderId="25">
      <alignment horizontal="left" vertical="center"/>
    </xf>
    <xf numFmtId="214" fontId="51" fillId="0" borderId="0" applyFont="0" applyFill="0" applyBorder="0" applyAlignment="0" applyProtection="0"/>
    <xf numFmtId="215" fontId="51" fillId="0" borderId="0" applyFont="0" applyFill="0" applyBorder="0" applyAlignment="0" applyProtection="0"/>
    <xf numFmtId="0" fontId="160" fillId="0" borderId="0">
      <alignment vertical="center"/>
    </xf>
    <xf numFmtId="168" fontId="161" fillId="0" borderId="0" applyFont="0" applyFill="0" applyBorder="0" applyAlignment="0" applyProtection="0"/>
    <xf numFmtId="170" fontId="161" fillId="0" borderId="0" applyFont="0" applyFill="0" applyBorder="0" applyAlignment="0" applyProtection="0"/>
    <xf numFmtId="0" fontId="161" fillId="0" borderId="0"/>
    <xf numFmtId="0" fontId="162" fillId="0" borderId="0" applyFont="0" applyFill="0" applyBorder="0" applyAlignment="0" applyProtection="0"/>
    <xf numFmtId="0" fontId="162" fillId="0" borderId="0" applyFont="0" applyFill="0" applyBorder="0" applyAlignment="0" applyProtection="0"/>
    <xf numFmtId="0" fontId="91" fillId="0" borderId="0">
      <alignment vertical="center"/>
    </xf>
    <xf numFmtId="40" fontId="163" fillId="0" borderId="0" applyFont="0" applyFill="0" applyBorder="0" applyAlignment="0" applyProtection="0"/>
    <xf numFmtId="38" fontId="163" fillId="0" borderId="0" applyFont="0" applyFill="0" applyBorder="0" applyAlignment="0" applyProtection="0"/>
    <xf numFmtId="0" fontId="163" fillId="0" borderId="0" applyFont="0" applyFill="0" applyBorder="0" applyAlignment="0" applyProtection="0"/>
    <xf numFmtId="0" fontId="163" fillId="0" borderId="0" applyFont="0" applyFill="0" applyBorder="0" applyAlignment="0" applyProtection="0"/>
    <xf numFmtId="9" fontId="164" fillId="0" borderId="0" applyBorder="0" applyAlignment="0" applyProtection="0"/>
    <xf numFmtId="0" fontId="165" fillId="0" borderId="0"/>
    <xf numFmtId="0" fontId="166" fillId="0" borderId="0" applyFont="0" applyFill="0" applyBorder="0" applyAlignment="0" applyProtection="0"/>
    <xf numFmtId="0" fontId="166" fillId="0" borderId="0" applyFont="0" applyFill="0" applyBorder="0" applyAlignment="0" applyProtection="0"/>
    <xf numFmtId="168" fontId="51" fillId="0" borderId="0" applyFont="0" applyFill="0" applyBorder="0" applyAlignment="0" applyProtection="0"/>
    <xf numFmtId="170" fontId="51" fillId="0" borderId="0" applyFont="0" applyFill="0" applyBorder="0" applyAlignment="0" applyProtection="0"/>
    <xf numFmtId="0" fontId="167" fillId="0" borderId="0"/>
    <xf numFmtId="0" fontId="148" fillId="0" borderId="0"/>
    <xf numFmtId="164" fontId="77" fillId="0" borderId="0" applyFont="0" applyFill="0" applyBorder="0" applyAlignment="0" applyProtection="0"/>
    <xf numFmtId="165" fontId="77" fillId="0" borderId="0" applyFont="0" applyFill="0" applyBorder="0" applyAlignment="0" applyProtection="0"/>
    <xf numFmtId="216" fontId="51" fillId="0" borderId="0" applyFont="0" applyFill="0" applyBorder="0" applyAlignment="0" applyProtection="0"/>
    <xf numFmtId="217" fontId="51" fillId="0" borderId="0" applyFont="0" applyFill="0" applyBorder="0" applyAlignment="0" applyProtection="0"/>
    <xf numFmtId="0" fontId="168" fillId="0" borderId="0"/>
    <xf numFmtId="201" fontId="77" fillId="0" borderId="0" applyFont="0" applyFill="0" applyBorder="0" applyAlignment="0" applyProtection="0"/>
    <xf numFmtId="218" fontId="128" fillId="0" borderId="0" applyFont="0" applyFill="0" applyBorder="0" applyAlignment="0" applyProtection="0"/>
    <xf numFmtId="202" fontId="77" fillId="0" borderId="0" applyFont="0" applyFill="0" applyBorder="0" applyAlignment="0" applyProtection="0"/>
    <xf numFmtId="170" fontId="51" fillId="0" borderId="0" applyFont="0" applyFill="0" applyBorder="0" applyAlignment="0" applyProtection="0"/>
    <xf numFmtId="168" fontId="51" fillId="0" borderId="0" applyFont="0" applyFill="0" applyBorder="0" applyAlignment="0" applyProtection="0"/>
    <xf numFmtId="3" fontId="156" fillId="0" borderId="29" applyNumberFormat="0" applyBorder="0" applyAlignment="0"/>
    <xf numFmtId="178" fontId="89" fillId="23" borderId="14" applyFill="0"/>
    <xf numFmtId="0" fontId="89" fillId="0" borderId="14" applyNumberFormat="0" applyAlignment="0"/>
    <xf numFmtId="0" fontId="98" fillId="0" borderId="14" applyNumberFormat="0" applyAlignment="0"/>
    <xf numFmtId="0" fontId="89" fillId="0" borderId="15" applyNumberFormat="0" applyAlignment="0"/>
    <xf numFmtId="0" fontId="51" fillId="0" borderId="14" applyNumberFormat="0" applyFont="0" applyAlignment="0"/>
    <xf numFmtId="178" fontId="89" fillId="0" borderId="14" applyFill="0"/>
    <xf numFmtId="178" fontId="78" fillId="22" borderId="14" applyFill="0"/>
    <xf numFmtId="3" fontId="156" fillId="0" borderId="29" applyNumberFormat="0" applyBorder="0" applyAlignment="0"/>
    <xf numFmtId="178" fontId="89" fillId="23" borderId="14" applyFill="0"/>
    <xf numFmtId="0" fontId="89" fillId="0" borderId="14" applyNumberFormat="0" applyAlignment="0"/>
    <xf numFmtId="0" fontId="98" fillId="0" borderId="14" applyNumberFormat="0" applyAlignment="0"/>
    <xf numFmtId="0" fontId="51" fillId="0" borderId="14" applyNumberFormat="0" applyFont="0" applyAlignment="0"/>
    <xf numFmtId="0" fontId="89" fillId="0" borderId="15" applyNumberFormat="0" applyAlignment="0"/>
    <xf numFmtId="3" fontId="156" fillId="0" borderId="29" applyNumberFormat="0" applyBorder="0" applyAlignment="0"/>
    <xf numFmtId="178" fontId="78" fillId="22" borderId="14" applyFill="0"/>
    <xf numFmtId="3" fontId="156" fillId="0" borderId="29" applyNumberFormat="0" applyBorder="0" applyAlignment="0"/>
    <xf numFmtId="178" fontId="89" fillId="0" borderId="14" applyFill="0"/>
    <xf numFmtId="3" fontId="156" fillId="0" borderId="29" applyNumberFormat="0" applyBorder="0" applyAlignment="0"/>
    <xf numFmtId="0" fontId="18" fillId="0" borderId="0"/>
    <xf numFmtId="0" fontId="17" fillId="0" borderId="0"/>
    <xf numFmtId="171" fontId="17" fillId="0" borderId="0" applyFont="0" applyFill="0" applyBorder="0" applyAlignment="0" applyProtection="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0" fontId="17" fillId="0" borderId="0"/>
    <xf numFmtId="181" fontId="17" fillId="0" borderId="0"/>
    <xf numFmtId="181" fontId="17" fillId="0" borderId="0"/>
    <xf numFmtId="181" fontId="17" fillId="0" borderId="0"/>
    <xf numFmtId="181" fontId="17" fillId="0" borderId="0"/>
    <xf numFmtId="181" fontId="17" fillId="0" borderId="0"/>
    <xf numFmtId="0" fontId="17" fillId="0" borderId="0"/>
    <xf numFmtId="0" fontId="17" fillId="0" borderId="0"/>
    <xf numFmtId="0" fontId="17" fillId="0" borderId="0"/>
    <xf numFmtId="0" fontId="16" fillId="0" borderId="0"/>
    <xf numFmtId="0" fontId="15" fillId="0" borderId="0"/>
    <xf numFmtId="0" fontId="15" fillId="0" borderId="0"/>
    <xf numFmtId="0" fontId="14" fillId="0" borderId="0"/>
    <xf numFmtId="0" fontId="13" fillId="0" borderId="0"/>
    <xf numFmtId="0" fontId="13" fillId="0" borderId="0"/>
    <xf numFmtId="0" fontId="13" fillId="0" borderId="0"/>
    <xf numFmtId="0" fontId="12"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9" fillId="0" borderId="0"/>
    <xf numFmtId="0" fontId="51"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1"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4" fillId="0" borderId="0" applyNumberFormat="0" applyFill="0" applyBorder="0" applyAlignment="0" applyProtection="0"/>
  </cellStyleXfs>
  <cellXfs count="518">
    <xf numFmtId="0" fontId="0" fillId="0" borderId="0" xfId="0"/>
    <xf numFmtId="0" fontId="50" fillId="0" borderId="0" xfId="5"/>
    <xf numFmtId="0" fontId="50" fillId="0" borderId="0" xfId="5" applyAlignment="1">
      <alignment horizontal="center"/>
    </xf>
    <xf numFmtId="0" fontId="0" fillId="0" borderId="0" xfId="0" applyAlignment="1">
      <alignment horizontal="left"/>
    </xf>
    <xf numFmtId="0" fontId="55" fillId="2" borderId="0" xfId="0" applyFont="1" applyFill="1" applyAlignment="1">
      <alignment horizontal="center" vertical="center"/>
    </xf>
    <xf numFmtId="0" fontId="60" fillId="2" borderId="0" xfId="0" applyFont="1" applyFill="1" applyAlignment="1">
      <alignment vertical="center" wrapText="1"/>
    </xf>
    <xf numFmtId="0" fontId="61" fillId="2" borderId="0" xfId="0" applyFont="1" applyFill="1" applyAlignment="1">
      <alignment vertical="center" wrapText="1"/>
    </xf>
    <xf numFmtId="0" fontId="58" fillId="2" borderId="0" xfId="0" applyFont="1" applyFill="1"/>
    <xf numFmtId="172" fontId="58" fillId="2" borderId="0" xfId="0" applyNumberFormat="1" applyFont="1" applyFill="1"/>
    <xf numFmtId="0" fontId="62" fillId="2" borderId="0" xfId="0" applyFont="1" applyFill="1" applyAlignment="1">
      <alignment vertical="center"/>
    </xf>
    <xf numFmtId="0" fontId="59" fillId="2" borderId="0" xfId="0" applyFont="1" applyFill="1" applyAlignment="1">
      <alignment vertical="center"/>
    </xf>
    <xf numFmtId="172" fontId="59" fillId="2" borderId="0" xfId="10" applyNumberFormat="1" applyFont="1" applyFill="1" applyAlignment="1">
      <alignment vertical="center"/>
    </xf>
    <xf numFmtId="0" fontId="0" fillId="2" borderId="0" xfId="0" applyFill="1"/>
    <xf numFmtId="0" fontId="0" fillId="5" borderId="0" xfId="0" applyFill="1"/>
    <xf numFmtId="0" fontId="0" fillId="6" borderId="0" xfId="0" applyFill="1"/>
    <xf numFmtId="49" fontId="56" fillId="4" borderId="1" xfId="0" applyNumberFormat="1" applyFont="1" applyFill="1" applyBorder="1" applyAlignment="1" applyProtection="1">
      <alignment horizontal="center" vertical="center" wrapText="1"/>
    </xf>
    <xf numFmtId="172" fontId="56" fillId="4" borderId="1" xfId="1" applyNumberFormat="1" applyFont="1" applyFill="1" applyBorder="1" applyAlignment="1" applyProtection="1">
      <alignment horizontal="center" vertical="center" wrapText="1"/>
      <protection locked="0"/>
    </xf>
    <xf numFmtId="0" fontId="58" fillId="5" borderId="0" xfId="0" applyFont="1" applyFill="1"/>
    <xf numFmtId="0" fontId="60" fillId="2" borderId="0" xfId="0" applyFont="1" applyFill="1"/>
    <xf numFmtId="0" fontId="60" fillId="5" borderId="0" xfId="0" applyFont="1" applyFill="1"/>
    <xf numFmtId="172" fontId="60" fillId="2" borderId="0" xfId="1" applyNumberFormat="1" applyFont="1" applyFill="1" applyProtection="1">
      <protection locked="0"/>
    </xf>
    <xf numFmtId="0" fontId="65" fillId="2" borderId="0" xfId="0" applyFont="1" applyFill="1"/>
    <xf numFmtId="172" fontId="65" fillId="2" borderId="0" xfId="1" applyNumberFormat="1" applyFont="1" applyFill="1" applyProtection="1">
      <protection locked="0"/>
    </xf>
    <xf numFmtId="0" fontId="66" fillId="2" borderId="0" xfId="0" applyFont="1" applyFill="1"/>
    <xf numFmtId="172" fontId="66" fillId="2" borderId="0" xfId="1" applyNumberFormat="1" applyFont="1" applyFill="1" applyProtection="1">
      <protection locked="0"/>
    </xf>
    <xf numFmtId="0" fontId="60" fillId="2" borderId="6" xfId="0" applyFont="1" applyFill="1" applyBorder="1"/>
    <xf numFmtId="172" fontId="60" fillId="2" borderId="6" xfId="1" applyNumberFormat="1" applyFont="1" applyFill="1" applyBorder="1" applyProtection="1">
      <protection locked="0"/>
    </xf>
    <xf numFmtId="0" fontId="61" fillId="2" borderId="0" xfId="0" applyFont="1" applyFill="1" applyAlignment="1">
      <alignment horizontal="left" vertical="top"/>
    </xf>
    <xf numFmtId="0" fontId="58" fillId="2" borderId="0" xfId="0" applyFont="1" applyFill="1" applyAlignment="1">
      <alignment horizontal="left" vertical="top"/>
    </xf>
    <xf numFmtId="0" fontId="60" fillId="2" borderId="0" xfId="0" applyFont="1" applyFill="1" applyAlignment="1">
      <alignment horizontal="left" vertical="top"/>
    </xf>
    <xf numFmtId="172" fontId="60" fillId="2" borderId="0" xfId="1" applyNumberFormat="1" applyFont="1" applyFill="1" applyAlignment="1" applyProtection="1">
      <alignment horizontal="right"/>
    </xf>
    <xf numFmtId="10" fontId="60" fillId="2" borderId="0" xfId="4" applyNumberFormat="1" applyFont="1" applyFill="1" applyAlignment="1" applyProtection="1">
      <alignment horizontal="right"/>
    </xf>
    <xf numFmtId="172" fontId="60" fillId="2" borderId="6" xfId="1" applyNumberFormat="1" applyFont="1" applyFill="1" applyBorder="1" applyAlignment="1" applyProtection="1">
      <alignment horizontal="right"/>
    </xf>
    <xf numFmtId="10" fontId="60" fillId="2" borderId="6" xfId="4" applyNumberFormat="1" applyFont="1" applyFill="1" applyBorder="1" applyAlignment="1" applyProtection="1">
      <alignment horizontal="right"/>
    </xf>
    <xf numFmtId="0" fontId="63" fillId="2" borderId="0" xfId="3" applyNumberFormat="1" applyFont="1" applyFill="1" applyBorder="1" applyAlignment="1" applyProtection="1">
      <alignment horizontal="center" vertical="center" wrapText="1"/>
    </xf>
    <xf numFmtId="0" fontId="63" fillId="2" borderId="0" xfId="3" applyNumberFormat="1" applyFont="1" applyFill="1" applyBorder="1" applyAlignment="1" applyProtection="1">
      <alignment horizontal="left" vertical="center" wrapText="1"/>
    </xf>
    <xf numFmtId="172" fontId="63" fillId="2" borderId="0" xfId="6" applyNumberFormat="1" applyFont="1" applyFill="1" applyBorder="1" applyAlignment="1" applyProtection="1">
      <alignment horizontal="left" vertical="center" wrapText="1"/>
    </xf>
    <xf numFmtId="0" fontId="60" fillId="2" borderId="0" xfId="5" applyFont="1" applyFill="1" applyBorder="1" applyAlignment="1">
      <alignment horizontal="center"/>
    </xf>
    <xf numFmtId="49" fontId="58" fillId="2" borderId="1" xfId="3" applyNumberFormat="1" applyFont="1" applyFill="1" applyBorder="1" applyAlignment="1" applyProtection="1">
      <alignment horizontal="left" vertical="center" wrapText="1"/>
    </xf>
    <xf numFmtId="0" fontId="68" fillId="4" borderId="1" xfId="3" applyNumberFormat="1" applyFont="1" applyFill="1" applyBorder="1" applyAlignment="1" applyProtection="1">
      <alignment horizontal="center" vertical="center" wrapText="1"/>
    </xf>
    <xf numFmtId="172" fontId="68" fillId="4" borderId="1" xfId="1" applyNumberFormat="1" applyFont="1" applyFill="1" applyBorder="1" applyAlignment="1" applyProtection="1">
      <alignment horizontal="center" vertical="center" wrapText="1"/>
    </xf>
    <xf numFmtId="49" fontId="58" fillId="2" borderId="1" xfId="3" applyNumberFormat="1" applyFont="1" applyFill="1" applyBorder="1" applyAlignment="1" applyProtection="1">
      <alignment horizontal="center" vertical="center" wrapText="1"/>
    </xf>
    <xf numFmtId="49" fontId="58" fillId="5" borderId="1" xfId="3" applyNumberFormat="1" applyFont="1" applyFill="1" applyBorder="1" applyAlignment="1" applyProtection="1">
      <alignment horizontal="center" vertical="center" wrapText="1"/>
    </xf>
    <xf numFmtId="172" fontId="58" fillId="5" borderId="1" xfId="6" applyNumberFormat="1" applyFont="1" applyFill="1" applyBorder="1" applyAlignment="1" applyProtection="1">
      <alignment horizontal="left" vertical="center" wrapText="1"/>
    </xf>
    <xf numFmtId="0" fontId="50" fillId="5" borderId="0" xfId="5" applyFill="1"/>
    <xf numFmtId="0" fontId="0" fillId="2" borderId="6" xfId="0" applyFill="1" applyBorder="1"/>
    <xf numFmtId="0" fontId="50" fillId="2" borderId="0" xfId="5" applyFill="1"/>
    <xf numFmtId="0" fontId="50" fillId="2" borderId="0" xfId="5" applyFill="1" applyBorder="1"/>
    <xf numFmtId="0" fontId="65" fillId="2" borderId="0" xfId="0" applyFont="1" applyFill="1" applyBorder="1"/>
    <xf numFmtId="0" fontId="60" fillId="2" borderId="0" xfId="0" applyFont="1" applyFill="1" applyBorder="1"/>
    <xf numFmtId="172" fontId="60" fillId="2" borderId="0" xfId="1" applyNumberFormat="1" applyFont="1" applyFill="1" applyBorder="1" applyProtection="1">
      <protection locked="0"/>
    </xf>
    <xf numFmtId="172" fontId="65" fillId="2" borderId="0" xfId="1" applyNumberFormat="1" applyFont="1" applyFill="1" applyBorder="1" applyProtection="1">
      <protection locked="0"/>
    </xf>
    <xf numFmtId="0" fontId="66" fillId="2" borderId="0" xfId="0" applyFont="1" applyFill="1" applyBorder="1"/>
    <xf numFmtId="172" fontId="66" fillId="2" borderId="0" xfId="1" applyNumberFormat="1" applyFont="1" applyFill="1" applyBorder="1" applyProtection="1">
      <protection locked="0"/>
    </xf>
    <xf numFmtId="0" fontId="60" fillId="2" borderId="0" xfId="5" applyFont="1" applyFill="1" applyBorder="1"/>
    <xf numFmtId="172" fontId="0" fillId="5" borderId="0" xfId="6" applyNumberFormat="1" applyFont="1" applyFill="1"/>
    <xf numFmtId="172" fontId="58" fillId="2" borderId="1" xfId="1" applyNumberFormat="1" applyFont="1" applyFill="1" applyBorder="1" applyAlignment="1">
      <alignment horizontal="left" vertical="center" wrapText="1"/>
      <protection locked="0"/>
    </xf>
    <xf numFmtId="172" fontId="58" fillId="2" borderId="1" xfId="1" applyNumberFormat="1" applyFont="1" applyFill="1" applyBorder="1" applyAlignment="1">
      <alignment horizontal="center" vertical="center" wrapText="1"/>
      <protection locked="0"/>
    </xf>
    <xf numFmtId="0" fontId="65" fillId="5" borderId="1" xfId="0" applyFont="1" applyFill="1" applyBorder="1" applyAlignment="1">
      <alignment horizontal="center" vertical="center"/>
    </xf>
    <xf numFmtId="0" fontId="60" fillId="2" borderId="1" xfId="5" applyFont="1" applyFill="1" applyBorder="1" applyAlignment="1">
      <alignment horizontal="center" vertical="center"/>
    </xf>
    <xf numFmtId="0" fontId="65" fillId="5" borderId="1" xfId="5" applyFont="1" applyFill="1" applyBorder="1" applyAlignment="1">
      <alignment horizontal="center" vertical="center"/>
    </xf>
    <xf numFmtId="0" fontId="50" fillId="2" borderId="0" xfId="5" applyFill="1" applyAlignment="1">
      <alignment horizontal="center"/>
    </xf>
    <xf numFmtId="0" fontId="50" fillId="2" borderId="0" xfId="5" applyFill="1" applyBorder="1" applyAlignment="1">
      <alignment horizontal="center"/>
    </xf>
    <xf numFmtId="0" fontId="58" fillId="2" borderId="0" xfId="0" applyFont="1" applyFill="1" applyBorder="1" applyAlignment="1">
      <alignment horizontal="left"/>
    </xf>
    <xf numFmtId="0" fontId="60" fillId="2" borderId="0" xfId="0" applyFont="1" applyFill="1" applyBorder="1" applyAlignment="1">
      <alignment horizontal="left"/>
    </xf>
    <xf numFmtId="0" fontId="60" fillId="5" borderId="0" xfId="5" applyFont="1" applyFill="1"/>
    <xf numFmtId="0" fontId="0" fillId="2" borderId="0" xfId="0" applyFill="1" applyAlignment="1">
      <alignment horizontal="left"/>
    </xf>
    <xf numFmtId="0" fontId="58" fillId="2" borderId="0" xfId="0" applyFont="1" applyFill="1" applyAlignment="1">
      <alignment horizontal="left"/>
    </xf>
    <xf numFmtId="0" fontId="60" fillId="2" borderId="0" xfId="5" applyFont="1" applyFill="1"/>
    <xf numFmtId="0" fontId="60" fillId="2" borderId="1" xfId="5" applyFont="1" applyFill="1" applyBorder="1"/>
    <xf numFmtId="0" fontId="60" fillId="2" borderId="1" xfId="5" applyFont="1" applyFill="1" applyBorder="1" applyAlignment="1">
      <alignment vertical="center" wrapText="1"/>
    </xf>
    <xf numFmtId="169" fontId="60" fillId="2" borderId="1" xfId="5" applyNumberFormat="1" applyFont="1" applyFill="1" applyBorder="1" applyAlignment="1">
      <alignment vertical="center" wrapText="1"/>
    </xf>
    <xf numFmtId="10" fontId="60" fillId="2" borderId="1" xfId="5" applyNumberFormat="1" applyFont="1" applyFill="1" applyBorder="1"/>
    <xf numFmtId="0" fontId="60" fillId="2" borderId="0" xfId="5" applyFont="1" applyFill="1" applyAlignment="1">
      <alignment horizontal="center"/>
    </xf>
    <xf numFmtId="0" fontId="65" fillId="4" borderId="1" xfId="5" applyFont="1" applyFill="1" applyBorder="1" applyAlignment="1">
      <alignment horizontal="center" vertical="center" wrapText="1"/>
    </xf>
    <xf numFmtId="0" fontId="50" fillId="2" borderId="6" xfId="5" applyFill="1" applyBorder="1"/>
    <xf numFmtId="0" fontId="50" fillId="5" borderId="0" xfId="5" applyFill="1" applyAlignment="1">
      <alignment horizontal="center"/>
    </xf>
    <xf numFmtId="0" fontId="58" fillId="6" borderId="0" xfId="0" applyFont="1" applyFill="1"/>
    <xf numFmtId="0" fontId="59" fillId="2" borderId="0" xfId="0" applyFont="1" applyFill="1" applyAlignment="1">
      <alignment vertical="center" wrapText="1"/>
    </xf>
    <xf numFmtId="172" fontId="0" fillId="5" borderId="0" xfId="1" applyNumberFormat="1" applyFont="1" applyFill="1">
      <protection locked="0"/>
    </xf>
    <xf numFmtId="0" fontId="59" fillId="2" borderId="0" xfId="0" applyFont="1" applyFill="1" applyAlignment="1">
      <alignment horizontal="left" vertical="top"/>
    </xf>
    <xf numFmtId="0" fontId="60" fillId="2" borderId="0" xfId="5" applyFont="1" applyFill="1" applyAlignment="1"/>
    <xf numFmtId="0" fontId="59" fillId="2" borderId="0" xfId="0" applyFont="1" applyFill="1" applyAlignment="1">
      <alignment horizontal="left" vertical="top" wrapText="1"/>
    </xf>
    <xf numFmtId="0" fontId="60" fillId="2" borderId="0" xfId="0" applyFont="1" applyFill="1" applyBorder="1" applyAlignment="1">
      <alignment horizontal="left" vertical="center" wrapText="1"/>
    </xf>
    <xf numFmtId="0" fontId="57" fillId="2" borderId="0" xfId="0" applyFont="1" applyFill="1" applyAlignment="1">
      <alignment horizontal="left" vertical="center" wrapText="1"/>
    </xf>
    <xf numFmtId="0" fontId="57" fillId="2" borderId="0" xfId="0" applyFont="1" applyFill="1" applyAlignment="1">
      <alignment vertical="center" wrapText="1"/>
    </xf>
    <xf numFmtId="0" fontId="57" fillId="2" borderId="0" xfId="0" applyFont="1" applyFill="1" applyAlignment="1">
      <alignment vertical="top" wrapText="1"/>
    </xf>
    <xf numFmtId="0" fontId="58" fillId="2" borderId="0" xfId="0" applyFont="1" applyFill="1" applyAlignment="1">
      <alignment vertical="top" wrapText="1"/>
    </xf>
    <xf numFmtId="0" fontId="60" fillId="2" borderId="0" xfId="0" applyFont="1" applyFill="1" applyAlignment="1">
      <alignment vertical="top" wrapText="1"/>
    </xf>
    <xf numFmtId="0" fontId="59" fillId="2" borderId="0" xfId="0" applyFont="1" applyFill="1" applyAlignment="1">
      <alignment vertical="top" wrapText="1"/>
    </xf>
    <xf numFmtId="0" fontId="61" fillId="2" borderId="0" xfId="0" applyFont="1" applyFill="1" applyAlignment="1">
      <alignment vertical="top" wrapText="1"/>
    </xf>
    <xf numFmtId="0" fontId="58" fillId="2" borderId="0" xfId="0" applyFont="1" applyFill="1" applyAlignment="1">
      <alignment vertical="top"/>
    </xf>
    <xf numFmtId="0" fontId="60" fillId="2" borderId="0" xfId="0" applyFont="1" applyFill="1" applyBorder="1" applyAlignment="1">
      <alignment vertical="center" wrapText="1"/>
    </xf>
    <xf numFmtId="0" fontId="73" fillId="0" borderId="0" xfId="0" applyFont="1"/>
    <xf numFmtId="0" fontId="49" fillId="2" borderId="0" xfId="5" applyFont="1" applyFill="1"/>
    <xf numFmtId="172" fontId="56" fillId="5" borderId="1" xfId="1" applyNumberFormat="1" applyFont="1" applyFill="1" applyBorder="1" applyAlignment="1">
      <alignment horizontal="left" vertical="center" wrapText="1"/>
      <protection locked="0"/>
    </xf>
    <xf numFmtId="172" fontId="56" fillId="5" borderId="1" xfId="1" applyNumberFormat="1" applyFont="1" applyFill="1" applyBorder="1" applyAlignment="1">
      <alignment horizontal="center" vertical="center" wrapText="1"/>
      <protection locked="0"/>
    </xf>
    <xf numFmtId="0" fontId="74" fillId="2" borderId="0" xfId="0" applyFont="1" applyFill="1"/>
    <xf numFmtId="0" fontId="76" fillId="2" borderId="0" xfId="5" applyFont="1" applyFill="1" applyAlignment="1">
      <alignment horizontal="center"/>
    </xf>
    <xf numFmtId="0" fontId="76" fillId="2" borderId="0" xfId="5" applyFont="1" applyFill="1"/>
    <xf numFmtId="172" fontId="0" fillId="2" borderId="0" xfId="6" applyNumberFormat="1" applyFont="1" applyFill="1"/>
    <xf numFmtId="0" fontId="58" fillId="0" borderId="1" xfId="2" applyNumberFormat="1" applyFont="1" applyFill="1" applyBorder="1" applyAlignment="1" applyProtection="1">
      <alignment horizontal="center" vertical="center" wrapText="1"/>
    </xf>
    <xf numFmtId="0" fontId="60" fillId="0" borderId="1" xfId="0" applyFont="1" applyFill="1" applyBorder="1" applyAlignment="1">
      <alignment horizontal="center" vertical="center"/>
    </xf>
    <xf numFmtId="49" fontId="58" fillId="0" borderId="1" xfId="3" applyNumberFormat="1" applyFont="1" applyFill="1" applyBorder="1" applyAlignment="1" applyProtection="1">
      <alignment horizontal="center" vertical="center" wrapText="1"/>
    </xf>
    <xf numFmtId="0" fontId="60" fillId="0" borderId="1" xfId="5" applyFont="1" applyFill="1" applyBorder="1" applyAlignment="1">
      <alignment horizontal="center" vertical="center"/>
    </xf>
    <xf numFmtId="0" fontId="58" fillId="0" borderId="1" xfId="2" applyNumberFormat="1" applyFont="1" applyFill="1" applyBorder="1" applyAlignment="1" applyProtection="1">
      <alignment horizontal="left" vertical="center" wrapText="1"/>
    </xf>
    <xf numFmtId="0" fontId="58" fillId="2" borderId="1" xfId="2" applyNumberFormat="1" applyFont="1" applyFill="1" applyBorder="1" applyAlignment="1" applyProtection="1">
      <alignment horizontal="left" vertical="center" wrapText="1"/>
    </xf>
    <xf numFmtId="49" fontId="63" fillId="2" borderId="1" xfId="0" applyNumberFormat="1" applyFont="1" applyFill="1" applyBorder="1" applyAlignment="1" applyProtection="1">
      <alignment horizontal="left" vertical="center" wrapText="1"/>
    </xf>
    <xf numFmtId="0" fontId="0" fillId="0" borderId="0" xfId="0" applyFill="1"/>
    <xf numFmtId="49" fontId="58" fillId="0" borderId="1" xfId="3" applyNumberFormat="1" applyFont="1" applyFill="1" applyBorder="1" applyAlignment="1" applyProtection="1">
      <alignment horizontal="left" vertical="center" wrapText="1"/>
    </xf>
    <xf numFmtId="172" fontId="58" fillId="0" borderId="1" xfId="1" applyNumberFormat="1" applyFont="1" applyFill="1" applyBorder="1" applyAlignment="1">
      <alignment horizontal="left" vertical="center" wrapText="1"/>
      <protection locked="0"/>
    </xf>
    <xf numFmtId="0" fontId="60" fillId="0" borderId="0" xfId="5" applyFont="1" applyFill="1"/>
    <xf numFmtId="0" fontId="50" fillId="6" borderId="0" xfId="5" applyFill="1"/>
    <xf numFmtId="169" fontId="58" fillId="2" borderId="0" xfId="0" applyNumberFormat="1" applyFont="1" applyFill="1"/>
    <xf numFmtId="172" fontId="58" fillId="2" borderId="0" xfId="1" applyNumberFormat="1" applyFont="1" applyFill="1">
      <protection locked="0"/>
    </xf>
    <xf numFmtId="172" fontId="58" fillId="0" borderId="1" xfId="1" applyNumberFormat="1" applyFont="1" applyFill="1" applyBorder="1" applyAlignment="1">
      <alignment horizontal="center" vertical="center" wrapText="1"/>
      <protection locked="0"/>
    </xf>
    <xf numFmtId="172" fontId="58" fillId="5" borderId="0" xfId="0" applyNumberFormat="1" applyFont="1" applyFill="1"/>
    <xf numFmtId="0" fontId="58" fillId="0" borderId="1" xfId="5" applyFont="1" applyFill="1" applyBorder="1" applyAlignment="1">
      <alignment horizontal="center" vertical="center"/>
    </xf>
    <xf numFmtId="0" fontId="79" fillId="5" borderId="0" xfId="5" applyFont="1" applyFill="1"/>
    <xf numFmtId="172" fontId="55" fillId="0" borderId="1" xfId="1" applyNumberFormat="1" applyFont="1" applyFill="1" applyBorder="1" applyAlignment="1">
      <alignment horizontal="left" vertical="center" wrapText="1"/>
      <protection locked="0"/>
    </xf>
    <xf numFmtId="0" fontId="66" fillId="0" borderId="1" xfId="5" applyFont="1" applyFill="1" applyBorder="1" applyAlignment="1">
      <alignment horizontal="center" vertical="center"/>
    </xf>
    <xf numFmtId="10" fontId="60" fillId="2" borderId="0" xfId="4" applyNumberFormat="1" applyFont="1" applyFill="1">
      <protection locked="0"/>
    </xf>
    <xf numFmtId="0" fontId="81" fillId="5" borderId="0" xfId="0" applyFont="1" applyFill="1"/>
    <xf numFmtId="0" fontId="0" fillId="4" borderId="0" xfId="0" applyFill="1"/>
    <xf numFmtId="0" fontId="60" fillId="0" borderId="1" xfId="2" applyNumberFormat="1" applyFont="1" applyFill="1" applyBorder="1" applyAlignment="1" applyProtection="1">
      <alignment horizontal="center" vertical="center" wrapText="1"/>
    </xf>
    <xf numFmtId="0" fontId="65" fillId="5" borderId="1" xfId="2" applyNumberFormat="1" applyFont="1" applyFill="1" applyBorder="1" applyAlignment="1" applyProtection="1">
      <alignment horizontal="left" vertical="center" wrapText="1"/>
    </xf>
    <xf numFmtId="0" fontId="60" fillId="0" borderId="1" xfId="2" applyNumberFormat="1" applyFont="1" applyFill="1" applyBorder="1" applyAlignment="1" applyProtection="1">
      <alignment horizontal="left" vertical="center" wrapText="1"/>
    </xf>
    <xf numFmtId="0" fontId="60" fillId="2" borderId="1" xfId="2" applyNumberFormat="1" applyFont="1" applyFill="1" applyBorder="1" applyAlignment="1" applyProtection="1">
      <alignment horizontal="center" vertical="center" wrapText="1"/>
    </xf>
    <xf numFmtId="0" fontId="65" fillId="5" borderId="1" xfId="2" applyNumberFormat="1" applyFont="1" applyFill="1" applyBorder="1" applyAlignment="1" applyProtection="1">
      <alignment horizontal="center" vertical="center" wrapText="1"/>
    </xf>
    <xf numFmtId="0" fontId="56" fillId="3" borderId="1" xfId="2" applyNumberFormat="1" applyFont="1" applyFill="1" applyBorder="1" applyAlignment="1" applyProtection="1">
      <alignment horizontal="left" vertical="center" wrapText="1"/>
    </xf>
    <xf numFmtId="172" fontId="56" fillId="3" borderId="1" xfId="1" applyNumberFormat="1" applyFont="1" applyFill="1" applyBorder="1" applyAlignment="1" applyProtection="1">
      <alignment horizontal="left" vertical="center" wrapText="1"/>
      <protection locked="0"/>
    </xf>
    <xf numFmtId="172" fontId="58" fillId="0" borderId="1" xfId="1" applyNumberFormat="1" applyFont="1" applyFill="1" applyBorder="1" applyAlignment="1" applyProtection="1">
      <alignment horizontal="left" vertical="center"/>
      <protection locked="0"/>
    </xf>
    <xf numFmtId="172" fontId="58" fillId="0" borderId="1" xfId="1" applyNumberFormat="1" applyFont="1" applyFill="1" applyBorder="1" applyAlignment="1" applyProtection="1">
      <alignment vertical="center" wrapText="1"/>
      <protection locked="0"/>
    </xf>
    <xf numFmtId="169" fontId="58" fillId="0" borderId="1" xfId="1" applyNumberFormat="1" applyFont="1" applyBorder="1" applyAlignment="1" applyProtection="1">
      <alignment vertical="center"/>
    </xf>
    <xf numFmtId="171" fontId="56" fillId="3" borderId="1" xfId="1" applyNumberFormat="1" applyFont="1" applyFill="1" applyBorder="1" applyAlignment="1" applyProtection="1">
      <alignment horizontal="right" vertical="center" wrapText="1"/>
      <protection locked="0"/>
    </xf>
    <xf numFmtId="169" fontId="56" fillId="3" borderId="1" xfId="2" applyNumberFormat="1" applyFont="1" applyFill="1" applyBorder="1" applyAlignment="1" applyProtection="1">
      <alignment vertical="center" wrapText="1"/>
    </xf>
    <xf numFmtId="169" fontId="58" fillId="3" borderId="1" xfId="2" applyNumberFormat="1" applyFont="1" applyFill="1" applyBorder="1" applyAlignment="1" applyProtection="1">
      <alignment vertical="center" wrapText="1"/>
    </xf>
    <xf numFmtId="0" fontId="58" fillId="3" borderId="1" xfId="2" applyNumberFormat="1" applyFont="1" applyFill="1" applyBorder="1" applyAlignment="1" applyProtection="1">
      <alignment horizontal="center" vertical="center" wrapText="1"/>
    </xf>
    <xf numFmtId="49" fontId="56" fillId="2" borderId="1" xfId="0" applyNumberFormat="1" applyFont="1" applyFill="1" applyBorder="1" applyAlignment="1" applyProtection="1">
      <alignment horizontal="center" vertical="center" wrapText="1"/>
    </xf>
    <xf numFmtId="49" fontId="56" fillId="5" borderId="1" xfId="3" applyNumberFormat="1" applyFont="1" applyFill="1" applyBorder="1" applyAlignment="1" applyProtection="1">
      <alignment horizontal="left" vertical="center" wrapText="1"/>
    </xf>
    <xf numFmtId="169" fontId="58" fillId="0" borderId="1" xfId="5" applyNumberFormat="1" applyFont="1" applyFill="1" applyBorder="1" applyAlignment="1" applyProtection="1">
      <alignment horizontal="right" vertical="center" wrapText="1"/>
    </xf>
    <xf numFmtId="169" fontId="56" fillId="5" borderId="1" xfId="5" applyNumberFormat="1" applyFont="1" applyFill="1" applyBorder="1" applyAlignment="1" applyProtection="1">
      <alignment horizontal="right" vertical="center" wrapText="1"/>
    </xf>
    <xf numFmtId="169" fontId="58" fillId="5" borderId="1" xfId="5" applyNumberFormat="1" applyFont="1" applyFill="1" applyBorder="1" applyAlignment="1" applyProtection="1">
      <alignment horizontal="right" vertical="center" wrapText="1"/>
    </xf>
    <xf numFmtId="169" fontId="58" fillId="2" borderId="1" xfId="5" applyNumberFormat="1" applyFont="1" applyFill="1" applyBorder="1" applyAlignment="1" applyProtection="1">
      <alignment horizontal="right" vertical="center" wrapText="1"/>
    </xf>
    <xf numFmtId="173" fontId="58" fillId="2" borderId="1" xfId="5" applyNumberFormat="1" applyFont="1" applyFill="1" applyBorder="1" applyAlignment="1" applyProtection="1">
      <alignment horizontal="right" vertical="center" wrapText="1"/>
    </xf>
    <xf numFmtId="0" fontId="58" fillId="2" borderId="1" xfId="3" applyFont="1" applyFill="1" applyBorder="1" applyAlignment="1" applyProtection="1">
      <alignment horizontal="left" vertical="center" wrapText="1"/>
    </xf>
    <xf numFmtId="0" fontId="65" fillId="3" borderId="1" xfId="2" applyNumberFormat="1" applyFont="1" applyFill="1" applyBorder="1" applyAlignment="1" applyProtection="1">
      <alignment horizontal="center" vertical="center" wrapText="1"/>
    </xf>
    <xf numFmtId="0" fontId="65" fillId="3" borderId="1" xfId="2" applyNumberFormat="1" applyFont="1" applyFill="1" applyBorder="1" applyAlignment="1" applyProtection="1">
      <alignment vertical="center" wrapText="1"/>
    </xf>
    <xf numFmtId="171" fontId="65" fillId="3" borderId="1" xfId="1" applyNumberFormat="1" applyFont="1" applyFill="1" applyBorder="1" applyAlignment="1" applyProtection="1">
      <alignment vertical="center"/>
      <protection locked="0"/>
    </xf>
    <xf numFmtId="0" fontId="65" fillId="5" borderId="1" xfId="2" applyNumberFormat="1" applyFont="1" applyFill="1" applyBorder="1" applyAlignment="1" applyProtection="1">
      <alignment vertical="center" wrapText="1"/>
    </xf>
    <xf numFmtId="172" fontId="65" fillId="5" borderId="1" xfId="8" applyNumberFormat="1" applyFont="1" applyFill="1" applyBorder="1" applyAlignment="1" applyProtection="1">
      <alignment vertical="center"/>
      <protection locked="0"/>
    </xf>
    <xf numFmtId="0" fontId="60" fillId="0" borderId="1" xfId="2" applyNumberFormat="1" applyFont="1" applyFill="1" applyBorder="1" applyAlignment="1" applyProtection="1">
      <alignment vertical="center" wrapText="1"/>
    </xf>
    <xf numFmtId="172" fontId="60" fillId="2" borderId="1" xfId="8" applyNumberFormat="1" applyFont="1" applyFill="1" applyBorder="1" applyAlignment="1" applyProtection="1">
      <alignment horizontal="left" vertical="center" wrapText="1"/>
      <protection locked="0"/>
    </xf>
    <xf numFmtId="0" fontId="50" fillId="5" borderId="0" xfId="5" applyFill="1" applyAlignment="1">
      <alignment vertical="center"/>
    </xf>
    <xf numFmtId="10" fontId="65" fillId="4" borderId="1" xfId="4" applyNumberFormat="1" applyFont="1" applyFill="1" applyBorder="1" applyAlignment="1" applyProtection="1">
      <alignment horizontal="center" vertical="center" wrapText="1"/>
    </xf>
    <xf numFmtId="0" fontId="60" fillId="7" borderId="1" xfId="2" applyNumberFormat="1" applyFont="1" applyFill="1" applyBorder="1" applyAlignment="1" applyProtection="1">
      <alignment horizontal="center" vertical="center" wrapText="1"/>
    </xf>
    <xf numFmtId="0" fontId="60" fillId="7" borderId="1" xfId="2" applyNumberFormat="1" applyFont="1" applyFill="1" applyBorder="1" applyAlignment="1" applyProtection="1">
      <alignment horizontal="left" vertical="center" wrapText="1"/>
    </xf>
    <xf numFmtId="0" fontId="60" fillId="2" borderId="1" xfId="5" applyNumberFormat="1" applyFont="1" applyFill="1" applyBorder="1" applyAlignment="1" applyProtection="1">
      <alignment horizontal="center" vertical="center" wrapText="1"/>
    </xf>
    <xf numFmtId="0" fontId="60" fillId="9" borderId="1" xfId="2" applyNumberFormat="1" applyFont="1" applyFill="1" applyBorder="1" applyAlignment="1" applyProtection="1">
      <alignment horizontal="center" vertical="center" wrapText="1"/>
    </xf>
    <xf numFmtId="0" fontId="60" fillId="9" borderId="1" xfId="2" applyNumberFormat="1" applyFont="1" applyFill="1" applyBorder="1" applyAlignment="1" applyProtection="1">
      <alignment horizontal="left" vertical="center" wrapText="1"/>
    </xf>
    <xf numFmtId="0" fontId="60" fillId="7" borderId="1" xfId="5" applyNumberFormat="1" applyFont="1" applyFill="1" applyBorder="1" applyAlignment="1" applyProtection="1">
      <alignment horizontal="center" vertical="center" wrapText="1"/>
    </xf>
    <xf numFmtId="0" fontId="65" fillId="8" borderId="1" xfId="2" applyNumberFormat="1" applyFont="1" applyFill="1" applyBorder="1" applyAlignment="1" applyProtection="1">
      <alignment horizontal="center" vertical="center" wrapText="1"/>
    </xf>
    <xf numFmtId="172" fontId="60" fillId="5" borderId="1" xfId="6" applyNumberFormat="1" applyFont="1" applyFill="1" applyBorder="1" applyAlignment="1">
      <alignment vertical="center"/>
    </xf>
    <xf numFmtId="171" fontId="60" fillId="5" borderId="1" xfId="6" applyNumberFormat="1" applyFont="1" applyFill="1" applyBorder="1" applyAlignment="1">
      <alignment vertical="center"/>
    </xf>
    <xf numFmtId="172" fontId="60" fillId="2" borderId="1" xfId="6" applyNumberFormat="1" applyFont="1" applyFill="1" applyBorder="1" applyAlignment="1">
      <alignment vertical="center"/>
    </xf>
    <xf numFmtId="10" fontId="60" fillId="0" borderId="1" xfId="4" applyNumberFormat="1" applyFont="1" applyFill="1" applyBorder="1" applyAlignment="1">
      <alignment horizontal="right" vertical="center"/>
      <protection locked="0"/>
    </xf>
    <xf numFmtId="10" fontId="60" fillId="2" borderId="1" xfId="4" applyNumberFormat="1" applyFont="1" applyFill="1" applyBorder="1" applyAlignment="1">
      <alignment horizontal="right" vertical="center"/>
      <protection locked="0"/>
    </xf>
    <xf numFmtId="172" fontId="60" fillId="7" borderId="1" xfId="6" applyNumberFormat="1" applyFont="1" applyFill="1" applyBorder="1" applyAlignment="1">
      <alignment vertical="center"/>
    </xf>
    <xf numFmtId="9" fontId="60" fillId="5" borderId="1" xfId="7" applyFont="1" applyFill="1" applyBorder="1" applyAlignment="1">
      <alignment vertical="center"/>
    </xf>
    <xf numFmtId="10" fontId="60" fillId="7" borderId="1" xfId="4" applyNumberFormat="1" applyFont="1" applyFill="1" applyBorder="1" applyAlignment="1">
      <alignment horizontal="right" vertical="center"/>
      <protection locked="0"/>
    </xf>
    <xf numFmtId="172" fontId="60" fillId="9" borderId="1" xfId="6" applyNumberFormat="1" applyFont="1" applyFill="1" applyBorder="1" applyAlignment="1">
      <alignment vertical="center"/>
    </xf>
    <xf numFmtId="10" fontId="60" fillId="9" borderId="1" xfId="4" applyNumberFormat="1" applyFont="1" applyFill="1" applyBorder="1" applyAlignment="1">
      <alignment vertical="center"/>
      <protection locked="0"/>
    </xf>
    <xf numFmtId="9" fontId="60" fillId="5" borderId="1" xfId="7" applyFont="1" applyFill="1" applyBorder="1" applyAlignment="1">
      <alignment horizontal="right" vertical="center"/>
    </xf>
    <xf numFmtId="172" fontId="65" fillId="5" borderId="1" xfId="6" applyNumberFormat="1" applyFont="1" applyFill="1" applyBorder="1" applyAlignment="1">
      <alignment vertical="center"/>
    </xf>
    <xf numFmtId="10" fontId="65" fillId="5" borderId="1" xfId="7" applyNumberFormat="1" applyFont="1" applyFill="1" applyBorder="1" applyAlignment="1">
      <alignment horizontal="right" vertical="center"/>
    </xf>
    <xf numFmtId="9" fontId="65" fillId="5" borderId="1" xfId="7" applyFont="1" applyFill="1" applyBorder="1" applyAlignment="1">
      <alignment vertical="center"/>
    </xf>
    <xf numFmtId="0" fontId="65" fillId="8" borderId="1" xfId="2" applyNumberFormat="1" applyFont="1" applyFill="1" applyBorder="1" applyAlignment="1" applyProtection="1">
      <alignment horizontal="left" vertical="center" wrapText="1"/>
    </xf>
    <xf numFmtId="172" fontId="60" fillId="8" borderId="1" xfId="6" applyNumberFormat="1" applyFont="1" applyFill="1" applyBorder="1" applyAlignment="1">
      <alignment vertical="center"/>
    </xf>
    <xf numFmtId="9" fontId="60" fillId="8" borderId="1" xfId="7" applyFont="1" applyFill="1" applyBorder="1" applyAlignment="1">
      <alignment vertical="center"/>
    </xf>
    <xf numFmtId="172" fontId="60" fillId="0" borderId="1" xfId="6" applyNumberFormat="1" applyFont="1" applyFill="1" applyBorder="1" applyAlignment="1">
      <alignment vertical="center"/>
    </xf>
    <xf numFmtId="49" fontId="60" fillId="2" borderId="1" xfId="5" applyNumberFormat="1" applyFont="1" applyFill="1" applyBorder="1" applyAlignment="1" applyProtection="1">
      <alignment horizontal="center" vertical="center" wrapText="1"/>
    </xf>
    <xf numFmtId="49" fontId="60" fillId="2" borderId="1" xfId="5" applyNumberFormat="1" applyFont="1" applyFill="1" applyBorder="1" applyAlignment="1" applyProtection="1">
      <alignment horizontal="left" vertical="center" wrapText="1"/>
    </xf>
    <xf numFmtId="10" fontId="60" fillId="2" borderId="1" xfId="5" applyNumberFormat="1" applyFont="1" applyFill="1" applyBorder="1" applyAlignment="1" applyProtection="1">
      <alignment horizontal="left" vertical="center" wrapText="1"/>
    </xf>
    <xf numFmtId="14" fontId="65" fillId="2" borderId="1" xfId="5" applyNumberFormat="1" applyFont="1" applyFill="1" applyBorder="1" applyAlignment="1" applyProtection="1">
      <alignment horizontal="left" vertical="center" wrapText="1"/>
    </xf>
    <xf numFmtId="10" fontId="65" fillId="2" borderId="1" xfId="5" applyNumberFormat="1" applyFont="1" applyFill="1" applyBorder="1" applyAlignment="1" applyProtection="1">
      <alignment horizontal="left" vertical="center" wrapText="1"/>
    </xf>
    <xf numFmtId="0" fontId="60" fillId="2" borderId="1" xfId="5" applyNumberFormat="1" applyFont="1" applyFill="1" applyBorder="1" applyAlignment="1" applyProtection="1">
      <alignment horizontal="right" vertical="center" wrapText="1"/>
    </xf>
    <xf numFmtId="0" fontId="76" fillId="2" borderId="0" xfId="5" applyFont="1" applyFill="1" applyAlignment="1">
      <alignment horizontal="center" vertical="center"/>
    </xf>
    <xf numFmtId="0" fontId="76" fillId="2" borderId="0" xfId="5" applyFont="1" applyFill="1" applyAlignment="1">
      <alignment vertical="center"/>
    </xf>
    <xf numFmtId="0" fontId="50" fillId="2" borderId="0" xfId="5" applyFill="1" applyAlignment="1">
      <alignment vertical="center"/>
    </xf>
    <xf numFmtId="0" fontId="65" fillId="4" borderId="1" xfId="0" applyNumberFormat="1" applyFont="1" applyFill="1" applyBorder="1" applyAlignment="1" applyProtection="1">
      <alignment horizontal="center" vertical="center" wrapText="1"/>
    </xf>
    <xf numFmtId="49" fontId="60" fillId="5" borderId="1" xfId="5" applyNumberFormat="1" applyFont="1" applyFill="1" applyBorder="1" applyAlignment="1" applyProtection="1">
      <alignment horizontal="center" vertical="center" wrapText="1"/>
    </xf>
    <xf numFmtId="0" fontId="60" fillId="5" borderId="1" xfId="5" applyNumberFormat="1" applyFont="1" applyFill="1" applyBorder="1" applyAlignment="1" applyProtection="1">
      <alignment horizontal="left" vertical="center" wrapText="1"/>
    </xf>
    <xf numFmtId="0" fontId="65" fillId="5" borderId="1" xfId="0" applyNumberFormat="1" applyFont="1" applyFill="1" applyBorder="1" applyAlignment="1" applyProtection="1">
      <alignment horizontal="left" vertical="center" wrapText="1"/>
    </xf>
    <xf numFmtId="0" fontId="60" fillId="2" borderId="1" xfId="0" applyNumberFormat="1" applyFont="1" applyFill="1" applyBorder="1" applyAlignment="1" applyProtection="1">
      <alignment horizontal="left" vertical="center" wrapText="1"/>
    </xf>
    <xf numFmtId="10" fontId="60" fillId="2" borderId="1" xfId="6" applyNumberFormat="1" applyFont="1" applyFill="1" applyBorder="1" applyAlignment="1" applyProtection="1">
      <alignment horizontal="right" vertical="center" wrapText="1"/>
    </xf>
    <xf numFmtId="10" fontId="60" fillId="0" borderId="1" xfId="6" applyNumberFormat="1" applyFont="1" applyFill="1" applyBorder="1" applyAlignment="1" applyProtection="1">
      <alignment horizontal="right" vertical="center" wrapText="1"/>
    </xf>
    <xf numFmtId="172" fontId="60" fillId="5" borderId="1" xfId="6" applyNumberFormat="1" applyFont="1" applyFill="1" applyBorder="1" applyAlignment="1" applyProtection="1">
      <alignment horizontal="left" vertical="center" wrapText="1"/>
    </xf>
    <xf numFmtId="172" fontId="60" fillId="2" borderId="1" xfId="6" applyNumberFormat="1" applyFont="1" applyFill="1" applyBorder="1" applyAlignment="1" applyProtection="1">
      <alignment horizontal="left" vertical="center" wrapText="1"/>
    </xf>
    <xf numFmtId="171" fontId="60" fillId="2" borderId="1" xfId="1" applyFont="1" applyFill="1" applyBorder="1" applyAlignment="1">
      <alignment horizontal="left" vertical="center" wrapText="1"/>
      <protection locked="0"/>
    </xf>
    <xf numFmtId="171" fontId="60" fillId="0" borderId="1" xfId="1" applyFont="1" applyFill="1" applyBorder="1" applyAlignment="1">
      <alignment horizontal="right" vertical="center" wrapText="1"/>
      <protection locked="0"/>
    </xf>
    <xf numFmtId="172" fontId="0" fillId="2" borderId="0" xfId="6" applyNumberFormat="1" applyFont="1" applyFill="1" applyAlignment="1">
      <alignment vertical="center"/>
    </xf>
    <xf numFmtId="0" fontId="50" fillId="3" borderId="0" xfId="5" applyFill="1" applyAlignment="1">
      <alignment vertical="center"/>
    </xf>
    <xf numFmtId="0" fontId="56" fillId="3" borderId="1" xfId="2" applyNumberFormat="1" applyFont="1" applyFill="1" applyBorder="1" applyAlignment="1" applyProtection="1">
      <alignment horizontal="center" vertical="center" wrapText="1"/>
    </xf>
    <xf numFmtId="49" fontId="58" fillId="0" borderId="1" xfId="3" applyNumberFormat="1" applyFont="1" applyFill="1" applyBorder="1" applyAlignment="1" applyProtection="1">
      <alignment horizontal="left" wrapText="1"/>
    </xf>
    <xf numFmtId="169" fontId="0" fillId="5" borderId="0" xfId="0" applyNumberFormat="1" applyFill="1"/>
    <xf numFmtId="0" fontId="58" fillId="0" borderId="5" xfId="2" applyNumberFormat="1" applyFont="1" applyFill="1" applyBorder="1" applyAlignment="1" applyProtection="1">
      <alignment horizontal="left" vertical="center" wrapText="1"/>
    </xf>
    <xf numFmtId="0" fontId="57" fillId="2" borderId="0" xfId="0" applyFont="1" applyFill="1" applyAlignment="1">
      <alignment vertical="top"/>
    </xf>
    <xf numFmtId="0" fontId="60" fillId="2" borderId="0" xfId="0" applyFont="1" applyFill="1" applyAlignment="1">
      <alignment vertical="top"/>
    </xf>
    <xf numFmtId="0" fontId="59" fillId="2" borderId="0" xfId="0" applyFont="1" applyFill="1" applyAlignment="1">
      <alignment vertical="top"/>
    </xf>
    <xf numFmtId="0" fontId="61" fillId="2" borderId="0" xfId="0" applyFont="1" applyFill="1" applyAlignment="1">
      <alignment vertical="top"/>
    </xf>
    <xf numFmtId="0" fontId="58" fillId="2" borderId="1" xfId="0" applyFont="1" applyFill="1" applyBorder="1" applyAlignment="1">
      <alignment horizontal="center"/>
    </xf>
    <xf numFmtId="0" fontId="60" fillId="2" borderId="1" xfId="0" applyFont="1" applyFill="1" applyBorder="1" applyAlignment="1">
      <alignment horizontal="center"/>
    </xf>
    <xf numFmtId="0" fontId="56" fillId="2" borderId="1" xfId="0" applyFont="1" applyFill="1" applyBorder="1" applyAlignment="1">
      <alignment horizontal="center"/>
    </xf>
    <xf numFmtId="0" fontId="58" fillId="0" borderId="1" xfId="2" applyNumberFormat="1" applyFont="1" applyFill="1" applyBorder="1" applyAlignment="1" applyProtection="1">
      <alignment horizontal="left" wrapText="1"/>
    </xf>
    <xf numFmtId="0" fontId="58" fillId="0" borderId="1" xfId="2" applyNumberFormat="1" applyFont="1" applyFill="1" applyBorder="1" applyAlignment="1" applyProtection="1">
      <alignment horizontal="center" wrapText="1"/>
    </xf>
    <xf numFmtId="0" fontId="55" fillId="2" borderId="1" xfId="2" applyNumberFormat="1" applyFont="1" applyFill="1" applyBorder="1" applyAlignment="1" applyProtection="1">
      <alignment horizontal="left" vertical="center" wrapText="1"/>
    </xf>
    <xf numFmtId="0" fontId="58" fillId="0" borderId="1" xfId="3" applyFont="1" applyFill="1" applyBorder="1" applyAlignment="1" applyProtection="1">
      <alignment horizontal="left" vertical="center" wrapText="1"/>
    </xf>
    <xf numFmtId="0" fontId="84" fillId="2" borderId="0" xfId="0" applyFont="1" applyFill="1"/>
    <xf numFmtId="0" fontId="84" fillId="0" borderId="0" xfId="0" applyFont="1"/>
    <xf numFmtId="0" fontId="84" fillId="5" borderId="0" xfId="0" applyFont="1" applyFill="1"/>
    <xf numFmtId="0" fontId="65" fillId="5" borderId="1" xfId="2" applyNumberFormat="1" applyFont="1" applyFill="1" applyBorder="1" applyAlignment="1" applyProtection="1">
      <alignment horizontal="left" wrapText="1"/>
    </xf>
    <xf numFmtId="0" fontId="58" fillId="5" borderId="1" xfId="2" applyNumberFormat="1" applyFont="1" applyFill="1" applyBorder="1" applyAlignment="1" applyProtection="1">
      <alignment horizontal="center" wrapText="1"/>
    </xf>
    <xf numFmtId="169" fontId="56" fillId="5" borderId="1" xfId="2" applyNumberFormat="1" applyFont="1" applyFill="1" applyBorder="1" applyAlignment="1" applyProtection="1">
      <alignment horizontal="right" wrapText="1"/>
    </xf>
    <xf numFmtId="0" fontId="60" fillId="0" borderId="1" xfId="2" applyNumberFormat="1" applyFont="1" applyFill="1" applyBorder="1" applyAlignment="1" applyProtection="1">
      <alignment horizontal="left" wrapText="1"/>
    </xf>
    <xf numFmtId="0" fontId="58" fillId="2" borderId="1" xfId="2" applyNumberFormat="1" applyFont="1" applyFill="1" applyBorder="1" applyAlignment="1" applyProtection="1">
      <alignment horizontal="center" wrapText="1"/>
    </xf>
    <xf numFmtId="169" fontId="58" fillId="2" borderId="1" xfId="2" applyNumberFormat="1" applyFont="1" applyFill="1" applyBorder="1" applyAlignment="1" applyProtection="1">
      <alignment horizontal="right" wrapText="1"/>
    </xf>
    <xf numFmtId="172" fontId="58" fillId="2" borderId="1" xfId="1" applyNumberFormat="1" applyFont="1" applyFill="1" applyBorder="1" applyAlignment="1">
      <alignment horizontal="right"/>
      <protection locked="0"/>
    </xf>
    <xf numFmtId="172" fontId="58" fillId="0" borderId="1" xfId="1" applyNumberFormat="1" applyFont="1" applyFill="1" applyBorder="1" applyAlignment="1">
      <alignment horizontal="right"/>
      <protection locked="0"/>
    </xf>
    <xf numFmtId="169" fontId="58" fillId="0" borderId="1" xfId="2" applyNumberFormat="1" applyFont="1" applyFill="1" applyBorder="1" applyAlignment="1" applyProtection="1">
      <alignment horizontal="right" wrapText="1"/>
    </xf>
    <xf numFmtId="0" fontId="60" fillId="2" borderId="1" xfId="2" applyNumberFormat="1" applyFont="1" applyFill="1" applyBorder="1" applyAlignment="1" applyProtection="1">
      <alignment horizontal="left" wrapText="1"/>
    </xf>
    <xf numFmtId="169" fontId="58" fillId="2" borderId="1" xfId="1" applyNumberFormat="1" applyFont="1" applyFill="1" applyBorder="1" applyAlignment="1" applyProtection="1">
      <alignment horizontal="right"/>
    </xf>
    <xf numFmtId="0" fontId="58" fillId="2" borderId="1" xfId="2" applyNumberFormat="1" applyFont="1" applyFill="1" applyBorder="1" applyAlignment="1" applyProtection="1">
      <alignment horizontal="left" wrapText="1"/>
    </xf>
    <xf numFmtId="169" fontId="58" fillId="5" borderId="1" xfId="2" applyNumberFormat="1" applyFont="1" applyFill="1" applyBorder="1" applyAlignment="1" applyProtection="1">
      <alignment horizontal="right" wrapText="1"/>
    </xf>
    <xf numFmtId="49" fontId="58" fillId="5" borderId="1" xfId="2" applyNumberFormat="1" applyFont="1" applyFill="1" applyBorder="1" applyAlignment="1" applyProtection="1">
      <alignment horizontal="center" wrapText="1"/>
    </xf>
    <xf numFmtId="49" fontId="58" fillId="0" borderId="1" xfId="2" quotePrefix="1" applyNumberFormat="1" applyFont="1" applyFill="1" applyBorder="1" applyAlignment="1" applyProtection="1">
      <alignment horizontal="center" wrapText="1"/>
    </xf>
    <xf numFmtId="49" fontId="58" fillId="2" borderId="1" xfId="2" quotePrefix="1" applyNumberFormat="1" applyFont="1" applyFill="1" applyBorder="1" applyAlignment="1" applyProtection="1">
      <alignment horizontal="center" wrapText="1"/>
    </xf>
    <xf numFmtId="49" fontId="58" fillId="2" borderId="1" xfId="2" applyNumberFormat="1" applyFont="1" applyFill="1" applyBorder="1" applyAlignment="1" applyProtection="1">
      <alignment horizontal="center" wrapText="1"/>
    </xf>
    <xf numFmtId="49" fontId="58" fillId="0" borderId="1" xfId="2" applyNumberFormat="1" applyFont="1" applyFill="1" applyBorder="1" applyAlignment="1" applyProtection="1">
      <alignment horizontal="center" wrapText="1"/>
    </xf>
    <xf numFmtId="49" fontId="56" fillId="5" borderId="1" xfId="2" applyNumberFormat="1" applyFont="1" applyFill="1" applyBorder="1" applyAlignment="1" applyProtection="1">
      <alignment horizontal="center" wrapText="1"/>
    </xf>
    <xf numFmtId="49" fontId="58" fillId="0" borderId="1" xfId="2" applyNumberFormat="1" applyFont="1" applyFill="1" applyBorder="1" applyAlignment="1" applyProtection="1">
      <alignment horizontal="center" vertical="center" wrapText="1"/>
    </xf>
    <xf numFmtId="49" fontId="58" fillId="0" borderId="3" xfId="2" applyNumberFormat="1" applyFont="1" applyFill="1" applyBorder="1" applyAlignment="1" applyProtection="1">
      <alignment horizontal="center" vertical="center" wrapText="1"/>
    </xf>
    <xf numFmtId="49" fontId="58" fillId="3" borderId="1" xfId="2" applyNumberFormat="1" applyFont="1" applyFill="1" applyBorder="1" applyAlignment="1" applyProtection="1">
      <alignment horizontal="center" vertical="center" wrapText="1"/>
    </xf>
    <xf numFmtId="49" fontId="58" fillId="2" borderId="1" xfId="2" applyNumberFormat="1" applyFont="1" applyFill="1" applyBorder="1" applyAlignment="1" applyProtection="1">
      <alignment horizontal="center" vertical="center" wrapText="1"/>
    </xf>
    <xf numFmtId="49" fontId="60" fillId="5" borderId="1" xfId="2" applyNumberFormat="1" applyFont="1" applyFill="1" applyBorder="1" applyAlignment="1" applyProtection="1">
      <alignment horizontal="center" vertical="center" wrapText="1"/>
    </xf>
    <xf numFmtId="49" fontId="60" fillId="2" borderId="1" xfId="2" applyNumberFormat="1" applyFont="1" applyFill="1" applyBorder="1" applyAlignment="1" applyProtection="1">
      <alignment horizontal="center" vertical="center" wrapText="1"/>
    </xf>
    <xf numFmtId="49" fontId="65" fillId="5" borderId="1" xfId="2" applyNumberFormat="1" applyFont="1" applyFill="1" applyBorder="1" applyAlignment="1" applyProtection="1">
      <alignment horizontal="center" vertical="center" wrapText="1"/>
    </xf>
    <xf numFmtId="49" fontId="65" fillId="3" borderId="1" xfId="2" applyNumberFormat="1" applyFont="1" applyFill="1" applyBorder="1" applyAlignment="1" applyProtection="1">
      <alignment horizontal="center" vertical="center" wrapText="1"/>
    </xf>
    <xf numFmtId="49" fontId="60" fillId="0" borderId="1" xfId="2" applyNumberFormat="1" applyFont="1" applyFill="1" applyBorder="1" applyAlignment="1" applyProtection="1">
      <alignment horizontal="center" vertical="center" wrapText="1"/>
    </xf>
    <xf numFmtId="49" fontId="60" fillId="7" borderId="1" xfId="2" applyNumberFormat="1" applyFont="1" applyFill="1" applyBorder="1" applyAlignment="1" applyProtection="1">
      <alignment horizontal="center" vertical="center" wrapText="1"/>
    </xf>
    <xf numFmtId="49" fontId="60" fillId="9" borderId="1" xfId="2" applyNumberFormat="1" applyFont="1" applyFill="1" applyBorder="1" applyAlignment="1" applyProtection="1">
      <alignment horizontal="center" vertical="center" wrapText="1"/>
    </xf>
    <xf numFmtId="49" fontId="60" fillId="7" borderId="1" xfId="5" applyNumberFormat="1" applyFont="1" applyFill="1" applyBorder="1" applyAlignment="1" applyProtection="1">
      <alignment horizontal="center" vertical="center" wrapText="1"/>
    </xf>
    <xf numFmtId="49" fontId="60" fillId="8" borderId="1" xfId="5" applyNumberFormat="1" applyFont="1" applyFill="1" applyBorder="1" applyAlignment="1" applyProtection="1">
      <alignment horizontal="center" vertical="center" wrapText="1"/>
    </xf>
    <xf numFmtId="49" fontId="65" fillId="5" borderId="1" xfId="5" applyNumberFormat="1" applyFont="1" applyFill="1" applyBorder="1" applyAlignment="1" applyProtection="1">
      <alignment horizontal="center" vertical="center" wrapText="1"/>
    </xf>
    <xf numFmtId="172" fontId="60" fillId="2" borderId="0" xfId="1" applyNumberFormat="1" applyFont="1" applyFill="1" applyAlignment="1" applyProtection="1">
      <alignment vertical="top"/>
      <protection locked="0"/>
    </xf>
    <xf numFmtId="0" fontId="58" fillId="5" borderId="0" xfId="0" applyFont="1" applyFill="1" applyAlignment="1">
      <alignment vertical="top"/>
    </xf>
    <xf numFmtId="172" fontId="60" fillId="2" borderId="0" xfId="1" applyNumberFormat="1" applyFont="1" applyFill="1" applyAlignment="1" applyProtection="1">
      <alignment horizontal="right" vertical="top"/>
    </xf>
    <xf numFmtId="10" fontId="60" fillId="2" borderId="0" xfId="4" applyNumberFormat="1" applyFont="1" applyFill="1" applyAlignment="1" applyProtection="1">
      <alignment horizontal="right" vertical="top"/>
    </xf>
    <xf numFmtId="171" fontId="58" fillId="5" borderId="0" xfId="0" applyNumberFormat="1" applyFont="1" applyFill="1"/>
    <xf numFmtId="171" fontId="86" fillId="5" borderId="0" xfId="1" applyFont="1" applyFill="1">
      <protection locked="0"/>
    </xf>
    <xf numFmtId="172" fontId="86" fillId="5" borderId="0" xfId="0" applyNumberFormat="1" applyFont="1" applyFill="1"/>
    <xf numFmtId="0" fontId="51" fillId="5" borderId="0" xfId="0" applyFont="1" applyFill="1"/>
    <xf numFmtId="172" fontId="65" fillId="2" borderId="0" xfId="1" applyNumberFormat="1" applyFont="1" applyFill="1" applyAlignment="1" applyProtection="1">
      <alignment horizontal="center"/>
      <protection locked="0"/>
    </xf>
    <xf numFmtId="0" fontId="59" fillId="2" borderId="0" xfId="0" applyFont="1" applyFill="1" applyBorder="1" applyAlignment="1">
      <alignment horizontal="center" vertical="center"/>
    </xf>
    <xf numFmtId="0" fontId="56" fillId="0" borderId="0" xfId="0" applyFont="1" applyAlignment="1">
      <alignment horizontal="center"/>
    </xf>
    <xf numFmtId="0" fontId="58" fillId="2" borderId="0" xfId="9" applyFont="1" applyFill="1" applyAlignment="1">
      <alignment horizontal="center" vertical="center"/>
    </xf>
    <xf numFmtId="0" fontId="56" fillId="2" borderId="0" xfId="0" applyFont="1" applyFill="1" applyAlignment="1"/>
    <xf numFmtId="0" fontId="58" fillId="5" borderId="0" xfId="0" applyNumberFormat="1" applyFont="1" applyFill="1"/>
    <xf numFmtId="0" fontId="65" fillId="4" borderId="1" xfId="0" applyFont="1" applyFill="1" applyBorder="1" applyAlignment="1" applyProtection="1">
      <alignment horizontal="center" vertical="center" wrapText="1"/>
    </xf>
    <xf numFmtId="0" fontId="60" fillId="5" borderId="1" xfId="5" applyFont="1" applyFill="1" applyBorder="1" applyAlignment="1" applyProtection="1">
      <alignment horizontal="left" vertical="center" wrapText="1"/>
    </xf>
    <xf numFmtId="0" fontId="65" fillId="2" borderId="0" xfId="1" applyNumberFormat="1" applyFont="1" applyFill="1" applyProtection="1">
      <protection locked="0"/>
    </xf>
    <xf numFmtId="172" fontId="65" fillId="2" borderId="0" xfId="1" quotePrefix="1" applyNumberFormat="1" applyFont="1" applyFill="1" applyBorder="1" applyProtection="1">
      <protection locked="0"/>
    </xf>
    <xf numFmtId="0" fontId="76" fillId="5" borderId="0" xfId="5" applyFont="1" applyFill="1"/>
    <xf numFmtId="0" fontId="51" fillId="2" borderId="0" xfId="0" applyFont="1" applyFill="1" applyBorder="1" applyAlignment="1"/>
    <xf numFmtId="0" fontId="65" fillId="4" borderId="2" xfId="0" applyNumberFormat="1" applyFont="1" applyFill="1" applyBorder="1" applyAlignment="1" applyProtection="1">
      <alignment horizontal="center" vertical="center" wrapText="1"/>
    </xf>
    <xf numFmtId="169" fontId="50" fillId="3" borderId="0" xfId="5" applyNumberFormat="1" applyFill="1" applyAlignment="1">
      <alignment vertical="center"/>
    </xf>
    <xf numFmtId="169" fontId="50" fillId="0" borderId="0" xfId="5" applyNumberFormat="1" applyFill="1" applyAlignment="1">
      <alignment vertical="center"/>
    </xf>
    <xf numFmtId="169" fontId="50" fillId="6" borderId="0" xfId="5" applyNumberFormat="1" applyFill="1" applyAlignment="1">
      <alignment vertical="center"/>
    </xf>
    <xf numFmtId="173" fontId="50" fillId="3" borderId="0" xfId="5" applyNumberFormat="1" applyFill="1" applyAlignment="1">
      <alignment vertical="center"/>
    </xf>
    <xf numFmtId="169" fontId="0" fillId="6" borderId="0" xfId="0" applyNumberFormat="1" applyFill="1"/>
    <xf numFmtId="0" fontId="60" fillId="0" borderId="1" xfId="0" applyNumberFormat="1" applyFont="1" applyFill="1" applyBorder="1" applyAlignment="1" applyProtection="1">
      <alignment horizontal="left" vertical="center" wrapText="1"/>
    </xf>
    <xf numFmtId="49" fontId="60" fillId="0" borderId="1" xfId="5" applyNumberFormat="1" applyFont="1" applyFill="1" applyBorder="1" applyAlignment="1" applyProtection="1">
      <alignment horizontal="center" vertical="center" wrapText="1"/>
    </xf>
    <xf numFmtId="172" fontId="60" fillId="0" borderId="1" xfId="6" applyNumberFormat="1" applyFont="1" applyFill="1" applyBorder="1" applyAlignment="1" applyProtection="1">
      <alignment horizontal="left" vertical="center" wrapText="1"/>
    </xf>
    <xf numFmtId="172" fontId="51" fillId="0" borderId="0" xfId="1" applyNumberFormat="1" applyFont="1" applyFill="1" applyAlignment="1" applyProtection="1">
      <alignment horizontal="left"/>
      <protection locked="0"/>
    </xf>
    <xf numFmtId="172" fontId="51" fillId="0" borderId="0" xfId="1" applyNumberFormat="1" applyFont="1" applyFill="1" applyBorder="1" applyAlignment="1" applyProtection="1">
      <alignment horizontal="left"/>
      <protection locked="0"/>
    </xf>
    <xf numFmtId="0" fontId="51" fillId="0" borderId="0" xfId="79" applyFont="1" applyAlignment="1" applyProtection="1">
      <alignment horizontal="left"/>
      <protection locked="0"/>
    </xf>
    <xf numFmtId="0" fontId="51" fillId="0" borderId="0" xfId="79" applyFont="1" applyBorder="1" applyAlignment="1" applyProtection="1">
      <alignment horizontal="left" vertical="center"/>
      <protection locked="0"/>
    </xf>
    <xf numFmtId="0" fontId="51" fillId="0" borderId="0" xfId="0" applyFont="1" applyAlignment="1">
      <alignment horizontal="left"/>
    </xf>
    <xf numFmtId="0" fontId="51" fillId="0" borderId="0" xfId="79" applyFont="1" applyFill="1" applyBorder="1" applyAlignment="1" applyProtection="1">
      <alignment horizontal="left" vertical="center"/>
      <protection locked="0"/>
    </xf>
    <xf numFmtId="172" fontId="80" fillId="0" borderId="0" xfId="1" applyNumberFormat="1" applyFont="1" applyFill="1" applyAlignment="1" applyProtection="1">
      <alignment horizontal="left" vertical="center"/>
      <protection locked="0"/>
    </xf>
    <xf numFmtId="172" fontId="80" fillId="0" borderId="0" xfId="1" applyNumberFormat="1" applyFont="1" applyFill="1" applyAlignment="1" applyProtection="1">
      <alignment horizontal="left" vertical="center" wrapText="1"/>
      <protection locked="0"/>
    </xf>
    <xf numFmtId="172" fontId="80" fillId="0" borderId="0" xfId="28" applyNumberFormat="1" applyFont="1" applyFill="1" applyAlignment="1" applyProtection="1">
      <alignment horizontal="left" vertical="center"/>
      <protection locked="0"/>
    </xf>
    <xf numFmtId="172" fontId="80" fillId="0" borderId="0" xfId="1" applyNumberFormat="1" applyFont="1" applyAlignment="1" applyProtection="1">
      <alignment horizontal="left" vertical="center"/>
      <protection locked="0"/>
    </xf>
    <xf numFmtId="0" fontId="80" fillId="5" borderId="30" xfId="79" applyFont="1" applyFill="1" applyBorder="1" applyAlignment="1" applyProtection="1">
      <alignment horizontal="left" vertical="center"/>
      <protection locked="0"/>
    </xf>
    <xf numFmtId="172" fontId="51" fillId="5" borderId="30" xfId="1" applyNumberFormat="1" applyFont="1" applyFill="1" applyBorder="1" applyAlignment="1" applyProtection="1">
      <alignment horizontal="left" vertical="center"/>
      <protection locked="0"/>
    </xf>
    <xf numFmtId="172" fontId="51" fillId="5" borderId="30" xfId="28" applyNumberFormat="1" applyFont="1" applyFill="1" applyBorder="1" applyAlignment="1" applyProtection="1">
      <alignment horizontal="left" vertical="center"/>
      <protection locked="0"/>
    </xf>
    <xf numFmtId="0" fontId="51" fillId="0" borderId="0" xfId="370" applyFont="1" applyFill="1" applyAlignment="1" applyProtection="1">
      <alignment horizontal="left" vertical="center"/>
      <protection locked="0"/>
    </xf>
    <xf numFmtId="0" fontId="51" fillId="0" borderId="30" xfId="79" applyFont="1" applyFill="1" applyBorder="1" applyAlignment="1" applyProtection="1">
      <alignment horizontal="left" vertical="center"/>
      <protection locked="0"/>
    </xf>
    <xf numFmtId="172" fontId="51" fillId="0" borderId="30" xfId="1" applyNumberFormat="1" applyFont="1" applyFill="1" applyBorder="1" applyAlignment="1" applyProtection="1">
      <alignment horizontal="left" vertical="center"/>
    </xf>
    <xf numFmtId="172" fontId="75" fillId="0" borderId="30" xfId="28" applyNumberFormat="1" applyFont="1" applyFill="1" applyBorder="1" applyAlignment="1" applyProtection="1">
      <alignment horizontal="left" vertical="center"/>
    </xf>
    <xf numFmtId="172" fontId="51" fillId="0" borderId="30" xfId="28" applyNumberFormat="1" applyFont="1" applyFill="1" applyBorder="1" applyAlignment="1" applyProtection="1">
      <alignment horizontal="left" vertical="center"/>
    </xf>
    <xf numFmtId="172" fontId="75" fillId="0" borderId="0" xfId="28" applyNumberFormat="1" applyFont="1" applyFill="1" applyBorder="1" applyAlignment="1" applyProtection="1">
      <alignment horizontal="left" vertical="center"/>
    </xf>
    <xf numFmtId="172" fontId="51" fillId="0" borderId="0" xfId="1" applyNumberFormat="1" applyFont="1" applyFill="1" applyBorder="1" applyAlignment="1" applyProtection="1">
      <alignment horizontal="left" vertical="center"/>
    </xf>
    <xf numFmtId="172" fontId="51" fillId="0" borderId="0" xfId="28" applyNumberFormat="1" applyFont="1" applyFill="1" applyBorder="1" applyAlignment="1" applyProtection="1">
      <alignment horizontal="left" vertical="center"/>
    </xf>
    <xf numFmtId="0" fontId="51" fillId="5" borderId="0" xfId="370" applyFont="1" applyFill="1" applyAlignment="1" applyProtection="1">
      <alignment horizontal="left" vertical="center"/>
      <protection locked="0"/>
    </xf>
    <xf numFmtId="172" fontId="80" fillId="0" borderId="9" xfId="28" applyNumberFormat="1" applyFont="1" applyFill="1" applyBorder="1" applyAlignment="1" applyProtection="1">
      <alignment horizontal="left" vertical="center"/>
      <protection locked="0"/>
    </xf>
    <xf numFmtId="172" fontId="80" fillId="0" borderId="9" xfId="1" applyNumberFormat="1" applyFont="1" applyFill="1" applyBorder="1" applyAlignment="1" applyProtection="1">
      <alignment horizontal="left" vertical="center"/>
      <protection locked="0"/>
    </xf>
    <xf numFmtId="0" fontId="80" fillId="0" borderId="0" xfId="79" applyFont="1" applyFill="1" applyBorder="1" applyAlignment="1" applyProtection="1">
      <alignment horizontal="left" vertical="center"/>
      <protection locked="0"/>
    </xf>
    <xf numFmtId="172" fontId="51" fillId="0" borderId="0" xfId="1" applyNumberFormat="1" applyFont="1" applyFill="1" applyAlignment="1" applyProtection="1">
      <alignment horizontal="left" vertical="center"/>
      <protection locked="0"/>
    </xf>
    <xf numFmtId="172" fontId="80" fillId="0" borderId="0" xfId="28" applyNumberFormat="1" applyFont="1" applyFill="1" applyBorder="1" applyAlignment="1" applyProtection="1">
      <alignment horizontal="left" vertical="center"/>
      <protection locked="0"/>
    </xf>
    <xf numFmtId="172" fontId="51" fillId="10" borderId="30" xfId="1" applyNumberFormat="1" applyFont="1" applyFill="1" applyBorder="1" applyAlignment="1" applyProtection="1">
      <alignment horizontal="left" vertical="center"/>
    </xf>
    <xf numFmtId="172" fontId="75" fillId="6" borderId="0" xfId="28" applyNumberFormat="1" applyFont="1" applyFill="1" applyBorder="1" applyAlignment="1" applyProtection="1">
      <alignment horizontal="left" vertical="center"/>
    </xf>
    <xf numFmtId="219" fontId="51" fillId="0" borderId="0" xfId="28" applyNumberFormat="1" applyFont="1" applyFill="1" applyAlignment="1" applyProtection="1">
      <alignment horizontal="left" vertical="center"/>
      <protection locked="0"/>
    </xf>
    <xf numFmtId="172" fontId="51" fillId="0" borderId="0" xfId="28" applyNumberFormat="1" applyFont="1" applyFill="1" applyAlignment="1" applyProtection="1">
      <alignment horizontal="left" vertical="center"/>
      <protection locked="0"/>
    </xf>
    <xf numFmtId="172" fontId="80" fillId="0" borderId="26" xfId="28" applyNumberFormat="1" applyFont="1" applyFill="1" applyBorder="1" applyAlignment="1" applyProtection="1">
      <alignment horizontal="left" vertical="center"/>
      <protection locked="0"/>
    </xf>
    <xf numFmtId="172" fontId="80" fillId="0" borderId="26" xfId="1" applyNumberFormat="1" applyFont="1" applyFill="1" applyBorder="1" applyAlignment="1" applyProtection="1">
      <alignment horizontal="left" vertical="center"/>
      <protection locked="0"/>
    </xf>
    <xf numFmtId="0" fontId="51" fillId="0" borderId="0" xfId="79" applyFont="1" applyFill="1" applyAlignment="1" applyProtection="1">
      <alignment horizontal="left"/>
      <protection locked="0"/>
    </xf>
    <xf numFmtId="172" fontId="51" fillId="0" borderId="30" xfId="1" applyNumberFormat="1" applyFont="1" applyFill="1" applyBorder="1" applyAlignment="1" applyProtection="1">
      <alignment horizontal="left" vertical="center"/>
      <protection locked="0"/>
    </xf>
    <xf numFmtId="172" fontId="51" fillId="0" borderId="30" xfId="28" applyNumberFormat="1" applyFont="1" applyFill="1" applyBorder="1" applyAlignment="1" applyProtection="1">
      <alignment horizontal="left" vertical="center"/>
      <protection locked="0"/>
    </xf>
    <xf numFmtId="172" fontId="51" fillId="0" borderId="0" xfId="28" applyNumberFormat="1" applyFont="1" applyFill="1" applyBorder="1" applyAlignment="1" applyProtection="1">
      <alignment horizontal="left" vertical="center"/>
      <protection locked="0"/>
    </xf>
    <xf numFmtId="172" fontId="51" fillId="0" borderId="0" xfId="1" applyNumberFormat="1" applyFont="1" applyFill="1" applyBorder="1" applyAlignment="1" applyProtection="1">
      <alignment horizontal="left" vertical="center"/>
      <protection locked="0"/>
    </xf>
    <xf numFmtId="176" fontId="51" fillId="10" borderId="30" xfId="1" applyNumberFormat="1" applyFont="1" applyFill="1" applyBorder="1" applyAlignment="1" applyProtection="1">
      <alignment horizontal="left" vertical="center"/>
    </xf>
    <xf numFmtId="171" fontId="170" fillId="0" borderId="0" xfId="28" applyNumberFormat="1" applyFont="1" applyFill="1" applyBorder="1" applyAlignment="1" applyProtection="1">
      <alignment horizontal="left" vertical="center"/>
      <protection locked="0"/>
    </xf>
    <xf numFmtId="0" fontId="51" fillId="0" borderId="0" xfId="0" applyFont="1" applyFill="1" applyAlignment="1" applyProtection="1">
      <alignment horizontal="left"/>
      <protection locked="0"/>
    </xf>
    <xf numFmtId="174" fontId="51" fillId="0" borderId="0" xfId="28" applyNumberFormat="1" applyFont="1" applyFill="1" applyAlignment="1" applyProtection="1">
      <alignment horizontal="left" vertical="center"/>
      <protection locked="0"/>
    </xf>
    <xf numFmtId="0" fontId="51" fillId="0" borderId="0" xfId="79" applyFont="1" applyFill="1" applyBorder="1" applyAlignment="1" applyProtection="1">
      <alignment horizontal="left"/>
      <protection locked="0"/>
    </xf>
    <xf numFmtId="0" fontId="51" fillId="0" borderId="0" xfId="0" applyFont="1" applyAlignment="1" applyProtection="1">
      <alignment horizontal="left"/>
      <protection locked="0"/>
    </xf>
    <xf numFmtId="0" fontId="51" fillId="0" borderId="0" xfId="0" applyFont="1" applyFill="1" applyBorder="1" applyAlignment="1" applyProtection="1">
      <alignment horizontal="left"/>
      <protection locked="0"/>
    </xf>
    <xf numFmtId="172" fontId="51" fillId="0" borderId="0" xfId="1" applyNumberFormat="1" applyFont="1" applyBorder="1" applyAlignment="1" applyProtection="1">
      <alignment horizontal="left"/>
      <protection locked="0"/>
    </xf>
    <xf numFmtId="0" fontId="51" fillId="0" borderId="0" xfId="0" applyFont="1" applyBorder="1" applyAlignment="1" applyProtection="1">
      <alignment horizontal="left"/>
      <protection locked="0"/>
    </xf>
    <xf numFmtId="172" fontId="51" fillId="0" borderId="0" xfId="1" applyNumberFormat="1" applyFont="1" applyAlignment="1" applyProtection="1">
      <alignment horizontal="left" vertical="center"/>
      <protection locked="0"/>
    </xf>
    <xf numFmtId="172" fontId="51" fillId="0" borderId="0" xfId="28" applyNumberFormat="1" applyFont="1" applyAlignment="1" applyProtection="1">
      <alignment horizontal="left" vertical="center"/>
      <protection locked="0"/>
    </xf>
    <xf numFmtId="172" fontId="51" fillId="0" borderId="0" xfId="1" applyNumberFormat="1" applyFont="1" applyAlignment="1" applyProtection="1">
      <alignment horizontal="left"/>
      <protection locked="0"/>
    </xf>
    <xf numFmtId="0" fontId="84" fillId="0" borderId="30" xfId="79" applyFont="1" applyFill="1" applyBorder="1" applyAlignment="1" applyProtection="1">
      <alignment horizontal="left" vertical="center"/>
      <protection locked="0"/>
    </xf>
    <xf numFmtId="0" fontId="84" fillId="0" borderId="0" xfId="79" applyFont="1" applyFill="1" applyBorder="1" applyAlignment="1" applyProtection="1">
      <alignment horizontal="left" vertical="center"/>
      <protection locked="0"/>
    </xf>
    <xf numFmtId="3" fontId="169" fillId="0" borderId="0" xfId="0" applyNumberFormat="1" applyFont="1" applyFill="1" applyAlignment="1" applyProtection="1">
      <alignment horizontal="left"/>
      <protection locked="0"/>
    </xf>
    <xf numFmtId="3" fontId="169" fillId="0" borderId="0" xfId="79" applyNumberFormat="1" applyFont="1" applyFill="1" applyAlignment="1" applyProtection="1">
      <alignment horizontal="left"/>
      <protection locked="0"/>
    </xf>
    <xf numFmtId="0" fontId="58" fillId="0" borderId="1" xfId="5" applyNumberFormat="1" applyFont="1" applyFill="1" applyBorder="1" applyAlignment="1" applyProtection="1">
      <alignment horizontal="center" vertical="center" wrapText="1"/>
    </xf>
    <xf numFmtId="172" fontId="51" fillId="0" borderId="0" xfId="0" applyNumberFormat="1" applyFont="1" applyAlignment="1">
      <alignment horizontal="left"/>
    </xf>
    <xf numFmtId="10" fontId="58" fillId="0" borderId="0" xfId="5" applyNumberFormat="1" applyFont="1" applyFill="1" applyBorder="1" applyAlignment="1" applyProtection="1">
      <alignment horizontal="right" vertical="center" wrapText="1"/>
    </xf>
    <xf numFmtId="10" fontId="65" fillId="5" borderId="1" xfId="4" applyNumberFormat="1" applyFont="1" applyFill="1" applyBorder="1" applyAlignment="1">
      <alignment vertical="center"/>
      <protection locked="0"/>
    </xf>
    <xf numFmtId="49" fontId="65" fillId="4" borderId="1" xfId="0" applyNumberFormat="1" applyFont="1" applyFill="1" applyBorder="1" applyAlignment="1" applyProtection="1">
      <alignment horizontal="center" vertical="center" wrapText="1"/>
    </xf>
    <xf numFmtId="0" fontId="60" fillId="2" borderId="1" xfId="0" applyFont="1" applyFill="1" applyBorder="1" applyAlignment="1">
      <alignment horizontal="center" vertical="center"/>
    </xf>
    <xf numFmtId="49" fontId="58" fillId="0" borderId="1" xfId="0" quotePrefix="1" applyNumberFormat="1" applyFont="1" applyFill="1" applyBorder="1" applyAlignment="1">
      <alignment horizontal="center" vertical="center"/>
    </xf>
    <xf numFmtId="49" fontId="58" fillId="0" borderId="5" xfId="0" quotePrefix="1" applyNumberFormat="1" applyFont="1" applyFill="1" applyBorder="1" applyAlignment="1">
      <alignment horizontal="center" vertical="center"/>
    </xf>
    <xf numFmtId="0" fontId="58" fillId="0" borderId="1" xfId="79" applyFont="1" applyFill="1" applyBorder="1" applyAlignment="1" applyProtection="1">
      <alignment horizontal="left" vertical="center"/>
      <protection locked="0"/>
    </xf>
    <xf numFmtId="172" fontId="58" fillId="0" borderId="1" xfId="410" applyNumberFormat="1" applyFont="1" applyFill="1" applyBorder="1" applyAlignment="1" applyProtection="1">
      <alignment vertical="center"/>
    </xf>
    <xf numFmtId="0" fontId="65" fillId="2" borderId="0" xfId="5" applyFont="1" applyFill="1" applyBorder="1" applyAlignment="1">
      <alignment horizontal="center" vertical="center"/>
    </xf>
    <xf numFmtId="0" fontId="65" fillId="2" borderId="0" xfId="5" applyFont="1" applyFill="1" applyBorder="1" applyAlignment="1">
      <alignment vertical="center"/>
    </xf>
    <xf numFmtId="0" fontId="60" fillId="2" borderId="0" xfId="5" applyFont="1" applyFill="1" applyBorder="1" applyAlignment="1">
      <alignment vertical="center"/>
    </xf>
    <xf numFmtId="0" fontId="60" fillId="5" borderId="0" xfId="5" applyFont="1" applyFill="1" applyAlignment="1">
      <alignment vertical="center"/>
    </xf>
    <xf numFmtId="172" fontId="51" fillId="10" borderId="0" xfId="1" applyNumberFormat="1" applyFont="1" applyFill="1" applyBorder="1" applyAlignment="1" applyProtection="1">
      <alignment horizontal="left" vertical="center"/>
    </xf>
    <xf numFmtId="0" fontId="58" fillId="0" borderId="1" xfId="0" applyFont="1" applyFill="1" applyBorder="1" applyAlignment="1">
      <alignment horizontal="center"/>
    </xf>
    <xf numFmtId="49" fontId="56" fillId="0" borderId="1" xfId="0" applyNumberFormat="1" applyFont="1" applyFill="1" applyBorder="1" applyAlignment="1" applyProtection="1">
      <alignment horizontal="left" vertical="center" wrapText="1"/>
    </xf>
    <xf numFmtId="49" fontId="56" fillId="0" borderId="1" xfId="0" applyNumberFormat="1" applyFont="1" applyFill="1" applyBorder="1" applyAlignment="1" applyProtection="1">
      <alignment horizontal="center" vertical="center" wrapText="1"/>
    </xf>
    <xf numFmtId="49" fontId="63" fillId="0" borderId="1" xfId="0" applyNumberFormat="1" applyFont="1" applyFill="1" applyBorder="1" applyAlignment="1" applyProtection="1">
      <alignment vertical="center" wrapText="1"/>
    </xf>
    <xf numFmtId="0" fontId="58" fillId="0" borderId="0" xfId="0" applyFont="1" applyFill="1" applyBorder="1" applyAlignment="1">
      <alignment horizontal="center"/>
    </xf>
    <xf numFmtId="49" fontId="56" fillId="0" borderId="0" xfId="0" applyNumberFormat="1" applyFont="1" applyFill="1" applyBorder="1" applyAlignment="1" applyProtection="1">
      <alignment horizontal="left" vertical="center" wrapText="1"/>
    </xf>
    <xf numFmtId="49" fontId="56" fillId="0" borderId="0" xfId="0" applyNumberFormat="1" applyFont="1" applyFill="1" applyBorder="1" applyAlignment="1" applyProtection="1">
      <alignment horizontal="center" vertical="center" wrapText="1"/>
    </xf>
    <xf numFmtId="49" fontId="63" fillId="0" borderId="0" xfId="0" applyNumberFormat="1" applyFont="1" applyFill="1" applyBorder="1" applyAlignment="1" applyProtection="1">
      <alignment vertical="center" wrapText="1"/>
    </xf>
    <xf numFmtId="10" fontId="68" fillId="4" borderId="1" xfId="4" applyNumberFormat="1" applyFont="1" applyFill="1" applyBorder="1" applyAlignment="1" applyProtection="1">
      <alignment horizontal="center" vertical="center" wrapText="1"/>
    </xf>
    <xf numFmtId="9" fontId="58" fillId="5" borderId="1" xfId="3" applyNumberFormat="1" applyFont="1" applyFill="1" applyBorder="1" applyAlignment="1" applyProtection="1">
      <alignment horizontal="left" vertical="center" wrapText="1"/>
    </xf>
    <xf numFmtId="171" fontId="60" fillId="0" borderId="1" xfId="1" applyFont="1" applyFill="1" applyBorder="1" applyAlignment="1">
      <alignment horizontal="right" vertical="center" wrapText="1"/>
      <protection locked="0"/>
    </xf>
    <xf numFmtId="10" fontId="56" fillId="5" borderId="1" xfId="5" applyNumberFormat="1" applyFont="1" applyFill="1" applyBorder="1" applyAlignment="1" applyProtection="1">
      <alignment horizontal="right" vertical="center" wrapText="1"/>
    </xf>
    <xf numFmtId="10" fontId="58" fillId="0" borderId="1" xfId="5" applyNumberFormat="1" applyFont="1" applyFill="1" applyBorder="1" applyAlignment="1" applyProtection="1">
      <alignment horizontal="right" vertical="center" wrapText="1"/>
    </xf>
    <xf numFmtId="10" fontId="60" fillId="7" borderId="1" xfId="4" applyNumberFormat="1" applyFont="1" applyFill="1" applyBorder="1" applyAlignment="1">
      <alignment vertical="center"/>
      <protection locked="0"/>
    </xf>
    <xf numFmtId="0" fontId="55" fillId="2" borderId="0" xfId="0" applyFont="1" applyFill="1" applyAlignment="1">
      <alignment horizontal="center" vertical="center"/>
    </xf>
    <xf numFmtId="10" fontId="58" fillId="2" borderId="0" xfId="4" applyNumberFormat="1" applyFont="1" applyFill="1" applyAlignment="1" applyProtection="1">
      <alignment vertical="center"/>
    </xf>
    <xf numFmtId="0" fontId="50" fillId="0" borderId="0" xfId="5" applyAlignment="1">
      <alignment vertical="center"/>
    </xf>
    <xf numFmtId="0" fontId="50" fillId="0" borderId="0" xfId="5" applyFill="1" applyAlignment="1">
      <alignment vertical="center"/>
    </xf>
    <xf numFmtId="0" fontId="50" fillId="6" borderId="0" xfId="5" applyFill="1" applyAlignment="1">
      <alignment vertical="center"/>
    </xf>
    <xf numFmtId="0" fontId="65" fillId="2" borderId="0" xfId="0" applyFont="1" applyFill="1" applyAlignment="1">
      <alignment vertical="center"/>
    </xf>
    <xf numFmtId="0" fontId="60" fillId="2" borderId="0" xfId="0" applyFont="1" applyFill="1" applyAlignment="1">
      <alignment vertical="center"/>
    </xf>
    <xf numFmtId="172" fontId="60" fillId="2" borderId="0" xfId="1" applyNumberFormat="1" applyFont="1" applyFill="1" applyAlignment="1" applyProtection="1">
      <alignment vertical="center"/>
      <protection locked="0"/>
    </xf>
    <xf numFmtId="172" fontId="65" fillId="2" borderId="0" xfId="1" applyNumberFormat="1" applyFont="1" applyFill="1" applyAlignment="1" applyProtection="1">
      <alignment vertical="center"/>
      <protection locked="0"/>
    </xf>
    <xf numFmtId="172" fontId="60" fillId="2" borderId="0" xfId="1" applyNumberFormat="1" applyFont="1" applyFill="1" applyAlignment="1" applyProtection="1">
      <alignment horizontal="right" vertical="center"/>
    </xf>
    <xf numFmtId="10" fontId="60" fillId="2" borderId="0" xfId="4" applyNumberFormat="1" applyFont="1" applyFill="1" applyAlignment="1" applyProtection="1">
      <alignment horizontal="right" vertical="center"/>
    </xf>
    <xf numFmtId="0" fontId="66" fillId="2" borderId="0" xfId="0" applyFont="1" applyFill="1" applyAlignment="1">
      <alignment vertical="center"/>
    </xf>
    <xf numFmtId="172" fontId="66" fillId="2" borderId="0" xfId="1" applyNumberFormat="1" applyFont="1" applyFill="1" applyAlignment="1" applyProtection="1">
      <alignment vertical="center"/>
      <protection locked="0"/>
    </xf>
    <xf numFmtId="0" fontId="60" fillId="2" borderId="6" xfId="0" applyFont="1" applyFill="1" applyBorder="1" applyAlignment="1">
      <alignment vertical="center"/>
    </xf>
    <xf numFmtId="172" fontId="60" fillId="2" borderId="6" xfId="1" applyNumberFormat="1" applyFont="1" applyFill="1" applyBorder="1" applyAlignment="1" applyProtection="1">
      <alignment vertical="center"/>
      <protection locked="0"/>
    </xf>
    <xf numFmtId="172" fontId="60" fillId="2" borderId="6" xfId="1" applyNumberFormat="1" applyFont="1" applyFill="1" applyBorder="1" applyAlignment="1" applyProtection="1">
      <alignment horizontal="right" vertical="center"/>
    </xf>
    <xf numFmtId="10" fontId="60" fillId="2" borderId="6" xfId="4" applyNumberFormat="1" applyFont="1" applyFill="1" applyBorder="1" applyAlignment="1" applyProtection="1">
      <alignment horizontal="right" vertical="center"/>
    </xf>
    <xf numFmtId="0" fontId="65" fillId="2" borderId="0" xfId="1" applyNumberFormat="1" applyFont="1" applyFill="1" applyAlignment="1" applyProtection="1">
      <alignment vertical="center"/>
      <protection locked="0"/>
    </xf>
    <xf numFmtId="172" fontId="0" fillId="0" borderId="0" xfId="6" applyNumberFormat="1" applyFont="1" applyAlignment="1">
      <alignment vertical="center"/>
    </xf>
    <xf numFmtId="172" fontId="0" fillId="3" borderId="0" xfId="6" applyNumberFormat="1" applyFont="1" applyFill="1" applyAlignment="1">
      <alignment vertical="center"/>
    </xf>
    <xf numFmtId="0" fontId="60" fillId="6" borderId="0" xfId="0" applyFont="1" applyFill="1"/>
    <xf numFmtId="0" fontId="60" fillId="6" borderId="0" xfId="5" applyFont="1" applyFill="1"/>
    <xf numFmtId="0" fontId="60" fillId="0" borderId="1" xfId="0" applyFont="1" applyFill="1" applyBorder="1" applyAlignment="1">
      <alignment horizontal="center"/>
    </xf>
    <xf numFmtId="172" fontId="60" fillId="0" borderId="1" xfId="1" applyNumberFormat="1" applyFont="1" applyFill="1" applyBorder="1" applyAlignment="1">
      <alignment horizontal="left" vertical="center" wrapText="1"/>
      <protection locked="0"/>
    </xf>
    <xf numFmtId="172" fontId="60" fillId="0" borderId="1" xfId="1" applyNumberFormat="1" applyFont="1" applyFill="1" applyBorder="1" applyAlignment="1">
      <alignment horizontal="center" vertical="center" wrapText="1"/>
      <protection locked="0"/>
    </xf>
    <xf numFmtId="172" fontId="60" fillId="2" borderId="1" xfId="1" applyNumberFormat="1" applyFont="1" applyFill="1" applyBorder="1" applyAlignment="1">
      <alignment horizontal="left" vertical="center" wrapText="1"/>
      <protection locked="0"/>
    </xf>
    <xf numFmtId="169" fontId="0" fillId="4" borderId="0" xfId="0" applyNumberFormat="1" applyFill="1"/>
    <xf numFmtId="43" fontId="58" fillId="0" borderId="1" xfId="1" applyNumberFormat="1" applyFont="1" applyFill="1" applyBorder="1" applyAlignment="1" applyProtection="1">
      <alignment vertical="center" wrapText="1"/>
      <protection locked="0"/>
    </xf>
    <xf numFmtId="171" fontId="60" fillId="2" borderId="1" xfId="6" applyNumberFormat="1" applyFont="1" applyFill="1" applyBorder="1" applyAlignment="1" applyProtection="1">
      <alignment horizontal="right" vertical="center" wrapText="1"/>
    </xf>
    <xf numFmtId="172" fontId="60" fillId="2" borderId="1" xfId="6" applyNumberFormat="1" applyFont="1" applyFill="1" applyBorder="1" applyAlignment="1" applyProtection="1">
      <alignment horizontal="right" vertical="center" wrapText="1"/>
    </xf>
    <xf numFmtId="0" fontId="58" fillId="2" borderId="0" xfId="0" applyFont="1" applyFill="1" applyAlignment="1">
      <alignment horizontal="left" vertical="center" wrapText="1"/>
    </xf>
    <xf numFmtId="0" fontId="58" fillId="2" borderId="0" xfId="0" applyFont="1" applyFill="1" applyAlignment="1">
      <alignment horizontal="left"/>
    </xf>
    <xf numFmtId="43" fontId="60" fillId="0" borderId="1" xfId="6" applyNumberFormat="1" applyFont="1" applyFill="1" applyBorder="1" applyAlignment="1" applyProtection="1">
      <alignment horizontal="left" vertical="center" wrapText="1"/>
    </xf>
    <xf numFmtId="171" fontId="60" fillId="0" borderId="1" xfId="1" applyNumberFormat="1" applyFont="1" applyFill="1" applyBorder="1" applyAlignment="1">
      <alignment horizontal="left" vertical="center" wrapText="1"/>
      <protection locked="0"/>
    </xf>
    <xf numFmtId="10" fontId="60" fillId="0" borderId="1" xfId="4" applyNumberFormat="1" applyFont="1" applyFill="1" applyBorder="1" applyAlignment="1">
      <alignment horizontal="right" vertical="center" wrapText="1"/>
      <protection locked="0"/>
    </xf>
    <xf numFmtId="172" fontId="60" fillId="0" borderId="1" xfId="1" applyNumberFormat="1" applyFont="1" applyFill="1" applyBorder="1" applyAlignment="1">
      <alignment horizontal="right" vertical="center" wrapText="1"/>
      <protection locked="0"/>
    </xf>
    <xf numFmtId="171" fontId="60" fillId="0" borderId="1" xfId="6" applyFont="1" applyFill="1" applyBorder="1" applyAlignment="1">
      <alignment vertical="center"/>
    </xf>
    <xf numFmtId="0" fontId="59" fillId="2" borderId="0" xfId="0" applyFont="1" applyFill="1" applyAlignment="1">
      <alignment horizontal="left" vertical="center" wrapText="1"/>
    </xf>
    <xf numFmtId="0" fontId="61" fillId="2" borderId="0" xfId="0" applyFont="1" applyFill="1" applyAlignment="1">
      <alignment vertical="center" wrapText="1"/>
    </xf>
    <xf numFmtId="0" fontId="58" fillId="2" borderId="0" xfId="0" applyFont="1" applyFill="1" applyAlignment="1">
      <alignment horizontal="left" vertical="center" wrapText="1"/>
    </xf>
    <xf numFmtId="0" fontId="60" fillId="2" borderId="0" xfId="0" applyFont="1" applyFill="1" applyAlignment="1">
      <alignment horizontal="left" vertical="center" wrapText="1"/>
    </xf>
    <xf numFmtId="0" fontId="57" fillId="2" borderId="0" xfId="0" applyFont="1" applyFill="1" applyAlignment="1">
      <alignment horizontal="left" vertical="center" wrapText="1"/>
    </xf>
    <xf numFmtId="15" fontId="58" fillId="2" borderId="0" xfId="0" applyNumberFormat="1" applyFont="1" applyFill="1" applyAlignment="1">
      <alignment horizontal="left" vertical="center"/>
    </xf>
    <xf numFmtId="0" fontId="171" fillId="42" borderId="0" xfId="0" applyFont="1" applyFill="1"/>
    <xf numFmtId="0" fontId="172" fillId="42" borderId="0" xfId="0" applyFont="1" applyFill="1"/>
    <xf numFmtId="0" fontId="172" fillId="2" borderId="31" xfId="0" applyFont="1" applyFill="1" applyBorder="1"/>
    <xf numFmtId="0" fontId="173" fillId="2" borderId="32" xfId="0" applyFont="1" applyFill="1" applyBorder="1"/>
    <xf numFmtId="0" fontId="172" fillId="2" borderId="33" xfId="0" applyFont="1" applyFill="1" applyBorder="1"/>
    <xf numFmtId="0" fontId="173" fillId="2" borderId="34" xfId="0" applyFont="1" applyFill="1" applyBorder="1"/>
    <xf numFmtId="0" fontId="173" fillId="42" borderId="0" xfId="0" applyFont="1" applyFill="1"/>
    <xf numFmtId="14" fontId="57" fillId="2" borderId="0" xfId="0" applyNumberFormat="1" applyFont="1" applyFill="1" applyAlignment="1">
      <alignment vertical="center" wrapText="1"/>
    </xf>
    <xf numFmtId="0" fontId="62" fillId="2" borderId="0" xfId="0" applyFont="1" applyFill="1" applyAlignment="1">
      <alignment vertical="center" wrapText="1"/>
    </xf>
    <xf numFmtId="15" fontId="58" fillId="2" borderId="0" xfId="0" applyNumberFormat="1" applyFont="1" applyFill="1" applyAlignment="1"/>
    <xf numFmtId="0" fontId="62" fillId="2" borderId="31" xfId="0" applyFont="1" applyFill="1" applyBorder="1" applyAlignment="1">
      <alignment vertical="center" wrapText="1"/>
    </xf>
    <xf numFmtId="0" fontId="62" fillId="2" borderId="31" xfId="0" applyFont="1" applyFill="1" applyBorder="1" applyAlignment="1">
      <alignment vertical="center"/>
    </xf>
    <xf numFmtId="0" fontId="172" fillId="2" borderId="7" xfId="0" applyFont="1" applyFill="1" applyBorder="1"/>
    <xf numFmtId="0" fontId="172" fillId="2" borderId="32" xfId="0" applyFont="1" applyFill="1" applyBorder="1"/>
    <xf numFmtId="0" fontId="55" fillId="2" borderId="35" xfId="9" applyNumberFormat="1" applyFont="1" applyFill="1" applyBorder="1" applyAlignment="1">
      <alignment vertical="center"/>
    </xf>
    <xf numFmtId="0" fontId="173" fillId="2" borderId="36" xfId="0" applyFont="1" applyFill="1" applyBorder="1"/>
    <xf numFmtId="0" fontId="172" fillId="2" borderId="0" xfId="0" applyFont="1" applyFill="1" applyBorder="1"/>
    <xf numFmtId="0" fontId="172" fillId="2" borderId="36" xfId="0" applyFont="1" applyFill="1" applyBorder="1"/>
    <xf numFmtId="0" fontId="172" fillId="2" borderId="35" xfId="0" applyFont="1" applyFill="1" applyBorder="1"/>
    <xf numFmtId="0" fontId="56" fillId="2" borderId="35" xfId="9" applyNumberFormat="1" applyFont="1" applyFill="1" applyBorder="1" applyAlignment="1">
      <alignment vertical="center"/>
    </xf>
    <xf numFmtId="0" fontId="56" fillId="2" borderId="35" xfId="9" applyFont="1" applyFill="1" applyBorder="1" applyAlignment="1">
      <alignment vertical="center"/>
    </xf>
    <xf numFmtId="0" fontId="58" fillId="2" borderId="33" xfId="9" applyFont="1" applyFill="1" applyBorder="1" applyAlignment="1">
      <alignment vertical="center"/>
    </xf>
    <xf numFmtId="0" fontId="58" fillId="2" borderId="33" xfId="9" applyNumberFormat="1" applyFont="1" applyFill="1" applyBorder="1" applyAlignment="1">
      <alignment vertical="center"/>
    </xf>
    <xf numFmtId="0" fontId="172" fillId="2" borderId="6" xfId="0" applyFont="1" applyFill="1" applyBorder="1"/>
    <xf numFmtId="0" fontId="172" fillId="2" borderId="34" xfId="0" applyFont="1" applyFill="1" applyBorder="1"/>
    <xf numFmtId="0" fontId="171" fillId="42" borderId="1" xfId="0" applyFont="1" applyFill="1" applyBorder="1" applyAlignment="1">
      <alignment horizontal="left" vertical="top"/>
    </xf>
    <xf numFmtId="0" fontId="172" fillId="42" borderId="1" xfId="0" applyFont="1" applyFill="1" applyBorder="1" applyAlignment="1">
      <alignment horizontal="left" vertical="top"/>
    </xf>
    <xf numFmtId="0" fontId="172" fillId="42" borderId="1" xfId="0" applyFont="1" applyFill="1" applyBorder="1" applyAlignment="1">
      <alignment horizontal="left" vertical="top" wrapText="1"/>
    </xf>
    <xf numFmtId="0" fontId="174" fillId="42" borderId="1" xfId="1639" applyFill="1" applyBorder="1" applyAlignment="1">
      <alignment horizontal="left" vertical="top"/>
    </xf>
    <xf numFmtId="0" fontId="172" fillId="42" borderId="0" xfId="0" applyFont="1" applyFill="1" applyAlignment="1">
      <alignment vertical="center"/>
    </xf>
    <xf numFmtId="0" fontId="175" fillId="42" borderId="0" xfId="0" applyFont="1" applyFill="1" applyAlignment="1">
      <alignment vertical="center"/>
    </xf>
    <xf numFmtId="0" fontId="175" fillId="42" borderId="0" xfId="0" applyFont="1" applyFill="1" applyAlignment="1">
      <alignment vertical="center" wrapText="1"/>
    </xf>
    <xf numFmtId="0" fontId="172" fillId="42" borderId="0" xfId="0" applyFont="1" applyFill="1" applyAlignment="1">
      <alignment vertical="center" wrapText="1"/>
    </xf>
    <xf numFmtId="0" fontId="175" fillId="42" borderId="0" xfId="0" applyFont="1" applyFill="1"/>
    <xf numFmtId="0" fontId="175" fillId="42" borderId="0" xfId="0" applyFont="1" applyFill="1" applyAlignment="1">
      <alignment vertical="top" wrapText="1"/>
    </xf>
    <xf numFmtId="0" fontId="172" fillId="42" borderId="0" xfId="0" applyFont="1" applyFill="1" applyAlignment="1">
      <alignment vertical="top" wrapText="1"/>
    </xf>
    <xf numFmtId="0" fontId="172" fillId="42" borderId="0" xfId="0" applyFont="1" applyFill="1" applyAlignment="1">
      <alignment horizontal="left"/>
    </xf>
    <xf numFmtId="0" fontId="172" fillId="6" borderId="0" xfId="0" applyFont="1" applyFill="1"/>
    <xf numFmtId="0" fontId="176" fillId="42" borderId="0" xfId="0" applyFont="1" applyFill="1" applyAlignment="1">
      <alignment horizontal="center" vertical="center"/>
    </xf>
    <xf numFmtId="0" fontId="172" fillId="42" borderId="0" xfId="0" applyFont="1" applyFill="1" applyAlignment="1">
      <alignment horizontal="center" vertical="center"/>
    </xf>
    <xf numFmtId="37" fontId="58" fillId="2" borderId="1" xfId="2" applyNumberFormat="1" applyFont="1" applyFill="1" applyBorder="1" applyAlignment="1" applyProtection="1">
      <alignment horizontal="right" wrapText="1"/>
    </xf>
    <xf numFmtId="37" fontId="58" fillId="0" borderId="1" xfId="2" applyNumberFormat="1" applyFont="1" applyFill="1" applyBorder="1" applyAlignment="1" applyProtection="1">
      <alignment horizontal="right" wrapText="1"/>
    </xf>
    <xf numFmtId="37" fontId="58" fillId="0" borderId="1" xfId="5" applyNumberFormat="1" applyFont="1" applyFill="1" applyBorder="1" applyAlignment="1" applyProtection="1">
      <alignment horizontal="right" vertical="center" wrapText="1"/>
    </xf>
    <xf numFmtId="0" fontId="61" fillId="2" borderId="0" xfId="0" applyFont="1" applyFill="1" applyAlignment="1">
      <alignment horizontal="left" vertical="center" wrapText="1"/>
    </xf>
    <xf numFmtId="0" fontId="57" fillId="2" borderId="0" xfId="0" applyFont="1" applyFill="1" applyAlignment="1">
      <alignment horizontal="left" vertical="center" wrapText="1"/>
    </xf>
    <xf numFmtId="0" fontId="0" fillId="0" borderId="0" xfId="0"/>
    <xf numFmtId="0" fontId="59" fillId="2" borderId="0" xfId="0" applyFont="1" applyFill="1" applyAlignment="1">
      <alignment horizontal="left" vertical="center" wrapText="1"/>
    </xf>
    <xf numFmtId="0" fontId="60" fillId="2" borderId="0" xfId="0" applyFont="1" applyFill="1" applyAlignment="1">
      <alignment horizontal="left" vertical="center" wrapText="1"/>
    </xf>
    <xf numFmtId="0" fontId="58" fillId="2" borderId="0" xfId="0" applyFont="1" applyFill="1" applyAlignment="1">
      <alignment horizontal="center"/>
    </xf>
    <xf numFmtId="0" fontId="56" fillId="2" borderId="0" xfId="0" applyFont="1" applyFill="1" applyAlignment="1">
      <alignment horizontal="center"/>
    </xf>
    <xf numFmtId="0" fontId="59" fillId="2" borderId="0" xfId="0" applyFont="1" applyFill="1" applyBorder="1" applyAlignment="1">
      <alignment horizontal="center" vertical="center"/>
    </xf>
    <xf numFmtId="0" fontId="51" fillId="2" borderId="0" xfId="0" applyFont="1" applyFill="1" applyBorder="1" applyAlignment="1">
      <alignment horizontal="center"/>
    </xf>
    <xf numFmtId="0" fontId="0" fillId="2" borderId="0" xfId="0" applyFill="1" applyBorder="1" applyAlignment="1">
      <alignment horizontal="center"/>
    </xf>
    <xf numFmtId="0" fontId="52" fillId="2" borderId="0" xfId="0" applyFont="1" applyFill="1" applyAlignment="1">
      <alignment horizontal="right" vertical="center" wrapText="1"/>
    </xf>
    <xf numFmtId="0" fontId="53" fillId="2" borderId="0" xfId="0" applyFont="1" applyFill="1" applyAlignment="1">
      <alignment horizontal="right" vertical="center" wrapText="1"/>
    </xf>
    <xf numFmtId="0" fontId="54" fillId="2" borderId="0" xfId="0" applyFont="1" applyFill="1" applyAlignment="1">
      <alignment horizontal="center" vertical="center" wrapText="1"/>
    </xf>
    <xf numFmtId="0" fontId="55" fillId="2" borderId="0" xfId="0" applyFont="1" applyFill="1" applyAlignment="1">
      <alignment horizontal="center" vertical="center"/>
    </xf>
    <xf numFmtId="49" fontId="65" fillId="4" borderId="4" xfId="0" applyNumberFormat="1" applyFont="1" applyFill="1" applyBorder="1" applyAlignment="1" applyProtection="1">
      <alignment horizontal="center" vertical="center" wrapText="1"/>
    </xf>
    <xf numFmtId="49" fontId="65" fillId="4" borderId="5" xfId="0" applyNumberFormat="1" applyFont="1" applyFill="1" applyBorder="1" applyAlignment="1" applyProtection="1">
      <alignment horizontal="center" vertical="center" wrapText="1"/>
    </xf>
    <xf numFmtId="49" fontId="56" fillId="4" borderId="4" xfId="0" applyNumberFormat="1" applyFont="1" applyFill="1" applyBorder="1" applyAlignment="1" applyProtection="1">
      <alignment horizontal="center" vertical="center" wrapText="1"/>
    </xf>
    <xf numFmtId="49" fontId="56" fillId="4" borderId="5" xfId="0" applyNumberFormat="1" applyFont="1" applyFill="1" applyBorder="1" applyAlignment="1" applyProtection="1">
      <alignment horizontal="center" vertical="center" wrapText="1"/>
    </xf>
    <xf numFmtId="0" fontId="58" fillId="0" borderId="5" xfId="0" applyFont="1" applyBorder="1" applyAlignment="1">
      <alignment vertical="center"/>
    </xf>
    <xf numFmtId="49" fontId="56" fillId="4" borderId="2" xfId="0" applyNumberFormat="1" applyFont="1" applyFill="1" applyBorder="1" applyAlignment="1" applyProtection="1">
      <alignment horizontal="center" vertical="center" wrapText="1"/>
    </xf>
    <xf numFmtId="49" fontId="56" fillId="4" borderId="3" xfId="0" applyNumberFormat="1" applyFont="1" applyFill="1" applyBorder="1" applyAlignment="1" applyProtection="1">
      <alignment horizontal="center" vertical="center" wrapText="1"/>
    </xf>
    <xf numFmtId="15" fontId="58" fillId="2" borderId="0" xfId="0" applyNumberFormat="1" applyFont="1" applyFill="1" applyAlignment="1">
      <alignment horizontal="left"/>
    </xf>
    <xf numFmtId="15" fontId="61" fillId="2" borderId="0" xfId="0" applyNumberFormat="1" applyFont="1" applyFill="1" applyAlignment="1">
      <alignment horizontal="left" vertical="center" wrapText="1"/>
    </xf>
    <xf numFmtId="172" fontId="65" fillId="2" borderId="0" xfId="1" applyNumberFormat="1" applyFont="1" applyFill="1" applyAlignment="1" applyProtection="1">
      <alignment horizontal="center"/>
      <protection locked="0"/>
    </xf>
    <xf numFmtId="0" fontId="59" fillId="2" borderId="0" xfId="0" applyFont="1" applyFill="1" applyBorder="1" applyAlignment="1">
      <alignment horizontal="left" vertical="center"/>
    </xf>
    <xf numFmtId="0" fontId="58" fillId="2" borderId="0" xfId="0" applyFont="1" applyFill="1" applyAlignment="1">
      <alignment horizontal="left"/>
    </xf>
    <xf numFmtId="0" fontId="0" fillId="0" borderId="0" xfId="0" applyAlignment="1"/>
    <xf numFmtId="0" fontId="56" fillId="2" borderId="0" xfId="0" applyFont="1" applyFill="1" applyAlignment="1">
      <alignment horizontal="left"/>
    </xf>
    <xf numFmtId="0" fontId="61" fillId="2" borderId="0" xfId="0" applyFont="1" applyFill="1" applyAlignment="1">
      <alignment vertical="top" wrapText="1"/>
    </xf>
    <xf numFmtId="14" fontId="61" fillId="2" borderId="0" xfId="0" applyNumberFormat="1" applyFont="1" applyFill="1" applyAlignment="1">
      <alignment vertical="top" wrapText="1"/>
    </xf>
    <xf numFmtId="0" fontId="71" fillId="2" borderId="0" xfId="0" applyFont="1" applyFill="1" applyAlignment="1">
      <alignment vertical="top" wrapText="1"/>
    </xf>
    <xf numFmtId="14" fontId="61" fillId="2" borderId="0" xfId="0" applyNumberFormat="1" applyFont="1" applyFill="1" applyAlignment="1">
      <alignment vertical="center" wrapText="1"/>
    </xf>
    <xf numFmtId="0" fontId="61" fillId="2" borderId="0" xfId="0" applyFont="1" applyFill="1" applyAlignment="1">
      <alignment vertical="center" wrapText="1"/>
    </xf>
    <xf numFmtId="0" fontId="58" fillId="2" borderId="0" xfId="0" applyFont="1" applyFill="1" applyAlignment="1">
      <alignment horizontal="left" vertical="center"/>
    </xf>
    <xf numFmtId="0" fontId="58" fillId="2" borderId="0" xfId="0" applyFont="1" applyFill="1" applyAlignment="1">
      <alignment horizontal="left" vertical="center" wrapText="1"/>
    </xf>
    <xf numFmtId="0" fontId="71" fillId="2" borderId="0" xfId="0" applyFont="1" applyFill="1" applyAlignment="1">
      <alignment vertical="center" wrapText="1"/>
    </xf>
    <xf numFmtId="15" fontId="58" fillId="2" borderId="0" xfId="0" applyNumberFormat="1" applyFont="1" applyFill="1" applyAlignment="1">
      <alignment horizontal="left" vertical="center"/>
    </xf>
    <xf numFmtId="0" fontId="67" fillId="2" borderId="0" xfId="0" applyFont="1" applyFill="1" applyAlignment="1">
      <alignment horizontal="right" vertical="center" wrapText="1"/>
    </xf>
    <xf numFmtId="0" fontId="61" fillId="2" borderId="0" xfId="0" applyFont="1" applyFill="1" applyAlignment="1">
      <alignment horizontal="left" vertical="top" wrapText="1"/>
    </xf>
    <xf numFmtId="0" fontId="58" fillId="2" borderId="0" xfId="0" applyFont="1" applyFill="1" applyAlignment="1">
      <alignment horizontal="left" vertical="top"/>
    </xf>
    <xf numFmtId="0" fontId="58" fillId="2" borderId="0" xfId="0" applyFont="1" applyFill="1" applyAlignment="1">
      <alignment horizontal="left" vertical="top" wrapText="1"/>
    </xf>
    <xf numFmtId="0" fontId="60" fillId="2" borderId="0" xfId="0" applyFont="1" applyFill="1" applyAlignment="1">
      <alignment horizontal="left" vertical="top" wrapText="1"/>
    </xf>
    <xf numFmtId="0" fontId="59" fillId="2" borderId="0" xfId="0" applyFont="1" applyFill="1" applyAlignment="1">
      <alignment horizontal="left" vertical="top" wrapText="1"/>
    </xf>
    <xf numFmtId="0" fontId="57" fillId="2" borderId="0" xfId="0" applyFont="1" applyFill="1" applyAlignment="1">
      <alignment horizontal="left" vertical="top" wrapText="1"/>
    </xf>
    <xf numFmtId="172" fontId="80" fillId="9" borderId="0" xfId="28" applyNumberFormat="1" applyFont="1" applyFill="1" applyAlignment="1" applyProtection="1">
      <alignment horizontal="left" vertical="center"/>
      <protection locked="0"/>
    </xf>
    <xf numFmtId="172" fontId="80" fillId="41" borderId="0" xfId="28" applyNumberFormat="1" applyFont="1" applyFill="1" applyAlignment="1" applyProtection="1">
      <alignment horizontal="left" vertical="center"/>
      <protection locked="0"/>
    </xf>
    <xf numFmtId="0" fontId="55" fillId="0" borderId="0" xfId="0" applyFont="1" applyFill="1" applyAlignment="1">
      <alignment horizontal="center" vertical="center"/>
    </xf>
    <xf numFmtId="0" fontId="60" fillId="2" borderId="0" xfId="5" applyFont="1" applyFill="1" applyAlignment="1">
      <alignment horizontal="left" vertical="top" wrapText="1"/>
    </xf>
    <xf numFmtId="0" fontId="60" fillId="2" borderId="1" xfId="0" applyFont="1" applyFill="1" applyBorder="1" applyAlignment="1">
      <alignment horizontal="center" vertical="center"/>
    </xf>
    <xf numFmtId="0" fontId="71" fillId="2" borderId="0" xfId="0" applyFont="1" applyFill="1" applyAlignment="1">
      <alignment horizontal="left" vertical="top" wrapText="1"/>
    </xf>
    <xf numFmtId="49" fontId="65" fillId="4" borderId="1" xfId="0" applyNumberFormat="1" applyFont="1" applyFill="1" applyBorder="1" applyAlignment="1" applyProtection="1">
      <alignment horizontal="center" vertical="center" wrapText="1"/>
    </xf>
    <xf numFmtId="0" fontId="60" fillId="2" borderId="4" xfId="2" applyNumberFormat="1" applyFont="1" applyFill="1" applyBorder="1" applyAlignment="1" applyProtection="1">
      <alignment horizontal="center" vertical="center" wrapText="1"/>
    </xf>
    <xf numFmtId="0" fontId="60" fillId="2" borderId="5" xfId="2" applyNumberFormat="1" applyFont="1" applyFill="1" applyBorder="1" applyAlignment="1" applyProtection="1">
      <alignment horizontal="center" vertical="center" wrapText="1"/>
    </xf>
    <xf numFmtId="0" fontId="82" fillId="2" borderId="0" xfId="0" applyFont="1" applyFill="1" applyAlignment="1">
      <alignment horizontal="center" vertical="center" wrapText="1"/>
    </xf>
    <xf numFmtId="0" fontId="71" fillId="2" borderId="0" xfId="0" applyFont="1" applyFill="1" applyAlignment="1">
      <alignment horizontal="left" vertical="center" wrapText="1"/>
    </xf>
    <xf numFmtId="0" fontId="67" fillId="0" borderId="0" xfId="0" applyFont="1" applyFill="1" applyAlignment="1">
      <alignment horizontal="right" vertical="center" wrapText="1"/>
    </xf>
    <xf numFmtId="0" fontId="54" fillId="0" borderId="0" xfId="0" applyFont="1" applyFill="1" applyAlignment="1">
      <alignment horizontal="center" vertical="center" wrapText="1"/>
    </xf>
    <xf numFmtId="0" fontId="56" fillId="2" borderId="0" xfId="0" applyFont="1" applyFill="1" applyAlignment="1">
      <alignment horizontal="left" vertical="center" wrapText="1"/>
    </xf>
    <xf numFmtId="0" fontId="56" fillId="2" borderId="0" xfId="0" applyFont="1" applyFill="1" applyAlignment="1">
      <alignment horizontal="left" vertical="center"/>
    </xf>
    <xf numFmtId="0" fontId="65" fillId="4" borderId="4" xfId="5" applyFont="1" applyFill="1" applyBorder="1" applyAlignment="1">
      <alignment horizontal="center" vertical="center" wrapText="1"/>
    </xf>
    <xf numFmtId="0" fontId="65" fillId="4" borderId="5" xfId="5" applyFont="1" applyFill="1" applyBorder="1" applyAlignment="1">
      <alignment horizontal="center" vertical="center" wrapText="1"/>
    </xf>
    <xf numFmtId="0" fontId="65" fillId="4" borderId="2" xfId="5" applyFont="1" applyFill="1" applyBorder="1" applyAlignment="1">
      <alignment horizontal="center" vertical="center" wrapText="1"/>
    </xf>
    <xf numFmtId="0" fontId="65" fillId="4" borderId="3" xfId="5" applyFont="1" applyFill="1" applyBorder="1" applyAlignment="1">
      <alignment horizontal="center" vertical="center" wrapText="1"/>
    </xf>
    <xf numFmtId="0" fontId="65" fillId="4" borderId="4" xfId="5" applyNumberFormat="1" applyFont="1" applyFill="1" applyBorder="1" applyAlignment="1" applyProtection="1">
      <alignment horizontal="center" vertical="center" wrapText="1"/>
    </xf>
    <xf numFmtId="0" fontId="65" fillId="4" borderId="5" xfId="5" applyNumberFormat="1" applyFont="1" applyFill="1" applyBorder="1" applyAlignment="1" applyProtection="1">
      <alignment horizontal="center" vertical="center" wrapText="1"/>
    </xf>
    <xf numFmtId="172" fontId="60" fillId="2" borderId="7" xfId="1" applyNumberFormat="1" applyFont="1" applyFill="1" applyBorder="1" applyProtection="1">
      <protection locked="0"/>
    </xf>
    <xf numFmtId="0" fontId="50" fillId="2" borderId="7" xfId="5" applyFill="1" applyBorder="1"/>
  </cellXfs>
  <cellStyles count="1640">
    <cellStyle name=" 1" xfId="169"/>
    <cellStyle name=" 1 2" xfId="162"/>
    <cellStyle name=" 1 3" xfId="161"/>
    <cellStyle name="." xfId="114"/>
    <cellStyle name="??" xfId="572"/>
    <cellStyle name="?? [0.00]_ Att. 1- Cover" xfId="573"/>
    <cellStyle name="?? [0]" xfId="574"/>
    <cellStyle name="???? [0.00]_PRODUCT DETAIL Q1" xfId="575"/>
    <cellStyle name="????_PRODUCT DETAIL Q1" xfId="576"/>
    <cellStyle name="???[0]_00Q3902REV.1" xfId="577"/>
    <cellStyle name="???_???" xfId="578"/>
    <cellStyle name="??[0]_BRE" xfId="579"/>
    <cellStyle name="??_ Att. 1- Cover" xfId="580"/>
    <cellStyle name="_bang CDKT (Cuong)" xfId="581"/>
    <cellStyle name="_Book1" xfId="582"/>
    <cellStyle name="_ÿÿÿÿÿ" xfId="583"/>
    <cellStyle name="W_MARINE" xfId="584"/>
    <cellStyle name="20" xfId="585"/>
    <cellStyle name="20% - Accent1 2" xfId="123"/>
    <cellStyle name="20% - Accent2 2" xfId="150"/>
    <cellStyle name="20% - Accent3 2" xfId="149"/>
    <cellStyle name="20% - Accent4 2" xfId="146"/>
    <cellStyle name="20% - Accent5 2" xfId="144"/>
    <cellStyle name="20% - Accent6 2" xfId="212"/>
    <cellStyle name="40% - Accent1 2" xfId="213"/>
    <cellStyle name="40% - Accent2 2" xfId="214"/>
    <cellStyle name="40% - Accent3 2" xfId="215"/>
    <cellStyle name="40% - Accent4 2" xfId="216"/>
    <cellStyle name="40% - Accent5 2" xfId="217"/>
    <cellStyle name="40% - Accent6 2" xfId="218"/>
    <cellStyle name="60% - Accent1 2" xfId="219"/>
    <cellStyle name="60% - Accent2 2" xfId="220"/>
    <cellStyle name="60% - Accent3 2" xfId="221"/>
    <cellStyle name="60% - Accent4 2" xfId="222"/>
    <cellStyle name="60% - Accent5 2" xfId="223"/>
    <cellStyle name="60% - Accent6 2" xfId="224"/>
    <cellStyle name="Accent1 2" xfId="225"/>
    <cellStyle name="Accent2 2" xfId="226"/>
    <cellStyle name="Accent3 2" xfId="227"/>
    <cellStyle name="Accent4 2" xfId="228"/>
    <cellStyle name="Accent5 2" xfId="229"/>
    <cellStyle name="Accent6 2" xfId="230"/>
    <cellStyle name="ÅëÈ­ [0]_±âÅ¸" xfId="586"/>
    <cellStyle name="AeE­ [0]_INQUIRY ¿µ¾÷AßAø " xfId="587"/>
    <cellStyle name="ÅëÈ­ [0]_S" xfId="588"/>
    <cellStyle name="ÅëÈ­_±âÅ¸" xfId="589"/>
    <cellStyle name="AeE­_INQUIRY ¿µ¾÷AßAø " xfId="590"/>
    <cellStyle name="ÅëÈ­_S" xfId="591"/>
    <cellStyle name="args.style" xfId="592"/>
    <cellStyle name="ÄÞ¸¶ [0]_±âÅ¸" xfId="593"/>
    <cellStyle name="AÞ¸¶ [0]_INQUIRY ¿?¾÷AßAø " xfId="594"/>
    <cellStyle name="ÄÞ¸¶ [0]_S" xfId="595"/>
    <cellStyle name="ÄÞ¸¶_±âÅ¸" xfId="596"/>
    <cellStyle name="AÞ¸¶_INQUIRY ¿?¾÷AßAø " xfId="597"/>
    <cellStyle name="ÄÞ¸¶_S" xfId="598"/>
    <cellStyle name="Bad 2" xfId="231"/>
    <cellStyle name="C?AØ_¿?¾÷CoE² " xfId="599"/>
    <cellStyle name="Ç¥ÁØ_#2(M17)_1" xfId="600"/>
    <cellStyle name="C￥AØ_¿μ¾÷CoE² " xfId="601"/>
    <cellStyle name="Ç¥ÁØ_S" xfId="602"/>
    <cellStyle name="C00A" xfId="113"/>
    <cellStyle name="C00B" xfId="126"/>
    <cellStyle name="C00L" xfId="127"/>
    <cellStyle name="C01A" xfId="119"/>
    <cellStyle name="C01B" xfId="133"/>
    <cellStyle name="C01H" xfId="118"/>
    <cellStyle name="C01L" xfId="132"/>
    <cellStyle name="C02A" xfId="136"/>
    <cellStyle name="C02B" xfId="125"/>
    <cellStyle name="C02H" xfId="115"/>
    <cellStyle name="C02L" xfId="130"/>
    <cellStyle name="C03A" xfId="135"/>
    <cellStyle name="C03B" xfId="122"/>
    <cellStyle name="C03H" xfId="112"/>
    <cellStyle name="C03L" xfId="110"/>
    <cellStyle name="C04A" xfId="116"/>
    <cellStyle name="C04B" xfId="128"/>
    <cellStyle name="C04H" xfId="120"/>
    <cellStyle name="C04L" xfId="117"/>
    <cellStyle name="C05A" xfId="129"/>
    <cellStyle name="C05B" xfId="134"/>
    <cellStyle name="C05H" xfId="121"/>
    <cellStyle name="C05L" xfId="109"/>
    <cellStyle name="C06A" xfId="111"/>
    <cellStyle name="C06B" xfId="137"/>
    <cellStyle name="C06H" xfId="138"/>
    <cellStyle name="C06L" xfId="139"/>
    <cellStyle name="C07A" xfId="140"/>
    <cellStyle name="C07B" xfId="141"/>
    <cellStyle name="C07H" xfId="142"/>
    <cellStyle name="C07L" xfId="143"/>
    <cellStyle name="Calc Currency (0)" xfId="603"/>
    <cellStyle name="Calculation 2" xfId="232"/>
    <cellStyle name="category" xfId="604"/>
    <cellStyle name="Check Cell 2" xfId="233"/>
    <cellStyle name="CHUONG" xfId="605"/>
    <cellStyle name="Comma" xfId="1" builtinId="3"/>
    <cellStyle name="Comma 10" xfId="10"/>
    <cellStyle name="Comma 10 2" xfId="49"/>
    <cellStyle name="Comma 10 2 2" xfId="951"/>
    <cellStyle name="Comma 10 3" xfId="392"/>
    <cellStyle name="Comma 10 4" xfId="923"/>
    <cellStyle name="Comma 11" xfId="18"/>
    <cellStyle name="Comma 11 2" xfId="606"/>
    <cellStyle name="Comma 12" xfId="11"/>
    <cellStyle name="Comma 13" xfId="78"/>
    <cellStyle name="Comma 13 2" xfId="980"/>
    <cellStyle name="Comma 14" xfId="410"/>
    <cellStyle name="Comma 14 2" xfId="1143"/>
    <cellStyle name="Comma 15" xfId="738"/>
    <cellStyle name="Comma 15 2" xfId="1307"/>
    <cellStyle name="Comma 2" xfId="6"/>
    <cellStyle name="Comma 2 2" xfId="8"/>
    <cellStyle name="Comma 2 2 2" xfId="103"/>
    <cellStyle name="Comma 2 2 2 2" xfId="382"/>
    <cellStyle name="Comma 2 2 2 3" xfId="426"/>
    <cellStyle name="Comma 2 2 2 3 2" xfId="1159"/>
    <cellStyle name="Comma 2 2 2 4" xfId="754"/>
    <cellStyle name="Comma 2 2 2 4 2" xfId="1323"/>
    <cellStyle name="Comma 2 2 2 5" xfId="996"/>
    <cellStyle name="Comma 2 2 3" xfId="145"/>
    <cellStyle name="Comma 2 2 3 2" xfId="377"/>
    <cellStyle name="Comma 2 2 3 2 2" xfId="564"/>
    <cellStyle name="Comma 2 2 3 2 2 2" xfId="1297"/>
    <cellStyle name="Comma 2 2 3 2 3" xfId="891"/>
    <cellStyle name="Comma 2 2 3 2 3 2" xfId="1460"/>
    <cellStyle name="Comma 2 2 3 2 4" xfId="1133"/>
    <cellStyle name="Comma 2 2 4" xfId="235"/>
    <cellStyle name="Comma 2 2 5" xfId="89"/>
    <cellStyle name="Comma 2 2 5 2" xfId="607"/>
    <cellStyle name="Comma 2 2 5 3" xfId="986"/>
    <cellStyle name="Comma 2 2 6" xfId="416"/>
    <cellStyle name="Comma 2 2 6 2" xfId="1149"/>
    <cellStyle name="Comma 2 2 7" xfId="744"/>
    <cellStyle name="Comma 2 2 7 2" xfId="1313"/>
    <cellStyle name="Comma 2 3" xfId="47"/>
    <cellStyle name="Comma 2 3 2" xfId="147"/>
    <cellStyle name="Comma 2 3 2 2" xfId="430"/>
    <cellStyle name="Comma 2 3 2 2 2" xfId="1163"/>
    <cellStyle name="Comma 2 3 2 3" xfId="758"/>
    <cellStyle name="Comma 2 3 2 3 2" xfId="1327"/>
    <cellStyle name="Comma 2 3 2 4" xfId="1000"/>
    <cellStyle name="Comma 2 3 3" xfId="381"/>
    <cellStyle name="Comma 2 3 4" xfId="97"/>
    <cellStyle name="Comma 2 3 4 2" xfId="991"/>
    <cellStyle name="Comma 2 3 5" xfId="421"/>
    <cellStyle name="Comma 2 3 5 2" xfId="1154"/>
    <cellStyle name="Comma 2 3 6" xfId="749"/>
    <cellStyle name="Comma 2 3 6 2" xfId="1318"/>
    <cellStyle name="Comma 2 3 7" xfId="949"/>
    <cellStyle name="Comma 2 4" xfId="148"/>
    <cellStyle name="Comma 2 4 2" xfId="431"/>
    <cellStyle name="Comma 2 4 2 2" xfId="1164"/>
    <cellStyle name="Comma 2 4 3" xfId="759"/>
    <cellStyle name="Comma 2 4 3 2" xfId="1328"/>
    <cellStyle name="Comma 2 4 4" xfId="1001"/>
    <cellStyle name="Comma 2 5" xfId="234"/>
    <cellStyle name="Comma 2 6" xfId="81"/>
    <cellStyle name="Comma 2 6 2" xfId="608"/>
    <cellStyle name="Comma 2 6 3" xfId="981"/>
    <cellStyle name="Comma 2 7" xfId="411"/>
    <cellStyle name="Comma 2 7 2" xfId="1144"/>
    <cellStyle name="Comma 2 8" xfId="739"/>
    <cellStyle name="Comma 2 8 2" xfId="1308"/>
    <cellStyle name="Comma 2 9" xfId="921"/>
    <cellStyle name="Comma 3" xfId="28"/>
    <cellStyle name="Comma 3 2" xfId="390"/>
    <cellStyle name="Comma 4" xfId="44"/>
    <cellStyle name="Comma 4 2" xfId="88"/>
    <cellStyle name="Comma 5" xfId="96"/>
    <cellStyle name="Comma 5 2" xfId="152"/>
    <cellStyle name="Comma 5 2 2" xfId="153"/>
    <cellStyle name="Comma 5 2 2 2" xfId="434"/>
    <cellStyle name="Comma 5 2 2 2 2" xfId="1167"/>
    <cellStyle name="Comma 5 2 2 3" xfId="762"/>
    <cellStyle name="Comma 5 2 2 3 2" xfId="1331"/>
    <cellStyle name="Comma 5 2 2 4" xfId="1004"/>
    <cellStyle name="Comma 5 2 3" xfId="433"/>
    <cellStyle name="Comma 5 2 3 2" xfId="1166"/>
    <cellStyle name="Comma 5 2 4" xfId="761"/>
    <cellStyle name="Comma 5 2 4 2" xfId="1330"/>
    <cellStyle name="Comma 5 2 5" xfId="1003"/>
    <cellStyle name="Comma 5 3" xfId="154"/>
    <cellStyle name="Comma 5 3 2" xfId="435"/>
    <cellStyle name="Comma 5 3 2 2" xfId="1168"/>
    <cellStyle name="Comma 5 3 3" xfId="763"/>
    <cellStyle name="Comma 5 3 3 2" xfId="1332"/>
    <cellStyle name="Comma 5 3 4" xfId="1005"/>
    <cellStyle name="Comma 5 4" xfId="151"/>
    <cellStyle name="Comma 5 4 2" xfId="432"/>
    <cellStyle name="Comma 5 4 2 2" xfId="1165"/>
    <cellStyle name="Comma 5 4 3" xfId="760"/>
    <cellStyle name="Comma 5 4 3 2" xfId="1329"/>
    <cellStyle name="Comma 5 4 4" xfId="1002"/>
    <cellStyle name="Comma 5 5" xfId="609"/>
    <cellStyle name="Comma 6" xfId="80"/>
    <cellStyle name="Comma 6 2" xfId="155"/>
    <cellStyle name="Comma 6 3" xfId="393"/>
    <cellStyle name="Comma 7" xfId="156"/>
    <cellStyle name="Comma 7 2" xfId="610"/>
    <cellStyle name="Comma 8" xfId="131"/>
    <cellStyle name="Comma 9" xfId="236"/>
    <cellStyle name="Comma 9 2" xfId="611"/>
    <cellStyle name="comma zerodec" xfId="612"/>
    <cellStyle name="Comma[0]" xfId="613"/>
    <cellStyle name="Comma0" xfId="614"/>
    <cellStyle name="Copied" xfId="615"/>
    <cellStyle name="COST1" xfId="616"/>
    <cellStyle name="Cࡵrrency_Sheet1_PRODUCTĠ" xfId="617"/>
    <cellStyle name="Currency [0] 2" xfId="2"/>
    <cellStyle name="Currency0" xfId="618"/>
    <cellStyle name="Currency1" xfId="619"/>
    <cellStyle name="Date" xfId="620"/>
    <cellStyle name="Dezimal [0]_UXO VII" xfId="621"/>
    <cellStyle name="Dezimal_UXO VII" xfId="622"/>
    <cellStyle name="Dollar (zero dec)" xfId="623"/>
    <cellStyle name="Entered" xfId="624"/>
    <cellStyle name="Euro" xfId="157"/>
    <cellStyle name="Explanatory Text 2" xfId="237"/>
    <cellStyle name="Fixed" xfId="625"/>
    <cellStyle name="form_so" xfId="626"/>
    <cellStyle name="Good 2" xfId="238"/>
    <cellStyle name="Grey" xfId="627"/>
    <cellStyle name="HEADER" xfId="628"/>
    <cellStyle name="Header1" xfId="629"/>
    <cellStyle name="Header2" xfId="630"/>
    <cellStyle name="Heading" xfId="631"/>
    <cellStyle name="Heading 1 2" xfId="239"/>
    <cellStyle name="Heading 2 2" xfId="240"/>
    <cellStyle name="Heading 3 2" xfId="241"/>
    <cellStyle name="Heading 4 2" xfId="242"/>
    <cellStyle name="Heading1" xfId="632"/>
    <cellStyle name="Heading2" xfId="633"/>
    <cellStyle name="Hyperlink" xfId="1639" builtinId="8"/>
    <cellStyle name="Hyperlink 2" xfId="108"/>
    <cellStyle name="Hyperlink 2 2" xfId="374"/>
    <cellStyle name="Input [yellow]" xfId="634"/>
    <cellStyle name="Input 2" xfId="243"/>
    <cellStyle name="Input Cells" xfId="635"/>
    <cellStyle name="j" xfId="158"/>
    <cellStyle name="Linked Cell 2" xfId="244"/>
    <cellStyle name="Linked Cells" xfId="636"/>
    <cellStyle name="Milliers [0]_      " xfId="637"/>
    <cellStyle name="Milliers_      " xfId="638"/>
    <cellStyle name="Model" xfId="639"/>
    <cellStyle name="moi" xfId="640"/>
    <cellStyle name="Mon?aire [0]_      " xfId="641"/>
    <cellStyle name="Mon?aire_      " xfId="642"/>
    <cellStyle name="Monétaire [0]_!!!GO" xfId="643"/>
    <cellStyle name="Monétaire_!!!GO" xfId="644"/>
    <cellStyle name="n" xfId="645"/>
    <cellStyle name="Neutral 2" xfId="245"/>
    <cellStyle name="New" xfId="646"/>
    <cellStyle name="New Times Roman" xfId="647"/>
    <cellStyle name="no dec" xfId="648"/>
    <cellStyle name="ÑONVÒ" xfId="649"/>
    <cellStyle name="Normal" xfId="0" builtinId="0"/>
    <cellStyle name="Normal - Style1" xfId="650"/>
    <cellStyle name="Normal 10" xfId="24"/>
    <cellStyle name="Normal 10 2" xfId="58"/>
    <cellStyle name="Normal 10 2 2" xfId="960"/>
    <cellStyle name="Normal 10 3" xfId="246"/>
    <cellStyle name="Normal 10 4" xfId="932"/>
    <cellStyle name="Normal 100" xfId="1529"/>
    <cellStyle name="Normal 101" xfId="1530"/>
    <cellStyle name="Normal 102" xfId="1531"/>
    <cellStyle name="Normal 103" xfId="1532"/>
    <cellStyle name="Normal 104" xfId="1533"/>
    <cellStyle name="Normal 105" xfId="15"/>
    <cellStyle name="Normal 105 2" xfId="53"/>
    <cellStyle name="Normal 105 2 2" xfId="955"/>
    <cellStyle name="Normal 105 3" xfId="927"/>
    <cellStyle name="Normal 106" xfId="1534"/>
    <cellStyle name="Normal 107" xfId="1535"/>
    <cellStyle name="Normal 108" xfId="1536"/>
    <cellStyle name="Normal 109" xfId="1537"/>
    <cellStyle name="Normal 11" xfId="25"/>
    <cellStyle name="Normal 11 2" xfId="59"/>
    <cellStyle name="Normal 11 2 2" xfId="961"/>
    <cellStyle name="Normal 11 3" xfId="391"/>
    <cellStyle name="Normal 11 4" xfId="933"/>
    <cellStyle name="Normal 110" xfId="1538"/>
    <cellStyle name="Normal 111" xfId="1539"/>
    <cellStyle name="Normal 112" xfId="1540"/>
    <cellStyle name="Normal 113" xfId="1541"/>
    <cellStyle name="Normal 114" xfId="1542"/>
    <cellStyle name="Normal 115" xfId="1543"/>
    <cellStyle name="Normal 116" xfId="1544"/>
    <cellStyle name="Normal 117" xfId="1545"/>
    <cellStyle name="Normal 118" xfId="1546"/>
    <cellStyle name="Normal 119" xfId="1547"/>
    <cellStyle name="Normal 12" xfId="26"/>
    <cellStyle name="Normal 12 2" xfId="60"/>
    <cellStyle name="Normal 12 2 2" xfId="962"/>
    <cellStyle name="Normal 12 3" xfId="934"/>
    <cellStyle name="Normal 120" xfId="1548"/>
    <cellStyle name="Normal 121" xfId="1549"/>
    <cellStyle name="Normal 122" xfId="1550"/>
    <cellStyle name="Normal 123" xfId="1551"/>
    <cellStyle name="Normal 124" xfId="1552"/>
    <cellStyle name="Normal 125" xfId="1553"/>
    <cellStyle name="Normal 126" xfId="1554"/>
    <cellStyle name="Normal 127" xfId="1555"/>
    <cellStyle name="Normal 128" xfId="1556"/>
    <cellStyle name="Normal 129" xfId="1557"/>
    <cellStyle name="Normal 13" xfId="27"/>
    <cellStyle name="Normal 13 2" xfId="61"/>
    <cellStyle name="Normal 13 2 2" xfId="963"/>
    <cellStyle name="Normal 13 3" xfId="935"/>
    <cellStyle name="Normal 130" xfId="1558"/>
    <cellStyle name="Normal 131" xfId="1559"/>
    <cellStyle name="Normal 132" xfId="1560"/>
    <cellStyle name="Normal 133" xfId="1561"/>
    <cellStyle name="Normal 134" xfId="1562"/>
    <cellStyle name="Normal 135" xfId="1563"/>
    <cellStyle name="Normal 136" xfId="1564"/>
    <cellStyle name="Normal 137" xfId="1565"/>
    <cellStyle name="Normal 138" xfId="1566"/>
    <cellStyle name="Normal 139" xfId="1567"/>
    <cellStyle name="Normal 14" xfId="29"/>
    <cellStyle name="Normal 14 2" xfId="62"/>
    <cellStyle name="Normal 14 2 2" xfId="964"/>
    <cellStyle name="Normal 14 3" xfId="936"/>
    <cellStyle name="Normal 140" xfId="1568"/>
    <cellStyle name="Normal 141" xfId="1569"/>
    <cellStyle name="Normal 142" xfId="1570"/>
    <cellStyle name="Normal 143" xfId="1571"/>
    <cellStyle name="Normal 144" xfId="1572"/>
    <cellStyle name="Normal 145" xfId="1573"/>
    <cellStyle name="Normal 146" xfId="1574"/>
    <cellStyle name="Normal 147" xfId="1575"/>
    <cellStyle name="Normal 148" xfId="1576"/>
    <cellStyle name="Normal 149" xfId="1577"/>
    <cellStyle name="Normal 15" xfId="30"/>
    <cellStyle name="Normal 15 2" xfId="63"/>
    <cellStyle name="Normal 15 2 2" xfId="965"/>
    <cellStyle name="Normal 15 3" xfId="651"/>
    <cellStyle name="Normal 15 4" xfId="937"/>
    <cellStyle name="Normal 150" xfId="1578"/>
    <cellStyle name="Normal 151" xfId="1579"/>
    <cellStyle name="Normal 152" xfId="1580"/>
    <cellStyle name="Normal 153" xfId="1581"/>
    <cellStyle name="Normal 154" xfId="1582"/>
    <cellStyle name="Normal 155" xfId="1583"/>
    <cellStyle name="Normal 156" xfId="1584"/>
    <cellStyle name="Normal 157" xfId="1585"/>
    <cellStyle name="Normal 158" xfId="1586"/>
    <cellStyle name="Normal 159" xfId="1587"/>
    <cellStyle name="Normal 16" xfId="31"/>
    <cellStyle name="Normal 16 2" xfId="64"/>
    <cellStyle name="Normal 16 2 2" xfId="966"/>
    <cellStyle name="Normal 16 3" xfId="938"/>
    <cellStyle name="Normal 160" xfId="1588"/>
    <cellStyle name="Normal 161" xfId="1589"/>
    <cellStyle name="Normal 162" xfId="1590"/>
    <cellStyle name="Normal 163" xfId="1591"/>
    <cellStyle name="Normal 164" xfId="1592"/>
    <cellStyle name="Normal 165" xfId="1593"/>
    <cellStyle name="Normal 166" xfId="1594"/>
    <cellStyle name="Normal 167" xfId="1595"/>
    <cellStyle name="Normal 168" xfId="1596"/>
    <cellStyle name="Normal 169" xfId="1597"/>
    <cellStyle name="Normal 17" xfId="32"/>
    <cellStyle name="Normal 17 2" xfId="65"/>
    <cellStyle name="Normal 17 2 2" xfId="967"/>
    <cellStyle name="Normal 17 3" xfId="939"/>
    <cellStyle name="Normal 170" xfId="1598"/>
    <cellStyle name="Normal 171" xfId="1599"/>
    <cellStyle name="Normal 172" xfId="1600"/>
    <cellStyle name="Normal 173" xfId="1601"/>
    <cellStyle name="Normal 174" xfId="1602"/>
    <cellStyle name="Normal 175" xfId="1603"/>
    <cellStyle name="Normal 176" xfId="1604"/>
    <cellStyle name="Normal 177" xfId="1605"/>
    <cellStyle name="Normal 178" xfId="1606"/>
    <cellStyle name="Normal 179" xfId="1607"/>
    <cellStyle name="Normal 18" xfId="33"/>
    <cellStyle name="Normal 18 2" xfId="66"/>
    <cellStyle name="Normal 18 2 2" xfId="968"/>
    <cellStyle name="Normal 18 3" xfId="940"/>
    <cellStyle name="Normal 180" xfId="1608"/>
    <cellStyle name="Normal 181" xfId="1609"/>
    <cellStyle name="Normal 182" xfId="1610"/>
    <cellStyle name="Normal 183" xfId="1611"/>
    <cellStyle name="Normal 184" xfId="1612"/>
    <cellStyle name="Normal 185" xfId="1613"/>
    <cellStyle name="Normal 186" xfId="1614"/>
    <cellStyle name="Normal 187" xfId="1615"/>
    <cellStyle name="Normal 188" xfId="1616"/>
    <cellStyle name="Normal 189" xfId="1617"/>
    <cellStyle name="Normal 19" xfId="37"/>
    <cellStyle name="Normal 19 2" xfId="67"/>
    <cellStyle name="Normal 19 2 2" xfId="969"/>
    <cellStyle name="Normal 19 3" xfId="941"/>
    <cellStyle name="Normal 190" xfId="1618"/>
    <cellStyle name="Normal 191" xfId="1619"/>
    <cellStyle name="Normal 192" xfId="1620"/>
    <cellStyle name="Normal 193" xfId="1621"/>
    <cellStyle name="Normal 194" xfId="1622"/>
    <cellStyle name="Normal 195" xfId="1623"/>
    <cellStyle name="Normal 196" xfId="1624"/>
    <cellStyle name="Normal 197" xfId="1625"/>
    <cellStyle name="Normal 198" xfId="1626"/>
    <cellStyle name="Normal 199" xfId="1627"/>
    <cellStyle name="Normal 2" xfId="3"/>
    <cellStyle name="Normal 2 10" xfId="247"/>
    <cellStyle name="Normal 2 10 2" xfId="652"/>
    <cellStyle name="Normal 2 2" xfId="90"/>
    <cellStyle name="Normal 2 2 2" xfId="104"/>
    <cellStyle name="Normal 2 2 2 2" xfId="383"/>
    <cellStyle name="Normal 2 2 2 3" xfId="427"/>
    <cellStyle name="Normal 2 2 2 3 2" xfId="1160"/>
    <cellStyle name="Normal 2 2 2 4" xfId="755"/>
    <cellStyle name="Normal 2 2 2 4 2" xfId="1324"/>
    <cellStyle name="Normal 2 2 2 5" xfId="997"/>
    <cellStyle name="Normal 2 2 3" xfId="378"/>
    <cellStyle name="Normal 2 2 3 2" xfId="565"/>
    <cellStyle name="Normal 2 2 3 2 2" xfId="1298"/>
    <cellStyle name="Normal 2 2 3 3" xfId="892"/>
    <cellStyle name="Normal 2 2 3 3 2" xfId="1461"/>
    <cellStyle name="Normal 2 2 3 4" xfId="1134"/>
    <cellStyle name="Normal 2 2 4" xfId="248"/>
    <cellStyle name="Normal 2 2 5" xfId="653"/>
    <cellStyle name="Normal 2 2 6" xfId="417"/>
    <cellStyle name="Normal 2 2 6 2" xfId="1150"/>
    <cellStyle name="Normal 2 2 7" xfId="745"/>
    <cellStyle name="Normal 2 2 7 2" xfId="1314"/>
    <cellStyle name="Normal 2 2 8" xfId="987"/>
    <cellStyle name="Normal 2 3" xfId="98"/>
    <cellStyle name="Normal 2 3 2" xfId="249"/>
    <cellStyle name="Normal 2 3 3" xfId="654"/>
    <cellStyle name="Normal 2 3 4" xfId="422"/>
    <cellStyle name="Normal 2 3 4 2" xfId="1155"/>
    <cellStyle name="Normal 2 3 5" xfId="750"/>
    <cellStyle name="Normal 2 3 5 2" xfId="1319"/>
    <cellStyle name="Normal 2 3 6" xfId="992"/>
    <cellStyle name="Normal 2 4" xfId="159"/>
    <cellStyle name="Normal 2 4 2" xfId="380"/>
    <cellStyle name="Normal 2 5" xfId="371"/>
    <cellStyle name="Normal 2 5 2" xfId="560"/>
    <cellStyle name="Normal 2 5 2 2" xfId="1293"/>
    <cellStyle name="Normal 2 5 3" xfId="887"/>
    <cellStyle name="Normal 2 5 3 2" xfId="1456"/>
    <cellStyle name="Normal 2 5 4" xfId="1129"/>
    <cellStyle name="Normal 2 6" xfId="170"/>
    <cellStyle name="Normal 2 7" xfId="82"/>
    <cellStyle name="Normal 2 7 2" xfId="655"/>
    <cellStyle name="Normal 2 7 3" xfId="982"/>
    <cellStyle name="Normal 2 8" xfId="412"/>
    <cellStyle name="Normal 2 8 2" xfId="1145"/>
    <cellStyle name="Normal 2 9" xfId="740"/>
    <cellStyle name="Normal 2 9 2" xfId="1309"/>
    <cellStyle name="Normal 20" xfId="38"/>
    <cellStyle name="Normal 20 2" xfId="68"/>
    <cellStyle name="Normal 20 2 2" xfId="970"/>
    <cellStyle name="Normal 20 3" xfId="942"/>
    <cellStyle name="Normal 200" xfId="1628"/>
    <cellStyle name="Normal 201" xfId="1629"/>
    <cellStyle name="Normal 202" xfId="1630"/>
    <cellStyle name="Normal 203" xfId="1631"/>
    <cellStyle name="Normal 204" xfId="1632"/>
    <cellStyle name="Normal 205" xfId="1633"/>
    <cellStyle name="Normal 206" xfId="1634"/>
    <cellStyle name="Normal 207" xfId="1635"/>
    <cellStyle name="Normal 208" xfId="1636"/>
    <cellStyle name="Normal 209" xfId="1637"/>
    <cellStyle name="Normal 21" xfId="39"/>
    <cellStyle name="Normal 21 2" xfId="69"/>
    <cellStyle name="Normal 21 2 2" xfId="971"/>
    <cellStyle name="Normal 21 3" xfId="943"/>
    <cellStyle name="Normal 210" xfId="1638"/>
    <cellStyle name="Normal 22" xfId="40"/>
    <cellStyle name="Normal 22 2" xfId="70"/>
    <cellStyle name="Normal 22 2 2" xfId="972"/>
    <cellStyle name="Normal 22 3" xfId="944"/>
    <cellStyle name="Normal 23" xfId="41"/>
    <cellStyle name="Normal 23 2" xfId="71"/>
    <cellStyle name="Normal 23 2 2" xfId="973"/>
    <cellStyle name="Normal 23 3" xfId="945"/>
    <cellStyle name="Normal 24" xfId="42"/>
    <cellStyle name="Normal 24 2" xfId="946"/>
    <cellStyle name="Normal 25" xfId="43"/>
    <cellStyle name="Normal 25 2" xfId="947"/>
    <cellStyle name="Normal 26" xfId="72"/>
    <cellStyle name="Normal 26 2" xfId="974"/>
    <cellStyle name="Normal 27" xfId="73"/>
    <cellStyle name="Normal 27 2" xfId="975"/>
    <cellStyle name="Normal 28" xfId="74"/>
    <cellStyle name="Normal 28 2" xfId="976"/>
    <cellStyle name="Normal 29" xfId="75"/>
    <cellStyle name="Normal 29 2" xfId="977"/>
    <cellStyle name="Normal 3" xfId="5"/>
    <cellStyle name="Normal 3 10" xfId="251"/>
    <cellStyle name="Normal 3 10 2" xfId="448"/>
    <cellStyle name="Normal 3 10 2 2" xfId="1181"/>
    <cellStyle name="Normal 3 10 3" xfId="776"/>
    <cellStyle name="Normal 3 10 3 2" xfId="1345"/>
    <cellStyle name="Normal 3 10 4" xfId="1018"/>
    <cellStyle name="Normal 3 11" xfId="252"/>
    <cellStyle name="Normal 3 11 2" xfId="449"/>
    <cellStyle name="Normal 3 11 2 2" xfId="1182"/>
    <cellStyle name="Normal 3 11 3" xfId="777"/>
    <cellStyle name="Normal 3 11 3 2" xfId="1346"/>
    <cellStyle name="Normal 3 11 4" xfId="1019"/>
    <cellStyle name="Normal 3 12" xfId="253"/>
    <cellStyle name="Normal 3 12 2" xfId="450"/>
    <cellStyle name="Normal 3 12 2 2" xfId="1183"/>
    <cellStyle name="Normal 3 12 3" xfId="778"/>
    <cellStyle name="Normal 3 12 3 2" xfId="1347"/>
    <cellStyle name="Normal 3 12 4" xfId="1020"/>
    <cellStyle name="Normal 3 13" xfId="254"/>
    <cellStyle name="Normal 3 13 2" xfId="451"/>
    <cellStyle name="Normal 3 13 2 2" xfId="1184"/>
    <cellStyle name="Normal 3 13 3" xfId="779"/>
    <cellStyle name="Normal 3 13 3 2" xfId="1348"/>
    <cellStyle name="Normal 3 13 4" xfId="1021"/>
    <cellStyle name="Normal 3 14" xfId="255"/>
    <cellStyle name="Normal 3 14 2" xfId="452"/>
    <cellStyle name="Normal 3 14 2 2" xfId="1185"/>
    <cellStyle name="Normal 3 14 3" xfId="780"/>
    <cellStyle name="Normal 3 14 3 2" xfId="1349"/>
    <cellStyle name="Normal 3 14 4" xfId="1022"/>
    <cellStyle name="Normal 3 15" xfId="256"/>
    <cellStyle name="Normal 3 15 2" xfId="453"/>
    <cellStyle name="Normal 3 15 2 2" xfId="1186"/>
    <cellStyle name="Normal 3 15 3" xfId="781"/>
    <cellStyle name="Normal 3 15 3 2" xfId="1350"/>
    <cellStyle name="Normal 3 15 4" xfId="1023"/>
    <cellStyle name="Normal 3 16" xfId="257"/>
    <cellStyle name="Normal 3 16 2" xfId="454"/>
    <cellStyle name="Normal 3 16 2 2" xfId="1187"/>
    <cellStyle name="Normal 3 16 3" xfId="782"/>
    <cellStyle name="Normal 3 16 3 2" xfId="1351"/>
    <cellStyle name="Normal 3 16 4" xfId="1024"/>
    <cellStyle name="Normal 3 17" xfId="258"/>
    <cellStyle name="Normal 3 17 2" xfId="455"/>
    <cellStyle name="Normal 3 17 2 2" xfId="1188"/>
    <cellStyle name="Normal 3 17 3" xfId="783"/>
    <cellStyle name="Normal 3 17 3 2" xfId="1352"/>
    <cellStyle name="Normal 3 17 4" xfId="1025"/>
    <cellStyle name="Normal 3 18" xfId="384"/>
    <cellStyle name="Normal 3 18 2" xfId="567"/>
    <cellStyle name="Normal 3 18 2 2" xfId="1300"/>
    <cellStyle name="Normal 3 18 3" xfId="894"/>
    <cellStyle name="Normal 3 18 3 2" xfId="1463"/>
    <cellStyle name="Normal 3 18 4" xfId="1136"/>
    <cellStyle name="Normal 3 19" xfId="373"/>
    <cellStyle name="Normal 3 19 2" xfId="562"/>
    <cellStyle name="Normal 3 19 2 2" xfId="1295"/>
    <cellStyle name="Normal 3 19 3" xfId="889"/>
    <cellStyle name="Normal 3 19 3 2" xfId="1458"/>
    <cellStyle name="Normal 3 19 4" xfId="1131"/>
    <cellStyle name="Normal 3 2" xfId="19"/>
    <cellStyle name="Normal 3 2 10" xfId="260"/>
    <cellStyle name="Normal 3 2 10 2" xfId="457"/>
    <cellStyle name="Normal 3 2 10 2 2" xfId="1190"/>
    <cellStyle name="Normal 3 2 10 3" xfId="785"/>
    <cellStyle name="Normal 3 2 10 3 2" xfId="1354"/>
    <cellStyle name="Normal 3 2 10 4" xfId="1027"/>
    <cellStyle name="Normal 3 2 11" xfId="261"/>
    <cellStyle name="Normal 3 2 11 2" xfId="458"/>
    <cellStyle name="Normal 3 2 11 2 2" xfId="1191"/>
    <cellStyle name="Normal 3 2 11 3" xfId="786"/>
    <cellStyle name="Normal 3 2 11 3 2" xfId="1355"/>
    <cellStyle name="Normal 3 2 11 4" xfId="1028"/>
    <cellStyle name="Normal 3 2 12" xfId="262"/>
    <cellStyle name="Normal 3 2 12 2" xfId="459"/>
    <cellStyle name="Normal 3 2 12 2 2" xfId="1192"/>
    <cellStyle name="Normal 3 2 12 3" xfId="787"/>
    <cellStyle name="Normal 3 2 12 3 2" xfId="1356"/>
    <cellStyle name="Normal 3 2 12 4" xfId="1029"/>
    <cellStyle name="Normal 3 2 13" xfId="263"/>
    <cellStyle name="Normal 3 2 13 2" xfId="460"/>
    <cellStyle name="Normal 3 2 13 2 2" xfId="1193"/>
    <cellStyle name="Normal 3 2 13 3" xfId="788"/>
    <cellStyle name="Normal 3 2 13 3 2" xfId="1357"/>
    <cellStyle name="Normal 3 2 13 4" xfId="1030"/>
    <cellStyle name="Normal 3 2 14" xfId="264"/>
    <cellStyle name="Normal 3 2 14 2" xfId="461"/>
    <cellStyle name="Normal 3 2 14 2 2" xfId="1194"/>
    <cellStyle name="Normal 3 2 14 3" xfId="789"/>
    <cellStyle name="Normal 3 2 14 3 2" xfId="1358"/>
    <cellStyle name="Normal 3 2 14 4" xfId="1031"/>
    <cellStyle name="Normal 3 2 15" xfId="265"/>
    <cellStyle name="Normal 3 2 15 2" xfId="462"/>
    <cellStyle name="Normal 3 2 15 2 2" xfId="1195"/>
    <cellStyle name="Normal 3 2 15 3" xfId="790"/>
    <cellStyle name="Normal 3 2 15 3 2" xfId="1359"/>
    <cellStyle name="Normal 3 2 15 4" xfId="1032"/>
    <cellStyle name="Normal 3 2 16" xfId="266"/>
    <cellStyle name="Normal 3 2 16 2" xfId="463"/>
    <cellStyle name="Normal 3 2 16 2 2" xfId="1196"/>
    <cellStyle name="Normal 3 2 16 3" xfId="791"/>
    <cellStyle name="Normal 3 2 16 3 2" xfId="1360"/>
    <cellStyle name="Normal 3 2 16 4" xfId="1033"/>
    <cellStyle name="Normal 3 2 17" xfId="385"/>
    <cellStyle name="Normal 3 2 17 2" xfId="568"/>
    <cellStyle name="Normal 3 2 17 2 2" xfId="1301"/>
    <cellStyle name="Normal 3 2 17 3" xfId="895"/>
    <cellStyle name="Normal 3 2 17 3 2" xfId="1464"/>
    <cellStyle name="Normal 3 2 17 4" xfId="1137"/>
    <cellStyle name="Normal 3 2 18" xfId="379"/>
    <cellStyle name="Normal 3 2 18 2" xfId="566"/>
    <cellStyle name="Normal 3 2 18 2 2" xfId="1299"/>
    <cellStyle name="Normal 3 2 18 3" xfId="893"/>
    <cellStyle name="Normal 3 2 18 3 2" xfId="1462"/>
    <cellStyle name="Normal 3 2 18 4" xfId="1135"/>
    <cellStyle name="Normal 3 2 19" xfId="259"/>
    <cellStyle name="Normal 3 2 19 2" xfId="456"/>
    <cellStyle name="Normal 3 2 19 2 2" xfId="1189"/>
    <cellStyle name="Normal 3 2 19 3" xfId="784"/>
    <cellStyle name="Normal 3 2 19 3 2" xfId="1353"/>
    <cellStyle name="Normal 3 2 19 4" xfId="1026"/>
    <cellStyle name="Normal 3 2 2" xfId="56"/>
    <cellStyle name="Normal 3 2 2 2" xfId="267"/>
    <cellStyle name="Normal 3 2 2 2 2" xfId="464"/>
    <cellStyle name="Normal 3 2 2 2 2 2" xfId="1197"/>
    <cellStyle name="Normal 3 2 2 2 3" xfId="792"/>
    <cellStyle name="Normal 3 2 2 2 3 2" xfId="1361"/>
    <cellStyle name="Normal 3 2 2 2 4" xfId="1034"/>
    <cellStyle name="Normal 3 2 2 3" xfId="106"/>
    <cellStyle name="Normal 3 2 2 3 2" xfId="999"/>
    <cellStyle name="Normal 3 2 2 4" xfId="429"/>
    <cellStyle name="Normal 3 2 2 4 2" xfId="1162"/>
    <cellStyle name="Normal 3 2 2 5" xfId="757"/>
    <cellStyle name="Normal 3 2 2 5 2" xfId="1326"/>
    <cellStyle name="Normal 3 2 2 6" xfId="958"/>
    <cellStyle name="Normal 3 2 20" xfId="93"/>
    <cellStyle name="Normal 3 2 20 2" xfId="989"/>
    <cellStyle name="Normal 3 2 21" xfId="419"/>
    <cellStyle name="Normal 3 2 21 2" xfId="1152"/>
    <cellStyle name="Normal 3 2 22" xfId="747"/>
    <cellStyle name="Normal 3 2 22 2" xfId="1316"/>
    <cellStyle name="Normal 3 2 23" xfId="930"/>
    <cellStyle name="Normal 3 2 3" xfId="268"/>
    <cellStyle name="Normal 3 2 3 2" xfId="465"/>
    <cellStyle name="Normal 3 2 3 2 2" xfId="1198"/>
    <cellStyle name="Normal 3 2 3 3" xfId="793"/>
    <cellStyle name="Normal 3 2 3 3 2" xfId="1362"/>
    <cellStyle name="Normal 3 2 3 4" xfId="1035"/>
    <cellStyle name="Normal 3 2 4" xfId="269"/>
    <cellStyle name="Normal 3 2 4 2" xfId="466"/>
    <cellStyle name="Normal 3 2 4 2 2" xfId="1199"/>
    <cellStyle name="Normal 3 2 4 3" xfId="794"/>
    <cellStyle name="Normal 3 2 4 3 2" xfId="1363"/>
    <cellStyle name="Normal 3 2 4 4" xfId="1036"/>
    <cellStyle name="Normal 3 2 5" xfId="270"/>
    <cellStyle name="Normal 3 2 5 2" xfId="467"/>
    <cellStyle name="Normal 3 2 5 2 2" xfId="1200"/>
    <cellStyle name="Normal 3 2 5 3" xfId="795"/>
    <cellStyle name="Normal 3 2 5 3 2" xfId="1364"/>
    <cellStyle name="Normal 3 2 5 4" xfId="1037"/>
    <cellStyle name="Normal 3 2 6" xfId="271"/>
    <cellStyle name="Normal 3 2 6 2" xfId="468"/>
    <cellStyle name="Normal 3 2 6 2 2" xfId="1201"/>
    <cellStyle name="Normal 3 2 6 3" xfId="796"/>
    <cellStyle name="Normal 3 2 6 3 2" xfId="1365"/>
    <cellStyle name="Normal 3 2 6 4" xfId="1038"/>
    <cellStyle name="Normal 3 2 7" xfId="272"/>
    <cellStyle name="Normal 3 2 7 2" xfId="469"/>
    <cellStyle name="Normal 3 2 7 2 2" xfId="1202"/>
    <cellStyle name="Normal 3 2 7 3" xfId="797"/>
    <cellStyle name="Normal 3 2 7 3 2" xfId="1366"/>
    <cellStyle name="Normal 3 2 7 4" xfId="1039"/>
    <cellStyle name="Normal 3 2 8" xfId="273"/>
    <cellStyle name="Normal 3 2 8 2" xfId="470"/>
    <cellStyle name="Normal 3 2 8 2 2" xfId="1203"/>
    <cellStyle name="Normal 3 2 8 3" xfId="798"/>
    <cellStyle name="Normal 3 2 8 3 2" xfId="1367"/>
    <cellStyle name="Normal 3 2 8 4" xfId="1040"/>
    <cellStyle name="Normal 3 2 9" xfId="274"/>
    <cellStyle name="Normal 3 2 9 2" xfId="471"/>
    <cellStyle name="Normal 3 2 9 2 2" xfId="1204"/>
    <cellStyle name="Normal 3 2 9 3" xfId="799"/>
    <cellStyle name="Normal 3 2 9 3 2" xfId="1368"/>
    <cellStyle name="Normal 3 2 9 4" xfId="1041"/>
    <cellStyle name="Normal 3 20" xfId="250"/>
    <cellStyle name="Normal 3 20 2" xfId="447"/>
    <cellStyle name="Normal 3 20 2 2" xfId="1180"/>
    <cellStyle name="Normal 3 20 3" xfId="775"/>
    <cellStyle name="Normal 3 20 3 2" xfId="1344"/>
    <cellStyle name="Normal 3 20 4" xfId="1017"/>
    <cellStyle name="Normal 3 21" xfId="85"/>
    <cellStyle name="Normal 3 21 2" xfId="984"/>
    <cellStyle name="Normal 3 22" xfId="414"/>
    <cellStyle name="Normal 3 22 2" xfId="1147"/>
    <cellStyle name="Normal 3 23" xfId="742"/>
    <cellStyle name="Normal 3 23 2" xfId="1311"/>
    <cellStyle name="Normal 3 24" xfId="920"/>
    <cellStyle name="Normal 3 3" xfId="46"/>
    <cellStyle name="Normal 3 3 2" xfId="275"/>
    <cellStyle name="Normal 3 3 2 2" xfId="472"/>
    <cellStyle name="Normal 3 3 2 2 2" xfId="1205"/>
    <cellStyle name="Normal 3 3 2 3" xfId="800"/>
    <cellStyle name="Normal 3 3 2 3 2" xfId="1369"/>
    <cellStyle name="Normal 3 3 2 4" xfId="1042"/>
    <cellStyle name="Normal 3 3 3" xfId="101"/>
    <cellStyle name="Normal 3 3 3 2" xfId="994"/>
    <cellStyle name="Normal 3 3 4" xfId="424"/>
    <cellStyle name="Normal 3 3 4 2" xfId="1157"/>
    <cellStyle name="Normal 3 3 5" xfId="752"/>
    <cellStyle name="Normal 3 3 5 2" xfId="1321"/>
    <cellStyle name="Normal 3 3 6" xfId="948"/>
    <cellStyle name="Normal 3 4" xfId="160"/>
    <cellStyle name="Normal 3 4 2" xfId="276"/>
    <cellStyle name="Normal 3 4 2 2" xfId="473"/>
    <cellStyle name="Normal 3 4 2 2 2" xfId="1206"/>
    <cellStyle name="Normal 3 4 2 3" xfId="801"/>
    <cellStyle name="Normal 3 4 2 3 2" xfId="1370"/>
    <cellStyle name="Normal 3 4 2 4" xfId="1043"/>
    <cellStyle name="Normal 3 5" xfId="277"/>
    <cellStyle name="Normal 3 5 2" xfId="474"/>
    <cellStyle name="Normal 3 5 2 2" xfId="1207"/>
    <cellStyle name="Normal 3 5 3" xfId="802"/>
    <cellStyle name="Normal 3 5 3 2" xfId="1371"/>
    <cellStyle name="Normal 3 5 4" xfId="1044"/>
    <cellStyle name="Normal 3 6" xfId="278"/>
    <cellStyle name="Normal 3 6 2" xfId="475"/>
    <cellStyle name="Normal 3 6 2 2" xfId="1208"/>
    <cellStyle name="Normal 3 6 3" xfId="803"/>
    <cellStyle name="Normal 3 6 3 2" xfId="1372"/>
    <cellStyle name="Normal 3 6 4" xfId="1045"/>
    <cellStyle name="Normal 3 7" xfId="279"/>
    <cellStyle name="Normal 3 7 2" xfId="476"/>
    <cellStyle name="Normal 3 7 2 2" xfId="1209"/>
    <cellStyle name="Normal 3 7 3" xfId="804"/>
    <cellStyle name="Normal 3 7 3 2" xfId="1373"/>
    <cellStyle name="Normal 3 7 4" xfId="1046"/>
    <cellStyle name="Normal 3 8" xfId="280"/>
    <cellStyle name="Normal 3 8 2" xfId="477"/>
    <cellStyle name="Normal 3 8 2 2" xfId="1210"/>
    <cellStyle name="Normal 3 8 3" xfId="805"/>
    <cellStyle name="Normal 3 8 3 2" xfId="1374"/>
    <cellStyle name="Normal 3 8 4" xfId="1047"/>
    <cellStyle name="Normal 3 9" xfId="281"/>
    <cellStyle name="Normal 3 9 2" xfId="478"/>
    <cellStyle name="Normal 3 9 2 2" xfId="1211"/>
    <cellStyle name="Normal 3 9 3" xfId="806"/>
    <cellStyle name="Normal 3 9 3 2" xfId="1375"/>
    <cellStyle name="Normal 3 9 4" xfId="1048"/>
    <cellStyle name="Normal 30" xfId="76"/>
    <cellStyle name="Normal 30 2" xfId="978"/>
    <cellStyle name="Normal 31" xfId="77"/>
    <cellStyle name="Normal 31 2" xfId="979"/>
    <cellStyle name="Normal 32" xfId="408"/>
    <cellStyle name="Normal 32 2" xfId="1141"/>
    <cellStyle name="Normal 33" xfId="409"/>
    <cellStyle name="Normal 33 2" xfId="1142"/>
    <cellStyle name="Normal 34" xfId="559"/>
    <cellStyle name="Normal 34 2" xfId="1292"/>
    <cellStyle name="Normal 35" xfId="736"/>
    <cellStyle name="Normal 35 2" xfId="1305"/>
    <cellStyle name="Normal 36" xfId="737"/>
    <cellStyle name="Normal 36 2" xfId="1306"/>
    <cellStyle name="Normal 37" xfId="900"/>
    <cellStyle name="Normal 37 2" xfId="1469"/>
    <cellStyle name="Normal 38" xfId="901"/>
    <cellStyle name="Normal 38 2" xfId="1470"/>
    <cellStyle name="Normal 39" xfId="899"/>
    <cellStyle name="Normal 39 2" xfId="1468"/>
    <cellStyle name="Normal 4" xfId="12"/>
    <cellStyle name="Normal 4 10" xfId="283"/>
    <cellStyle name="Normal 4 10 2" xfId="480"/>
    <cellStyle name="Normal 4 10 2 2" xfId="1213"/>
    <cellStyle name="Normal 4 10 3" xfId="808"/>
    <cellStyle name="Normal 4 10 3 2" xfId="1377"/>
    <cellStyle name="Normal 4 10 4" xfId="1050"/>
    <cellStyle name="Normal 4 11" xfId="284"/>
    <cellStyle name="Normal 4 11 2" xfId="481"/>
    <cellStyle name="Normal 4 11 2 2" xfId="1214"/>
    <cellStyle name="Normal 4 11 3" xfId="809"/>
    <cellStyle name="Normal 4 11 3 2" xfId="1378"/>
    <cellStyle name="Normal 4 11 4" xfId="1051"/>
    <cellStyle name="Normal 4 12" xfId="285"/>
    <cellStyle name="Normal 4 12 2" xfId="482"/>
    <cellStyle name="Normal 4 12 2 2" xfId="1215"/>
    <cellStyle name="Normal 4 12 3" xfId="810"/>
    <cellStyle name="Normal 4 12 3 2" xfId="1379"/>
    <cellStyle name="Normal 4 12 4" xfId="1052"/>
    <cellStyle name="Normal 4 13" xfId="286"/>
    <cellStyle name="Normal 4 13 2" xfId="483"/>
    <cellStyle name="Normal 4 13 2 2" xfId="1216"/>
    <cellStyle name="Normal 4 13 3" xfId="811"/>
    <cellStyle name="Normal 4 13 3 2" xfId="1380"/>
    <cellStyle name="Normal 4 13 4" xfId="1053"/>
    <cellStyle name="Normal 4 14" xfId="287"/>
    <cellStyle name="Normal 4 14 2" xfId="484"/>
    <cellStyle name="Normal 4 14 2 2" xfId="1217"/>
    <cellStyle name="Normal 4 14 3" xfId="812"/>
    <cellStyle name="Normal 4 14 3 2" xfId="1381"/>
    <cellStyle name="Normal 4 14 4" xfId="1054"/>
    <cellStyle name="Normal 4 15" xfId="288"/>
    <cellStyle name="Normal 4 15 2" xfId="485"/>
    <cellStyle name="Normal 4 15 2 2" xfId="1218"/>
    <cellStyle name="Normal 4 15 3" xfId="813"/>
    <cellStyle name="Normal 4 15 3 2" xfId="1382"/>
    <cellStyle name="Normal 4 15 4" xfId="1055"/>
    <cellStyle name="Normal 4 16" xfId="289"/>
    <cellStyle name="Normal 4 16 2" xfId="486"/>
    <cellStyle name="Normal 4 16 2 2" xfId="1219"/>
    <cellStyle name="Normal 4 16 3" xfId="814"/>
    <cellStyle name="Normal 4 16 3 2" xfId="1383"/>
    <cellStyle name="Normal 4 16 4" xfId="1056"/>
    <cellStyle name="Normal 4 17" xfId="290"/>
    <cellStyle name="Normal 4 17 2" xfId="487"/>
    <cellStyle name="Normal 4 17 2 2" xfId="1220"/>
    <cellStyle name="Normal 4 17 3" xfId="815"/>
    <cellStyle name="Normal 4 17 3 2" xfId="1384"/>
    <cellStyle name="Normal 4 17 4" xfId="1057"/>
    <cellStyle name="Normal 4 18" xfId="386"/>
    <cellStyle name="Normal 4 18 2" xfId="569"/>
    <cellStyle name="Normal 4 18 2 2" xfId="1302"/>
    <cellStyle name="Normal 4 18 3" xfId="896"/>
    <cellStyle name="Normal 4 18 3 2" xfId="1465"/>
    <cellStyle name="Normal 4 18 4" xfId="1138"/>
    <cellStyle name="Normal 4 19" xfId="375"/>
    <cellStyle name="Normal 4 19 2" xfId="563"/>
    <cellStyle name="Normal 4 19 2 2" xfId="1296"/>
    <cellStyle name="Normal 4 19 3" xfId="890"/>
    <cellStyle name="Normal 4 19 3 2" xfId="1459"/>
    <cellStyle name="Normal 4 19 4" xfId="1132"/>
    <cellStyle name="Normal 4 2" xfId="50"/>
    <cellStyle name="Normal 4 2 10" xfId="292"/>
    <cellStyle name="Normal 4 2 10 2" xfId="489"/>
    <cellStyle name="Normal 4 2 10 2 2" xfId="1222"/>
    <cellStyle name="Normal 4 2 10 3" xfId="817"/>
    <cellStyle name="Normal 4 2 10 3 2" xfId="1386"/>
    <cellStyle name="Normal 4 2 10 4" xfId="1059"/>
    <cellStyle name="Normal 4 2 11" xfId="293"/>
    <cellStyle name="Normal 4 2 11 2" xfId="490"/>
    <cellStyle name="Normal 4 2 11 2 2" xfId="1223"/>
    <cellStyle name="Normal 4 2 11 3" xfId="818"/>
    <cellStyle name="Normal 4 2 11 3 2" xfId="1387"/>
    <cellStyle name="Normal 4 2 11 4" xfId="1060"/>
    <cellStyle name="Normal 4 2 12" xfId="294"/>
    <cellStyle name="Normal 4 2 12 2" xfId="491"/>
    <cellStyle name="Normal 4 2 12 2 2" xfId="1224"/>
    <cellStyle name="Normal 4 2 12 3" xfId="819"/>
    <cellStyle name="Normal 4 2 12 3 2" xfId="1388"/>
    <cellStyle name="Normal 4 2 12 4" xfId="1061"/>
    <cellStyle name="Normal 4 2 13" xfId="295"/>
    <cellStyle name="Normal 4 2 13 2" xfId="492"/>
    <cellStyle name="Normal 4 2 13 2 2" xfId="1225"/>
    <cellStyle name="Normal 4 2 13 3" xfId="820"/>
    <cellStyle name="Normal 4 2 13 3 2" xfId="1389"/>
    <cellStyle name="Normal 4 2 13 4" xfId="1062"/>
    <cellStyle name="Normal 4 2 14" xfId="296"/>
    <cellStyle name="Normal 4 2 14 2" xfId="493"/>
    <cellStyle name="Normal 4 2 14 2 2" xfId="1226"/>
    <cellStyle name="Normal 4 2 14 3" xfId="821"/>
    <cellStyle name="Normal 4 2 14 3 2" xfId="1390"/>
    <cellStyle name="Normal 4 2 14 4" xfId="1063"/>
    <cellStyle name="Normal 4 2 15" xfId="297"/>
    <cellStyle name="Normal 4 2 15 2" xfId="494"/>
    <cellStyle name="Normal 4 2 15 2 2" xfId="1227"/>
    <cellStyle name="Normal 4 2 15 3" xfId="822"/>
    <cellStyle name="Normal 4 2 15 3 2" xfId="1391"/>
    <cellStyle name="Normal 4 2 15 4" xfId="1064"/>
    <cellStyle name="Normal 4 2 16" xfId="298"/>
    <cellStyle name="Normal 4 2 16 2" xfId="495"/>
    <cellStyle name="Normal 4 2 16 2 2" xfId="1228"/>
    <cellStyle name="Normal 4 2 16 3" xfId="823"/>
    <cellStyle name="Normal 4 2 16 3 2" xfId="1392"/>
    <cellStyle name="Normal 4 2 16 4" xfId="1065"/>
    <cellStyle name="Normal 4 2 17" xfId="291"/>
    <cellStyle name="Normal 4 2 17 2" xfId="488"/>
    <cellStyle name="Normal 4 2 17 2 2" xfId="1221"/>
    <cellStyle name="Normal 4 2 17 3" xfId="816"/>
    <cellStyle name="Normal 4 2 17 3 2" xfId="1385"/>
    <cellStyle name="Normal 4 2 17 4" xfId="1058"/>
    <cellStyle name="Normal 4 2 18" xfId="102"/>
    <cellStyle name="Normal 4 2 18 2" xfId="995"/>
    <cellStyle name="Normal 4 2 19" xfId="425"/>
    <cellStyle name="Normal 4 2 19 2" xfId="1158"/>
    <cellStyle name="Normal 4 2 2" xfId="163"/>
    <cellStyle name="Normal 4 2 2 2" xfId="299"/>
    <cellStyle name="Normal 4 2 2 2 2" xfId="496"/>
    <cellStyle name="Normal 4 2 2 2 2 2" xfId="1229"/>
    <cellStyle name="Normal 4 2 2 2 3" xfId="824"/>
    <cellStyle name="Normal 4 2 2 2 3 2" xfId="1393"/>
    <cellStyle name="Normal 4 2 2 2 4" xfId="1066"/>
    <cellStyle name="Normal 4 2 2 3" xfId="436"/>
    <cellStyle name="Normal 4 2 2 3 2" xfId="1169"/>
    <cellStyle name="Normal 4 2 2 4" xfId="764"/>
    <cellStyle name="Normal 4 2 2 4 2" xfId="1333"/>
    <cellStyle name="Normal 4 2 2 5" xfId="1006"/>
    <cellStyle name="Normal 4 2 20" xfId="753"/>
    <cellStyle name="Normal 4 2 20 2" xfId="1322"/>
    <cellStyle name="Normal 4 2 21" xfId="952"/>
    <cellStyle name="Normal 4 2 3" xfId="300"/>
    <cellStyle name="Normal 4 2 3 2" xfId="497"/>
    <cellStyle name="Normal 4 2 3 2 2" xfId="1230"/>
    <cellStyle name="Normal 4 2 3 3" xfId="825"/>
    <cellStyle name="Normal 4 2 3 3 2" xfId="1394"/>
    <cellStyle name="Normal 4 2 3 4" xfId="1067"/>
    <cellStyle name="Normal 4 2 4" xfId="301"/>
    <cellStyle name="Normal 4 2 4 2" xfId="498"/>
    <cellStyle name="Normal 4 2 4 2 2" xfId="1231"/>
    <cellStyle name="Normal 4 2 4 3" xfId="826"/>
    <cellStyle name="Normal 4 2 4 3 2" xfId="1395"/>
    <cellStyle name="Normal 4 2 4 4" xfId="1068"/>
    <cellStyle name="Normal 4 2 5" xfId="302"/>
    <cellStyle name="Normal 4 2 5 2" xfId="499"/>
    <cellStyle name="Normal 4 2 5 2 2" xfId="1232"/>
    <cellStyle name="Normal 4 2 5 3" xfId="827"/>
    <cellStyle name="Normal 4 2 5 3 2" xfId="1396"/>
    <cellStyle name="Normal 4 2 5 4" xfId="1069"/>
    <cellStyle name="Normal 4 2 6" xfId="303"/>
    <cellStyle name="Normal 4 2 6 2" xfId="500"/>
    <cellStyle name="Normal 4 2 6 2 2" xfId="1233"/>
    <cellStyle name="Normal 4 2 6 3" xfId="828"/>
    <cellStyle name="Normal 4 2 6 3 2" xfId="1397"/>
    <cellStyle name="Normal 4 2 6 4" xfId="1070"/>
    <cellStyle name="Normal 4 2 7" xfId="304"/>
    <cellStyle name="Normal 4 2 7 2" xfId="501"/>
    <cellStyle name="Normal 4 2 7 2 2" xfId="1234"/>
    <cellStyle name="Normal 4 2 7 3" xfId="829"/>
    <cellStyle name="Normal 4 2 7 3 2" xfId="1398"/>
    <cellStyle name="Normal 4 2 7 4" xfId="1071"/>
    <cellStyle name="Normal 4 2 8" xfId="305"/>
    <cellStyle name="Normal 4 2 8 2" xfId="502"/>
    <cellStyle name="Normal 4 2 8 2 2" xfId="1235"/>
    <cellStyle name="Normal 4 2 8 3" xfId="830"/>
    <cellStyle name="Normal 4 2 8 3 2" xfId="1399"/>
    <cellStyle name="Normal 4 2 8 4" xfId="1072"/>
    <cellStyle name="Normal 4 2 9" xfId="306"/>
    <cellStyle name="Normal 4 2 9 2" xfId="503"/>
    <cellStyle name="Normal 4 2 9 2 2" xfId="1236"/>
    <cellStyle name="Normal 4 2 9 3" xfId="831"/>
    <cellStyle name="Normal 4 2 9 3 2" xfId="1400"/>
    <cellStyle name="Normal 4 2 9 4" xfId="1073"/>
    <cellStyle name="Normal 4 20" xfId="282"/>
    <cellStyle name="Normal 4 20 2" xfId="479"/>
    <cellStyle name="Normal 4 20 2 2" xfId="1212"/>
    <cellStyle name="Normal 4 20 3" xfId="807"/>
    <cellStyle name="Normal 4 20 3 2" xfId="1376"/>
    <cellStyle name="Normal 4 20 4" xfId="1049"/>
    <cellStyle name="Normal 4 21" xfId="86"/>
    <cellStyle name="Normal 4 21 2" xfId="985"/>
    <cellStyle name="Normal 4 22" xfId="415"/>
    <cellStyle name="Normal 4 22 2" xfId="1148"/>
    <cellStyle name="Normal 4 23" xfId="743"/>
    <cellStyle name="Normal 4 23 2" xfId="1312"/>
    <cellStyle name="Normal 4 24" xfId="924"/>
    <cellStyle name="Normal 4 3" xfId="164"/>
    <cellStyle name="Normal 4 3 2" xfId="307"/>
    <cellStyle name="Normal 4 3 2 2" xfId="504"/>
    <cellStyle name="Normal 4 3 2 2 2" xfId="1237"/>
    <cellStyle name="Normal 4 3 2 3" xfId="832"/>
    <cellStyle name="Normal 4 3 2 3 2" xfId="1401"/>
    <cellStyle name="Normal 4 3 2 4" xfId="1074"/>
    <cellStyle name="Normal 4 3 3" xfId="437"/>
    <cellStyle name="Normal 4 3 3 2" xfId="1170"/>
    <cellStyle name="Normal 4 3 4" xfId="765"/>
    <cellStyle name="Normal 4 3 4 2" xfId="1334"/>
    <cellStyle name="Normal 4 3 5" xfId="1007"/>
    <cellStyle name="Normal 4 4" xfId="308"/>
    <cellStyle name="Normal 4 4 2" xfId="505"/>
    <cellStyle name="Normal 4 4 2 2" xfId="1238"/>
    <cellStyle name="Normal 4 4 3" xfId="833"/>
    <cellStyle name="Normal 4 4 3 2" xfId="1402"/>
    <cellStyle name="Normal 4 4 4" xfId="1075"/>
    <cellStyle name="Normal 4 5" xfId="309"/>
    <cellStyle name="Normal 4 5 2" xfId="506"/>
    <cellStyle name="Normal 4 5 2 2" xfId="1239"/>
    <cellStyle name="Normal 4 5 3" xfId="834"/>
    <cellStyle name="Normal 4 5 3 2" xfId="1403"/>
    <cellStyle name="Normal 4 5 4" xfId="1076"/>
    <cellStyle name="Normal 4 6" xfId="310"/>
    <cellStyle name="Normal 4 6 2" xfId="507"/>
    <cellStyle name="Normal 4 6 2 2" xfId="1240"/>
    <cellStyle name="Normal 4 6 3" xfId="835"/>
    <cellStyle name="Normal 4 6 3 2" xfId="1404"/>
    <cellStyle name="Normal 4 6 4" xfId="1077"/>
    <cellStyle name="Normal 4 7" xfId="311"/>
    <cellStyle name="Normal 4 7 2" xfId="508"/>
    <cellStyle name="Normal 4 7 2 2" xfId="1241"/>
    <cellStyle name="Normal 4 7 3" xfId="836"/>
    <cellStyle name="Normal 4 7 3 2" xfId="1405"/>
    <cellStyle name="Normal 4 7 4" xfId="1078"/>
    <cellStyle name="Normal 4 8" xfId="312"/>
    <cellStyle name="Normal 4 8 2" xfId="509"/>
    <cellStyle name="Normal 4 8 2 2" xfId="1242"/>
    <cellStyle name="Normal 4 8 3" xfId="837"/>
    <cellStyle name="Normal 4 8 3 2" xfId="1406"/>
    <cellStyle name="Normal 4 8 4" xfId="1079"/>
    <cellStyle name="Normal 4 9" xfId="313"/>
    <cellStyle name="Normal 4 9 2" xfId="510"/>
    <cellStyle name="Normal 4 9 2 2" xfId="1243"/>
    <cellStyle name="Normal 4 9 3" xfId="838"/>
    <cellStyle name="Normal 4 9 3 2" xfId="1407"/>
    <cellStyle name="Normal 4 9 4" xfId="1080"/>
    <cellStyle name="Normal 40" xfId="902"/>
    <cellStyle name="Normal 40 2" xfId="1471"/>
    <cellStyle name="Normal 41" xfId="903"/>
    <cellStyle name="Normal 41 2" xfId="1472"/>
    <cellStyle name="Normal 42" xfId="904"/>
    <cellStyle name="Normal 42 2" xfId="1473"/>
    <cellStyle name="Normal 43" xfId="905"/>
    <cellStyle name="Normal 43 2" xfId="1474"/>
    <cellStyle name="Normal 44" xfId="906"/>
    <cellStyle name="Normal 44 2" xfId="1475"/>
    <cellStyle name="Normal 45" xfId="907"/>
    <cellStyle name="Normal 45 2" xfId="1476"/>
    <cellStyle name="Normal 46" xfId="908"/>
    <cellStyle name="Normal 46 2" xfId="1477"/>
    <cellStyle name="Normal 47" xfId="910"/>
    <cellStyle name="Normal 47 2" xfId="1479"/>
    <cellStyle name="Normal 48" xfId="909"/>
    <cellStyle name="Normal 48 2" xfId="1478"/>
    <cellStyle name="Normal 49" xfId="911"/>
    <cellStyle name="Normal 49 2" xfId="1480"/>
    <cellStyle name="Normal 5" xfId="13"/>
    <cellStyle name="Normal 5 10" xfId="315"/>
    <cellStyle name="Normal 5 10 2" xfId="512"/>
    <cellStyle name="Normal 5 10 2 2" xfId="1245"/>
    <cellStyle name="Normal 5 10 3" xfId="840"/>
    <cellStyle name="Normal 5 10 3 2" xfId="1409"/>
    <cellStyle name="Normal 5 10 4" xfId="1082"/>
    <cellStyle name="Normal 5 11" xfId="316"/>
    <cellStyle name="Normal 5 11 2" xfId="513"/>
    <cellStyle name="Normal 5 11 2 2" xfId="1246"/>
    <cellStyle name="Normal 5 11 3" xfId="841"/>
    <cellStyle name="Normal 5 11 3 2" xfId="1410"/>
    <cellStyle name="Normal 5 11 4" xfId="1083"/>
    <cellStyle name="Normal 5 12" xfId="317"/>
    <cellStyle name="Normal 5 12 2" xfId="514"/>
    <cellStyle name="Normal 5 12 2 2" xfId="1247"/>
    <cellStyle name="Normal 5 12 3" xfId="842"/>
    <cellStyle name="Normal 5 12 3 2" xfId="1411"/>
    <cellStyle name="Normal 5 12 4" xfId="1084"/>
    <cellStyle name="Normal 5 13" xfId="318"/>
    <cellStyle name="Normal 5 13 2" xfId="515"/>
    <cellStyle name="Normal 5 13 2 2" xfId="1248"/>
    <cellStyle name="Normal 5 13 3" xfId="843"/>
    <cellStyle name="Normal 5 13 3 2" xfId="1412"/>
    <cellStyle name="Normal 5 13 4" xfId="1085"/>
    <cellStyle name="Normal 5 14" xfId="319"/>
    <cellStyle name="Normal 5 14 2" xfId="516"/>
    <cellStyle name="Normal 5 14 2 2" xfId="1249"/>
    <cellStyle name="Normal 5 14 3" xfId="844"/>
    <cellStyle name="Normal 5 14 3 2" xfId="1413"/>
    <cellStyle name="Normal 5 14 4" xfId="1086"/>
    <cellStyle name="Normal 5 15" xfId="320"/>
    <cellStyle name="Normal 5 15 2" xfId="517"/>
    <cellStyle name="Normal 5 15 2 2" xfId="1250"/>
    <cellStyle name="Normal 5 15 3" xfId="845"/>
    <cellStyle name="Normal 5 15 3 2" xfId="1414"/>
    <cellStyle name="Normal 5 15 4" xfId="1087"/>
    <cellStyle name="Normal 5 16" xfId="321"/>
    <cellStyle name="Normal 5 16 2" xfId="518"/>
    <cellStyle name="Normal 5 16 2 2" xfId="1251"/>
    <cellStyle name="Normal 5 16 3" xfId="846"/>
    <cellStyle name="Normal 5 16 3 2" xfId="1415"/>
    <cellStyle name="Normal 5 16 4" xfId="1088"/>
    <cellStyle name="Normal 5 17" xfId="322"/>
    <cellStyle name="Normal 5 17 2" xfId="519"/>
    <cellStyle name="Normal 5 17 2 2" xfId="1252"/>
    <cellStyle name="Normal 5 17 3" xfId="847"/>
    <cellStyle name="Normal 5 17 3 2" xfId="1416"/>
    <cellStyle name="Normal 5 17 4" xfId="1089"/>
    <cellStyle name="Normal 5 18" xfId="387"/>
    <cellStyle name="Normal 5 18 2" xfId="570"/>
    <cellStyle name="Normal 5 18 2 2" xfId="1303"/>
    <cellStyle name="Normal 5 18 3" xfId="897"/>
    <cellStyle name="Normal 5 18 3 2" xfId="1466"/>
    <cellStyle name="Normal 5 18 4" xfId="1139"/>
    <cellStyle name="Normal 5 19" xfId="376"/>
    <cellStyle name="Normal 5 2" xfId="51"/>
    <cellStyle name="Normal 5 2 10" xfId="324"/>
    <cellStyle name="Normal 5 2 10 2" xfId="521"/>
    <cellStyle name="Normal 5 2 10 2 2" xfId="1254"/>
    <cellStyle name="Normal 5 2 10 3" xfId="849"/>
    <cellStyle name="Normal 5 2 10 3 2" xfId="1418"/>
    <cellStyle name="Normal 5 2 10 4" xfId="1091"/>
    <cellStyle name="Normal 5 2 11" xfId="325"/>
    <cellStyle name="Normal 5 2 11 2" xfId="522"/>
    <cellStyle name="Normal 5 2 11 2 2" xfId="1255"/>
    <cellStyle name="Normal 5 2 11 3" xfId="850"/>
    <cellStyle name="Normal 5 2 11 3 2" xfId="1419"/>
    <cellStyle name="Normal 5 2 11 4" xfId="1092"/>
    <cellStyle name="Normal 5 2 12" xfId="326"/>
    <cellStyle name="Normal 5 2 12 2" xfId="523"/>
    <cellStyle name="Normal 5 2 12 2 2" xfId="1256"/>
    <cellStyle name="Normal 5 2 12 3" xfId="851"/>
    <cellStyle name="Normal 5 2 12 3 2" xfId="1420"/>
    <cellStyle name="Normal 5 2 12 4" xfId="1093"/>
    <cellStyle name="Normal 5 2 13" xfId="327"/>
    <cellStyle name="Normal 5 2 13 2" xfId="524"/>
    <cellStyle name="Normal 5 2 13 2 2" xfId="1257"/>
    <cellStyle name="Normal 5 2 13 3" xfId="852"/>
    <cellStyle name="Normal 5 2 13 3 2" xfId="1421"/>
    <cellStyle name="Normal 5 2 13 4" xfId="1094"/>
    <cellStyle name="Normal 5 2 14" xfId="328"/>
    <cellStyle name="Normal 5 2 14 2" xfId="525"/>
    <cellStyle name="Normal 5 2 14 2 2" xfId="1258"/>
    <cellStyle name="Normal 5 2 14 3" xfId="853"/>
    <cellStyle name="Normal 5 2 14 3 2" xfId="1422"/>
    <cellStyle name="Normal 5 2 14 4" xfId="1095"/>
    <cellStyle name="Normal 5 2 15" xfId="329"/>
    <cellStyle name="Normal 5 2 15 2" xfId="526"/>
    <cellStyle name="Normal 5 2 15 2 2" xfId="1259"/>
    <cellStyle name="Normal 5 2 15 3" xfId="854"/>
    <cellStyle name="Normal 5 2 15 3 2" xfId="1423"/>
    <cellStyle name="Normal 5 2 15 4" xfId="1096"/>
    <cellStyle name="Normal 5 2 16" xfId="330"/>
    <cellStyle name="Normal 5 2 16 2" xfId="527"/>
    <cellStyle name="Normal 5 2 16 2 2" xfId="1260"/>
    <cellStyle name="Normal 5 2 16 3" xfId="855"/>
    <cellStyle name="Normal 5 2 16 3 2" xfId="1424"/>
    <cellStyle name="Normal 5 2 16 4" xfId="1097"/>
    <cellStyle name="Normal 5 2 17" xfId="323"/>
    <cellStyle name="Normal 5 2 17 2" xfId="520"/>
    <cellStyle name="Normal 5 2 17 2 2" xfId="1253"/>
    <cellStyle name="Normal 5 2 17 3" xfId="848"/>
    <cellStyle name="Normal 5 2 17 3 2" xfId="1417"/>
    <cellStyle name="Normal 5 2 17 4" xfId="1090"/>
    <cellStyle name="Normal 5 2 18" xfId="166"/>
    <cellStyle name="Normal 5 2 18 2" xfId="1009"/>
    <cellStyle name="Normal 5 2 19" xfId="439"/>
    <cellStyle name="Normal 5 2 19 2" xfId="1172"/>
    <cellStyle name="Normal 5 2 2" xfId="167"/>
    <cellStyle name="Normal 5 2 2 2" xfId="331"/>
    <cellStyle name="Normal 5 2 2 2 2" xfId="528"/>
    <cellStyle name="Normal 5 2 2 2 2 2" xfId="1261"/>
    <cellStyle name="Normal 5 2 2 2 3" xfId="856"/>
    <cellStyle name="Normal 5 2 2 2 3 2" xfId="1425"/>
    <cellStyle name="Normal 5 2 2 2 4" xfId="1098"/>
    <cellStyle name="Normal 5 2 2 3" xfId="440"/>
    <cellStyle name="Normal 5 2 2 3 2" xfId="1173"/>
    <cellStyle name="Normal 5 2 2 4" xfId="768"/>
    <cellStyle name="Normal 5 2 2 4 2" xfId="1337"/>
    <cellStyle name="Normal 5 2 2 5" xfId="1010"/>
    <cellStyle name="Normal 5 2 20" xfId="767"/>
    <cellStyle name="Normal 5 2 20 2" xfId="1336"/>
    <cellStyle name="Normal 5 2 21" xfId="953"/>
    <cellStyle name="Normal 5 2 3" xfId="332"/>
    <cellStyle name="Normal 5 2 3 2" xfId="529"/>
    <cellStyle name="Normal 5 2 3 2 2" xfId="1262"/>
    <cellStyle name="Normal 5 2 3 3" xfId="857"/>
    <cellStyle name="Normal 5 2 3 3 2" xfId="1426"/>
    <cellStyle name="Normal 5 2 3 4" xfId="1099"/>
    <cellStyle name="Normal 5 2 4" xfId="333"/>
    <cellStyle name="Normal 5 2 4 2" xfId="530"/>
    <cellStyle name="Normal 5 2 4 2 2" xfId="1263"/>
    <cellStyle name="Normal 5 2 4 3" xfId="858"/>
    <cellStyle name="Normal 5 2 4 3 2" xfId="1427"/>
    <cellStyle name="Normal 5 2 4 4" xfId="1100"/>
    <cellStyle name="Normal 5 2 5" xfId="334"/>
    <cellStyle name="Normal 5 2 5 2" xfId="531"/>
    <cellStyle name="Normal 5 2 5 2 2" xfId="1264"/>
    <cellStyle name="Normal 5 2 5 3" xfId="859"/>
    <cellStyle name="Normal 5 2 5 3 2" xfId="1428"/>
    <cellStyle name="Normal 5 2 5 4" xfId="1101"/>
    <cellStyle name="Normal 5 2 6" xfId="335"/>
    <cellStyle name="Normal 5 2 6 2" xfId="532"/>
    <cellStyle name="Normal 5 2 6 2 2" xfId="1265"/>
    <cellStyle name="Normal 5 2 6 3" xfId="860"/>
    <cellStyle name="Normal 5 2 6 3 2" xfId="1429"/>
    <cellStyle name="Normal 5 2 6 4" xfId="1102"/>
    <cellStyle name="Normal 5 2 7" xfId="336"/>
    <cellStyle name="Normal 5 2 7 2" xfId="533"/>
    <cellStyle name="Normal 5 2 7 2 2" xfId="1266"/>
    <cellStyle name="Normal 5 2 7 3" xfId="861"/>
    <cellStyle name="Normal 5 2 7 3 2" xfId="1430"/>
    <cellStyle name="Normal 5 2 7 4" xfId="1103"/>
    <cellStyle name="Normal 5 2 8" xfId="337"/>
    <cellStyle name="Normal 5 2 8 2" xfId="534"/>
    <cellStyle name="Normal 5 2 8 2 2" xfId="1267"/>
    <cellStyle name="Normal 5 2 8 3" xfId="862"/>
    <cellStyle name="Normal 5 2 8 3 2" xfId="1431"/>
    <cellStyle name="Normal 5 2 8 4" xfId="1104"/>
    <cellStyle name="Normal 5 2 9" xfId="338"/>
    <cellStyle name="Normal 5 2 9 2" xfId="535"/>
    <cellStyle name="Normal 5 2 9 2 2" xfId="1268"/>
    <cellStyle name="Normal 5 2 9 3" xfId="863"/>
    <cellStyle name="Normal 5 2 9 3 2" xfId="1432"/>
    <cellStyle name="Normal 5 2 9 4" xfId="1105"/>
    <cellStyle name="Normal 5 20" xfId="314"/>
    <cellStyle name="Normal 5 20 2" xfId="511"/>
    <cellStyle name="Normal 5 20 2 2" xfId="1244"/>
    <cellStyle name="Normal 5 20 3" xfId="839"/>
    <cellStyle name="Normal 5 20 3 2" xfId="1408"/>
    <cellStyle name="Normal 5 20 4" xfId="1081"/>
    <cellStyle name="Normal 5 21" xfId="87"/>
    <cellStyle name="Normal 5 22" xfId="925"/>
    <cellStyle name="Normal 5 3" xfId="168"/>
    <cellStyle name="Normal 5 3 2" xfId="339"/>
    <cellStyle name="Normal 5 3 2 2" xfId="536"/>
    <cellStyle name="Normal 5 3 2 2 2" xfId="1269"/>
    <cellStyle name="Normal 5 3 2 3" xfId="864"/>
    <cellStyle name="Normal 5 3 2 3 2" xfId="1433"/>
    <cellStyle name="Normal 5 3 2 4" xfId="1106"/>
    <cellStyle name="Normal 5 3 3" xfId="441"/>
    <cellStyle name="Normal 5 3 3 2" xfId="1174"/>
    <cellStyle name="Normal 5 3 4" xfId="769"/>
    <cellStyle name="Normal 5 3 4 2" xfId="1338"/>
    <cellStyle name="Normal 5 3 5" xfId="1011"/>
    <cellStyle name="Normal 5 4" xfId="165"/>
    <cellStyle name="Normal 5 4 2" xfId="340"/>
    <cellStyle name="Normal 5 4 2 2" xfId="537"/>
    <cellStyle name="Normal 5 4 2 2 2" xfId="1270"/>
    <cellStyle name="Normal 5 4 2 3" xfId="865"/>
    <cellStyle name="Normal 5 4 2 3 2" xfId="1434"/>
    <cellStyle name="Normal 5 4 2 4" xfId="1107"/>
    <cellStyle name="Normal 5 4 3" xfId="438"/>
    <cellStyle name="Normal 5 4 3 2" xfId="1171"/>
    <cellStyle name="Normal 5 4 4" xfId="766"/>
    <cellStyle name="Normal 5 4 4 2" xfId="1335"/>
    <cellStyle name="Normal 5 4 5" xfId="1008"/>
    <cellStyle name="Normal 5 5" xfId="341"/>
    <cellStyle name="Normal 5 5 2" xfId="538"/>
    <cellStyle name="Normal 5 5 2 2" xfId="1271"/>
    <cellStyle name="Normal 5 5 3" xfId="866"/>
    <cellStyle name="Normal 5 5 3 2" xfId="1435"/>
    <cellStyle name="Normal 5 5 4" xfId="1108"/>
    <cellStyle name="Normal 5 6" xfId="342"/>
    <cellStyle name="Normal 5 6 2" xfId="539"/>
    <cellStyle name="Normal 5 6 2 2" xfId="1272"/>
    <cellStyle name="Normal 5 6 3" xfId="867"/>
    <cellStyle name="Normal 5 6 3 2" xfId="1436"/>
    <cellStyle name="Normal 5 6 4" xfId="1109"/>
    <cellStyle name="Normal 5 7" xfId="343"/>
    <cellStyle name="Normal 5 7 2" xfId="540"/>
    <cellStyle name="Normal 5 7 2 2" xfId="1273"/>
    <cellStyle name="Normal 5 7 3" xfId="868"/>
    <cellStyle name="Normal 5 7 3 2" xfId="1437"/>
    <cellStyle name="Normal 5 7 4" xfId="1110"/>
    <cellStyle name="Normal 5 8" xfId="344"/>
    <cellStyle name="Normal 5 8 2" xfId="541"/>
    <cellStyle name="Normal 5 8 2 2" xfId="1274"/>
    <cellStyle name="Normal 5 8 3" xfId="869"/>
    <cellStyle name="Normal 5 8 3 2" xfId="1438"/>
    <cellStyle name="Normal 5 8 4" xfId="1111"/>
    <cellStyle name="Normal 5 9" xfId="345"/>
    <cellStyle name="Normal 5 9 2" xfId="542"/>
    <cellStyle name="Normal 5 9 2 2" xfId="1275"/>
    <cellStyle name="Normal 5 9 3" xfId="870"/>
    <cellStyle name="Normal 5 9 3 2" xfId="1439"/>
    <cellStyle name="Normal 5 9 4" xfId="1112"/>
    <cellStyle name="Normal 50" xfId="912"/>
    <cellStyle name="Normal 50 2" xfId="1481"/>
    <cellStyle name="Normal 51" xfId="913"/>
    <cellStyle name="Normal 51 2" xfId="1482"/>
    <cellStyle name="Normal 52" xfId="914"/>
    <cellStyle name="Normal 52 2" xfId="1483"/>
    <cellStyle name="Normal 53" xfId="915"/>
    <cellStyle name="Normal 53 2" xfId="1484"/>
    <cellStyle name="Normal 54" xfId="916"/>
    <cellStyle name="Normal 54 2" xfId="1485"/>
    <cellStyle name="Normal 55" xfId="917"/>
    <cellStyle name="Normal 55 2" xfId="1486"/>
    <cellStyle name="Normal 56" xfId="918"/>
    <cellStyle name="Normal 57" xfId="919"/>
    <cellStyle name="Normal 58" xfId="1487"/>
    <cellStyle name="Normal 59" xfId="1488"/>
    <cellStyle name="Normal 6" xfId="14"/>
    <cellStyle name="Normal 6 10" xfId="347"/>
    <cellStyle name="Normal 6 10 2" xfId="544"/>
    <cellStyle name="Normal 6 10 2 2" xfId="1277"/>
    <cellStyle name="Normal 6 10 3" xfId="872"/>
    <cellStyle name="Normal 6 10 3 2" xfId="1441"/>
    <cellStyle name="Normal 6 10 4" xfId="1114"/>
    <cellStyle name="Normal 6 11" xfId="348"/>
    <cellStyle name="Normal 6 11 2" xfId="545"/>
    <cellStyle name="Normal 6 11 2 2" xfId="1278"/>
    <cellStyle name="Normal 6 11 3" xfId="873"/>
    <cellStyle name="Normal 6 11 3 2" xfId="1442"/>
    <cellStyle name="Normal 6 11 4" xfId="1115"/>
    <cellStyle name="Normal 6 12" xfId="349"/>
    <cellStyle name="Normal 6 12 2" xfId="546"/>
    <cellStyle name="Normal 6 12 2 2" xfId="1279"/>
    <cellStyle name="Normal 6 12 3" xfId="874"/>
    <cellStyle name="Normal 6 12 3 2" xfId="1443"/>
    <cellStyle name="Normal 6 12 4" xfId="1116"/>
    <cellStyle name="Normal 6 13" xfId="350"/>
    <cellStyle name="Normal 6 13 2" xfId="547"/>
    <cellStyle name="Normal 6 13 2 2" xfId="1280"/>
    <cellStyle name="Normal 6 13 3" xfId="875"/>
    <cellStyle name="Normal 6 13 3 2" xfId="1444"/>
    <cellStyle name="Normal 6 13 4" xfId="1117"/>
    <cellStyle name="Normal 6 14" xfId="351"/>
    <cellStyle name="Normal 6 14 2" xfId="548"/>
    <cellStyle name="Normal 6 14 2 2" xfId="1281"/>
    <cellStyle name="Normal 6 14 3" xfId="876"/>
    <cellStyle name="Normal 6 14 3 2" xfId="1445"/>
    <cellStyle name="Normal 6 14 4" xfId="1118"/>
    <cellStyle name="Normal 6 15" xfId="352"/>
    <cellStyle name="Normal 6 15 2" xfId="549"/>
    <cellStyle name="Normal 6 15 2 2" xfId="1282"/>
    <cellStyle name="Normal 6 15 3" xfId="877"/>
    <cellStyle name="Normal 6 15 3 2" xfId="1446"/>
    <cellStyle name="Normal 6 15 4" xfId="1119"/>
    <cellStyle name="Normal 6 16" xfId="353"/>
    <cellStyle name="Normal 6 16 2" xfId="550"/>
    <cellStyle name="Normal 6 16 2 2" xfId="1283"/>
    <cellStyle name="Normal 6 16 3" xfId="878"/>
    <cellStyle name="Normal 6 16 3 2" xfId="1447"/>
    <cellStyle name="Normal 6 16 4" xfId="1120"/>
    <cellStyle name="Normal 6 17" xfId="354"/>
    <cellStyle name="Normal 6 17 2" xfId="551"/>
    <cellStyle name="Normal 6 17 2 2" xfId="1284"/>
    <cellStyle name="Normal 6 17 3" xfId="879"/>
    <cellStyle name="Normal 6 17 3 2" xfId="1448"/>
    <cellStyle name="Normal 6 17 4" xfId="1121"/>
    <cellStyle name="Normal 6 18" xfId="388"/>
    <cellStyle name="Normal 6 18 2" xfId="571"/>
    <cellStyle name="Normal 6 18 2 2" xfId="1304"/>
    <cellStyle name="Normal 6 18 3" xfId="898"/>
    <cellStyle name="Normal 6 18 3 2" xfId="1467"/>
    <cellStyle name="Normal 6 18 4" xfId="1140"/>
    <cellStyle name="Normal 6 19" xfId="370"/>
    <cellStyle name="Normal 6 2" xfId="52"/>
    <cellStyle name="Normal 6 2 2" xfId="355"/>
    <cellStyle name="Normal 6 2 3" xfId="954"/>
    <cellStyle name="Normal 6 20" xfId="346"/>
    <cellStyle name="Normal 6 20 2" xfId="543"/>
    <cellStyle name="Normal 6 20 2 2" xfId="1276"/>
    <cellStyle name="Normal 6 20 3" xfId="871"/>
    <cellStyle name="Normal 6 20 3 2" xfId="1440"/>
    <cellStyle name="Normal 6 20 4" xfId="1113"/>
    <cellStyle name="Normal 6 21" xfId="95"/>
    <cellStyle name="Normal 6 22" xfId="926"/>
    <cellStyle name="Normal 6 3" xfId="356"/>
    <cellStyle name="Normal 6 3 2" xfId="552"/>
    <cellStyle name="Normal 6 3 2 2" xfId="1285"/>
    <cellStyle name="Normal 6 3 3" xfId="880"/>
    <cellStyle name="Normal 6 3 3 2" xfId="1449"/>
    <cellStyle name="Normal 6 3 4" xfId="1122"/>
    <cellStyle name="Normal 6 4" xfId="357"/>
    <cellStyle name="Normal 6 4 2" xfId="553"/>
    <cellStyle name="Normal 6 4 2 2" xfId="1286"/>
    <cellStyle name="Normal 6 4 3" xfId="881"/>
    <cellStyle name="Normal 6 4 3 2" xfId="1450"/>
    <cellStyle name="Normal 6 4 4" xfId="1123"/>
    <cellStyle name="Normal 6 5" xfId="358"/>
    <cellStyle name="Normal 6 5 2" xfId="554"/>
    <cellStyle name="Normal 6 5 2 2" xfId="1287"/>
    <cellStyle name="Normal 6 5 3" xfId="882"/>
    <cellStyle name="Normal 6 5 3 2" xfId="1451"/>
    <cellStyle name="Normal 6 5 4" xfId="1124"/>
    <cellStyle name="Normal 6 6" xfId="359"/>
    <cellStyle name="Normal 6 6 2" xfId="555"/>
    <cellStyle name="Normal 6 6 2 2" xfId="1288"/>
    <cellStyle name="Normal 6 6 3" xfId="883"/>
    <cellStyle name="Normal 6 6 3 2" xfId="1452"/>
    <cellStyle name="Normal 6 6 4" xfId="1125"/>
    <cellStyle name="Normal 6 7" xfId="360"/>
    <cellStyle name="Normal 6 7 2" xfId="556"/>
    <cellStyle name="Normal 6 7 2 2" xfId="1289"/>
    <cellStyle name="Normal 6 7 3" xfId="884"/>
    <cellStyle name="Normal 6 7 3 2" xfId="1453"/>
    <cellStyle name="Normal 6 7 4" xfId="1126"/>
    <cellStyle name="Normal 6 8" xfId="361"/>
    <cellStyle name="Normal 6 8 2" xfId="557"/>
    <cellStyle name="Normal 6 8 2 2" xfId="1290"/>
    <cellStyle name="Normal 6 8 3" xfId="885"/>
    <cellStyle name="Normal 6 8 3 2" xfId="1454"/>
    <cellStyle name="Normal 6 8 4" xfId="1127"/>
    <cellStyle name="Normal 6 9" xfId="362"/>
    <cellStyle name="Normal 6 9 2" xfId="558"/>
    <cellStyle name="Normal 6 9 2 2" xfId="1291"/>
    <cellStyle name="Normal 6 9 3" xfId="886"/>
    <cellStyle name="Normal 6 9 3 2" xfId="1455"/>
    <cellStyle name="Normal 6 9 4" xfId="1128"/>
    <cellStyle name="Normal 60" xfId="1489"/>
    <cellStyle name="Normal 61" xfId="1490"/>
    <cellStyle name="Normal 62" xfId="1491"/>
    <cellStyle name="Normal 63" xfId="1492"/>
    <cellStyle name="Normal 64" xfId="1493"/>
    <cellStyle name="Normal 65" xfId="1494"/>
    <cellStyle name="Normal 66" xfId="1495"/>
    <cellStyle name="Normal 67" xfId="1496"/>
    <cellStyle name="Normal 68" xfId="1497"/>
    <cellStyle name="Normal 69" xfId="1498"/>
    <cellStyle name="Normal 7" xfId="16"/>
    <cellStyle name="Normal 7 2" xfId="54"/>
    <cellStyle name="Normal 7 2 2" xfId="171"/>
    <cellStyle name="Normal 7 2 2 2" xfId="1012"/>
    <cellStyle name="Normal 7 2 3" xfId="442"/>
    <cellStyle name="Normal 7 2 3 2" xfId="1175"/>
    <cellStyle name="Normal 7 2 4" xfId="770"/>
    <cellStyle name="Normal 7 2 4 2" xfId="1339"/>
    <cellStyle name="Normal 7 2 5" xfId="956"/>
    <cellStyle name="Normal 7 3" xfId="363"/>
    <cellStyle name="Normal 7 4" xfId="94"/>
    <cellStyle name="Normal 7 4 2" xfId="656"/>
    <cellStyle name="Normal 7 4 3" xfId="990"/>
    <cellStyle name="Normal 7 5" xfId="420"/>
    <cellStyle name="Normal 7 5 2" xfId="1153"/>
    <cellStyle name="Normal 7 6" xfId="748"/>
    <cellStyle name="Normal 7 6 2" xfId="1317"/>
    <cellStyle name="Normal 7 7" xfId="928"/>
    <cellStyle name="Normal 70" xfId="1499"/>
    <cellStyle name="Normal 71" xfId="1500"/>
    <cellStyle name="Normal 72" xfId="1501"/>
    <cellStyle name="Normal 73" xfId="1502"/>
    <cellStyle name="Normal 74" xfId="1503"/>
    <cellStyle name="Normal 75" xfId="1504"/>
    <cellStyle name="Normal 76" xfId="1505"/>
    <cellStyle name="Normal 77" xfId="1506"/>
    <cellStyle name="Normal 78" xfId="1507"/>
    <cellStyle name="Normal 79" xfId="1508"/>
    <cellStyle name="Normal 8" xfId="17"/>
    <cellStyle name="Normal 8 2" xfId="55"/>
    <cellStyle name="Normal 8 2 2" xfId="957"/>
    <cellStyle name="Normal 8 3" xfId="79"/>
    <cellStyle name="Normal 8 4" xfId="929"/>
    <cellStyle name="Normal 80" xfId="1509"/>
    <cellStyle name="Normal 81" xfId="1510"/>
    <cellStyle name="Normal 82" xfId="1511"/>
    <cellStyle name="Normal 83" xfId="1512"/>
    <cellStyle name="Normal 84" xfId="1513"/>
    <cellStyle name="Normal 85" xfId="1514"/>
    <cellStyle name="Normal 86" xfId="1515"/>
    <cellStyle name="Normal 87" xfId="1516"/>
    <cellStyle name="Normal 88" xfId="1517"/>
    <cellStyle name="Normal 89" xfId="1518"/>
    <cellStyle name="Normal 9" xfId="21"/>
    <cellStyle name="Normal 9 2" xfId="57"/>
    <cellStyle name="Normal 9 2 2" xfId="959"/>
    <cellStyle name="Normal 9 3" xfId="107"/>
    <cellStyle name="Normal 9 4" xfId="931"/>
    <cellStyle name="Normal 90" xfId="1519"/>
    <cellStyle name="Normal 91" xfId="1520"/>
    <cellStyle name="Normal 92" xfId="1521"/>
    <cellStyle name="Normal 93" xfId="1522"/>
    <cellStyle name="Normal 94" xfId="1523"/>
    <cellStyle name="Normal 95" xfId="1524"/>
    <cellStyle name="Normal 96" xfId="1525"/>
    <cellStyle name="Normal 97" xfId="1526"/>
    <cellStyle name="Normal 98" xfId="1527"/>
    <cellStyle name="Normal 99" xfId="1528"/>
    <cellStyle name="Normal_Bao cao tai chinh 280405" xfId="9"/>
    <cellStyle name="Normal1" xfId="657"/>
    <cellStyle name="Normal2" xfId="172"/>
    <cellStyle name="Normal3" xfId="173"/>
    <cellStyle name="Note 2" xfId="364"/>
    <cellStyle name="Note 2 2" xfId="658"/>
    <cellStyle name="nPlode" xfId="174"/>
    <cellStyle name="NPLOSION" xfId="175"/>
    <cellStyle name="OddStyleFINAL_BALANCE" xfId="23"/>
    <cellStyle name="OddStyleFULL_NAME" xfId="22"/>
    <cellStyle name="OddStyleRATE" xfId="20"/>
    <cellStyle name="Œ…‹æØ‚è [0.00]_Region Orders (2)" xfId="659"/>
    <cellStyle name="Œ…‹æØ‚è_Region Orders (2)" xfId="660"/>
    <cellStyle name="omma [0]_Mktg Prog" xfId="661"/>
    <cellStyle name="ormal_Sheet1_1" xfId="662"/>
    <cellStyle name="Output 2" xfId="365"/>
    <cellStyle name="PageNumber, Top-Center, (none), Solid/Color [A=255, R=125, G=125, B=125]/Color [A=255, R=125, G=125, B=125]" xfId="36"/>
    <cellStyle name="PageNumber, Top-Center, (none), Solid/Color [A=255, R=205, G=205, B=205]/Color [A=255, R=205, G=205, B=205]" xfId="34"/>
    <cellStyle name="PageNumber, Top-Center, (none), Solid/Color [Black]/Color [White]" xfId="35"/>
    <cellStyle name="per.style" xfId="663"/>
    <cellStyle name="Percent" xfId="4" builtinId="5"/>
    <cellStyle name="Percent (0)" xfId="664"/>
    <cellStyle name="Percent [2]" xfId="665"/>
    <cellStyle name="Percent 2" xfId="7"/>
    <cellStyle name="Percent 2 2" xfId="48"/>
    <cellStyle name="Percent 2 2 2" xfId="105"/>
    <cellStyle name="Percent 2 2 2 2" xfId="428"/>
    <cellStyle name="Percent 2 2 2 2 2" xfId="1161"/>
    <cellStyle name="Percent 2 2 2 3" xfId="756"/>
    <cellStyle name="Percent 2 2 2 3 2" xfId="1325"/>
    <cellStyle name="Percent 2 2 2 4" xfId="998"/>
    <cellStyle name="Percent 2 2 3" xfId="92"/>
    <cellStyle name="Percent 2 2 3 2" xfId="988"/>
    <cellStyle name="Percent 2 2 4" xfId="418"/>
    <cellStyle name="Percent 2 2 4 2" xfId="1151"/>
    <cellStyle name="Percent 2 2 5" xfId="746"/>
    <cellStyle name="Percent 2 2 5 2" xfId="1315"/>
    <cellStyle name="Percent 2 2 6" xfId="950"/>
    <cellStyle name="Percent 2 3" xfId="100"/>
    <cellStyle name="Percent 2 3 2" xfId="389"/>
    <cellStyle name="Percent 2 3 3" xfId="423"/>
    <cellStyle name="Percent 2 3 3 2" xfId="1156"/>
    <cellStyle name="Percent 2 3 4" xfId="751"/>
    <cellStyle name="Percent 2 3 4 2" xfId="1320"/>
    <cellStyle name="Percent 2 3 5" xfId="993"/>
    <cellStyle name="Percent 2 4" xfId="372"/>
    <cellStyle name="Percent 2 4 2" xfId="561"/>
    <cellStyle name="Percent 2 4 2 2" xfId="1294"/>
    <cellStyle name="Percent 2 4 3" xfId="888"/>
    <cellStyle name="Percent 2 4 3 2" xfId="1457"/>
    <cellStyle name="Percent 2 4 4" xfId="1130"/>
    <cellStyle name="Percent 2 5" xfId="366"/>
    <cellStyle name="Percent 2 6" xfId="84"/>
    <cellStyle name="Percent 2 6 2" xfId="666"/>
    <cellStyle name="Percent 2 6 3" xfId="983"/>
    <cellStyle name="Percent 2 7" xfId="413"/>
    <cellStyle name="Percent 2 7 2" xfId="1146"/>
    <cellStyle name="Percent 2 8" xfId="741"/>
    <cellStyle name="Percent 2 8 2" xfId="1310"/>
    <cellStyle name="Percent 2 9" xfId="922"/>
    <cellStyle name="Percent 3" xfId="45"/>
    <cellStyle name="Percent 3 2" xfId="177"/>
    <cellStyle name="Percent 3 2 2" xfId="178"/>
    <cellStyle name="Percent 3 2 2 2" xfId="445"/>
    <cellStyle name="Percent 3 2 2 2 2" xfId="1178"/>
    <cellStyle name="Percent 3 2 2 3" xfId="773"/>
    <cellStyle name="Percent 3 2 2 3 2" xfId="1342"/>
    <cellStyle name="Percent 3 2 2 4" xfId="1015"/>
    <cellStyle name="Percent 3 2 3" xfId="444"/>
    <cellStyle name="Percent 3 2 3 2" xfId="1177"/>
    <cellStyle name="Percent 3 2 4" xfId="772"/>
    <cellStyle name="Percent 3 2 4 2" xfId="1341"/>
    <cellStyle name="Percent 3 2 5" xfId="1014"/>
    <cellStyle name="Percent 3 3" xfId="179"/>
    <cellStyle name="Percent 3 3 2" xfId="446"/>
    <cellStyle name="Percent 3 3 2 2" xfId="1179"/>
    <cellStyle name="Percent 3 3 3" xfId="774"/>
    <cellStyle name="Percent 3 3 3 2" xfId="1343"/>
    <cellStyle name="Percent 3 3 4" xfId="1016"/>
    <cellStyle name="Percent 3 4" xfId="176"/>
    <cellStyle name="Percent 3 4 2" xfId="443"/>
    <cellStyle name="Percent 3 4 2 2" xfId="1176"/>
    <cellStyle name="Percent 3 4 3" xfId="771"/>
    <cellStyle name="Percent 3 4 3 2" xfId="1340"/>
    <cellStyle name="Percent 3 4 4" xfId="1013"/>
    <cellStyle name="Percent 3 5" xfId="91"/>
    <cellStyle name="Percent 4" xfId="99"/>
    <cellStyle name="Percent 5" xfId="83"/>
    <cellStyle name="Percent 6" xfId="667"/>
    <cellStyle name="PERCENTAGE" xfId="668"/>
    <cellStyle name="pricing" xfId="669"/>
    <cellStyle name="PSChar" xfId="670"/>
    <cellStyle name="R00A" xfId="180"/>
    <cellStyle name="R00B" xfId="181"/>
    <cellStyle name="R00L" xfId="182"/>
    <cellStyle name="R01A" xfId="183"/>
    <cellStyle name="R01B" xfId="184"/>
    <cellStyle name="R01H" xfId="185"/>
    <cellStyle name="R01L" xfId="186"/>
    <cellStyle name="R02A" xfId="187"/>
    <cellStyle name="R02A 2" xfId="406"/>
    <cellStyle name="R02A 3" xfId="398"/>
    <cellStyle name="R02A 4" xfId="724"/>
    <cellStyle name="R02A 5" xfId="732"/>
    <cellStyle name="R02B" xfId="188"/>
    <cellStyle name="R02B 2" xfId="405"/>
    <cellStyle name="R02B 3" xfId="399"/>
    <cellStyle name="R02B 4" xfId="721"/>
    <cellStyle name="R02B 5" xfId="730"/>
    <cellStyle name="R02H" xfId="189"/>
    <cellStyle name="R02L" xfId="190"/>
    <cellStyle name="R03A" xfId="191"/>
    <cellStyle name="R03A 2" xfId="404"/>
    <cellStyle name="R03A 3" xfId="400"/>
    <cellStyle name="R03A 4" xfId="718"/>
    <cellStyle name="R03A 5" xfId="726"/>
    <cellStyle name="R03B" xfId="192"/>
    <cellStyle name="R03B 2" xfId="403"/>
    <cellStyle name="R03B 3" xfId="407"/>
    <cellStyle name="R03B 4" xfId="719"/>
    <cellStyle name="R03B 5" xfId="727"/>
    <cellStyle name="R03H" xfId="193"/>
    <cellStyle name="R03L" xfId="194"/>
    <cellStyle name="R04A" xfId="195"/>
    <cellStyle name="R04A 2" xfId="402"/>
    <cellStyle name="R04A 3" xfId="395"/>
    <cellStyle name="R04A 4" xfId="723"/>
    <cellStyle name="R04A 5" xfId="734"/>
    <cellStyle name="R04B" xfId="196"/>
    <cellStyle name="R04B 2" xfId="394"/>
    <cellStyle name="R04B 3" xfId="397"/>
    <cellStyle name="R04B 4" xfId="720"/>
    <cellStyle name="R04B 5" xfId="728"/>
    <cellStyle name="R04H" xfId="197"/>
    <cellStyle name="R04L" xfId="198"/>
    <cellStyle name="R05A" xfId="199"/>
    <cellStyle name="R05B" xfId="200"/>
    <cellStyle name="R05B 2" xfId="401"/>
    <cellStyle name="R05B 3" xfId="396"/>
    <cellStyle name="R05B 4" xfId="722"/>
    <cellStyle name="R05B 5" xfId="729"/>
    <cellStyle name="R05H" xfId="201"/>
    <cellStyle name="R05L" xfId="202"/>
    <cellStyle name="R06A" xfId="203"/>
    <cellStyle name="R06B" xfId="204"/>
    <cellStyle name="R06H" xfId="205"/>
    <cellStyle name="R06L" xfId="206"/>
    <cellStyle name="R07A" xfId="207"/>
    <cellStyle name="R07B" xfId="208"/>
    <cellStyle name="R07H" xfId="209"/>
    <cellStyle name="R07L" xfId="210"/>
    <cellStyle name="RevList" xfId="671"/>
    <cellStyle name="serJet 1200 Series PCL 6" xfId="672"/>
    <cellStyle name="Style 1" xfId="124"/>
    <cellStyle name="Style 2" xfId="673"/>
    <cellStyle name="subhead" xfId="674"/>
    <cellStyle name="Subtotal" xfId="675"/>
    <cellStyle name="Summary" xfId="211"/>
    <cellStyle name="T" xfId="676"/>
    <cellStyle name="th" xfId="677"/>
    <cellStyle name="Thuyet minh" xfId="678"/>
    <cellStyle name="Thuyet minh 2" xfId="735"/>
    <cellStyle name="Thuyet minh 3" xfId="731"/>
    <cellStyle name="Thuyet minh 4" xfId="717"/>
    <cellStyle name="Thuyet minh 5" xfId="725"/>
    <cellStyle name="Thuyet minh 6" xfId="733"/>
    <cellStyle name="Tickmark" xfId="679"/>
    <cellStyle name="Title 2" xfId="367"/>
    <cellStyle name="Total 2" xfId="368"/>
    <cellStyle name="viet" xfId="680"/>
    <cellStyle name="viet2" xfId="681"/>
    <cellStyle name="vnhead1" xfId="682"/>
    <cellStyle name="vnhead3" xfId="683"/>
    <cellStyle name="vntxt1" xfId="684"/>
    <cellStyle name="vntxt2" xfId="685"/>
    <cellStyle name="Währung [0]_UXO VII" xfId="686"/>
    <cellStyle name="Währung_UXO VII" xfId="687"/>
    <cellStyle name="Warning Text 2" xfId="369"/>
    <cellStyle name="センター" xfId="688"/>
    <cellStyle name="เครื่องหมายสกุลเงิน [0]_FTC_OFFER" xfId="689"/>
    <cellStyle name="เครื่องหมายสกุลเงิน_FTC_OFFER" xfId="690"/>
    <cellStyle name="ปกติ_FTC_OFFER" xfId="691"/>
    <cellStyle name=" [0.00]_ Att. 1- Cover" xfId="692"/>
    <cellStyle name="_ Att. 1- Cover" xfId="693"/>
    <cellStyle name="?_ Att. 1- Cover" xfId="694"/>
    <cellStyle name="똿뗦먛귟 [0.00]_PRODUCT DETAIL Q1" xfId="695"/>
    <cellStyle name="똿뗦먛귟_PRODUCT DETAIL Q1" xfId="696"/>
    <cellStyle name="믅됞 [0.00]_PRODUCT DETAIL Q1" xfId="697"/>
    <cellStyle name="믅됞_PRODUCT DETAIL Q1" xfId="698"/>
    <cellStyle name="백분율_††††† " xfId="699"/>
    <cellStyle name="뷭?_BOOKSHIP" xfId="700"/>
    <cellStyle name="콤마 [0]_ 비목별 월별기술 " xfId="701"/>
    <cellStyle name="콤마_ 비목별 월별기술 " xfId="702"/>
    <cellStyle name="통화 [0]_††††† " xfId="703"/>
    <cellStyle name="통화_††††† " xfId="704"/>
    <cellStyle name="표준_(정보부문)월별인원계획" xfId="705"/>
    <cellStyle name="一般_00Q3902REV.1" xfId="706"/>
    <cellStyle name="千分位[0]_00Q3902REV.1" xfId="707"/>
    <cellStyle name="千分位_00Q3902REV.1" xfId="708"/>
    <cellStyle name="桁区切り [0.00]_††††† " xfId="709"/>
    <cellStyle name="桁区切り_††††† " xfId="710"/>
    <cellStyle name="標準_††††† " xfId="711"/>
    <cellStyle name="貨幣 [0]_00Q3902REV.1" xfId="712"/>
    <cellStyle name="貨幣[0]_BRE" xfId="713"/>
    <cellStyle name="貨幣_00Q3902REV.1" xfId="714"/>
    <cellStyle name="通貨 [0.00]_††††† " xfId="715"/>
    <cellStyle name="通貨_††††† " xfId="716"/>
  </cellStyles>
  <dxfs count="5">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theme="3" tint="0.3999450666829432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1871382</xdr:colOff>
      <xdr:row>2</xdr:row>
      <xdr:rowOff>175938</xdr:rowOff>
    </xdr:to>
    <xdr:pic>
      <xdr:nvPicPr>
        <xdr:cNvPr id="5" name="Picture 4" descr="vfm-logo_915970.jp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23813</xdr:colOff>
      <xdr:row>0</xdr:row>
      <xdr:rowOff>0</xdr:rowOff>
    </xdr:from>
    <xdr:to>
      <xdr:col>1</xdr:col>
      <xdr:colOff>1287976</xdr:colOff>
      <xdr:row>2</xdr:row>
      <xdr:rowOff>24098</xdr:rowOff>
    </xdr:to>
    <xdr:pic>
      <xdr:nvPicPr>
        <xdr:cNvPr id="4" name="Picture 3" descr="vfm-logo_915970.jp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stretch>
          <a:fillRect/>
        </a:stretch>
      </xdr:blipFill>
      <xdr:spPr>
        <a:xfrm>
          <a:off x="23813" y="0"/>
          <a:ext cx="1871382" cy="8218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26891</xdr:colOff>
      <xdr:row>0</xdr:row>
      <xdr:rowOff>17930</xdr:rowOff>
    </xdr:from>
    <xdr:to>
      <xdr:col>1</xdr:col>
      <xdr:colOff>869577</xdr:colOff>
      <xdr:row>2</xdr:row>
      <xdr:rowOff>40879</xdr:rowOff>
    </xdr:to>
    <xdr:pic>
      <xdr:nvPicPr>
        <xdr:cNvPr id="3" name="Picture 2" descr="vfm-logo_915970.jp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26891" y="17930"/>
          <a:ext cx="1470215" cy="6325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921989</xdr:colOff>
      <xdr:row>1</xdr:row>
      <xdr:rowOff>371476</xdr:rowOff>
    </xdr:to>
    <xdr:pic>
      <xdr:nvPicPr>
        <xdr:cNvPr id="4" name="Picture 3" descr="vfm-logo_915970.jpg">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stretch>
          <a:fillRect/>
        </a:stretch>
      </xdr:blipFill>
      <xdr:spPr>
        <a:xfrm>
          <a:off x="0" y="1"/>
          <a:ext cx="1531589" cy="666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1376082</xdr:colOff>
      <xdr:row>2</xdr:row>
      <xdr:rowOff>57150</xdr:rowOff>
    </xdr:to>
    <xdr:pic>
      <xdr:nvPicPr>
        <xdr:cNvPr id="4" name="Picture 3" descr="vfm-logo_915970.jpg">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stretch>
          <a:fillRect/>
        </a:stretch>
      </xdr:blipFill>
      <xdr:spPr>
        <a:xfrm>
          <a:off x="0" y="0"/>
          <a:ext cx="1728507"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8965</xdr:colOff>
      <xdr:row>0</xdr:row>
      <xdr:rowOff>8965</xdr:rowOff>
    </xdr:from>
    <xdr:to>
      <xdr:col>1</xdr:col>
      <xdr:colOff>1123278</xdr:colOff>
      <xdr:row>2</xdr:row>
      <xdr:rowOff>124386</xdr:rowOff>
    </xdr:to>
    <xdr:pic>
      <xdr:nvPicPr>
        <xdr:cNvPr id="4" name="Picture 3" descr="vfm-logo_915970.jpg">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cstate="print"/>
        <a:stretch>
          <a:fillRect/>
        </a:stretch>
      </xdr:blipFill>
      <xdr:spPr>
        <a:xfrm>
          <a:off x="8965" y="8965"/>
          <a:ext cx="1741842" cy="7429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737907</xdr:colOff>
      <xdr:row>1</xdr:row>
      <xdr:rowOff>311804</xdr:rowOff>
    </xdr:to>
    <xdr:pic>
      <xdr:nvPicPr>
        <xdr:cNvPr id="4" name="Picture 3" descr="vfm-logo_915970.jpg">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stretch>
          <a:fillRect/>
        </a:stretch>
      </xdr:blipFill>
      <xdr:spPr>
        <a:xfrm>
          <a:off x="0" y="1"/>
          <a:ext cx="1438275" cy="62612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1547532</xdr:colOff>
      <xdr:row>2</xdr:row>
      <xdr:rowOff>100298</xdr:rowOff>
    </xdr:to>
    <xdr:pic>
      <xdr:nvPicPr>
        <xdr:cNvPr id="3" name="Picture 2" descr="vfm-logo_915970.jpg">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twoCellAnchor editAs="oneCell">
    <xdr:from>
      <xdr:col>0</xdr:col>
      <xdr:colOff>0</xdr:colOff>
      <xdr:row>0</xdr:row>
      <xdr:rowOff>0</xdr:rowOff>
    </xdr:from>
    <xdr:to>
      <xdr:col>1</xdr:col>
      <xdr:colOff>1547532</xdr:colOff>
      <xdr:row>2</xdr:row>
      <xdr:rowOff>147923</xdr:rowOff>
    </xdr:to>
    <xdr:pic>
      <xdr:nvPicPr>
        <xdr:cNvPr id="4" name="Picture 3" descr="vfm-logo_915970.jpg">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75"/>
  <sheetViews>
    <sheetView view="pageBreakPreview" topLeftCell="A13" zoomScale="85" zoomScaleNormal="100" zoomScaleSheetLayoutView="85" workbookViewId="0">
      <selection activeCell="C21" sqref="C21"/>
    </sheetView>
  </sheetViews>
  <sheetFormatPr defaultColWidth="9.08984375" defaultRowHeight="14"/>
  <cols>
    <col min="1" max="2" width="9.08984375" style="409"/>
    <col min="3" max="3" width="25.54296875" style="409" customWidth="1"/>
    <col min="4" max="4" width="30.90625" style="409" customWidth="1"/>
    <col min="5" max="5" width="21.08984375" style="409" customWidth="1"/>
    <col min="6" max="9" width="9.08984375" style="409"/>
    <col min="10" max="10" width="11.90625" style="409" customWidth="1"/>
    <col min="11" max="16384" width="9.08984375" style="409"/>
  </cols>
  <sheetData>
    <row r="1" spans="1:10">
      <c r="A1" s="408" t="s">
        <v>910</v>
      </c>
      <c r="C1" s="410" t="s">
        <v>1003</v>
      </c>
      <c r="D1" s="411"/>
    </row>
    <row r="2" spans="1:10">
      <c r="C2" s="412" t="s">
        <v>904</v>
      </c>
      <c r="D2" s="413"/>
    </row>
    <row r="3" spans="1:10">
      <c r="D3" s="414"/>
    </row>
    <row r="4" spans="1:10">
      <c r="A4" s="408" t="s">
        <v>911</v>
      </c>
      <c r="D4" s="414"/>
    </row>
    <row r="5" spans="1:10" ht="15" customHeight="1">
      <c r="C5" s="406" t="s">
        <v>430</v>
      </c>
      <c r="D5" s="452" t="s">
        <v>437</v>
      </c>
      <c r="E5" s="453"/>
      <c r="F5" s="453"/>
      <c r="G5" s="453"/>
      <c r="H5" s="78"/>
      <c r="I5" s="78"/>
    </row>
    <row r="6" spans="1:10" ht="15" customHeight="1">
      <c r="C6" s="404" t="s">
        <v>848</v>
      </c>
      <c r="D6" s="454" t="s">
        <v>500</v>
      </c>
      <c r="E6" s="454"/>
      <c r="F6" s="454"/>
      <c r="G6" s="454"/>
      <c r="H6" s="78"/>
      <c r="I6" s="78"/>
    </row>
    <row r="7" spans="1:10" ht="15" customHeight="1">
      <c r="C7" s="85" t="s">
        <v>431</v>
      </c>
      <c r="D7" s="455" t="s">
        <v>912</v>
      </c>
      <c r="E7" s="455"/>
      <c r="F7" s="455"/>
      <c r="G7" s="455"/>
      <c r="H7" s="455"/>
      <c r="I7" s="455"/>
    </row>
    <row r="8" spans="1:10" ht="15" customHeight="1">
      <c r="C8" s="5" t="s">
        <v>432</v>
      </c>
      <c r="D8" s="454" t="s">
        <v>433</v>
      </c>
      <c r="E8" s="454"/>
      <c r="F8" s="454"/>
      <c r="G8" s="454"/>
      <c r="H8" s="405"/>
      <c r="I8" s="405"/>
    </row>
    <row r="9" spans="1:10" ht="15" customHeight="1">
      <c r="C9" s="85" t="s">
        <v>429</v>
      </c>
      <c r="D9" s="451" t="s">
        <v>474</v>
      </c>
      <c r="E9" s="451"/>
      <c r="F9" s="451"/>
      <c r="G9" s="451"/>
      <c r="H9" s="78"/>
      <c r="I9" s="78"/>
    </row>
    <row r="10" spans="1:10" ht="15" customHeight="1">
      <c r="C10" s="78" t="s">
        <v>427</v>
      </c>
      <c r="D10" s="451" t="s">
        <v>473</v>
      </c>
      <c r="E10" s="451"/>
      <c r="F10" s="451"/>
      <c r="G10" s="451"/>
      <c r="H10" s="402"/>
      <c r="I10" s="402"/>
    </row>
    <row r="11" spans="1:10">
      <c r="C11" s="403" t="s">
        <v>193</v>
      </c>
      <c r="D11" s="415" t="s">
        <v>903</v>
      </c>
      <c r="E11" s="416"/>
      <c r="F11" s="416"/>
      <c r="G11" s="416"/>
      <c r="H11" s="416"/>
      <c r="I11" s="416"/>
    </row>
    <row r="12" spans="1:10">
      <c r="C12" s="7" t="s">
        <v>194</v>
      </c>
      <c r="D12" s="407">
        <v>43556</v>
      </c>
      <c r="E12" s="417"/>
      <c r="F12" s="417"/>
      <c r="G12" s="417"/>
      <c r="H12" s="417"/>
      <c r="I12" s="417"/>
    </row>
    <row r="13" spans="1:10">
      <c r="D13" s="414"/>
    </row>
    <row r="14" spans="1:10">
      <c r="A14" s="408" t="s">
        <v>913</v>
      </c>
      <c r="D14" s="414"/>
    </row>
    <row r="15" spans="1:10">
      <c r="D15" s="414"/>
    </row>
    <row r="16" spans="1:10" ht="25">
      <c r="C16" s="418" t="s">
        <v>231</v>
      </c>
      <c r="D16" s="411"/>
      <c r="F16" s="419" t="s">
        <v>232</v>
      </c>
      <c r="G16" s="420"/>
      <c r="H16" s="420"/>
      <c r="I16" s="420"/>
      <c r="J16" s="421"/>
    </row>
    <row r="17" spans="3:10">
      <c r="C17" s="422" t="s">
        <v>233</v>
      </c>
      <c r="D17" s="423"/>
      <c r="F17" s="422" t="s">
        <v>234</v>
      </c>
      <c r="G17" s="424"/>
      <c r="H17" s="424"/>
      <c r="I17" s="424"/>
      <c r="J17" s="425"/>
    </row>
    <row r="18" spans="3:10">
      <c r="C18" s="426"/>
      <c r="D18" s="423"/>
      <c r="F18" s="426"/>
      <c r="G18" s="424"/>
      <c r="H18" s="424"/>
      <c r="I18" s="424"/>
      <c r="J18" s="425"/>
    </row>
    <row r="19" spans="3:10">
      <c r="C19" s="427" t="s">
        <v>235</v>
      </c>
      <c r="D19" s="423"/>
      <c r="F19" s="427" t="s">
        <v>438</v>
      </c>
      <c r="G19" s="424"/>
      <c r="H19" s="424"/>
      <c r="I19" s="424"/>
      <c r="J19" s="425"/>
    </row>
    <row r="20" spans="3:10">
      <c r="C20" s="428" t="s">
        <v>908</v>
      </c>
      <c r="D20" s="423"/>
      <c r="F20" s="427" t="s">
        <v>439</v>
      </c>
      <c r="G20" s="424"/>
      <c r="H20" s="424"/>
      <c r="I20" s="424"/>
      <c r="J20" s="425"/>
    </row>
    <row r="21" spans="3:10">
      <c r="C21" s="429" t="s">
        <v>909</v>
      </c>
      <c r="D21" s="413"/>
      <c r="F21" s="430" t="s">
        <v>440</v>
      </c>
      <c r="G21" s="431"/>
      <c r="H21" s="431"/>
      <c r="I21" s="431"/>
      <c r="J21" s="432"/>
    </row>
    <row r="22" spans="3:10">
      <c r="D22" s="414"/>
    </row>
    <row r="23" spans="3:10">
      <c r="D23" s="414"/>
    </row>
    <row r="24" spans="3:10">
      <c r="D24" s="414"/>
    </row>
    <row r="25" spans="3:10">
      <c r="D25" s="414"/>
    </row>
    <row r="26" spans="3:10">
      <c r="D26" s="414"/>
    </row>
    <row r="27" spans="3:10">
      <c r="D27" s="414"/>
    </row>
    <row r="28" spans="3:10">
      <c r="D28" s="414"/>
    </row>
    <row r="29" spans="3:10">
      <c r="D29" s="414"/>
    </row>
    <row r="30" spans="3:10">
      <c r="D30" s="414"/>
    </row>
    <row r="31" spans="3:10">
      <c r="D31" s="414"/>
    </row>
    <row r="32" spans="3:10">
      <c r="D32" s="414"/>
    </row>
    <row r="33" spans="2:12">
      <c r="D33" s="414"/>
    </row>
    <row r="34" spans="2:12">
      <c r="B34" s="433" t="s">
        <v>914</v>
      </c>
      <c r="C34" s="433" t="s">
        <v>915</v>
      </c>
      <c r="D34" s="433" t="s">
        <v>916</v>
      </c>
    </row>
    <row r="35" spans="2:12" s="437" customFormat="1" ht="14.5">
      <c r="B35" s="434">
        <v>1</v>
      </c>
      <c r="C35" s="435" t="s">
        <v>917</v>
      </c>
      <c r="D35" s="436" t="s">
        <v>918</v>
      </c>
    </row>
    <row r="36" spans="2:12" s="437" customFormat="1" ht="28">
      <c r="B36" s="434">
        <v>2</v>
      </c>
      <c r="C36" s="435" t="s">
        <v>919</v>
      </c>
      <c r="D36" s="436" t="s">
        <v>920</v>
      </c>
    </row>
    <row r="37" spans="2:12" s="437" customFormat="1" ht="14.5">
      <c r="B37" s="434">
        <v>3</v>
      </c>
      <c r="C37" s="435" t="s">
        <v>921</v>
      </c>
      <c r="D37" s="436" t="s">
        <v>922</v>
      </c>
      <c r="J37" s="438"/>
      <c r="K37" s="439"/>
      <c r="L37" s="440"/>
    </row>
    <row r="38" spans="2:12" ht="14.5">
      <c r="B38" s="434">
        <v>4</v>
      </c>
      <c r="C38" s="434" t="s">
        <v>923</v>
      </c>
      <c r="D38" s="436" t="s">
        <v>924</v>
      </c>
      <c r="J38" s="441"/>
      <c r="K38" s="442"/>
      <c r="L38" s="443"/>
    </row>
    <row r="39" spans="2:12" ht="14.5">
      <c r="B39" s="434">
        <v>5</v>
      </c>
      <c r="C39" s="434" t="s">
        <v>925</v>
      </c>
      <c r="D39" s="436" t="s">
        <v>926</v>
      </c>
    </row>
    <row r="40" spans="2:12" ht="14.5">
      <c r="B40" s="434">
        <v>6</v>
      </c>
      <c r="C40" s="434" t="s">
        <v>927</v>
      </c>
      <c r="D40" s="436" t="s">
        <v>928</v>
      </c>
    </row>
    <row r="41" spans="2:12" ht="14.5">
      <c r="B41" s="434">
        <v>7</v>
      </c>
      <c r="C41" s="434" t="s">
        <v>929</v>
      </c>
      <c r="D41" s="436" t="s">
        <v>930</v>
      </c>
    </row>
    <row r="42" spans="2:12" ht="14.5">
      <c r="B42" s="434">
        <v>8</v>
      </c>
      <c r="C42" s="434" t="s">
        <v>931</v>
      </c>
      <c r="D42" s="436" t="s">
        <v>932</v>
      </c>
    </row>
    <row r="43" spans="2:12" ht="14.5">
      <c r="B43" s="434">
        <v>9</v>
      </c>
      <c r="C43" s="434" t="s">
        <v>933</v>
      </c>
      <c r="D43" s="436" t="s">
        <v>934</v>
      </c>
    </row>
    <row r="44" spans="2:12">
      <c r="B44" s="444">
        <v>10</v>
      </c>
      <c r="C44" s="409" t="s">
        <v>935</v>
      </c>
    </row>
    <row r="48" spans="2:12">
      <c r="B48" s="409" t="s">
        <v>936</v>
      </c>
    </row>
    <row r="50" spans="2:6">
      <c r="B50" s="445"/>
      <c r="C50" s="445"/>
      <c r="D50" s="445" t="s">
        <v>937</v>
      </c>
      <c r="E50" s="445" t="s">
        <v>938</v>
      </c>
      <c r="F50" s="445"/>
    </row>
    <row r="51" spans="2:6">
      <c r="B51" s="409" t="s">
        <v>939</v>
      </c>
      <c r="C51" s="409" t="s">
        <v>940</v>
      </c>
      <c r="D51" s="446" t="s">
        <v>941</v>
      </c>
    </row>
    <row r="52" spans="2:6">
      <c r="B52" s="409" t="s">
        <v>942</v>
      </c>
      <c r="C52" s="409" t="s">
        <v>943</v>
      </c>
      <c r="D52" s="446" t="s">
        <v>941</v>
      </c>
    </row>
    <row r="53" spans="2:6">
      <c r="B53" s="409" t="s">
        <v>944</v>
      </c>
      <c r="C53" s="409" t="s">
        <v>945</v>
      </c>
      <c r="D53" s="447" t="s">
        <v>946</v>
      </c>
      <c r="E53" s="409" t="s">
        <v>947</v>
      </c>
    </row>
    <row r="54" spans="2:6">
      <c r="B54" s="409" t="s">
        <v>948</v>
      </c>
      <c r="C54" s="409" t="s">
        <v>949</v>
      </c>
      <c r="D54" s="447" t="s">
        <v>950</v>
      </c>
      <c r="E54" s="409" t="s">
        <v>951</v>
      </c>
    </row>
    <row r="55" spans="2:6">
      <c r="B55" s="409" t="s">
        <v>952</v>
      </c>
      <c r="C55" s="409" t="s">
        <v>953</v>
      </c>
      <c r="D55" s="447" t="s">
        <v>950</v>
      </c>
      <c r="E55" s="409" t="s">
        <v>951</v>
      </c>
    </row>
    <row r="56" spans="2:6">
      <c r="B56" s="409" t="s">
        <v>954</v>
      </c>
      <c r="C56" s="409" t="s">
        <v>955</v>
      </c>
      <c r="D56" s="447" t="s">
        <v>950</v>
      </c>
      <c r="E56" s="409" t="s">
        <v>956</v>
      </c>
    </row>
    <row r="57" spans="2:6">
      <c r="B57" s="409" t="s">
        <v>957</v>
      </c>
      <c r="C57" s="409" t="s">
        <v>958</v>
      </c>
      <c r="D57" s="447" t="s">
        <v>950</v>
      </c>
      <c r="E57" s="409" t="s">
        <v>959</v>
      </c>
    </row>
    <row r="58" spans="2:6">
      <c r="B58" s="409" t="s">
        <v>960</v>
      </c>
      <c r="C58" s="409" t="s">
        <v>961</v>
      </c>
      <c r="D58" s="447" t="s">
        <v>950</v>
      </c>
      <c r="E58" s="409" t="s">
        <v>962</v>
      </c>
    </row>
    <row r="59" spans="2:6">
      <c r="B59" s="409" t="s">
        <v>963</v>
      </c>
      <c r="C59" s="409" t="s">
        <v>964</v>
      </c>
      <c r="D59" s="447" t="s">
        <v>950</v>
      </c>
      <c r="E59" s="409" t="s">
        <v>956</v>
      </c>
    </row>
    <row r="60" spans="2:6">
      <c r="B60" s="409" t="s">
        <v>965</v>
      </c>
      <c r="C60" s="409" t="s">
        <v>966</v>
      </c>
      <c r="D60" s="447" t="s">
        <v>950</v>
      </c>
      <c r="E60" s="409" t="s">
        <v>956</v>
      </c>
    </row>
    <row r="61" spans="2:6">
      <c r="B61" s="409" t="s">
        <v>967</v>
      </c>
      <c r="C61" s="409" t="s">
        <v>968</v>
      </c>
      <c r="D61" s="446" t="s">
        <v>941</v>
      </c>
      <c r="E61" s="409" t="s">
        <v>969</v>
      </c>
    </row>
    <row r="62" spans="2:6">
      <c r="B62" s="409" t="s">
        <v>970</v>
      </c>
      <c r="C62" s="409" t="s">
        <v>971</v>
      </c>
      <c r="D62" s="446" t="s">
        <v>941</v>
      </c>
    </row>
    <row r="63" spans="2:6">
      <c r="B63" s="409" t="s">
        <v>972</v>
      </c>
      <c r="C63" s="409" t="s">
        <v>973</v>
      </c>
      <c r="D63" s="446" t="s">
        <v>941</v>
      </c>
    </row>
    <row r="64" spans="2:6">
      <c r="B64" s="409" t="s">
        <v>974</v>
      </c>
      <c r="C64" s="409" t="s">
        <v>975</v>
      </c>
      <c r="D64" s="446" t="s">
        <v>941</v>
      </c>
      <c r="E64" s="409" t="s">
        <v>976</v>
      </c>
    </row>
    <row r="65" spans="2:5">
      <c r="B65" s="409" t="s">
        <v>977</v>
      </c>
      <c r="C65" s="409" t="s">
        <v>978</v>
      </c>
      <c r="D65" s="446" t="s">
        <v>941</v>
      </c>
      <c r="E65" s="409" t="s">
        <v>979</v>
      </c>
    </row>
    <row r="66" spans="2:5">
      <c r="B66" s="409" t="s">
        <v>980</v>
      </c>
      <c r="C66" s="409" t="s">
        <v>981</v>
      </c>
      <c r="D66" s="446" t="s">
        <v>941</v>
      </c>
    </row>
    <row r="67" spans="2:5">
      <c r="B67" s="409" t="s">
        <v>982</v>
      </c>
      <c r="C67" s="409" t="s">
        <v>983</v>
      </c>
      <c r="D67" s="447" t="s">
        <v>950</v>
      </c>
      <c r="E67" s="409" t="s">
        <v>984</v>
      </c>
    </row>
    <row r="68" spans="2:5">
      <c r="B68" s="409" t="s">
        <v>985</v>
      </c>
      <c r="C68" s="409" t="s">
        <v>986</v>
      </c>
      <c r="D68" s="447" t="s">
        <v>950</v>
      </c>
      <c r="E68" s="409" t="s">
        <v>984</v>
      </c>
    </row>
    <row r="69" spans="2:5">
      <c r="B69" s="409" t="s">
        <v>987</v>
      </c>
      <c r="C69" s="409" t="s">
        <v>988</v>
      </c>
      <c r="D69" s="447" t="s">
        <v>950</v>
      </c>
      <c r="E69" s="409" t="s">
        <v>956</v>
      </c>
    </row>
    <row r="70" spans="2:5">
      <c r="B70" s="409" t="s">
        <v>989</v>
      </c>
      <c r="C70" s="409" t="s">
        <v>990</v>
      </c>
      <c r="D70" s="447" t="s">
        <v>950</v>
      </c>
      <c r="E70" s="409" t="s">
        <v>956</v>
      </c>
    </row>
    <row r="71" spans="2:5">
      <c r="B71" s="409" t="s">
        <v>991</v>
      </c>
      <c r="C71" s="409" t="s">
        <v>992</v>
      </c>
      <c r="D71" s="446" t="s">
        <v>941</v>
      </c>
      <c r="E71" s="409" t="s">
        <v>993</v>
      </c>
    </row>
    <row r="72" spans="2:5">
      <c r="B72" s="409" t="s">
        <v>994</v>
      </c>
      <c r="C72" s="409" t="s">
        <v>995</v>
      </c>
      <c r="D72" s="447" t="s">
        <v>950</v>
      </c>
      <c r="E72" s="409" t="s">
        <v>996</v>
      </c>
    </row>
    <row r="73" spans="2:5">
      <c r="B73" s="409" t="s">
        <v>997</v>
      </c>
      <c r="C73" s="409" t="s">
        <v>998</v>
      </c>
      <c r="D73" s="447" t="s">
        <v>950</v>
      </c>
      <c r="E73" s="409" t="s">
        <v>999</v>
      </c>
    </row>
    <row r="74" spans="2:5">
      <c r="B74" s="409" t="s">
        <v>1000</v>
      </c>
      <c r="C74" s="409" t="s">
        <v>1001</v>
      </c>
      <c r="D74" s="447" t="s">
        <v>950</v>
      </c>
      <c r="E74" s="409" t="s">
        <v>1002</v>
      </c>
    </row>
    <row r="75" spans="2:5">
      <c r="D75" s="447"/>
    </row>
  </sheetData>
  <mergeCells count="6">
    <mergeCell ref="D10:G10"/>
    <mergeCell ref="D5:G5"/>
    <mergeCell ref="D6:G6"/>
    <mergeCell ref="D7:I7"/>
    <mergeCell ref="D8:G8"/>
    <mergeCell ref="D9:G9"/>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paperSize="9" scale="5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P94"/>
  <sheetViews>
    <sheetView view="pageBreakPreview" topLeftCell="A76" zoomScale="95" zoomScaleNormal="100" zoomScaleSheetLayoutView="95" workbookViewId="0">
      <selection activeCell="A102" sqref="A102"/>
    </sheetView>
  </sheetViews>
  <sheetFormatPr defaultColWidth="9.08984375" defaultRowHeight="12.5"/>
  <cols>
    <col min="1" max="1" width="55.90625" style="13" customWidth="1"/>
    <col min="2" max="2" width="9.54296875" style="13" customWidth="1"/>
    <col min="3" max="3" width="9.08984375" style="13"/>
    <col min="4" max="4" width="20.6328125" style="13" customWidth="1"/>
    <col min="5" max="5" width="19.90625" style="13" customWidth="1"/>
    <col min="6" max="6" width="21.453125" style="219" customWidth="1"/>
    <col min="7" max="7" width="19.08984375" style="13" bestFit="1" customWidth="1"/>
    <col min="8" max="8" width="16" style="13" customWidth="1"/>
    <col min="9" max="9" width="16.36328125" style="13" customWidth="1"/>
    <col min="10" max="10" width="15.36328125" style="13" customWidth="1"/>
    <col min="11" max="14" width="9.08984375" style="13" customWidth="1"/>
    <col min="15" max="15" width="15" style="13" customWidth="1"/>
    <col min="16" max="16" width="15.36328125" style="13" bestFit="1" customWidth="1"/>
    <col min="17" max="16384" width="9.08984375" style="13"/>
  </cols>
  <sheetData>
    <row r="1" spans="1:7" ht="23.25" customHeight="1">
      <c r="A1" s="461" t="s">
        <v>883</v>
      </c>
      <c r="B1" s="461"/>
      <c r="C1" s="461"/>
      <c r="D1" s="461"/>
      <c r="E1" s="461"/>
      <c r="F1" s="461"/>
      <c r="G1" s="461"/>
    </row>
    <row r="2" spans="1:7" ht="27.75" customHeight="1">
      <c r="A2" s="462" t="s">
        <v>191</v>
      </c>
      <c r="B2" s="462"/>
      <c r="C2" s="462"/>
      <c r="D2" s="462"/>
      <c r="E2" s="462"/>
      <c r="F2" s="462"/>
      <c r="G2" s="462"/>
    </row>
    <row r="3" spans="1:7" ht="15" customHeight="1">
      <c r="A3" s="463" t="s">
        <v>192</v>
      </c>
      <c r="B3" s="463"/>
      <c r="C3" s="463"/>
      <c r="D3" s="463"/>
      <c r="E3" s="463"/>
      <c r="F3" s="463"/>
      <c r="G3" s="463"/>
    </row>
    <row r="4" spans="1:7" ht="18.75" customHeight="1">
      <c r="A4" s="463"/>
      <c r="B4" s="463"/>
      <c r="C4" s="463"/>
      <c r="D4" s="463"/>
      <c r="E4" s="463"/>
      <c r="F4" s="463"/>
      <c r="G4" s="463"/>
    </row>
    <row r="5" spans="1:7">
      <c r="A5" s="464" t="s">
        <v>904</v>
      </c>
      <c r="B5" s="464"/>
      <c r="C5" s="464"/>
      <c r="D5" s="464"/>
      <c r="E5" s="464"/>
      <c r="F5" s="464"/>
      <c r="G5" s="464"/>
    </row>
    <row r="6" spans="1:7">
      <c r="A6" s="4"/>
      <c r="B6" s="4"/>
      <c r="C6" s="4"/>
      <c r="D6" s="4"/>
      <c r="E6" s="12"/>
      <c r="F6" s="217"/>
      <c r="G6" s="12"/>
    </row>
    <row r="7" spans="1:7" ht="15" customHeight="1">
      <c r="A7" s="84" t="s">
        <v>430</v>
      </c>
      <c r="B7" s="451" t="s">
        <v>437</v>
      </c>
      <c r="C7" s="451"/>
      <c r="D7" s="451"/>
      <c r="E7" s="451"/>
      <c r="F7" s="451"/>
      <c r="G7" s="451"/>
    </row>
    <row r="8" spans="1:7" ht="15" customHeight="1">
      <c r="A8" s="395" t="s">
        <v>848</v>
      </c>
      <c r="B8" s="454" t="s">
        <v>500</v>
      </c>
      <c r="C8" s="454"/>
      <c r="D8" s="454"/>
      <c r="E8" s="454"/>
      <c r="F8" s="454"/>
      <c r="G8" s="454"/>
    </row>
    <row r="9" spans="1:7" ht="15" customHeight="1">
      <c r="A9" s="85" t="s">
        <v>431</v>
      </c>
      <c r="B9" s="451" t="s">
        <v>907</v>
      </c>
      <c r="C9" s="451"/>
      <c r="D9" s="451"/>
      <c r="E9" s="451"/>
      <c r="F9" s="451"/>
      <c r="G9" s="451"/>
    </row>
    <row r="10" spans="1:7" ht="15" customHeight="1">
      <c r="A10" s="5" t="s">
        <v>432</v>
      </c>
      <c r="B10" s="454" t="s">
        <v>433</v>
      </c>
      <c r="C10" s="454"/>
      <c r="D10" s="454"/>
      <c r="E10" s="454"/>
      <c r="F10" s="454"/>
      <c r="G10" s="454"/>
    </row>
    <row r="11" spans="1:7" ht="15" customHeight="1">
      <c r="A11" s="85" t="s">
        <v>429</v>
      </c>
      <c r="B11" s="451" t="s">
        <v>474</v>
      </c>
      <c r="C11" s="451"/>
      <c r="D11" s="451"/>
      <c r="E11" s="451"/>
      <c r="F11" s="451"/>
      <c r="G11" s="451"/>
    </row>
    <row r="12" spans="1:7" ht="15" customHeight="1">
      <c r="A12" s="78" t="s">
        <v>427</v>
      </c>
      <c r="B12" s="454" t="s">
        <v>473</v>
      </c>
      <c r="C12" s="454"/>
      <c r="D12" s="454"/>
      <c r="E12" s="454"/>
      <c r="F12" s="454"/>
      <c r="G12" s="454"/>
    </row>
    <row r="13" spans="1:7" ht="15" customHeight="1">
      <c r="A13" s="6" t="s">
        <v>193</v>
      </c>
      <c r="B13" s="473" t="s">
        <v>903</v>
      </c>
      <c r="C13" s="473"/>
      <c r="D13" s="473"/>
      <c r="E13" s="473"/>
      <c r="F13" s="473"/>
      <c r="G13" s="473"/>
    </row>
    <row r="14" spans="1:7" ht="15" customHeight="1">
      <c r="A14" s="7" t="s">
        <v>194</v>
      </c>
      <c r="B14" s="472">
        <v>43556</v>
      </c>
      <c r="C14" s="472"/>
      <c r="D14" s="472"/>
      <c r="E14" s="472"/>
      <c r="F14" s="472"/>
      <c r="G14" s="472"/>
    </row>
    <row r="15" spans="1:7">
      <c r="A15" s="7"/>
      <c r="B15" s="7"/>
      <c r="C15" s="7"/>
      <c r="D15" s="7"/>
      <c r="E15" s="97"/>
      <c r="F15" s="217"/>
      <c r="G15" s="97"/>
    </row>
    <row r="16" spans="1:7" ht="36.75" customHeight="1">
      <c r="A16" s="465" t="s">
        <v>195</v>
      </c>
      <c r="B16" s="467" t="s">
        <v>196</v>
      </c>
      <c r="C16" s="467" t="s">
        <v>197</v>
      </c>
      <c r="D16" s="470" t="s">
        <v>892</v>
      </c>
      <c r="E16" s="471"/>
      <c r="F16" s="470" t="s">
        <v>849</v>
      </c>
      <c r="G16" s="471"/>
    </row>
    <row r="17" spans="1:16" ht="39.75" customHeight="1">
      <c r="A17" s="466"/>
      <c r="B17" s="468"/>
      <c r="C17" s="469"/>
      <c r="D17" s="15" t="s">
        <v>901</v>
      </c>
      <c r="E17" s="15" t="s">
        <v>457</v>
      </c>
      <c r="F17" s="15" t="s">
        <v>900</v>
      </c>
      <c r="G17" s="15" t="s">
        <v>457</v>
      </c>
    </row>
    <row r="18" spans="1:16" ht="32.25" customHeight="1">
      <c r="A18" s="220" t="s">
        <v>198</v>
      </c>
      <c r="B18" s="233" t="s">
        <v>16</v>
      </c>
      <c r="C18" s="221"/>
      <c r="D18" s="222">
        <v>13131868626</v>
      </c>
      <c r="E18" s="222">
        <v>56761359281</v>
      </c>
      <c r="F18" s="222">
        <v>81280601569</v>
      </c>
      <c r="G18" s="222">
        <v>227268342889</v>
      </c>
      <c r="H18" s="204"/>
      <c r="I18" s="204"/>
      <c r="J18" s="204"/>
      <c r="K18" s="204"/>
      <c r="O18" s="204"/>
      <c r="P18" s="204"/>
    </row>
    <row r="19" spans="1:16" ht="32.25" customHeight="1">
      <c r="A19" s="223" t="s">
        <v>495</v>
      </c>
      <c r="B19" s="234" t="s">
        <v>498</v>
      </c>
      <c r="C19" s="214"/>
      <c r="D19" s="228">
        <v>1238020411</v>
      </c>
      <c r="E19" s="228">
        <v>3115371259</v>
      </c>
      <c r="F19" s="225">
        <v>310850000</v>
      </c>
      <c r="G19" s="225">
        <v>1360695200</v>
      </c>
      <c r="H19" s="204"/>
      <c r="I19" s="204"/>
      <c r="J19" s="204"/>
      <c r="K19" s="204"/>
      <c r="O19" s="204"/>
      <c r="P19" s="204"/>
    </row>
    <row r="20" spans="1:16" s="122" customFormat="1" ht="32.25" customHeight="1">
      <c r="A20" s="213" t="s">
        <v>496</v>
      </c>
      <c r="B20" s="235" t="s">
        <v>476</v>
      </c>
      <c r="C20" s="224"/>
      <c r="D20" s="225">
        <v>520880000</v>
      </c>
      <c r="E20" s="226">
        <v>732224000</v>
      </c>
      <c r="F20" s="225">
        <v>310850000</v>
      </c>
      <c r="G20" s="225">
        <v>1360695200</v>
      </c>
      <c r="H20" s="204"/>
      <c r="I20" s="204"/>
      <c r="J20" s="204"/>
      <c r="K20" s="204"/>
      <c r="O20" s="204"/>
      <c r="P20" s="204"/>
    </row>
    <row r="21" spans="1:16" s="122" customFormat="1" ht="32.25" customHeight="1">
      <c r="A21" s="213" t="s">
        <v>497</v>
      </c>
      <c r="B21" s="234" t="s">
        <v>483</v>
      </c>
      <c r="C21" s="214"/>
      <c r="D21" s="228">
        <v>717140411</v>
      </c>
      <c r="E21" s="227">
        <v>2383147259</v>
      </c>
      <c r="F21" s="225">
        <v>0</v>
      </c>
      <c r="G21" s="225">
        <v>0</v>
      </c>
      <c r="H21" s="204"/>
      <c r="I21" s="204"/>
      <c r="J21" s="204"/>
      <c r="K21" s="204"/>
      <c r="O21" s="204"/>
      <c r="P21" s="204"/>
    </row>
    <row r="22" spans="1:16" ht="32.25" customHeight="1">
      <c r="A22" s="229" t="s">
        <v>477</v>
      </c>
      <c r="B22" s="236" t="s">
        <v>17</v>
      </c>
      <c r="C22" s="224"/>
      <c r="D22" s="225">
        <v>1026617167</v>
      </c>
      <c r="E22" s="225">
        <v>3162991635</v>
      </c>
      <c r="F22" s="225">
        <v>782261569</v>
      </c>
      <c r="G22" s="225">
        <v>2255523189</v>
      </c>
      <c r="H22" s="204"/>
      <c r="I22" s="204"/>
      <c r="J22" s="204"/>
      <c r="K22" s="204"/>
      <c r="O22" s="204"/>
      <c r="P22" s="204"/>
    </row>
    <row r="23" spans="1:16" ht="32.25" customHeight="1">
      <c r="A23" s="213" t="s">
        <v>860</v>
      </c>
      <c r="B23" s="234" t="s">
        <v>484</v>
      </c>
      <c r="C23" s="214"/>
      <c r="D23" s="228">
        <v>32264143</v>
      </c>
      <c r="E23" s="227">
        <v>148983073</v>
      </c>
      <c r="F23" s="225">
        <v>20608793</v>
      </c>
      <c r="G23" s="225">
        <v>44273190</v>
      </c>
      <c r="H23" s="204"/>
      <c r="I23" s="204"/>
      <c r="J23" s="204"/>
      <c r="K23" s="204"/>
      <c r="O23" s="204"/>
      <c r="P23" s="204"/>
    </row>
    <row r="24" spans="1:16" ht="32.25" customHeight="1">
      <c r="A24" s="213" t="s">
        <v>710</v>
      </c>
      <c r="B24" s="234" t="s">
        <v>485</v>
      </c>
      <c r="C24" s="214"/>
      <c r="D24" s="228">
        <v>994353024</v>
      </c>
      <c r="E24" s="227">
        <v>3014008562</v>
      </c>
      <c r="F24" s="225">
        <v>761652776</v>
      </c>
      <c r="G24" s="225">
        <v>2211249999</v>
      </c>
      <c r="H24" s="204"/>
      <c r="I24" s="204"/>
      <c r="J24" s="204"/>
      <c r="K24" s="204"/>
      <c r="O24" s="204"/>
      <c r="P24" s="204"/>
    </row>
    <row r="25" spans="1:16" ht="32.25" customHeight="1">
      <c r="A25" s="229" t="s">
        <v>478</v>
      </c>
      <c r="B25" s="236" t="s">
        <v>26</v>
      </c>
      <c r="C25" s="224"/>
      <c r="D25" s="448">
        <v>-1024728214</v>
      </c>
      <c r="E25" s="227">
        <v>1788720109</v>
      </c>
      <c r="F25" s="225">
        <v>15387403603</v>
      </c>
      <c r="G25" s="225">
        <v>40628460000</v>
      </c>
      <c r="H25" s="204"/>
      <c r="I25" s="204"/>
      <c r="J25" s="204"/>
      <c r="K25" s="204"/>
      <c r="O25" s="204"/>
      <c r="P25" s="204"/>
    </row>
    <row r="26" spans="1:16" ht="42.75" customHeight="1">
      <c r="A26" s="229" t="s">
        <v>479</v>
      </c>
      <c r="B26" s="236" t="s">
        <v>27</v>
      </c>
      <c r="C26" s="224"/>
      <c r="D26" s="225">
        <v>11891959262</v>
      </c>
      <c r="E26" s="227">
        <v>48694276278</v>
      </c>
      <c r="F26" s="225">
        <v>64800086397</v>
      </c>
      <c r="G26" s="225">
        <v>183023664500</v>
      </c>
      <c r="H26" s="204"/>
      <c r="I26" s="204"/>
      <c r="J26" s="204"/>
      <c r="K26" s="204"/>
      <c r="O26" s="204"/>
      <c r="P26" s="204"/>
    </row>
    <row r="27" spans="1:16" s="123" customFormat="1" ht="29.25" customHeight="1">
      <c r="A27" s="223" t="s">
        <v>480</v>
      </c>
      <c r="B27" s="237" t="s">
        <v>28</v>
      </c>
      <c r="C27" s="214"/>
      <c r="D27" s="228">
        <v>0</v>
      </c>
      <c r="E27" s="225">
        <v>0</v>
      </c>
      <c r="F27" s="225">
        <v>0</v>
      </c>
      <c r="G27" s="225">
        <v>0</v>
      </c>
      <c r="H27" s="391"/>
      <c r="I27" s="391"/>
      <c r="J27" s="391"/>
      <c r="K27" s="391"/>
      <c r="O27" s="391"/>
      <c r="P27" s="391"/>
    </row>
    <row r="28" spans="1:16" ht="33.75" customHeight="1">
      <c r="A28" s="229" t="s">
        <v>481</v>
      </c>
      <c r="B28" s="236" t="s">
        <v>29</v>
      </c>
      <c r="C28" s="224"/>
      <c r="D28" s="225">
        <v>0</v>
      </c>
      <c r="E28" s="225">
        <v>0</v>
      </c>
      <c r="F28" s="225">
        <v>0</v>
      </c>
      <c r="G28" s="225">
        <v>0</v>
      </c>
      <c r="H28" s="204"/>
      <c r="I28" s="204"/>
      <c r="J28" s="204"/>
      <c r="K28" s="204"/>
      <c r="O28" s="204"/>
      <c r="P28" s="204"/>
    </row>
    <row r="29" spans="1:16" s="123" customFormat="1" ht="32.25" customHeight="1">
      <c r="A29" s="223" t="s">
        <v>493</v>
      </c>
      <c r="B29" s="237" t="s">
        <v>30</v>
      </c>
      <c r="C29" s="214"/>
      <c r="D29" s="228">
        <v>0</v>
      </c>
      <c r="E29" s="225">
        <v>0</v>
      </c>
      <c r="F29" s="225">
        <v>0</v>
      </c>
      <c r="G29" s="225">
        <v>0</v>
      </c>
      <c r="H29" s="391"/>
      <c r="I29" s="391"/>
      <c r="J29" s="391"/>
      <c r="K29" s="391"/>
      <c r="O29" s="391"/>
      <c r="P29" s="391"/>
    </row>
    <row r="30" spans="1:16" ht="62.4" customHeight="1">
      <c r="A30" s="229" t="s">
        <v>482</v>
      </c>
      <c r="B30" s="236" t="s">
        <v>31</v>
      </c>
      <c r="C30" s="224"/>
      <c r="D30" s="225">
        <v>0</v>
      </c>
      <c r="E30" s="225">
        <v>0</v>
      </c>
      <c r="F30" s="225">
        <v>0</v>
      </c>
      <c r="G30" s="225">
        <v>0</v>
      </c>
      <c r="H30" s="204"/>
      <c r="I30" s="204"/>
      <c r="J30" s="204"/>
      <c r="K30" s="204"/>
      <c r="O30" s="204"/>
      <c r="P30" s="204"/>
    </row>
    <row r="31" spans="1:16" ht="30.75" customHeight="1">
      <c r="A31" s="220" t="s">
        <v>199</v>
      </c>
      <c r="B31" s="233" t="s">
        <v>25</v>
      </c>
      <c r="C31" s="221"/>
      <c r="D31" s="222">
        <v>86053971</v>
      </c>
      <c r="E31" s="222">
        <v>693503424</v>
      </c>
      <c r="F31" s="222">
        <v>432567210</v>
      </c>
      <c r="G31" s="222">
        <v>1023665438</v>
      </c>
      <c r="H31" s="204"/>
      <c r="I31" s="204"/>
      <c r="J31" s="204"/>
      <c r="K31" s="204"/>
      <c r="O31" s="204"/>
      <c r="P31" s="204"/>
    </row>
    <row r="32" spans="1:16" ht="30.75" customHeight="1">
      <c r="A32" s="229" t="s">
        <v>200</v>
      </c>
      <c r="B32" s="236" t="s">
        <v>24</v>
      </c>
      <c r="C32" s="224"/>
      <c r="D32" s="230">
        <v>86053971</v>
      </c>
      <c r="E32" s="230">
        <v>693503424</v>
      </c>
      <c r="F32" s="225">
        <v>431011690</v>
      </c>
      <c r="G32" s="225">
        <v>1020639918</v>
      </c>
      <c r="H32" s="204"/>
      <c r="I32" s="204"/>
      <c r="J32" s="204"/>
      <c r="K32" s="204"/>
      <c r="O32" s="204"/>
      <c r="P32" s="204"/>
    </row>
    <row r="33" spans="1:16" s="108" customFormat="1" ht="32" customHeight="1">
      <c r="A33" s="213" t="s">
        <v>201</v>
      </c>
      <c r="B33" s="237" t="s">
        <v>472</v>
      </c>
      <c r="C33" s="214"/>
      <c r="D33" s="228">
        <v>85601471</v>
      </c>
      <c r="E33" s="227">
        <v>690917574</v>
      </c>
      <c r="F33" s="225">
        <v>430011240</v>
      </c>
      <c r="G33" s="225">
        <v>1016808393</v>
      </c>
      <c r="H33" s="204"/>
      <c r="I33" s="204"/>
      <c r="J33" s="204"/>
      <c r="K33" s="204"/>
      <c r="O33" s="204"/>
      <c r="P33" s="204"/>
    </row>
    <row r="34" spans="1:16" s="14" customFormat="1" ht="33.65" customHeight="1">
      <c r="A34" s="213" t="s">
        <v>202</v>
      </c>
      <c r="B34" s="237" t="s">
        <v>711</v>
      </c>
      <c r="C34" s="214"/>
      <c r="D34" s="228">
        <v>452500</v>
      </c>
      <c r="E34" s="227">
        <v>2585850</v>
      </c>
      <c r="F34" s="225">
        <v>1000450</v>
      </c>
      <c r="G34" s="225">
        <v>3831525</v>
      </c>
      <c r="H34" s="204"/>
      <c r="I34" s="204"/>
      <c r="J34" s="204"/>
      <c r="K34" s="204"/>
      <c r="O34" s="204"/>
      <c r="P34" s="204"/>
    </row>
    <row r="35" spans="1:16" ht="45" customHeight="1">
      <c r="A35" s="229" t="s">
        <v>203</v>
      </c>
      <c r="B35" s="236" t="s">
        <v>23</v>
      </c>
      <c r="C35" s="224"/>
      <c r="D35" s="225">
        <v>0</v>
      </c>
      <c r="E35" s="225">
        <v>0</v>
      </c>
      <c r="F35" s="225">
        <v>0</v>
      </c>
      <c r="G35" s="225">
        <v>0</v>
      </c>
      <c r="H35" s="204"/>
      <c r="I35" s="204"/>
      <c r="J35" s="204"/>
      <c r="K35" s="204"/>
      <c r="O35" s="204"/>
      <c r="P35" s="204"/>
    </row>
    <row r="36" spans="1:16" ht="30.75" customHeight="1">
      <c r="A36" s="229" t="s">
        <v>558</v>
      </c>
      <c r="B36" s="236" t="s">
        <v>22</v>
      </c>
      <c r="C36" s="224"/>
      <c r="D36" s="225">
        <v>0</v>
      </c>
      <c r="E36" s="225">
        <v>0</v>
      </c>
      <c r="F36" s="225">
        <v>0</v>
      </c>
      <c r="G36" s="225">
        <v>0</v>
      </c>
      <c r="H36" s="204"/>
      <c r="I36" s="204"/>
      <c r="J36" s="204"/>
      <c r="K36" s="204"/>
      <c r="O36" s="204"/>
      <c r="P36" s="204"/>
    </row>
    <row r="37" spans="1:16" ht="44" customHeight="1">
      <c r="A37" s="229" t="s">
        <v>204</v>
      </c>
      <c r="B37" s="236" t="s">
        <v>21</v>
      </c>
      <c r="C37" s="224"/>
      <c r="D37" s="225">
        <v>0</v>
      </c>
      <c r="E37" s="225">
        <v>0</v>
      </c>
      <c r="F37" s="225">
        <v>0</v>
      </c>
      <c r="G37" s="225">
        <v>0</v>
      </c>
      <c r="H37" s="204"/>
      <c r="I37" s="204"/>
      <c r="J37" s="204"/>
      <c r="K37" s="204"/>
      <c r="O37" s="204"/>
      <c r="P37" s="204"/>
    </row>
    <row r="38" spans="1:16" ht="30.75" customHeight="1">
      <c r="A38" s="229" t="s">
        <v>205</v>
      </c>
      <c r="B38" s="236" t="s">
        <v>32</v>
      </c>
      <c r="C38" s="224"/>
      <c r="D38" s="228">
        <v>0</v>
      </c>
      <c r="E38" s="225">
        <v>0</v>
      </c>
      <c r="F38" s="225">
        <v>1555520</v>
      </c>
      <c r="G38" s="225">
        <v>3025520</v>
      </c>
      <c r="H38" s="204"/>
      <c r="I38" s="204"/>
      <c r="J38" s="204"/>
      <c r="K38" s="204"/>
      <c r="O38" s="204"/>
      <c r="P38" s="204"/>
    </row>
    <row r="39" spans="1:16" ht="30.75" customHeight="1">
      <c r="A39" s="220" t="s">
        <v>206</v>
      </c>
      <c r="B39" s="233" t="s">
        <v>33</v>
      </c>
      <c r="C39" s="221"/>
      <c r="D39" s="222">
        <v>2001726369</v>
      </c>
      <c r="E39" s="222">
        <v>5712739970</v>
      </c>
      <c r="F39" s="222">
        <v>2564942304</v>
      </c>
      <c r="G39" s="222">
        <v>6973599427</v>
      </c>
      <c r="H39" s="204"/>
      <c r="I39" s="204"/>
      <c r="J39" s="204"/>
      <c r="K39" s="204"/>
      <c r="O39" s="204"/>
      <c r="P39" s="204"/>
    </row>
    <row r="40" spans="1:16" ht="30.75" customHeight="1">
      <c r="A40" s="229" t="s">
        <v>207</v>
      </c>
      <c r="B40" s="236" t="s">
        <v>34</v>
      </c>
      <c r="C40" s="224"/>
      <c r="D40" s="228">
        <v>1833361881</v>
      </c>
      <c r="E40" s="226">
        <v>5235839820</v>
      </c>
      <c r="F40" s="225">
        <v>2342319907</v>
      </c>
      <c r="G40" s="225">
        <v>6361745008</v>
      </c>
      <c r="H40" s="204"/>
      <c r="I40" s="204"/>
      <c r="J40" s="204"/>
      <c r="K40" s="204"/>
      <c r="O40" s="204"/>
      <c r="P40" s="204"/>
    </row>
    <row r="41" spans="1:16" ht="30.75" customHeight="1">
      <c r="A41" s="223" t="s">
        <v>208</v>
      </c>
      <c r="B41" s="237" t="s">
        <v>36</v>
      </c>
      <c r="C41" s="214"/>
      <c r="D41" s="228">
        <v>49372961</v>
      </c>
      <c r="E41" s="228">
        <v>141097252</v>
      </c>
      <c r="F41" s="225">
        <v>73599824</v>
      </c>
      <c r="G41" s="225">
        <v>192328363</v>
      </c>
      <c r="H41" s="204"/>
      <c r="I41" s="204"/>
      <c r="J41" s="204"/>
      <c r="K41" s="204"/>
      <c r="O41" s="204"/>
      <c r="P41" s="204"/>
    </row>
    <row r="42" spans="1:16" s="14" customFormat="1" ht="30.75" customHeight="1">
      <c r="A42" s="203" t="s">
        <v>458</v>
      </c>
      <c r="B42" s="237" t="s">
        <v>209</v>
      </c>
      <c r="C42" s="214"/>
      <c r="D42" s="228">
        <v>37607422</v>
      </c>
      <c r="E42" s="227">
        <v>107401841</v>
      </c>
      <c r="F42" s="225">
        <v>48047588</v>
      </c>
      <c r="G42" s="225">
        <v>130497334</v>
      </c>
      <c r="H42" s="204"/>
      <c r="I42" s="204"/>
      <c r="J42" s="204"/>
      <c r="K42" s="204"/>
      <c r="O42" s="204"/>
      <c r="P42" s="204"/>
    </row>
    <row r="43" spans="1:16" s="14" customFormat="1" ht="30.75" customHeight="1">
      <c r="A43" s="203" t="s">
        <v>406</v>
      </c>
      <c r="B43" s="237" t="s">
        <v>211</v>
      </c>
      <c r="C43" s="214"/>
      <c r="D43" s="228">
        <v>4400000</v>
      </c>
      <c r="E43" s="227">
        <v>11100000</v>
      </c>
      <c r="F43" s="225">
        <v>17500000</v>
      </c>
      <c r="G43" s="225">
        <v>40100000</v>
      </c>
      <c r="H43" s="204"/>
      <c r="I43" s="204"/>
      <c r="J43" s="204"/>
      <c r="K43" s="204"/>
      <c r="O43" s="204"/>
      <c r="P43" s="204"/>
    </row>
    <row r="44" spans="1:16" s="14" customFormat="1" ht="30.75" customHeight="1">
      <c r="A44" s="203" t="s">
        <v>441</v>
      </c>
      <c r="B44" s="237" t="s">
        <v>442</v>
      </c>
      <c r="C44" s="214"/>
      <c r="D44" s="228">
        <v>7365539</v>
      </c>
      <c r="E44" s="227">
        <v>22595411</v>
      </c>
      <c r="F44" s="225">
        <v>8052236</v>
      </c>
      <c r="G44" s="225">
        <v>21731029</v>
      </c>
      <c r="H44" s="204"/>
      <c r="I44" s="204"/>
      <c r="J44" s="204"/>
      <c r="K44" s="204"/>
      <c r="O44" s="204"/>
      <c r="P44" s="204"/>
    </row>
    <row r="45" spans="1:16" ht="30.75" customHeight="1">
      <c r="A45" s="223" t="s">
        <v>212</v>
      </c>
      <c r="B45" s="237" t="s">
        <v>37</v>
      </c>
      <c r="C45" s="214"/>
      <c r="D45" s="228">
        <v>41368165</v>
      </c>
      <c r="E45" s="226">
        <v>118142026</v>
      </c>
      <c r="F45" s="225">
        <v>52852346</v>
      </c>
      <c r="G45" s="225">
        <v>143547068</v>
      </c>
      <c r="H45" s="204"/>
      <c r="I45" s="204"/>
      <c r="J45" s="204"/>
      <c r="K45" s="204"/>
      <c r="O45" s="204"/>
      <c r="P45" s="204"/>
    </row>
    <row r="46" spans="1:16" ht="30.75" customHeight="1">
      <c r="A46" s="223" t="s">
        <v>213</v>
      </c>
      <c r="B46" s="237" t="s">
        <v>38</v>
      </c>
      <c r="C46" s="214"/>
      <c r="D46" s="228">
        <v>25855103</v>
      </c>
      <c r="E46" s="226">
        <v>73838765</v>
      </c>
      <c r="F46" s="225">
        <v>33032717</v>
      </c>
      <c r="G46" s="225">
        <v>89716918</v>
      </c>
      <c r="H46" s="204"/>
      <c r="I46" s="204"/>
      <c r="J46" s="204"/>
      <c r="K46" s="204"/>
      <c r="O46" s="204"/>
      <c r="P46" s="204"/>
    </row>
    <row r="47" spans="1:16" ht="30.75" customHeight="1">
      <c r="A47" s="223" t="s">
        <v>214</v>
      </c>
      <c r="B47" s="237" t="s">
        <v>39</v>
      </c>
      <c r="C47" s="214"/>
      <c r="D47" s="228">
        <v>11000000</v>
      </c>
      <c r="E47" s="226">
        <v>33000000</v>
      </c>
      <c r="F47" s="225">
        <v>11000000</v>
      </c>
      <c r="G47" s="225">
        <v>33000000</v>
      </c>
      <c r="H47" s="204"/>
      <c r="I47" s="204"/>
      <c r="J47" s="204"/>
      <c r="K47" s="204"/>
      <c r="O47" s="204"/>
      <c r="P47" s="204"/>
    </row>
    <row r="48" spans="1:16" ht="30.75" customHeight="1">
      <c r="A48" s="223" t="s">
        <v>215</v>
      </c>
      <c r="B48" s="237" t="s">
        <v>40</v>
      </c>
      <c r="C48" s="214"/>
      <c r="D48" s="228">
        <v>0</v>
      </c>
      <c r="E48" s="225">
        <v>0</v>
      </c>
      <c r="F48" s="225">
        <v>0</v>
      </c>
      <c r="G48" s="225">
        <v>0</v>
      </c>
      <c r="H48" s="204"/>
      <c r="I48" s="204"/>
      <c r="J48" s="204"/>
      <c r="K48" s="204"/>
      <c r="O48" s="204"/>
      <c r="P48" s="204"/>
    </row>
    <row r="49" spans="1:16" ht="30.75" customHeight="1">
      <c r="A49" s="223" t="s">
        <v>216</v>
      </c>
      <c r="B49" s="237" t="s">
        <v>41</v>
      </c>
      <c r="C49" s="214"/>
      <c r="D49" s="228">
        <v>0</v>
      </c>
      <c r="E49" s="225">
        <v>0</v>
      </c>
      <c r="F49" s="225">
        <v>2081459</v>
      </c>
      <c r="G49" s="225">
        <v>6042946</v>
      </c>
      <c r="H49" s="204"/>
      <c r="I49" s="204"/>
      <c r="J49" s="204"/>
      <c r="K49" s="204"/>
      <c r="O49" s="204"/>
      <c r="P49" s="204"/>
    </row>
    <row r="50" spans="1:16" ht="30.75" customHeight="1">
      <c r="A50" s="223" t="s">
        <v>217</v>
      </c>
      <c r="B50" s="237" t="s">
        <v>42</v>
      </c>
      <c r="C50" s="214"/>
      <c r="D50" s="228">
        <v>19053329</v>
      </c>
      <c r="E50" s="226">
        <v>48391678</v>
      </c>
      <c r="F50" s="225">
        <v>15415065</v>
      </c>
      <c r="G50" s="225">
        <v>44753414</v>
      </c>
      <c r="H50" s="204"/>
      <c r="I50" s="204"/>
      <c r="J50" s="204"/>
      <c r="K50" s="204"/>
      <c r="O50" s="204"/>
      <c r="P50" s="204"/>
    </row>
    <row r="51" spans="1:16" ht="30.75" customHeight="1">
      <c r="A51" s="223" t="s">
        <v>218</v>
      </c>
      <c r="B51" s="237" t="s">
        <v>43</v>
      </c>
      <c r="C51" s="214"/>
      <c r="D51" s="228">
        <v>0</v>
      </c>
      <c r="E51" s="225">
        <v>0</v>
      </c>
      <c r="F51" s="225">
        <v>0</v>
      </c>
      <c r="G51" s="225">
        <v>0</v>
      </c>
      <c r="H51" s="204"/>
      <c r="I51" s="204"/>
      <c r="J51" s="204"/>
      <c r="K51" s="204"/>
      <c r="O51" s="204"/>
      <c r="P51" s="204"/>
    </row>
    <row r="52" spans="1:16" ht="30.75" customHeight="1">
      <c r="A52" s="223" t="s">
        <v>219</v>
      </c>
      <c r="B52" s="234" t="s">
        <v>35</v>
      </c>
      <c r="C52" s="214"/>
      <c r="D52" s="228">
        <v>21714930</v>
      </c>
      <c r="E52" s="228">
        <v>62430429</v>
      </c>
      <c r="F52" s="225">
        <v>34640986</v>
      </c>
      <c r="G52" s="225">
        <v>102465710</v>
      </c>
      <c r="H52" s="204"/>
      <c r="I52" s="204"/>
      <c r="J52" s="204"/>
      <c r="K52" s="204"/>
      <c r="O52" s="204"/>
      <c r="P52" s="204"/>
    </row>
    <row r="53" spans="1:16" ht="30.75" customHeight="1">
      <c r="A53" s="213" t="s">
        <v>220</v>
      </c>
      <c r="B53" s="234" t="s">
        <v>411</v>
      </c>
      <c r="C53" s="214"/>
      <c r="D53" s="228">
        <v>18443830</v>
      </c>
      <c r="E53" s="226">
        <v>55191764</v>
      </c>
      <c r="F53" s="225">
        <v>18443830</v>
      </c>
      <c r="G53" s="225">
        <v>55191765</v>
      </c>
      <c r="H53" s="204"/>
      <c r="I53" s="204"/>
      <c r="J53" s="204"/>
      <c r="K53" s="204"/>
      <c r="O53" s="204"/>
      <c r="P53" s="204"/>
    </row>
    <row r="54" spans="1:16" ht="30.75" customHeight="1">
      <c r="A54" s="213" t="s">
        <v>551</v>
      </c>
      <c r="B54" s="234" t="s">
        <v>412</v>
      </c>
      <c r="C54" s="214"/>
      <c r="D54" s="225">
        <v>0</v>
      </c>
      <c r="E54" s="225">
        <v>0</v>
      </c>
      <c r="F54" s="225">
        <v>3539106</v>
      </c>
      <c r="G54" s="225">
        <v>10274822</v>
      </c>
      <c r="H54" s="204"/>
      <c r="I54" s="204"/>
      <c r="J54" s="204"/>
      <c r="K54" s="204"/>
      <c r="O54" s="204"/>
      <c r="P54" s="204"/>
    </row>
    <row r="55" spans="1:16" ht="30.75" customHeight="1">
      <c r="A55" s="231" t="s">
        <v>550</v>
      </c>
      <c r="B55" s="235" t="s">
        <v>413</v>
      </c>
      <c r="C55" s="224"/>
      <c r="D55" s="225">
        <v>0</v>
      </c>
      <c r="E55" s="225">
        <v>0</v>
      </c>
      <c r="F55" s="225">
        <v>1917071</v>
      </c>
      <c r="G55" s="225">
        <v>5565690</v>
      </c>
      <c r="H55" s="204"/>
      <c r="I55" s="204"/>
      <c r="J55" s="204"/>
      <c r="K55" s="204"/>
      <c r="O55" s="204"/>
      <c r="P55" s="204"/>
    </row>
    <row r="56" spans="1:16" ht="30.75" customHeight="1">
      <c r="A56" s="231" t="s">
        <v>409</v>
      </c>
      <c r="B56" s="235" t="s">
        <v>414</v>
      </c>
      <c r="C56" s="224"/>
      <c r="D56" s="225">
        <v>0</v>
      </c>
      <c r="E56" s="225">
        <v>0</v>
      </c>
      <c r="F56" s="225">
        <v>6410000</v>
      </c>
      <c r="G56" s="225">
        <v>19230000</v>
      </c>
      <c r="H56" s="204"/>
      <c r="I56" s="204"/>
      <c r="J56" s="204"/>
      <c r="K56" s="204"/>
      <c r="O56" s="204"/>
      <c r="P56" s="204"/>
    </row>
    <row r="57" spans="1:16" ht="30.75" customHeight="1">
      <c r="A57" s="231" t="s">
        <v>505</v>
      </c>
      <c r="B57" s="235" t="s">
        <v>415</v>
      </c>
      <c r="C57" s="224"/>
      <c r="D57" s="225">
        <v>0</v>
      </c>
      <c r="E57" s="225">
        <v>0</v>
      </c>
      <c r="F57" s="225">
        <v>0</v>
      </c>
      <c r="G57" s="225">
        <v>0</v>
      </c>
      <c r="H57" s="204"/>
      <c r="I57" s="204"/>
      <c r="J57" s="204"/>
      <c r="K57" s="204"/>
      <c r="O57" s="204"/>
      <c r="P57" s="204"/>
    </row>
    <row r="58" spans="1:16" ht="30.75" customHeight="1">
      <c r="A58" s="231" t="s">
        <v>408</v>
      </c>
      <c r="B58" s="235" t="s">
        <v>416</v>
      </c>
      <c r="C58" s="224"/>
      <c r="D58" s="225">
        <v>0</v>
      </c>
      <c r="E58" s="225">
        <v>0</v>
      </c>
      <c r="F58" s="225">
        <v>0</v>
      </c>
      <c r="G58" s="225">
        <v>0</v>
      </c>
      <c r="H58" s="204"/>
      <c r="I58" s="204"/>
      <c r="J58" s="204"/>
      <c r="K58" s="204"/>
      <c r="O58" s="204"/>
      <c r="P58" s="204"/>
    </row>
    <row r="59" spans="1:16" ht="30.75" customHeight="1">
      <c r="A59" s="231" t="s">
        <v>766</v>
      </c>
      <c r="B59" s="235" t="s">
        <v>417</v>
      </c>
      <c r="C59" s="224"/>
      <c r="D59" s="225">
        <v>0</v>
      </c>
      <c r="E59" s="225">
        <v>0</v>
      </c>
      <c r="F59" s="225">
        <v>849312</v>
      </c>
      <c r="G59" s="225">
        <v>2465744</v>
      </c>
      <c r="H59" s="204"/>
      <c r="I59" s="204"/>
      <c r="J59" s="204"/>
      <c r="K59" s="204"/>
      <c r="O59" s="204"/>
      <c r="P59" s="204"/>
    </row>
    <row r="60" spans="1:16" ht="30.75" customHeight="1">
      <c r="A60" s="231" t="s">
        <v>222</v>
      </c>
      <c r="B60" s="235" t="s">
        <v>418</v>
      </c>
      <c r="C60" s="224"/>
      <c r="D60" s="228">
        <v>2171100</v>
      </c>
      <c r="E60" s="227">
        <v>6138665</v>
      </c>
      <c r="F60" s="225">
        <v>3481667</v>
      </c>
      <c r="G60" s="225">
        <v>9737689</v>
      </c>
      <c r="H60" s="204"/>
      <c r="I60" s="204"/>
      <c r="J60" s="204"/>
      <c r="K60" s="204"/>
      <c r="O60" s="204"/>
      <c r="P60" s="204"/>
    </row>
    <row r="61" spans="1:16" ht="29.25" customHeight="1">
      <c r="A61" s="213" t="s">
        <v>221</v>
      </c>
      <c r="B61" s="234" t="s">
        <v>419</v>
      </c>
      <c r="C61" s="214"/>
      <c r="D61" s="228">
        <v>0</v>
      </c>
      <c r="E61" s="225">
        <v>0</v>
      </c>
      <c r="F61" s="225">
        <v>0</v>
      </c>
      <c r="G61" s="225">
        <v>0</v>
      </c>
      <c r="H61" s="204"/>
      <c r="I61" s="204"/>
      <c r="J61" s="204"/>
      <c r="K61" s="204"/>
      <c r="O61" s="204"/>
      <c r="P61" s="204"/>
    </row>
    <row r="62" spans="1:16" s="14" customFormat="1" ht="29.25" customHeight="1">
      <c r="A62" s="213" t="s">
        <v>549</v>
      </c>
      <c r="B62" s="234" t="s">
        <v>420</v>
      </c>
      <c r="C62" s="214"/>
      <c r="D62" s="228">
        <v>0</v>
      </c>
      <c r="E62" s="225">
        <v>0</v>
      </c>
      <c r="F62" s="225">
        <v>0</v>
      </c>
      <c r="G62" s="225">
        <v>0</v>
      </c>
      <c r="H62" s="204"/>
      <c r="I62" s="204"/>
      <c r="J62" s="204"/>
      <c r="K62" s="204"/>
      <c r="O62" s="204"/>
      <c r="P62" s="204"/>
    </row>
    <row r="63" spans="1:16" s="14" customFormat="1" ht="29.25" customHeight="1">
      <c r="A63" s="213" t="s">
        <v>559</v>
      </c>
      <c r="B63" s="234" t="s">
        <v>459</v>
      </c>
      <c r="C63" s="214"/>
      <c r="D63" s="228">
        <v>1100000</v>
      </c>
      <c r="E63" s="225">
        <v>1100000</v>
      </c>
      <c r="F63" s="225">
        <v>0</v>
      </c>
      <c r="G63" s="225">
        <v>0</v>
      </c>
      <c r="H63" s="278"/>
      <c r="I63" s="278"/>
      <c r="J63" s="204"/>
      <c r="K63" s="204"/>
      <c r="O63" s="278"/>
      <c r="P63" s="278"/>
    </row>
    <row r="64" spans="1:16" s="14" customFormat="1" ht="29.25" customHeight="1">
      <c r="A64" s="213" t="s">
        <v>560</v>
      </c>
      <c r="B64" s="234" t="s">
        <v>506</v>
      </c>
      <c r="C64" s="214"/>
      <c r="D64" s="228">
        <v>0</v>
      </c>
      <c r="E64" s="225">
        <v>0</v>
      </c>
      <c r="F64" s="225">
        <v>0</v>
      </c>
      <c r="G64" s="225">
        <v>0</v>
      </c>
      <c r="H64" s="204"/>
      <c r="I64" s="204"/>
      <c r="J64" s="204"/>
      <c r="K64" s="204"/>
      <c r="O64" s="204"/>
      <c r="P64" s="204"/>
    </row>
    <row r="65" spans="1:16" s="14" customFormat="1" ht="29.25" customHeight="1">
      <c r="A65" s="213" t="s">
        <v>410</v>
      </c>
      <c r="B65" s="235" t="s">
        <v>561</v>
      </c>
      <c r="C65" s="214"/>
      <c r="D65" s="228">
        <v>0</v>
      </c>
      <c r="E65" s="225">
        <v>0</v>
      </c>
      <c r="F65" s="225">
        <v>0</v>
      </c>
      <c r="G65" s="225">
        <v>0</v>
      </c>
      <c r="H65" s="204"/>
      <c r="I65" s="204"/>
      <c r="J65" s="204"/>
      <c r="K65" s="204"/>
      <c r="O65" s="204"/>
      <c r="P65" s="204"/>
    </row>
    <row r="66" spans="1:16" ht="29.25" customHeight="1">
      <c r="A66" s="231" t="s">
        <v>760</v>
      </c>
      <c r="B66" s="235" t="s">
        <v>562</v>
      </c>
      <c r="C66" s="224"/>
      <c r="D66" s="225">
        <v>0</v>
      </c>
      <c r="E66" s="225">
        <v>0</v>
      </c>
      <c r="F66" s="225">
        <v>0</v>
      </c>
      <c r="G66" s="225">
        <v>0</v>
      </c>
      <c r="H66" s="204"/>
      <c r="I66" s="204"/>
      <c r="J66" s="204"/>
      <c r="K66" s="204"/>
      <c r="O66" s="204"/>
      <c r="P66" s="204"/>
    </row>
    <row r="67" spans="1:16" ht="44.25" customHeight="1">
      <c r="A67" s="220" t="s">
        <v>223</v>
      </c>
      <c r="B67" s="238" t="s">
        <v>44</v>
      </c>
      <c r="C67" s="221"/>
      <c r="D67" s="222">
        <v>11044088286</v>
      </c>
      <c r="E67" s="222">
        <v>50355115887</v>
      </c>
      <c r="F67" s="222">
        <v>78283092055</v>
      </c>
      <c r="G67" s="222">
        <v>219271078024</v>
      </c>
      <c r="H67" s="204"/>
      <c r="I67" s="204"/>
      <c r="J67" s="204"/>
      <c r="K67" s="204"/>
      <c r="O67" s="204"/>
      <c r="P67" s="204"/>
    </row>
    <row r="68" spans="1:16" ht="30" customHeight="1">
      <c r="A68" s="220" t="s">
        <v>236</v>
      </c>
      <c r="B68" s="238" t="s">
        <v>45</v>
      </c>
      <c r="C68" s="221"/>
      <c r="D68" s="232">
        <v>0</v>
      </c>
      <c r="E68" s="232">
        <v>0</v>
      </c>
      <c r="F68" s="222">
        <v>0</v>
      </c>
      <c r="G68" s="222">
        <v>0</v>
      </c>
      <c r="H68" s="204"/>
      <c r="I68" s="204"/>
      <c r="J68" s="204"/>
      <c r="K68" s="204"/>
      <c r="O68" s="204"/>
      <c r="P68" s="204"/>
    </row>
    <row r="69" spans="1:16" ht="30" customHeight="1">
      <c r="A69" s="229" t="s">
        <v>224</v>
      </c>
      <c r="B69" s="236" t="s">
        <v>46</v>
      </c>
      <c r="C69" s="224"/>
      <c r="D69" s="225">
        <v>0</v>
      </c>
      <c r="E69" s="225">
        <v>0</v>
      </c>
      <c r="F69" s="225">
        <v>0</v>
      </c>
      <c r="G69" s="225">
        <v>0</v>
      </c>
      <c r="H69" s="204"/>
      <c r="I69" s="204"/>
      <c r="J69" s="204"/>
      <c r="K69" s="204"/>
      <c r="O69" s="204"/>
      <c r="P69" s="204"/>
    </row>
    <row r="70" spans="1:16" ht="30" customHeight="1">
      <c r="A70" s="229" t="s">
        <v>225</v>
      </c>
      <c r="B70" s="236" t="s">
        <v>47</v>
      </c>
      <c r="C70" s="224"/>
      <c r="D70" s="225">
        <v>0</v>
      </c>
      <c r="E70" s="225">
        <v>0</v>
      </c>
      <c r="F70" s="225">
        <v>0</v>
      </c>
      <c r="G70" s="225">
        <v>0</v>
      </c>
      <c r="H70" s="204"/>
      <c r="I70" s="204"/>
      <c r="J70" s="204"/>
      <c r="K70" s="204"/>
      <c r="O70" s="204"/>
      <c r="P70" s="204"/>
    </row>
    <row r="71" spans="1:16" ht="46.5" customHeight="1">
      <c r="A71" s="220" t="s">
        <v>226</v>
      </c>
      <c r="B71" s="238" t="s">
        <v>20</v>
      </c>
      <c r="C71" s="221"/>
      <c r="D71" s="222">
        <v>11044088286</v>
      </c>
      <c r="E71" s="222">
        <v>50355115887</v>
      </c>
      <c r="F71" s="222">
        <v>78283092055</v>
      </c>
      <c r="G71" s="222">
        <v>219271078024</v>
      </c>
      <c r="H71" s="204"/>
      <c r="I71" s="204"/>
      <c r="J71" s="204"/>
      <c r="K71" s="204"/>
      <c r="O71" s="204"/>
      <c r="P71" s="204"/>
    </row>
    <row r="72" spans="1:16" ht="31.5" customHeight="1">
      <c r="A72" s="229" t="s">
        <v>227</v>
      </c>
      <c r="B72" s="236" t="s">
        <v>19</v>
      </c>
      <c r="C72" s="224"/>
      <c r="D72" s="449">
        <v>-847870976</v>
      </c>
      <c r="E72" s="228">
        <v>1660839609</v>
      </c>
      <c r="F72" s="225">
        <v>13483005658</v>
      </c>
      <c r="G72" s="225">
        <v>36247413524</v>
      </c>
      <c r="H72" s="204"/>
      <c r="I72" s="204"/>
      <c r="J72" s="204"/>
      <c r="K72" s="204"/>
      <c r="O72" s="204"/>
      <c r="P72" s="204"/>
    </row>
    <row r="73" spans="1:16" ht="31.5" customHeight="1">
      <c r="A73" s="229" t="s">
        <v>228</v>
      </c>
      <c r="B73" s="236" t="s">
        <v>18</v>
      </c>
      <c r="C73" s="224"/>
      <c r="D73" s="228">
        <v>11891959262</v>
      </c>
      <c r="E73" s="228">
        <v>48694276278</v>
      </c>
      <c r="F73" s="225">
        <v>64800086397</v>
      </c>
      <c r="G73" s="225">
        <v>183023664500</v>
      </c>
      <c r="H73" s="204"/>
      <c r="I73" s="204"/>
      <c r="J73" s="204"/>
      <c r="K73" s="204"/>
      <c r="O73" s="204"/>
      <c r="P73" s="204"/>
    </row>
    <row r="74" spans="1:16" ht="31.5" customHeight="1">
      <c r="A74" s="220" t="s">
        <v>229</v>
      </c>
      <c r="B74" s="238" t="s">
        <v>48</v>
      </c>
      <c r="C74" s="221"/>
      <c r="D74" s="222">
        <v>0</v>
      </c>
      <c r="E74" s="222">
        <v>0</v>
      </c>
      <c r="F74" s="222">
        <v>0</v>
      </c>
      <c r="G74" s="222">
        <v>0</v>
      </c>
      <c r="H74" s="204"/>
      <c r="I74" s="204"/>
      <c r="J74" s="204"/>
      <c r="K74" s="204"/>
      <c r="O74" s="204"/>
      <c r="P74" s="204"/>
    </row>
    <row r="75" spans="1:16" ht="45" customHeight="1">
      <c r="A75" s="220" t="s">
        <v>230</v>
      </c>
      <c r="B75" s="238" t="s">
        <v>49</v>
      </c>
      <c r="C75" s="221"/>
      <c r="D75" s="222">
        <v>11044088286</v>
      </c>
      <c r="E75" s="222">
        <v>50355115887</v>
      </c>
      <c r="F75" s="222">
        <v>78283092055</v>
      </c>
      <c r="G75" s="222">
        <v>219271078024</v>
      </c>
      <c r="H75" s="204"/>
      <c r="I75" s="204"/>
      <c r="J75" s="204"/>
      <c r="K75" s="204"/>
      <c r="O75" s="204"/>
      <c r="P75" s="79"/>
    </row>
    <row r="76" spans="1:16">
      <c r="A76" s="107"/>
      <c r="B76" s="138"/>
      <c r="C76" s="138"/>
      <c r="D76" s="138"/>
      <c r="E76" s="138"/>
      <c r="F76" s="138"/>
      <c r="G76" s="138"/>
      <c r="I76" s="204"/>
      <c r="J76" s="204"/>
    </row>
    <row r="77" spans="1:16">
      <c r="A77" s="68"/>
      <c r="B77" s="7"/>
      <c r="C77" s="7"/>
      <c r="D77" s="8"/>
      <c r="E77" s="7"/>
      <c r="F77" s="18"/>
      <c r="G77" s="7"/>
    </row>
    <row r="78" spans="1:16">
      <c r="A78" s="261" t="s">
        <v>767</v>
      </c>
      <c r="B78" s="457" t="s">
        <v>768</v>
      </c>
      <c r="C78" s="457"/>
      <c r="D78" s="457"/>
      <c r="E78" s="457"/>
      <c r="F78" s="457"/>
      <c r="G78" s="457"/>
    </row>
    <row r="79" spans="1:16">
      <c r="A79" s="10"/>
      <c r="B79" s="10"/>
      <c r="C79" s="7"/>
      <c r="D79" s="7"/>
      <c r="E79" s="11"/>
      <c r="F79" s="12"/>
      <c r="G79" s="12"/>
    </row>
    <row r="80" spans="1:16">
      <c r="A80" s="10"/>
      <c r="B80" s="10"/>
      <c r="C80" s="7"/>
      <c r="D80" s="7"/>
      <c r="E80" s="11"/>
      <c r="F80" s="12"/>
      <c r="G80" s="12"/>
    </row>
    <row r="81" spans="1:7">
      <c r="A81" s="10"/>
      <c r="B81" s="10"/>
      <c r="C81" s="7"/>
      <c r="D81" s="7"/>
      <c r="E81" s="11"/>
      <c r="F81" s="12"/>
      <c r="G81" s="12"/>
    </row>
    <row r="82" spans="1:7">
      <c r="A82" s="10"/>
      <c r="B82" s="10"/>
      <c r="C82" s="7"/>
      <c r="D82" s="114"/>
      <c r="E82" s="11"/>
      <c r="F82" s="12"/>
      <c r="G82" s="12"/>
    </row>
    <row r="83" spans="1:7">
      <c r="A83" s="10"/>
      <c r="B83" s="10"/>
      <c r="C83" s="7"/>
      <c r="D83" s="113"/>
      <c r="E83" s="11"/>
      <c r="F83" s="12"/>
      <c r="G83" s="12"/>
    </row>
    <row r="84" spans="1:7">
      <c r="A84" s="10"/>
      <c r="B84" s="10"/>
      <c r="C84" s="7"/>
      <c r="D84" s="113"/>
      <c r="E84" s="11"/>
      <c r="F84" s="12"/>
      <c r="G84" s="12"/>
    </row>
    <row r="85" spans="1:7">
      <c r="A85" s="10"/>
      <c r="B85" s="10"/>
      <c r="C85" s="7"/>
      <c r="D85" s="113"/>
      <c r="E85" s="11"/>
      <c r="F85" s="12"/>
      <c r="G85" s="12"/>
    </row>
    <row r="86" spans="1:7">
      <c r="A86" s="10"/>
      <c r="B86" s="10"/>
      <c r="C86" s="7"/>
      <c r="D86" s="7"/>
      <c r="E86" s="11"/>
      <c r="F86" s="12"/>
      <c r="G86" s="12"/>
    </row>
    <row r="87" spans="1:7">
      <c r="A87" s="10"/>
      <c r="B87" s="10"/>
      <c r="C87" s="7"/>
      <c r="D87" s="7"/>
      <c r="E87" s="11"/>
      <c r="F87" s="12"/>
      <c r="G87" s="12"/>
    </row>
    <row r="88" spans="1:7">
      <c r="A88" s="10"/>
      <c r="B88" s="10"/>
      <c r="C88" s="7"/>
      <c r="D88" s="7"/>
      <c r="E88" s="11"/>
      <c r="F88" s="12"/>
      <c r="G88" s="12"/>
    </row>
    <row r="89" spans="1:7">
      <c r="A89" s="10"/>
      <c r="B89" s="10"/>
      <c r="C89" s="7"/>
      <c r="D89" s="7"/>
      <c r="E89" s="11"/>
      <c r="F89" s="12"/>
      <c r="G89" s="12"/>
    </row>
    <row r="90" spans="1:7">
      <c r="A90" s="10"/>
      <c r="B90" s="10"/>
      <c r="C90" s="7"/>
      <c r="D90" s="7"/>
      <c r="E90" s="11"/>
      <c r="F90" s="12"/>
      <c r="G90" s="12"/>
    </row>
    <row r="91" spans="1:7">
      <c r="A91" s="262" t="s">
        <v>769</v>
      </c>
      <c r="B91" s="458" t="s">
        <v>769</v>
      </c>
      <c r="C91" s="458"/>
      <c r="D91" s="458"/>
      <c r="E91" s="458"/>
      <c r="F91" s="459" t="s">
        <v>770</v>
      </c>
      <c r="G91" s="460"/>
    </row>
    <row r="92" spans="1:7">
      <c r="A92" s="263" t="s">
        <v>782</v>
      </c>
      <c r="B92" s="457" t="s">
        <v>771</v>
      </c>
      <c r="C92" s="457"/>
      <c r="D92" s="457"/>
      <c r="E92" s="457"/>
      <c r="F92" s="457" t="s">
        <v>772</v>
      </c>
      <c r="G92" s="457"/>
    </row>
    <row r="93" spans="1:7">
      <c r="A93" s="264" t="s">
        <v>783</v>
      </c>
      <c r="B93" s="456" t="s">
        <v>773</v>
      </c>
      <c r="C93" s="456"/>
      <c r="D93" s="456"/>
      <c r="E93" s="456"/>
      <c r="F93" s="456" t="s">
        <v>774</v>
      </c>
      <c r="G93" s="456"/>
    </row>
    <row r="94" spans="1:7">
      <c r="A94"/>
      <c r="B94"/>
      <c r="C94" s="7"/>
      <c r="D94" s="7"/>
      <c r="E94"/>
      <c r="F94" s="218"/>
      <c r="G94"/>
    </row>
  </sheetData>
  <protectedRanges>
    <protectedRange sqref="C41 C32:D38 C31 C40:D40 C39 C69:D73 C67:C68 C74:C75 E32 E71:E73 E52 E18:E19 C18:D30 E22 C42:D66 F18:G75" name="Range1"/>
    <protectedRange sqref="D31:E31" name="Range1_1"/>
    <protectedRange sqref="D39:E39" name="Range1_2"/>
    <protectedRange sqref="D67:E67" name="Range1_3"/>
    <protectedRange sqref="D68:E68" name="Range1_4"/>
    <protectedRange sqref="D74:E74" name="Range1_5"/>
    <protectedRange sqref="D75:E75" name="Range1_6"/>
  </protectedRanges>
  <mergeCells count="24">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 ref="B10:G10"/>
    <mergeCell ref="B12:G12"/>
    <mergeCell ref="B93:E93"/>
    <mergeCell ref="F93:G93"/>
    <mergeCell ref="B78:G78"/>
    <mergeCell ref="B91:E91"/>
    <mergeCell ref="F91:G91"/>
    <mergeCell ref="B92:E92"/>
    <mergeCell ref="F92:G92"/>
  </mergeCells>
  <printOptions horizontalCentered="1"/>
  <pageMargins left="0.35" right="0.2" top="0.56999999999999995" bottom="0.45" header="0.3" footer="0.17"/>
  <pageSetup paperSize="9" scale="59" fitToHeight="2" orientation="portrait" r:id="rId1"/>
  <rowBreaks count="1" manualBreakCount="1">
    <brk id="4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145"/>
  <sheetViews>
    <sheetView showGridLines="0" view="pageBreakPreview" topLeftCell="A109" zoomScale="85" zoomScaleNormal="100" zoomScaleSheetLayoutView="85" workbookViewId="0">
      <selection activeCell="E111" sqref="E111"/>
    </sheetView>
  </sheetViews>
  <sheetFormatPr defaultColWidth="9.08984375" defaultRowHeight="12.5"/>
  <cols>
    <col min="1" max="1" width="9.08984375" style="13"/>
    <col min="2" max="2" width="52.90625" style="13" customWidth="1"/>
    <col min="3" max="3" width="11.54296875" style="13" customWidth="1"/>
    <col min="4" max="4" width="8.90625" style="13" customWidth="1"/>
    <col min="5" max="5" width="28.453125" style="13" customWidth="1"/>
    <col min="6" max="6" width="30.36328125" style="13" customWidth="1"/>
    <col min="7" max="16384" width="9.08984375" style="13"/>
  </cols>
  <sheetData>
    <row r="1" spans="1:6" ht="27" customHeight="1">
      <c r="B1" s="461" t="s">
        <v>884</v>
      </c>
      <c r="C1" s="461"/>
      <c r="D1" s="461"/>
      <c r="E1" s="461"/>
      <c r="F1" s="461"/>
    </row>
    <row r="2" spans="1:6" ht="35.25" customHeight="1">
      <c r="B2" s="462" t="s">
        <v>191</v>
      </c>
      <c r="C2" s="462"/>
      <c r="D2" s="462"/>
      <c r="E2" s="462"/>
      <c r="F2" s="462"/>
    </row>
    <row r="3" spans="1:6" ht="15" customHeight="1">
      <c r="A3" s="463" t="s">
        <v>237</v>
      </c>
      <c r="B3" s="463"/>
      <c r="C3" s="463"/>
      <c r="D3" s="463"/>
      <c r="E3" s="463"/>
      <c r="F3" s="463"/>
    </row>
    <row r="4" spans="1:6" ht="19.5" customHeight="1">
      <c r="A4" s="463"/>
      <c r="B4" s="463"/>
      <c r="C4" s="463"/>
      <c r="D4" s="463"/>
      <c r="E4" s="463"/>
      <c r="F4" s="463"/>
    </row>
    <row r="5" spans="1:6">
      <c r="A5" s="464" t="s">
        <v>1003</v>
      </c>
      <c r="B5" s="464"/>
      <c r="C5" s="464"/>
      <c r="D5" s="464"/>
      <c r="E5" s="464"/>
      <c r="F5" s="464"/>
    </row>
    <row r="6" spans="1:6">
      <c r="A6" s="12"/>
      <c r="B6" s="4"/>
      <c r="C6" s="4"/>
      <c r="D6" s="4"/>
      <c r="E6" s="4"/>
      <c r="F6" s="4"/>
    </row>
    <row r="7" spans="1:6" ht="14.4" customHeight="1">
      <c r="A7" s="206" t="s">
        <v>430</v>
      </c>
      <c r="B7" s="86"/>
      <c r="C7" s="479" t="s">
        <v>437</v>
      </c>
      <c r="D7" s="479"/>
      <c r="E7" s="479"/>
      <c r="F7" s="479"/>
    </row>
    <row r="8" spans="1:6" ht="14.4" customHeight="1">
      <c r="A8" s="91" t="s">
        <v>848</v>
      </c>
      <c r="B8" s="87"/>
      <c r="C8" s="481" t="s">
        <v>500</v>
      </c>
      <c r="D8" s="481"/>
      <c r="E8" s="481"/>
      <c r="F8" s="481"/>
    </row>
    <row r="9" spans="1:6" ht="14.4" customHeight="1">
      <c r="A9" s="206" t="s">
        <v>431</v>
      </c>
      <c r="B9" s="86"/>
      <c r="C9" s="479" t="s">
        <v>907</v>
      </c>
      <c r="D9" s="479"/>
      <c r="E9" s="479"/>
      <c r="F9" s="479"/>
    </row>
    <row r="10" spans="1:6" ht="14.4" customHeight="1">
      <c r="A10" s="207" t="s">
        <v>432</v>
      </c>
      <c r="B10" s="88"/>
      <c r="C10" s="481" t="s">
        <v>433</v>
      </c>
      <c r="D10" s="481"/>
      <c r="E10" s="481"/>
      <c r="F10" s="481"/>
    </row>
    <row r="11" spans="1:6" ht="14.4" customHeight="1">
      <c r="A11" s="206" t="s">
        <v>429</v>
      </c>
      <c r="B11" s="86"/>
      <c r="C11" s="479" t="s">
        <v>474</v>
      </c>
      <c r="D11" s="479"/>
      <c r="E11" s="479"/>
      <c r="F11" s="479"/>
    </row>
    <row r="12" spans="1:6" ht="14.4" customHeight="1">
      <c r="A12" s="208" t="s">
        <v>427</v>
      </c>
      <c r="B12" s="89"/>
      <c r="C12" s="481" t="s">
        <v>473</v>
      </c>
      <c r="D12" s="481"/>
      <c r="E12" s="481"/>
      <c r="F12" s="481"/>
    </row>
    <row r="13" spans="1:6" ht="14.4" customHeight="1">
      <c r="A13" s="209" t="s">
        <v>193</v>
      </c>
      <c r="B13" s="90"/>
      <c r="C13" s="480" t="s">
        <v>903</v>
      </c>
      <c r="D13" s="479"/>
      <c r="E13" s="479"/>
      <c r="F13" s="479"/>
    </row>
    <row r="14" spans="1:6" ht="14.4" customHeight="1">
      <c r="A14" s="91" t="s">
        <v>194</v>
      </c>
      <c r="B14" s="91"/>
      <c r="C14" s="472">
        <v>43556</v>
      </c>
      <c r="D14" s="472"/>
      <c r="E14" s="472"/>
      <c r="F14" s="472"/>
    </row>
    <row r="15" spans="1:6">
      <c r="A15"/>
      <c r="B15"/>
      <c r="C15"/>
      <c r="D15"/>
      <c r="E15"/>
      <c r="F15"/>
    </row>
    <row r="16" spans="1:6" s="17" customFormat="1" ht="60" customHeight="1">
      <c r="A16" s="15" t="s">
        <v>389</v>
      </c>
      <c r="B16" s="15" t="s">
        <v>195</v>
      </c>
      <c r="C16" s="15" t="s">
        <v>196</v>
      </c>
      <c r="D16" s="16" t="s">
        <v>197</v>
      </c>
      <c r="E16" s="16" t="s">
        <v>902</v>
      </c>
      <c r="F16" s="16" t="s">
        <v>897</v>
      </c>
    </row>
    <row r="17" spans="1:6" s="17" customFormat="1" ht="30" customHeight="1">
      <c r="A17" s="202" t="s">
        <v>50</v>
      </c>
      <c r="B17" s="129" t="s">
        <v>265</v>
      </c>
      <c r="C17" s="202" t="s">
        <v>50</v>
      </c>
      <c r="D17" s="130"/>
      <c r="E17" s="130"/>
      <c r="F17" s="130"/>
    </row>
    <row r="18" spans="1:6" s="17" customFormat="1" ht="30" customHeight="1">
      <c r="A18" s="210" t="s">
        <v>587</v>
      </c>
      <c r="B18" s="105" t="s">
        <v>605</v>
      </c>
      <c r="C18" s="239" t="s">
        <v>0</v>
      </c>
      <c r="D18" s="131"/>
      <c r="E18" s="132">
        <v>57122604245</v>
      </c>
      <c r="F18" s="132">
        <v>62890826677</v>
      </c>
    </row>
    <row r="19" spans="1:6" s="17" customFormat="1" ht="30" customHeight="1">
      <c r="A19" s="210" t="s">
        <v>76</v>
      </c>
      <c r="B19" s="105" t="s">
        <v>606</v>
      </c>
      <c r="C19" s="239" t="s">
        <v>51</v>
      </c>
      <c r="D19" s="101"/>
      <c r="E19" s="132">
        <v>17122604245</v>
      </c>
      <c r="F19" s="132">
        <v>62890826677</v>
      </c>
    </row>
    <row r="20" spans="1:6" s="17" customFormat="1" ht="30" customHeight="1">
      <c r="A20" s="210" t="s">
        <v>588</v>
      </c>
      <c r="B20" s="105" t="s">
        <v>507</v>
      </c>
      <c r="C20" s="239" t="s">
        <v>690</v>
      </c>
      <c r="D20" s="105"/>
      <c r="E20" s="132">
        <v>36000000</v>
      </c>
      <c r="F20" s="132">
        <v>41600000</v>
      </c>
    </row>
    <row r="21" spans="1:6" s="17" customFormat="1" ht="30" customHeight="1">
      <c r="A21" s="210" t="s">
        <v>588</v>
      </c>
      <c r="B21" s="105" t="s">
        <v>508</v>
      </c>
      <c r="C21" s="239" t="s">
        <v>691</v>
      </c>
      <c r="D21" s="105"/>
      <c r="E21" s="132">
        <v>3836254186</v>
      </c>
      <c r="F21" s="132">
        <v>3793528204</v>
      </c>
    </row>
    <row r="22" spans="1:6" s="17" customFormat="1" ht="30" customHeight="1">
      <c r="A22" s="210" t="s">
        <v>588</v>
      </c>
      <c r="B22" s="105" t="s">
        <v>509</v>
      </c>
      <c r="C22" s="239" t="s">
        <v>692</v>
      </c>
      <c r="D22" s="105"/>
      <c r="E22" s="132">
        <v>13250350059</v>
      </c>
      <c r="F22" s="132">
        <v>59055698473</v>
      </c>
    </row>
    <row r="23" spans="1:6" s="77" customFormat="1" ht="30" customHeight="1">
      <c r="A23" s="351"/>
      <c r="B23" s="105" t="s">
        <v>885</v>
      </c>
      <c r="C23" s="239" t="s">
        <v>873</v>
      </c>
      <c r="D23" s="105"/>
      <c r="E23" s="132">
        <v>0</v>
      </c>
      <c r="F23" s="132">
        <v>0</v>
      </c>
    </row>
    <row r="24" spans="1:6" s="17" customFormat="1" ht="30" customHeight="1">
      <c r="A24" s="210" t="s">
        <v>79</v>
      </c>
      <c r="B24" s="105" t="s">
        <v>607</v>
      </c>
      <c r="C24" s="239" t="s">
        <v>52</v>
      </c>
      <c r="D24" s="101"/>
      <c r="E24" s="132">
        <v>40000000000</v>
      </c>
      <c r="F24" s="132">
        <v>0</v>
      </c>
    </row>
    <row r="25" spans="1:6" s="17" customFormat="1" ht="30" customHeight="1">
      <c r="A25" s="210" t="s">
        <v>589</v>
      </c>
      <c r="B25" s="105" t="s">
        <v>608</v>
      </c>
      <c r="C25" s="239" t="s">
        <v>1</v>
      </c>
      <c r="D25" s="101"/>
      <c r="E25" s="132">
        <v>1030656972200</v>
      </c>
      <c r="F25" s="132">
        <v>1053398497000</v>
      </c>
    </row>
    <row r="26" spans="1:6" s="17" customFormat="1" ht="30" customHeight="1">
      <c r="A26" s="210" t="s">
        <v>84</v>
      </c>
      <c r="B26" s="105" t="s">
        <v>609</v>
      </c>
      <c r="C26" s="239" t="s">
        <v>2</v>
      </c>
      <c r="D26" s="101"/>
      <c r="E26" s="132">
        <v>1030656972200</v>
      </c>
      <c r="F26" s="132">
        <v>1053398497000</v>
      </c>
    </row>
    <row r="27" spans="1:6" s="19" customFormat="1" ht="30" customHeight="1">
      <c r="A27" s="211" t="s">
        <v>588</v>
      </c>
      <c r="B27" s="105" t="s">
        <v>683</v>
      </c>
      <c r="C27" s="239" t="s">
        <v>468</v>
      </c>
      <c r="D27" s="131"/>
      <c r="E27" s="132">
        <v>870509672200</v>
      </c>
      <c r="F27" s="132">
        <v>843251197000</v>
      </c>
    </row>
    <row r="28" spans="1:6" s="19" customFormat="1" ht="30" customHeight="1">
      <c r="A28" s="211" t="s">
        <v>588</v>
      </c>
      <c r="B28" s="105" t="s">
        <v>563</v>
      </c>
      <c r="C28" s="240" t="s">
        <v>712</v>
      </c>
      <c r="D28" s="131"/>
      <c r="E28" s="132">
        <v>0</v>
      </c>
      <c r="F28" s="132">
        <v>0</v>
      </c>
    </row>
    <row r="29" spans="1:6" s="19" customFormat="1" ht="29.25" customHeight="1">
      <c r="A29" s="211"/>
      <c r="B29" s="205" t="s">
        <v>684</v>
      </c>
      <c r="C29" s="342" t="s">
        <v>239</v>
      </c>
      <c r="D29" s="131"/>
      <c r="E29" s="132">
        <v>80147300000</v>
      </c>
      <c r="F29" s="132">
        <v>80147300000</v>
      </c>
    </row>
    <row r="30" spans="1:6" s="19" customFormat="1" ht="29.25" customHeight="1">
      <c r="A30" s="211"/>
      <c r="B30" s="205" t="s">
        <v>565</v>
      </c>
      <c r="C30" s="343" t="s">
        <v>693</v>
      </c>
      <c r="D30" s="131"/>
      <c r="E30" s="132">
        <v>0</v>
      </c>
      <c r="F30" s="132">
        <v>0</v>
      </c>
    </row>
    <row r="31" spans="1:6" s="19" customFormat="1" ht="30" customHeight="1">
      <c r="A31" s="211" t="s">
        <v>588</v>
      </c>
      <c r="B31" s="105" t="s">
        <v>552</v>
      </c>
      <c r="C31" s="239" t="s">
        <v>564</v>
      </c>
      <c r="D31" s="131"/>
      <c r="E31" s="132">
        <v>80000000000</v>
      </c>
      <c r="F31" s="132">
        <v>130000000000</v>
      </c>
    </row>
    <row r="32" spans="1:6" s="19" customFormat="1" ht="30" customHeight="1">
      <c r="A32" s="211" t="s">
        <v>588</v>
      </c>
      <c r="B32" s="105" t="s">
        <v>280</v>
      </c>
      <c r="C32" s="342" t="s">
        <v>470</v>
      </c>
      <c r="D32" s="131"/>
      <c r="E32" s="132">
        <v>0</v>
      </c>
      <c r="F32" s="132">
        <v>0</v>
      </c>
    </row>
    <row r="33" spans="1:6" s="19" customFormat="1" ht="30" customHeight="1">
      <c r="A33" s="211" t="s">
        <v>588</v>
      </c>
      <c r="B33" s="105" t="s">
        <v>475</v>
      </c>
      <c r="C33" s="342" t="s">
        <v>566</v>
      </c>
      <c r="D33" s="131"/>
      <c r="E33" s="132">
        <v>0</v>
      </c>
      <c r="F33" s="132">
        <v>0</v>
      </c>
    </row>
    <row r="34" spans="1:6" s="385" customFormat="1" ht="30" customHeight="1">
      <c r="A34" s="387"/>
      <c r="B34" s="105" t="s">
        <v>875</v>
      </c>
      <c r="C34" s="342">
        <v>121.8</v>
      </c>
      <c r="D34" s="131"/>
      <c r="E34" s="132">
        <v>0</v>
      </c>
      <c r="F34" s="132">
        <v>0</v>
      </c>
    </row>
    <row r="35" spans="1:6" s="19" customFormat="1" ht="30" customHeight="1">
      <c r="A35" s="387" t="s">
        <v>588</v>
      </c>
      <c r="B35" s="105" t="s">
        <v>567</v>
      </c>
      <c r="C35" s="342">
        <v>121.9</v>
      </c>
      <c r="D35" s="131"/>
      <c r="E35" s="132">
        <v>0</v>
      </c>
      <c r="F35" s="132">
        <v>0</v>
      </c>
    </row>
    <row r="36" spans="1:6" s="17" customFormat="1" ht="30" customHeight="1">
      <c r="A36" s="210" t="s">
        <v>87</v>
      </c>
      <c r="B36" s="105" t="s">
        <v>610</v>
      </c>
      <c r="C36" s="239" t="s">
        <v>53</v>
      </c>
      <c r="D36" s="101"/>
      <c r="E36" s="132">
        <v>0</v>
      </c>
      <c r="F36" s="132">
        <v>0</v>
      </c>
    </row>
    <row r="37" spans="1:6" s="17" customFormat="1" ht="30" customHeight="1">
      <c r="A37" s="210" t="s">
        <v>590</v>
      </c>
      <c r="B37" s="105" t="s">
        <v>611</v>
      </c>
      <c r="C37" s="239" t="s">
        <v>3</v>
      </c>
      <c r="D37" s="101"/>
      <c r="E37" s="132">
        <v>6694097180</v>
      </c>
      <c r="F37" s="132">
        <v>6583739442</v>
      </c>
    </row>
    <row r="38" spans="1:6" s="17" customFormat="1" ht="30" customHeight="1">
      <c r="A38" s="210" t="s">
        <v>591</v>
      </c>
      <c r="B38" s="106" t="s">
        <v>612</v>
      </c>
      <c r="C38" s="239" t="s">
        <v>4</v>
      </c>
      <c r="D38" s="101"/>
      <c r="E38" s="132">
        <v>0</v>
      </c>
      <c r="F38" s="132">
        <v>0</v>
      </c>
    </row>
    <row r="39" spans="1:6" s="17" customFormat="1" ht="30" customHeight="1">
      <c r="A39" s="210"/>
      <c r="B39" s="106" t="s">
        <v>603</v>
      </c>
      <c r="C39" s="239" t="s">
        <v>604</v>
      </c>
      <c r="D39" s="101"/>
      <c r="E39" s="132">
        <v>0</v>
      </c>
      <c r="F39" s="132">
        <v>0</v>
      </c>
    </row>
    <row r="40" spans="1:6" s="17" customFormat="1" ht="30" customHeight="1">
      <c r="A40" s="210" t="s">
        <v>592</v>
      </c>
      <c r="B40" s="106" t="s">
        <v>613</v>
      </c>
      <c r="C40" s="239" t="s">
        <v>54</v>
      </c>
      <c r="D40" s="101"/>
      <c r="E40" s="132">
        <v>7560497180</v>
      </c>
      <c r="F40" s="132">
        <v>7450139442</v>
      </c>
    </row>
    <row r="41" spans="1:6" s="17" customFormat="1" ht="30" customHeight="1">
      <c r="A41" s="210" t="s">
        <v>593</v>
      </c>
      <c r="B41" s="105" t="s">
        <v>685</v>
      </c>
      <c r="C41" s="239" t="s">
        <v>55</v>
      </c>
      <c r="D41" s="101"/>
      <c r="E41" s="132">
        <v>866400000</v>
      </c>
      <c r="F41" s="132">
        <v>866400000</v>
      </c>
    </row>
    <row r="42" spans="1:6" s="17" customFormat="1" ht="30" customHeight="1">
      <c r="A42" s="210" t="s">
        <v>588</v>
      </c>
      <c r="B42" s="105" t="s">
        <v>510</v>
      </c>
      <c r="C42" s="239" t="s">
        <v>713</v>
      </c>
      <c r="D42" s="101"/>
      <c r="E42" s="132">
        <v>866400000</v>
      </c>
      <c r="F42" s="132">
        <v>866400000</v>
      </c>
    </row>
    <row r="43" spans="1:6" s="17" customFormat="1" ht="30" customHeight="1">
      <c r="A43" s="210" t="s">
        <v>588</v>
      </c>
      <c r="B43" s="105" t="s">
        <v>568</v>
      </c>
      <c r="C43" s="239" t="s">
        <v>714</v>
      </c>
      <c r="D43" s="101"/>
      <c r="E43" s="132">
        <v>0</v>
      </c>
      <c r="F43" s="132">
        <v>0</v>
      </c>
    </row>
    <row r="44" spans="1:6" s="17" customFormat="1" ht="51" customHeight="1">
      <c r="A44" s="210" t="s">
        <v>588</v>
      </c>
      <c r="B44" s="105" t="s">
        <v>465</v>
      </c>
      <c r="C44" s="239" t="s">
        <v>715</v>
      </c>
      <c r="D44" s="101"/>
      <c r="E44" s="132">
        <v>0</v>
      </c>
      <c r="F44" s="132">
        <v>0</v>
      </c>
    </row>
    <row r="45" spans="1:6" s="17" customFormat="1" ht="51" customHeight="1">
      <c r="A45" s="210" t="s">
        <v>588</v>
      </c>
      <c r="B45" s="105" t="s">
        <v>569</v>
      </c>
      <c r="C45" s="239" t="s">
        <v>716</v>
      </c>
      <c r="D45" s="101"/>
      <c r="E45" s="132">
        <v>0</v>
      </c>
      <c r="F45" s="132">
        <v>0</v>
      </c>
    </row>
    <row r="46" spans="1:6" s="17" customFormat="1" ht="36.75" customHeight="1">
      <c r="A46" s="210"/>
      <c r="B46" s="105" t="s">
        <v>511</v>
      </c>
      <c r="C46" s="239" t="s">
        <v>717</v>
      </c>
      <c r="D46" s="101"/>
      <c r="E46" s="132">
        <v>0</v>
      </c>
      <c r="F46" s="132">
        <v>0</v>
      </c>
    </row>
    <row r="47" spans="1:6" s="17" customFormat="1" ht="63" customHeight="1">
      <c r="A47" s="210" t="s">
        <v>588</v>
      </c>
      <c r="B47" s="105" t="s">
        <v>512</v>
      </c>
      <c r="C47" s="239" t="s">
        <v>513</v>
      </c>
      <c r="D47" s="101"/>
      <c r="E47" s="132">
        <v>866400000</v>
      </c>
      <c r="F47" s="132">
        <v>866400000</v>
      </c>
    </row>
    <row r="48" spans="1:6" s="17" customFormat="1" ht="33" customHeight="1">
      <c r="A48" s="210" t="s">
        <v>594</v>
      </c>
      <c r="B48" s="105" t="s">
        <v>686</v>
      </c>
      <c r="C48" s="239" t="s">
        <v>56</v>
      </c>
      <c r="D48" s="101"/>
      <c r="E48" s="132">
        <v>6694097180</v>
      </c>
      <c r="F48" s="132">
        <v>6583739442</v>
      </c>
    </row>
    <row r="49" spans="1:6" s="17" customFormat="1" ht="37.5" customHeight="1">
      <c r="A49" s="210"/>
      <c r="B49" s="105" t="s">
        <v>570</v>
      </c>
      <c r="C49" s="239" t="s">
        <v>687</v>
      </c>
      <c r="D49" s="101"/>
      <c r="E49" s="132">
        <v>520880000</v>
      </c>
      <c r="F49" s="132">
        <v>0</v>
      </c>
    </row>
    <row r="50" spans="1:6" s="17" customFormat="1" ht="41.25" customHeight="1">
      <c r="A50" s="210"/>
      <c r="B50" s="105" t="s">
        <v>571</v>
      </c>
      <c r="C50" s="239" t="s">
        <v>718</v>
      </c>
      <c r="D50" s="101"/>
      <c r="E50" s="132">
        <v>2264931507</v>
      </c>
      <c r="F50" s="132">
        <v>1547791096</v>
      </c>
    </row>
    <row r="51" spans="1:6" s="17" customFormat="1" ht="40.5" customHeight="1">
      <c r="A51" s="210"/>
      <c r="B51" s="105" t="s">
        <v>572</v>
      </c>
      <c r="C51" s="239" t="s">
        <v>688</v>
      </c>
      <c r="D51" s="101"/>
      <c r="E51" s="132">
        <v>24109588</v>
      </c>
      <c r="F51" s="132">
        <v>0</v>
      </c>
    </row>
    <row r="52" spans="1:6" s="17" customFormat="1" ht="47.25" customHeight="1">
      <c r="A52" s="210"/>
      <c r="B52" s="105" t="s">
        <v>573</v>
      </c>
      <c r="C52" s="239" t="s">
        <v>719</v>
      </c>
      <c r="D52" s="101"/>
      <c r="E52" s="132">
        <v>0</v>
      </c>
      <c r="F52" s="132">
        <v>0</v>
      </c>
    </row>
    <row r="53" spans="1:6" s="17" customFormat="1" ht="37.5" customHeight="1">
      <c r="A53" s="210"/>
      <c r="B53" s="105" t="s">
        <v>574</v>
      </c>
      <c r="C53" s="239" t="s">
        <v>689</v>
      </c>
      <c r="D53" s="101"/>
      <c r="E53" s="132">
        <v>3884176085</v>
      </c>
      <c r="F53" s="132">
        <v>5035948346</v>
      </c>
    </row>
    <row r="54" spans="1:6" s="17" customFormat="1" ht="31.5" customHeight="1">
      <c r="A54" s="210" t="s">
        <v>595</v>
      </c>
      <c r="B54" s="106" t="s">
        <v>614</v>
      </c>
      <c r="C54" s="239" t="s">
        <v>57</v>
      </c>
      <c r="D54" s="101"/>
      <c r="E54" s="132">
        <v>0</v>
      </c>
      <c r="F54" s="132">
        <v>0</v>
      </c>
    </row>
    <row r="55" spans="1:6" s="17" customFormat="1" ht="31.5" customHeight="1">
      <c r="A55" s="210" t="s">
        <v>596</v>
      </c>
      <c r="B55" s="106" t="s">
        <v>615</v>
      </c>
      <c r="C55" s="239" t="s">
        <v>58</v>
      </c>
      <c r="D55" s="101"/>
      <c r="E55" s="132">
        <v>-866400000</v>
      </c>
      <c r="F55" s="132">
        <v>-866400000</v>
      </c>
    </row>
    <row r="56" spans="1:6" s="17" customFormat="1" ht="31.5" customHeight="1">
      <c r="A56" s="210" t="s">
        <v>588</v>
      </c>
      <c r="B56" s="129" t="s">
        <v>266</v>
      </c>
      <c r="C56" s="241" t="s">
        <v>59</v>
      </c>
      <c r="D56" s="137"/>
      <c r="E56" s="135">
        <v>1094473673625</v>
      </c>
      <c r="F56" s="135">
        <v>1122873063119</v>
      </c>
    </row>
    <row r="57" spans="1:6" s="17" customFormat="1" ht="31.5" customHeight="1">
      <c r="A57" s="212" t="s">
        <v>60</v>
      </c>
      <c r="B57" s="129" t="s">
        <v>616</v>
      </c>
      <c r="C57" s="202" t="s">
        <v>60</v>
      </c>
      <c r="D57" s="137"/>
      <c r="E57" s="136"/>
      <c r="F57" s="136"/>
    </row>
    <row r="58" spans="1:6" s="17" customFormat="1" ht="31.5" customHeight="1">
      <c r="A58" s="210" t="s">
        <v>587</v>
      </c>
      <c r="B58" s="106" t="s">
        <v>617</v>
      </c>
      <c r="C58" s="239" t="s">
        <v>6</v>
      </c>
      <c r="D58" s="101"/>
      <c r="E58" s="132">
        <v>0</v>
      </c>
      <c r="F58" s="132">
        <v>0</v>
      </c>
    </row>
    <row r="59" spans="1:6" s="17" customFormat="1" ht="31.5" customHeight="1">
      <c r="A59" s="210"/>
      <c r="B59" s="105" t="s">
        <v>575</v>
      </c>
      <c r="C59" s="239" t="s">
        <v>720</v>
      </c>
      <c r="D59" s="101"/>
      <c r="E59" s="132">
        <v>0</v>
      </c>
      <c r="F59" s="132">
        <v>0</v>
      </c>
    </row>
    <row r="60" spans="1:6" s="17" customFormat="1" ht="31.5" customHeight="1">
      <c r="A60" s="210"/>
      <c r="B60" s="105" t="s">
        <v>576</v>
      </c>
      <c r="C60" s="239" t="s">
        <v>721</v>
      </c>
      <c r="D60" s="101"/>
      <c r="E60" s="132">
        <v>0</v>
      </c>
      <c r="F60" s="132">
        <v>0</v>
      </c>
    </row>
    <row r="61" spans="1:6" s="17" customFormat="1" ht="31.5" customHeight="1">
      <c r="A61" s="210" t="s">
        <v>589</v>
      </c>
      <c r="B61" s="106" t="s">
        <v>618</v>
      </c>
      <c r="C61" s="239" t="s">
        <v>7</v>
      </c>
      <c r="D61" s="101"/>
      <c r="E61" s="132">
        <v>0</v>
      </c>
      <c r="F61" s="132">
        <v>13511113000</v>
      </c>
    </row>
    <row r="62" spans="1:6" s="17" customFormat="1" ht="59.25" customHeight="1">
      <c r="A62" s="210" t="s">
        <v>590</v>
      </c>
      <c r="B62" s="106" t="s">
        <v>619</v>
      </c>
      <c r="C62" s="239" t="s">
        <v>61</v>
      </c>
      <c r="D62" s="101"/>
      <c r="E62" s="132">
        <v>411893233</v>
      </c>
      <c r="F62" s="132">
        <v>68448138</v>
      </c>
    </row>
    <row r="63" spans="1:6" s="17" customFormat="1" ht="33" customHeight="1">
      <c r="A63" s="210" t="s">
        <v>597</v>
      </c>
      <c r="B63" s="106" t="s">
        <v>620</v>
      </c>
      <c r="C63" s="239" t="s">
        <v>8</v>
      </c>
      <c r="D63" s="101"/>
      <c r="E63" s="132">
        <v>30142233</v>
      </c>
      <c r="F63" s="132">
        <v>4411936</v>
      </c>
    </row>
    <row r="64" spans="1:6" s="17" customFormat="1" ht="33" customHeight="1">
      <c r="A64" s="210" t="s">
        <v>598</v>
      </c>
      <c r="B64" s="106" t="s">
        <v>621</v>
      </c>
      <c r="C64" s="239" t="s">
        <v>9</v>
      </c>
      <c r="D64" s="101"/>
      <c r="E64" s="132">
        <v>39925000</v>
      </c>
      <c r="F64" s="132">
        <v>39925000</v>
      </c>
    </row>
    <row r="65" spans="1:6" s="17" customFormat="1" ht="33" customHeight="1">
      <c r="A65" s="210" t="s">
        <v>599</v>
      </c>
      <c r="B65" s="105" t="s">
        <v>622</v>
      </c>
      <c r="C65" s="239" t="s">
        <v>62</v>
      </c>
      <c r="D65" s="101"/>
      <c r="E65" s="132">
        <v>165384516</v>
      </c>
      <c r="F65" s="132">
        <v>256792289</v>
      </c>
    </row>
    <row r="66" spans="1:6" s="17" customFormat="1" ht="33" customHeight="1">
      <c r="A66" s="210" t="s">
        <v>588</v>
      </c>
      <c r="B66" s="105" t="s">
        <v>514</v>
      </c>
      <c r="C66" s="239" t="s">
        <v>694</v>
      </c>
      <c r="D66" s="101"/>
      <c r="E66" s="132">
        <v>25135520</v>
      </c>
      <c r="F66" s="132">
        <v>45402188</v>
      </c>
    </row>
    <row r="67" spans="1:6" s="17" customFormat="1" ht="33" customHeight="1">
      <c r="A67" s="210" t="s">
        <v>588</v>
      </c>
      <c r="B67" s="105" t="s">
        <v>515</v>
      </c>
      <c r="C67" s="239" t="s">
        <v>516</v>
      </c>
      <c r="D67" s="101"/>
      <c r="E67" s="132">
        <v>25135520</v>
      </c>
      <c r="F67" s="132">
        <v>45402188</v>
      </c>
    </row>
    <row r="68" spans="1:6" s="17" customFormat="1" ht="33" customHeight="1">
      <c r="A68" s="210" t="s">
        <v>588</v>
      </c>
      <c r="B68" s="105" t="s">
        <v>517</v>
      </c>
      <c r="C68" s="239" t="s">
        <v>518</v>
      </c>
      <c r="D68" s="101"/>
      <c r="E68" s="132">
        <v>0</v>
      </c>
      <c r="F68" s="132">
        <v>0</v>
      </c>
    </row>
    <row r="69" spans="1:6" s="17" customFormat="1" ht="33" customHeight="1">
      <c r="A69" s="210" t="s">
        <v>588</v>
      </c>
      <c r="B69" s="106" t="s">
        <v>522</v>
      </c>
      <c r="C69" s="242" t="s">
        <v>695</v>
      </c>
      <c r="D69" s="101"/>
      <c r="E69" s="132">
        <v>44753414</v>
      </c>
      <c r="F69" s="132">
        <v>117338349</v>
      </c>
    </row>
    <row r="70" spans="1:6" s="17" customFormat="1" ht="33" customHeight="1">
      <c r="A70" s="210" t="s">
        <v>588</v>
      </c>
      <c r="B70" s="106" t="s">
        <v>523</v>
      </c>
      <c r="C70" s="242" t="s">
        <v>696</v>
      </c>
      <c r="D70" s="101"/>
      <c r="E70" s="132">
        <v>41237818</v>
      </c>
      <c r="F70" s="132">
        <v>41237818</v>
      </c>
    </row>
    <row r="71" spans="1:6" s="17" customFormat="1" ht="33" customHeight="1">
      <c r="A71" s="210" t="s">
        <v>588</v>
      </c>
      <c r="B71" s="106" t="s">
        <v>524</v>
      </c>
      <c r="C71" s="242" t="s">
        <v>697</v>
      </c>
      <c r="D71" s="101"/>
      <c r="E71" s="132">
        <v>33066000</v>
      </c>
      <c r="F71" s="132">
        <v>33066000</v>
      </c>
    </row>
    <row r="72" spans="1:6" s="17" customFormat="1" ht="44.25" customHeight="1">
      <c r="A72" s="210" t="s">
        <v>588</v>
      </c>
      <c r="B72" s="106" t="s">
        <v>525</v>
      </c>
      <c r="C72" s="242" t="s">
        <v>698</v>
      </c>
      <c r="D72" s="101"/>
      <c r="E72" s="132">
        <v>21191764</v>
      </c>
      <c r="F72" s="132">
        <v>19747934</v>
      </c>
    </row>
    <row r="73" spans="1:6" s="17" customFormat="1" ht="30" customHeight="1">
      <c r="A73" s="210" t="s">
        <v>600</v>
      </c>
      <c r="B73" s="106" t="s">
        <v>623</v>
      </c>
      <c r="C73" s="239" t="s">
        <v>63</v>
      </c>
      <c r="D73" s="101"/>
      <c r="E73" s="132">
        <v>152400000</v>
      </c>
      <c r="F73" s="132">
        <v>130600000</v>
      </c>
    </row>
    <row r="74" spans="1:6" s="17" customFormat="1" ht="30" customHeight="1">
      <c r="A74" s="210" t="s">
        <v>588</v>
      </c>
      <c r="B74" s="105" t="s">
        <v>536</v>
      </c>
      <c r="C74" s="239" t="s">
        <v>577</v>
      </c>
      <c r="D74" s="101"/>
      <c r="E74" s="132">
        <v>152400000</v>
      </c>
      <c r="F74" s="132">
        <v>130600000</v>
      </c>
    </row>
    <row r="75" spans="1:6" s="17" customFormat="1" ht="30" customHeight="1">
      <c r="A75" s="210" t="s">
        <v>588</v>
      </c>
      <c r="B75" s="105" t="s">
        <v>578</v>
      </c>
      <c r="C75" s="239" t="s">
        <v>579</v>
      </c>
      <c r="D75" s="101"/>
      <c r="E75" s="132">
        <v>0</v>
      </c>
      <c r="F75" s="132">
        <v>0</v>
      </c>
    </row>
    <row r="76" spans="1:6" s="17" customFormat="1" ht="30" customHeight="1">
      <c r="A76" s="210" t="s">
        <v>601</v>
      </c>
      <c r="B76" s="106" t="s">
        <v>624</v>
      </c>
      <c r="C76" s="239" t="s">
        <v>10</v>
      </c>
      <c r="D76" s="101"/>
      <c r="E76" s="132">
        <v>4258746113</v>
      </c>
      <c r="F76" s="132">
        <v>3913447606</v>
      </c>
    </row>
    <row r="77" spans="1:6" s="17" customFormat="1" ht="30" customHeight="1">
      <c r="A77" s="210" t="s">
        <v>602</v>
      </c>
      <c r="B77" s="106" t="s">
        <v>625</v>
      </c>
      <c r="C77" s="239" t="s">
        <v>64</v>
      </c>
      <c r="D77" s="101"/>
      <c r="E77" s="132">
        <v>1954192571</v>
      </c>
      <c r="F77" s="132">
        <v>1743365236</v>
      </c>
    </row>
    <row r="78" spans="1:6" s="17" customFormat="1" ht="30" customHeight="1">
      <c r="A78" s="210" t="s">
        <v>588</v>
      </c>
      <c r="B78" s="106" t="s">
        <v>526</v>
      </c>
      <c r="C78" s="242" t="s">
        <v>699</v>
      </c>
      <c r="D78" s="101"/>
      <c r="E78" s="132">
        <v>1833361881</v>
      </c>
      <c r="F78" s="132">
        <v>1634883439</v>
      </c>
    </row>
    <row r="79" spans="1:6" s="17" customFormat="1" ht="30" customHeight="1">
      <c r="A79" s="210" t="s">
        <v>588</v>
      </c>
      <c r="B79" s="106" t="s">
        <v>580</v>
      </c>
      <c r="C79" s="242" t="s">
        <v>700</v>
      </c>
      <c r="D79" s="101"/>
      <c r="E79" s="132">
        <v>42607422</v>
      </c>
      <c r="F79" s="132">
        <v>37536071</v>
      </c>
    </row>
    <row r="80" spans="1:6" s="17" customFormat="1" ht="30" customHeight="1">
      <c r="A80" s="210" t="s">
        <v>588</v>
      </c>
      <c r="B80" s="213" t="s">
        <v>458</v>
      </c>
      <c r="C80" s="237" t="s">
        <v>519</v>
      </c>
      <c r="D80" s="101"/>
      <c r="E80" s="132">
        <v>37607422</v>
      </c>
      <c r="F80" s="132">
        <v>33536071</v>
      </c>
    </row>
    <row r="81" spans="1:6" s="17" customFormat="1" ht="30" customHeight="1">
      <c r="A81" s="210" t="s">
        <v>588</v>
      </c>
      <c r="B81" s="213" t="s">
        <v>406</v>
      </c>
      <c r="C81" s="237" t="s">
        <v>520</v>
      </c>
      <c r="D81" s="101"/>
      <c r="E81" s="132">
        <v>5000000</v>
      </c>
      <c r="F81" s="132">
        <v>4000000</v>
      </c>
    </row>
    <row r="82" spans="1:6" s="17" customFormat="1" ht="30" customHeight="1">
      <c r="A82" s="210" t="s">
        <v>588</v>
      </c>
      <c r="B82" s="213" t="s">
        <v>441</v>
      </c>
      <c r="C82" s="237" t="s">
        <v>521</v>
      </c>
      <c r="D82" s="101"/>
      <c r="E82" s="132">
        <v>0</v>
      </c>
      <c r="F82" s="132">
        <v>0</v>
      </c>
    </row>
    <row r="83" spans="1:6" s="17" customFormat="1" ht="30" customHeight="1">
      <c r="A83" s="210" t="s">
        <v>588</v>
      </c>
      <c r="B83" s="106" t="s">
        <v>527</v>
      </c>
      <c r="C83" s="242" t="s">
        <v>701</v>
      </c>
      <c r="D83" s="101"/>
      <c r="E83" s="132">
        <v>25855103</v>
      </c>
      <c r="F83" s="132">
        <v>23056048</v>
      </c>
    </row>
    <row r="84" spans="1:6" s="17" customFormat="1" ht="30" customHeight="1">
      <c r="A84" s="210" t="s">
        <v>588</v>
      </c>
      <c r="B84" s="106" t="s">
        <v>528</v>
      </c>
      <c r="C84" s="242" t="s">
        <v>702</v>
      </c>
      <c r="D84" s="101"/>
      <c r="E84" s="132">
        <v>41368165</v>
      </c>
      <c r="F84" s="132">
        <v>36889678</v>
      </c>
    </row>
    <row r="85" spans="1:6" s="17" customFormat="1" ht="30" customHeight="1">
      <c r="A85" s="210" t="s">
        <v>588</v>
      </c>
      <c r="B85" s="106" t="s">
        <v>529</v>
      </c>
      <c r="C85" s="242" t="s">
        <v>703</v>
      </c>
      <c r="D85" s="101"/>
      <c r="E85" s="132">
        <v>11000000</v>
      </c>
      <c r="F85" s="132">
        <v>11000000</v>
      </c>
    </row>
    <row r="86" spans="1:6" s="17" customFormat="1" ht="44.25" customHeight="1">
      <c r="A86" s="210" t="s">
        <v>588</v>
      </c>
      <c r="B86" s="105" t="s">
        <v>581</v>
      </c>
      <c r="C86" s="239" t="s">
        <v>582</v>
      </c>
      <c r="D86" s="101"/>
      <c r="E86" s="132">
        <v>0</v>
      </c>
      <c r="F86" s="132">
        <v>0</v>
      </c>
    </row>
    <row r="87" spans="1:6" s="17" customFormat="1" ht="44.25" customHeight="1">
      <c r="A87" s="210" t="s">
        <v>588</v>
      </c>
      <c r="B87" s="105" t="s">
        <v>583</v>
      </c>
      <c r="C87" s="239" t="s">
        <v>584</v>
      </c>
      <c r="D87" s="101"/>
      <c r="E87" s="132">
        <v>0</v>
      </c>
      <c r="F87" s="132">
        <v>0</v>
      </c>
    </row>
    <row r="88" spans="1:6" s="77" customFormat="1" ht="30" customHeight="1">
      <c r="A88" s="210" t="s">
        <v>25</v>
      </c>
      <c r="B88" s="105" t="s">
        <v>626</v>
      </c>
      <c r="C88" s="239" t="s">
        <v>65</v>
      </c>
      <c r="D88" s="101"/>
      <c r="E88" s="132">
        <v>232521966</v>
      </c>
      <c r="F88" s="132">
        <v>232521966</v>
      </c>
    </row>
    <row r="89" spans="1:6" s="17" customFormat="1" ht="30" customHeight="1">
      <c r="A89" s="210" t="s">
        <v>588</v>
      </c>
      <c r="B89" s="106" t="s">
        <v>466</v>
      </c>
      <c r="C89" s="239" t="s">
        <v>704</v>
      </c>
      <c r="D89" s="101"/>
      <c r="E89" s="132">
        <v>19010000</v>
      </c>
      <c r="F89" s="132">
        <v>19010000</v>
      </c>
    </row>
    <row r="90" spans="1:6" s="17" customFormat="1" ht="43.5" customHeight="1">
      <c r="A90" s="210" t="s">
        <v>588</v>
      </c>
      <c r="B90" s="105" t="s">
        <v>530</v>
      </c>
      <c r="C90" s="239" t="s">
        <v>705</v>
      </c>
      <c r="D90" s="101"/>
      <c r="E90" s="132">
        <v>37029000</v>
      </c>
      <c r="F90" s="132">
        <v>37029000</v>
      </c>
    </row>
    <row r="91" spans="1:6" s="17" customFormat="1" ht="30.65" customHeight="1">
      <c r="A91" s="210" t="s">
        <v>588</v>
      </c>
      <c r="B91" s="105" t="s">
        <v>553</v>
      </c>
      <c r="C91" s="239" t="s">
        <v>706</v>
      </c>
      <c r="D91" s="101"/>
      <c r="E91" s="132">
        <v>0</v>
      </c>
      <c r="F91" s="132">
        <v>0</v>
      </c>
    </row>
    <row r="92" spans="1:6" s="17" customFormat="1" ht="30.65" customHeight="1">
      <c r="A92" s="210" t="s">
        <v>588</v>
      </c>
      <c r="B92" s="105" t="s">
        <v>585</v>
      </c>
      <c r="C92" s="239" t="s">
        <v>471</v>
      </c>
      <c r="D92" s="101"/>
      <c r="E92" s="132">
        <v>0</v>
      </c>
      <c r="F92" s="132">
        <v>0</v>
      </c>
    </row>
    <row r="93" spans="1:6" s="17" customFormat="1" ht="31.25" customHeight="1">
      <c r="A93" s="210" t="s">
        <v>588</v>
      </c>
      <c r="B93" s="106" t="s">
        <v>467</v>
      </c>
      <c r="C93" s="239" t="s">
        <v>586</v>
      </c>
      <c r="D93" s="101"/>
      <c r="E93" s="132">
        <v>176482966</v>
      </c>
      <c r="F93" s="132">
        <v>176482966</v>
      </c>
    </row>
    <row r="94" spans="1:6" s="17" customFormat="1" ht="31.5" customHeight="1">
      <c r="A94" s="210" t="s">
        <v>588</v>
      </c>
      <c r="B94" s="129" t="s">
        <v>267</v>
      </c>
      <c r="C94" s="241" t="s">
        <v>5</v>
      </c>
      <c r="D94" s="137"/>
      <c r="E94" s="135">
        <v>7245205632</v>
      </c>
      <c r="F94" s="135">
        <v>19900625171</v>
      </c>
    </row>
    <row r="95" spans="1:6" s="17" customFormat="1" ht="45.75" customHeight="1">
      <c r="A95" s="212" t="s">
        <v>138</v>
      </c>
      <c r="B95" s="129" t="s">
        <v>627</v>
      </c>
      <c r="C95" s="241" t="s">
        <v>11</v>
      </c>
      <c r="D95" s="137"/>
      <c r="E95" s="135">
        <v>1087228467993</v>
      </c>
      <c r="F95" s="135">
        <v>1102972437948</v>
      </c>
    </row>
    <row r="96" spans="1:6" s="17" customFormat="1" ht="31.5" customHeight="1">
      <c r="A96" s="210" t="s">
        <v>587</v>
      </c>
      <c r="B96" s="106" t="s">
        <v>628</v>
      </c>
      <c r="C96" s="239" t="s">
        <v>12</v>
      </c>
      <c r="D96" s="101"/>
      <c r="E96" s="133">
        <v>281776056400</v>
      </c>
      <c r="F96" s="132">
        <v>288661129500</v>
      </c>
    </row>
    <row r="97" spans="1:6" s="17" customFormat="1" ht="31.5" customHeight="1">
      <c r="A97" s="210" t="s">
        <v>76</v>
      </c>
      <c r="B97" s="215" t="s">
        <v>629</v>
      </c>
      <c r="C97" s="239" t="s">
        <v>13</v>
      </c>
      <c r="D97" s="101"/>
      <c r="E97" s="132">
        <v>1591702396200</v>
      </c>
      <c r="F97" s="132">
        <v>1590838221400</v>
      </c>
    </row>
    <row r="98" spans="1:6" s="17" customFormat="1" ht="31.5" customHeight="1">
      <c r="A98" s="210" t="s">
        <v>79</v>
      </c>
      <c r="B98" s="215" t="s">
        <v>630</v>
      </c>
      <c r="C98" s="239" t="s">
        <v>66</v>
      </c>
      <c r="D98" s="101"/>
      <c r="E98" s="132">
        <v>-1309926339800</v>
      </c>
      <c r="F98" s="132">
        <v>-1302177091900</v>
      </c>
    </row>
    <row r="99" spans="1:6" s="17" customFormat="1" ht="31.5" customHeight="1">
      <c r="A99" s="210" t="s">
        <v>589</v>
      </c>
      <c r="B99" s="106" t="s">
        <v>631</v>
      </c>
      <c r="C99" s="239" t="s">
        <v>67</v>
      </c>
      <c r="D99" s="101"/>
      <c r="E99" s="132">
        <v>596837256741</v>
      </c>
      <c r="F99" s="132">
        <v>616740241882</v>
      </c>
    </row>
    <row r="100" spans="1:6" s="17" customFormat="1" ht="31.5" customHeight="1">
      <c r="A100" s="210" t="s">
        <v>590</v>
      </c>
      <c r="B100" s="106" t="s">
        <v>632</v>
      </c>
      <c r="C100" s="239" t="s">
        <v>14</v>
      </c>
      <c r="D100" s="101"/>
      <c r="E100" s="132">
        <v>208615154852</v>
      </c>
      <c r="F100" s="132">
        <v>197571066566</v>
      </c>
    </row>
    <row r="101" spans="1:6" s="17" customFormat="1" ht="31.5" customHeight="1">
      <c r="A101" s="210" t="s">
        <v>591</v>
      </c>
      <c r="B101" s="215" t="s">
        <v>633</v>
      </c>
      <c r="C101" s="239" t="s">
        <v>707</v>
      </c>
      <c r="D101" s="101"/>
      <c r="E101" s="132">
        <v>197571066566</v>
      </c>
      <c r="F101" s="132">
        <v>158540359056</v>
      </c>
    </row>
    <row r="102" spans="1:6" s="17" customFormat="1" ht="31.5" customHeight="1">
      <c r="A102" s="210" t="s">
        <v>592</v>
      </c>
      <c r="B102" s="215" t="s">
        <v>634</v>
      </c>
      <c r="C102" s="239" t="s">
        <v>708</v>
      </c>
      <c r="D102" s="101"/>
      <c r="E102" s="132">
        <v>11044088286</v>
      </c>
      <c r="F102" s="132">
        <v>39030707510</v>
      </c>
    </row>
    <row r="103" spans="1:6" s="17" customFormat="1" ht="45" customHeight="1">
      <c r="A103" s="212" t="s">
        <v>140</v>
      </c>
      <c r="B103" s="129" t="s">
        <v>635</v>
      </c>
      <c r="C103" s="241" t="s">
        <v>15</v>
      </c>
      <c r="D103" s="137"/>
      <c r="E103" s="134">
        <v>38584.839999999997</v>
      </c>
      <c r="F103" s="134">
        <v>38209.93</v>
      </c>
    </row>
    <row r="104" spans="1:6" s="17" customFormat="1" ht="33" customHeight="1">
      <c r="A104" s="212" t="s">
        <v>144</v>
      </c>
      <c r="B104" s="129" t="s">
        <v>636</v>
      </c>
      <c r="C104" s="241" t="s">
        <v>68</v>
      </c>
      <c r="D104" s="137"/>
      <c r="E104" s="136">
        <v>0</v>
      </c>
      <c r="F104" s="136">
        <v>0</v>
      </c>
    </row>
    <row r="105" spans="1:6" s="17" customFormat="1" ht="33" customHeight="1">
      <c r="A105" s="210" t="s">
        <v>587</v>
      </c>
      <c r="B105" s="106" t="s">
        <v>637</v>
      </c>
      <c r="C105" s="239" t="s">
        <v>69</v>
      </c>
      <c r="D105" s="101"/>
      <c r="E105" s="132">
        <v>0</v>
      </c>
      <c r="F105" s="132">
        <v>0</v>
      </c>
    </row>
    <row r="106" spans="1:6" s="17" customFormat="1" ht="47.25" customHeight="1">
      <c r="A106" s="210" t="s">
        <v>589</v>
      </c>
      <c r="B106" s="106" t="s">
        <v>638</v>
      </c>
      <c r="C106" s="239" t="s">
        <v>70</v>
      </c>
      <c r="D106" s="101"/>
      <c r="E106" s="132">
        <v>0</v>
      </c>
      <c r="F106" s="132">
        <v>0</v>
      </c>
    </row>
    <row r="107" spans="1:6" s="17" customFormat="1" ht="45" customHeight="1">
      <c r="A107" s="212" t="s">
        <v>71</v>
      </c>
      <c r="B107" s="129" t="s">
        <v>268</v>
      </c>
      <c r="C107" s="241" t="s">
        <v>71</v>
      </c>
      <c r="D107" s="137"/>
      <c r="E107" s="136"/>
      <c r="F107" s="136"/>
    </row>
    <row r="108" spans="1:6" s="17" customFormat="1" ht="30.75" customHeight="1">
      <c r="A108" s="210" t="s">
        <v>587</v>
      </c>
      <c r="B108" s="106" t="s">
        <v>639</v>
      </c>
      <c r="C108" s="239" t="s">
        <v>72</v>
      </c>
      <c r="D108" s="101"/>
      <c r="E108" s="132">
        <v>0</v>
      </c>
      <c r="F108" s="132">
        <v>0</v>
      </c>
    </row>
    <row r="109" spans="1:6" s="17" customFormat="1" ht="30.75" customHeight="1">
      <c r="A109" s="210" t="s">
        <v>589</v>
      </c>
      <c r="B109" s="106" t="s">
        <v>640</v>
      </c>
      <c r="C109" s="239" t="s">
        <v>73</v>
      </c>
      <c r="D109" s="101"/>
      <c r="E109" s="132">
        <v>0</v>
      </c>
      <c r="F109" s="132">
        <v>0</v>
      </c>
    </row>
    <row r="110" spans="1:6" s="17" customFormat="1" ht="30.75" customHeight="1">
      <c r="A110" s="210" t="s">
        <v>590</v>
      </c>
      <c r="B110" s="106" t="s">
        <v>641</v>
      </c>
      <c r="C110" s="239" t="s">
        <v>74</v>
      </c>
      <c r="D110" s="101"/>
      <c r="E110" s="132">
        <v>0</v>
      </c>
      <c r="F110" s="132">
        <v>0</v>
      </c>
    </row>
    <row r="111" spans="1:6" s="17" customFormat="1" ht="30.75" customHeight="1">
      <c r="A111" s="210" t="s">
        <v>597</v>
      </c>
      <c r="B111" s="106" t="s">
        <v>642</v>
      </c>
      <c r="C111" s="239" t="s">
        <v>75</v>
      </c>
      <c r="D111" s="101"/>
      <c r="E111" s="392">
        <v>28177605.639999978</v>
      </c>
      <c r="F111" s="392">
        <v>28866112.949999977</v>
      </c>
    </row>
    <row r="112" spans="1:6" s="17" customFormat="1">
      <c r="A112" s="351"/>
      <c r="B112" s="352"/>
      <c r="C112" s="353"/>
      <c r="D112" s="353"/>
      <c r="E112" s="354"/>
      <c r="F112" s="354"/>
    </row>
    <row r="113" spans="1:6" s="17" customFormat="1">
      <c r="A113" s="355"/>
      <c r="B113" s="356"/>
      <c r="C113" s="357"/>
      <c r="D113" s="357"/>
      <c r="E113" s="358"/>
      <c r="F113" s="358"/>
    </row>
    <row r="114" spans="1:6" s="17" customFormat="1">
      <c r="A114" s="355"/>
      <c r="B114" s="356"/>
      <c r="C114" s="357"/>
      <c r="D114" s="357"/>
      <c r="E114" s="358"/>
      <c r="F114" s="358"/>
    </row>
    <row r="115" spans="1:6" s="17" customFormat="1">
      <c r="A115" s="474" t="s">
        <v>767</v>
      </c>
      <c r="B115" s="474"/>
      <c r="C115" s="457" t="s">
        <v>768</v>
      </c>
      <c r="D115" s="457"/>
      <c r="E115" s="457"/>
      <c r="F115" s="457"/>
    </row>
    <row r="116" spans="1:6" s="17" customFormat="1">
      <c r="A116" s="10"/>
      <c r="B116" s="10"/>
      <c r="C116" s="7"/>
      <c r="D116" s="7"/>
      <c r="E116" s="11"/>
      <c r="F116" s="12"/>
    </row>
    <row r="117" spans="1:6" s="17" customFormat="1">
      <c r="A117" s="10"/>
      <c r="B117" s="10"/>
      <c r="C117" s="7"/>
      <c r="D117" s="114"/>
      <c r="E117" s="11"/>
      <c r="F117" s="12"/>
    </row>
    <row r="118" spans="1:6" s="17" customFormat="1">
      <c r="A118" s="10"/>
      <c r="B118" s="10"/>
      <c r="C118" s="7"/>
      <c r="D118" s="113"/>
      <c r="E118" s="11"/>
      <c r="F118" s="12"/>
    </row>
    <row r="119" spans="1:6" s="17" customFormat="1">
      <c r="A119" s="10"/>
      <c r="B119" s="10"/>
      <c r="C119" s="7"/>
      <c r="D119" s="113"/>
      <c r="E119" s="11"/>
      <c r="F119" s="12"/>
    </row>
    <row r="120" spans="1:6" s="17" customFormat="1">
      <c r="A120" s="10"/>
      <c r="B120" s="10"/>
      <c r="C120" s="7"/>
      <c r="D120" s="113"/>
      <c r="E120" s="11"/>
      <c r="F120" s="12"/>
    </row>
    <row r="121" spans="1:6" s="17" customFormat="1">
      <c r="A121" s="10"/>
      <c r="B121" s="10"/>
      <c r="C121" s="7"/>
      <c r="D121" s="113"/>
      <c r="E121" s="11"/>
      <c r="F121" s="12"/>
    </row>
    <row r="122" spans="1:6" s="17" customFormat="1">
      <c r="A122" s="10"/>
      <c r="B122" s="10"/>
      <c r="C122" s="7"/>
      <c r="D122" s="113"/>
      <c r="E122" s="11"/>
      <c r="F122" s="12"/>
    </row>
    <row r="123" spans="1:6" s="17" customFormat="1">
      <c r="A123" s="10"/>
      <c r="B123" s="10"/>
      <c r="C123" s="7"/>
      <c r="D123" s="7"/>
      <c r="E123" s="11"/>
      <c r="F123" s="12"/>
    </row>
    <row r="124" spans="1:6" s="17" customFormat="1">
      <c r="A124" s="10"/>
      <c r="B124" s="10"/>
      <c r="C124" s="7"/>
      <c r="D124" s="7"/>
      <c r="E124" s="11"/>
      <c r="F124" s="12"/>
    </row>
    <row r="125" spans="1:6" s="17" customFormat="1">
      <c r="A125" s="10"/>
      <c r="B125" s="10"/>
      <c r="C125" s="7"/>
      <c r="D125" s="7"/>
      <c r="E125" s="11"/>
      <c r="F125" s="12"/>
    </row>
    <row r="126" spans="1:6" s="17" customFormat="1">
      <c r="A126" s="10"/>
      <c r="B126" s="10"/>
      <c r="C126" s="7"/>
      <c r="D126" s="7"/>
      <c r="E126" s="11"/>
      <c r="F126" s="12"/>
    </row>
    <row r="127" spans="1:6" s="17" customFormat="1">
      <c r="A127" s="10"/>
      <c r="B127" s="10"/>
      <c r="C127" s="7"/>
      <c r="D127" s="7"/>
      <c r="E127" s="11"/>
      <c r="F127" s="12"/>
    </row>
    <row r="128" spans="1:6" s="17" customFormat="1">
      <c r="A128" s="458" t="s">
        <v>770</v>
      </c>
      <c r="B128" s="458"/>
      <c r="C128" s="475" t="s">
        <v>775</v>
      </c>
      <c r="D128" s="475"/>
      <c r="E128" s="475"/>
      <c r="F128" s="272" t="s">
        <v>770</v>
      </c>
    </row>
    <row r="129" spans="1:6" s="17" customFormat="1">
      <c r="A129" s="457" t="s">
        <v>782</v>
      </c>
      <c r="B129" s="457"/>
      <c r="C129" s="478" t="s">
        <v>776</v>
      </c>
      <c r="D129" s="478"/>
      <c r="E129" s="478"/>
      <c r="F129" s="265" t="s">
        <v>777</v>
      </c>
    </row>
    <row r="130" spans="1:6" s="254" customFormat="1" ht="21" customHeight="1">
      <c r="A130" s="456" t="s">
        <v>783</v>
      </c>
      <c r="B130" s="456"/>
      <c r="C130" s="476" t="s">
        <v>778</v>
      </c>
      <c r="D130" s="477"/>
      <c r="E130" s="477"/>
      <c r="F130" s="396" t="s">
        <v>779</v>
      </c>
    </row>
    <row r="131" spans="1:6" s="17" customFormat="1">
      <c r="A131" s="207"/>
      <c r="B131" s="207"/>
      <c r="C131" s="207"/>
      <c r="D131" s="253"/>
      <c r="E131" s="253"/>
      <c r="F131" s="253"/>
    </row>
    <row r="132" spans="1:6" s="17" customFormat="1"/>
    <row r="133" spans="1:6" s="17" customFormat="1"/>
    <row r="134" spans="1:6" s="17" customFormat="1"/>
    <row r="135" spans="1:6" s="17" customFormat="1"/>
    <row r="136" spans="1:6" s="17" customFormat="1"/>
    <row r="137" spans="1:6" s="17" customFormat="1"/>
    <row r="138" spans="1:6" s="17" customFormat="1"/>
    <row r="139" spans="1:6" s="17" customFormat="1"/>
    <row r="140" spans="1:6" s="17" customFormat="1"/>
    <row r="141" spans="1:6" s="17" customFormat="1"/>
    <row r="142" spans="1:6" s="17" customFormat="1"/>
    <row r="143" spans="1:6" s="17" customFormat="1"/>
    <row r="144" spans="1:6" s="17" customFormat="1"/>
    <row r="145" spans="1:1" s="17" customFormat="1">
      <c r="A145" s="13"/>
    </row>
  </sheetData>
  <mergeCells count="20">
    <mergeCell ref="C13:F13"/>
    <mergeCell ref="C14:F14"/>
    <mergeCell ref="C12:F12"/>
    <mergeCell ref="C8:F8"/>
    <mergeCell ref="C10:F10"/>
    <mergeCell ref="C11:F11"/>
    <mergeCell ref="C9:F9"/>
    <mergeCell ref="B1:F1"/>
    <mergeCell ref="B2:F2"/>
    <mergeCell ref="C7:F7"/>
    <mergeCell ref="A3:F4"/>
    <mergeCell ref="A5:F5"/>
    <mergeCell ref="A115:B115"/>
    <mergeCell ref="C115:F115"/>
    <mergeCell ref="A128:B128"/>
    <mergeCell ref="C128:E128"/>
    <mergeCell ref="A130:B130"/>
    <mergeCell ref="C130:E130"/>
    <mergeCell ref="A129:B129"/>
    <mergeCell ref="C129:E129"/>
  </mergeCells>
  <printOptions horizontalCentered="1"/>
  <pageMargins left="0.47" right="0.25" top="0.53" bottom="0.56000000000000005" header="0.22" footer="0.3"/>
  <pageSetup scale="7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101"/>
  <sheetViews>
    <sheetView showGridLines="0" view="pageBreakPreview" topLeftCell="A91" zoomScale="85" zoomScaleNormal="100" zoomScaleSheetLayoutView="85" workbookViewId="0">
      <selection activeCell="C9" sqref="C9:F9"/>
    </sheetView>
  </sheetViews>
  <sheetFormatPr defaultColWidth="9.08984375" defaultRowHeight="14.5"/>
  <cols>
    <col min="1" max="1" width="9.08984375" style="201"/>
    <col min="2" max="2" width="48.36328125" style="201" customWidth="1"/>
    <col min="3" max="3" width="11" style="201" bestFit="1" customWidth="1"/>
    <col min="4" max="4" width="23.6328125" style="384" customWidth="1"/>
    <col min="5" max="5" width="20.90625" style="384" bestFit="1" customWidth="1"/>
    <col min="6" max="6" width="16.54296875" style="201" customWidth="1"/>
    <col min="7" max="7" width="16.453125" style="201" bestFit="1" customWidth="1"/>
    <col min="8" max="8" width="17.08984375" style="201" bestFit="1" customWidth="1"/>
    <col min="9" max="16384" width="9.08984375" style="201"/>
  </cols>
  <sheetData>
    <row r="1" spans="1:6" ht="23.25" customHeight="1">
      <c r="A1" s="488" t="s">
        <v>269</v>
      </c>
      <c r="B1" s="488"/>
      <c r="C1" s="488"/>
      <c r="D1" s="488"/>
      <c r="E1" s="488"/>
      <c r="F1" s="488"/>
    </row>
    <row r="2" spans="1:6" ht="25.5" customHeight="1">
      <c r="A2" s="462" t="s">
        <v>857</v>
      </c>
      <c r="B2" s="462"/>
      <c r="C2" s="462"/>
      <c r="D2" s="462"/>
      <c r="E2" s="462"/>
      <c r="F2" s="462"/>
    </row>
    <row r="3" spans="1:6" ht="15" customHeight="1">
      <c r="A3" s="463" t="s">
        <v>270</v>
      </c>
      <c r="B3" s="463"/>
      <c r="C3" s="463"/>
      <c r="D3" s="463"/>
      <c r="E3" s="463"/>
      <c r="F3" s="463"/>
    </row>
    <row r="4" spans="1:6" ht="21.65" customHeight="1">
      <c r="A4" s="463"/>
      <c r="B4" s="463"/>
      <c r="C4" s="463"/>
      <c r="D4" s="463"/>
      <c r="E4" s="463"/>
      <c r="F4" s="463"/>
    </row>
    <row r="5" spans="1:6">
      <c r="A5" s="464" t="s">
        <v>1003</v>
      </c>
      <c r="B5" s="464"/>
      <c r="C5" s="464"/>
      <c r="D5" s="464"/>
      <c r="E5" s="464"/>
      <c r="F5" s="464"/>
    </row>
    <row r="6" spans="1:6">
      <c r="A6" s="365"/>
      <c r="B6" s="365"/>
      <c r="C6" s="365"/>
      <c r="D6" s="365"/>
      <c r="E6" s="365"/>
      <c r="F6" s="366"/>
    </row>
    <row r="7" spans="1:6">
      <c r="A7" s="452" t="s">
        <v>430</v>
      </c>
      <c r="B7" s="452"/>
      <c r="C7" s="483" t="s">
        <v>437</v>
      </c>
      <c r="D7" s="483"/>
      <c r="E7" s="483"/>
      <c r="F7" s="483"/>
    </row>
    <row r="8" spans="1:6" ht="15" customHeight="1">
      <c r="A8" s="485" t="s">
        <v>848</v>
      </c>
      <c r="B8" s="485"/>
      <c r="C8" s="486" t="s">
        <v>500</v>
      </c>
      <c r="D8" s="486"/>
      <c r="E8" s="486"/>
      <c r="F8" s="486"/>
    </row>
    <row r="9" spans="1:6" ht="15" customHeight="1">
      <c r="A9" s="452" t="s">
        <v>431</v>
      </c>
      <c r="B9" s="452"/>
      <c r="C9" s="483" t="s">
        <v>907</v>
      </c>
      <c r="D9" s="483"/>
      <c r="E9" s="483"/>
      <c r="F9" s="483"/>
    </row>
    <row r="10" spans="1:6" ht="15" customHeight="1">
      <c r="A10" s="455" t="s">
        <v>432</v>
      </c>
      <c r="B10" s="455"/>
      <c r="C10" s="486" t="s">
        <v>433</v>
      </c>
      <c r="D10" s="486"/>
      <c r="E10" s="486"/>
      <c r="F10" s="486"/>
    </row>
    <row r="11" spans="1:6" ht="15" customHeight="1">
      <c r="A11" s="452" t="s">
        <v>429</v>
      </c>
      <c r="B11" s="452"/>
      <c r="C11" s="483" t="s">
        <v>474</v>
      </c>
      <c r="D11" s="483"/>
      <c r="E11" s="483"/>
      <c r="F11" s="483"/>
    </row>
    <row r="12" spans="1:6" ht="15" customHeight="1">
      <c r="A12" s="454" t="s">
        <v>427</v>
      </c>
      <c r="B12" s="454"/>
      <c r="C12" s="486" t="s">
        <v>473</v>
      </c>
      <c r="D12" s="486"/>
      <c r="E12" s="486"/>
      <c r="F12" s="486"/>
    </row>
    <row r="13" spans="1:6" ht="15" customHeight="1">
      <c r="A13" s="451" t="s">
        <v>193</v>
      </c>
      <c r="B13" s="451"/>
      <c r="C13" s="482" t="s">
        <v>903</v>
      </c>
      <c r="D13" s="483"/>
      <c r="E13" s="483"/>
      <c r="F13" s="483"/>
    </row>
    <row r="14" spans="1:6">
      <c r="A14" s="484" t="s">
        <v>194</v>
      </c>
      <c r="B14" s="484"/>
      <c r="C14" s="487">
        <v>43556</v>
      </c>
      <c r="D14" s="487"/>
      <c r="E14" s="487"/>
      <c r="F14" s="487"/>
    </row>
    <row r="15" spans="1:6">
      <c r="A15" s="367"/>
      <c r="B15" s="367"/>
      <c r="C15" s="188"/>
      <c r="D15" s="200"/>
      <c r="E15" s="200"/>
      <c r="F15" s="188"/>
    </row>
    <row r="16" spans="1:6" ht="17" customHeight="1">
      <c r="A16" s="186" t="s">
        <v>50</v>
      </c>
      <c r="B16" s="187" t="s">
        <v>460</v>
      </c>
      <c r="C16" s="188"/>
      <c r="D16" s="200"/>
      <c r="E16" s="200"/>
      <c r="F16" s="188"/>
    </row>
    <row r="17" spans="1:8" ht="52.5" customHeight="1">
      <c r="A17" s="39" t="s">
        <v>271</v>
      </c>
      <c r="B17" s="39" t="s">
        <v>272</v>
      </c>
      <c r="C17" s="39" t="s">
        <v>273</v>
      </c>
      <c r="D17" s="40" t="s">
        <v>902</v>
      </c>
      <c r="E17" s="40" t="s">
        <v>897</v>
      </c>
      <c r="F17" s="359" t="s">
        <v>274</v>
      </c>
    </row>
    <row r="18" spans="1:8" ht="32.25" customHeight="1">
      <c r="A18" s="58" t="s">
        <v>50</v>
      </c>
      <c r="B18" s="139" t="s">
        <v>275</v>
      </c>
      <c r="C18" s="42" t="s">
        <v>92</v>
      </c>
      <c r="D18" s="43"/>
      <c r="E18" s="43"/>
      <c r="F18" s="360"/>
    </row>
    <row r="19" spans="1:8" ht="32.25" customHeight="1">
      <c r="A19" s="102" t="s">
        <v>93</v>
      </c>
      <c r="B19" s="109" t="s">
        <v>276</v>
      </c>
      <c r="C19" s="103" t="s">
        <v>94</v>
      </c>
      <c r="D19" s="140">
        <v>57122604245</v>
      </c>
      <c r="E19" s="140">
        <v>62890826677</v>
      </c>
      <c r="F19" s="363">
        <v>0.84519903044901723</v>
      </c>
      <c r="G19" s="274"/>
      <c r="H19" s="274"/>
    </row>
    <row r="20" spans="1:8" ht="25">
      <c r="A20" s="104"/>
      <c r="B20" s="109" t="s">
        <v>277</v>
      </c>
      <c r="C20" s="103" t="s">
        <v>95</v>
      </c>
      <c r="D20" s="140">
        <v>0</v>
      </c>
      <c r="E20" s="140">
        <v>0</v>
      </c>
      <c r="F20" s="363" t="s">
        <v>588</v>
      </c>
      <c r="G20" s="274"/>
      <c r="H20" s="274"/>
    </row>
    <row r="21" spans="1:8" ht="25">
      <c r="A21" s="104"/>
      <c r="B21" s="109" t="s">
        <v>278</v>
      </c>
      <c r="C21" s="103" t="s">
        <v>96</v>
      </c>
      <c r="D21" s="140">
        <v>17122604245</v>
      </c>
      <c r="E21" s="140">
        <v>62890826677</v>
      </c>
      <c r="F21" s="363">
        <v>0.25334994260005184</v>
      </c>
      <c r="G21" s="274"/>
      <c r="H21" s="274"/>
    </row>
    <row r="22" spans="1:8" ht="37.5">
      <c r="A22" s="104"/>
      <c r="B22" s="109" t="s">
        <v>507</v>
      </c>
      <c r="C22" s="103" t="s">
        <v>531</v>
      </c>
      <c r="D22" s="140">
        <v>36000000</v>
      </c>
      <c r="E22" s="140">
        <v>41600000</v>
      </c>
      <c r="F22" s="363">
        <v>5.9132720105124839E-3</v>
      </c>
      <c r="G22" s="274"/>
      <c r="H22" s="274"/>
    </row>
    <row r="23" spans="1:8" s="368" customFormat="1" ht="25">
      <c r="A23" s="104"/>
      <c r="B23" s="109" t="s">
        <v>508</v>
      </c>
      <c r="C23" s="103" t="s">
        <v>532</v>
      </c>
      <c r="D23" s="140">
        <v>3836254186</v>
      </c>
      <c r="E23" s="140">
        <v>3793528204</v>
      </c>
      <c r="F23" s="363">
        <v>0.44342466188325019</v>
      </c>
      <c r="G23" s="275"/>
      <c r="H23" s="274"/>
    </row>
    <row r="24" spans="1:8" s="368" customFormat="1" ht="35.25" customHeight="1">
      <c r="A24" s="104"/>
      <c r="B24" s="109" t="s">
        <v>509</v>
      </c>
      <c r="C24" s="103" t="s">
        <v>533</v>
      </c>
      <c r="D24" s="140">
        <v>13250350059</v>
      </c>
      <c r="E24" s="140">
        <v>59055698473</v>
      </c>
      <c r="F24" s="363">
        <v>0.2507381285181014</v>
      </c>
      <c r="G24" s="275"/>
      <c r="H24" s="274"/>
    </row>
    <row r="25" spans="1:8" s="368" customFormat="1" ht="37.5">
      <c r="A25" s="104"/>
      <c r="B25" s="109" t="s">
        <v>885</v>
      </c>
      <c r="C25" s="103" t="s">
        <v>874</v>
      </c>
      <c r="D25" s="140">
        <v>0</v>
      </c>
      <c r="E25" s="140">
        <v>0</v>
      </c>
      <c r="F25" s="363" t="s">
        <v>588</v>
      </c>
      <c r="G25" s="275"/>
      <c r="H25" s="275"/>
    </row>
    <row r="26" spans="1:8" ht="32.25" customHeight="1">
      <c r="A26" s="104"/>
      <c r="B26" s="109" t="s">
        <v>279</v>
      </c>
      <c r="C26" s="103" t="s">
        <v>97</v>
      </c>
      <c r="D26" s="140">
        <v>40000000000</v>
      </c>
      <c r="E26" s="140">
        <v>0</v>
      </c>
      <c r="F26" s="363" t="s">
        <v>588</v>
      </c>
      <c r="G26" s="274"/>
      <c r="H26" s="274"/>
    </row>
    <row r="27" spans="1:8" ht="32.25" customHeight="1">
      <c r="A27" s="104" t="s">
        <v>98</v>
      </c>
      <c r="B27" s="109" t="s">
        <v>464</v>
      </c>
      <c r="C27" s="103" t="s">
        <v>99</v>
      </c>
      <c r="D27" s="140">
        <v>1030656972200</v>
      </c>
      <c r="E27" s="140">
        <v>1053398497000</v>
      </c>
      <c r="F27" s="363">
        <v>0.69308428384945342</v>
      </c>
      <c r="G27" s="274"/>
      <c r="H27" s="274"/>
    </row>
    <row r="28" spans="1:8" ht="25">
      <c r="A28" s="104"/>
      <c r="B28" s="105" t="s">
        <v>781</v>
      </c>
      <c r="C28" s="103" t="s">
        <v>100</v>
      </c>
      <c r="D28" s="140">
        <v>870509672200</v>
      </c>
      <c r="E28" s="140">
        <v>843251197000</v>
      </c>
      <c r="F28" s="363">
        <v>0.66389740445001766</v>
      </c>
      <c r="G28" s="274"/>
      <c r="H28" s="274"/>
    </row>
    <row r="29" spans="1:8" ht="25">
      <c r="A29" s="104"/>
      <c r="B29" s="105" t="s">
        <v>563</v>
      </c>
      <c r="C29" s="103" t="s">
        <v>101</v>
      </c>
      <c r="D29" s="140">
        <v>0</v>
      </c>
      <c r="E29" s="140">
        <v>0</v>
      </c>
      <c r="F29" s="363">
        <v>0</v>
      </c>
      <c r="G29" s="274"/>
      <c r="H29" s="274"/>
    </row>
    <row r="30" spans="1:8" ht="25">
      <c r="A30" s="104"/>
      <c r="B30" s="105" t="s">
        <v>281</v>
      </c>
      <c r="C30" s="103" t="s">
        <v>238</v>
      </c>
      <c r="D30" s="140">
        <v>80147300000</v>
      </c>
      <c r="E30" s="140">
        <v>80147300000</v>
      </c>
      <c r="F30" s="363" t="s">
        <v>588</v>
      </c>
      <c r="G30" s="274"/>
      <c r="H30" s="274"/>
    </row>
    <row r="31" spans="1:8" ht="25">
      <c r="A31" s="104"/>
      <c r="B31" s="105" t="s">
        <v>534</v>
      </c>
      <c r="C31" s="103" t="s">
        <v>240</v>
      </c>
      <c r="D31" s="140">
        <v>80000000000</v>
      </c>
      <c r="E31" s="140">
        <v>130000000000</v>
      </c>
      <c r="F31" s="363">
        <v>1.0126582278481013</v>
      </c>
      <c r="G31" s="274"/>
      <c r="H31" s="274"/>
    </row>
    <row r="32" spans="1:8" s="369" customFormat="1" ht="32.25" customHeight="1">
      <c r="A32" s="117"/>
      <c r="B32" s="105" t="s">
        <v>280</v>
      </c>
      <c r="C32" s="103" t="s">
        <v>282</v>
      </c>
      <c r="D32" s="140">
        <v>0</v>
      </c>
      <c r="E32" s="140">
        <v>0</v>
      </c>
      <c r="F32" s="363" t="s">
        <v>588</v>
      </c>
      <c r="G32" s="274"/>
      <c r="H32" s="274"/>
    </row>
    <row r="33" spans="1:8" s="369" customFormat="1" ht="25">
      <c r="A33" s="117"/>
      <c r="B33" s="105" t="s">
        <v>643</v>
      </c>
      <c r="C33" s="103" t="s">
        <v>469</v>
      </c>
      <c r="D33" s="140">
        <v>0</v>
      </c>
      <c r="E33" s="140">
        <v>0</v>
      </c>
      <c r="F33" s="363" t="s">
        <v>588</v>
      </c>
      <c r="G33" s="274"/>
      <c r="H33" s="274"/>
    </row>
    <row r="34" spans="1:8" s="368" customFormat="1" ht="25">
      <c r="A34" s="117"/>
      <c r="B34" s="105" t="s">
        <v>875</v>
      </c>
      <c r="C34" s="103" t="s">
        <v>645</v>
      </c>
      <c r="D34" s="140">
        <v>0</v>
      </c>
      <c r="E34" s="140">
        <v>0</v>
      </c>
      <c r="F34" s="363" t="s">
        <v>588</v>
      </c>
      <c r="G34" s="275"/>
      <c r="H34" s="275"/>
    </row>
    <row r="35" spans="1:8" s="368" customFormat="1" ht="25">
      <c r="A35" s="117"/>
      <c r="B35" s="105" t="s">
        <v>644</v>
      </c>
      <c r="C35" s="103" t="s">
        <v>876</v>
      </c>
      <c r="D35" s="140">
        <v>0</v>
      </c>
      <c r="E35" s="140">
        <v>0</v>
      </c>
      <c r="F35" s="363" t="s">
        <v>588</v>
      </c>
      <c r="G35" s="275"/>
      <c r="H35" s="275"/>
    </row>
    <row r="36" spans="1:8" ht="32.25" customHeight="1">
      <c r="A36" s="104" t="s">
        <v>102</v>
      </c>
      <c r="B36" s="109" t="s">
        <v>646</v>
      </c>
      <c r="C36" s="103" t="s">
        <v>103</v>
      </c>
      <c r="D36" s="140">
        <v>3652211507</v>
      </c>
      <c r="E36" s="140">
        <v>2414191096</v>
      </c>
      <c r="F36" s="363">
        <v>3.1023244909747292</v>
      </c>
      <c r="G36" s="274"/>
      <c r="H36" s="274"/>
    </row>
    <row r="37" spans="1:8" ht="25">
      <c r="A37" s="104"/>
      <c r="B37" s="109" t="s">
        <v>510</v>
      </c>
      <c r="C37" s="103" t="s">
        <v>647</v>
      </c>
      <c r="D37" s="140">
        <v>1387280000</v>
      </c>
      <c r="E37" s="140">
        <v>866400000</v>
      </c>
      <c r="F37" s="363">
        <v>1.1784073051603312</v>
      </c>
      <c r="G37" s="274"/>
      <c r="H37" s="274"/>
    </row>
    <row r="38" spans="1:8" ht="25">
      <c r="A38" s="104"/>
      <c r="B38" s="109" t="s">
        <v>648</v>
      </c>
      <c r="C38" s="103" t="s">
        <v>649</v>
      </c>
      <c r="D38" s="140">
        <v>2264931507</v>
      </c>
      <c r="E38" s="140">
        <v>1547791096</v>
      </c>
      <c r="F38" s="363" t="s">
        <v>588</v>
      </c>
      <c r="G38" s="274"/>
      <c r="H38" s="274"/>
    </row>
    <row r="39" spans="1:8" s="368" customFormat="1" ht="32.4" customHeight="1">
      <c r="A39" s="104" t="s">
        <v>104</v>
      </c>
      <c r="B39" s="109" t="s">
        <v>283</v>
      </c>
      <c r="C39" s="103" t="s">
        <v>105</v>
      </c>
      <c r="D39" s="140">
        <v>3908285673</v>
      </c>
      <c r="E39" s="140">
        <v>5035948346</v>
      </c>
      <c r="F39" s="363">
        <v>1.17968670656455</v>
      </c>
      <c r="G39" s="274"/>
      <c r="H39" s="274"/>
    </row>
    <row r="40" spans="1:8" ht="25">
      <c r="A40" s="104"/>
      <c r="B40" s="106" t="s">
        <v>650</v>
      </c>
      <c r="C40" s="41" t="s">
        <v>443</v>
      </c>
      <c r="D40" s="140">
        <v>24109588</v>
      </c>
      <c r="E40" s="140">
        <v>0</v>
      </c>
      <c r="F40" s="363" t="s">
        <v>588</v>
      </c>
      <c r="G40" s="274"/>
      <c r="H40" s="274"/>
    </row>
    <row r="41" spans="1:8" ht="30.65" customHeight="1">
      <c r="A41" s="104"/>
      <c r="B41" s="106" t="s">
        <v>651</v>
      </c>
      <c r="C41" s="41" t="s">
        <v>444</v>
      </c>
      <c r="D41" s="140">
        <v>3884176085</v>
      </c>
      <c r="E41" s="140">
        <v>5035948346</v>
      </c>
      <c r="F41" s="363">
        <v>1.172409408320761</v>
      </c>
      <c r="G41" s="274"/>
      <c r="H41" s="274"/>
    </row>
    <row r="42" spans="1:8" ht="32.25" customHeight="1">
      <c r="A42" s="104" t="s">
        <v>106</v>
      </c>
      <c r="B42" s="109" t="s">
        <v>284</v>
      </c>
      <c r="C42" s="103" t="s">
        <v>107</v>
      </c>
      <c r="D42" s="140">
        <v>0</v>
      </c>
      <c r="E42" s="140">
        <v>0</v>
      </c>
      <c r="F42" s="363">
        <v>0</v>
      </c>
      <c r="G42" s="274"/>
      <c r="H42" s="274"/>
    </row>
    <row r="43" spans="1:8" s="369" customFormat="1" ht="33" customHeight="1">
      <c r="A43" s="104" t="s">
        <v>108</v>
      </c>
      <c r="B43" s="109" t="s">
        <v>285</v>
      </c>
      <c r="C43" s="103" t="s">
        <v>109</v>
      </c>
      <c r="D43" s="450">
        <v>-866400000</v>
      </c>
      <c r="E43" s="450">
        <v>-866400000</v>
      </c>
      <c r="F43" s="363">
        <v>1</v>
      </c>
      <c r="G43" s="274"/>
      <c r="H43" s="274"/>
    </row>
    <row r="44" spans="1:8" ht="33" customHeight="1">
      <c r="A44" s="104"/>
      <c r="B44" s="109" t="s">
        <v>652</v>
      </c>
      <c r="C44" s="103" t="s">
        <v>722</v>
      </c>
      <c r="D44" s="140">
        <v>0</v>
      </c>
      <c r="E44" s="140">
        <v>0</v>
      </c>
      <c r="F44" s="363" t="s">
        <v>588</v>
      </c>
      <c r="G44" s="274"/>
      <c r="H44" s="274"/>
    </row>
    <row r="45" spans="1:8" s="369" customFormat="1" ht="33" customHeight="1">
      <c r="A45" s="104"/>
      <c r="B45" s="109" t="s">
        <v>615</v>
      </c>
      <c r="C45" s="103" t="s">
        <v>653</v>
      </c>
      <c r="D45" s="450">
        <v>-866400000</v>
      </c>
      <c r="E45" s="450">
        <v>-866400000</v>
      </c>
      <c r="F45" s="363">
        <v>1</v>
      </c>
      <c r="G45" s="274"/>
      <c r="H45" s="274"/>
    </row>
    <row r="46" spans="1:8" s="369" customFormat="1" ht="33" customHeight="1">
      <c r="A46" s="104" t="s">
        <v>110</v>
      </c>
      <c r="B46" s="109" t="s">
        <v>286</v>
      </c>
      <c r="C46" s="103" t="s">
        <v>111</v>
      </c>
      <c r="D46" s="140">
        <v>0</v>
      </c>
      <c r="E46" s="140">
        <v>0</v>
      </c>
      <c r="F46" s="363" t="s">
        <v>588</v>
      </c>
      <c r="G46" s="274"/>
      <c r="H46" s="274"/>
    </row>
    <row r="47" spans="1:8" ht="33" customHeight="1">
      <c r="A47" s="58" t="s">
        <v>112</v>
      </c>
      <c r="B47" s="139" t="s">
        <v>266</v>
      </c>
      <c r="C47" s="42" t="s">
        <v>113</v>
      </c>
      <c r="D47" s="141">
        <v>1094473673625</v>
      </c>
      <c r="E47" s="141">
        <v>1122873063119</v>
      </c>
      <c r="F47" s="362">
        <v>0.70135603375660538</v>
      </c>
      <c r="G47" s="274"/>
      <c r="H47" s="274"/>
    </row>
    <row r="48" spans="1:8" ht="33" customHeight="1">
      <c r="A48" s="58" t="s">
        <v>60</v>
      </c>
      <c r="B48" s="139" t="s">
        <v>287</v>
      </c>
      <c r="C48" s="42" t="s">
        <v>114</v>
      </c>
      <c r="D48" s="142"/>
      <c r="E48" s="142"/>
      <c r="F48" s="362"/>
      <c r="G48" s="274"/>
      <c r="H48" s="274"/>
    </row>
    <row r="49" spans="1:8" ht="33" customHeight="1">
      <c r="A49" s="102" t="s">
        <v>115</v>
      </c>
      <c r="B49" s="109" t="s">
        <v>288</v>
      </c>
      <c r="C49" s="103" t="s">
        <v>116</v>
      </c>
      <c r="D49" s="140">
        <v>0</v>
      </c>
      <c r="E49" s="140">
        <v>13511113000</v>
      </c>
      <c r="F49" s="363">
        <v>0</v>
      </c>
      <c r="G49" s="274"/>
      <c r="H49" s="274"/>
    </row>
    <row r="50" spans="1:8" ht="33" customHeight="1">
      <c r="A50" s="102" t="s">
        <v>117</v>
      </c>
      <c r="B50" s="109" t="s">
        <v>289</v>
      </c>
      <c r="C50" s="103" t="s">
        <v>118</v>
      </c>
      <c r="D50" s="140">
        <v>7245205632</v>
      </c>
      <c r="E50" s="140">
        <v>6389512171</v>
      </c>
      <c r="F50" s="363">
        <v>0.32353581850884244</v>
      </c>
      <c r="G50" s="274"/>
      <c r="H50" s="274"/>
    </row>
    <row r="51" spans="1:8" s="368" customFormat="1" ht="33" customHeight="1">
      <c r="A51" s="102"/>
      <c r="B51" s="109" t="s">
        <v>541</v>
      </c>
      <c r="C51" s="103" t="s">
        <v>542</v>
      </c>
      <c r="D51" s="140">
        <v>4411146113</v>
      </c>
      <c r="E51" s="140">
        <v>4044047606</v>
      </c>
      <c r="F51" s="363">
        <v>0.28319612540924394</v>
      </c>
      <c r="G51" s="275"/>
      <c r="H51" s="274"/>
    </row>
    <row r="52" spans="1:8" s="369" customFormat="1" ht="33" customHeight="1">
      <c r="A52" s="102"/>
      <c r="B52" s="109" t="s">
        <v>536</v>
      </c>
      <c r="C52" s="103" t="s">
        <v>436</v>
      </c>
      <c r="D52" s="140">
        <v>152400000</v>
      </c>
      <c r="E52" s="140">
        <v>130600000</v>
      </c>
      <c r="F52" s="363">
        <v>2.4991800590357494E-2</v>
      </c>
      <c r="G52" s="274"/>
      <c r="H52" s="274"/>
    </row>
    <row r="53" spans="1:8" ht="33" customHeight="1">
      <c r="A53" s="102"/>
      <c r="B53" s="109" t="s">
        <v>578</v>
      </c>
      <c r="C53" s="103" t="s">
        <v>544</v>
      </c>
      <c r="D53" s="140">
        <v>0</v>
      </c>
      <c r="E53" s="140">
        <v>0</v>
      </c>
      <c r="F53" s="363" t="s">
        <v>588</v>
      </c>
      <c r="G53" s="274"/>
      <c r="H53" s="274"/>
    </row>
    <row r="54" spans="1:8" ht="33" customHeight="1">
      <c r="A54" s="102"/>
      <c r="B54" s="109" t="s">
        <v>654</v>
      </c>
      <c r="C54" s="103" t="s">
        <v>655</v>
      </c>
      <c r="D54" s="140">
        <v>0</v>
      </c>
      <c r="E54" s="140">
        <v>0</v>
      </c>
      <c r="F54" s="363" t="s">
        <v>588</v>
      </c>
      <c r="G54" s="274"/>
      <c r="H54" s="274"/>
    </row>
    <row r="55" spans="1:8" s="369" customFormat="1" ht="33" customHeight="1">
      <c r="A55" s="102"/>
      <c r="B55" s="109" t="s">
        <v>537</v>
      </c>
      <c r="C55" s="103" t="s">
        <v>656</v>
      </c>
      <c r="D55" s="140">
        <v>4258746113</v>
      </c>
      <c r="E55" s="140">
        <v>3913447606</v>
      </c>
      <c r="F55" s="363">
        <v>0.44931567924666405</v>
      </c>
      <c r="G55" s="274"/>
      <c r="H55" s="274"/>
    </row>
    <row r="56" spans="1:8" ht="33" customHeight="1">
      <c r="A56" s="102"/>
      <c r="B56" s="109" t="s">
        <v>292</v>
      </c>
      <c r="C56" s="103" t="s">
        <v>543</v>
      </c>
      <c r="D56" s="140">
        <v>30142233</v>
      </c>
      <c r="E56" s="140">
        <v>4411936</v>
      </c>
      <c r="F56" s="363">
        <v>0.16180442630832673</v>
      </c>
      <c r="G56" s="274"/>
      <c r="H56" s="274"/>
    </row>
    <row r="57" spans="1:8" ht="50">
      <c r="A57" s="102"/>
      <c r="B57" s="109" t="s">
        <v>298</v>
      </c>
      <c r="C57" s="103" t="s">
        <v>241</v>
      </c>
      <c r="D57" s="140">
        <v>411893233</v>
      </c>
      <c r="E57" s="140">
        <v>68448138</v>
      </c>
      <c r="F57" s="363">
        <v>0.116291457230059</v>
      </c>
      <c r="G57" s="274"/>
      <c r="H57" s="274"/>
    </row>
    <row r="58" spans="1:8" ht="32.25" customHeight="1">
      <c r="A58" s="102"/>
      <c r="B58" s="109" t="s">
        <v>290</v>
      </c>
      <c r="C58" s="103" t="s">
        <v>247</v>
      </c>
      <c r="D58" s="140">
        <v>39925000</v>
      </c>
      <c r="E58" s="140">
        <v>39925000</v>
      </c>
      <c r="F58" s="363">
        <v>1</v>
      </c>
      <c r="G58" s="274"/>
      <c r="H58" s="274"/>
    </row>
    <row r="59" spans="1:8" ht="32.25" customHeight="1">
      <c r="A59" s="102"/>
      <c r="B59" s="109" t="s">
        <v>291</v>
      </c>
      <c r="C59" s="103" t="s">
        <v>243</v>
      </c>
      <c r="D59" s="140">
        <v>21191764</v>
      </c>
      <c r="E59" s="140">
        <v>19747934</v>
      </c>
      <c r="F59" s="363">
        <v>0.99999995281185872</v>
      </c>
      <c r="G59" s="274"/>
      <c r="H59" s="274"/>
    </row>
    <row r="60" spans="1:8" ht="32.25" customHeight="1">
      <c r="A60" s="102"/>
      <c r="B60" s="109" t="s">
        <v>535</v>
      </c>
      <c r="C60" s="103" t="s">
        <v>250</v>
      </c>
      <c r="D60" s="140">
        <v>1833361881</v>
      </c>
      <c r="E60" s="140">
        <v>1634883439</v>
      </c>
      <c r="F60" s="363">
        <v>0.78271603566405223</v>
      </c>
      <c r="G60" s="274"/>
      <c r="H60" s="274"/>
    </row>
    <row r="61" spans="1:8" ht="32.25" customHeight="1">
      <c r="A61" s="102"/>
      <c r="B61" s="109" t="s">
        <v>294</v>
      </c>
      <c r="C61" s="103" t="s">
        <v>246</v>
      </c>
      <c r="D61" s="140">
        <v>25855103</v>
      </c>
      <c r="E61" s="140">
        <v>23056048</v>
      </c>
      <c r="F61" s="363">
        <v>0.78271197007500171</v>
      </c>
      <c r="G61" s="274"/>
      <c r="H61" s="274"/>
    </row>
    <row r="62" spans="1:8" ht="32.25" customHeight="1">
      <c r="A62" s="102"/>
      <c r="B62" s="109" t="s">
        <v>293</v>
      </c>
      <c r="C62" s="103" t="s">
        <v>245</v>
      </c>
      <c r="D62" s="140">
        <v>41368165</v>
      </c>
      <c r="E62" s="140">
        <v>36889678</v>
      </c>
      <c r="F62" s="363">
        <v>0.78271199163041882</v>
      </c>
      <c r="G62" s="274"/>
      <c r="H62" s="274"/>
    </row>
    <row r="63" spans="1:8" s="369" customFormat="1" ht="32.25" customHeight="1">
      <c r="A63" s="102"/>
      <c r="B63" s="109" t="s">
        <v>514</v>
      </c>
      <c r="C63" s="103" t="s">
        <v>249</v>
      </c>
      <c r="D63" s="140">
        <v>25135520</v>
      </c>
      <c r="E63" s="140">
        <v>45402188</v>
      </c>
      <c r="F63" s="363">
        <v>0.39235082965381635</v>
      </c>
      <c r="G63" s="276"/>
      <c r="H63" s="274"/>
    </row>
    <row r="64" spans="1:8" ht="32.25" customHeight="1">
      <c r="A64" s="102"/>
      <c r="B64" s="109" t="s">
        <v>297</v>
      </c>
      <c r="C64" s="103" t="s">
        <v>545</v>
      </c>
      <c r="D64" s="140">
        <v>25135520</v>
      </c>
      <c r="E64" s="140">
        <v>45402188</v>
      </c>
      <c r="F64" s="363">
        <v>0.39235082965381635</v>
      </c>
      <c r="G64" s="274"/>
      <c r="H64" s="274"/>
    </row>
    <row r="65" spans="1:8" ht="32.25" customHeight="1">
      <c r="A65" s="102"/>
      <c r="B65" s="109" t="s">
        <v>405</v>
      </c>
      <c r="C65" s="103" t="s">
        <v>546</v>
      </c>
      <c r="D65" s="140">
        <v>0</v>
      </c>
      <c r="E65" s="140">
        <v>0</v>
      </c>
      <c r="F65" s="363" t="s">
        <v>588</v>
      </c>
      <c r="G65" s="274"/>
      <c r="H65" s="274"/>
    </row>
    <row r="66" spans="1:8" s="369" customFormat="1" ht="32.25" customHeight="1">
      <c r="A66" s="102"/>
      <c r="B66" s="109" t="s">
        <v>538</v>
      </c>
      <c r="C66" s="103" t="s">
        <v>421</v>
      </c>
      <c r="D66" s="140">
        <v>42607422</v>
      </c>
      <c r="E66" s="140">
        <v>37536071</v>
      </c>
      <c r="F66" s="363">
        <v>0.61618088544173077</v>
      </c>
      <c r="G66" s="276"/>
      <c r="H66" s="274"/>
    </row>
    <row r="67" spans="1:8" ht="32.25" customHeight="1">
      <c r="A67" s="102"/>
      <c r="B67" s="109" t="s">
        <v>458</v>
      </c>
      <c r="C67" s="103" t="s">
        <v>539</v>
      </c>
      <c r="D67" s="140">
        <v>37607422</v>
      </c>
      <c r="E67" s="140">
        <v>33536071</v>
      </c>
      <c r="F67" s="363">
        <v>0.78271196464638348</v>
      </c>
      <c r="G67" s="274"/>
      <c r="H67" s="274"/>
    </row>
    <row r="68" spans="1:8" ht="32.25" customHeight="1">
      <c r="A68" s="102"/>
      <c r="B68" s="109" t="s">
        <v>406</v>
      </c>
      <c r="C68" s="103" t="s">
        <v>540</v>
      </c>
      <c r="D68" s="140">
        <v>5000000</v>
      </c>
      <c r="E68" s="140">
        <v>4000000</v>
      </c>
      <c r="F68" s="363">
        <v>0.23696682464454977</v>
      </c>
      <c r="G68" s="274"/>
      <c r="H68" s="274"/>
    </row>
    <row r="69" spans="1:8" ht="32.25" customHeight="1">
      <c r="A69" s="102"/>
      <c r="B69" s="109" t="s">
        <v>441</v>
      </c>
      <c r="C69" s="103" t="s">
        <v>547</v>
      </c>
      <c r="D69" s="140">
        <v>0</v>
      </c>
      <c r="E69" s="140">
        <v>0</v>
      </c>
      <c r="F69" s="363" t="s">
        <v>588</v>
      </c>
      <c r="G69" s="274"/>
      <c r="H69" s="274"/>
    </row>
    <row r="70" spans="1:8" ht="32.25" customHeight="1">
      <c r="A70" s="102"/>
      <c r="B70" s="109" t="s">
        <v>296</v>
      </c>
      <c r="C70" s="103" t="s">
        <v>251</v>
      </c>
      <c r="D70" s="140">
        <v>44753414</v>
      </c>
      <c r="E70" s="140">
        <v>117338349</v>
      </c>
      <c r="F70" s="363">
        <v>0.33711685938261443</v>
      </c>
      <c r="G70" s="274"/>
      <c r="H70" s="274"/>
    </row>
    <row r="71" spans="1:8" ht="32.25" customHeight="1">
      <c r="A71" s="102"/>
      <c r="B71" s="109" t="s">
        <v>657</v>
      </c>
      <c r="C71" s="103" t="s">
        <v>248</v>
      </c>
      <c r="D71" s="140">
        <v>41237818</v>
      </c>
      <c r="E71" s="140">
        <v>41237818</v>
      </c>
      <c r="F71" s="363">
        <v>1.3498284949535706</v>
      </c>
      <c r="G71" s="274"/>
      <c r="H71" s="274"/>
    </row>
    <row r="72" spans="1:8" ht="32.25" customHeight="1">
      <c r="A72" s="102"/>
      <c r="B72" s="109" t="s">
        <v>658</v>
      </c>
      <c r="C72" s="103" t="s">
        <v>548</v>
      </c>
      <c r="D72" s="140">
        <v>33066000</v>
      </c>
      <c r="E72" s="140">
        <v>33066000</v>
      </c>
      <c r="F72" s="363">
        <v>1.0545303088964395</v>
      </c>
      <c r="G72" s="274"/>
      <c r="H72" s="274"/>
    </row>
    <row r="73" spans="1:8" ht="32.25" customHeight="1">
      <c r="A73" s="102"/>
      <c r="B73" s="109" t="s">
        <v>295</v>
      </c>
      <c r="C73" s="103" t="s">
        <v>244</v>
      </c>
      <c r="D73" s="140">
        <v>11000000</v>
      </c>
      <c r="E73" s="140">
        <v>11000000</v>
      </c>
      <c r="F73" s="363">
        <v>0.33333333333333331</v>
      </c>
      <c r="G73" s="274"/>
      <c r="H73" s="274"/>
    </row>
    <row r="74" spans="1:8" ht="40.5" customHeight="1">
      <c r="A74" s="102"/>
      <c r="B74" s="109" t="s">
        <v>581</v>
      </c>
      <c r="C74" s="103" t="s">
        <v>242</v>
      </c>
      <c r="D74" s="140">
        <v>0</v>
      </c>
      <c r="E74" s="140">
        <v>0</v>
      </c>
      <c r="F74" s="363" t="s">
        <v>588</v>
      </c>
      <c r="G74" s="274"/>
      <c r="H74" s="274"/>
    </row>
    <row r="75" spans="1:8" ht="38.25" customHeight="1">
      <c r="A75" s="102"/>
      <c r="B75" s="109" t="s">
        <v>583</v>
      </c>
      <c r="C75" s="103" t="s">
        <v>723</v>
      </c>
      <c r="D75" s="140">
        <v>0</v>
      </c>
      <c r="E75" s="140">
        <v>0</v>
      </c>
      <c r="F75" s="363" t="s">
        <v>588</v>
      </c>
      <c r="G75" s="274"/>
      <c r="H75" s="274"/>
    </row>
    <row r="76" spans="1:8" s="368" customFormat="1" ht="33" customHeight="1">
      <c r="A76" s="102"/>
      <c r="B76" s="109" t="s">
        <v>299</v>
      </c>
      <c r="C76" s="103" t="s">
        <v>659</v>
      </c>
      <c r="D76" s="140">
        <v>232521966</v>
      </c>
      <c r="E76" s="140">
        <v>232521966</v>
      </c>
      <c r="F76" s="363">
        <v>0.97224086797077303</v>
      </c>
      <c r="G76" s="274"/>
      <c r="H76" s="274"/>
    </row>
    <row r="77" spans="1:8" s="369" customFormat="1" ht="29" customHeight="1">
      <c r="A77" s="102"/>
      <c r="B77" s="105" t="s">
        <v>466</v>
      </c>
      <c r="C77" s="103" t="s">
        <v>661</v>
      </c>
      <c r="D77" s="140">
        <v>19010000</v>
      </c>
      <c r="E77" s="140">
        <v>19010000</v>
      </c>
      <c r="F77" s="363">
        <v>0.56754739513360208</v>
      </c>
      <c r="G77" s="274"/>
      <c r="H77" s="274"/>
    </row>
    <row r="78" spans="1:8" s="369" customFormat="1" ht="43.25" customHeight="1">
      <c r="A78" s="102"/>
      <c r="B78" s="105" t="s">
        <v>530</v>
      </c>
      <c r="C78" s="103" t="s">
        <v>663</v>
      </c>
      <c r="D78" s="140">
        <v>37029000</v>
      </c>
      <c r="E78" s="140">
        <v>37029000</v>
      </c>
      <c r="F78" s="363">
        <v>1.3859634899735205</v>
      </c>
      <c r="G78" s="274"/>
      <c r="H78" s="274"/>
    </row>
    <row r="79" spans="1:8" s="369" customFormat="1" ht="29.4" customHeight="1">
      <c r="A79" s="102"/>
      <c r="B79" s="105" t="s">
        <v>554</v>
      </c>
      <c r="C79" s="103" t="s">
        <v>662</v>
      </c>
      <c r="D79" s="140">
        <v>0</v>
      </c>
      <c r="E79" s="140">
        <v>0</v>
      </c>
      <c r="F79" s="363">
        <v>0</v>
      </c>
      <c r="G79" s="274"/>
      <c r="H79" s="274"/>
    </row>
    <row r="80" spans="1:8" ht="29.4" customHeight="1">
      <c r="A80" s="102"/>
      <c r="B80" s="106" t="s">
        <v>467</v>
      </c>
      <c r="C80" s="41" t="s">
        <v>660</v>
      </c>
      <c r="D80" s="140">
        <v>176482966</v>
      </c>
      <c r="E80" s="140">
        <v>176482966</v>
      </c>
      <c r="F80" s="363">
        <v>1</v>
      </c>
      <c r="G80" s="274"/>
      <c r="H80" s="274"/>
    </row>
    <row r="81" spans="1:8" ht="29.4" customHeight="1">
      <c r="A81" s="102"/>
      <c r="B81" s="105" t="s">
        <v>664</v>
      </c>
      <c r="C81" s="103" t="s">
        <v>724</v>
      </c>
      <c r="D81" s="140">
        <v>0</v>
      </c>
      <c r="E81" s="140">
        <v>0</v>
      </c>
      <c r="F81" s="363" t="s">
        <v>588</v>
      </c>
      <c r="G81" s="274"/>
      <c r="H81" s="274"/>
    </row>
    <row r="82" spans="1:8" ht="29.4" customHeight="1">
      <c r="A82" s="102"/>
      <c r="B82" s="105" t="s">
        <v>575</v>
      </c>
      <c r="C82" s="103" t="s">
        <v>665</v>
      </c>
      <c r="D82" s="140">
        <v>0</v>
      </c>
      <c r="E82" s="140">
        <v>0</v>
      </c>
      <c r="F82" s="363" t="s">
        <v>588</v>
      </c>
      <c r="G82" s="274"/>
      <c r="H82" s="274"/>
    </row>
    <row r="83" spans="1:8" ht="29.4" customHeight="1">
      <c r="A83" s="102"/>
      <c r="B83" s="105" t="s">
        <v>576</v>
      </c>
      <c r="C83" s="103" t="s">
        <v>666</v>
      </c>
      <c r="D83" s="140">
        <v>0</v>
      </c>
      <c r="E83" s="140">
        <v>0</v>
      </c>
      <c r="F83" s="363" t="s">
        <v>588</v>
      </c>
      <c r="G83" s="274"/>
      <c r="H83" s="274"/>
    </row>
    <row r="84" spans="1:8" ht="32.25" customHeight="1">
      <c r="A84" s="58" t="s">
        <v>119</v>
      </c>
      <c r="B84" s="139" t="s">
        <v>300</v>
      </c>
      <c r="C84" s="42" t="s">
        <v>120</v>
      </c>
      <c r="D84" s="141">
        <v>7245205632</v>
      </c>
      <c r="E84" s="141">
        <v>19900625171</v>
      </c>
      <c r="F84" s="362">
        <v>0.1537916294136423</v>
      </c>
      <c r="G84" s="274"/>
      <c r="H84" s="274"/>
    </row>
    <row r="85" spans="1:8" ht="32.25" customHeight="1">
      <c r="A85" s="59"/>
      <c r="B85" s="38" t="s">
        <v>301</v>
      </c>
      <c r="C85" s="41" t="s">
        <v>121</v>
      </c>
      <c r="D85" s="143">
        <v>1087228467993</v>
      </c>
      <c r="E85" s="143">
        <v>1102972437948</v>
      </c>
      <c r="F85" s="363">
        <v>0.71840112836830483</v>
      </c>
      <c r="G85" s="274"/>
      <c r="H85" s="274"/>
    </row>
    <row r="86" spans="1:8" ht="32.25" customHeight="1">
      <c r="A86" s="59"/>
      <c r="B86" s="38" t="s">
        <v>302</v>
      </c>
      <c r="C86" s="41" t="s">
        <v>122</v>
      </c>
      <c r="D86" s="144">
        <v>28177605.639999978</v>
      </c>
      <c r="E86" s="144">
        <v>28866112.949999977</v>
      </c>
      <c r="F86" s="363">
        <v>0.89854713067984426</v>
      </c>
      <c r="G86" s="277"/>
      <c r="H86" s="274"/>
    </row>
    <row r="87" spans="1:8" ht="32.25" customHeight="1">
      <c r="A87" s="59"/>
      <c r="B87" s="38" t="s">
        <v>303</v>
      </c>
      <c r="C87" s="41" t="s">
        <v>123</v>
      </c>
      <c r="D87" s="144">
        <v>38584.839999999997</v>
      </c>
      <c r="E87" s="144">
        <v>38209.93</v>
      </c>
      <c r="F87" s="363">
        <v>0.79951413541051075</v>
      </c>
      <c r="G87" s="277"/>
      <c r="H87" s="274"/>
    </row>
    <row r="88" spans="1:8" ht="14.25" customHeight="1">
      <c r="A88" s="35"/>
      <c r="B88" s="35"/>
      <c r="C88" s="35"/>
      <c r="D88" s="36"/>
      <c r="E88" s="36"/>
      <c r="F88" s="338"/>
    </row>
    <row r="89" spans="1:8">
      <c r="A89" s="370" t="s">
        <v>231</v>
      </c>
      <c r="B89" s="371"/>
      <c r="C89" s="372"/>
      <c r="D89" s="373" t="s">
        <v>232</v>
      </c>
      <c r="E89" s="374"/>
      <c r="F89" s="375"/>
    </row>
    <row r="90" spans="1:8">
      <c r="A90" s="376" t="s">
        <v>233</v>
      </c>
      <c r="B90" s="371"/>
      <c r="C90" s="372"/>
      <c r="D90" s="377" t="s">
        <v>234</v>
      </c>
      <c r="E90" s="374"/>
      <c r="F90" s="375"/>
    </row>
    <row r="91" spans="1:8">
      <c r="A91" s="376"/>
      <c r="B91" s="371"/>
      <c r="C91" s="372"/>
      <c r="D91" s="377"/>
      <c r="E91" s="374"/>
      <c r="F91" s="375"/>
    </row>
    <row r="92" spans="1:8">
      <c r="A92" s="376"/>
      <c r="B92" s="371"/>
      <c r="C92" s="372"/>
      <c r="D92" s="377"/>
      <c r="E92" s="374"/>
      <c r="F92" s="375"/>
    </row>
    <row r="93" spans="1:8">
      <c r="A93" s="376"/>
      <c r="B93" s="371"/>
      <c r="C93" s="372"/>
      <c r="D93" s="377"/>
      <c r="E93" s="374"/>
      <c r="F93" s="375"/>
    </row>
    <row r="94" spans="1:8">
      <c r="A94" s="371"/>
      <c r="B94" s="371"/>
      <c r="C94" s="372"/>
      <c r="D94" s="372"/>
      <c r="E94" s="374"/>
      <c r="F94" s="375"/>
    </row>
    <row r="95" spans="1:8">
      <c r="A95" s="371"/>
      <c r="B95" s="371"/>
      <c r="C95" s="372"/>
      <c r="D95" s="372"/>
      <c r="E95" s="374"/>
      <c r="F95" s="375"/>
    </row>
    <row r="96" spans="1:8">
      <c r="A96" s="371"/>
      <c r="B96" s="371"/>
      <c r="C96" s="372"/>
      <c r="D96" s="372"/>
      <c r="E96" s="374"/>
      <c r="F96" s="375"/>
    </row>
    <row r="97" spans="1:6">
      <c r="A97" s="378"/>
      <c r="B97" s="378"/>
      <c r="C97" s="372"/>
      <c r="D97" s="379"/>
      <c r="E97" s="380"/>
      <c r="F97" s="381"/>
    </row>
    <row r="98" spans="1:6">
      <c r="A98" s="382" t="s">
        <v>235</v>
      </c>
      <c r="B98" s="371"/>
      <c r="C98" s="372"/>
      <c r="D98" s="373" t="s">
        <v>438</v>
      </c>
      <c r="E98" s="374"/>
      <c r="F98" s="375"/>
    </row>
    <row r="99" spans="1:6">
      <c r="A99" s="370" t="s">
        <v>908</v>
      </c>
      <c r="B99" s="371"/>
      <c r="C99" s="372"/>
      <c r="D99" s="373" t="s">
        <v>439</v>
      </c>
      <c r="E99" s="374"/>
      <c r="F99" s="375"/>
    </row>
    <row r="100" spans="1:6">
      <c r="A100" s="371" t="s">
        <v>909</v>
      </c>
      <c r="B100" s="371"/>
      <c r="C100" s="372"/>
      <c r="D100" s="372" t="s">
        <v>440</v>
      </c>
      <c r="E100" s="374"/>
      <c r="F100" s="375"/>
    </row>
    <row r="101" spans="1:6">
      <c r="A101" s="367"/>
      <c r="B101" s="367"/>
      <c r="C101" s="367"/>
      <c r="D101" s="383"/>
      <c r="E101" s="383"/>
      <c r="F101" s="367"/>
    </row>
  </sheetData>
  <mergeCells count="20">
    <mergeCell ref="A1:F1"/>
    <mergeCell ref="A2:F2"/>
    <mergeCell ref="A7:B7"/>
    <mergeCell ref="C7:F7"/>
    <mergeCell ref="A3:F4"/>
    <mergeCell ref="A5:F5"/>
    <mergeCell ref="C13:F13"/>
    <mergeCell ref="A13:B13"/>
    <mergeCell ref="A14:B14"/>
    <mergeCell ref="A8:B8"/>
    <mergeCell ref="C8:F8"/>
    <mergeCell ref="A10:B10"/>
    <mergeCell ref="C10:F10"/>
    <mergeCell ref="A12:B12"/>
    <mergeCell ref="C12:F12"/>
    <mergeCell ref="A9:B9"/>
    <mergeCell ref="C9:F9"/>
    <mergeCell ref="A11:B11"/>
    <mergeCell ref="C11:F11"/>
    <mergeCell ref="C14:F14"/>
  </mergeCells>
  <printOptions horizontalCentered="1"/>
  <pageMargins left="0.28000000000000003" right="0.17" top="0.56999999999999995" bottom="0.49" header="0.3" footer="0.17"/>
  <pageSetup paperSize="9" scale="75" fitToHeight="0" orientation="portrait" r:id="rId1"/>
  <rowBreaks count="2" manualBreakCount="2">
    <brk id="41" max="5" man="1"/>
    <brk id="67"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91"/>
  <sheetViews>
    <sheetView view="pageBreakPreview" topLeftCell="A73" zoomScale="85" zoomScaleNormal="100" zoomScaleSheetLayoutView="85" workbookViewId="0">
      <selection activeCell="C13" sqref="C13:F13"/>
    </sheetView>
  </sheetViews>
  <sheetFormatPr defaultColWidth="9.08984375" defaultRowHeight="14.5"/>
  <cols>
    <col min="1" max="1" width="9.08984375" style="44"/>
    <col min="2" max="2" width="46" style="44" customWidth="1"/>
    <col min="3" max="3" width="9.08984375" style="44"/>
    <col min="4" max="4" width="21.453125" style="55" customWidth="1"/>
    <col min="5" max="5" width="21.08984375" style="55" customWidth="1"/>
    <col min="6" max="6" width="22.36328125" style="55" customWidth="1"/>
    <col min="7" max="16384" width="9.08984375" style="44"/>
  </cols>
  <sheetData>
    <row r="1" spans="1:6" ht="23.25" customHeight="1">
      <c r="A1" s="488" t="s">
        <v>269</v>
      </c>
      <c r="B1" s="488"/>
      <c r="C1" s="488"/>
      <c r="D1" s="488"/>
      <c r="E1" s="488"/>
      <c r="F1" s="488"/>
    </row>
    <row r="2" spans="1:6" ht="33" customHeight="1">
      <c r="A2" s="462" t="s">
        <v>857</v>
      </c>
      <c r="B2" s="462"/>
      <c r="C2" s="462"/>
      <c r="D2" s="462"/>
      <c r="E2" s="462"/>
      <c r="F2" s="462"/>
    </row>
    <row r="3" spans="1:6" ht="17" customHeight="1">
      <c r="A3" s="463" t="s">
        <v>270</v>
      </c>
      <c r="B3" s="463"/>
      <c r="C3" s="463"/>
      <c r="D3" s="463"/>
      <c r="E3" s="463"/>
      <c r="F3" s="463"/>
    </row>
    <row r="4" spans="1:6" ht="22.25" customHeight="1">
      <c r="A4" s="463"/>
      <c r="B4" s="463"/>
      <c r="C4" s="463"/>
      <c r="D4" s="463"/>
      <c r="E4" s="463"/>
      <c r="F4" s="463"/>
    </row>
    <row r="5" spans="1:6">
      <c r="A5" s="464" t="s">
        <v>904</v>
      </c>
      <c r="B5" s="464"/>
      <c r="C5" s="464"/>
      <c r="D5" s="464"/>
      <c r="E5" s="464"/>
      <c r="F5" s="464"/>
    </row>
    <row r="6" spans="1:6">
      <c r="A6" s="4"/>
      <c r="B6" s="4"/>
      <c r="C6" s="4"/>
      <c r="D6" s="4"/>
      <c r="E6" s="4"/>
      <c r="F6" s="7"/>
    </row>
    <row r="7" spans="1:6">
      <c r="A7" s="494" t="s">
        <v>430</v>
      </c>
      <c r="B7" s="494"/>
      <c r="C7" s="479" t="s">
        <v>437</v>
      </c>
      <c r="D7" s="479"/>
      <c r="E7" s="479"/>
      <c r="F7" s="479"/>
    </row>
    <row r="8" spans="1:6" ht="15" customHeight="1">
      <c r="A8" s="491" t="s">
        <v>848</v>
      </c>
      <c r="B8" s="491"/>
      <c r="C8" s="481" t="s">
        <v>500</v>
      </c>
      <c r="D8" s="481"/>
      <c r="E8" s="481"/>
      <c r="F8" s="481"/>
    </row>
    <row r="9" spans="1:6" ht="15" customHeight="1">
      <c r="A9" s="494" t="s">
        <v>431</v>
      </c>
      <c r="B9" s="494"/>
      <c r="C9" s="479" t="s">
        <v>907</v>
      </c>
      <c r="D9" s="479"/>
      <c r="E9" s="479"/>
      <c r="F9" s="479"/>
    </row>
    <row r="10" spans="1:6" ht="15" customHeight="1">
      <c r="A10" s="492" t="s">
        <v>432</v>
      </c>
      <c r="B10" s="492"/>
      <c r="C10" s="481" t="s">
        <v>433</v>
      </c>
      <c r="D10" s="481"/>
      <c r="E10" s="481"/>
      <c r="F10" s="481"/>
    </row>
    <row r="11" spans="1:6" ht="15" customHeight="1">
      <c r="A11" s="494" t="s">
        <v>429</v>
      </c>
      <c r="B11" s="494"/>
      <c r="C11" s="479" t="s">
        <v>474</v>
      </c>
      <c r="D11" s="479"/>
      <c r="E11" s="479"/>
      <c r="F11" s="479"/>
    </row>
    <row r="12" spans="1:6" ht="15" customHeight="1">
      <c r="A12" s="493" t="s">
        <v>427</v>
      </c>
      <c r="B12" s="493"/>
      <c r="C12" s="481" t="s">
        <v>473</v>
      </c>
      <c r="D12" s="481"/>
      <c r="E12" s="481"/>
      <c r="F12" s="481"/>
    </row>
    <row r="13" spans="1:6" ht="15" customHeight="1">
      <c r="A13" s="489" t="s">
        <v>193</v>
      </c>
      <c r="B13" s="489"/>
      <c r="C13" s="479" t="s">
        <v>903</v>
      </c>
      <c r="D13" s="479"/>
      <c r="E13" s="479"/>
      <c r="F13" s="479"/>
    </row>
    <row r="14" spans="1:6">
      <c r="A14" s="490" t="s">
        <v>194</v>
      </c>
      <c r="B14" s="490"/>
      <c r="C14" s="472">
        <v>43556</v>
      </c>
      <c r="D14" s="472"/>
      <c r="E14" s="472"/>
      <c r="F14" s="472"/>
    </row>
    <row r="15" spans="1:6">
      <c r="A15" s="46"/>
      <c r="B15" s="46"/>
      <c r="C15" s="46"/>
      <c r="D15" s="100"/>
      <c r="E15" s="100"/>
      <c r="F15" s="100"/>
    </row>
    <row r="16" spans="1:6">
      <c r="A16" s="98" t="s">
        <v>60</v>
      </c>
      <c r="B16" s="99" t="s">
        <v>461</v>
      </c>
      <c r="C16" s="46"/>
      <c r="D16" s="100"/>
      <c r="E16" s="100"/>
      <c r="F16" s="100"/>
    </row>
    <row r="17" spans="1:6" ht="55.5" customHeight="1">
      <c r="A17" s="39" t="s">
        <v>271</v>
      </c>
      <c r="B17" s="39" t="s">
        <v>195</v>
      </c>
      <c r="C17" s="39" t="s">
        <v>273</v>
      </c>
      <c r="D17" s="40" t="s">
        <v>901</v>
      </c>
      <c r="E17" s="40" t="s">
        <v>896</v>
      </c>
      <c r="F17" s="40" t="s">
        <v>304</v>
      </c>
    </row>
    <row r="18" spans="1:6" ht="32.25" customHeight="1">
      <c r="A18" s="58" t="s">
        <v>50</v>
      </c>
      <c r="B18" s="139" t="s">
        <v>305</v>
      </c>
      <c r="C18" s="42" t="s">
        <v>124</v>
      </c>
      <c r="D18" s="95">
        <v>2264637578</v>
      </c>
      <c r="E18" s="95">
        <v>1860684222</v>
      </c>
      <c r="F18" s="95">
        <v>6278362894</v>
      </c>
    </row>
    <row r="19" spans="1:6" ht="32.25" customHeight="1">
      <c r="A19" s="59">
        <v>1</v>
      </c>
      <c r="B19" s="38" t="s">
        <v>307</v>
      </c>
      <c r="C19" s="41" t="s">
        <v>125</v>
      </c>
      <c r="D19" s="56">
        <v>1238020411</v>
      </c>
      <c r="E19" s="56">
        <v>889345889</v>
      </c>
      <c r="F19" s="56">
        <v>3115371259</v>
      </c>
    </row>
    <row r="20" spans="1:6" s="118" customFormat="1" ht="32.25" customHeight="1">
      <c r="A20" s="120"/>
      <c r="B20" s="109" t="s">
        <v>486</v>
      </c>
      <c r="C20" s="103" t="s">
        <v>667</v>
      </c>
      <c r="D20" s="388">
        <v>520880000</v>
      </c>
      <c r="E20" s="388">
        <v>0</v>
      </c>
      <c r="F20" s="389">
        <v>732224000</v>
      </c>
    </row>
    <row r="21" spans="1:6" s="118" customFormat="1" ht="32.25" customHeight="1">
      <c r="A21" s="120"/>
      <c r="B21" s="109" t="s">
        <v>487</v>
      </c>
      <c r="C21" s="103" t="s">
        <v>488</v>
      </c>
      <c r="D21" s="388">
        <v>717140411</v>
      </c>
      <c r="E21" s="388">
        <v>889345889</v>
      </c>
      <c r="F21" s="390">
        <v>2383147259</v>
      </c>
    </row>
    <row r="22" spans="1:6" ht="32.25" customHeight="1">
      <c r="A22" s="59">
        <v>2</v>
      </c>
      <c r="B22" s="38" t="s">
        <v>308</v>
      </c>
      <c r="C22" s="41" t="s">
        <v>126</v>
      </c>
      <c r="D22" s="110">
        <v>1026617167</v>
      </c>
      <c r="E22" s="110">
        <v>971338333</v>
      </c>
      <c r="F22" s="110">
        <v>3162991635</v>
      </c>
    </row>
    <row r="23" spans="1:6" s="118" customFormat="1" ht="32.25" customHeight="1">
      <c r="A23" s="120"/>
      <c r="B23" s="109" t="s">
        <v>861</v>
      </c>
      <c r="C23" s="103" t="s">
        <v>489</v>
      </c>
      <c r="D23" s="388">
        <v>32264143</v>
      </c>
      <c r="E23" s="388">
        <v>12857739</v>
      </c>
      <c r="F23" s="390">
        <v>148983073</v>
      </c>
    </row>
    <row r="24" spans="1:6" s="118" customFormat="1" ht="32.25" customHeight="1">
      <c r="A24" s="120"/>
      <c r="B24" s="109" t="s">
        <v>668</v>
      </c>
      <c r="C24" s="103" t="s">
        <v>490</v>
      </c>
      <c r="D24" s="388">
        <v>994353024</v>
      </c>
      <c r="E24" s="388">
        <v>958480594</v>
      </c>
      <c r="F24" s="390">
        <v>3014008562</v>
      </c>
    </row>
    <row r="25" spans="1:6" ht="32.25" customHeight="1">
      <c r="A25" s="59">
        <v>3</v>
      </c>
      <c r="B25" s="38" t="s">
        <v>309</v>
      </c>
      <c r="C25" s="41" t="s">
        <v>127</v>
      </c>
      <c r="D25" s="110">
        <v>0</v>
      </c>
      <c r="E25" s="110">
        <v>0</v>
      </c>
      <c r="F25" s="110">
        <v>0</v>
      </c>
    </row>
    <row r="26" spans="1:6" ht="30.75" customHeight="1">
      <c r="A26" s="120"/>
      <c r="B26" s="109" t="s">
        <v>669</v>
      </c>
      <c r="C26" s="103" t="s">
        <v>491</v>
      </c>
      <c r="D26" s="110">
        <v>0</v>
      </c>
      <c r="E26" s="110">
        <v>0</v>
      </c>
      <c r="F26" s="390">
        <v>0</v>
      </c>
    </row>
    <row r="27" spans="1:6" ht="33" customHeight="1">
      <c r="A27" s="120"/>
      <c r="B27" s="109" t="s">
        <v>670</v>
      </c>
      <c r="C27" s="103" t="s">
        <v>492</v>
      </c>
      <c r="D27" s="110">
        <v>0</v>
      </c>
      <c r="E27" s="110">
        <v>0</v>
      </c>
      <c r="F27" s="390">
        <v>0</v>
      </c>
    </row>
    <row r="28" spans="1:6" ht="73.5" customHeight="1">
      <c r="A28" s="120"/>
      <c r="B28" s="109" t="s">
        <v>671</v>
      </c>
      <c r="C28" s="103" t="s">
        <v>672</v>
      </c>
      <c r="D28" s="119">
        <v>0</v>
      </c>
      <c r="E28" s="119">
        <v>0</v>
      </c>
      <c r="F28" s="119">
        <v>0</v>
      </c>
    </row>
    <row r="29" spans="1:6" ht="32.25" customHeight="1">
      <c r="A29" s="58" t="s">
        <v>60</v>
      </c>
      <c r="B29" s="139" t="s">
        <v>306</v>
      </c>
      <c r="C29" s="42" t="s">
        <v>128</v>
      </c>
      <c r="D29" s="95">
        <v>2087780340</v>
      </c>
      <c r="E29" s="95">
        <v>1910265586</v>
      </c>
      <c r="F29" s="95">
        <v>6406243394</v>
      </c>
    </row>
    <row r="30" spans="1:6" ht="46.5" customHeight="1">
      <c r="A30" s="59">
        <v>1</v>
      </c>
      <c r="B30" s="38" t="s">
        <v>310</v>
      </c>
      <c r="C30" s="41" t="s">
        <v>129</v>
      </c>
      <c r="D30" s="56">
        <v>1833361881</v>
      </c>
      <c r="E30" s="56">
        <v>1634883439</v>
      </c>
      <c r="F30" s="57">
        <v>5235839820</v>
      </c>
    </row>
    <row r="31" spans="1:6" ht="64.5" customHeight="1">
      <c r="A31" s="59">
        <v>2</v>
      </c>
      <c r="B31" s="38" t="s">
        <v>311</v>
      </c>
      <c r="C31" s="41" t="s">
        <v>130</v>
      </c>
      <c r="D31" s="56">
        <v>90741126</v>
      </c>
      <c r="E31" s="56">
        <v>81443703</v>
      </c>
      <c r="F31" s="56">
        <v>259239278</v>
      </c>
    </row>
    <row r="32" spans="1:6" ht="31.5" customHeight="1">
      <c r="A32" s="59"/>
      <c r="B32" s="38" t="s">
        <v>458</v>
      </c>
      <c r="C32" s="41" t="s">
        <v>254</v>
      </c>
      <c r="D32" s="56">
        <v>37607422</v>
      </c>
      <c r="E32" s="56">
        <v>33536071</v>
      </c>
      <c r="F32" s="57">
        <v>107401841</v>
      </c>
    </row>
    <row r="33" spans="1:6" ht="31.5" customHeight="1">
      <c r="A33" s="59"/>
      <c r="B33" s="38" t="s">
        <v>210</v>
      </c>
      <c r="C33" s="41" t="s">
        <v>258</v>
      </c>
      <c r="D33" s="56">
        <v>4400000</v>
      </c>
      <c r="E33" s="56">
        <v>3400000</v>
      </c>
      <c r="F33" s="57">
        <v>11100000</v>
      </c>
    </row>
    <row r="34" spans="1:6" ht="31.5" customHeight="1">
      <c r="A34" s="59"/>
      <c r="B34" s="38" t="s">
        <v>441</v>
      </c>
      <c r="C34" s="41" t="s">
        <v>445</v>
      </c>
      <c r="D34" s="56">
        <v>7365539</v>
      </c>
      <c r="E34" s="56">
        <v>7617954</v>
      </c>
      <c r="F34" s="57">
        <v>22595411</v>
      </c>
    </row>
    <row r="35" spans="1:6" ht="31.5" customHeight="1">
      <c r="A35" s="59"/>
      <c r="B35" s="38" t="s">
        <v>312</v>
      </c>
      <c r="C35" s="41" t="s">
        <v>255</v>
      </c>
      <c r="D35" s="56">
        <v>41368165</v>
      </c>
      <c r="E35" s="56">
        <v>36889678</v>
      </c>
      <c r="F35" s="57">
        <v>118142026</v>
      </c>
    </row>
    <row r="36" spans="1:6" ht="74.25" customHeight="1">
      <c r="A36" s="59">
        <v>3</v>
      </c>
      <c r="B36" s="145" t="s">
        <v>313</v>
      </c>
      <c r="C36" s="41" t="s">
        <v>131</v>
      </c>
      <c r="D36" s="56">
        <v>36855103</v>
      </c>
      <c r="E36" s="56">
        <v>34056048</v>
      </c>
      <c r="F36" s="56">
        <v>106838765</v>
      </c>
    </row>
    <row r="37" spans="1:6" ht="30.75" customHeight="1">
      <c r="A37" s="59"/>
      <c r="B37" s="145" t="s">
        <v>314</v>
      </c>
      <c r="C37" s="41" t="s">
        <v>253</v>
      </c>
      <c r="D37" s="56">
        <v>25855103</v>
      </c>
      <c r="E37" s="56">
        <v>23056048</v>
      </c>
      <c r="F37" s="57">
        <v>73838765</v>
      </c>
    </row>
    <row r="38" spans="1:6" ht="30.75" customHeight="1">
      <c r="A38" s="59"/>
      <c r="B38" s="145" t="s">
        <v>315</v>
      </c>
      <c r="C38" s="41" t="s">
        <v>259</v>
      </c>
      <c r="D38" s="56">
        <v>11000000</v>
      </c>
      <c r="E38" s="56">
        <v>11000000</v>
      </c>
      <c r="F38" s="57">
        <v>33000000</v>
      </c>
    </row>
    <row r="39" spans="1:6" ht="30.75" customHeight="1">
      <c r="A39" s="59">
        <v>4</v>
      </c>
      <c r="B39" s="38" t="s">
        <v>317</v>
      </c>
      <c r="C39" s="41" t="s">
        <v>132</v>
      </c>
      <c r="D39" s="56">
        <v>19053329</v>
      </c>
      <c r="E39" s="56">
        <v>13923285</v>
      </c>
      <c r="F39" s="57">
        <v>48391678</v>
      </c>
    </row>
    <row r="40" spans="1:6" ht="93" customHeight="1">
      <c r="A40" s="59">
        <v>5</v>
      </c>
      <c r="B40" s="38" t="s">
        <v>318</v>
      </c>
      <c r="C40" s="41" t="s">
        <v>133</v>
      </c>
      <c r="D40" s="56">
        <v>18443830</v>
      </c>
      <c r="E40" s="56">
        <v>18304105</v>
      </c>
      <c r="F40" s="56">
        <v>55191764</v>
      </c>
    </row>
    <row r="41" spans="1:6" ht="30.75" customHeight="1">
      <c r="A41" s="59"/>
      <c r="B41" s="106" t="s">
        <v>220</v>
      </c>
      <c r="C41" s="41" t="s">
        <v>422</v>
      </c>
      <c r="D41" s="56">
        <v>18443830</v>
      </c>
      <c r="E41" s="56">
        <v>18304105</v>
      </c>
      <c r="F41" s="57">
        <v>55191764</v>
      </c>
    </row>
    <row r="42" spans="1:6" ht="30.75" customHeight="1">
      <c r="A42" s="59"/>
      <c r="B42" s="106" t="s">
        <v>673</v>
      </c>
      <c r="C42" s="41" t="s">
        <v>423</v>
      </c>
      <c r="D42" s="56">
        <v>0</v>
      </c>
      <c r="E42" s="56">
        <v>0</v>
      </c>
      <c r="F42" s="57">
        <v>0</v>
      </c>
    </row>
    <row r="43" spans="1:6" ht="30.75" customHeight="1">
      <c r="A43" s="104"/>
      <c r="B43" s="105" t="s">
        <v>505</v>
      </c>
      <c r="C43" s="103" t="s">
        <v>761</v>
      </c>
      <c r="D43" s="110">
        <v>0</v>
      </c>
      <c r="E43" s="110">
        <v>0</v>
      </c>
      <c r="F43" s="115">
        <v>0</v>
      </c>
    </row>
    <row r="44" spans="1:6" ht="155" customHeight="1">
      <c r="A44" s="59">
        <v>6</v>
      </c>
      <c r="B44" s="145" t="s">
        <v>319</v>
      </c>
      <c r="C44" s="41" t="s">
        <v>134</v>
      </c>
      <c r="D44" s="110">
        <v>0</v>
      </c>
      <c r="E44" s="110">
        <v>0</v>
      </c>
      <c r="F44" s="110">
        <v>0</v>
      </c>
    </row>
    <row r="45" spans="1:6" ht="30.75" customHeight="1">
      <c r="A45" s="59"/>
      <c r="B45" s="145" t="s">
        <v>316</v>
      </c>
      <c r="C45" s="41" t="s">
        <v>264</v>
      </c>
      <c r="D45" s="56">
        <v>0</v>
      </c>
      <c r="E45" s="56">
        <v>0</v>
      </c>
      <c r="F45" s="57">
        <v>0</v>
      </c>
    </row>
    <row r="46" spans="1:6" ht="30.75" customHeight="1">
      <c r="A46" s="59"/>
      <c r="B46" s="216" t="s">
        <v>709</v>
      </c>
      <c r="C46" s="41" t="s">
        <v>256</v>
      </c>
      <c r="D46" s="110">
        <v>0</v>
      </c>
      <c r="E46" s="110">
        <v>0</v>
      </c>
      <c r="F46" s="57">
        <v>0</v>
      </c>
    </row>
    <row r="47" spans="1:6" ht="45.75" customHeight="1">
      <c r="A47" s="59"/>
      <c r="B47" s="145" t="s">
        <v>407</v>
      </c>
      <c r="C47" s="41" t="s">
        <v>263</v>
      </c>
      <c r="D47" s="56">
        <v>0</v>
      </c>
      <c r="E47" s="56">
        <v>0</v>
      </c>
      <c r="F47" s="57">
        <v>0</v>
      </c>
    </row>
    <row r="48" spans="1:6" ht="33" customHeight="1">
      <c r="A48" s="59"/>
      <c r="B48" s="106" t="s">
        <v>221</v>
      </c>
      <c r="C48" s="41" t="s">
        <v>262</v>
      </c>
      <c r="D48" s="56">
        <v>0</v>
      </c>
      <c r="E48" s="56">
        <v>0</v>
      </c>
      <c r="F48" s="57">
        <v>0</v>
      </c>
    </row>
    <row r="49" spans="1:6" ht="33" customHeight="1">
      <c r="A49" s="59"/>
      <c r="B49" s="105" t="s">
        <v>674</v>
      </c>
      <c r="C49" s="103" t="s">
        <v>675</v>
      </c>
      <c r="D49" s="56">
        <v>0</v>
      </c>
      <c r="E49" s="56">
        <v>0</v>
      </c>
      <c r="F49" s="56">
        <v>0</v>
      </c>
    </row>
    <row r="50" spans="1:6" ht="59.25" customHeight="1">
      <c r="A50" s="59">
        <v>7</v>
      </c>
      <c r="B50" s="38" t="s">
        <v>320</v>
      </c>
      <c r="C50" s="41" t="s">
        <v>135</v>
      </c>
      <c r="D50" s="56">
        <v>86053971</v>
      </c>
      <c r="E50" s="56">
        <v>125474409</v>
      </c>
      <c r="F50" s="56">
        <v>693503424</v>
      </c>
    </row>
    <row r="51" spans="1:6" ht="31.5" customHeight="1">
      <c r="A51" s="59"/>
      <c r="B51" s="38" t="s">
        <v>555</v>
      </c>
      <c r="C51" s="41" t="s">
        <v>260</v>
      </c>
      <c r="D51" s="56">
        <v>85601471</v>
      </c>
      <c r="E51" s="56">
        <v>124293409</v>
      </c>
      <c r="F51" s="57">
        <v>690917574</v>
      </c>
    </row>
    <row r="52" spans="1:6" ht="31.5" customHeight="1">
      <c r="A52" s="59"/>
      <c r="B52" s="38" t="s">
        <v>202</v>
      </c>
      <c r="C52" s="41" t="s">
        <v>257</v>
      </c>
      <c r="D52" s="56">
        <v>452500</v>
      </c>
      <c r="E52" s="56">
        <v>1181000</v>
      </c>
      <c r="F52" s="57">
        <v>2585850</v>
      </c>
    </row>
    <row r="53" spans="1:6" ht="31.5" customHeight="1">
      <c r="A53" s="59"/>
      <c r="B53" s="38" t="s">
        <v>322</v>
      </c>
      <c r="C53" s="41" t="s">
        <v>862</v>
      </c>
      <c r="D53" s="56">
        <v>0</v>
      </c>
      <c r="E53" s="56">
        <v>0</v>
      </c>
      <c r="F53" s="57">
        <v>0</v>
      </c>
    </row>
    <row r="54" spans="1:6" ht="42.75" customHeight="1">
      <c r="A54" s="104">
        <v>8</v>
      </c>
      <c r="B54" s="109" t="s">
        <v>321</v>
      </c>
      <c r="C54" s="103" t="s">
        <v>136</v>
      </c>
      <c r="D54" s="110">
        <v>3271100</v>
      </c>
      <c r="E54" s="110">
        <v>2180597</v>
      </c>
      <c r="F54" s="110">
        <v>7238665</v>
      </c>
    </row>
    <row r="55" spans="1:6" s="112" customFormat="1" ht="31.5" customHeight="1">
      <c r="A55" s="104"/>
      <c r="B55" s="109" t="s">
        <v>408</v>
      </c>
      <c r="C55" s="103" t="s">
        <v>137</v>
      </c>
      <c r="D55" s="110">
        <v>0</v>
      </c>
      <c r="E55" s="110">
        <v>0</v>
      </c>
      <c r="F55" s="115">
        <v>0</v>
      </c>
    </row>
    <row r="56" spans="1:6" s="112" customFormat="1" ht="31.5" customHeight="1">
      <c r="A56" s="104"/>
      <c r="B56" s="109" t="s">
        <v>676</v>
      </c>
      <c r="C56" s="103" t="s">
        <v>261</v>
      </c>
      <c r="D56" s="110">
        <v>0</v>
      </c>
      <c r="E56" s="110">
        <v>0</v>
      </c>
      <c r="F56" s="115">
        <v>0</v>
      </c>
    </row>
    <row r="57" spans="1:6" s="112" customFormat="1" ht="31.5" customHeight="1">
      <c r="A57" s="104"/>
      <c r="B57" s="109" t="s">
        <v>556</v>
      </c>
      <c r="C57" s="103" t="s">
        <v>252</v>
      </c>
      <c r="D57" s="110">
        <v>0</v>
      </c>
      <c r="E57" s="110">
        <v>0</v>
      </c>
      <c r="F57" s="115">
        <v>0</v>
      </c>
    </row>
    <row r="58" spans="1:6" s="112" customFormat="1" ht="31.5" customHeight="1">
      <c r="A58" s="104"/>
      <c r="B58" s="109" t="s">
        <v>222</v>
      </c>
      <c r="C58" s="103" t="s">
        <v>424</v>
      </c>
      <c r="D58" s="110">
        <v>2171100</v>
      </c>
      <c r="E58" s="110">
        <v>2180597</v>
      </c>
      <c r="F58" s="115">
        <v>6138665</v>
      </c>
    </row>
    <row r="59" spans="1:6" s="112" customFormat="1" ht="31.5" customHeight="1">
      <c r="A59" s="104"/>
      <c r="B59" s="109" t="s">
        <v>863</v>
      </c>
      <c r="C59" s="103" t="s">
        <v>425</v>
      </c>
      <c r="D59" s="110">
        <v>0</v>
      </c>
      <c r="E59" s="110">
        <v>0</v>
      </c>
      <c r="F59" s="115"/>
    </row>
    <row r="60" spans="1:6" s="112" customFormat="1" ht="31.5" customHeight="1">
      <c r="A60" s="104"/>
      <c r="B60" s="109" t="s">
        <v>322</v>
      </c>
      <c r="C60" s="103" t="s">
        <v>677</v>
      </c>
      <c r="D60" s="110">
        <v>0</v>
      </c>
      <c r="E60" s="110">
        <v>0</v>
      </c>
      <c r="F60" s="115">
        <v>0</v>
      </c>
    </row>
    <row r="61" spans="1:6" s="112" customFormat="1" ht="31.5" customHeight="1">
      <c r="A61" s="104"/>
      <c r="B61" s="109" t="s">
        <v>559</v>
      </c>
      <c r="C61" s="103" t="s">
        <v>802</v>
      </c>
      <c r="D61" s="110">
        <v>1100000</v>
      </c>
      <c r="E61" s="110">
        <v>0</v>
      </c>
      <c r="F61" s="115">
        <v>1100000</v>
      </c>
    </row>
    <row r="62" spans="1:6" ht="46.5" customHeight="1">
      <c r="A62" s="60" t="s">
        <v>138</v>
      </c>
      <c r="B62" s="139" t="s">
        <v>323</v>
      </c>
      <c r="C62" s="42" t="s">
        <v>139</v>
      </c>
      <c r="D62" s="95">
        <v>176857238</v>
      </c>
      <c r="E62" s="95">
        <v>-49581364</v>
      </c>
      <c r="F62" s="95">
        <v>-127880500</v>
      </c>
    </row>
    <row r="63" spans="1:6" ht="31.5" customHeight="1">
      <c r="A63" s="60" t="s">
        <v>140</v>
      </c>
      <c r="B63" s="139" t="s">
        <v>324</v>
      </c>
      <c r="C63" s="42" t="s">
        <v>141</v>
      </c>
      <c r="D63" s="95">
        <v>10867231048</v>
      </c>
      <c r="E63" s="95">
        <v>39080288874</v>
      </c>
      <c r="F63" s="95">
        <v>50482996387</v>
      </c>
    </row>
    <row r="64" spans="1:6" ht="35.25" customHeight="1">
      <c r="A64" s="59">
        <v>1</v>
      </c>
      <c r="B64" s="38" t="s">
        <v>325</v>
      </c>
      <c r="C64" s="41" t="s">
        <v>142</v>
      </c>
      <c r="D64" s="56">
        <v>-1024728214</v>
      </c>
      <c r="E64" s="56">
        <v>63819247</v>
      </c>
      <c r="F64" s="57">
        <v>1788720109</v>
      </c>
    </row>
    <row r="65" spans="1:6" ht="34.5" customHeight="1">
      <c r="A65" s="59">
        <v>2</v>
      </c>
      <c r="B65" s="38" t="s">
        <v>326</v>
      </c>
      <c r="C65" s="41" t="s">
        <v>143</v>
      </c>
      <c r="D65" s="56">
        <v>11891959262</v>
      </c>
      <c r="E65" s="56">
        <v>39016469627</v>
      </c>
      <c r="F65" s="57">
        <v>48694276278</v>
      </c>
    </row>
    <row r="66" spans="1:6" ht="78.75" customHeight="1">
      <c r="A66" s="60" t="s">
        <v>144</v>
      </c>
      <c r="B66" s="139" t="s">
        <v>327</v>
      </c>
      <c r="C66" s="42" t="s">
        <v>145</v>
      </c>
      <c r="D66" s="95">
        <v>11044088286</v>
      </c>
      <c r="E66" s="95">
        <v>39030707510</v>
      </c>
      <c r="F66" s="95">
        <v>50355115887</v>
      </c>
    </row>
    <row r="67" spans="1:6" ht="33" customHeight="1">
      <c r="A67" s="60" t="s">
        <v>71</v>
      </c>
      <c r="B67" s="139" t="s">
        <v>328</v>
      </c>
      <c r="C67" s="42" t="s">
        <v>146</v>
      </c>
      <c r="D67" s="95">
        <v>1102972437948</v>
      </c>
      <c r="E67" s="95">
        <v>1065748896107</v>
      </c>
      <c r="F67" s="96">
        <v>1089016862195</v>
      </c>
    </row>
    <row r="68" spans="1:6" ht="48" customHeight="1">
      <c r="A68" s="60" t="s">
        <v>147</v>
      </c>
      <c r="B68" s="139" t="s">
        <v>329</v>
      </c>
      <c r="C68" s="42" t="s">
        <v>148</v>
      </c>
      <c r="D68" s="95">
        <v>-15743969955</v>
      </c>
      <c r="E68" s="95">
        <v>37223541841</v>
      </c>
      <c r="F68" s="95">
        <v>-1788394202</v>
      </c>
    </row>
    <row r="69" spans="1:6" ht="31.5" customHeight="1">
      <c r="A69" s="59"/>
      <c r="B69" s="38" t="s">
        <v>330</v>
      </c>
      <c r="C69" s="41" t="s">
        <v>149</v>
      </c>
      <c r="D69" s="56"/>
      <c r="E69" s="56"/>
      <c r="F69" s="57"/>
    </row>
    <row r="70" spans="1:6" ht="62.25" customHeight="1">
      <c r="A70" s="59">
        <v>1</v>
      </c>
      <c r="B70" s="38" t="s">
        <v>331</v>
      </c>
      <c r="C70" s="41" t="s">
        <v>150</v>
      </c>
      <c r="D70" s="56">
        <v>11044088286</v>
      </c>
      <c r="E70" s="56">
        <v>39030707510</v>
      </c>
      <c r="F70" s="56">
        <v>50355115887</v>
      </c>
    </row>
    <row r="71" spans="1:6" ht="62.25" customHeight="1">
      <c r="A71" s="59">
        <v>2</v>
      </c>
      <c r="B71" s="38" t="s">
        <v>332</v>
      </c>
      <c r="C71" s="41" t="s">
        <v>151</v>
      </c>
      <c r="D71" s="56">
        <v>0</v>
      </c>
      <c r="E71" s="56">
        <v>0</v>
      </c>
      <c r="F71" s="57">
        <v>0</v>
      </c>
    </row>
    <row r="72" spans="1:6" ht="47.25" customHeight="1">
      <c r="A72" s="59">
        <v>3</v>
      </c>
      <c r="B72" s="38" t="s">
        <v>333</v>
      </c>
      <c r="C72" s="41" t="s">
        <v>152</v>
      </c>
      <c r="D72" s="110">
        <v>3354177797</v>
      </c>
      <c r="E72" s="110">
        <v>2604773000</v>
      </c>
      <c r="F72" s="115">
        <v>7377618797</v>
      </c>
    </row>
    <row r="73" spans="1:6" ht="47.25" customHeight="1">
      <c r="A73" s="59">
        <v>4</v>
      </c>
      <c r="B73" s="38" t="s">
        <v>334</v>
      </c>
      <c r="C73" s="41" t="s">
        <v>153</v>
      </c>
      <c r="D73" s="110">
        <v>-30142236038</v>
      </c>
      <c r="E73" s="110">
        <v>-4411938669</v>
      </c>
      <c r="F73" s="115">
        <v>-59521128886</v>
      </c>
    </row>
    <row r="74" spans="1:6" ht="33" customHeight="1">
      <c r="A74" s="58" t="s">
        <v>154</v>
      </c>
      <c r="B74" s="139" t="s">
        <v>335</v>
      </c>
      <c r="C74" s="42" t="s">
        <v>155</v>
      </c>
      <c r="D74" s="95">
        <v>1087228467993</v>
      </c>
      <c r="E74" s="95">
        <v>1102972437948</v>
      </c>
      <c r="F74" s="95">
        <v>1087228467993</v>
      </c>
    </row>
    <row r="75" spans="1:6" ht="15" customHeight="1">
      <c r="A75" s="35"/>
      <c r="B75" s="35"/>
      <c r="C75" s="35"/>
      <c r="D75" s="36"/>
      <c r="E75" s="36"/>
      <c r="F75" s="36"/>
    </row>
    <row r="76" spans="1:6" ht="15" customHeight="1">
      <c r="A76" s="474"/>
      <c r="B76" s="474"/>
      <c r="C76" s="457"/>
      <c r="D76" s="457"/>
      <c r="E76" s="457"/>
      <c r="F76" s="457"/>
    </row>
    <row r="77" spans="1:6" ht="15" customHeight="1">
      <c r="A77" s="10"/>
      <c r="B77" s="10"/>
      <c r="C77" s="7"/>
      <c r="D77" s="7"/>
      <c r="E77" s="11"/>
      <c r="F77" s="12"/>
    </row>
    <row r="78" spans="1:6">
      <c r="A78" s="10"/>
      <c r="B78" s="10"/>
      <c r="C78" s="7"/>
      <c r="D78" s="114"/>
      <c r="E78" s="11"/>
      <c r="F78" s="12"/>
    </row>
    <row r="79" spans="1:6">
      <c r="A79" s="21" t="s">
        <v>231</v>
      </c>
      <c r="B79" s="18"/>
      <c r="C79" s="20"/>
      <c r="D79" s="22" t="s">
        <v>232</v>
      </c>
      <c r="E79" s="30"/>
      <c r="F79" s="31"/>
    </row>
    <row r="80" spans="1:6">
      <c r="A80" s="23" t="s">
        <v>233</v>
      </c>
      <c r="B80" s="18"/>
      <c r="C80" s="20"/>
      <c r="D80" s="24" t="s">
        <v>234</v>
      </c>
      <c r="E80" s="30"/>
      <c r="F80" s="31"/>
    </row>
    <row r="81" spans="1:6">
      <c r="A81" s="23"/>
      <c r="B81" s="18"/>
      <c r="C81" s="20"/>
      <c r="D81" s="24"/>
      <c r="E81" s="30"/>
      <c r="F81" s="31"/>
    </row>
    <row r="82" spans="1:6">
      <c r="A82" s="23"/>
      <c r="B82" s="18"/>
      <c r="C82" s="20"/>
      <c r="D82" s="24"/>
      <c r="E82" s="30"/>
      <c r="F82" s="31"/>
    </row>
    <row r="83" spans="1:6">
      <c r="A83" s="23"/>
      <c r="B83" s="18"/>
      <c r="C83" s="20"/>
      <c r="D83" s="24"/>
      <c r="E83" s="30"/>
      <c r="F83" s="31"/>
    </row>
    <row r="84" spans="1:6">
      <c r="A84" s="18"/>
      <c r="B84" s="18"/>
      <c r="C84" s="20"/>
      <c r="D84" s="20"/>
      <c r="E84" s="30"/>
      <c r="F84" s="31"/>
    </row>
    <row r="85" spans="1:6">
      <c r="A85" s="18"/>
      <c r="B85" s="18"/>
      <c r="C85" s="20"/>
      <c r="D85" s="20"/>
      <c r="E85" s="30"/>
      <c r="F85" s="31"/>
    </row>
    <row r="86" spans="1:6">
      <c r="A86" s="18"/>
      <c r="B86" s="18"/>
      <c r="C86" s="20"/>
      <c r="D86" s="20"/>
      <c r="E86" s="30"/>
      <c r="F86" s="31"/>
    </row>
    <row r="87" spans="1:6">
      <c r="A87" s="25"/>
      <c r="B87" s="25"/>
      <c r="C87" s="20"/>
      <c r="D87" s="26"/>
      <c r="E87" s="32"/>
      <c r="F87" s="33"/>
    </row>
    <row r="88" spans="1:6">
      <c r="A88" s="269" t="s">
        <v>235</v>
      </c>
      <c r="B88" s="18"/>
      <c r="C88" s="20"/>
      <c r="D88" s="22" t="s">
        <v>438</v>
      </c>
      <c r="E88" s="30"/>
      <c r="F88" s="31"/>
    </row>
    <row r="89" spans="1:6">
      <c r="A89" s="21" t="s">
        <v>908</v>
      </c>
      <c r="B89" s="18"/>
      <c r="C89" s="20"/>
      <c r="D89" s="22" t="s">
        <v>439</v>
      </c>
      <c r="E89" s="30"/>
      <c r="F89" s="31"/>
    </row>
    <row r="90" spans="1:6">
      <c r="A90" s="207" t="s">
        <v>909</v>
      </c>
      <c r="B90" s="207"/>
      <c r="C90" s="253"/>
      <c r="D90" s="253" t="s">
        <v>440</v>
      </c>
      <c r="E90" s="255"/>
      <c r="F90" s="256"/>
    </row>
    <row r="91" spans="1:6">
      <c r="A91" s="456"/>
      <c r="B91" s="456"/>
      <c r="C91" s="476"/>
      <c r="D91" s="477"/>
      <c r="E91" s="477"/>
      <c r="F91" s="396"/>
    </row>
  </sheetData>
  <mergeCells count="24">
    <mergeCell ref="A76:B76"/>
    <mergeCell ref="C76:F76"/>
    <mergeCell ref="A91:B91"/>
    <mergeCell ref="C91:E91"/>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35" right="0.31" top="0.5" bottom="0.56999999999999995" header="0.22" footer="0.3"/>
  <pageSetup scale="78" orientation="portrait" r:id="rId1"/>
  <rowBreaks count="1" manualBreakCount="1">
    <brk id="74"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G171"/>
  <sheetViews>
    <sheetView view="pageBreakPreview" topLeftCell="A79" zoomScaleNormal="100" zoomScaleSheetLayoutView="100" workbookViewId="0">
      <selection activeCell="G81" sqref="G81"/>
    </sheetView>
  </sheetViews>
  <sheetFormatPr defaultColWidth="9.08984375" defaultRowHeight="14.5"/>
  <cols>
    <col min="1" max="1" width="5.36328125" style="2" customWidth="1"/>
    <col min="2" max="2" width="39.08984375" style="1" customWidth="1"/>
    <col min="3" max="3" width="9.54296875" style="1" bestFit="1" customWidth="1"/>
    <col min="4" max="4" width="12.453125" style="1" customWidth="1"/>
    <col min="5" max="5" width="19.54296875" style="1" customWidth="1"/>
    <col min="6" max="6" width="20" style="1" customWidth="1"/>
    <col min="7" max="7" width="23.6328125" style="1" bestFit="1" customWidth="1"/>
    <col min="8" max="16384" width="9.08984375" style="44"/>
  </cols>
  <sheetData>
    <row r="1" spans="1:7" ht="25.5" customHeight="1">
      <c r="A1" s="488" t="s">
        <v>269</v>
      </c>
      <c r="B1" s="488"/>
      <c r="C1" s="488"/>
      <c r="D1" s="488"/>
      <c r="E1" s="488"/>
      <c r="F1" s="488"/>
      <c r="G1" s="488"/>
    </row>
    <row r="2" spans="1:7" ht="29.25" customHeight="1">
      <c r="A2" s="462" t="s">
        <v>857</v>
      </c>
      <c r="B2" s="462"/>
      <c r="C2" s="462"/>
      <c r="D2" s="462"/>
      <c r="E2" s="462"/>
      <c r="F2" s="462"/>
      <c r="G2" s="462"/>
    </row>
    <row r="3" spans="1:7" ht="18.649999999999999" customHeight="1">
      <c r="A3" s="463" t="s">
        <v>270</v>
      </c>
      <c r="B3" s="463"/>
      <c r="C3" s="463"/>
      <c r="D3" s="463"/>
      <c r="E3" s="463"/>
      <c r="F3" s="463"/>
      <c r="G3" s="463"/>
    </row>
    <row r="4" spans="1:7" ht="17.399999999999999" customHeight="1">
      <c r="A4" s="463"/>
      <c r="B4" s="463"/>
      <c r="C4" s="463"/>
      <c r="D4" s="463"/>
      <c r="E4" s="463"/>
      <c r="F4" s="463"/>
      <c r="G4" s="463"/>
    </row>
    <row r="5" spans="1:7">
      <c r="A5" s="464" t="s">
        <v>1003</v>
      </c>
      <c r="B5" s="464"/>
      <c r="C5" s="464"/>
      <c r="D5" s="464"/>
      <c r="E5" s="464"/>
      <c r="F5" s="464"/>
      <c r="G5" s="464"/>
    </row>
    <row r="6" spans="1:7">
      <c r="A6" s="4"/>
      <c r="B6" s="4"/>
      <c r="C6" s="4"/>
      <c r="D6" s="4"/>
      <c r="E6" s="4"/>
      <c r="F6" s="7"/>
      <c r="G6" s="7"/>
    </row>
    <row r="7" spans="1:7">
      <c r="A7" s="494" t="s">
        <v>430</v>
      </c>
      <c r="B7" s="494"/>
      <c r="C7" s="479" t="s">
        <v>437</v>
      </c>
      <c r="D7" s="479"/>
      <c r="E7" s="479"/>
      <c r="F7" s="479"/>
      <c r="G7" s="63"/>
    </row>
    <row r="8" spans="1:7" ht="15" customHeight="1">
      <c r="A8" s="491" t="s">
        <v>848</v>
      </c>
      <c r="B8" s="491"/>
      <c r="C8" s="481" t="s">
        <v>500</v>
      </c>
      <c r="D8" s="481"/>
      <c r="E8" s="481"/>
      <c r="F8" s="481"/>
      <c r="G8" s="63"/>
    </row>
    <row r="9" spans="1:7" ht="15" customHeight="1">
      <c r="A9" s="494" t="s">
        <v>431</v>
      </c>
      <c r="B9" s="494"/>
      <c r="C9" s="479" t="s">
        <v>907</v>
      </c>
      <c r="D9" s="479"/>
      <c r="E9" s="479"/>
      <c r="F9" s="479"/>
      <c r="G9" s="92"/>
    </row>
    <row r="10" spans="1:7" ht="15" customHeight="1">
      <c r="A10" s="492" t="s">
        <v>432</v>
      </c>
      <c r="B10" s="492"/>
      <c r="C10" s="481" t="s">
        <v>433</v>
      </c>
      <c r="D10" s="481"/>
      <c r="E10" s="481"/>
      <c r="F10" s="481"/>
      <c r="G10" s="83"/>
    </row>
    <row r="11" spans="1:7" ht="15" customHeight="1">
      <c r="A11" s="494" t="s">
        <v>429</v>
      </c>
      <c r="B11" s="494"/>
      <c r="C11" s="479" t="s">
        <v>474</v>
      </c>
      <c r="D11" s="479"/>
      <c r="E11" s="479"/>
      <c r="F11" s="479"/>
      <c r="G11" s="63"/>
    </row>
    <row r="12" spans="1:7" ht="15" customHeight="1">
      <c r="A12" s="493" t="s">
        <v>427</v>
      </c>
      <c r="B12" s="493"/>
      <c r="C12" s="481" t="s">
        <v>473</v>
      </c>
      <c r="D12" s="481"/>
      <c r="E12" s="481"/>
      <c r="F12" s="481"/>
      <c r="G12" s="63"/>
    </row>
    <row r="13" spans="1:7" ht="15" customHeight="1">
      <c r="A13" s="489" t="s">
        <v>193</v>
      </c>
      <c r="B13" s="489"/>
      <c r="C13" s="479" t="s">
        <v>903</v>
      </c>
      <c r="D13" s="479"/>
      <c r="E13" s="479"/>
      <c r="F13" s="479"/>
      <c r="G13" s="63"/>
    </row>
    <row r="14" spans="1:7">
      <c r="A14" s="490" t="s">
        <v>194</v>
      </c>
      <c r="B14" s="490"/>
      <c r="C14" s="472">
        <v>43556</v>
      </c>
      <c r="D14" s="472"/>
      <c r="E14" s="472"/>
      <c r="F14" s="472"/>
      <c r="G14" s="64"/>
    </row>
    <row r="15" spans="1:7">
      <c r="A15" s="62"/>
      <c r="B15" s="47"/>
      <c r="C15" s="47"/>
      <c r="D15" s="47"/>
      <c r="E15" s="47"/>
      <c r="F15" s="47"/>
      <c r="G15" s="47"/>
    </row>
    <row r="16" spans="1:7" s="349" customFormat="1" ht="17" customHeight="1">
      <c r="A16" s="346" t="s">
        <v>138</v>
      </c>
      <c r="B16" s="347" t="s">
        <v>462</v>
      </c>
      <c r="C16" s="348"/>
      <c r="D16" s="348"/>
      <c r="E16" s="348"/>
      <c r="F16" s="348"/>
      <c r="G16" s="348"/>
    </row>
    <row r="17" spans="1:7" s="65" customFormat="1" ht="62.25" customHeight="1">
      <c r="A17" s="340" t="s">
        <v>336</v>
      </c>
      <c r="B17" s="340" t="s">
        <v>337</v>
      </c>
      <c r="C17" s="340" t="s">
        <v>273</v>
      </c>
      <c r="D17" s="340" t="s">
        <v>494</v>
      </c>
      <c r="E17" s="340" t="s">
        <v>338</v>
      </c>
      <c r="F17" s="340" t="s">
        <v>339</v>
      </c>
      <c r="G17" s="154" t="s">
        <v>340</v>
      </c>
    </row>
    <row r="18" spans="1:7" s="65" customFormat="1" ht="32.25" customHeight="1">
      <c r="A18" s="128" t="s">
        <v>50</v>
      </c>
      <c r="B18" s="125" t="s">
        <v>341</v>
      </c>
      <c r="C18" s="245" t="s">
        <v>726</v>
      </c>
      <c r="D18" s="162"/>
      <c r="E18" s="162"/>
      <c r="F18" s="162"/>
      <c r="G18" s="163"/>
    </row>
    <row r="19" spans="1:7" s="65" customFormat="1" ht="16.5" customHeight="1">
      <c r="A19" s="124">
        <v>1</v>
      </c>
      <c r="B19" s="344" t="s">
        <v>795</v>
      </c>
      <c r="C19" s="180" t="s">
        <v>727</v>
      </c>
      <c r="D19" s="345">
        <v>673460</v>
      </c>
      <c r="E19" s="345">
        <v>99500</v>
      </c>
      <c r="F19" s="345">
        <v>67009270000</v>
      </c>
      <c r="G19" s="166">
        <v>6.1225109031685501E-2</v>
      </c>
    </row>
    <row r="20" spans="1:7" s="65" customFormat="1" ht="16.5" customHeight="1">
      <c r="A20" s="124">
        <v>2</v>
      </c>
      <c r="B20" s="344" t="s">
        <v>870</v>
      </c>
      <c r="C20" s="180" t="s">
        <v>728</v>
      </c>
      <c r="D20" s="345">
        <v>1670880</v>
      </c>
      <c r="E20" s="345">
        <v>25600</v>
      </c>
      <c r="F20" s="345">
        <v>42774528000</v>
      </c>
      <c r="G20" s="166">
        <v>3.9082281310912424E-2</v>
      </c>
    </row>
    <row r="21" spans="1:7" s="65" customFormat="1" ht="16.5" customHeight="1">
      <c r="A21" s="124">
        <v>3</v>
      </c>
      <c r="B21" s="344" t="s">
        <v>803</v>
      </c>
      <c r="C21" s="180" t="s">
        <v>729</v>
      </c>
      <c r="D21" s="345">
        <v>780463</v>
      </c>
      <c r="E21" s="345">
        <v>20200</v>
      </c>
      <c r="F21" s="345">
        <v>15765352600</v>
      </c>
      <c r="G21" s="166">
        <v>1.44045060013035E-2</v>
      </c>
    </row>
    <row r="22" spans="1:7" s="65" customFormat="1" ht="16.5" customHeight="1">
      <c r="A22" s="124">
        <v>4</v>
      </c>
      <c r="B22" s="344" t="s">
        <v>852</v>
      </c>
      <c r="C22" s="180" t="s">
        <v>730</v>
      </c>
      <c r="D22" s="345">
        <v>1237790</v>
      </c>
      <c r="E22" s="345">
        <v>35800</v>
      </c>
      <c r="F22" s="345">
        <v>44312882000</v>
      </c>
      <c r="G22" s="166">
        <v>4.0487846412268241E-2</v>
      </c>
    </row>
    <row r="23" spans="1:7" s="65" customFormat="1" ht="16.5" customHeight="1">
      <c r="A23" s="124">
        <v>5</v>
      </c>
      <c r="B23" s="344" t="s">
        <v>841</v>
      </c>
      <c r="C23" s="180" t="s">
        <v>731</v>
      </c>
      <c r="D23" s="345">
        <v>131400</v>
      </c>
      <c r="E23" s="345">
        <v>84700</v>
      </c>
      <c r="F23" s="345">
        <v>11129580000</v>
      </c>
      <c r="G23" s="166">
        <v>1.0168887811744052E-2</v>
      </c>
    </row>
    <row r="24" spans="1:7" s="65" customFormat="1" ht="16.5" customHeight="1">
      <c r="A24" s="124">
        <v>6</v>
      </c>
      <c r="B24" s="344" t="s">
        <v>794</v>
      </c>
      <c r="C24" s="180" t="s">
        <v>732</v>
      </c>
      <c r="D24" s="345">
        <v>1058010</v>
      </c>
      <c r="E24" s="345">
        <v>84800</v>
      </c>
      <c r="F24" s="345">
        <v>89719248000</v>
      </c>
      <c r="G24" s="166">
        <v>8.1974788578368804E-2</v>
      </c>
    </row>
    <row r="25" spans="1:7" s="65" customFormat="1" ht="16.5" customHeight="1">
      <c r="A25" s="124">
        <v>7</v>
      </c>
      <c r="B25" s="344" t="s">
        <v>843</v>
      </c>
      <c r="C25" s="180" t="s">
        <v>733</v>
      </c>
      <c r="D25" s="345">
        <v>70450</v>
      </c>
      <c r="E25" s="345">
        <v>143400</v>
      </c>
      <c r="F25" s="345">
        <v>10102530000</v>
      </c>
      <c r="G25" s="166">
        <v>9.2304915535697338E-3</v>
      </c>
    </row>
    <row r="26" spans="1:7" s="65" customFormat="1" ht="16.5" customHeight="1">
      <c r="A26" s="124">
        <v>8</v>
      </c>
      <c r="B26" s="344" t="s">
        <v>796</v>
      </c>
      <c r="C26" s="180" t="s">
        <v>734</v>
      </c>
      <c r="D26" s="345">
        <v>61520</v>
      </c>
      <c r="E26" s="345">
        <v>249700</v>
      </c>
      <c r="F26" s="345">
        <v>15361544000</v>
      </c>
      <c r="G26" s="166">
        <v>1.403555368227462E-2</v>
      </c>
    </row>
    <row r="27" spans="1:7" s="65" customFormat="1" ht="16.5" customHeight="1">
      <c r="A27" s="124">
        <v>9</v>
      </c>
      <c r="B27" s="344" t="s">
        <v>853</v>
      </c>
      <c r="C27" s="180" t="s">
        <v>735</v>
      </c>
      <c r="D27" s="345">
        <v>399900</v>
      </c>
      <c r="E27" s="345">
        <v>22300</v>
      </c>
      <c r="F27" s="345">
        <v>8917770000</v>
      </c>
      <c r="G27" s="166">
        <v>8.1479986361512966E-3</v>
      </c>
    </row>
    <row r="28" spans="1:7" s="65" customFormat="1" ht="16.5" customHeight="1">
      <c r="A28" s="124">
        <v>10</v>
      </c>
      <c r="B28" s="344" t="s">
        <v>888</v>
      </c>
      <c r="C28" s="180" t="s">
        <v>446</v>
      </c>
      <c r="D28" s="345">
        <v>52200</v>
      </c>
      <c r="E28" s="345">
        <v>198000</v>
      </c>
      <c r="F28" s="345">
        <v>10335600000</v>
      </c>
      <c r="G28" s="166">
        <v>9.4434432267041374E-3</v>
      </c>
    </row>
    <row r="29" spans="1:7" s="65" customFormat="1" ht="16.5" customHeight="1">
      <c r="A29" s="124">
        <v>11</v>
      </c>
      <c r="B29" s="344" t="s">
        <v>792</v>
      </c>
      <c r="C29" s="180" t="s">
        <v>447</v>
      </c>
      <c r="D29" s="345">
        <v>660901</v>
      </c>
      <c r="E29" s="345">
        <v>31700</v>
      </c>
      <c r="F29" s="345">
        <v>20950561700</v>
      </c>
      <c r="G29" s="166">
        <v>1.9142133981724534E-2</v>
      </c>
    </row>
    <row r="30" spans="1:7" s="65" customFormat="1" ht="16.5" customHeight="1">
      <c r="A30" s="124">
        <v>12</v>
      </c>
      <c r="B30" s="344" t="s">
        <v>784</v>
      </c>
      <c r="C30" s="180" t="s">
        <v>448</v>
      </c>
      <c r="D30" s="345">
        <v>1445652</v>
      </c>
      <c r="E30" s="345">
        <v>30300</v>
      </c>
      <c r="F30" s="345">
        <v>43803255600</v>
      </c>
      <c r="G30" s="166">
        <v>4.0022210360637994E-2</v>
      </c>
    </row>
    <row r="31" spans="1:7" s="65" customFormat="1" ht="16.5" customHeight="1">
      <c r="A31" s="124">
        <v>13</v>
      </c>
      <c r="B31" s="344" t="s">
        <v>811</v>
      </c>
      <c r="C31" s="180" t="s">
        <v>449</v>
      </c>
      <c r="D31" s="345">
        <v>624500</v>
      </c>
      <c r="E31" s="345">
        <v>22450</v>
      </c>
      <c r="F31" s="345">
        <v>14020025000</v>
      </c>
      <c r="G31" s="166">
        <v>1.2809833016416333E-2</v>
      </c>
    </row>
    <row r="32" spans="1:7" s="65" customFormat="1" ht="16.5" customHeight="1">
      <c r="A32" s="124">
        <v>14</v>
      </c>
      <c r="B32" s="344" t="s">
        <v>793</v>
      </c>
      <c r="C32" s="180" t="s">
        <v>450</v>
      </c>
      <c r="D32" s="345">
        <v>1714134</v>
      </c>
      <c r="E32" s="345">
        <v>22400</v>
      </c>
      <c r="F32" s="345">
        <v>38396601600</v>
      </c>
      <c r="G32" s="166">
        <v>3.5082252342193698E-2</v>
      </c>
    </row>
    <row r="33" spans="1:7" s="65" customFormat="1" ht="16.5" customHeight="1">
      <c r="A33" s="124">
        <v>15</v>
      </c>
      <c r="B33" s="344" t="s">
        <v>797</v>
      </c>
      <c r="C33" s="180" t="s">
        <v>451</v>
      </c>
      <c r="D33" s="345">
        <v>754495</v>
      </c>
      <c r="E33" s="345">
        <v>67300</v>
      </c>
      <c r="F33" s="345">
        <v>50777513500</v>
      </c>
      <c r="G33" s="166">
        <v>4.6394458563649217E-2</v>
      </c>
    </row>
    <row r="34" spans="1:7" s="65" customFormat="1" ht="16.5" customHeight="1">
      <c r="A34" s="124">
        <v>16</v>
      </c>
      <c r="B34" s="344" t="s">
        <v>868</v>
      </c>
      <c r="C34" s="180" t="s">
        <v>452</v>
      </c>
      <c r="D34" s="345">
        <v>253920</v>
      </c>
      <c r="E34" s="345">
        <v>37800</v>
      </c>
      <c r="F34" s="345">
        <v>9598176000</v>
      </c>
      <c r="G34" s="166">
        <v>8.7696727946044942E-3</v>
      </c>
    </row>
    <row r="35" spans="1:7" s="65" customFormat="1" ht="16.5" customHeight="1">
      <c r="A35" s="124">
        <v>17</v>
      </c>
      <c r="B35" s="344" t="s">
        <v>850</v>
      </c>
      <c r="C35" s="180" t="s">
        <v>453</v>
      </c>
      <c r="D35" s="345">
        <v>358313</v>
      </c>
      <c r="E35" s="345">
        <v>115900</v>
      </c>
      <c r="F35" s="345">
        <v>41528476700</v>
      </c>
      <c r="G35" s="166">
        <v>3.794378768605166E-2</v>
      </c>
    </row>
    <row r="36" spans="1:7" s="65" customFormat="1" ht="16.5" customHeight="1">
      <c r="A36" s="124">
        <v>18</v>
      </c>
      <c r="B36" s="344" t="s">
        <v>859</v>
      </c>
      <c r="C36" s="180" t="s">
        <v>454</v>
      </c>
      <c r="D36" s="345">
        <v>113700</v>
      </c>
      <c r="E36" s="345">
        <v>59400</v>
      </c>
      <c r="F36" s="345">
        <v>6753780000</v>
      </c>
      <c r="G36" s="166">
        <v>6.170801694691151E-3</v>
      </c>
    </row>
    <row r="37" spans="1:7" s="65" customFormat="1" ht="16.5" customHeight="1">
      <c r="A37" s="124">
        <v>19</v>
      </c>
      <c r="B37" s="344" t="s">
        <v>789</v>
      </c>
      <c r="C37" s="180" t="s">
        <v>455</v>
      </c>
      <c r="D37" s="345">
        <v>260440</v>
      </c>
      <c r="E37" s="345">
        <v>98200</v>
      </c>
      <c r="F37" s="345">
        <v>25575208000</v>
      </c>
      <c r="G37" s="166">
        <v>2.3367586280346516E-2</v>
      </c>
    </row>
    <row r="38" spans="1:7" s="65" customFormat="1" ht="16.5" customHeight="1">
      <c r="A38" s="124">
        <v>20</v>
      </c>
      <c r="B38" s="344" t="s">
        <v>851</v>
      </c>
      <c r="C38" s="180" t="s">
        <v>456</v>
      </c>
      <c r="D38" s="345">
        <v>352570</v>
      </c>
      <c r="E38" s="345">
        <v>27200</v>
      </c>
      <c r="F38" s="345">
        <v>9589904000</v>
      </c>
      <c r="G38" s="166">
        <v>8.762114823865368E-3</v>
      </c>
    </row>
    <row r="39" spans="1:7" s="65" customFormat="1" ht="16.5" customHeight="1">
      <c r="A39" s="124">
        <v>21</v>
      </c>
      <c r="B39" s="344" t="s">
        <v>905</v>
      </c>
      <c r="C39" s="180" t="s">
        <v>763</v>
      </c>
      <c r="D39" s="345">
        <v>114600</v>
      </c>
      <c r="E39" s="345">
        <v>95000</v>
      </c>
      <c r="F39" s="345">
        <v>10887000000</v>
      </c>
      <c r="G39" s="166">
        <v>9.9472470305669667E-3</v>
      </c>
    </row>
    <row r="40" spans="1:7" s="65" customFormat="1" ht="16.5" customHeight="1">
      <c r="A40" s="124">
        <v>22</v>
      </c>
      <c r="B40" s="344" t="s">
        <v>887</v>
      </c>
      <c r="C40" s="180" t="s">
        <v>764</v>
      </c>
      <c r="D40" s="345">
        <v>378700</v>
      </c>
      <c r="E40" s="345">
        <v>15150</v>
      </c>
      <c r="F40" s="345">
        <v>5737305000</v>
      </c>
      <c r="G40" s="166">
        <v>5.2420676150185547E-3</v>
      </c>
    </row>
    <row r="41" spans="1:7" s="65" customFormat="1" ht="16.5" customHeight="1">
      <c r="A41" s="124">
        <v>23</v>
      </c>
      <c r="B41" s="344" t="s">
        <v>842</v>
      </c>
      <c r="C41" s="180" t="s">
        <v>765</v>
      </c>
      <c r="D41" s="345">
        <v>245160</v>
      </c>
      <c r="E41" s="345">
        <v>84300</v>
      </c>
      <c r="F41" s="345">
        <v>20666988000</v>
      </c>
      <c r="G41" s="166">
        <v>1.8883038028268864E-2</v>
      </c>
    </row>
    <row r="42" spans="1:7" s="65" customFormat="1" ht="16.5" customHeight="1">
      <c r="A42" s="124">
        <v>24</v>
      </c>
      <c r="B42" s="344" t="s">
        <v>799</v>
      </c>
      <c r="C42" s="180" t="s">
        <v>780</v>
      </c>
      <c r="D42" s="345">
        <v>270863</v>
      </c>
      <c r="E42" s="345">
        <v>134800</v>
      </c>
      <c r="F42" s="345">
        <v>36512332400</v>
      </c>
      <c r="G42" s="166">
        <v>3.3360631031962344E-2</v>
      </c>
    </row>
    <row r="43" spans="1:7" s="65" customFormat="1" ht="16.5" customHeight="1">
      <c r="A43" s="124">
        <v>25</v>
      </c>
      <c r="B43" s="344" t="s">
        <v>854</v>
      </c>
      <c r="C43" s="180" t="s">
        <v>815</v>
      </c>
      <c r="D43" s="345">
        <v>145975</v>
      </c>
      <c r="E43" s="345">
        <v>27500</v>
      </c>
      <c r="F43" s="345">
        <v>4014312500</v>
      </c>
      <c r="G43" s="166">
        <v>3.6678017907038536E-3</v>
      </c>
    </row>
    <row r="44" spans="1:7" s="65" customFormat="1" ht="16.5" customHeight="1">
      <c r="A44" s="124">
        <v>26</v>
      </c>
      <c r="B44" s="344" t="s">
        <v>869</v>
      </c>
      <c r="C44" s="180" t="s">
        <v>816</v>
      </c>
      <c r="D44" s="345">
        <v>634350</v>
      </c>
      <c r="E44" s="345">
        <v>91500</v>
      </c>
      <c r="F44" s="345">
        <v>58043025000</v>
      </c>
      <c r="G44" s="166">
        <v>5.303281970022726E-2</v>
      </c>
    </row>
    <row r="45" spans="1:7" s="65" customFormat="1" ht="16.5" customHeight="1">
      <c r="A45" s="124">
        <v>27</v>
      </c>
      <c r="B45" s="344" t="s">
        <v>894</v>
      </c>
      <c r="C45" s="180" t="s">
        <v>844</v>
      </c>
      <c r="D45" s="345">
        <v>354270</v>
      </c>
      <c r="E45" s="345">
        <v>34600</v>
      </c>
      <c r="F45" s="345">
        <v>12257742000</v>
      </c>
      <c r="G45" s="166">
        <v>1.1199668201612565E-2</v>
      </c>
    </row>
    <row r="46" spans="1:7" s="65" customFormat="1" ht="16.5" customHeight="1">
      <c r="A46" s="124">
        <v>28</v>
      </c>
      <c r="B46" s="344" t="s">
        <v>798</v>
      </c>
      <c r="C46" s="180" t="s">
        <v>889</v>
      </c>
      <c r="D46" s="345">
        <v>105431</v>
      </c>
      <c r="E46" s="345">
        <v>116500</v>
      </c>
      <c r="F46" s="345">
        <v>12282711500</v>
      </c>
      <c r="G46" s="166">
        <v>1.1222482363891405E-2</v>
      </c>
    </row>
    <row r="47" spans="1:7" s="65" customFormat="1" ht="16.5" customHeight="1">
      <c r="A47" s="124">
        <v>29</v>
      </c>
      <c r="B47" s="344" t="s">
        <v>813</v>
      </c>
      <c r="C47" s="180" t="s">
        <v>890</v>
      </c>
      <c r="D47" s="345">
        <v>167905</v>
      </c>
      <c r="E47" s="345">
        <v>58000</v>
      </c>
      <c r="F47" s="345">
        <v>9738490000</v>
      </c>
      <c r="G47" s="166">
        <v>8.8978750560031322E-3</v>
      </c>
    </row>
    <row r="48" spans="1:7" s="65" customFormat="1" ht="16.5" customHeight="1">
      <c r="A48" s="124">
        <v>30</v>
      </c>
      <c r="B48" s="344" t="s">
        <v>791</v>
      </c>
      <c r="C48" s="180" t="s">
        <v>891</v>
      </c>
      <c r="D48" s="345">
        <v>1602358</v>
      </c>
      <c r="E48" s="345">
        <v>32200</v>
      </c>
      <c r="F48" s="345">
        <v>51595927600</v>
      </c>
      <c r="G48" s="166">
        <v>4.7142228126063029E-2</v>
      </c>
    </row>
    <row r="49" spans="1:7" s="65" customFormat="1" ht="16.5" customHeight="1">
      <c r="A49" s="124">
        <v>31</v>
      </c>
      <c r="B49" s="344" t="s">
        <v>788</v>
      </c>
      <c r="C49" s="180" t="s">
        <v>893</v>
      </c>
      <c r="D49" s="345">
        <v>1264493</v>
      </c>
      <c r="E49" s="345">
        <v>45500</v>
      </c>
      <c r="F49" s="345">
        <v>57534431500</v>
      </c>
      <c r="G49" s="166">
        <v>5.2568127389890099E-2</v>
      </c>
    </row>
    <row r="50" spans="1:7" s="65" customFormat="1" ht="16.5" customHeight="1">
      <c r="A50" s="124">
        <v>32</v>
      </c>
      <c r="B50" s="344" t="s">
        <v>886</v>
      </c>
      <c r="C50" s="180" t="s">
        <v>906</v>
      </c>
      <c r="D50" s="345">
        <v>1008000</v>
      </c>
      <c r="E50" s="345">
        <v>14700</v>
      </c>
      <c r="F50" s="345">
        <v>14817600000</v>
      </c>
      <c r="G50" s="166">
        <v>1.3538562285306244E-2</v>
      </c>
    </row>
    <row r="51" spans="1:7" s="65" customFormat="1" ht="31.5" customHeight="1">
      <c r="A51" s="155"/>
      <c r="B51" s="156" t="s">
        <v>342</v>
      </c>
      <c r="C51" s="248" t="s">
        <v>736</v>
      </c>
      <c r="D51" s="167"/>
      <c r="E51" s="167"/>
      <c r="F51" s="167">
        <v>870509672200</v>
      </c>
      <c r="G51" s="364">
        <v>0.79536830640867751</v>
      </c>
    </row>
    <row r="52" spans="1:7" s="65" customFormat="1" ht="25">
      <c r="A52" s="128" t="s">
        <v>60</v>
      </c>
      <c r="B52" s="125" t="s">
        <v>343</v>
      </c>
      <c r="C52" s="245" t="s">
        <v>737</v>
      </c>
      <c r="D52" s="162"/>
      <c r="E52" s="162"/>
      <c r="F52" s="162"/>
      <c r="G52" s="168"/>
    </row>
    <row r="53" spans="1:7" s="65" customFormat="1" ht="30" customHeight="1">
      <c r="A53" s="155"/>
      <c r="B53" s="156" t="s">
        <v>342</v>
      </c>
      <c r="C53" s="248" t="s">
        <v>738</v>
      </c>
      <c r="D53" s="167"/>
      <c r="E53" s="167"/>
      <c r="F53" s="167">
        <v>0</v>
      </c>
      <c r="G53" s="169">
        <v>0</v>
      </c>
    </row>
    <row r="54" spans="1:7" s="65" customFormat="1" ht="30" customHeight="1">
      <c r="A54" s="158"/>
      <c r="B54" s="159" t="s">
        <v>344</v>
      </c>
      <c r="C54" s="249" t="s">
        <v>739</v>
      </c>
      <c r="D54" s="170"/>
      <c r="E54" s="170"/>
      <c r="F54" s="170">
        <v>870509672200</v>
      </c>
      <c r="G54" s="171">
        <v>0.79536830640867751</v>
      </c>
    </row>
    <row r="55" spans="1:7" s="65" customFormat="1" ht="30" customHeight="1">
      <c r="A55" s="128" t="s">
        <v>138</v>
      </c>
      <c r="B55" s="125" t="s">
        <v>345</v>
      </c>
      <c r="C55" s="245" t="s">
        <v>740</v>
      </c>
      <c r="D55" s="162"/>
      <c r="E55" s="162"/>
      <c r="F55" s="162"/>
      <c r="G55" s="172"/>
    </row>
    <row r="56" spans="1:7" s="65" customFormat="1" ht="32.25" customHeight="1">
      <c r="A56" s="336">
        <v>1</v>
      </c>
      <c r="B56" s="126" t="s">
        <v>899</v>
      </c>
      <c r="C56" s="336">
        <v>2251.1</v>
      </c>
      <c r="D56" s="179">
        <v>300000</v>
      </c>
      <c r="E56" s="179">
        <v>100491</v>
      </c>
      <c r="F56" s="164">
        <v>30147300000</v>
      </c>
      <c r="G56" s="165">
        <v>2.7545020704015016E-2</v>
      </c>
    </row>
    <row r="57" spans="1:7" s="65" customFormat="1" ht="32.25" customHeight="1">
      <c r="A57" s="336">
        <v>2</v>
      </c>
      <c r="B57" s="126" t="s">
        <v>898</v>
      </c>
      <c r="C57" s="336">
        <v>2251.1999999999998</v>
      </c>
      <c r="D57" s="179">
        <v>500000</v>
      </c>
      <c r="E57" s="179">
        <v>100000</v>
      </c>
      <c r="F57" s="164">
        <v>50000000000</v>
      </c>
      <c r="G57" s="165">
        <v>4.5684059109795928E-2</v>
      </c>
    </row>
    <row r="58" spans="1:7" s="386" customFormat="1" ht="32.25" customHeight="1">
      <c r="A58" s="155"/>
      <c r="B58" s="156" t="s">
        <v>342</v>
      </c>
      <c r="C58" s="248" t="s">
        <v>741</v>
      </c>
      <c r="D58" s="167"/>
      <c r="E58" s="167"/>
      <c r="F58" s="167">
        <v>80147300000</v>
      </c>
      <c r="G58" s="169">
        <v>7.3229079813810952E-2</v>
      </c>
    </row>
    <row r="59" spans="1:7" s="386" customFormat="1" ht="32.25" customHeight="1">
      <c r="A59" s="128" t="s">
        <v>140</v>
      </c>
      <c r="B59" s="125" t="s">
        <v>346</v>
      </c>
      <c r="C59" s="245" t="s">
        <v>742</v>
      </c>
      <c r="D59" s="162"/>
      <c r="E59" s="162"/>
      <c r="F59" s="162"/>
      <c r="G59" s="172"/>
    </row>
    <row r="60" spans="1:7" s="65" customFormat="1" ht="32.25" customHeight="1">
      <c r="A60" s="124">
        <v>1</v>
      </c>
      <c r="B60" s="126" t="s">
        <v>878</v>
      </c>
      <c r="C60" s="247" t="s">
        <v>858</v>
      </c>
      <c r="D60" s="179">
        <v>0</v>
      </c>
      <c r="E60" s="179"/>
      <c r="F60" s="179">
        <v>0</v>
      </c>
      <c r="G60" s="165">
        <v>0</v>
      </c>
    </row>
    <row r="61" spans="1:7" s="65" customFormat="1" ht="32.25" customHeight="1">
      <c r="A61" s="336">
        <v>2</v>
      </c>
      <c r="B61" s="126" t="s">
        <v>895</v>
      </c>
      <c r="C61" s="280" t="s">
        <v>877</v>
      </c>
      <c r="D61" s="179">
        <v>0</v>
      </c>
      <c r="E61" s="401"/>
      <c r="F61" s="179">
        <v>0</v>
      </c>
      <c r="G61" s="165">
        <v>0</v>
      </c>
    </row>
    <row r="62" spans="1:7" s="65" customFormat="1" ht="32.25" customHeight="1">
      <c r="A62" s="160"/>
      <c r="B62" s="156" t="s">
        <v>342</v>
      </c>
      <c r="C62" s="250" t="s">
        <v>743</v>
      </c>
      <c r="D62" s="167"/>
      <c r="E62" s="167"/>
      <c r="F62" s="167">
        <v>0</v>
      </c>
      <c r="G62" s="364">
        <v>0</v>
      </c>
    </row>
    <row r="63" spans="1:7" s="65" customFormat="1" ht="32.25" customHeight="1">
      <c r="A63" s="128"/>
      <c r="B63" s="125" t="s">
        <v>347</v>
      </c>
      <c r="C63" s="245" t="s">
        <v>744</v>
      </c>
      <c r="D63" s="162"/>
      <c r="E63" s="162"/>
      <c r="F63" s="173">
        <v>950656972200</v>
      </c>
      <c r="G63" s="174">
        <v>0.8685973862224885</v>
      </c>
    </row>
    <row r="64" spans="1:7" s="65" customFormat="1" ht="32.25" customHeight="1">
      <c r="A64" s="128" t="s">
        <v>144</v>
      </c>
      <c r="B64" s="125" t="s">
        <v>348</v>
      </c>
      <c r="C64" s="245" t="s">
        <v>745</v>
      </c>
      <c r="D64" s="162"/>
      <c r="E64" s="162"/>
      <c r="F64" s="173"/>
      <c r="G64" s="175"/>
    </row>
    <row r="65" spans="1:7" s="65" customFormat="1" ht="39" customHeight="1">
      <c r="A65" s="124">
        <v>1</v>
      </c>
      <c r="B65" s="126" t="s">
        <v>349</v>
      </c>
      <c r="C65" s="247" t="s">
        <v>746</v>
      </c>
      <c r="D65" s="164"/>
      <c r="E65" s="164"/>
      <c r="F65" s="164">
        <v>1387280000</v>
      </c>
      <c r="G65" s="165">
        <v>1.2675316304367539E-3</v>
      </c>
    </row>
    <row r="66" spans="1:7" s="65" customFormat="1" ht="25">
      <c r="A66" s="124">
        <v>2</v>
      </c>
      <c r="B66" s="126" t="s">
        <v>350</v>
      </c>
      <c r="C66" s="247" t="s">
        <v>747</v>
      </c>
      <c r="D66" s="164"/>
      <c r="E66" s="164"/>
      <c r="F66" s="164">
        <v>2264931507</v>
      </c>
      <c r="G66" s="165">
        <v>2.0694252969085435E-3</v>
      </c>
    </row>
    <row r="67" spans="1:7" s="65" customFormat="1" ht="37.5">
      <c r="A67" s="124">
        <v>3</v>
      </c>
      <c r="B67" s="126" t="s">
        <v>879</v>
      </c>
      <c r="C67" s="247" t="s">
        <v>748</v>
      </c>
      <c r="D67" s="164"/>
      <c r="E67" s="164"/>
      <c r="F67" s="164">
        <v>3908285673</v>
      </c>
      <c r="G67" s="165">
        <v>3.5709270740660114E-3</v>
      </c>
    </row>
    <row r="68" spans="1:7" s="65" customFormat="1" ht="25">
      <c r="A68" s="124">
        <v>4</v>
      </c>
      <c r="B68" s="126" t="s">
        <v>351</v>
      </c>
      <c r="C68" s="247" t="s">
        <v>749</v>
      </c>
      <c r="D68" s="164"/>
      <c r="E68" s="164"/>
      <c r="F68" s="164">
        <v>0</v>
      </c>
      <c r="G68" s="165">
        <v>0</v>
      </c>
    </row>
    <row r="69" spans="1:7" s="65" customFormat="1" ht="41.25" customHeight="1">
      <c r="A69" s="124">
        <v>5</v>
      </c>
      <c r="B69" s="126" t="s">
        <v>678</v>
      </c>
      <c r="C69" s="247" t="s">
        <v>679</v>
      </c>
      <c r="D69" s="164"/>
      <c r="E69" s="164"/>
      <c r="F69" s="164">
        <v>0</v>
      </c>
      <c r="G69" s="165">
        <v>0</v>
      </c>
    </row>
    <row r="70" spans="1:7" s="65" customFormat="1" ht="32.25" customHeight="1">
      <c r="A70" s="124">
        <v>6</v>
      </c>
      <c r="B70" s="126" t="s">
        <v>352</v>
      </c>
      <c r="C70" s="247" t="s">
        <v>750</v>
      </c>
      <c r="D70" s="164"/>
      <c r="E70" s="164"/>
      <c r="F70" s="164">
        <v>0</v>
      </c>
      <c r="G70" s="165">
        <v>0</v>
      </c>
    </row>
    <row r="71" spans="1:7" s="65" customFormat="1" ht="32.25" customHeight="1">
      <c r="A71" s="124">
        <v>7</v>
      </c>
      <c r="B71" s="126" t="s">
        <v>353</v>
      </c>
      <c r="C71" s="247" t="s">
        <v>751</v>
      </c>
      <c r="D71" s="164"/>
      <c r="E71" s="164"/>
      <c r="F71" s="164">
        <v>-866400000</v>
      </c>
      <c r="G71" s="165">
        <v>-7.9161337625454394E-4</v>
      </c>
    </row>
    <row r="72" spans="1:7" s="111" customFormat="1" ht="36" customHeight="1">
      <c r="A72" s="155"/>
      <c r="B72" s="156" t="s">
        <v>342</v>
      </c>
      <c r="C72" s="248" t="s">
        <v>752</v>
      </c>
      <c r="D72" s="167"/>
      <c r="E72" s="167"/>
      <c r="F72" s="167">
        <v>6694097180</v>
      </c>
      <c r="G72" s="364">
        <v>6.1162706251567641E-3</v>
      </c>
    </row>
    <row r="73" spans="1:7" s="111" customFormat="1" ht="36" customHeight="1">
      <c r="A73" s="161" t="s">
        <v>71</v>
      </c>
      <c r="B73" s="176" t="s">
        <v>354</v>
      </c>
      <c r="C73" s="251" t="s">
        <v>753</v>
      </c>
      <c r="D73" s="177"/>
      <c r="E73" s="177"/>
      <c r="F73" s="177"/>
      <c r="G73" s="178"/>
    </row>
    <row r="74" spans="1:7" s="111" customFormat="1" ht="36" customHeight="1">
      <c r="A74" s="124">
        <v>1</v>
      </c>
      <c r="B74" s="126" t="s">
        <v>557</v>
      </c>
      <c r="C74" s="247" t="s">
        <v>754</v>
      </c>
      <c r="D74" s="179"/>
      <c r="E74" s="179"/>
      <c r="F74" s="179">
        <v>57122604245</v>
      </c>
      <c r="G74" s="165">
        <v>5.2191848576681202E-2</v>
      </c>
    </row>
    <row r="75" spans="1:7" s="111" customFormat="1" ht="36" customHeight="1">
      <c r="A75" s="124"/>
      <c r="B75" s="126" t="s">
        <v>278</v>
      </c>
      <c r="C75" s="247" t="s">
        <v>680</v>
      </c>
      <c r="D75" s="179"/>
      <c r="E75" s="179"/>
      <c r="F75" s="179">
        <v>17122604245</v>
      </c>
      <c r="G75" s="165">
        <v>1.5644601288844456E-2</v>
      </c>
    </row>
    <row r="76" spans="1:7" s="65" customFormat="1" ht="32.25" customHeight="1">
      <c r="A76" s="124"/>
      <c r="B76" s="126" t="s">
        <v>279</v>
      </c>
      <c r="C76" s="247" t="s">
        <v>681</v>
      </c>
      <c r="D76" s="179"/>
      <c r="E76" s="179"/>
      <c r="F76" s="179">
        <v>40000000000</v>
      </c>
      <c r="G76" s="165">
        <v>3.6547247287836745E-2</v>
      </c>
    </row>
    <row r="77" spans="1:7" s="65" customFormat="1" ht="32.25" customHeight="1">
      <c r="A77" s="124"/>
      <c r="B77" s="126" t="s">
        <v>682</v>
      </c>
      <c r="C77" s="247" t="s">
        <v>755</v>
      </c>
      <c r="D77" s="179"/>
      <c r="E77" s="179"/>
      <c r="F77" s="179">
        <v>0</v>
      </c>
      <c r="G77" s="165">
        <v>0</v>
      </c>
    </row>
    <row r="78" spans="1:7" s="65" customFormat="1" ht="32.25" customHeight="1">
      <c r="A78" s="124">
        <v>2</v>
      </c>
      <c r="B78" s="126" t="s">
        <v>355</v>
      </c>
      <c r="C78" s="247" t="s">
        <v>756</v>
      </c>
      <c r="D78" s="164"/>
      <c r="E78" s="164"/>
      <c r="F78" s="164">
        <v>80000000000</v>
      </c>
      <c r="G78" s="165">
        <v>7.3094494575673491E-2</v>
      </c>
    </row>
    <row r="79" spans="1:7" s="65" customFormat="1" ht="32.25" customHeight="1">
      <c r="A79" s="124">
        <v>3</v>
      </c>
      <c r="B79" s="126" t="s">
        <v>356</v>
      </c>
      <c r="C79" s="247" t="s">
        <v>757</v>
      </c>
      <c r="D79" s="164"/>
      <c r="E79" s="164"/>
      <c r="F79" s="164">
        <v>0</v>
      </c>
      <c r="G79" s="165">
        <v>0</v>
      </c>
    </row>
    <row r="80" spans="1:7" s="65" customFormat="1" ht="25">
      <c r="A80" s="155"/>
      <c r="B80" s="156" t="s">
        <v>342</v>
      </c>
      <c r="C80" s="250" t="s">
        <v>758</v>
      </c>
      <c r="D80" s="167"/>
      <c r="E80" s="167"/>
      <c r="F80" s="167">
        <v>137122604245</v>
      </c>
      <c r="G80" s="169">
        <v>0.12528634315235471</v>
      </c>
    </row>
    <row r="81" spans="1:7" s="65" customFormat="1" ht="25">
      <c r="A81" s="128" t="s">
        <v>147</v>
      </c>
      <c r="B81" s="125" t="s">
        <v>357</v>
      </c>
      <c r="C81" s="252" t="s">
        <v>759</v>
      </c>
      <c r="D81" s="173"/>
      <c r="E81" s="173"/>
      <c r="F81" s="173">
        <v>1094473673625</v>
      </c>
      <c r="G81" s="339">
        <v>1</v>
      </c>
    </row>
    <row r="82" spans="1:7" s="65" customFormat="1" ht="12.5">
      <c r="A82" s="34"/>
      <c r="B82" s="35"/>
      <c r="C82" s="35"/>
      <c r="D82" s="35"/>
      <c r="E82" s="35"/>
      <c r="F82" s="35"/>
      <c r="G82" s="35"/>
    </row>
    <row r="83" spans="1:7" s="65" customFormat="1" ht="12.5">
      <c r="A83" s="37"/>
      <c r="B83" s="54"/>
      <c r="C83" s="54"/>
      <c r="D83" s="54"/>
      <c r="E83" s="54"/>
      <c r="F83" s="54"/>
      <c r="G83" s="54"/>
    </row>
    <row r="84" spans="1:7" s="65" customFormat="1" ht="12.5">
      <c r="A84" s="48" t="s">
        <v>231</v>
      </c>
      <c r="B84" s="49"/>
      <c r="C84" s="50"/>
      <c r="D84" s="54"/>
      <c r="E84" s="51" t="s">
        <v>232</v>
      </c>
      <c r="F84" s="49"/>
      <c r="G84" s="49"/>
    </row>
    <row r="85" spans="1:7" s="65" customFormat="1" ht="12.5">
      <c r="A85" s="52" t="s">
        <v>233</v>
      </c>
      <c r="B85" s="49"/>
      <c r="C85" s="50"/>
      <c r="D85" s="54"/>
      <c r="E85" s="53" t="s">
        <v>234</v>
      </c>
      <c r="F85" s="49"/>
      <c r="G85" s="49"/>
    </row>
    <row r="86" spans="1:7" s="65" customFormat="1" ht="12.5">
      <c r="A86" s="49"/>
      <c r="B86" s="49"/>
      <c r="C86" s="50"/>
      <c r="D86" s="54"/>
      <c r="E86" s="50"/>
      <c r="F86" s="49"/>
      <c r="G86" s="49"/>
    </row>
    <row r="87" spans="1:7" s="65" customFormat="1" ht="12.5">
      <c r="A87" s="49"/>
      <c r="B87" s="49"/>
      <c r="C87" s="50"/>
      <c r="D87" s="54"/>
      <c r="E87" s="50"/>
      <c r="F87" s="49"/>
      <c r="G87" s="49"/>
    </row>
    <row r="88" spans="1:7" s="65" customFormat="1" ht="12.5">
      <c r="A88" s="49"/>
      <c r="B88" s="49"/>
      <c r="C88" s="50"/>
      <c r="D88" s="54"/>
      <c r="E88" s="50"/>
      <c r="F88" s="49"/>
      <c r="G88" s="49"/>
    </row>
    <row r="89" spans="1:7" s="65" customFormat="1" ht="12.5">
      <c r="A89" s="49"/>
      <c r="B89" s="49"/>
      <c r="C89" s="50"/>
      <c r="D89" s="54"/>
      <c r="E89" s="50"/>
      <c r="F89" s="49"/>
      <c r="G89" s="49"/>
    </row>
    <row r="90" spans="1:7" s="65" customFormat="1" ht="12.5">
      <c r="A90" s="49"/>
      <c r="B90" s="49"/>
      <c r="C90" s="50"/>
      <c r="D90" s="54"/>
      <c r="E90" s="50"/>
      <c r="F90" s="49"/>
      <c r="G90" s="49"/>
    </row>
    <row r="91" spans="1:7" s="65" customFormat="1" ht="12.5">
      <c r="A91" s="49"/>
      <c r="B91" s="49"/>
      <c r="C91" s="50"/>
      <c r="D91" s="54"/>
      <c r="E91" s="50"/>
      <c r="F91" s="49"/>
      <c r="G91" s="49"/>
    </row>
    <row r="92" spans="1:7" s="65" customFormat="1" ht="12.5">
      <c r="A92" s="49"/>
      <c r="B92" s="49"/>
      <c r="C92" s="50"/>
      <c r="D92" s="54"/>
      <c r="E92" s="50"/>
      <c r="F92" s="49"/>
      <c r="G92" s="49"/>
    </row>
    <row r="93" spans="1:7" s="65" customFormat="1" ht="12.5">
      <c r="A93" s="49"/>
      <c r="B93" s="49"/>
      <c r="C93" s="50"/>
      <c r="D93" s="54"/>
      <c r="E93" s="50"/>
      <c r="F93" s="49"/>
      <c r="G93" s="49"/>
    </row>
    <row r="94" spans="1:7" s="65" customFormat="1" ht="12.5">
      <c r="A94" s="49"/>
      <c r="B94" s="49"/>
      <c r="C94" s="50"/>
      <c r="D94" s="54"/>
      <c r="E94" s="50"/>
      <c r="F94" s="49"/>
      <c r="G94" s="49"/>
    </row>
    <row r="95" spans="1:7" s="65" customFormat="1" ht="12.5">
      <c r="A95" s="25"/>
      <c r="B95" s="25"/>
      <c r="C95" s="26"/>
      <c r="D95" s="54"/>
      <c r="E95" s="26"/>
      <c r="F95" s="25"/>
      <c r="G95" s="25"/>
    </row>
    <row r="96" spans="1:7" s="65" customFormat="1" ht="12.5">
      <c r="A96" s="48" t="s">
        <v>235</v>
      </c>
      <c r="B96" s="49"/>
      <c r="C96" s="50"/>
      <c r="D96" s="54"/>
      <c r="E96" s="270" t="s">
        <v>438</v>
      </c>
      <c r="F96" s="49"/>
      <c r="G96" s="49"/>
    </row>
    <row r="97" spans="1:7" s="65" customFormat="1" ht="12.5">
      <c r="A97" s="48" t="s">
        <v>908</v>
      </c>
      <c r="B97" s="49"/>
      <c r="C97" s="50"/>
      <c r="D97" s="54"/>
      <c r="E97" s="51" t="s">
        <v>439</v>
      </c>
      <c r="F97" s="49"/>
      <c r="G97" s="49"/>
    </row>
    <row r="98" spans="1:7">
      <c r="A98" s="49" t="s">
        <v>909</v>
      </c>
      <c r="B98" s="49"/>
      <c r="C98" s="50"/>
      <c r="D98" s="54"/>
      <c r="E98" s="50" t="s">
        <v>440</v>
      </c>
      <c r="F98" s="49"/>
      <c r="G98" s="49"/>
    </row>
    <row r="99" spans="1:7">
      <c r="A99" s="37"/>
      <c r="B99" s="54"/>
      <c r="C99" s="54"/>
      <c r="D99" s="54"/>
      <c r="E99" s="54"/>
      <c r="F99" s="54"/>
      <c r="G99" s="54"/>
    </row>
    <row r="100" spans="1:7">
      <c r="A100" s="62"/>
      <c r="B100" s="47"/>
      <c r="C100" s="47"/>
      <c r="D100" s="54"/>
      <c r="E100" s="47"/>
      <c r="F100" s="47"/>
      <c r="G100" s="47"/>
    </row>
    <row r="101" spans="1:7">
      <c r="A101" s="62"/>
      <c r="B101" s="47"/>
      <c r="C101" s="47"/>
      <c r="D101" s="47"/>
      <c r="E101" s="47"/>
      <c r="F101" s="47"/>
      <c r="G101" s="47"/>
    </row>
    <row r="102" spans="1:7">
      <c r="A102" s="62"/>
      <c r="B102" s="47"/>
      <c r="C102" s="47"/>
      <c r="D102" s="47"/>
      <c r="E102" s="47"/>
      <c r="F102" s="47"/>
      <c r="G102" s="47"/>
    </row>
    <row r="103" spans="1:7">
      <c r="A103" s="62"/>
      <c r="B103" s="47"/>
      <c r="C103" s="47"/>
      <c r="D103" s="47"/>
      <c r="E103" s="47"/>
      <c r="F103" s="47"/>
      <c r="G103" s="47"/>
    </row>
    <row r="104" spans="1:7">
      <c r="A104" s="62"/>
      <c r="B104" s="47"/>
      <c r="C104" s="47"/>
      <c r="D104" s="47"/>
      <c r="E104" s="47"/>
      <c r="F104" s="47"/>
      <c r="G104" s="47"/>
    </row>
    <row r="105" spans="1:7">
      <c r="A105" s="62"/>
      <c r="B105" s="47"/>
      <c r="C105" s="47"/>
      <c r="D105" s="47"/>
      <c r="E105" s="47"/>
      <c r="F105" s="47"/>
      <c r="G105" s="47"/>
    </row>
    <row r="106" spans="1:7">
      <c r="A106" s="62"/>
      <c r="B106" s="47"/>
      <c r="C106" s="47"/>
      <c r="D106" s="47"/>
      <c r="E106" s="47"/>
      <c r="F106" s="47"/>
      <c r="G106" s="47"/>
    </row>
    <row r="107" spans="1:7">
      <c r="A107" s="62"/>
      <c r="B107" s="47"/>
      <c r="C107" s="47"/>
      <c r="D107" s="47"/>
      <c r="E107" s="47"/>
      <c r="F107" s="47"/>
      <c r="G107" s="47"/>
    </row>
    <row r="108" spans="1:7">
      <c r="A108" s="62"/>
      <c r="B108" s="47"/>
      <c r="C108" s="47"/>
      <c r="D108" s="47"/>
      <c r="E108" s="47"/>
      <c r="F108" s="47"/>
      <c r="G108" s="47"/>
    </row>
    <row r="109" spans="1:7">
      <c r="A109" s="62"/>
      <c r="B109" s="47"/>
      <c r="C109" s="47"/>
      <c r="D109" s="47"/>
      <c r="E109" s="47"/>
      <c r="F109" s="47"/>
      <c r="G109" s="47"/>
    </row>
    <row r="110" spans="1:7">
      <c r="A110" s="62"/>
      <c r="B110" s="47"/>
      <c r="C110" s="47"/>
      <c r="D110" s="47"/>
      <c r="E110" s="47"/>
      <c r="F110" s="47"/>
      <c r="G110" s="47"/>
    </row>
    <row r="111" spans="1:7">
      <c r="A111" s="62"/>
      <c r="B111" s="47"/>
      <c r="C111" s="47"/>
      <c r="D111" s="47"/>
      <c r="E111" s="47"/>
      <c r="F111" s="47"/>
      <c r="G111" s="47"/>
    </row>
    <row r="112" spans="1:7">
      <c r="A112" s="62"/>
      <c r="B112" s="47"/>
      <c r="C112" s="47"/>
      <c r="D112" s="47"/>
      <c r="E112" s="47"/>
      <c r="F112" s="47"/>
      <c r="G112" s="47"/>
    </row>
    <row r="113" spans="1:7">
      <c r="A113" s="62"/>
      <c r="B113" s="47"/>
      <c r="C113" s="47"/>
      <c r="D113" s="47"/>
      <c r="E113" s="47"/>
      <c r="F113" s="47"/>
      <c r="G113" s="47"/>
    </row>
    <row r="114" spans="1:7">
      <c r="A114" s="62"/>
      <c r="B114" s="47"/>
      <c r="C114" s="47"/>
      <c r="D114" s="47"/>
      <c r="E114" s="47"/>
      <c r="F114" s="47"/>
      <c r="G114" s="47"/>
    </row>
    <row r="115" spans="1:7">
      <c r="A115" s="62"/>
      <c r="B115" s="47"/>
      <c r="C115" s="47"/>
      <c r="D115" s="47"/>
      <c r="E115" s="47"/>
      <c r="F115" s="47"/>
      <c r="G115" s="47"/>
    </row>
    <row r="116" spans="1:7">
      <c r="A116" s="62"/>
      <c r="B116" s="47"/>
      <c r="C116" s="47"/>
      <c r="D116" s="47"/>
      <c r="E116" s="47"/>
      <c r="F116" s="47"/>
      <c r="G116" s="47"/>
    </row>
    <row r="117" spans="1:7">
      <c r="A117" s="62"/>
      <c r="B117" s="47"/>
      <c r="C117" s="47"/>
      <c r="D117" s="47"/>
      <c r="E117" s="47"/>
      <c r="F117" s="47"/>
      <c r="G117" s="47"/>
    </row>
    <row r="118" spans="1:7">
      <c r="A118" s="62"/>
      <c r="B118" s="47"/>
      <c r="C118" s="47"/>
      <c r="D118" s="47"/>
      <c r="E118" s="47"/>
      <c r="F118" s="47"/>
      <c r="G118" s="47"/>
    </row>
    <row r="119" spans="1:7">
      <c r="A119" s="62"/>
      <c r="B119" s="47"/>
      <c r="C119" s="47"/>
      <c r="D119" s="47"/>
      <c r="E119" s="47"/>
      <c r="F119" s="47"/>
      <c r="G119" s="47"/>
    </row>
    <row r="120" spans="1:7">
      <c r="A120" s="62"/>
      <c r="B120" s="47"/>
      <c r="C120" s="47"/>
      <c r="D120" s="47"/>
      <c r="E120" s="47"/>
      <c r="F120" s="47"/>
      <c r="G120" s="47"/>
    </row>
    <row r="121" spans="1:7">
      <c r="A121" s="62"/>
      <c r="B121" s="47"/>
      <c r="C121" s="47"/>
      <c r="D121" s="47"/>
      <c r="E121" s="47"/>
      <c r="F121" s="47"/>
      <c r="G121" s="47"/>
    </row>
    <row r="122" spans="1:7">
      <c r="A122" s="62"/>
      <c r="B122" s="47"/>
      <c r="C122" s="47"/>
      <c r="D122" s="47"/>
      <c r="E122" s="47"/>
      <c r="F122" s="47"/>
      <c r="G122" s="47"/>
    </row>
    <row r="123" spans="1:7">
      <c r="A123" s="62"/>
      <c r="B123" s="47"/>
      <c r="C123" s="47"/>
      <c r="D123" s="47"/>
      <c r="E123" s="47"/>
      <c r="F123" s="47"/>
      <c r="G123" s="47"/>
    </row>
    <row r="124" spans="1:7">
      <c r="A124" s="62"/>
      <c r="B124" s="47"/>
      <c r="C124" s="47"/>
      <c r="D124" s="47"/>
      <c r="E124" s="47"/>
      <c r="F124" s="47"/>
      <c r="G124" s="47"/>
    </row>
    <row r="125" spans="1:7">
      <c r="A125" s="62"/>
      <c r="B125" s="47"/>
      <c r="C125" s="47"/>
      <c r="D125" s="47"/>
      <c r="E125" s="47"/>
      <c r="F125" s="47"/>
      <c r="G125" s="47"/>
    </row>
    <row r="126" spans="1:7">
      <c r="A126" s="62"/>
      <c r="B126" s="47"/>
      <c r="C126" s="47"/>
      <c r="D126" s="47"/>
      <c r="E126" s="47"/>
      <c r="F126" s="47"/>
      <c r="G126" s="47"/>
    </row>
    <row r="127" spans="1:7">
      <c r="A127" s="62"/>
      <c r="B127" s="47"/>
      <c r="C127" s="47"/>
      <c r="D127" s="47"/>
      <c r="E127" s="47"/>
      <c r="F127" s="47"/>
      <c r="G127" s="47"/>
    </row>
    <row r="128" spans="1:7">
      <c r="A128" s="62"/>
      <c r="B128" s="47"/>
      <c r="C128" s="47"/>
      <c r="D128" s="47"/>
      <c r="E128" s="47"/>
      <c r="F128" s="47"/>
      <c r="G128" s="47"/>
    </row>
    <row r="129" spans="1:7">
      <c r="A129" s="62"/>
      <c r="B129" s="47"/>
      <c r="C129" s="47"/>
      <c r="D129" s="47"/>
      <c r="E129" s="47"/>
      <c r="F129" s="47"/>
      <c r="G129" s="47"/>
    </row>
    <row r="130" spans="1:7">
      <c r="A130" s="62"/>
      <c r="B130" s="47"/>
      <c r="C130" s="47"/>
      <c r="D130" s="47"/>
      <c r="E130" s="47"/>
      <c r="F130" s="47"/>
      <c r="G130" s="47"/>
    </row>
    <row r="131" spans="1:7">
      <c r="A131" s="62"/>
      <c r="B131" s="47"/>
      <c r="C131" s="47"/>
      <c r="D131" s="47"/>
      <c r="E131" s="47"/>
      <c r="F131" s="47"/>
      <c r="G131" s="47"/>
    </row>
    <row r="132" spans="1:7">
      <c r="A132" s="62"/>
      <c r="B132" s="47"/>
      <c r="C132" s="47"/>
      <c r="D132" s="47"/>
      <c r="E132" s="47"/>
      <c r="F132" s="47"/>
      <c r="G132" s="47"/>
    </row>
    <row r="133" spans="1:7">
      <c r="A133" s="62"/>
      <c r="B133" s="47"/>
      <c r="C133" s="47"/>
      <c r="D133" s="47"/>
      <c r="E133" s="47"/>
      <c r="F133" s="47"/>
      <c r="G133" s="47"/>
    </row>
    <row r="134" spans="1:7">
      <c r="A134" s="62"/>
      <c r="B134" s="47"/>
      <c r="C134" s="47"/>
      <c r="D134" s="47"/>
      <c r="E134" s="47"/>
      <c r="F134" s="47"/>
      <c r="G134" s="47"/>
    </row>
    <row r="135" spans="1:7">
      <c r="A135" s="62"/>
      <c r="B135" s="47"/>
      <c r="C135" s="47"/>
      <c r="D135" s="47"/>
      <c r="E135" s="47"/>
      <c r="F135" s="47"/>
      <c r="G135" s="47"/>
    </row>
    <row r="136" spans="1:7">
      <c r="A136" s="62"/>
      <c r="B136" s="47"/>
      <c r="C136" s="47"/>
      <c r="D136" s="47"/>
      <c r="E136" s="47"/>
      <c r="F136" s="47"/>
      <c r="G136" s="47"/>
    </row>
    <row r="137" spans="1:7">
      <c r="A137" s="62"/>
      <c r="B137" s="47"/>
      <c r="C137" s="47"/>
      <c r="D137" s="47"/>
      <c r="E137" s="47"/>
      <c r="F137" s="47"/>
      <c r="G137" s="47"/>
    </row>
    <row r="138" spans="1:7">
      <c r="A138" s="62"/>
      <c r="B138" s="47"/>
      <c r="C138" s="47"/>
      <c r="D138" s="47"/>
      <c r="E138" s="47"/>
      <c r="F138" s="47"/>
      <c r="G138" s="47"/>
    </row>
    <row r="139" spans="1:7">
      <c r="A139" s="62"/>
      <c r="B139" s="47"/>
      <c r="C139" s="47"/>
      <c r="D139" s="47"/>
      <c r="E139" s="47"/>
      <c r="F139" s="47"/>
      <c r="G139" s="47"/>
    </row>
    <row r="140" spans="1:7">
      <c r="A140" s="62"/>
      <c r="B140" s="47"/>
      <c r="C140" s="47"/>
      <c r="D140" s="47"/>
      <c r="E140" s="47"/>
      <c r="F140" s="47"/>
      <c r="G140" s="47"/>
    </row>
    <row r="141" spans="1:7">
      <c r="A141" s="62"/>
      <c r="B141" s="47"/>
      <c r="C141" s="47"/>
      <c r="D141" s="47"/>
      <c r="E141" s="47"/>
      <c r="F141" s="47"/>
      <c r="G141" s="47"/>
    </row>
    <row r="142" spans="1:7">
      <c r="A142" s="62"/>
      <c r="B142" s="47"/>
      <c r="C142" s="47"/>
      <c r="D142" s="47"/>
      <c r="E142" s="47"/>
      <c r="F142" s="47"/>
      <c r="G142" s="47"/>
    </row>
    <row r="143" spans="1:7">
      <c r="A143" s="62"/>
      <c r="B143" s="47"/>
      <c r="C143" s="47"/>
      <c r="D143" s="47"/>
      <c r="E143" s="47"/>
      <c r="F143" s="47"/>
      <c r="G143" s="47"/>
    </row>
    <row r="144" spans="1:7">
      <c r="A144" s="62"/>
      <c r="B144" s="47"/>
      <c r="C144" s="47"/>
      <c r="D144" s="47"/>
      <c r="E144" s="47"/>
      <c r="F144" s="47"/>
      <c r="G144" s="47"/>
    </row>
    <row r="145" spans="1:7">
      <c r="A145" s="62"/>
      <c r="B145" s="47"/>
      <c r="C145" s="47"/>
      <c r="D145" s="47"/>
      <c r="E145" s="47"/>
      <c r="F145" s="47"/>
      <c r="G145" s="47"/>
    </row>
    <row r="146" spans="1:7">
      <c r="A146" s="62"/>
      <c r="B146" s="47"/>
      <c r="C146" s="47"/>
      <c r="D146" s="47"/>
      <c r="E146" s="47"/>
      <c r="F146" s="47"/>
      <c r="G146" s="47"/>
    </row>
    <row r="147" spans="1:7">
      <c r="A147" s="62"/>
      <c r="B147" s="47"/>
      <c r="C147" s="47"/>
      <c r="D147" s="47"/>
      <c r="E147" s="47"/>
      <c r="F147" s="47"/>
      <c r="G147" s="47"/>
    </row>
    <row r="148" spans="1:7">
      <c r="A148" s="62"/>
      <c r="B148" s="47"/>
      <c r="C148" s="47"/>
      <c r="D148" s="47"/>
      <c r="E148" s="47"/>
      <c r="F148" s="47"/>
      <c r="G148" s="47"/>
    </row>
    <row r="149" spans="1:7">
      <c r="A149" s="62"/>
      <c r="B149" s="47"/>
      <c r="C149" s="47"/>
      <c r="D149" s="47"/>
      <c r="E149" s="47"/>
      <c r="F149" s="47"/>
      <c r="G149" s="47"/>
    </row>
    <row r="150" spans="1:7">
      <c r="A150" s="62"/>
      <c r="B150" s="47"/>
      <c r="C150" s="47"/>
      <c r="D150" s="47"/>
      <c r="E150" s="47"/>
      <c r="F150" s="47"/>
      <c r="G150" s="47"/>
    </row>
    <row r="151" spans="1:7">
      <c r="A151" s="62"/>
      <c r="B151" s="47"/>
      <c r="C151" s="47"/>
      <c r="D151" s="47"/>
      <c r="E151" s="47"/>
      <c r="F151" s="47"/>
      <c r="G151" s="47"/>
    </row>
    <row r="152" spans="1:7">
      <c r="A152" s="62"/>
      <c r="B152" s="47"/>
      <c r="C152" s="47"/>
      <c r="D152" s="47"/>
      <c r="E152" s="47"/>
      <c r="F152" s="47"/>
      <c r="G152" s="47"/>
    </row>
    <row r="153" spans="1:7">
      <c r="A153" s="62"/>
      <c r="B153" s="47"/>
      <c r="C153" s="47"/>
      <c r="D153" s="47"/>
      <c r="E153" s="47"/>
      <c r="F153" s="47"/>
      <c r="G153" s="47"/>
    </row>
    <row r="154" spans="1:7">
      <c r="A154" s="62"/>
      <c r="B154" s="47"/>
      <c r="C154" s="47"/>
      <c r="D154" s="47"/>
      <c r="E154" s="47"/>
      <c r="F154" s="47"/>
      <c r="G154" s="47"/>
    </row>
    <row r="155" spans="1:7">
      <c r="A155" s="62"/>
      <c r="B155" s="47"/>
      <c r="C155" s="47"/>
      <c r="D155" s="47"/>
      <c r="E155" s="47"/>
      <c r="F155" s="47"/>
      <c r="G155" s="47"/>
    </row>
    <row r="156" spans="1:7">
      <c r="A156" s="62"/>
      <c r="B156" s="47"/>
      <c r="C156" s="47"/>
      <c r="D156" s="47"/>
      <c r="E156" s="47"/>
      <c r="F156" s="47"/>
      <c r="G156" s="47"/>
    </row>
    <row r="157" spans="1:7">
      <c r="A157" s="62"/>
      <c r="B157" s="47"/>
      <c r="C157" s="47"/>
      <c r="D157" s="47"/>
      <c r="E157" s="47"/>
      <c r="F157" s="47"/>
      <c r="G157" s="47"/>
    </row>
    <row r="158" spans="1:7">
      <c r="A158" s="62"/>
      <c r="B158" s="47"/>
      <c r="C158" s="47"/>
      <c r="D158" s="47"/>
      <c r="E158" s="47"/>
      <c r="F158" s="47"/>
      <c r="G158" s="47"/>
    </row>
    <row r="159" spans="1:7">
      <c r="A159" s="62"/>
      <c r="B159" s="47"/>
      <c r="C159" s="47"/>
      <c r="D159" s="47"/>
      <c r="E159" s="47"/>
      <c r="F159" s="47"/>
      <c r="G159" s="47"/>
    </row>
    <row r="160" spans="1:7">
      <c r="A160" s="62"/>
      <c r="B160" s="47"/>
      <c r="C160" s="47"/>
      <c r="D160" s="47"/>
      <c r="E160" s="47"/>
      <c r="F160" s="47"/>
      <c r="G160" s="47"/>
    </row>
    <row r="161" spans="1:7">
      <c r="A161" s="62"/>
      <c r="B161" s="47"/>
      <c r="C161" s="47"/>
      <c r="D161" s="47"/>
      <c r="E161" s="47"/>
      <c r="F161" s="47"/>
      <c r="G161" s="47"/>
    </row>
    <row r="162" spans="1:7">
      <c r="A162" s="62"/>
      <c r="B162" s="47"/>
      <c r="C162" s="47"/>
      <c r="D162" s="47"/>
      <c r="E162" s="47"/>
      <c r="F162" s="47"/>
      <c r="G162" s="47"/>
    </row>
    <row r="163" spans="1:7">
      <c r="A163" s="62"/>
      <c r="B163" s="47"/>
      <c r="C163" s="47"/>
      <c r="D163" s="47"/>
      <c r="E163" s="47"/>
      <c r="F163" s="47"/>
      <c r="G163" s="47"/>
    </row>
    <row r="164" spans="1:7">
      <c r="A164" s="62"/>
      <c r="B164" s="47"/>
      <c r="C164" s="47"/>
      <c r="D164" s="47"/>
      <c r="E164" s="47"/>
      <c r="F164" s="47"/>
      <c r="G164" s="47"/>
    </row>
    <row r="165" spans="1:7">
      <c r="A165" s="62"/>
      <c r="B165" s="47"/>
      <c r="C165" s="47"/>
      <c r="D165" s="47"/>
      <c r="E165" s="47"/>
      <c r="F165" s="47"/>
      <c r="G165" s="47"/>
    </row>
    <row r="166" spans="1:7">
      <c r="A166" s="62"/>
      <c r="B166" s="47"/>
      <c r="C166" s="47"/>
      <c r="D166" s="47"/>
      <c r="E166" s="47"/>
      <c r="F166" s="47"/>
      <c r="G166" s="47"/>
    </row>
    <row r="167" spans="1:7">
      <c r="A167" s="62"/>
      <c r="B167" s="47"/>
      <c r="C167" s="47"/>
      <c r="D167" s="47"/>
      <c r="E167" s="47"/>
      <c r="F167" s="47"/>
      <c r="G167" s="47"/>
    </row>
    <row r="168" spans="1:7">
      <c r="A168" s="62"/>
      <c r="B168" s="47"/>
      <c r="C168" s="47"/>
      <c r="D168" s="47"/>
      <c r="E168" s="47"/>
      <c r="F168" s="47"/>
      <c r="G168" s="47"/>
    </row>
    <row r="169" spans="1:7">
      <c r="A169" s="62"/>
      <c r="B169" s="47"/>
      <c r="C169" s="47"/>
      <c r="D169" s="47"/>
      <c r="E169" s="47"/>
      <c r="F169" s="47"/>
      <c r="G169" s="47"/>
    </row>
    <row r="170" spans="1:7">
      <c r="A170" s="62"/>
      <c r="B170" s="47"/>
      <c r="C170" s="47"/>
      <c r="D170" s="47"/>
      <c r="E170" s="47"/>
      <c r="F170" s="47"/>
      <c r="G170" s="47"/>
    </row>
    <row r="171" spans="1:7">
      <c r="A171" s="62"/>
      <c r="B171" s="47"/>
      <c r="C171" s="47"/>
      <c r="D171" s="47"/>
      <c r="E171" s="47"/>
      <c r="F171" s="47"/>
      <c r="G171" s="47"/>
    </row>
  </sheetData>
  <mergeCells count="20">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s>
  <printOptions horizontalCentered="1"/>
  <pageMargins left="0.37" right="0.38" top="0.43" bottom="0.44" header="0.22" footer="0.3"/>
  <pageSetup paperSize="9" scale="70" fitToHeight="2" orientation="portrait" r:id="rId1"/>
  <rowBreaks count="1" manualBreakCount="1">
    <brk id="54" max="6" man="1"/>
  </rowBreaks>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75"/>
  <sheetViews>
    <sheetView topLeftCell="A13" zoomScale="85" zoomScaleNormal="85" workbookViewId="0">
      <selection activeCell="N51" sqref="N51"/>
    </sheetView>
  </sheetViews>
  <sheetFormatPr defaultColWidth="9.08984375" defaultRowHeight="12.5"/>
  <cols>
    <col min="1" max="1" width="6.36328125" style="286" bestFit="1" customWidth="1"/>
    <col min="2" max="2" width="27.453125" style="286" bestFit="1" customWidth="1"/>
    <col min="3" max="3" width="10" style="286" bestFit="1" customWidth="1"/>
    <col min="4" max="4" width="11.54296875" style="286" bestFit="1" customWidth="1"/>
    <col min="5" max="5" width="11" style="286" bestFit="1" customWidth="1"/>
    <col min="6" max="6" width="16.36328125" style="286" bestFit="1" customWidth="1"/>
    <col min="7" max="7" width="14.453125" style="286" bestFit="1" customWidth="1"/>
    <col min="8" max="8" width="18" style="286" bestFit="1" customWidth="1"/>
    <col min="9" max="9" width="16.36328125" style="286" bestFit="1" customWidth="1"/>
    <col min="10" max="16384" width="9.08984375" style="286"/>
  </cols>
  <sheetData>
    <row r="1" spans="1:9" ht="13">
      <c r="A1" s="284"/>
      <c r="B1" s="285"/>
      <c r="C1" s="285"/>
      <c r="D1" s="495" t="s">
        <v>821</v>
      </c>
      <c r="E1" s="495"/>
      <c r="F1" s="495"/>
      <c r="G1" s="496" t="s">
        <v>822</v>
      </c>
      <c r="H1" s="496"/>
      <c r="I1" s="496"/>
    </row>
    <row r="2" spans="1:9" ht="26">
      <c r="A2" s="287"/>
      <c r="B2" s="287"/>
      <c r="C2" s="287"/>
      <c r="D2" s="288" t="s">
        <v>823</v>
      </c>
      <c r="E2" s="289" t="s">
        <v>824</v>
      </c>
      <c r="F2" s="289" t="s">
        <v>825</v>
      </c>
      <c r="G2" s="290" t="s">
        <v>826</v>
      </c>
      <c r="H2" s="290" t="s">
        <v>827</v>
      </c>
      <c r="I2" s="290" t="s">
        <v>828</v>
      </c>
    </row>
    <row r="3" spans="1:9" ht="13">
      <c r="A3" s="284"/>
      <c r="B3" s="285"/>
      <c r="C3" s="285"/>
      <c r="D3" s="291"/>
      <c r="E3" s="291"/>
      <c r="F3" s="291"/>
      <c r="G3" s="290"/>
      <c r="H3" s="290"/>
      <c r="I3" s="290"/>
    </row>
    <row r="4" spans="1:9" ht="13">
      <c r="A4" s="284"/>
      <c r="B4" s="292" t="s">
        <v>818</v>
      </c>
      <c r="C4" s="292" t="s">
        <v>819</v>
      </c>
      <c r="D4" s="293"/>
      <c r="E4" s="293"/>
      <c r="F4" s="293"/>
      <c r="G4" s="294"/>
      <c r="H4" s="294"/>
      <c r="I4" s="294"/>
    </row>
    <row r="5" spans="1:9">
      <c r="A5" s="295"/>
      <c r="B5" s="296" t="s">
        <v>787</v>
      </c>
      <c r="C5" s="332" t="s">
        <v>820</v>
      </c>
      <c r="D5" s="297">
        <v>66630</v>
      </c>
      <c r="E5" s="297">
        <v>105344.68859400001</v>
      </c>
      <c r="F5" s="297">
        <v>7019116601</v>
      </c>
      <c r="G5" s="298">
        <v>99500</v>
      </c>
      <c r="H5" s="297">
        <v>6629685000</v>
      </c>
      <c r="I5" s="299">
        <v>-389431601</v>
      </c>
    </row>
    <row r="6" spans="1:9">
      <c r="A6" s="295"/>
      <c r="B6" s="296" t="s">
        <v>811</v>
      </c>
      <c r="C6" s="332" t="s">
        <v>820</v>
      </c>
      <c r="D6" s="297">
        <v>773000</v>
      </c>
      <c r="E6" s="297">
        <v>20262.385863</v>
      </c>
      <c r="F6" s="297">
        <v>15662824272</v>
      </c>
      <c r="G6" s="298">
        <v>27200</v>
      </c>
      <c r="H6" s="297">
        <v>21025600000</v>
      </c>
      <c r="I6" s="299">
        <v>5362775728</v>
      </c>
    </row>
    <row r="7" spans="1:9">
      <c r="A7" s="295"/>
      <c r="B7" s="296" t="s">
        <v>788</v>
      </c>
      <c r="C7" s="332" t="s">
        <v>820</v>
      </c>
      <c r="D7" s="297">
        <v>612846</v>
      </c>
      <c r="E7" s="297">
        <v>33494.366813000001</v>
      </c>
      <c r="F7" s="297">
        <v>20526888724</v>
      </c>
      <c r="G7" s="298">
        <v>62900</v>
      </c>
      <c r="H7" s="297">
        <v>38548013400</v>
      </c>
      <c r="I7" s="299">
        <v>18021124676</v>
      </c>
    </row>
    <row r="8" spans="1:9">
      <c r="A8" s="295"/>
      <c r="B8" s="296" t="s">
        <v>799</v>
      </c>
      <c r="C8" s="332" t="s">
        <v>820</v>
      </c>
      <c r="D8" s="297">
        <v>406361</v>
      </c>
      <c r="E8" s="297">
        <v>152661.294868</v>
      </c>
      <c r="F8" s="297">
        <v>62035596444</v>
      </c>
      <c r="G8" s="298">
        <v>203500</v>
      </c>
      <c r="H8" s="297">
        <v>82694463500</v>
      </c>
      <c r="I8" s="299">
        <v>20658867056</v>
      </c>
    </row>
    <row r="9" spans="1:9">
      <c r="A9" s="295"/>
      <c r="B9" s="296" t="s">
        <v>791</v>
      </c>
      <c r="C9" s="332" t="s">
        <v>820</v>
      </c>
      <c r="D9" s="297">
        <v>1095142</v>
      </c>
      <c r="E9" s="297">
        <v>33365.695469999999</v>
      </c>
      <c r="F9" s="297">
        <v>36540174468</v>
      </c>
      <c r="G9" s="298">
        <v>62300</v>
      </c>
      <c r="H9" s="297">
        <v>68227346600</v>
      </c>
      <c r="I9" s="299">
        <v>31687172132</v>
      </c>
    </row>
    <row r="10" spans="1:9">
      <c r="A10" s="295"/>
      <c r="B10" s="296" t="s">
        <v>786</v>
      </c>
      <c r="C10" s="332" t="s">
        <v>820</v>
      </c>
      <c r="D10" s="297">
        <v>1013860.0000000002</v>
      </c>
      <c r="E10" s="297">
        <v>30338.867323999999</v>
      </c>
      <c r="F10" s="297">
        <v>30759364025</v>
      </c>
      <c r="G10" s="298">
        <v>37500</v>
      </c>
      <c r="H10" s="297">
        <v>38019750000</v>
      </c>
      <c r="I10" s="299">
        <v>7260385975</v>
      </c>
    </row>
    <row r="11" spans="1:9">
      <c r="A11" s="295"/>
      <c r="B11" s="296" t="s">
        <v>795</v>
      </c>
      <c r="C11" s="332" t="s">
        <v>820</v>
      </c>
      <c r="D11" s="297">
        <v>561450</v>
      </c>
      <c r="E11" s="297">
        <v>96018.533702000001</v>
      </c>
      <c r="F11" s="297">
        <v>53909605747</v>
      </c>
      <c r="G11" s="298">
        <v>149000</v>
      </c>
      <c r="H11" s="297">
        <v>83656050000</v>
      </c>
      <c r="I11" s="299">
        <v>29746444253</v>
      </c>
    </row>
    <row r="12" spans="1:9">
      <c r="A12" s="295"/>
      <c r="B12" s="296" t="s">
        <v>792</v>
      </c>
      <c r="C12" s="332" t="s">
        <v>820</v>
      </c>
      <c r="D12" s="297">
        <v>777926</v>
      </c>
      <c r="E12" s="297">
        <v>14968.121209000001</v>
      </c>
      <c r="F12" s="297">
        <v>11644090660</v>
      </c>
      <c r="G12" s="298">
        <v>34500</v>
      </c>
      <c r="H12" s="297">
        <v>26838447000</v>
      </c>
      <c r="I12" s="299">
        <v>15194356340</v>
      </c>
    </row>
    <row r="13" spans="1:9">
      <c r="A13" s="295"/>
      <c r="B13" s="296" t="s">
        <v>797</v>
      </c>
      <c r="C13" s="332" t="s">
        <v>820</v>
      </c>
      <c r="D13" s="297">
        <v>508295</v>
      </c>
      <c r="E13" s="297">
        <v>33803.564402999997</v>
      </c>
      <c r="F13" s="297">
        <v>17182182768</v>
      </c>
      <c r="G13" s="298">
        <v>66600</v>
      </c>
      <c r="H13" s="297">
        <v>33852447000</v>
      </c>
      <c r="I13" s="299">
        <v>16670264232</v>
      </c>
    </row>
    <row r="14" spans="1:9">
      <c r="A14" s="295"/>
      <c r="B14" s="296" t="s">
        <v>785</v>
      </c>
      <c r="C14" s="332" t="s">
        <v>820</v>
      </c>
      <c r="D14" s="297">
        <v>280498</v>
      </c>
      <c r="E14" s="297">
        <v>65036.072032999997</v>
      </c>
      <c r="F14" s="297">
        <v>18242488133</v>
      </c>
      <c r="G14" s="298">
        <v>85000</v>
      </c>
      <c r="H14" s="297">
        <v>23842330000</v>
      </c>
      <c r="I14" s="299">
        <v>5599841867</v>
      </c>
    </row>
    <row r="15" spans="1:9">
      <c r="A15" s="295"/>
      <c r="B15" s="296" t="s">
        <v>793</v>
      </c>
      <c r="C15" s="332" t="s">
        <v>820</v>
      </c>
      <c r="D15" s="297">
        <v>872382</v>
      </c>
      <c r="E15" s="297">
        <v>21237.653598000001</v>
      </c>
      <c r="F15" s="297">
        <v>18527346721</v>
      </c>
      <c r="G15" s="298">
        <v>31900</v>
      </c>
      <c r="H15" s="297">
        <v>27828985800</v>
      </c>
      <c r="I15" s="299">
        <v>9301639079</v>
      </c>
    </row>
    <row r="16" spans="1:9">
      <c r="A16" s="295"/>
      <c r="B16" s="296" t="s">
        <v>789</v>
      </c>
      <c r="C16" s="332" t="s">
        <v>820</v>
      </c>
      <c r="D16" s="297">
        <v>211030</v>
      </c>
      <c r="E16" s="297">
        <v>65775.608173999994</v>
      </c>
      <c r="F16" s="297">
        <v>13880626593</v>
      </c>
      <c r="G16" s="298">
        <v>124600</v>
      </c>
      <c r="H16" s="297">
        <v>26294338000</v>
      </c>
      <c r="I16" s="299">
        <v>12413711407</v>
      </c>
    </row>
    <row r="17" spans="1:9">
      <c r="A17" s="295"/>
      <c r="B17" s="296" t="s">
        <v>800</v>
      </c>
      <c r="C17" s="332" t="s">
        <v>820</v>
      </c>
      <c r="D17" s="297">
        <v>244900</v>
      </c>
      <c r="E17" s="297">
        <v>28442.476782000002</v>
      </c>
      <c r="F17" s="297">
        <v>6965562564</v>
      </c>
      <c r="G17" s="298">
        <v>26100</v>
      </c>
      <c r="H17" s="297">
        <v>6391890000</v>
      </c>
      <c r="I17" s="299">
        <v>-573672564</v>
      </c>
    </row>
    <row r="18" spans="1:9">
      <c r="A18" s="295"/>
      <c r="B18" s="296" t="s">
        <v>794</v>
      </c>
      <c r="C18" s="332" t="s">
        <v>820</v>
      </c>
      <c r="D18" s="297">
        <v>383530</v>
      </c>
      <c r="E18" s="297">
        <v>109105.749021</v>
      </c>
      <c r="F18" s="297">
        <v>41845327922</v>
      </c>
      <c r="G18" s="298">
        <v>125500</v>
      </c>
      <c r="H18" s="297">
        <v>48133015000</v>
      </c>
      <c r="I18" s="299">
        <v>6287687078</v>
      </c>
    </row>
    <row r="19" spans="1:9">
      <c r="A19" s="295"/>
      <c r="B19" s="296" t="s">
        <v>803</v>
      </c>
      <c r="C19" s="332" t="s">
        <v>820</v>
      </c>
      <c r="D19" s="297">
        <v>1519790</v>
      </c>
      <c r="E19" s="297">
        <v>39758.599193000002</v>
      </c>
      <c r="F19" s="297">
        <v>60424721468</v>
      </c>
      <c r="G19" s="298">
        <v>53300</v>
      </c>
      <c r="H19" s="297">
        <v>81004807000</v>
      </c>
      <c r="I19" s="299">
        <v>20580085532</v>
      </c>
    </row>
    <row r="20" spans="1:9">
      <c r="A20" s="295"/>
      <c r="B20" s="287" t="s">
        <v>796</v>
      </c>
      <c r="C20" s="332" t="s">
        <v>820</v>
      </c>
      <c r="D20" s="297">
        <v>84740</v>
      </c>
      <c r="E20" s="297">
        <v>213061.14818300001</v>
      </c>
      <c r="F20" s="297">
        <v>18054801697</v>
      </c>
      <c r="G20" s="298">
        <v>247000</v>
      </c>
      <c r="H20" s="297">
        <v>20930780000</v>
      </c>
      <c r="I20" s="299">
        <v>2875978303</v>
      </c>
    </row>
    <row r="21" spans="1:9">
      <c r="A21" s="295"/>
      <c r="B21" s="287" t="s">
        <v>801</v>
      </c>
      <c r="C21" s="332" t="s">
        <v>829</v>
      </c>
      <c r="D21" s="297">
        <v>589500</v>
      </c>
      <c r="E21" s="297">
        <v>16200</v>
      </c>
      <c r="F21" s="297">
        <v>9549900000</v>
      </c>
      <c r="G21" s="298">
        <v>26000</v>
      </c>
      <c r="H21" s="297">
        <v>15327000000</v>
      </c>
      <c r="I21" s="299">
        <v>5777100000</v>
      </c>
    </row>
    <row r="22" spans="1:9">
      <c r="A22" s="295"/>
      <c r="B22" s="287" t="s">
        <v>784</v>
      </c>
      <c r="C22" s="333" t="s">
        <v>829</v>
      </c>
      <c r="D22" s="297">
        <v>2455090</v>
      </c>
      <c r="E22" s="297">
        <v>25951.464286999999</v>
      </c>
      <c r="F22" s="297">
        <v>63713180457</v>
      </c>
      <c r="G22" s="298">
        <v>41700</v>
      </c>
      <c r="H22" s="297">
        <v>102377253000</v>
      </c>
      <c r="I22" s="299">
        <v>38664072543</v>
      </c>
    </row>
    <row r="23" spans="1:9">
      <c r="A23" s="295"/>
      <c r="B23" s="287" t="s">
        <v>790</v>
      </c>
      <c r="C23" s="333" t="s">
        <v>820</v>
      </c>
      <c r="D23" s="297">
        <v>3338080</v>
      </c>
      <c r="E23" s="297">
        <v>9430.1567070000001</v>
      </c>
      <c r="F23" s="297">
        <v>31478617501</v>
      </c>
      <c r="G23" s="298">
        <v>8200</v>
      </c>
      <c r="H23" s="297">
        <v>27372256000</v>
      </c>
      <c r="I23" s="299">
        <v>-4106361501</v>
      </c>
    </row>
    <row r="24" spans="1:9">
      <c r="A24" s="295"/>
      <c r="B24" s="287" t="s">
        <v>812</v>
      </c>
      <c r="C24" s="333" t="s">
        <v>820</v>
      </c>
      <c r="D24" s="297">
        <v>500000</v>
      </c>
      <c r="E24" s="297">
        <v>30000</v>
      </c>
      <c r="F24" s="297">
        <v>15000000000</v>
      </c>
      <c r="G24" s="300">
        <v>36500</v>
      </c>
      <c r="H24" s="301">
        <v>18250000000</v>
      </c>
      <c r="I24" s="302">
        <v>3250000000</v>
      </c>
    </row>
    <row r="25" spans="1:9">
      <c r="A25" s="295"/>
      <c r="B25" s="287" t="s">
        <v>798</v>
      </c>
      <c r="C25" s="333" t="s">
        <v>820</v>
      </c>
      <c r="D25" s="297">
        <v>215826</v>
      </c>
      <c r="E25" s="297">
        <v>79567.418378999995</v>
      </c>
      <c r="F25" s="297">
        <v>17172717639</v>
      </c>
      <c r="G25" s="300">
        <v>193000</v>
      </c>
      <c r="H25" s="301">
        <v>41654418000</v>
      </c>
      <c r="I25" s="302">
        <v>24481700361</v>
      </c>
    </row>
    <row r="26" spans="1:9">
      <c r="A26" s="295"/>
      <c r="B26" s="287" t="s">
        <v>813</v>
      </c>
      <c r="C26" s="333" t="s">
        <v>820</v>
      </c>
      <c r="D26" s="297">
        <v>221000</v>
      </c>
      <c r="E26" s="297">
        <v>43076.923076999999</v>
      </c>
      <c r="F26" s="297">
        <v>9520000000</v>
      </c>
      <c r="G26" s="300">
        <v>83700</v>
      </c>
      <c r="H26" s="301">
        <v>18497700000</v>
      </c>
      <c r="I26" s="302">
        <v>8977700000</v>
      </c>
    </row>
    <row r="27" spans="1:9">
      <c r="A27" s="295"/>
      <c r="B27" s="287" t="s">
        <v>830</v>
      </c>
      <c r="C27" s="333" t="s">
        <v>831</v>
      </c>
      <c r="D27" s="297">
        <v>59900</v>
      </c>
      <c r="E27" s="297">
        <v>55988.814691</v>
      </c>
      <c r="F27" s="297">
        <v>3353730000</v>
      </c>
      <c r="G27" s="300">
        <v>51900</v>
      </c>
      <c r="H27" s="301">
        <v>3108810000</v>
      </c>
      <c r="I27" s="302">
        <v>-244920000</v>
      </c>
    </row>
    <row r="28" spans="1:9">
      <c r="A28" s="295"/>
      <c r="B28" s="287" t="s">
        <v>841</v>
      </c>
      <c r="C28" s="333" t="s">
        <v>831</v>
      </c>
      <c r="D28" s="297">
        <v>180100</v>
      </c>
      <c r="E28" s="297">
        <v>109106.551916</v>
      </c>
      <c r="F28" s="297">
        <v>19650090000</v>
      </c>
      <c r="G28" s="298">
        <v>99900</v>
      </c>
      <c r="H28" s="301">
        <v>17991990000</v>
      </c>
      <c r="I28" s="302">
        <v>-1658100000</v>
      </c>
    </row>
    <row r="29" spans="1:9">
      <c r="A29" s="295"/>
      <c r="B29" s="287" t="s">
        <v>842</v>
      </c>
      <c r="C29" s="333" t="s">
        <v>820</v>
      </c>
      <c r="D29" s="297">
        <v>314680</v>
      </c>
      <c r="E29" s="297">
        <v>80030.243422</v>
      </c>
      <c r="F29" s="297">
        <v>25183917000</v>
      </c>
      <c r="G29" s="298">
        <v>92100</v>
      </c>
      <c r="H29" s="301">
        <v>28982028000</v>
      </c>
      <c r="I29" s="302">
        <v>3798111000</v>
      </c>
    </row>
    <row r="30" spans="1:9">
      <c r="A30" s="295"/>
      <c r="B30" s="287" t="s">
        <v>843</v>
      </c>
      <c r="C30" s="333" t="s">
        <v>820</v>
      </c>
      <c r="D30" s="297">
        <v>180000</v>
      </c>
      <c r="E30" s="297">
        <v>166000</v>
      </c>
      <c r="F30" s="297">
        <v>29880000000</v>
      </c>
      <c r="G30" s="298">
        <v>201000</v>
      </c>
      <c r="H30" s="301">
        <v>36180000000</v>
      </c>
      <c r="I30" s="302">
        <v>6300000000</v>
      </c>
    </row>
    <row r="31" spans="1:9">
      <c r="A31" s="295"/>
      <c r="B31" s="287" t="s">
        <v>833</v>
      </c>
      <c r="C31" s="333" t="s">
        <v>820</v>
      </c>
      <c r="D31" s="297">
        <v>550000</v>
      </c>
      <c r="E31" s="297">
        <v>48000</v>
      </c>
      <c r="F31" s="297">
        <v>26400000000</v>
      </c>
      <c r="G31" s="298">
        <v>65900</v>
      </c>
      <c r="H31" s="301">
        <v>36245000000</v>
      </c>
      <c r="I31" s="302">
        <v>9845000000</v>
      </c>
    </row>
    <row r="32" spans="1:9">
      <c r="A32" s="295"/>
      <c r="B32" s="287" t="s">
        <v>845</v>
      </c>
      <c r="C32" s="333" t="s">
        <v>820</v>
      </c>
      <c r="D32" s="297">
        <v>809000</v>
      </c>
      <c r="E32" s="297">
        <v>25504.587156000001</v>
      </c>
      <c r="F32" s="297">
        <v>20633211009</v>
      </c>
      <c r="G32" s="298">
        <v>46600</v>
      </c>
      <c r="H32" s="301">
        <v>37699400000</v>
      </c>
      <c r="I32" s="302">
        <v>17066188991</v>
      </c>
    </row>
    <row r="33" spans="1:10">
      <c r="A33" s="295"/>
      <c r="B33" s="287" t="s">
        <v>850</v>
      </c>
      <c r="C33" s="333" t="s">
        <v>820</v>
      </c>
      <c r="D33" s="297">
        <v>260000</v>
      </c>
      <c r="E33" s="297">
        <v>82069.496153999993</v>
      </c>
      <c r="F33" s="297">
        <v>21338069000</v>
      </c>
      <c r="G33" s="298">
        <v>86000</v>
      </c>
      <c r="H33" s="301">
        <v>22360000000</v>
      </c>
      <c r="I33" s="302">
        <v>1021931000</v>
      </c>
    </row>
    <row r="34" spans="1:10">
      <c r="A34" s="295"/>
      <c r="B34" s="287" t="s">
        <v>851</v>
      </c>
      <c r="C34" s="333" t="s">
        <v>820</v>
      </c>
      <c r="D34" s="297">
        <v>570000</v>
      </c>
      <c r="E34" s="297">
        <v>33548.842982000002</v>
      </c>
      <c r="F34" s="297">
        <v>19122840500</v>
      </c>
      <c r="G34" s="298">
        <v>34100</v>
      </c>
      <c r="H34" s="301">
        <v>19437000000</v>
      </c>
      <c r="I34" s="302">
        <v>314159500</v>
      </c>
    </row>
    <row r="35" spans="1:10">
      <c r="A35" s="295"/>
      <c r="B35" s="287" t="s">
        <v>852</v>
      </c>
      <c r="C35" s="333" t="s">
        <v>820</v>
      </c>
      <c r="D35" s="297">
        <v>926340</v>
      </c>
      <c r="E35" s="297">
        <v>31853.055574000002</v>
      </c>
      <c r="F35" s="297">
        <v>29506759500</v>
      </c>
      <c r="G35" s="298">
        <v>34200</v>
      </c>
      <c r="H35" s="301">
        <v>31680828000</v>
      </c>
      <c r="I35" s="302">
        <v>2174068500</v>
      </c>
    </row>
    <row r="36" spans="1:10">
      <c r="A36" s="295"/>
      <c r="B36" s="287" t="s">
        <v>853</v>
      </c>
      <c r="C36" s="333" t="s">
        <v>820</v>
      </c>
      <c r="D36" s="297">
        <v>280000</v>
      </c>
      <c r="E36" s="297">
        <v>28255.955356999999</v>
      </c>
      <c r="F36" s="297">
        <v>7911667500</v>
      </c>
      <c r="G36" s="298">
        <v>30500</v>
      </c>
      <c r="H36" s="301">
        <v>8540000000</v>
      </c>
      <c r="I36" s="302">
        <v>628332500</v>
      </c>
    </row>
    <row r="37" spans="1:10">
      <c r="A37" s="295"/>
      <c r="B37" s="287" t="s">
        <v>854</v>
      </c>
      <c r="C37" s="333" t="s">
        <v>820</v>
      </c>
      <c r="D37" s="297">
        <v>280000</v>
      </c>
      <c r="E37" s="297">
        <v>34396.221428999997</v>
      </c>
      <c r="F37" s="297">
        <v>9630942000</v>
      </c>
      <c r="G37" s="298">
        <v>34900</v>
      </c>
      <c r="H37" s="301">
        <v>9772000000</v>
      </c>
      <c r="I37" s="302">
        <v>141058000</v>
      </c>
    </row>
    <row r="38" spans="1:10">
      <c r="A38" s="295"/>
      <c r="B38" s="287" t="s">
        <v>814</v>
      </c>
      <c r="C38" s="333" t="s">
        <v>820</v>
      </c>
      <c r="D38" s="297">
        <v>650000</v>
      </c>
      <c r="E38" s="297">
        <v>27000</v>
      </c>
      <c r="F38" s="297">
        <v>17550000000</v>
      </c>
      <c r="G38" s="298">
        <v>41400</v>
      </c>
      <c r="H38" s="301">
        <v>26910000000</v>
      </c>
      <c r="I38" s="302">
        <v>9360000000</v>
      </c>
    </row>
    <row r="39" spans="1:10" ht="13.5" thickBot="1">
      <c r="A39" s="303"/>
      <c r="B39" s="304" t="s">
        <v>817</v>
      </c>
      <c r="C39" s="304"/>
      <c r="D39" s="305">
        <v>21791896</v>
      </c>
      <c r="E39" s="305">
        <v>1988654.5563609998</v>
      </c>
      <c r="F39" s="305">
        <v>809816360913</v>
      </c>
      <c r="G39" s="305">
        <v>2879340</v>
      </c>
      <c r="H39" s="305">
        <v>1136303631300</v>
      </c>
      <c r="I39" s="305">
        <v>326487270387</v>
      </c>
      <c r="J39" s="337"/>
    </row>
    <row r="40" spans="1:10" ht="13">
      <c r="A40" s="303"/>
      <c r="B40" s="306"/>
      <c r="C40" s="306"/>
      <c r="D40" s="307"/>
      <c r="E40" s="307"/>
      <c r="F40" s="307"/>
      <c r="G40" s="308"/>
      <c r="H40" s="308"/>
      <c r="I40" s="308"/>
    </row>
    <row r="41" spans="1:10" ht="13">
      <c r="A41" s="284"/>
      <c r="B41" s="292" t="s">
        <v>832</v>
      </c>
      <c r="C41" s="292"/>
      <c r="D41" s="293"/>
      <c r="E41" s="293"/>
      <c r="F41" s="293"/>
      <c r="G41" s="294"/>
      <c r="H41" s="294"/>
      <c r="I41" s="294"/>
    </row>
    <row r="42" spans="1:10">
      <c r="A42" s="303"/>
      <c r="B42" s="296"/>
      <c r="C42" s="332"/>
      <c r="D42" s="309"/>
      <c r="E42" s="309"/>
      <c r="F42" s="309"/>
      <c r="G42" s="298"/>
      <c r="H42" s="297"/>
      <c r="I42" s="299"/>
    </row>
    <row r="43" spans="1:10">
      <c r="A43" s="303"/>
      <c r="B43" s="287" t="s">
        <v>846</v>
      </c>
      <c r="C43" s="333" t="s">
        <v>834</v>
      </c>
      <c r="D43" s="309">
        <v>1050000</v>
      </c>
      <c r="E43" s="309">
        <v>34000</v>
      </c>
      <c r="F43" s="309">
        <v>35700000000</v>
      </c>
      <c r="G43" s="310">
        <v>34000</v>
      </c>
      <c r="H43" s="301">
        <v>35700000000</v>
      </c>
      <c r="I43" s="299">
        <v>0</v>
      </c>
    </row>
    <row r="44" spans="1:10">
      <c r="A44" s="303"/>
      <c r="B44" s="287" t="s">
        <v>847</v>
      </c>
      <c r="C44" s="333" t="s">
        <v>834</v>
      </c>
      <c r="D44" s="309">
        <v>800000</v>
      </c>
      <c r="E44" s="309">
        <v>31000</v>
      </c>
      <c r="F44" s="309">
        <v>24800000000</v>
      </c>
      <c r="G44" s="310">
        <v>31000</v>
      </c>
      <c r="H44" s="301">
        <v>24800000000</v>
      </c>
      <c r="I44" s="299">
        <v>0</v>
      </c>
    </row>
    <row r="45" spans="1:10">
      <c r="A45" s="303"/>
      <c r="B45" s="287" t="s">
        <v>855</v>
      </c>
      <c r="C45" s="333" t="s">
        <v>834</v>
      </c>
      <c r="D45" s="309">
        <v>213000</v>
      </c>
      <c r="E45" s="309">
        <v>133971.83098599999</v>
      </c>
      <c r="F45" s="309">
        <v>28536000000</v>
      </c>
      <c r="G45" s="310">
        <v>146000</v>
      </c>
      <c r="H45" s="301">
        <v>31098000000</v>
      </c>
      <c r="I45" s="299">
        <v>2562000000</v>
      </c>
    </row>
    <row r="46" spans="1:10">
      <c r="A46" s="303"/>
      <c r="B46" s="287" t="s">
        <v>856</v>
      </c>
      <c r="C46" s="333" t="s">
        <v>834</v>
      </c>
      <c r="D46" s="350">
        <v>1000000</v>
      </c>
      <c r="E46" s="350">
        <v>22500</v>
      </c>
      <c r="F46" s="350">
        <v>22500000000</v>
      </c>
      <c r="G46" s="310">
        <v>23043</v>
      </c>
      <c r="H46" s="301">
        <v>23043000000</v>
      </c>
      <c r="I46" s="302">
        <v>543000000</v>
      </c>
    </row>
    <row r="47" spans="1:10" ht="13.5" thickBot="1">
      <c r="A47" s="303"/>
      <c r="B47" s="304" t="s">
        <v>817</v>
      </c>
      <c r="C47" s="304"/>
      <c r="D47" s="305">
        <v>3063000</v>
      </c>
      <c r="E47" s="305">
        <v>221471.83098599999</v>
      </c>
      <c r="F47" s="305">
        <v>111536000000</v>
      </c>
      <c r="G47" s="305">
        <v>234043</v>
      </c>
      <c r="H47" s="305">
        <v>114641000000</v>
      </c>
      <c r="I47" s="305">
        <v>3105000000</v>
      </c>
    </row>
    <row r="48" spans="1:10" ht="13.5" thickBot="1">
      <c r="A48" s="303"/>
      <c r="B48" s="306" t="s">
        <v>835</v>
      </c>
      <c r="C48" s="306"/>
      <c r="D48" s="282"/>
      <c r="E48" s="282"/>
      <c r="F48" s="282"/>
      <c r="G48" s="311"/>
      <c r="H48" s="312"/>
      <c r="I48" s="312"/>
    </row>
    <row r="49" spans="1:9" ht="13.5" thickBot="1">
      <c r="A49" s="303"/>
      <c r="B49" s="313" t="s">
        <v>817</v>
      </c>
      <c r="C49" s="313"/>
      <c r="D49" s="314"/>
      <c r="E49" s="314"/>
      <c r="F49" s="314"/>
      <c r="G49" s="313"/>
      <c r="H49" s="313">
        <v>0</v>
      </c>
      <c r="I49" s="313">
        <v>0</v>
      </c>
    </row>
    <row r="50" spans="1:9" ht="13" thickBot="1">
      <c r="A50" s="303"/>
      <c r="B50" s="315"/>
      <c r="C50" s="315"/>
      <c r="D50" s="282"/>
      <c r="E50" s="282"/>
      <c r="F50" s="282"/>
      <c r="G50" s="315"/>
      <c r="H50" s="315"/>
      <c r="I50" s="315"/>
    </row>
    <row r="51" spans="1:9" ht="13.5" thickBot="1">
      <c r="A51" s="303"/>
      <c r="B51" s="313" t="s">
        <v>836</v>
      </c>
      <c r="C51" s="313"/>
      <c r="D51" s="314"/>
      <c r="E51" s="314"/>
      <c r="F51" s="314"/>
      <c r="G51" s="313"/>
      <c r="H51" s="313">
        <f>+H39+H47</f>
        <v>1250944631300</v>
      </c>
      <c r="I51" s="313">
        <f>+I39+I47</f>
        <v>329592270387</v>
      </c>
    </row>
    <row r="52" spans="1:9" ht="13">
      <c r="A52" s="303"/>
      <c r="B52" s="287"/>
      <c r="C52" s="287"/>
      <c r="D52" s="307"/>
      <c r="E52" s="307"/>
      <c r="F52" s="307"/>
      <c r="G52" s="312"/>
      <c r="H52" s="308"/>
      <c r="I52" s="308"/>
    </row>
    <row r="53" spans="1:9" ht="13">
      <c r="A53" s="303"/>
      <c r="B53" s="306" t="s">
        <v>837</v>
      </c>
      <c r="C53" s="306"/>
      <c r="D53" s="282"/>
      <c r="E53" s="282"/>
      <c r="F53" s="282"/>
      <c r="G53" s="312"/>
      <c r="H53" s="312"/>
      <c r="I53" s="312"/>
    </row>
    <row r="54" spans="1:9" ht="13" thickBot="1">
      <c r="A54" s="303"/>
      <c r="B54" s="287"/>
      <c r="C54" s="287"/>
      <c r="D54" s="316"/>
      <c r="E54" s="316"/>
      <c r="F54" s="316"/>
      <c r="G54" s="312"/>
      <c r="H54" s="316"/>
      <c r="I54" s="317"/>
    </row>
    <row r="55" spans="1:9" ht="13.5" thickBot="1">
      <c r="A55" s="303"/>
      <c r="B55" s="313" t="s">
        <v>817</v>
      </c>
      <c r="C55" s="313"/>
      <c r="D55" s="314"/>
      <c r="E55" s="314"/>
      <c r="F55" s="314"/>
      <c r="G55" s="313"/>
      <c r="H55" s="313">
        <v>0</v>
      </c>
      <c r="I55" s="313">
        <v>0</v>
      </c>
    </row>
    <row r="56" spans="1:9">
      <c r="A56" s="303"/>
      <c r="B56" s="315"/>
      <c r="C56" s="315"/>
      <c r="D56" s="282"/>
      <c r="E56" s="282"/>
      <c r="F56" s="282"/>
      <c r="G56" s="312"/>
      <c r="H56" s="318"/>
      <c r="I56" s="318"/>
    </row>
    <row r="57" spans="1:9" ht="13">
      <c r="A57" s="303"/>
      <c r="B57" s="306" t="s">
        <v>838</v>
      </c>
      <c r="C57" s="306"/>
      <c r="D57" s="319"/>
      <c r="E57" s="319"/>
      <c r="F57" s="319"/>
      <c r="G57" s="312"/>
      <c r="H57" s="315"/>
      <c r="I57" s="315"/>
    </row>
    <row r="58" spans="1:9" ht="13" thickBot="1">
      <c r="A58" s="303"/>
      <c r="B58" s="318" t="s">
        <v>839</v>
      </c>
      <c r="C58" s="318"/>
      <c r="D58" s="309"/>
      <c r="E58" s="320"/>
      <c r="F58" s="309"/>
      <c r="G58" s="321"/>
      <c r="H58" s="316"/>
      <c r="I58" s="317"/>
    </row>
    <row r="59" spans="1:9" ht="13.5" thickBot="1">
      <c r="A59" s="303"/>
      <c r="B59" s="313" t="s">
        <v>817</v>
      </c>
      <c r="C59" s="313"/>
      <c r="D59" s="314"/>
      <c r="E59" s="314"/>
      <c r="F59" s="314"/>
      <c r="G59" s="313"/>
      <c r="H59" s="313"/>
      <c r="I59" s="313"/>
    </row>
    <row r="60" spans="1:9" ht="13" thickBot="1">
      <c r="A60" s="303"/>
      <c r="B60" s="315"/>
      <c r="C60" s="315"/>
      <c r="D60" s="282"/>
      <c r="E60" s="282"/>
      <c r="F60" s="282"/>
      <c r="G60" s="315"/>
      <c r="H60" s="315"/>
      <c r="I60" s="315"/>
    </row>
    <row r="61" spans="1:9" ht="13.5" thickBot="1">
      <c r="A61" s="303"/>
      <c r="B61" s="313" t="s">
        <v>840</v>
      </c>
      <c r="C61" s="313"/>
      <c r="D61" s="314"/>
      <c r="E61" s="314"/>
      <c r="F61" s="314"/>
      <c r="G61" s="313"/>
      <c r="H61" s="313">
        <f>+H39+H47</f>
        <v>1250944631300</v>
      </c>
      <c r="I61" s="313">
        <f>+I39+I47</f>
        <v>329592270387</v>
      </c>
    </row>
    <row r="62" spans="1:9">
      <c r="A62" s="303"/>
      <c r="B62" s="322"/>
      <c r="C62" s="322"/>
      <c r="D62" s="282"/>
      <c r="E62" s="282"/>
      <c r="F62" s="282"/>
      <c r="G62" s="322"/>
      <c r="H62" s="322"/>
      <c r="I62" s="322"/>
    </row>
    <row r="63" spans="1:9">
      <c r="A63" s="303"/>
      <c r="B63" s="315"/>
      <c r="C63" s="315"/>
      <c r="D63" s="282"/>
      <c r="E63" s="282"/>
      <c r="F63" s="282"/>
      <c r="G63" s="323"/>
      <c r="H63" s="282"/>
      <c r="I63" s="315"/>
    </row>
    <row r="64" spans="1:9">
      <c r="A64" s="303"/>
      <c r="B64" s="324"/>
      <c r="C64" s="325"/>
      <c r="D64" s="282"/>
      <c r="E64" s="282"/>
      <c r="F64" s="282"/>
      <c r="G64" s="323"/>
      <c r="H64" s="315"/>
      <c r="I64" s="315"/>
    </row>
    <row r="65" spans="1:9">
      <c r="A65" s="303"/>
      <c r="B65" s="324"/>
      <c r="C65" s="325"/>
      <c r="D65" s="283"/>
      <c r="E65" s="283"/>
      <c r="F65" s="283"/>
      <c r="G65" s="324"/>
      <c r="H65" s="324"/>
      <c r="I65" s="315"/>
    </row>
    <row r="66" spans="1:9">
      <c r="A66" s="303"/>
      <c r="B66" s="324"/>
      <c r="C66" s="325"/>
      <c r="D66" s="319"/>
      <c r="E66" s="319"/>
      <c r="F66" s="319"/>
      <c r="G66" s="318"/>
      <c r="H66" s="283"/>
      <c r="I66" s="334"/>
    </row>
    <row r="67" spans="1:9">
      <c r="A67" s="303"/>
      <c r="B67" s="324"/>
      <c r="C67" s="325"/>
      <c r="D67" s="319"/>
      <c r="E67" s="319"/>
      <c r="F67" s="319"/>
      <c r="G67" s="318"/>
      <c r="H67" s="324"/>
      <c r="I67" s="334"/>
    </row>
    <row r="68" spans="1:9">
      <c r="A68" s="303"/>
      <c r="B68" s="324"/>
      <c r="C68" s="325"/>
      <c r="D68" s="319"/>
      <c r="E68" s="319"/>
      <c r="F68" s="319"/>
      <c r="G68" s="318"/>
      <c r="H68" s="283"/>
      <c r="I68" s="334"/>
    </row>
    <row r="69" spans="1:9">
      <c r="A69" s="303"/>
      <c r="B69" s="324"/>
      <c r="C69" s="325"/>
      <c r="D69" s="283"/>
      <c r="E69" s="283"/>
      <c r="F69" s="283"/>
      <c r="G69" s="324"/>
      <c r="H69" s="324"/>
      <c r="I69" s="335"/>
    </row>
    <row r="70" spans="1:9">
      <c r="A70" s="303"/>
      <c r="B70" s="326"/>
      <c r="C70" s="325"/>
      <c r="D70" s="283"/>
      <c r="E70" s="283"/>
      <c r="F70" s="283"/>
      <c r="G70" s="324"/>
      <c r="H70" s="324"/>
      <c r="I70" s="312"/>
    </row>
    <row r="71" spans="1:9">
      <c r="A71" s="303"/>
      <c r="B71" s="326"/>
      <c r="C71" s="325"/>
      <c r="D71" s="327"/>
      <c r="E71" s="327"/>
      <c r="F71" s="327"/>
      <c r="G71" s="328"/>
      <c r="H71" s="328"/>
      <c r="I71" s="325"/>
    </row>
    <row r="72" spans="1:9">
      <c r="A72" s="303"/>
      <c r="B72" s="326"/>
      <c r="C72" s="325"/>
      <c r="D72" s="329"/>
      <c r="E72" s="329"/>
      <c r="F72" s="329"/>
      <c r="G72" s="330"/>
      <c r="H72" s="284"/>
      <c r="I72" s="284"/>
    </row>
    <row r="73" spans="1:9">
      <c r="A73" s="303"/>
      <c r="B73" s="326"/>
      <c r="C73" s="325"/>
      <c r="D73" s="329"/>
      <c r="E73" s="329"/>
      <c r="F73" s="329"/>
      <c r="G73" s="330"/>
      <c r="H73" s="284"/>
      <c r="I73" s="284"/>
    </row>
    <row r="74" spans="1:9">
      <c r="A74" s="303"/>
      <c r="B74" s="326"/>
      <c r="C74" s="325"/>
      <c r="D74" s="331"/>
      <c r="E74" s="331"/>
      <c r="F74" s="331"/>
      <c r="G74" s="325"/>
      <c r="H74" s="325"/>
      <c r="I74" s="325"/>
    </row>
    <row r="75" spans="1:9">
      <c r="A75" s="303"/>
      <c r="B75" s="326"/>
      <c r="C75" s="326"/>
      <c r="D75" s="329"/>
      <c r="E75" s="329"/>
      <c r="F75" s="329"/>
      <c r="G75" s="330"/>
      <c r="H75" s="330"/>
      <c r="I75" s="284"/>
    </row>
  </sheetData>
  <mergeCells count="2">
    <mergeCell ref="D1:F1"/>
    <mergeCell ref="G1:I1"/>
  </mergeCells>
  <conditionalFormatting sqref="C75 C1:C63">
    <cfRule type="cellIs" dxfId="4" priority="5" operator="equal">
      <formula>"HSX"</formula>
    </cfRule>
  </conditionalFormatting>
  <conditionalFormatting sqref="A43:A46 A5:A20 A23:A38">
    <cfRule type="duplicateValues" dxfId="3" priority="4"/>
  </conditionalFormatting>
  <conditionalFormatting sqref="A22">
    <cfRule type="duplicateValues" dxfId="2" priority="3"/>
  </conditionalFormatting>
  <conditionalFormatting sqref="A21:A22">
    <cfRule type="duplicateValues" dxfId="1" priority="2"/>
  </conditionalFormatting>
  <conditionalFormatting sqref="A47 A42">
    <cfRule type="duplicateValues" dxfId="0" priority="1"/>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E65"/>
  <sheetViews>
    <sheetView view="pageBreakPreview" topLeftCell="A61" zoomScale="83" zoomScaleNormal="100" zoomScaleSheetLayoutView="83" workbookViewId="0">
      <selection activeCell="E77" sqref="E77"/>
    </sheetView>
  </sheetViews>
  <sheetFormatPr defaultColWidth="9.08984375" defaultRowHeight="14.5"/>
  <cols>
    <col min="1" max="1" width="9.08984375" style="1"/>
    <col min="2" max="2" width="56.90625" style="1" customWidth="1"/>
    <col min="3" max="3" width="14.08984375" style="1" customWidth="1"/>
    <col min="4" max="4" width="25.08984375" style="1" customWidth="1"/>
    <col min="5" max="5" width="26.36328125" style="1" customWidth="1"/>
    <col min="6" max="16384" width="9.08984375" style="44"/>
  </cols>
  <sheetData>
    <row r="1" spans="1:5" ht="23.25" customHeight="1">
      <c r="A1" s="488" t="s">
        <v>269</v>
      </c>
      <c r="B1" s="488"/>
      <c r="C1" s="488"/>
      <c r="D1" s="488"/>
      <c r="E1" s="488"/>
    </row>
    <row r="2" spans="1:5" ht="27" customHeight="1">
      <c r="A2" s="462" t="s">
        <v>857</v>
      </c>
      <c r="B2" s="462"/>
      <c r="C2" s="462"/>
      <c r="D2" s="462"/>
      <c r="E2" s="462"/>
    </row>
    <row r="3" spans="1:5" ht="21" customHeight="1">
      <c r="A3" s="463" t="s">
        <v>270</v>
      </c>
      <c r="B3" s="463"/>
      <c r="C3" s="463"/>
      <c r="D3" s="463"/>
      <c r="E3" s="463"/>
    </row>
    <row r="4" spans="1:5" ht="17.399999999999999" customHeight="1">
      <c r="A4" s="463"/>
      <c r="B4" s="463"/>
      <c r="C4" s="463"/>
      <c r="D4" s="463"/>
      <c r="E4" s="463"/>
    </row>
    <row r="5" spans="1:5" ht="15.65" customHeight="1">
      <c r="A5" s="497" t="s">
        <v>904</v>
      </c>
      <c r="B5" s="497"/>
      <c r="C5" s="497"/>
      <c r="D5" s="497"/>
      <c r="E5" s="497"/>
    </row>
    <row r="6" spans="1:5">
      <c r="A6" s="4"/>
      <c r="B6" s="4"/>
      <c r="C6" s="4"/>
      <c r="D6" s="4"/>
      <c r="E6" s="4"/>
    </row>
    <row r="7" spans="1:5" ht="15.65" customHeight="1">
      <c r="A7" s="494" t="s">
        <v>430</v>
      </c>
      <c r="B7" s="494"/>
      <c r="C7" s="489" t="s">
        <v>437</v>
      </c>
      <c r="D7" s="489"/>
      <c r="E7" s="489"/>
    </row>
    <row r="8" spans="1:5" ht="15.65" customHeight="1">
      <c r="A8" s="491" t="s">
        <v>848</v>
      </c>
      <c r="B8" s="491"/>
      <c r="C8" s="500" t="s">
        <v>500</v>
      </c>
      <c r="D8" s="500"/>
      <c r="E8" s="500"/>
    </row>
    <row r="9" spans="1:5" ht="15.65" customHeight="1">
      <c r="A9" s="494" t="s">
        <v>431</v>
      </c>
      <c r="B9" s="494"/>
      <c r="C9" s="489" t="s">
        <v>907</v>
      </c>
      <c r="D9" s="489"/>
      <c r="E9" s="489"/>
    </row>
    <row r="10" spans="1:5" ht="15.65" customHeight="1">
      <c r="A10" s="492" t="s">
        <v>432</v>
      </c>
      <c r="B10" s="492"/>
      <c r="C10" s="500" t="s">
        <v>433</v>
      </c>
      <c r="D10" s="500"/>
      <c r="E10" s="500"/>
    </row>
    <row r="11" spans="1:5" ht="15.65" customHeight="1">
      <c r="A11" s="494" t="s">
        <v>429</v>
      </c>
      <c r="B11" s="494"/>
      <c r="C11" s="489" t="s">
        <v>474</v>
      </c>
      <c r="D11" s="489"/>
      <c r="E11" s="489"/>
    </row>
    <row r="12" spans="1:5" ht="15.65" customHeight="1">
      <c r="A12" s="493" t="s">
        <v>427</v>
      </c>
      <c r="B12" s="493"/>
      <c r="C12" s="500" t="s">
        <v>473</v>
      </c>
      <c r="D12" s="500"/>
      <c r="E12" s="500"/>
    </row>
    <row r="13" spans="1:5" ht="15.65" customHeight="1">
      <c r="A13" s="489" t="s">
        <v>193</v>
      </c>
      <c r="B13" s="489"/>
      <c r="C13" s="489" t="s">
        <v>903</v>
      </c>
      <c r="D13" s="489"/>
      <c r="E13" s="489"/>
    </row>
    <row r="14" spans="1:5" ht="15.65" customHeight="1">
      <c r="A14" s="490" t="s">
        <v>194</v>
      </c>
      <c r="B14" s="490"/>
      <c r="C14" s="472">
        <v>43556</v>
      </c>
      <c r="D14" s="472"/>
      <c r="E14" s="472"/>
    </row>
    <row r="15" spans="1:5" s="153" customFormat="1" ht="20.399999999999999" customHeight="1">
      <c r="A15" s="186" t="s">
        <v>140</v>
      </c>
      <c r="B15" s="187" t="s">
        <v>463</v>
      </c>
      <c r="C15" s="188"/>
      <c r="D15" s="188"/>
      <c r="E15" s="188"/>
    </row>
    <row r="16" spans="1:5" s="65" customFormat="1" ht="55.5" customHeight="1">
      <c r="A16" s="189" t="s">
        <v>336</v>
      </c>
      <c r="B16" s="189" t="s">
        <v>363</v>
      </c>
      <c r="C16" s="189" t="s">
        <v>364</v>
      </c>
      <c r="D16" s="189" t="s">
        <v>901</v>
      </c>
      <c r="E16" s="267" t="s">
        <v>896</v>
      </c>
    </row>
    <row r="17" spans="1:5" s="65" customFormat="1" ht="32.25" customHeight="1">
      <c r="A17" s="58" t="s">
        <v>50</v>
      </c>
      <c r="B17" s="192" t="s">
        <v>365</v>
      </c>
      <c r="C17" s="190" t="s">
        <v>156</v>
      </c>
      <c r="D17" s="191"/>
      <c r="E17" s="268"/>
    </row>
    <row r="18" spans="1:5" s="65" customFormat="1" ht="48" customHeight="1">
      <c r="A18" s="341">
        <v>1</v>
      </c>
      <c r="B18" s="193" t="s">
        <v>366</v>
      </c>
      <c r="C18" s="180" t="s">
        <v>157</v>
      </c>
      <c r="D18" s="194">
        <v>1.9876180438970045E-2</v>
      </c>
      <c r="E18" s="194">
        <v>1.7953836156520492E-2</v>
      </c>
    </row>
    <row r="19" spans="1:5" s="65" customFormat="1" ht="50" customHeight="1">
      <c r="A19" s="341">
        <v>2</v>
      </c>
      <c r="B19" s="193" t="s">
        <v>367</v>
      </c>
      <c r="C19" s="180" t="s">
        <v>158</v>
      </c>
      <c r="D19" s="194">
        <v>9.8375940522312856E-4</v>
      </c>
      <c r="E19" s="194">
        <v>8.9439214121387668E-4</v>
      </c>
    </row>
    <row r="20" spans="1:5" s="65" customFormat="1" ht="75" customHeight="1">
      <c r="A20" s="341">
        <v>3</v>
      </c>
      <c r="B20" s="193" t="s">
        <v>368</v>
      </c>
      <c r="C20" s="180" t="s">
        <v>159</v>
      </c>
      <c r="D20" s="194">
        <v>3.9956032953257753E-4</v>
      </c>
      <c r="E20" s="194">
        <v>3.7399406669908614E-4</v>
      </c>
    </row>
    <row r="21" spans="1:5" s="65" customFormat="1" ht="48" customHeight="1">
      <c r="A21" s="341">
        <v>4</v>
      </c>
      <c r="B21" s="193" t="s">
        <v>369</v>
      </c>
      <c r="C21" s="180" t="s">
        <v>160</v>
      </c>
      <c r="D21" s="194">
        <v>2.0656445903658488E-4</v>
      </c>
      <c r="E21" s="194">
        <v>1.5290165138833449E-4</v>
      </c>
    </row>
    <row r="22" spans="1:5" s="65" customFormat="1" ht="84.65" customHeight="1">
      <c r="A22" s="341">
        <v>5</v>
      </c>
      <c r="B22" s="193" t="s">
        <v>370</v>
      </c>
      <c r="C22" s="180" t="s">
        <v>161</v>
      </c>
      <c r="D22" s="194">
        <v>1.9995664623818416E-4</v>
      </c>
      <c r="E22" s="194">
        <v>2.0101060070848727E-4</v>
      </c>
    </row>
    <row r="23" spans="1:5" s="65" customFormat="1" ht="35" customHeight="1">
      <c r="A23" s="341">
        <v>6</v>
      </c>
      <c r="B23" s="193" t="s">
        <v>371</v>
      </c>
      <c r="C23" s="180" t="s">
        <v>162</v>
      </c>
      <c r="D23" s="195">
        <v>2.1701484530695515E-2</v>
      </c>
      <c r="E23" s="195">
        <v>1.9600081327548001E-2</v>
      </c>
    </row>
    <row r="24" spans="1:5" s="65" customFormat="1" ht="71.400000000000006" customHeight="1">
      <c r="A24" s="341">
        <v>7</v>
      </c>
      <c r="B24" s="193" t="s">
        <v>882</v>
      </c>
      <c r="C24" s="180" t="s">
        <v>163</v>
      </c>
      <c r="D24" s="195">
        <v>0.58076563018888205</v>
      </c>
      <c r="E24" s="195">
        <v>0.82155132409266662</v>
      </c>
    </row>
    <row r="25" spans="1:5" s="65" customFormat="1" ht="31.5" customHeight="1">
      <c r="A25" s="58" t="s">
        <v>60</v>
      </c>
      <c r="B25" s="192" t="s">
        <v>372</v>
      </c>
      <c r="C25" s="190" t="s">
        <v>164</v>
      </c>
      <c r="D25" s="196"/>
      <c r="E25" s="196"/>
    </row>
    <row r="26" spans="1:5" s="65" customFormat="1" ht="44" customHeight="1">
      <c r="A26" s="499">
        <v>1</v>
      </c>
      <c r="B26" s="193" t="s">
        <v>373</v>
      </c>
      <c r="C26" s="180" t="s">
        <v>165</v>
      </c>
      <c r="D26" s="197">
        <v>288661129499.99945</v>
      </c>
      <c r="E26" s="197">
        <v>289136631199.99945</v>
      </c>
    </row>
    <row r="27" spans="1:5" s="65" customFormat="1" ht="36.65" customHeight="1">
      <c r="A27" s="499"/>
      <c r="B27" s="193" t="s">
        <v>374</v>
      </c>
      <c r="C27" s="180" t="s">
        <v>166</v>
      </c>
      <c r="D27" s="197">
        <v>288661129499.99976</v>
      </c>
      <c r="E27" s="197">
        <v>289136631199.99982</v>
      </c>
    </row>
    <row r="28" spans="1:5" s="65" customFormat="1" ht="43.5" customHeight="1">
      <c r="A28" s="499"/>
      <c r="B28" s="193" t="s">
        <v>375</v>
      </c>
      <c r="C28" s="180" t="s">
        <v>167</v>
      </c>
      <c r="D28" s="198">
        <v>28866112.949999977</v>
      </c>
      <c r="E28" s="198">
        <v>28913663.119999979</v>
      </c>
    </row>
    <row r="29" spans="1:5" s="65" customFormat="1" ht="45.65" customHeight="1">
      <c r="A29" s="499">
        <v>2</v>
      </c>
      <c r="B29" s="193" t="s">
        <v>376</v>
      </c>
      <c r="C29" s="180" t="s">
        <v>168</v>
      </c>
      <c r="D29" s="197">
        <v>-6885073100</v>
      </c>
      <c r="E29" s="197">
        <v>-475501700</v>
      </c>
    </row>
    <row r="30" spans="1:5" s="65" customFormat="1" ht="45.65" customHeight="1">
      <c r="A30" s="499"/>
      <c r="B30" s="279" t="s">
        <v>807</v>
      </c>
      <c r="C30" s="280" t="s">
        <v>805</v>
      </c>
      <c r="D30" s="397">
        <v>-688507.31</v>
      </c>
      <c r="E30" s="397">
        <v>-47550.17</v>
      </c>
    </row>
    <row r="31" spans="1:5" s="65" customFormat="1" ht="45.65" customHeight="1">
      <c r="A31" s="499"/>
      <c r="B31" s="279" t="s">
        <v>808</v>
      </c>
      <c r="C31" s="280" t="s">
        <v>806</v>
      </c>
      <c r="D31" s="281">
        <v>-6885073100.000001</v>
      </c>
      <c r="E31" s="281">
        <v>-475501700</v>
      </c>
    </row>
    <row r="32" spans="1:5" s="65" customFormat="1" ht="34.25" customHeight="1">
      <c r="A32" s="499"/>
      <c r="B32" s="193" t="s">
        <v>377</v>
      </c>
      <c r="C32" s="180" t="s">
        <v>169</v>
      </c>
      <c r="D32" s="398">
        <v>86417.48</v>
      </c>
      <c r="E32" s="398">
        <v>68389.31</v>
      </c>
    </row>
    <row r="33" spans="1:5" s="65" customFormat="1" ht="35.4" customHeight="1">
      <c r="A33" s="499"/>
      <c r="B33" s="193" t="s">
        <v>378</v>
      </c>
      <c r="C33" s="180" t="s">
        <v>170</v>
      </c>
      <c r="D33" s="281">
        <v>864174800</v>
      </c>
      <c r="E33" s="281">
        <v>683893100</v>
      </c>
    </row>
    <row r="34" spans="1:5" s="65" customFormat="1" ht="35" customHeight="1">
      <c r="A34" s="499"/>
      <c r="B34" s="193" t="s">
        <v>379</v>
      </c>
      <c r="C34" s="180" t="s">
        <v>171</v>
      </c>
      <c r="D34" s="397">
        <v>-774924.79</v>
      </c>
      <c r="E34" s="397">
        <v>-115939.48</v>
      </c>
    </row>
    <row r="35" spans="1:5" s="65" customFormat="1" ht="44.25" customHeight="1">
      <c r="A35" s="499"/>
      <c r="B35" s="193" t="s">
        <v>380</v>
      </c>
      <c r="C35" s="180" t="s">
        <v>172</v>
      </c>
      <c r="D35" s="197">
        <v>-7749247900</v>
      </c>
      <c r="E35" s="197">
        <v>-1159394800</v>
      </c>
    </row>
    <row r="36" spans="1:5" s="65" customFormat="1" ht="39" customHeight="1">
      <c r="A36" s="499">
        <v>3</v>
      </c>
      <c r="B36" s="193" t="s">
        <v>381</v>
      </c>
      <c r="C36" s="180" t="s">
        <v>173</v>
      </c>
      <c r="D36" s="394">
        <v>281776056399.99945</v>
      </c>
      <c r="E36" s="394">
        <v>288661129499.99945</v>
      </c>
    </row>
    <row r="37" spans="1:5" s="65" customFormat="1" ht="39.65" customHeight="1">
      <c r="A37" s="499"/>
      <c r="B37" s="193" t="s">
        <v>382</v>
      </c>
      <c r="C37" s="180" t="s">
        <v>174</v>
      </c>
      <c r="D37" s="394">
        <v>281776056399.99976</v>
      </c>
      <c r="E37" s="394">
        <v>288661129499.99976</v>
      </c>
    </row>
    <row r="38" spans="1:5" s="65" customFormat="1" ht="39.65" customHeight="1">
      <c r="A38" s="499"/>
      <c r="B38" s="193" t="s">
        <v>383</v>
      </c>
      <c r="C38" s="180" t="s">
        <v>175</v>
      </c>
      <c r="D38" s="393">
        <v>28177605.639999978</v>
      </c>
      <c r="E38" s="393">
        <v>28866112.949999977</v>
      </c>
    </row>
    <row r="39" spans="1:5" s="65" customFormat="1" ht="59.25" customHeight="1">
      <c r="A39" s="341">
        <v>4</v>
      </c>
      <c r="B39" s="193" t="s">
        <v>384</v>
      </c>
      <c r="C39" s="180" t="s">
        <v>176</v>
      </c>
      <c r="D39" s="195">
        <v>1.5299999999999999E-2</v>
      </c>
      <c r="E39" s="195">
        <v>1.4906866978811226E-2</v>
      </c>
    </row>
    <row r="40" spans="1:5" s="65" customFormat="1" ht="32.25" customHeight="1">
      <c r="A40" s="341">
        <v>5</v>
      </c>
      <c r="B40" s="193" t="s">
        <v>385</v>
      </c>
      <c r="C40" s="180" t="s">
        <v>177</v>
      </c>
      <c r="D40" s="195">
        <v>0.62780000000000002</v>
      </c>
      <c r="E40" s="195">
        <v>0.62050000000000005</v>
      </c>
    </row>
    <row r="41" spans="1:5" s="65" customFormat="1" ht="32.25" customHeight="1">
      <c r="A41" s="341">
        <v>6</v>
      </c>
      <c r="B41" s="193" t="s">
        <v>386</v>
      </c>
      <c r="C41" s="180" t="s">
        <v>178</v>
      </c>
      <c r="D41" s="399">
        <v>0.5494</v>
      </c>
      <c r="E41" s="399">
        <v>0.5363</v>
      </c>
    </row>
    <row r="42" spans="1:5" s="65" customFormat="1" ht="32.25" customHeight="1">
      <c r="A42" s="341">
        <v>7</v>
      </c>
      <c r="B42" s="193" t="s">
        <v>387</v>
      </c>
      <c r="C42" s="180" t="s">
        <v>179</v>
      </c>
      <c r="D42" s="400">
        <v>3486</v>
      </c>
      <c r="E42" s="400">
        <v>3492</v>
      </c>
    </row>
    <row r="43" spans="1:5" s="65" customFormat="1" ht="32.25" customHeight="1">
      <c r="A43" s="341">
        <v>8</v>
      </c>
      <c r="B43" s="193" t="s">
        <v>388</v>
      </c>
      <c r="C43" s="180" t="s">
        <v>180</v>
      </c>
      <c r="D43" s="199">
        <v>38584.839999999997</v>
      </c>
      <c r="E43" s="361">
        <v>38209.93</v>
      </c>
    </row>
    <row r="44" spans="1:5" s="65" customFormat="1" ht="21.75" customHeight="1">
      <c r="A44" s="9" t="s">
        <v>762</v>
      </c>
      <c r="B44" s="10"/>
      <c r="C44" s="68"/>
      <c r="D44" s="81"/>
      <c r="E44" s="81"/>
    </row>
    <row r="45" spans="1:5" s="65" customFormat="1" ht="56.25" customHeight="1">
      <c r="A45" s="498" t="s">
        <v>881</v>
      </c>
      <c r="B45" s="498"/>
      <c r="C45" s="498"/>
      <c r="D45" s="498"/>
      <c r="E45" s="498"/>
    </row>
    <row r="46" spans="1:5" s="65" customFormat="1" ht="30.75" customHeight="1">
      <c r="A46" s="498" t="s">
        <v>880</v>
      </c>
      <c r="B46" s="498"/>
      <c r="C46" s="498"/>
      <c r="D46" s="498"/>
      <c r="E46" s="498"/>
    </row>
    <row r="47" spans="1:5" s="65" customFormat="1" ht="12.5">
      <c r="A47" s="498"/>
      <c r="B47" s="498"/>
      <c r="C47" s="498"/>
      <c r="D47" s="498"/>
      <c r="E47" s="498"/>
    </row>
    <row r="48" spans="1:5" s="65" customFormat="1" ht="12.5">
      <c r="A48" s="68"/>
      <c r="B48" s="68"/>
      <c r="C48" s="68"/>
      <c r="D48" s="68"/>
      <c r="E48" s="68"/>
    </row>
    <row r="49" spans="1:5" s="65" customFormat="1" ht="12.5">
      <c r="A49" s="21" t="s">
        <v>231</v>
      </c>
      <c r="B49" s="18"/>
      <c r="C49" s="20"/>
      <c r="D49" s="22" t="s">
        <v>232</v>
      </c>
      <c r="E49" s="68"/>
    </row>
    <row r="50" spans="1:5" s="65" customFormat="1" ht="12.5">
      <c r="A50" s="23" t="s">
        <v>233</v>
      </c>
      <c r="B50" s="18"/>
      <c r="C50" s="20"/>
      <c r="D50" s="24" t="s">
        <v>234</v>
      </c>
      <c r="E50" s="68"/>
    </row>
    <row r="51" spans="1:5" s="65" customFormat="1" ht="12.5">
      <c r="A51" s="18"/>
      <c r="B51" s="18"/>
      <c r="C51" s="20"/>
      <c r="D51" s="20"/>
      <c r="E51" s="68"/>
    </row>
    <row r="52" spans="1:5" s="65" customFormat="1" ht="12.5">
      <c r="A52" s="18"/>
      <c r="B52" s="18"/>
      <c r="C52" s="20"/>
      <c r="D52" s="20"/>
      <c r="E52" s="68"/>
    </row>
    <row r="53" spans="1:5" s="65" customFormat="1" ht="12.5">
      <c r="A53" s="18"/>
      <c r="B53" s="18"/>
      <c r="C53" s="20"/>
      <c r="D53" s="20"/>
      <c r="E53" s="68"/>
    </row>
    <row r="54" spans="1:5" s="65" customFormat="1" ht="12.5">
      <c r="A54" s="18"/>
      <c r="B54" s="18"/>
      <c r="C54" s="20"/>
      <c r="D54" s="121"/>
      <c r="E54" s="68"/>
    </row>
    <row r="55" spans="1:5" s="65" customFormat="1" ht="12.5">
      <c r="A55" s="18"/>
      <c r="B55" s="18"/>
      <c r="C55" s="20"/>
      <c r="D55" s="121"/>
      <c r="E55" s="68"/>
    </row>
    <row r="56" spans="1:5" s="65" customFormat="1" ht="12.5">
      <c r="A56" s="18"/>
      <c r="B56" s="18"/>
      <c r="C56" s="20"/>
      <c r="D56" s="121"/>
      <c r="E56" s="68"/>
    </row>
    <row r="57" spans="1:5" s="65" customFormat="1" ht="12.5">
      <c r="A57" s="18"/>
      <c r="B57" s="18"/>
      <c r="C57" s="20"/>
      <c r="D57" s="20"/>
      <c r="E57" s="68"/>
    </row>
    <row r="58" spans="1:5" s="65" customFormat="1" ht="12.5">
      <c r="A58" s="18"/>
      <c r="B58" s="18"/>
      <c r="C58" s="20"/>
      <c r="D58" s="20"/>
      <c r="E58" s="68"/>
    </row>
    <row r="59" spans="1:5" s="65" customFormat="1" ht="12.5">
      <c r="A59" s="18"/>
      <c r="B59" s="18"/>
      <c r="C59" s="20"/>
      <c r="D59" s="20"/>
      <c r="E59" s="68"/>
    </row>
    <row r="60" spans="1:5" s="65" customFormat="1" ht="12.5">
      <c r="A60" s="25"/>
      <c r="B60" s="25"/>
      <c r="C60" s="20"/>
      <c r="D60" s="26"/>
      <c r="E60" s="26"/>
    </row>
    <row r="61" spans="1:5" s="65" customFormat="1" ht="12.5">
      <c r="A61" s="21" t="s">
        <v>235</v>
      </c>
      <c r="B61" s="18"/>
      <c r="C61" s="20"/>
      <c r="D61" s="22" t="s">
        <v>438</v>
      </c>
      <c r="E61" s="68"/>
    </row>
    <row r="62" spans="1:5" s="65" customFormat="1" ht="12.5">
      <c r="A62" s="21" t="s">
        <v>908</v>
      </c>
      <c r="B62" s="18"/>
      <c r="C62" s="20"/>
      <c r="D62" s="22" t="s">
        <v>439</v>
      </c>
      <c r="E62" s="68"/>
    </row>
    <row r="63" spans="1:5" s="65" customFormat="1" ht="12.5">
      <c r="A63" s="18" t="s">
        <v>909</v>
      </c>
      <c r="B63" s="18"/>
      <c r="C63" s="20"/>
      <c r="D63" s="20" t="s">
        <v>440</v>
      </c>
      <c r="E63" s="68"/>
    </row>
    <row r="64" spans="1:5">
      <c r="A64" s="46"/>
      <c r="B64" s="46"/>
      <c r="C64" s="46"/>
      <c r="D64" s="46"/>
      <c r="E64" s="46"/>
    </row>
    <row r="65" spans="1:5">
      <c r="A65" s="46"/>
      <c r="B65" s="46"/>
      <c r="C65" s="46"/>
      <c r="D65" s="46"/>
      <c r="E65" s="46"/>
    </row>
  </sheetData>
  <mergeCells count="25">
    <mergeCell ref="A1:E1"/>
    <mergeCell ref="A2:E2"/>
    <mergeCell ref="A3:E4"/>
    <mergeCell ref="A29:A35"/>
    <mergeCell ref="A36:A38"/>
    <mergeCell ref="A11:B11"/>
    <mergeCell ref="A12:B12"/>
    <mergeCell ref="A13:B13"/>
    <mergeCell ref="A14:B14"/>
    <mergeCell ref="C14:E14"/>
    <mergeCell ref="A26:A28"/>
    <mergeCell ref="A7:B7"/>
    <mergeCell ref="A9:B9"/>
    <mergeCell ref="C8:E8"/>
    <mergeCell ref="C10:E10"/>
    <mergeCell ref="C12:E12"/>
    <mergeCell ref="A5:E5"/>
    <mergeCell ref="C7:E7"/>
    <mergeCell ref="A46:E47"/>
    <mergeCell ref="A45:E45"/>
    <mergeCell ref="C13:E13"/>
    <mergeCell ref="A10:B10"/>
    <mergeCell ref="C9:E9"/>
    <mergeCell ref="C11:E11"/>
    <mergeCell ref="A8:B8"/>
  </mergeCells>
  <printOptions horizontalCentered="1"/>
  <pageMargins left="0.27" right="0.34" top="0.63" bottom="0.88" header="0.3" footer="0.17"/>
  <pageSetup paperSize="9" scale="75" fitToHeight="2" orientation="portrait" r:id="rId1"/>
  <rowBreaks count="1" manualBreakCount="1">
    <brk id="35" max="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53"/>
  <sheetViews>
    <sheetView view="pageBreakPreview" topLeftCell="A22" zoomScale="85" zoomScaleNormal="100" zoomScaleSheetLayoutView="85" workbookViewId="0">
      <selection activeCell="D8" sqref="D8:F8"/>
    </sheetView>
  </sheetViews>
  <sheetFormatPr defaultColWidth="9.08984375" defaultRowHeight="12.5"/>
  <cols>
    <col min="1" max="1" width="5.36328125" style="3" customWidth="1"/>
    <col min="2" max="2" width="5.453125" style="3" customWidth="1"/>
    <col min="3" max="3" width="52.54296875" customWidth="1"/>
    <col min="4" max="4" width="10.453125" customWidth="1"/>
    <col min="5" max="6" width="25.90625" customWidth="1"/>
    <col min="7" max="7" width="16" style="13" customWidth="1"/>
    <col min="8" max="8" width="16.6328125" style="13" customWidth="1"/>
    <col min="9" max="9" width="16.6328125" style="13" bestFit="1" customWidth="1"/>
    <col min="10" max="16384" width="9.08984375" style="13"/>
  </cols>
  <sheetData>
    <row r="1" spans="1:7" ht="24.75" customHeight="1">
      <c r="A1" s="488" t="s">
        <v>358</v>
      </c>
      <c r="B1" s="488"/>
      <c r="C1" s="488"/>
      <c r="D1" s="488"/>
      <c r="E1" s="488"/>
      <c r="F1" s="488"/>
    </row>
    <row r="2" spans="1:7" ht="26.25" customHeight="1">
      <c r="A2" s="462" t="s">
        <v>857</v>
      </c>
      <c r="B2" s="462"/>
      <c r="C2" s="462"/>
      <c r="D2" s="462"/>
      <c r="E2" s="462"/>
      <c r="F2" s="462"/>
    </row>
    <row r="3" spans="1:7" ht="20.399999999999999" customHeight="1">
      <c r="A3" s="504" t="s">
        <v>810</v>
      </c>
      <c r="B3" s="504"/>
      <c r="C3" s="504"/>
      <c r="D3" s="504"/>
      <c r="E3" s="504"/>
      <c r="F3" s="504"/>
    </row>
    <row r="4" spans="1:7" ht="22.5" customHeight="1">
      <c r="A4" s="504"/>
      <c r="B4" s="504"/>
      <c r="C4" s="504"/>
      <c r="D4" s="504"/>
      <c r="E4" s="504"/>
      <c r="F4" s="504"/>
    </row>
    <row r="5" spans="1:7" ht="14.4" customHeight="1">
      <c r="A5" s="464" t="s">
        <v>904</v>
      </c>
      <c r="B5" s="464"/>
      <c r="C5" s="464"/>
      <c r="D5" s="464"/>
      <c r="E5" s="464"/>
      <c r="F5" s="464"/>
    </row>
    <row r="6" spans="1:7">
      <c r="A6" s="4"/>
      <c r="B6" s="4"/>
      <c r="C6" s="4"/>
      <c r="D6" s="4"/>
      <c r="E6" s="4"/>
      <c r="F6" s="7"/>
    </row>
    <row r="7" spans="1:7" ht="12.75" customHeight="1">
      <c r="A7" s="494" t="s">
        <v>430</v>
      </c>
      <c r="B7" s="494"/>
      <c r="C7" s="494"/>
      <c r="D7" s="489" t="s">
        <v>437</v>
      </c>
      <c r="E7" s="489"/>
      <c r="F7" s="489"/>
    </row>
    <row r="8" spans="1:7" ht="12.75" customHeight="1">
      <c r="A8" s="491" t="s">
        <v>848</v>
      </c>
      <c r="B8" s="491"/>
      <c r="C8" s="491"/>
      <c r="D8" s="500" t="s">
        <v>500</v>
      </c>
      <c r="E8" s="500"/>
      <c r="F8" s="500"/>
    </row>
    <row r="9" spans="1:7" ht="12.75" customHeight="1">
      <c r="A9" s="494" t="s">
        <v>431</v>
      </c>
      <c r="B9" s="494"/>
      <c r="C9" s="494"/>
      <c r="D9" s="489" t="s">
        <v>907</v>
      </c>
      <c r="E9" s="489"/>
      <c r="F9" s="489"/>
    </row>
    <row r="10" spans="1:7" ht="12.75" customHeight="1">
      <c r="A10" s="492" t="s">
        <v>432</v>
      </c>
      <c r="B10" s="492"/>
      <c r="C10" s="492"/>
      <c r="D10" s="500" t="s">
        <v>433</v>
      </c>
      <c r="E10" s="500"/>
      <c r="F10" s="500"/>
    </row>
    <row r="11" spans="1:7" ht="12.75" customHeight="1">
      <c r="A11" s="494" t="s">
        <v>429</v>
      </c>
      <c r="B11" s="494"/>
      <c r="C11" s="494"/>
      <c r="D11" s="489" t="s">
        <v>474</v>
      </c>
      <c r="E11" s="489"/>
      <c r="F11" s="489"/>
    </row>
    <row r="12" spans="1:7" ht="12.75" customHeight="1">
      <c r="A12" s="493" t="s">
        <v>427</v>
      </c>
      <c r="B12" s="493"/>
      <c r="C12" s="493"/>
      <c r="D12" s="500" t="s">
        <v>473</v>
      </c>
      <c r="E12" s="500"/>
      <c r="F12" s="500"/>
    </row>
    <row r="13" spans="1:7" ht="14.25" customHeight="1">
      <c r="A13" s="489" t="s">
        <v>193</v>
      </c>
      <c r="B13" s="489"/>
      <c r="C13" s="489"/>
      <c r="D13" s="489" t="s">
        <v>903</v>
      </c>
      <c r="E13" s="489"/>
      <c r="F13" s="489"/>
      <c r="G13" s="260"/>
    </row>
    <row r="14" spans="1:7">
      <c r="A14" s="91" t="s">
        <v>194</v>
      </c>
      <c r="B14" s="91"/>
      <c r="C14" s="93"/>
      <c r="D14" s="472">
        <v>43556</v>
      </c>
      <c r="E14" s="472"/>
      <c r="F14" s="472"/>
    </row>
    <row r="15" spans="1:7">
      <c r="A15" s="66"/>
      <c r="B15" s="66"/>
      <c r="C15" s="12"/>
      <c r="D15" s="12"/>
      <c r="E15" s="12"/>
      <c r="F15" s="12"/>
    </row>
    <row r="16" spans="1:7" s="17" customFormat="1" ht="58.5" customHeight="1">
      <c r="A16" s="501" t="s">
        <v>271</v>
      </c>
      <c r="B16" s="501"/>
      <c r="C16" s="340" t="s">
        <v>359</v>
      </c>
      <c r="D16" s="340" t="s">
        <v>196</v>
      </c>
      <c r="E16" s="273" t="s">
        <v>901</v>
      </c>
      <c r="F16" s="189" t="s">
        <v>896</v>
      </c>
    </row>
    <row r="17" spans="1:10" s="17" customFormat="1" ht="51" customHeight="1">
      <c r="A17" s="128" t="s">
        <v>50</v>
      </c>
      <c r="B17" s="128"/>
      <c r="C17" s="149" t="s">
        <v>360</v>
      </c>
      <c r="D17" s="243" t="s">
        <v>181</v>
      </c>
      <c r="E17" s="150">
        <v>1102972437948</v>
      </c>
      <c r="F17" s="150">
        <v>1065748896107</v>
      </c>
      <c r="G17" s="266"/>
      <c r="H17" s="116"/>
      <c r="I17" s="116"/>
      <c r="J17" s="116"/>
    </row>
    <row r="18" spans="1:10" s="17" customFormat="1" ht="58.5" customHeight="1">
      <c r="A18" s="128" t="s">
        <v>60</v>
      </c>
      <c r="B18" s="128"/>
      <c r="C18" s="125" t="s">
        <v>872</v>
      </c>
      <c r="D18" s="243" t="s">
        <v>182</v>
      </c>
      <c r="E18" s="150">
        <v>11044088286</v>
      </c>
      <c r="F18" s="150">
        <v>39030707510</v>
      </c>
      <c r="G18" s="266"/>
      <c r="H18" s="116"/>
      <c r="I18" s="116"/>
      <c r="J18" s="116"/>
    </row>
    <row r="19" spans="1:10" s="17" customFormat="1" ht="57" customHeight="1">
      <c r="A19" s="502"/>
      <c r="B19" s="124" t="s">
        <v>115</v>
      </c>
      <c r="C19" s="151" t="s">
        <v>864</v>
      </c>
      <c r="D19" s="244" t="s">
        <v>183</v>
      </c>
      <c r="E19" s="152">
        <v>11044088286</v>
      </c>
      <c r="F19" s="152">
        <v>39030707510</v>
      </c>
      <c r="G19" s="266"/>
      <c r="H19" s="116"/>
      <c r="I19" s="116"/>
      <c r="J19" s="116"/>
    </row>
    <row r="20" spans="1:10" s="17" customFormat="1" ht="51" customHeight="1">
      <c r="A20" s="503"/>
      <c r="B20" s="124" t="s">
        <v>117</v>
      </c>
      <c r="C20" s="151" t="s">
        <v>865</v>
      </c>
      <c r="D20" s="244" t="s">
        <v>184</v>
      </c>
      <c r="E20" s="152">
        <v>0</v>
      </c>
      <c r="F20" s="152">
        <v>0</v>
      </c>
      <c r="G20" s="266"/>
      <c r="H20" s="116"/>
      <c r="I20" s="116"/>
      <c r="J20" s="116"/>
    </row>
    <row r="21" spans="1:10" s="17" customFormat="1" ht="63" customHeight="1">
      <c r="A21" s="128" t="s">
        <v>138</v>
      </c>
      <c r="B21" s="128"/>
      <c r="C21" s="149" t="s">
        <v>866</v>
      </c>
      <c r="D21" s="245" t="s">
        <v>185</v>
      </c>
      <c r="E21" s="150">
        <v>-26788058241</v>
      </c>
      <c r="F21" s="150">
        <v>-1807165669</v>
      </c>
      <c r="G21" s="266"/>
      <c r="H21" s="116"/>
      <c r="I21" s="116"/>
      <c r="J21" s="116"/>
    </row>
    <row r="22" spans="1:10" s="17" customFormat="1" ht="44.25" customHeight="1">
      <c r="A22" s="502"/>
      <c r="B22" s="127" t="s">
        <v>186</v>
      </c>
      <c r="C22" s="151" t="s">
        <v>361</v>
      </c>
      <c r="D22" s="244" t="s">
        <v>187</v>
      </c>
      <c r="E22" s="152">
        <v>3354177797</v>
      </c>
      <c r="F22" s="152">
        <v>2604773000</v>
      </c>
      <c r="G22" s="266"/>
      <c r="H22" s="116"/>
      <c r="I22" s="116"/>
      <c r="J22" s="116"/>
    </row>
    <row r="23" spans="1:10" s="17" customFormat="1" ht="44.25" customHeight="1">
      <c r="A23" s="503"/>
      <c r="B23" s="127" t="s">
        <v>188</v>
      </c>
      <c r="C23" s="151" t="s">
        <v>362</v>
      </c>
      <c r="D23" s="244" t="s">
        <v>189</v>
      </c>
      <c r="E23" s="152">
        <v>-30142236038</v>
      </c>
      <c r="F23" s="152">
        <v>-4411938669</v>
      </c>
      <c r="G23" s="266"/>
      <c r="H23" s="116"/>
      <c r="I23" s="116"/>
      <c r="J23" s="116"/>
    </row>
    <row r="24" spans="1:10" s="17" customFormat="1" ht="51.75" customHeight="1">
      <c r="A24" s="128" t="s">
        <v>140</v>
      </c>
      <c r="B24" s="128"/>
      <c r="C24" s="149" t="s">
        <v>867</v>
      </c>
      <c r="D24" s="245" t="s">
        <v>190</v>
      </c>
      <c r="E24" s="150">
        <v>1087228467993</v>
      </c>
      <c r="F24" s="150">
        <v>1102972437948</v>
      </c>
      <c r="G24" s="259"/>
      <c r="H24" s="259"/>
      <c r="I24" s="116"/>
      <c r="J24" s="116"/>
    </row>
    <row r="25" spans="1:10" s="17" customFormat="1" ht="47.25" customHeight="1">
      <c r="A25" s="146" t="s">
        <v>144</v>
      </c>
      <c r="B25" s="146"/>
      <c r="C25" s="147" t="s">
        <v>871</v>
      </c>
      <c r="D25" s="246" t="s">
        <v>725</v>
      </c>
      <c r="E25" s="148">
        <v>38584.839999999997</v>
      </c>
      <c r="F25" s="148">
        <v>38209.93</v>
      </c>
      <c r="G25" s="258"/>
      <c r="H25" s="258"/>
      <c r="I25" s="257"/>
      <c r="J25" s="116"/>
    </row>
    <row r="26" spans="1:10" s="17" customFormat="1">
      <c r="A26" s="67"/>
      <c r="B26" s="67"/>
      <c r="C26" s="7"/>
      <c r="D26" s="7"/>
      <c r="E26" s="7"/>
      <c r="F26" s="7"/>
      <c r="G26" s="116"/>
    </row>
    <row r="27" spans="1:10" s="17" customFormat="1">
      <c r="A27" s="67"/>
      <c r="B27" s="67"/>
      <c r="C27" s="7"/>
      <c r="D27" s="7"/>
      <c r="E27" s="7"/>
      <c r="F27" s="7"/>
    </row>
    <row r="28" spans="1:10" s="17" customFormat="1">
      <c r="A28" s="67"/>
      <c r="B28" s="67"/>
      <c r="C28" s="7"/>
      <c r="D28" s="7"/>
      <c r="E28" s="7"/>
      <c r="F28" s="7"/>
    </row>
    <row r="29" spans="1:10" s="17" customFormat="1">
      <c r="A29" s="21" t="s">
        <v>231</v>
      </c>
      <c r="B29" s="18"/>
      <c r="C29" s="20"/>
      <c r="D29" s="18"/>
      <c r="E29" s="22" t="s">
        <v>232</v>
      </c>
      <c r="F29" s="7"/>
    </row>
    <row r="30" spans="1:10" s="17" customFormat="1">
      <c r="A30" s="23" t="s">
        <v>233</v>
      </c>
      <c r="B30" s="18"/>
      <c r="C30" s="20"/>
      <c r="D30" s="18"/>
      <c r="E30" s="24" t="s">
        <v>234</v>
      </c>
      <c r="F30" s="7"/>
    </row>
    <row r="31" spans="1:10" s="17" customFormat="1">
      <c r="A31" s="18"/>
      <c r="B31" s="18"/>
      <c r="C31" s="20"/>
      <c r="D31" s="18"/>
      <c r="E31" s="20"/>
      <c r="F31" s="7"/>
    </row>
    <row r="32" spans="1:10" s="17" customFormat="1">
      <c r="A32" s="18"/>
      <c r="B32" s="18"/>
      <c r="C32" s="20"/>
      <c r="D32" s="18"/>
      <c r="E32" s="20"/>
      <c r="F32" s="7"/>
    </row>
    <row r="33" spans="1:6" s="17" customFormat="1">
      <c r="A33" s="18"/>
      <c r="B33" s="18"/>
      <c r="C33" s="20"/>
      <c r="D33" s="18"/>
      <c r="E33" s="20"/>
      <c r="F33" s="7"/>
    </row>
    <row r="34" spans="1:6" s="17" customFormat="1">
      <c r="A34" s="18"/>
      <c r="B34" s="18"/>
      <c r="C34" s="20"/>
      <c r="D34" s="18"/>
      <c r="E34" s="20"/>
      <c r="F34" s="7"/>
    </row>
    <row r="35" spans="1:6" s="17" customFormat="1">
      <c r="A35" s="18"/>
      <c r="B35" s="18"/>
      <c r="C35" s="20"/>
      <c r="D35" s="18"/>
      <c r="E35" s="20"/>
      <c r="F35" s="7"/>
    </row>
    <row r="36" spans="1:6" s="17" customFormat="1">
      <c r="A36" s="18"/>
      <c r="B36" s="18"/>
      <c r="C36" s="20"/>
      <c r="D36" s="18"/>
      <c r="E36" s="20"/>
      <c r="F36" s="7"/>
    </row>
    <row r="37" spans="1:6" s="17" customFormat="1">
      <c r="A37" s="18"/>
      <c r="B37" s="18"/>
      <c r="C37" s="20"/>
      <c r="D37" s="18"/>
      <c r="E37" s="20"/>
      <c r="F37" s="7"/>
    </row>
    <row r="38" spans="1:6" s="17" customFormat="1">
      <c r="A38" s="18"/>
      <c r="B38" s="18"/>
      <c r="C38" s="20"/>
      <c r="D38" s="18"/>
      <c r="E38" s="20"/>
      <c r="F38" s="7"/>
    </row>
    <row r="39" spans="1:6">
      <c r="A39" s="18"/>
      <c r="B39" s="18"/>
      <c r="C39" s="20"/>
      <c r="D39" s="18"/>
      <c r="E39" s="20"/>
      <c r="F39" s="12"/>
    </row>
    <row r="40" spans="1:6">
      <c r="A40" s="25"/>
      <c r="B40" s="25"/>
      <c r="C40" s="26"/>
      <c r="D40" s="18"/>
      <c r="E40" s="26"/>
      <c r="F40" s="45"/>
    </row>
    <row r="41" spans="1:6">
      <c r="A41" s="21" t="s">
        <v>235</v>
      </c>
      <c r="B41" s="18"/>
      <c r="C41" s="20"/>
      <c r="D41" s="18"/>
      <c r="E41" s="22" t="s">
        <v>438</v>
      </c>
      <c r="F41" s="12"/>
    </row>
    <row r="42" spans="1:6">
      <c r="A42" s="21" t="s">
        <v>908</v>
      </c>
      <c r="B42" s="18"/>
      <c r="C42" s="20"/>
      <c r="D42" s="18"/>
      <c r="E42" s="22" t="s">
        <v>439</v>
      </c>
      <c r="F42" s="12"/>
    </row>
    <row r="43" spans="1:6" ht="19.5" customHeight="1">
      <c r="A43" s="207" t="s">
        <v>909</v>
      </c>
      <c r="B43" s="207"/>
      <c r="C43" s="253"/>
      <c r="D43" s="207"/>
      <c r="E43" s="253" t="s">
        <v>440</v>
      </c>
      <c r="F43" s="12"/>
    </row>
    <row r="44" spans="1:6">
      <c r="A44" s="66"/>
      <c r="B44" s="66"/>
      <c r="C44" s="12"/>
      <c r="D44" s="12"/>
      <c r="E44" s="12"/>
      <c r="F44" s="12"/>
    </row>
    <row r="45" spans="1:6">
      <c r="A45" s="66"/>
      <c r="B45" s="66"/>
      <c r="C45" s="12"/>
      <c r="D45" s="12"/>
      <c r="E45" s="12"/>
      <c r="F45" s="12"/>
    </row>
    <row r="46" spans="1:6">
      <c r="A46" s="66"/>
      <c r="B46" s="66"/>
      <c r="C46" s="12"/>
      <c r="D46" s="12"/>
      <c r="E46" s="12"/>
      <c r="F46" s="12"/>
    </row>
    <row r="47" spans="1:6">
      <c r="A47" s="66"/>
      <c r="B47" s="66"/>
      <c r="C47" s="12"/>
      <c r="D47" s="12"/>
      <c r="E47" s="12"/>
      <c r="F47" s="12"/>
    </row>
    <row r="48" spans="1:6">
      <c r="A48" s="66"/>
      <c r="B48" s="66"/>
      <c r="C48" s="12"/>
      <c r="D48" s="12"/>
      <c r="E48" s="12"/>
      <c r="F48" s="12"/>
    </row>
    <row r="49" spans="1:6">
      <c r="A49" s="66"/>
      <c r="B49" s="66"/>
      <c r="C49" s="12"/>
      <c r="D49" s="12"/>
      <c r="E49" s="12"/>
      <c r="F49" s="12"/>
    </row>
    <row r="50" spans="1:6">
      <c r="A50" s="66"/>
      <c r="B50" s="66"/>
      <c r="C50" s="12"/>
      <c r="D50" s="12"/>
      <c r="E50" s="12"/>
      <c r="F50" s="12"/>
    </row>
    <row r="51" spans="1:6">
      <c r="A51" s="66"/>
      <c r="B51" s="66"/>
      <c r="C51" s="12"/>
      <c r="D51" s="12"/>
      <c r="E51" s="12"/>
      <c r="F51" s="12"/>
    </row>
    <row r="52" spans="1:6">
      <c r="A52" s="66"/>
      <c r="B52" s="66"/>
      <c r="C52" s="12"/>
      <c r="D52" s="12"/>
      <c r="E52" s="12"/>
      <c r="F52" s="12"/>
    </row>
    <row r="53" spans="1:6">
      <c r="A53" s="66"/>
      <c r="B53" s="66"/>
      <c r="C53" s="12"/>
      <c r="D53" s="12"/>
      <c r="E53" s="12"/>
      <c r="F53" s="12"/>
    </row>
  </sheetData>
  <mergeCells count="22">
    <mergeCell ref="A5:F5"/>
    <mergeCell ref="D7:F7"/>
    <mergeCell ref="D9:F9"/>
    <mergeCell ref="D11:F11"/>
    <mergeCell ref="D8:F8"/>
    <mergeCell ref="D10:F10"/>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s>
  <printOptions horizontalCentered="1"/>
  <pageMargins left="0.75" right="0.75" top="1" bottom="1" header="0.5" footer="0.5"/>
  <pageSetup paperSize="9" scale="7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L46"/>
  <sheetViews>
    <sheetView tabSelected="1" topLeftCell="A38" zoomScaleNormal="100" zoomScaleSheetLayoutView="85" workbookViewId="0">
      <selection activeCell="H56" sqref="H56"/>
    </sheetView>
  </sheetViews>
  <sheetFormatPr defaultColWidth="9.08984375" defaultRowHeight="14.5"/>
  <cols>
    <col min="1" max="1" width="4.90625" style="76" customWidth="1"/>
    <col min="2" max="2" width="34.453125" style="44" customWidth="1"/>
    <col min="3" max="4" width="9.08984375" style="44"/>
    <col min="5" max="5" width="12.36328125" style="44" customWidth="1"/>
    <col min="6" max="6" width="9.08984375" style="44"/>
    <col min="7" max="7" width="15.36328125" style="44" customWidth="1"/>
    <col min="8" max="11" width="19" style="44" customWidth="1"/>
    <col min="12" max="16384" width="9.08984375" style="44"/>
  </cols>
  <sheetData>
    <row r="1" spans="1:12" ht="27.75" customHeight="1">
      <c r="A1" s="506" t="s">
        <v>804</v>
      </c>
      <c r="B1" s="506"/>
      <c r="C1" s="506"/>
      <c r="D1" s="506"/>
      <c r="E1" s="506"/>
      <c r="F1" s="506"/>
      <c r="G1" s="506"/>
      <c r="H1" s="506"/>
      <c r="I1" s="506"/>
      <c r="J1" s="506"/>
      <c r="K1" s="506"/>
    </row>
    <row r="2" spans="1:12" ht="28.5" customHeight="1">
      <c r="A2" s="462" t="s">
        <v>857</v>
      </c>
      <c r="B2" s="462"/>
      <c r="C2" s="462"/>
      <c r="D2" s="462"/>
      <c r="E2" s="462"/>
      <c r="F2" s="462"/>
      <c r="G2" s="462"/>
      <c r="H2" s="462"/>
      <c r="I2" s="462"/>
      <c r="J2" s="462"/>
      <c r="K2" s="462"/>
    </row>
    <row r="3" spans="1:12" ht="19.25" customHeight="1">
      <c r="A3" s="507" t="s">
        <v>809</v>
      </c>
      <c r="B3" s="507"/>
      <c r="C3" s="507"/>
      <c r="D3" s="507"/>
      <c r="E3" s="507"/>
      <c r="F3" s="507"/>
      <c r="G3" s="507"/>
      <c r="H3" s="507"/>
      <c r="I3" s="507"/>
      <c r="J3" s="507"/>
      <c r="K3" s="507"/>
    </row>
    <row r="4" spans="1:12" ht="21.65" customHeight="1">
      <c r="A4" s="507"/>
      <c r="B4" s="507"/>
      <c r="C4" s="507"/>
      <c r="D4" s="507"/>
      <c r="E4" s="507"/>
      <c r="F4" s="507"/>
      <c r="G4" s="507"/>
      <c r="H4" s="507"/>
      <c r="I4" s="507"/>
      <c r="J4" s="507"/>
      <c r="K4" s="507"/>
    </row>
    <row r="5" spans="1:12">
      <c r="A5" s="464" t="s">
        <v>904</v>
      </c>
      <c r="B5" s="464"/>
      <c r="C5" s="464"/>
      <c r="D5" s="464"/>
      <c r="E5" s="464"/>
      <c r="F5" s="464"/>
      <c r="G5" s="464"/>
      <c r="H5" s="464"/>
      <c r="I5" s="464"/>
      <c r="J5" s="464"/>
      <c r="K5" s="464"/>
    </row>
    <row r="6" spans="1:12">
      <c r="A6" s="4"/>
      <c r="B6" s="4"/>
      <c r="C6" s="4"/>
      <c r="D6" s="4"/>
      <c r="E6" s="4"/>
      <c r="F6" s="7"/>
      <c r="G6" s="46"/>
      <c r="H6" s="46"/>
      <c r="I6" s="46"/>
      <c r="J6" s="46"/>
      <c r="K6" s="46"/>
    </row>
    <row r="7" spans="1:12">
      <c r="A7" s="508" t="s">
        <v>434</v>
      </c>
      <c r="B7" s="509"/>
      <c r="C7" s="94"/>
      <c r="D7" s="94"/>
      <c r="E7" s="94"/>
      <c r="F7" s="94"/>
      <c r="G7" s="451" t="s">
        <v>437</v>
      </c>
      <c r="H7" s="451"/>
      <c r="I7" s="451"/>
      <c r="J7" s="451"/>
      <c r="K7" s="46"/>
    </row>
    <row r="8" spans="1:12" ht="15" customHeight="1">
      <c r="A8" s="485" t="s">
        <v>848</v>
      </c>
      <c r="B8" s="485"/>
      <c r="C8" s="94"/>
      <c r="D8" s="94"/>
      <c r="E8" s="94"/>
      <c r="F8" s="94"/>
      <c r="G8" s="505" t="s">
        <v>500</v>
      </c>
      <c r="H8" s="505"/>
      <c r="I8" s="505"/>
      <c r="J8" s="505"/>
      <c r="K8" s="46"/>
    </row>
    <row r="9" spans="1:12" ht="15" customHeight="1">
      <c r="A9" s="492" t="s">
        <v>435</v>
      </c>
      <c r="B9" s="492"/>
      <c r="C9" s="94"/>
      <c r="D9" s="94"/>
      <c r="E9" s="94"/>
      <c r="F9" s="94"/>
      <c r="G9" s="451" t="s">
        <v>907</v>
      </c>
      <c r="H9" s="451"/>
      <c r="I9" s="451"/>
      <c r="J9" s="451"/>
      <c r="K9" s="46"/>
    </row>
    <row r="10" spans="1:12" ht="15" customHeight="1">
      <c r="A10" s="492" t="s">
        <v>432</v>
      </c>
      <c r="B10" s="492"/>
      <c r="C10" s="94"/>
      <c r="D10" s="94"/>
      <c r="E10" s="94"/>
      <c r="F10" s="94"/>
      <c r="G10" s="505" t="s">
        <v>433</v>
      </c>
      <c r="H10" s="505"/>
      <c r="I10" s="505"/>
      <c r="J10" s="505"/>
      <c r="K10" s="46"/>
    </row>
    <row r="11" spans="1:12" ht="15" customHeight="1">
      <c r="A11" s="493" t="s">
        <v>426</v>
      </c>
      <c r="B11" s="493"/>
      <c r="C11" s="94"/>
      <c r="D11" s="94"/>
      <c r="E11" s="94"/>
      <c r="F11" s="94"/>
      <c r="G11" s="451" t="s">
        <v>474</v>
      </c>
      <c r="H11" s="451"/>
      <c r="I11" s="451"/>
      <c r="J11" s="451"/>
      <c r="K11" s="46"/>
    </row>
    <row r="12" spans="1:12" ht="15" customHeight="1">
      <c r="A12" s="80" t="s">
        <v>428</v>
      </c>
      <c r="B12" s="82"/>
      <c r="C12" s="94"/>
      <c r="D12" s="94"/>
      <c r="E12" s="94"/>
      <c r="F12" s="94"/>
      <c r="G12" s="505" t="s">
        <v>473</v>
      </c>
      <c r="H12" s="505"/>
      <c r="I12" s="505"/>
      <c r="J12" s="505"/>
      <c r="K12" s="46"/>
      <c r="L12" s="271"/>
    </row>
    <row r="13" spans="1:12" ht="15" customHeight="1">
      <c r="A13" s="27" t="s">
        <v>193</v>
      </c>
      <c r="B13" s="28"/>
      <c r="C13" s="94"/>
      <c r="D13" s="94"/>
      <c r="E13" s="94"/>
      <c r="F13" s="94"/>
      <c r="G13" s="451" t="s">
        <v>903</v>
      </c>
      <c r="H13" s="451"/>
      <c r="I13" s="451"/>
      <c r="J13" s="451"/>
      <c r="K13" s="46"/>
    </row>
    <row r="14" spans="1:12">
      <c r="A14" s="29" t="s">
        <v>194</v>
      </c>
      <c r="B14" s="29"/>
      <c r="C14" s="94"/>
      <c r="D14" s="94"/>
      <c r="E14" s="94"/>
      <c r="F14" s="94"/>
      <c r="G14" s="472">
        <v>43556</v>
      </c>
      <c r="H14" s="472"/>
      <c r="I14" s="472"/>
      <c r="J14" s="472"/>
      <c r="K14" s="46"/>
    </row>
    <row r="15" spans="1:12">
      <c r="A15" s="61"/>
      <c r="B15" s="46"/>
      <c r="C15" s="46"/>
      <c r="D15" s="46"/>
      <c r="E15" s="46"/>
      <c r="F15" s="46"/>
      <c r="G15" s="46"/>
      <c r="H15" s="46"/>
      <c r="I15" s="46"/>
      <c r="J15" s="46"/>
      <c r="K15" s="46"/>
    </row>
    <row r="16" spans="1:12" s="65" customFormat="1" ht="37.5" customHeight="1">
      <c r="A16" s="510" t="s">
        <v>389</v>
      </c>
      <c r="B16" s="510" t="s">
        <v>390</v>
      </c>
      <c r="C16" s="514" t="s">
        <v>273</v>
      </c>
      <c r="D16" s="510" t="s">
        <v>499</v>
      </c>
      <c r="E16" s="510" t="s">
        <v>391</v>
      </c>
      <c r="F16" s="510" t="s">
        <v>392</v>
      </c>
      <c r="G16" s="510" t="s">
        <v>393</v>
      </c>
      <c r="H16" s="512" t="s">
        <v>394</v>
      </c>
      <c r="I16" s="513"/>
      <c r="J16" s="512" t="s">
        <v>397</v>
      </c>
      <c r="K16" s="513"/>
    </row>
    <row r="17" spans="1:11" s="65" customFormat="1" ht="58.5" customHeight="1">
      <c r="A17" s="511"/>
      <c r="B17" s="511"/>
      <c r="C17" s="515"/>
      <c r="D17" s="511"/>
      <c r="E17" s="511"/>
      <c r="F17" s="511"/>
      <c r="G17" s="511"/>
      <c r="H17" s="74" t="s">
        <v>395</v>
      </c>
      <c r="I17" s="74" t="s">
        <v>396</v>
      </c>
      <c r="J17" s="74" t="s">
        <v>398</v>
      </c>
      <c r="K17" s="74" t="s">
        <v>396</v>
      </c>
    </row>
    <row r="18" spans="1:11" s="65" customFormat="1" ht="34.5" customHeight="1">
      <c r="A18" s="180" t="s">
        <v>76</v>
      </c>
      <c r="B18" s="181" t="s">
        <v>501</v>
      </c>
      <c r="C18" s="180" t="s">
        <v>77</v>
      </c>
      <c r="D18" s="69"/>
      <c r="E18" s="69"/>
      <c r="F18" s="70"/>
      <c r="G18" s="71"/>
      <c r="H18" s="181"/>
      <c r="I18" s="182"/>
      <c r="J18" s="183"/>
      <c r="K18" s="184"/>
    </row>
    <row r="19" spans="1:11" s="65" customFormat="1" ht="45.75" customHeight="1">
      <c r="A19" s="180" t="s">
        <v>50</v>
      </c>
      <c r="B19" s="181" t="s">
        <v>402</v>
      </c>
      <c r="C19" s="180" t="s">
        <v>78</v>
      </c>
      <c r="D19" s="70"/>
      <c r="E19" s="70"/>
      <c r="F19" s="70"/>
      <c r="G19" s="71"/>
      <c r="H19" s="181"/>
      <c r="I19" s="182"/>
      <c r="J19" s="181"/>
      <c r="K19" s="182"/>
    </row>
    <row r="20" spans="1:11" s="65" customFormat="1" ht="45.75" customHeight="1">
      <c r="A20" s="180" t="s">
        <v>79</v>
      </c>
      <c r="B20" s="181" t="s">
        <v>502</v>
      </c>
      <c r="C20" s="180" t="s">
        <v>80</v>
      </c>
      <c r="D20" s="70"/>
      <c r="E20" s="70"/>
      <c r="F20" s="70"/>
      <c r="G20" s="69"/>
      <c r="H20" s="181"/>
      <c r="I20" s="72"/>
      <c r="J20" s="181"/>
      <c r="K20" s="72"/>
    </row>
    <row r="21" spans="1:11" s="65" customFormat="1" ht="44.25" customHeight="1">
      <c r="A21" s="180" t="s">
        <v>60</v>
      </c>
      <c r="B21" s="181" t="s">
        <v>399</v>
      </c>
      <c r="C21" s="180" t="s">
        <v>81</v>
      </c>
      <c r="D21" s="70"/>
      <c r="E21" s="70"/>
      <c r="F21" s="70"/>
      <c r="G21" s="71"/>
      <c r="H21" s="181"/>
      <c r="I21" s="182"/>
      <c r="J21" s="181"/>
      <c r="K21" s="182"/>
    </row>
    <row r="22" spans="1:11" s="65" customFormat="1" ht="44.25" customHeight="1">
      <c r="A22" s="180" t="s">
        <v>82</v>
      </c>
      <c r="B22" s="181" t="s">
        <v>403</v>
      </c>
      <c r="C22" s="180" t="s">
        <v>83</v>
      </c>
      <c r="D22" s="70"/>
      <c r="E22" s="70"/>
      <c r="F22" s="70"/>
      <c r="G22" s="71"/>
      <c r="H22" s="181"/>
      <c r="I22" s="182"/>
      <c r="J22" s="181"/>
      <c r="K22" s="182"/>
    </row>
    <row r="23" spans="1:11" s="65" customFormat="1" ht="44.25" customHeight="1">
      <c r="A23" s="180" t="s">
        <v>84</v>
      </c>
      <c r="B23" s="181" t="s">
        <v>503</v>
      </c>
      <c r="C23" s="180" t="s">
        <v>85</v>
      </c>
      <c r="D23" s="70"/>
      <c r="E23" s="70"/>
      <c r="F23" s="70"/>
      <c r="G23" s="71"/>
      <c r="H23" s="181"/>
      <c r="I23" s="182"/>
      <c r="J23" s="181"/>
      <c r="K23" s="182"/>
    </row>
    <row r="24" spans="1:11" s="65" customFormat="1" ht="44.25" customHeight="1">
      <c r="A24" s="180" t="s">
        <v>50</v>
      </c>
      <c r="B24" s="181" t="s">
        <v>400</v>
      </c>
      <c r="C24" s="180" t="s">
        <v>86</v>
      </c>
      <c r="D24" s="70"/>
      <c r="E24" s="70"/>
      <c r="F24" s="70"/>
      <c r="G24" s="71"/>
      <c r="H24" s="181"/>
      <c r="I24" s="182"/>
      <c r="J24" s="181"/>
      <c r="K24" s="182"/>
    </row>
    <row r="25" spans="1:11" s="65" customFormat="1" ht="44.25" customHeight="1">
      <c r="A25" s="180" t="s">
        <v>87</v>
      </c>
      <c r="B25" s="181" t="s">
        <v>504</v>
      </c>
      <c r="C25" s="180" t="s">
        <v>88</v>
      </c>
      <c r="D25" s="70"/>
      <c r="E25" s="70"/>
      <c r="F25" s="70"/>
      <c r="G25" s="71"/>
      <c r="H25" s="181"/>
      <c r="I25" s="182"/>
      <c r="J25" s="181"/>
      <c r="K25" s="182"/>
    </row>
    <row r="26" spans="1:11" s="65" customFormat="1" ht="44.25" customHeight="1">
      <c r="A26" s="180" t="s">
        <v>60</v>
      </c>
      <c r="B26" s="181" t="s">
        <v>401</v>
      </c>
      <c r="C26" s="180" t="s">
        <v>89</v>
      </c>
      <c r="D26" s="70"/>
      <c r="E26" s="70"/>
      <c r="F26" s="70"/>
      <c r="G26" s="71"/>
      <c r="H26" s="181"/>
      <c r="I26" s="182"/>
      <c r="J26" s="181"/>
      <c r="K26" s="182"/>
    </row>
    <row r="27" spans="1:11" s="65" customFormat="1" ht="44.25" customHeight="1">
      <c r="A27" s="180" t="s">
        <v>90</v>
      </c>
      <c r="B27" s="181" t="s">
        <v>404</v>
      </c>
      <c r="C27" s="180" t="s">
        <v>91</v>
      </c>
      <c r="D27" s="70"/>
      <c r="E27" s="70"/>
      <c r="F27" s="70"/>
      <c r="G27" s="71"/>
      <c r="H27" s="181"/>
      <c r="I27" s="182"/>
      <c r="J27" s="181"/>
      <c r="K27" s="182"/>
    </row>
    <row r="28" spans="1:11" s="65" customFormat="1" ht="12.5">
      <c r="A28" s="157"/>
      <c r="B28" s="185"/>
      <c r="C28" s="185"/>
      <c r="D28" s="70"/>
      <c r="E28" s="70"/>
      <c r="F28" s="70"/>
      <c r="G28" s="71"/>
      <c r="H28" s="181"/>
      <c r="I28" s="182"/>
      <c r="J28" s="183"/>
      <c r="K28" s="184"/>
    </row>
    <row r="29" spans="1:11" s="65" customFormat="1" ht="12.5">
      <c r="A29" s="73"/>
      <c r="B29" s="68"/>
      <c r="C29" s="68"/>
      <c r="D29" s="68"/>
      <c r="E29" s="68"/>
      <c r="F29" s="68"/>
      <c r="G29" s="68"/>
      <c r="H29" s="68"/>
      <c r="I29" s="68"/>
      <c r="J29" s="68"/>
      <c r="K29" s="68"/>
    </row>
    <row r="30" spans="1:11" s="65" customFormat="1" ht="12.5">
      <c r="A30" s="73"/>
      <c r="B30" s="68"/>
      <c r="C30" s="68"/>
      <c r="D30" s="68"/>
      <c r="E30" s="68"/>
      <c r="F30" s="68"/>
      <c r="G30" s="68"/>
      <c r="H30" s="68"/>
      <c r="I30" s="68"/>
      <c r="J30" s="68"/>
      <c r="K30" s="68"/>
    </row>
    <row r="31" spans="1:11" s="65" customFormat="1" ht="12.5">
      <c r="A31" s="73"/>
      <c r="B31" s="68"/>
      <c r="C31" s="68"/>
      <c r="D31" s="68"/>
      <c r="E31" s="68"/>
      <c r="F31" s="68"/>
      <c r="G31" s="68"/>
      <c r="H31" s="68"/>
      <c r="I31" s="68"/>
      <c r="J31" s="68"/>
      <c r="K31" s="68"/>
    </row>
    <row r="32" spans="1:11" s="65" customFormat="1" ht="12.5">
      <c r="A32" s="21" t="s">
        <v>231</v>
      </c>
      <c r="B32" s="18"/>
      <c r="C32" s="20"/>
      <c r="D32" s="68"/>
      <c r="E32" s="68"/>
      <c r="F32" s="68"/>
      <c r="G32" s="68"/>
      <c r="H32" s="68"/>
      <c r="I32" s="22" t="s">
        <v>232</v>
      </c>
      <c r="J32" s="68"/>
      <c r="K32" s="68"/>
    </row>
    <row r="33" spans="1:11" s="65" customFormat="1" ht="12.5">
      <c r="A33" s="23" t="s">
        <v>233</v>
      </c>
      <c r="B33" s="18"/>
      <c r="C33" s="20"/>
      <c r="D33" s="68"/>
      <c r="E33" s="68"/>
      <c r="F33" s="68"/>
      <c r="G33" s="68"/>
      <c r="H33" s="68"/>
      <c r="I33" s="24" t="s">
        <v>234</v>
      </c>
      <c r="J33" s="68"/>
      <c r="K33" s="68"/>
    </row>
    <row r="34" spans="1:11">
      <c r="A34" s="18"/>
      <c r="B34" s="18"/>
      <c r="C34" s="20"/>
      <c r="D34" s="46"/>
      <c r="E34" s="46"/>
      <c r="F34" s="46"/>
      <c r="G34" s="46"/>
      <c r="H34" s="46"/>
      <c r="I34" s="20"/>
      <c r="J34" s="46"/>
      <c r="K34" s="46"/>
    </row>
    <row r="35" spans="1:11">
      <c r="A35" s="18"/>
      <c r="B35" s="18"/>
      <c r="C35" s="20"/>
      <c r="D35" s="46"/>
      <c r="E35" s="46"/>
      <c r="F35" s="46"/>
      <c r="G35" s="46"/>
      <c r="H35" s="46"/>
      <c r="I35" s="20"/>
      <c r="J35" s="46"/>
      <c r="K35" s="46"/>
    </row>
    <row r="36" spans="1:11">
      <c r="A36" s="18"/>
      <c r="B36" s="18"/>
      <c r="C36" s="20"/>
      <c r="D36" s="46"/>
      <c r="E36" s="46"/>
      <c r="F36" s="46"/>
      <c r="G36" s="46"/>
      <c r="H36" s="46"/>
      <c r="I36" s="20"/>
      <c r="J36" s="46"/>
      <c r="K36" s="46"/>
    </row>
    <row r="37" spans="1:11">
      <c r="A37" s="18"/>
      <c r="B37" s="18"/>
      <c r="C37" s="20"/>
      <c r="D37" s="46"/>
      <c r="E37" s="46"/>
      <c r="F37" s="46"/>
      <c r="G37" s="46"/>
      <c r="H37" s="46"/>
      <c r="I37" s="20"/>
      <c r="J37" s="46"/>
      <c r="K37" s="46"/>
    </row>
    <row r="38" spans="1:11">
      <c r="A38" s="18"/>
      <c r="B38" s="18"/>
      <c r="C38" s="20"/>
      <c r="D38" s="46"/>
      <c r="E38" s="46"/>
      <c r="F38" s="46"/>
      <c r="G38" s="46"/>
      <c r="H38" s="46"/>
      <c r="I38" s="20"/>
      <c r="J38" s="46"/>
      <c r="K38" s="46"/>
    </row>
    <row r="39" spans="1:11">
      <c r="A39" s="18"/>
      <c r="B39" s="18"/>
      <c r="C39" s="20"/>
      <c r="D39" s="46"/>
      <c r="E39" s="46"/>
      <c r="F39" s="46"/>
      <c r="G39" s="46"/>
      <c r="H39" s="46"/>
      <c r="I39" s="20"/>
      <c r="J39" s="46"/>
      <c r="K39" s="46"/>
    </row>
    <row r="40" spans="1:11">
      <c r="A40" s="18"/>
      <c r="B40" s="18"/>
      <c r="C40" s="20"/>
      <c r="D40" s="46"/>
      <c r="E40" s="46"/>
      <c r="F40" s="46"/>
      <c r="G40" s="46"/>
      <c r="H40" s="46"/>
      <c r="I40" s="20"/>
      <c r="J40" s="46"/>
      <c r="K40" s="46"/>
    </row>
    <row r="41" spans="1:11">
      <c r="A41" s="18"/>
      <c r="B41" s="18"/>
      <c r="C41" s="20"/>
      <c r="D41" s="46"/>
      <c r="E41" s="46"/>
      <c r="F41" s="46"/>
      <c r="G41" s="46"/>
      <c r="H41" s="46"/>
      <c r="I41" s="20"/>
      <c r="J41" s="46"/>
      <c r="K41" s="46"/>
    </row>
    <row r="42" spans="1:11">
      <c r="A42" s="25"/>
      <c r="B42" s="25"/>
      <c r="C42" s="20"/>
      <c r="D42" s="46"/>
      <c r="E42" s="46"/>
      <c r="F42" s="46"/>
      <c r="G42" s="46"/>
      <c r="H42" s="46"/>
      <c r="I42" s="26"/>
      <c r="J42" s="75"/>
      <c r="K42" s="75"/>
    </row>
    <row r="43" spans="1:11">
      <c r="A43" s="21" t="s">
        <v>235</v>
      </c>
      <c r="B43" s="18"/>
      <c r="C43" s="516"/>
      <c r="D43" s="517"/>
      <c r="E43" s="46"/>
      <c r="F43" s="46"/>
      <c r="G43" s="46"/>
      <c r="H43" s="46"/>
      <c r="I43" s="22" t="s">
        <v>438</v>
      </c>
      <c r="J43" s="46"/>
      <c r="K43" s="46"/>
    </row>
    <row r="44" spans="1:11">
      <c r="A44" s="21" t="s">
        <v>908</v>
      </c>
      <c r="B44" s="18"/>
      <c r="C44" s="20"/>
      <c r="D44" s="46"/>
      <c r="E44" s="46"/>
      <c r="F44" s="46"/>
      <c r="G44" s="46"/>
      <c r="H44" s="46"/>
      <c r="I44" s="22" t="s">
        <v>439</v>
      </c>
      <c r="J44" s="46"/>
      <c r="K44" s="46"/>
    </row>
    <row r="45" spans="1:11">
      <c r="A45" s="18" t="s">
        <v>909</v>
      </c>
      <c r="B45" s="18"/>
      <c r="C45" s="20"/>
      <c r="D45" s="46"/>
      <c r="E45" s="46"/>
      <c r="F45" s="46"/>
      <c r="G45" s="46"/>
      <c r="H45" s="46"/>
      <c r="I45" s="20" t="s">
        <v>440</v>
      </c>
      <c r="J45" s="46"/>
      <c r="K45" s="46"/>
    </row>
    <row r="46" spans="1:11">
      <c r="A46" s="61"/>
      <c r="B46" s="46"/>
      <c r="C46" s="46"/>
      <c r="D46" s="46"/>
      <c r="E46" s="46"/>
      <c r="F46" s="46"/>
      <c r="G46" s="46"/>
      <c r="H46" s="46"/>
      <c r="I46" s="46"/>
      <c r="J46" s="46"/>
      <c r="K46" s="46"/>
    </row>
  </sheetData>
  <mergeCells count="26">
    <mergeCell ref="G16:G17"/>
    <mergeCell ref="H16:I16"/>
    <mergeCell ref="J16:K16"/>
    <mergeCell ref="A16:A17"/>
    <mergeCell ref="B16:B17"/>
    <mergeCell ref="C16:C17"/>
    <mergeCell ref="D16:D17"/>
    <mergeCell ref="E16:E17"/>
    <mergeCell ref="F16:F17"/>
    <mergeCell ref="A1:K1"/>
    <mergeCell ref="A2:K2"/>
    <mergeCell ref="A3:K4"/>
    <mergeCell ref="A5:K5"/>
    <mergeCell ref="A7:B7"/>
    <mergeCell ref="G7:J7"/>
    <mergeCell ref="G14:J14"/>
    <mergeCell ref="A8:B8"/>
    <mergeCell ref="G8:J8"/>
    <mergeCell ref="A10:B10"/>
    <mergeCell ref="G10:J10"/>
    <mergeCell ref="G13:J13"/>
    <mergeCell ref="G12:J12"/>
    <mergeCell ref="A9:B9"/>
    <mergeCell ref="G9:J9"/>
    <mergeCell ref="A11:B11"/>
    <mergeCell ref="G11:J11"/>
  </mergeCells>
  <printOptions horizontalCentered="1"/>
  <pageMargins left="0.32" right="0.24" top="0.5" bottom="0.47" header="0.3" footer="0.3"/>
  <pageSetup paperSize="9" scale="58"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HtUBWr1sUhKlkwDUOm/u/GtPBEw=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JKfSyws/gF5TexMowhY0zkLzb50=</DigestValue>
    </Reference>
  </SignedInfo>
  <SignatureValue>X3skGl+TYHc1d9kQPhDrFGel2g/LiH7qp4gkowtWPyo/Lt94O+IPbBmJFwbRy1LkuRTSfIL4+wXU
aHE4nC3kOZB53QjZeOW91Tceea2yJNnwrxgug0pWR8d0BJLFJEfvK1dVZkfwH97a2rowbxrLLaT+
PFnncTinh7JSAgyuNmI=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Transform>
          <Transform Algorithm="http://www.w3.org/TR/2001/REC-xml-c14n-20010315"/>
        </Transforms>
        <DigestMethod Algorithm="http://www.w3.org/2000/09/xmldsig#sha1"/>
        <DigestValue>JOOQerJLkpl2nXpDroRrGtiX5yw=</DigestValue>
      </Reference>
      <Reference URI="/xl/calcChain.xml?ContentType=application/vnd.openxmlformats-officedocument.spreadsheetml.calcChain+xml">
        <DigestMethod Algorithm="http://www.w3.org/2000/09/xmldsig#sha1"/>
        <DigestValue>5gzLHPgNtnHz0agFMX3lARlEx+Y=</DigestValue>
      </Reference>
      <Reference URI="/xl/comments1.xml?ContentType=application/vnd.openxmlformats-officedocument.spreadsheetml.comments+xml">
        <DigestMethod Algorithm="http://www.w3.org/2000/09/xmldsig#sha1"/>
        <DigestValue>EFnDugaQBZpTcS7WoHdaY32Dbgg=</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kFQEsmLXXDdznWJ6nREYc3eUapw=</DigestValue>
      </Reference>
      <Reference URI="/xl/drawings/drawing2.xml?ContentType=application/vnd.openxmlformats-officedocument.drawing+xml">
        <DigestMethod Algorithm="http://www.w3.org/2000/09/xmldsig#sha1"/>
        <DigestValue>qPWEpidYE1B5rYmvA0IAv1NJVBc=</DigestValue>
      </Reference>
      <Reference URI="/xl/drawings/drawing3.xml?ContentType=application/vnd.openxmlformats-officedocument.drawing+xml">
        <DigestMethod Algorithm="http://www.w3.org/2000/09/xmldsig#sha1"/>
        <DigestValue>Sa/wlqcZV2SBgU5Wd3vEOuJh16E=</DigestValue>
      </Reference>
      <Reference URI="/xl/drawings/drawing4.xml?ContentType=application/vnd.openxmlformats-officedocument.drawing+xml">
        <DigestMethod Algorithm="http://www.w3.org/2000/09/xmldsig#sha1"/>
        <DigestValue>DvP5Vywiajallb6N8k8egWJvWSg=</DigestValue>
      </Reference>
      <Reference URI="/xl/drawings/drawing5.xml?ContentType=application/vnd.openxmlformats-officedocument.drawing+xml">
        <DigestMethod Algorithm="http://www.w3.org/2000/09/xmldsig#sha1"/>
        <DigestValue>r5XvE597sC0xhrpswFFTv7cqG2k=</DigestValue>
      </Reference>
      <Reference URI="/xl/drawings/drawing6.xml?ContentType=application/vnd.openxmlformats-officedocument.drawing+xml">
        <DigestMethod Algorithm="http://www.w3.org/2000/09/xmldsig#sha1"/>
        <DigestValue>7Vxu0WmROeccSR0y37rIzsEuCF4=</DigestValue>
      </Reference>
      <Reference URI="/xl/drawings/drawing7.xml?ContentType=application/vnd.openxmlformats-officedocument.drawing+xml">
        <DigestMethod Algorithm="http://www.w3.org/2000/09/xmldsig#sha1"/>
        <DigestValue>r+mEI0FDfaMDD04lkUgLn56ie2k=</DigestValue>
      </Reference>
      <Reference URI="/xl/drawings/drawing8.xml?ContentType=application/vnd.openxmlformats-officedocument.drawing+xml">
        <DigestMethod Algorithm="http://www.w3.org/2000/09/xmldsig#sha1"/>
        <DigestValue>3EhjwhI9j+mxVrD5NrlHv5T+K5Q=</DigestValue>
      </Reference>
      <Reference URI="/xl/drawings/vmlDrawing1.vml?ContentType=application/vnd.openxmlformats-officedocument.vmlDrawing">
        <DigestMethod Algorithm="http://www.w3.org/2000/09/xmldsig#sha1"/>
        <DigestValue>If34LYFGwJsRyfkgw9re/OtHkCg=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dMM6jR//IujtfqudzwHR/QQhSPg=</DigestValue>
      </Reference>
      <Reference URI="/xl/printerSettings/printerSettings2.bin?ContentType=application/vnd.openxmlformats-officedocument.spreadsheetml.printerSettings">
        <DigestMethod Algorithm="http://www.w3.org/2000/09/xmldsig#sha1"/>
        <DigestValue>c85x8EJPTnIk+MKEA0Ujo+19gnE=</DigestValue>
      </Reference>
      <Reference URI="/xl/printerSettings/printerSettings3.bin?ContentType=application/vnd.openxmlformats-officedocument.spreadsheetml.printerSettings">
        <DigestMethod Algorithm="http://www.w3.org/2000/09/xmldsig#sha1"/>
        <DigestValue>BLq1MYsAWZyS1/I45C29FC1v2jg=</DigestValue>
      </Reference>
      <Reference URI="/xl/printerSettings/printerSettings4.bin?ContentType=application/vnd.openxmlformats-officedocument.spreadsheetml.printerSettings">
        <DigestMethod Algorithm="http://www.w3.org/2000/09/xmldsig#sha1"/>
        <DigestValue>c85x8EJPTnIk+MKEA0Ujo+19gnE=</DigestValue>
      </Reference>
      <Reference URI="/xl/printerSettings/printerSettings5.bin?ContentType=application/vnd.openxmlformats-officedocument.spreadsheetml.printerSettings">
        <DigestMethod Algorithm="http://www.w3.org/2000/09/xmldsig#sha1"/>
        <DigestValue>BLq1MYsAWZyS1/I45C29FC1v2jg=</DigestValue>
      </Reference>
      <Reference URI="/xl/printerSettings/printerSettings6.bin?ContentType=application/vnd.openxmlformats-officedocument.spreadsheetml.printerSettings">
        <DigestMethod Algorithm="http://www.w3.org/2000/09/xmldsig#sha1"/>
        <DigestValue>K81pdRPxywnrxMOzXNy19B+hZNA=</DigestValue>
      </Reference>
      <Reference URI="/xl/printerSettings/printerSettings7.bin?ContentType=application/vnd.openxmlformats-officedocument.spreadsheetml.printerSettings">
        <DigestMethod Algorithm="http://www.w3.org/2000/09/xmldsig#sha1"/>
        <DigestValue>K81pdRPxywnrxMOzXNy19B+hZNA=</DigestValue>
      </Reference>
      <Reference URI="/xl/printerSettings/printerSettings8.bin?ContentType=application/vnd.openxmlformats-officedocument.spreadsheetml.printerSettings">
        <DigestMethod Algorithm="http://www.w3.org/2000/09/xmldsig#sha1"/>
        <DigestValue>c85x8EJPTnIk+MKEA0Ujo+19gnE=</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jLRyt7b6hizL9EXWSSnjNp4/57Q=</DigestValue>
      </Reference>
      <Reference URI="/xl/styles.xml?ContentType=application/vnd.openxmlformats-officedocument.spreadsheetml.styles+xml">
        <DigestMethod Algorithm="http://www.w3.org/2000/09/xmldsig#sha1"/>
        <DigestValue>NlE5T58LsPqwJkEbDT3sXvN8NC8=</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bWuh0qNaLLn11GtEHisQX7nbkD0=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nbHxeYITJHN80l8AQGnymG66eBI=</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fZwc8IrbauFTzqBTRi49a1JpKjo=</DigestValue>
      </Reference>
      <Reference URI="/xl/worksheets/sheet10.xml?ContentType=application/vnd.openxmlformats-officedocument.spreadsheetml.worksheet+xml">
        <DigestMethod Algorithm="http://www.w3.org/2000/09/xmldsig#sha1"/>
        <DigestValue>ATH9TZNDc9s9bp6yHjSbhuFj4oQ=</DigestValue>
      </Reference>
      <Reference URI="/xl/worksheets/sheet2.xml?ContentType=application/vnd.openxmlformats-officedocument.spreadsheetml.worksheet+xml">
        <DigestMethod Algorithm="http://www.w3.org/2000/09/xmldsig#sha1"/>
        <DigestValue>jLmY0S1Z2V/H7rzez/830phkXCQ=</DigestValue>
      </Reference>
      <Reference URI="/xl/worksheets/sheet3.xml?ContentType=application/vnd.openxmlformats-officedocument.spreadsheetml.worksheet+xml">
        <DigestMethod Algorithm="http://www.w3.org/2000/09/xmldsig#sha1"/>
        <DigestValue>6I5qiYFAqjBjIikrf07EJpiPWps=</DigestValue>
      </Reference>
      <Reference URI="/xl/worksheets/sheet4.xml?ContentType=application/vnd.openxmlformats-officedocument.spreadsheetml.worksheet+xml">
        <DigestMethod Algorithm="http://www.w3.org/2000/09/xmldsig#sha1"/>
        <DigestValue>DXnqtTHZDVPTdvqHtEg1gmmjOKA=</DigestValue>
      </Reference>
      <Reference URI="/xl/worksheets/sheet5.xml?ContentType=application/vnd.openxmlformats-officedocument.spreadsheetml.worksheet+xml">
        <DigestMethod Algorithm="http://www.w3.org/2000/09/xmldsig#sha1"/>
        <DigestValue>DGvGrNYDG66MwVLMtr5zZPpo25M=</DigestValue>
      </Reference>
      <Reference URI="/xl/worksheets/sheet6.xml?ContentType=application/vnd.openxmlformats-officedocument.spreadsheetml.worksheet+xml">
        <DigestMethod Algorithm="http://www.w3.org/2000/09/xmldsig#sha1"/>
        <DigestValue>fBzn+5ofQFc0p7GDbRAOHuqXXUE=</DigestValue>
      </Reference>
      <Reference URI="/xl/worksheets/sheet7.xml?ContentType=application/vnd.openxmlformats-officedocument.spreadsheetml.worksheet+xml">
        <DigestMethod Algorithm="http://www.w3.org/2000/09/xmldsig#sha1"/>
        <DigestValue>As/ctk7TMYw+DOGgEuHR5HbMcy8=</DigestValue>
      </Reference>
      <Reference URI="/xl/worksheets/sheet8.xml?ContentType=application/vnd.openxmlformats-officedocument.spreadsheetml.worksheet+xml">
        <DigestMethod Algorithm="http://www.w3.org/2000/09/xmldsig#sha1"/>
        <DigestValue>tZKZnFTQrb5jfkh/aFoFAjaeMBo=</DigestValue>
      </Reference>
      <Reference URI="/xl/worksheets/sheet9.xml?ContentType=application/vnd.openxmlformats-officedocument.spreadsheetml.worksheet+xml">
        <DigestMethod Algorithm="http://www.w3.org/2000/09/xmldsig#sha1"/>
        <DigestValue>S3SiLKMxmPIVyRyh+WpnmrIK8Uk=</DigestValue>
      </Reference>
    </Manifest>
    <SignatureProperties>
      <SignatureProperty Id="idSignatureTime" Target="#idPackageSignature">
        <mdssi:SignatureTime xmlns:mdssi="http://schemas.openxmlformats.org/package/2006/digital-signature">
          <mdssi:Format>YYYY-MM-DDThh:mm:ssTZD</mdssi:Format>
          <mdssi:Value>2019-04-04T10:35:53Z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2019-04-04T10:35:53Z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Tong quat</vt:lpstr>
      <vt:lpstr>BCthunhap</vt:lpstr>
      <vt:lpstr>BCtinhhinhtaichinh</vt:lpstr>
      <vt:lpstr>BCTaiSan_06027</vt:lpstr>
      <vt:lpstr>BCKetQuaHoatDong_06028</vt:lpstr>
      <vt:lpstr>BCDanhMucDauTu_06029</vt:lpstr>
      <vt:lpstr>Port</vt:lpstr>
      <vt:lpstr>Khac_06030</vt:lpstr>
      <vt:lpstr>GiaTriTaiSanRong_06129</vt:lpstr>
      <vt:lpstr>BCHoatDongVay_06026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'Tong quat'!Print_Area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Bui, Trang</cp:lastModifiedBy>
  <cp:lastPrinted>2018-02-05T10:44:16Z</cp:lastPrinted>
  <dcterms:created xsi:type="dcterms:W3CDTF">2013-10-21T08:38:47Z</dcterms:created>
  <dcterms:modified xsi:type="dcterms:W3CDTF">2019-04-04T10:35:47Z</dcterms:modified>
</cp:coreProperties>
</file>